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46066</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46066</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46066</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46066</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46066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46066</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46066</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46066</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46066</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46066</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46066</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46066</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46066</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46066</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46066</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46066</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46066</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46066</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46066</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46066</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46066</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46066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46066</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45224-2024</t>
        </is>
      </c>
      <c r="B36" s="1" t="n">
        <v>45575.77440972222</v>
      </c>
      <c r="C36" s="1" t="n">
        <v>46066</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46066</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10744-2024</t>
        </is>
      </c>
      <c r="B38" s="1" t="n">
        <v>45369</v>
      </c>
      <c r="C38" s="1" t="n">
        <v>46066</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56648-2025</t>
        </is>
      </c>
      <c r="B39" s="1" t="n">
        <v>45975.63604166666</v>
      </c>
      <c r="C39" s="1" t="n">
        <v>46066</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21753-2023</t>
        </is>
      </c>
      <c r="B40" s="1" t="n">
        <v>45063</v>
      </c>
      <c r="C40" s="1" t="n">
        <v>46066</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17716-2024</t>
        </is>
      </c>
      <c r="B41" s="1" t="n">
        <v>45415</v>
      </c>
      <c r="C41" s="1" t="n">
        <v>46066</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40777-2023</t>
        </is>
      </c>
      <c r="B42" s="1" t="n">
        <v>45170</v>
      </c>
      <c r="C42" s="1" t="n">
        <v>46066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46066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63193-2025</t>
        </is>
      </c>
      <c r="B44" s="1" t="n">
        <v>46010.45428240741</v>
      </c>
      <c r="C44" s="1" t="n">
        <v>46066</v>
      </c>
      <c r="D44" t="inlineStr">
        <is>
          <t>JÄMTLANDS LÄN</t>
        </is>
      </c>
      <c r="E44" t="inlineStr">
        <is>
          <t>ÖSTERSUND</t>
        </is>
      </c>
      <c r="G44" t="n">
        <v>9</v>
      </c>
      <c r="H44" t="n">
        <v>1</v>
      </c>
      <c r="I44" t="n">
        <v>1</v>
      </c>
      <c r="J44" t="n">
        <v>7</v>
      </c>
      <c r="K44" t="n">
        <v>0</v>
      </c>
      <c r="L44" t="n">
        <v>0</v>
      </c>
      <c r="M44" t="n">
        <v>0</v>
      </c>
      <c r="N44" t="n">
        <v>0</v>
      </c>
      <c r="O44" t="n">
        <v>7</v>
      </c>
      <c r="P44" t="n">
        <v>0</v>
      </c>
      <c r="Q44" t="n">
        <v>8</v>
      </c>
      <c r="R44" s="2" t="inlineStr">
        <is>
          <t>Garnlav
Granticka
Harticka
Lunglav
Skrovellav
Tretåig hackspett
Ullticka
Kransrams</t>
        </is>
      </c>
      <c r="S44">
        <f>HYPERLINK("https://klasma.github.io/Logging_2380/artfynd/A 63193-2025 artfynd.xlsx", "A 63193-2025")</f>
        <v/>
      </c>
      <c r="T44">
        <f>HYPERLINK("https://klasma.github.io/Logging_2380/kartor/A 63193-2025 karta.png", "A 63193-2025")</f>
        <v/>
      </c>
      <c r="U44">
        <f>HYPERLINK("https://klasma.github.io/Logging_2380/knärot/A 63193-2025 karta knärot.png", "A 63193-2025")</f>
        <v/>
      </c>
      <c r="V44">
        <f>HYPERLINK("https://klasma.github.io/Logging_2380/klagomål/A 63193-2025 FSC-klagomål.docx", "A 63193-2025")</f>
        <v/>
      </c>
      <c r="W44">
        <f>HYPERLINK("https://klasma.github.io/Logging_2380/klagomålsmail/A 63193-2025 FSC-klagomål mail.docx", "A 63193-2025")</f>
        <v/>
      </c>
      <c r="X44">
        <f>HYPERLINK("https://klasma.github.io/Logging_2380/tillsyn/A 63193-2025 tillsynsbegäran.docx", "A 63193-2025")</f>
        <v/>
      </c>
      <c r="Y44">
        <f>HYPERLINK("https://klasma.github.io/Logging_2380/tillsynsmail/A 63193-2025 tillsynsbegäran mail.docx", "A 63193-2025")</f>
        <v/>
      </c>
      <c r="Z44">
        <f>HYPERLINK("https://klasma.github.io/Logging_2380/fåglar/A 63193-2025 prioriterade fågelarter.docx", "A 63193-2025")</f>
        <v/>
      </c>
    </row>
    <row r="45" ht="15" customHeight="1">
      <c r="A45" t="inlineStr">
        <is>
          <t>A 39735-2021</t>
        </is>
      </c>
      <c r="B45" s="1" t="n">
        <v>44414</v>
      </c>
      <c r="C45" s="1" t="n">
        <v>46066</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5203-2026</t>
        </is>
      </c>
      <c r="B46" s="1" t="n">
        <v>46049.67512731482</v>
      </c>
      <c r="C46" s="1" t="n">
        <v>46066</v>
      </c>
      <c r="D46" t="inlineStr">
        <is>
          <t>JÄMTLANDS LÄN</t>
        </is>
      </c>
      <c r="E46" t="inlineStr">
        <is>
          <t>ÖSTERSUND</t>
        </is>
      </c>
      <c r="G46" t="n">
        <v>14.6</v>
      </c>
      <c r="H46" t="n">
        <v>3</v>
      </c>
      <c r="I46" t="n">
        <v>2</v>
      </c>
      <c r="J46" t="n">
        <v>3</v>
      </c>
      <c r="K46" t="n">
        <v>1</v>
      </c>
      <c r="L46" t="n">
        <v>0</v>
      </c>
      <c r="M46" t="n">
        <v>0</v>
      </c>
      <c r="N46" t="n">
        <v>0</v>
      </c>
      <c r="O46" t="n">
        <v>4</v>
      </c>
      <c r="P46" t="n">
        <v>1</v>
      </c>
      <c r="Q46" t="n">
        <v>7</v>
      </c>
      <c r="R46" s="2" t="inlineStr">
        <is>
          <t>Knärot
Garnlav
Talltita
Ullticka
Kransrams
Svavelriska
Revlummer</t>
        </is>
      </c>
      <c r="S46">
        <f>HYPERLINK("https://klasma.github.io/Logging_2380/artfynd/A 5203-2026 artfynd.xlsx", "A 5203-2026")</f>
        <v/>
      </c>
      <c r="T46">
        <f>HYPERLINK("https://klasma.github.io/Logging_2380/kartor/A 5203-2026 karta.png", "A 5203-2026")</f>
        <v/>
      </c>
      <c r="U46">
        <f>HYPERLINK("https://klasma.github.io/Logging_2380/knärot/A 5203-2026 karta knärot.png", "A 5203-2026")</f>
        <v/>
      </c>
      <c r="V46">
        <f>HYPERLINK("https://klasma.github.io/Logging_2380/klagomål/A 5203-2026 FSC-klagomål.docx", "A 5203-2026")</f>
        <v/>
      </c>
      <c r="W46">
        <f>HYPERLINK("https://klasma.github.io/Logging_2380/klagomålsmail/A 5203-2026 FSC-klagomål mail.docx", "A 5203-2026")</f>
        <v/>
      </c>
      <c r="X46">
        <f>HYPERLINK("https://klasma.github.io/Logging_2380/tillsyn/A 5203-2026 tillsynsbegäran.docx", "A 5203-2026")</f>
        <v/>
      </c>
      <c r="Y46">
        <f>HYPERLINK("https://klasma.github.io/Logging_2380/tillsynsmail/A 5203-2026 tillsynsbegäran mail.docx", "A 5203-2026")</f>
        <v/>
      </c>
      <c r="Z46">
        <f>HYPERLINK("https://klasma.github.io/Logging_2380/fåglar/A 5203-2026 prioriterade fågelarter.docx", "A 5203-2026")</f>
        <v/>
      </c>
    </row>
    <row r="47" ht="15" customHeight="1">
      <c r="A47" t="inlineStr">
        <is>
          <t>A 53292-2025</t>
        </is>
      </c>
      <c r="B47" s="1" t="n">
        <v>45958</v>
      </c>
      <c r="C47" s="1" t="n">
        <v>46066</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31122-2025</t>
        </is>
      </c>
      <c r="B48" s="1" t="n">
        <v>45831</v>
      </c>
      <c r="C48" s="1" t="n">
        <v>46066</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46066</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16369-2023</t>
        </is>
      </c>
      <c r="B50" s="1" t="n">
        <v>45028</v>
      </c>
      <c r="C50" s="1" t="n">
        <v>46066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48736-2025</t>
        </is>
      </c>
      <c r="B51" s="1" t="n">
        <v>45936.66547453704</v>
      </c>
      <c r="C51" s="1" t="n">
        <v>46066</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39586-2025</t>
        </is>
      </c>
      <c r="B52" s="1" t="n">
        <v>45890</v>
      </c>
      <c r="C52" s="1" t="n">
        <v>46066</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50529-2025</t>
        </is>
      </c>
      <c r="B53" s="1" t="n">
        <v>45945.47331018518</v>
      </c>
      <c r="C53" s="1" t="n">
        <v>46066</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46066</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54608-2023</t>
        </is>
      </c>
      <c r="B55" s="1" t="n">
        <v>45233</v>
      </c>
      <c r="C55" s="1" t="n">
        <v>46066</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52297-2025</t>
        </is>
      </c>
      <c r="B56" s="1" t="n">
        <v>45953</v>
      </c>
      <c r="C56" s="1" t="n">
        <v>46066</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28512-2021</t>
        </is>
      </c>
      <c r="B57" s="1" t="n">
        <v>44356</v>
      </c>
      <c r="C57" s="1" t="n">
        <v>46066</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46066</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376-2023</t>
        </is>
      </c>
      <c r="B59" s="1" t="n">
        <v>44929</v>
      </c>
      <c r="C59" s="1" t="n">
        <v>46066</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46066</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46066</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3995-2025</t>
        </is>
      </c>
      <c r="B62" s="1" t="n">
        <v>45684</v>
      </c>
      <c r="C62" s="1" t="n">
        <v>46066</v>
      </c>
      <c r="D62" t="inlineStr">
        <is>
          <t>JÄMTLANDS LÄN</t>
        </is>
      </c>
      <c r="E62" t="inlineStr">
        <is>
          <t>ÖSTERSUND</t>
        </is>
      </c>
      <c r="G62" t="n">
        <v>6.5</v>
      </c>
      <c r="H62" t="n">
        <v>1</v>
      </c>
      <c r="I62" t="n">
        <v>0</v>
      </c>
      <c r="J62" t="n">
        <v>5</v>
      </c>
      <c r="K62" t="n">
        <v>1</v>
      </c>
      <c r="L62" t="n">
        <v>0</v>
      </c>
      <c r="M62" t="n">
        <v>0</v>
      </c>
      <c r="N62" t="n">
        <v>0</v>
      </c>
      <c r="O62" t="n">
        <v>6</v>
      </c>
      <c r="P62" t="n">
        <v>1</v>
      </c>
      <c r="Q62" t="n">
        <v>6</v>
      </c>
      <c r="R62" s="2" t="inlineStr">
        <is>
          <t>Rynkskinn
Gränsticka
Rosenticka
Tretåig hackspett
Ullticka
Vedtrappmossa</t>
        </is>
      </c>
      <c r="S62">
        <f>HYPERLINK("https://klasma.github.io/Logging_2380/artfynd/A 3995-2025 artfynd.xlsx", "A 3995-2025")</f>
        <v/>
      </c>
      <c r="T62">
        <f>HYPERLINK("https://klasma.github.io/Logging_2380/kartor/A 3995-2025 karta.png", "A 3995-2025")</f>
        <v/>
      </c>
      <c r="V62">
        <f>HYPERLINK("https://klasma.github.io/Logging_2380/klagomål/A 3995-2025 FSC-klagomål.docx", "A 3995-2025")</f>
        <v/>
      </c>
      <c r="W62">
        <f>HYPERLINK("https://klasma.github.io/Logging_2380/klagomålsmail/A 3995-2025 FSC-klagomål mail.docx", "A 3995-2025")</f>
        <v/>
      </c>
      <c r="X62">
        <f>HYPERLINK("https://klasma.github.io/Logging_2380/tillsyn/A 3995-2025 tillsynsbegäran.docx", "A 3995-2025")</f>
        <v/>
      </c>
      <c r="Y62">
        <f>HYPERLINK("https://klasma.github.io/Logging_2380/tillsynsmail/A 3995-2025 tillsynsbegäran mail.docx", "A 3995-2025")</f>
        <v/>
      </c>
      <c r="Z62">
        <f>HYPERLINK("https://klasma.github.io/Logging_2380/fåglar/A 3995-2025 prioriterade fågelarter.docx", "A 3995-2025")</f>
        <v/>
      </c>
    </row>
    <row r="63" ht="15" customHeight="1">
      <c r="A63" t="inlineStr">
        <is>
          <t>A 40815-2025</t>
        </is>
      </c>
      <c r="B63" s="1" t="n">
        <v>45897</v>
      </c>
      <c r="C63" s="1" t="n">
        <v>46066</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47392-2022</t>
        </is>
      </c>
      <c r="B64" s="1" t="n">
        <v>44851</v>
      </c>
      <c r="C64" s="1" t="n">
        <v>46066</v>
      </c>
      <c r="D64" t="inlineStr">
        <is>
          <t>JÄMTLANDS LÄN</t>
        </is>
      </c>
      <c r="E64" t="inlineStr">
        <is>
          <t>ÖSTERSUND</t>
        </is>
      </c>
      <c r="G64" t="n">
        <v>1.6</v>
      </c>
      <c r="H64" t="n">
        <v>4</v>
      </c>
      <c r="I64" t="n">
        <v>3</v>
      </c>
      <c r="J64" t="n">
        <v>1</v>
      </c>
      <c r="K64" t="n">
        <v>1</v>
      </c>
      <c r="L64" t="n">
        <v>0</v>
      </c>
      <c r="M64" t="n">
        <v>0</v>
      </c>
      <c r="N64" t="n">
        <v>0</v>
      </c>
      <c r="O64" t="n">
        <v>2</v>
      </c>
      <c r="P64" t="n">
        <v>1</v>
      </c>
      <c r="Q64" t="n">
        <v>6</v>
      </c>
      <c r="R64" s="2" t="inlineStr">
        <is>
          <t>Knärot
Garnlav
Guckusko
Plattlummer
Trådfräken
Revlummer</t>
        </is>
      </c>
      <c r="S64">
        <f>HYPERLINK("https://klasma.github.io/Logging_2380/artfynd/A 47392-2022 artfynd.xlsx", "A 47392-2022")</f>
        <v/>
      </c>
      <c r="T64">
        <f>HYPERLINK("https://klasma.github.io/Logging_2380/kartor/A 47392-2022 karta.png", "A 47392-2022")</f>
        <v/>
      </c>
      <c r="U64">
        <f>HYPERLINK("https://klasma.github.io/Logging_2380/knärot/A 47392-2022 karta knärot.png", "A 47392-2022")</f>
        <v/>
      </c>
      <c r="V64">
        <f>HYPERLINK("https://klasma.github.io/Logging_2380/klagomål/A 47392-2022 FSC-klagomål.docx", "A 47392-2022")</f>
        <v/>
      </c>
      <c r="W64">
        <f>HYPERLINK("https://klasma.github.io/Logging_2380/klagomålsmail/A 47392-2022 FSC-klagomål mail.docx", "A 47392-2022")</f>
        <v/>
      </c>
      <c r="X64">
        <f>HYPERLINK("https://klasma.github.io/Logging_2380/tillsyn/A 47392-2022 tillsynsbegäran.docx", "A 47392-2022")</f>
        <v/>
      </c>
      <c r="Y64">
        <f>HYPERLINK("https://klasma.github.io/Logging_2380/tillsynsmail/A 47392-2022 tillsynsbegäran mail.docx", "A 47392-2022")</f>
        <v/>
      </c>
    </row>
    <row r="65" ht="15" customHeight="1">
      <c r="A65" t="inlineStr">
        <is>
          <t>A 62696-2025</t>
        </is>
      </c>
      <c r="B65" s="1" t="n">
        <v>46008.48708333333</v>
      </c>
      <c r="C65" s="1" t="n">
        <v>46066</v>
      </c>
      <c r="D65" t="inlineStr">
        <is>
          <t>JÄMTLANDS LÄN</t>
        </is>
      </c>
      <c r="E65" t="inlineStr">
        <is>
          <t>ÖSTERSUND</t>
        </is>
      </c>
      <c r="G65" t="n">
        <v>11.3</v>
      </c>
      <c r="H65" t="n">
        <v>3</v>
      </c>
      <c r="I65" t="n">
        <v>1</v>
      </c>
      <c r="J65" t="n">
        <v>4</v>
      </c>
      <c r="K65" t="n">
        <v>0</v>
      </c>
      <c r="L65" t="n">
        <v>0</v>
      </c>
      <c r="M65" t="n">
        <v>0</v>
      </c>
      <c r="N65" t="n">
        <v>0</v>
      </c>
      <c r="O65" t="n">
        <v>4</v>
      </c>
      <c r="P65" t="n">
        <v>0</v>
      </c>
      <c r="Q65" t="n">
        <v>6</v>
      </c>
      <c r="R65" s="2" t="inlineStr">
        <is>
          <t>Garnlav
Spillkråka
Tretåig hackspett
Ullticka
Stuplav
Revlummer</t>
        </is>
      </c>
      <c r="S65">
        <f>HYPERLINK("https://klasma.github.io/Logging_2380/artfynd/A 62696-2025 artfynd.xlsx", "A 62696-2025")</f>
        <v/>
      </c>
      <c r="T65">
        <f>HYPERLINK("https://klasma.github.io/Logging_2380/kartor/A 62696-2025 karta.png", "A 62696-2025")</f>
        <v/>
      </c>
      <c r="V65">
        <f>HYPERLINK("https://klasma.github.io/Logging_2380/klagomål/A 62696-2025 FSC-klagomål.docx", "A 62696-2025")</f>
        <v/>
      </c>
      <c r="W65">
        <f>HYPERLINK("https://klasma.github.io/Logging_2380/klagomålsmail/A 62696-2025 FSC-klagomål mail.docx", "A 62696-2025")</f>
        <v/>
      </c>
      <c r="X65">
        <f>HYPERLINK("https://klasma.github.io/Logging_2380/tillsyn/A 62696-2025 tillsynsbegäran.docx", "A 62696-2025")</f>
        <v/>
      </c>
      <c r="Y65">
        <f>HYPERLINK("https://klasma.github.io/Logging_2380/tillsynsmail/A 62696-2025 tillsynsbegäran mail.docx", "A 62696-2025")</f>
        <v/>
      </c>
      <c r="Z65">
        <f>HYPERLINK("https://klasma.github.io/Logging_2380/fåglar/A 62696-2025 prioriterade fågelarter.docx", "A 62696-2025")</f>
        <v/>
      </c>
    </row>
    <row r="66" ht="15" customHeight="1">
      <c r="A66" t="inlineStr">
        <is>
          <t>A 63201-2025</t>
        </is>
      </c>
      <c r="B66" s="1" t="n">
        <v>46010.46366898148</v>
      </c>
      <c r="C66" s="1" t="n">
        <v>46066</v>
      </c>
      <c r="D66" t="inlineStr">
        <is>
          <t>JÄMTLANDS LÄN</t>
        </is>
      </c>
      <c r="E66" t="inlineStr">
        <is>
          <t>ÖSTERSUND</t>
        </is>
      </c>
      <c r="G66" t="n">
        <v>5.8</v>
      </c>
      <c r="H66" t="n">
        <v>5</v>
      </c>
      <c r="I66" t="n">
        <v>1</v>
      </c>
      <c r="J66" t="n">
        <v>2</v>
      </c>
      <c r="K66" t="n">
        <v>1</v>
      </c>
      <c r="L66" t="n">
        <v>0</v>
      </c>
      <c r="M66" t="n">
        <v>0</v>
      </c>
      <c r="N66" t="n">
        <v>0</v>
      </c>
      <c r="O66" t="n">
        <v>3</v>
      </c>
      <c r="P66" t="n">
        <v>1</v>
      </c>
      <c r="Q66" t="n">
        <v>6</v>
      </c>
      <c r="R66" s="2" t="inlineStr">
        <is>
          <t>Knärot
Spillkråka
Tretåig hackspett
Kransrams
Lavskrika
Revlummer</t>
        </is>
      </c>
      <c r="S66">
        <f>HYPERLINK("https://klasma.github.io/Logging_2380/artfynd/A 63201-2025 artfynd.xlsx", "A 63201-2025")</f>
        <v/>
      </c>
      <c r="T66">
        <f>HYPERLINK("https://klasma.github.io/Logging_2380/kartor/A 63201-2025 karta.png", "A 63201-2025")</f>
        <v/>
      </c>
      <c r="U66">
        <f>HYPERLINK("https://klasma.github.io/Logging_2380/knärot/A 63201-2025 karta knärot.png", "A 63201-2025")</f>
        <v/>
      </c>
      <c r="V66">
        <f>HYPERLINK("https://klasma.github.io/Logging_2380/klagomål/A 63201-2025 FSC-klagomål.docx", "A 63201-2025")</f>
        <v/>
      </c>
      <c r="W66">
        <f>HYPERLINK("https://klasma.github.io/Logging_2380/klagomålsmail/A 63201-2025 FSC-klagomål mail.docx", "A 63201-2025")</f>
        <v/>
      </c>
      <c r="X66">
        <f>HYPERLINK("https://klasma.github.io/Logging_2380/tillsyn/A 63201-2025 tillsynsbegäran.docx", "A 63201-2025")</f>
        <v/>
      </c>
      <c r="Y66">
        <f>HYPERLINK("https://klasma.github.io/Logging_2380/tillsynsmail/A 63201-2025 tillsynsbegäran mail.docx", "A 63201-2025")</f>
        <v/>
      </c>
      <c r="Z66">
        <f>HYPERLINK("https://klasma.github.io/Logging_2380/fåglar/A 63201-2025 prioriterade fågelarter.docx", "A 63201-2025")</f>
        <v/>
      </c>
    </row>
    <row r="67" ht="15" customHeight="1">
      <c r="A67" t="inlineStr">
        <is>
          <t>A 61212-2025</t>
        </is>
      </c>
      <c r="B67" s="1" t="n">
        <v>46000.61640046296</v>
      </c>
      <c r="C67" s="1" t="n">
        <v>46066</v>
      </c>
      <c r="D67" t="inlineStr">
        <is>
          <t>JÄMTLANDS LÄN</t>
        </is>
      </c>
      <c r="E67" t="inlineStr">
        <is>
          <t>ÖSTERSUND</t>
        </is>
      </c>
      <c r="G67" t="n">
        <v>7.8</v>
      </c>
      <c r="H67" t="n">
        <v>3</v>
      </c>
      <c r="I67" t="n">
        <v>0</v>
      </c>
      <c r="J67" t="n">
        <v>5</v>
      </c>
      <c r="K67" t="n">
        <v>1</v>
      </c>
      <c r="L67" t="n">
        <v>0</v>
      </c>
      <c r="M67" t="n">
        <v>0</v>
      </c>
      <c r="N67" t="n">
        <v>0</v>
      </c>
      <c r="O67" t="n">
        <v>6</v>
      </c>
      <c r="P67" t="n">
        <v>1</v>
      </c>
      <c r="Q67" t="n">
        <v>6</v>
      </c>
      <c r="R67" s="2" t="inlineStr">
        <is>
          <t>Knärot
Granticka
Harticka
Spillkråka
Talltita
Ullticka</t>
        </is>
      </c>
      <c r="S67">
        <f>HYPERLINK("https://klasma.github.io/Logging_2380/artfynd/A 61212-2025 artfynd.xlsx", "A 61212-2025")</f>
        <v/>
      </c>
      <c r="T67">
        <f>HYPERLINK("https://klasma.github.io/Logging_2380/kartor/A 61212-2025 karta.png", "A 61212-2025")</f>
        <v/>
      </c>
      <c r="U67">
        <f>HYPERLINK("https://klasma.github.io/Logging_2380/knärot/A 61212-2025 karta knärot.png", "A 61212-2025")</f>
        <v/>
      </c>
      <c r="V67">
        <f>HYPERLINK("https://klasma.github.io/Logging_2380/klagomål/A 61212-2025 FSC-klagomål.docx", "A 61212-2025")</f>
        <v/>
      </c>
      <c r="W67">
        <f>HYPERLINK("https://klasma.github.io/Logging_2380/klagomålsmail/A 61212-2025 FSC-klagomål mail.docx", "A 61212-2025")</f>
        <v/>
      </c>
      <c r="X67">
        <f>HYPERLINK("https://klasma.github.io/Logging_2380/tillsyn/A 61212-2025 tillsynsbegäran.docx", "A 61212-2025")</f>
        <v/>
      </c>
      <c r="Y67">
        <f>HYPERLINK("https://klasma.github.io/Logging_2380/tillsynsmail/A 61212-2025 tillsynsbegäran mail.docx", "A 61212-2025")</f>
        <v/>
      </c>
      <c r="Z67">
        <f>HYPERLINK("https://klasma.github.io/Logging_2380/fåglar/A 61212-2025 prioriterade fågelarter.docx", "A 61212-2025")</f>
        <v/>
      </c>
    </row>
    <row r="68" ht="15" customHeight="1">
      <c r="A68" t="inlineStr">
        <is>
          <t>A 12712-2021</t>
        </is>
      </c>
      <c r="B68" s="1" t="n">
        <v>44270.58950231481</v>
      </c>
      <c r="C68" s="1" t="n">
        <v>46066</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61153-2024</t>
        </is>
      </c>
      <c r="B69" s="1" t="n">
        <v>45645</v>
      </c>
      <c r="C69" s="1" t="n">
        <v>46066</v>
      </c>
      <c r="D69" t="inlineStr">
        <is>
          <t>JÄMTLANDS LÄN</t>
        </is>
      </c>
      <c r="E69" t="inlineStr">
        <is>
          <t>ÖSTERSUND</t>
        </is>
      </c>
      <c r="G69" t="n">
        <v>8.699999999999999</v>
      </c>
      <c r="H69" t="n">
        <v>5</v>
      </c>
      <c r="I69" t="n">
        <v>0</v>
      </c>
      <c r="J69" t="n">
        <v>4</v>
      </c>
      <c r="K69" t="n">
        <v>1</v>
      </c>
      <c r="L69" t="n">
        <v>0</v>
      </c>
      <c r="M69" t="n">
        <v>0</v>
      </c>
      <c r="N69" t="n">
        <v>0</v>
      </c>
      <c r="O69" t="n">
        <v>5</v>
      </c>
      <c r="P69" t="n">
        <v>1</v>
      </c>
      <c r="Q69" t="n">
        <v>6</v>
      </c>
      <c r="R69" s="2" t="inlineStr">
        <is>
          <t>Knärot
Garnlav
Mindre hackspett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27577-2022</t>
        </is>
      </c>
      <c r="B70" s="1" t="n">
        <v>44742</v>
      </c>
      <c r="C70" s="1" t="n">
        <v>46066</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46066</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46066</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54731-2024</t>
        </is>
      </c>
      <c r="B73" s="1" t="n">
        <v>45618.43853009259</v>
      </c>
      <c r="C73" s="1" t="n">
        <v>46066</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56934-2025</t>
        </is>
      </c>
      <c r="B74" s="1" t="n">
        <v>45978.61351851852</v>
      </c>
      <c r="C74" s="1" t="n">
        <v>46066</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7717-2024</t>
        </is>
      </c>
      <c r="B75" s="1" t="n">
        <v>45349</v>
      </c>
      <c r="C75" s="1" t="n">
        <v>46066</v>
      </c>
      <c r="D75" t="inlineStr">
        <is>
          <t>JÄMTLANDS LÄN</t>
        </is>
      </c>
      <c r="E75" t="inlineStr">
        <is>
          <t>ÖSTERSUND</t>
        </is>
      </c>
      <c r="F75" t="inlineStr">
        <is>
          <t>Övriga Aktiebolag</t>
        </is>
      </c>
      <c r="G75" t="n">
        <v>2.5</v>
      </c>
      <c r="H75" t="n">
        <v>1</v>
      </c>
      <c r="I75" t="n">
        <v>1</v>
      </c>
      <c r="J75" t="n">
        <v>4</v>
      </c>
      <c r="K75" t="n">
        <v>0</v>
      </c>
      <c r="L75" t="n">
        <v>0</v>
      </c>
      <c r="M75" t="n">
        <v>0</v>
      </c>
      <c r="N75" t="n">
        <v>0</v>
      </c>
      <c r="O75" t="n">
        <v>4</v>
      </c>
      <c r="P75" t="n">
        <v>0</v>
      </c>
      <c r="Q75" t="n">
        <v>5</v>
      </c>
      <c r="R75" s="2" t="inlineStr">
        <is>
          <t>Garnlav
Lunglav
Skrovellav
Talltita
Stuplav</t>
        </is>
      </c>
      <c r="S75">
        <f>HYPERLINK("https://klasma.github.io/Logging_2380/artfynd/A 7717-2024 artfynd.xlsx", "A 7717-2024")</f>
        <v/>
      </c>
      <c r="T75">
        <f>HYPERLINK("https://klasma.github.io/Logging_2380/kartor/A 7717-2024 karta.png", "A 7717-2024")</f>
        <v/>
      </c>
      <c r="V75">
        <f>HYPERLINK("https://klasma.github.io/Logging_2380/klagomål/A 7717-2024 FSC-klagomål.docx", "A 7717-2024")</f>
        <v/>
      </c>
      <c r="W75">
        <f>HYPERLINK("https://klasma.github.io/Logging_2380/klagomålsmail/A 7717-2024 FSC-klagomål mail.docx", "A 7717-2024")</f>
        <v/>
      </c>
      <c r="X75">
        <f>HYPERLINK("https://klasma.github.io/Logging_2380/tillsyn/A 7717-2024 tillsynsbegäran.docx", "A 7717-2024")</f>
        <v/>
      </c>
      <c r="Y75">
        <f>HYPERLINK("https://klasma.github.io/Logging_2380/tillsynsmail/A 7717-2024 tillsynsbegäran mail.docx", "A 7717-2024")</f>
        <v/>
      </c>
      <c r="Z75">
        <f>HYPERLINK("https://klasma.github.io/Logging_2380/fåglar/A 7717-2024 prioriterade fågelarter.docx", "A 7717-2024")</f>
        <v/>
      </c>
    </row>
    <row r="76" ht="15" customHeight="1">
      <c r="A76" t="inlineStr">
        <is>
          <t>A 58372-2025</t>
        </is>
      </c>
      <c r="B76" s="1" t="n">
        <v>45985.53155092592</v>
      </c>
      <c r="C76" s="1" t="n">
        <v>46066</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10747-2024</t>
        </is>
      </c>
      <c r="B77" s="1" t="n">
        <v>45369</v>
      </c>
      <c r="C77" s="1" t="n">
        <v>46066</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38334-2023</t>
        </is>
      </c>
      <c r="B78" s="1" t="n">
        <v>45161</v>
      </c>
      <c r="C78" s="1" t="n">
        <v>46066</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56499-2025</t>
        </is>
      </c>
      <c r="B79" s="1" t="n">
        <v>45975.43427083334</v>
      </c>
      <c r="C79" s="1" t="n">
        <v>46066</v>
      </c>
      <c r="D79" t="inlineStr">
        <is>
          <t>JÄMTLANDS LÄN</t>
        </is>
      </c>
      <c r="E79" t="inlineStr">
        <is>
          <t>ÖSTERSUND</t>
        </is>
      </c>
      <c r="G79" t="n">
        <v>7.4</v>
      </c>
      <c r="H79" t="n">
        <v>2</v>
      </c>
      <c r="I79" t="n">
        <v>1</v>
      </c>
      <c r="J79" t="n">
        <v>3</v>
      </c>
      <c r="K79" t="n">
        <v>0</v>
      </c>
      <c r="L79" t="n">
        <v>0</v>
      </c>
      <c r="M79" t="n">
        <v>0</v>
      </c>
      <c r="N79" t="n">
        <v>0</v>
      </c>
      <c r="O79" t="n">
        <v>3</v>
      </c>
      <c r="P79" t="n">
        <v>0</v>
      </c>
      <c r="Q79" t="n">
        <v>5</v>
      </c>
      <c r="R79" s="2" t="inlineStr">
        <is>
          <t>Garnlav
Lunglav
Tretåig hackspett
Luddlav
Revlummer</t>
        </is>
      </c>
      <c r="S79">
        <f>HYPERLINK("https://klasma.github.io/Logging_2380/artfynd/A 56499-2025 artfynd.xlsx", "A 56499-2025")</f>
        <v/>
      </c>
      <c r="T79">
        <f>HYPERLINK("https://klasma.github.io/Logging_2380/kartor/A 56499-2025 karta.png", "A 56499-2025")</f>
        <v/>
      </c>
      <c r="V79">
        <f>HYPERLINK("https://klasma.github.io/Logging_2380/klagomål/A 56499-2025 FSC-klagomål.docx", "A 56499-2025")</f>
        <v/>
      </c>
      <c r="W79">
        <f>HYPERLINK("https://klasma.github.io/Logging_2380/klagomålsmail/A 56499-2025 FSC-klagomål mail.docx", "A 56499-2025")</f>
        <v/>
      </c>
      <c r="X79">
        <f>HYPERLINK("https://klasma.github.io/Logging_2380/tillsyn/A 56499-2025 tillsynsbegäran.docx", "A 56499-2025")</f>
        <v/>
      </c>
      <c r="Y79">
        <f>HYPERLINK("https://klasma.github.io/Logging_2380/tillsynsmail/A 56499-2025 tillsynsbegäran mail.docx", "A 56499-2025")</f>
        <v/>
      </c>
      <c r="Z79">
        <f>HYPERLINK("https://klasma.github.io/Logging_2380/fåglar/A 56499-2025 prioriterade fågelarter.docx", "A 56499-2025")</f>
        <v/>
      </c>
    </row>
    <row r="80" ht="15" customHeight="1">
      <c r="A80" t="inlineStr">
        <is>
          <t>A 62060-2025</t>
        </is>
      </c>
      <c r="B80" s="1" t="n">
        <v>46006.34435185185</v>
      </c>
      <c r="C80" s="1" t="n">
        <v>46066</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45979-2023</t>
        </is>
      </c>
      <c r="B81" s="1" t="n">
        <v>45189</v>
      </c>
      <c r="C81" s="1" t="n">
        <v>46066</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Dactylorhiza incarnata subsp. incarnata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39941-2024</t>
        </is>
      </c>
      <c r="B82" s="1" t="n">
        <v>45553</v>
      </c>
      <c r="C82" s="1" t="n">
        <v>46066</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55344-2023</t>
        </is>
      </c>
      <c r="B83" s="1" t="n">
        <v>45237</v>
      </c>
      <c r="C83" s="1" t="n">
        <v>46066</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25369-2024</t>
        </is>
      </c>
      <c r="B84" s="1" t="n">
        <v>45462.95982638889</v>
      </c>
      <c r="C84" s="1" t="n">
        <v>46066</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2962-2023</t>
        </is>
      </c>
      <c r="B85" s="1" t="n">
        <v>44945</v>
      </c>
      <c r="C85" s="1" t="n">
        <v>46066</v>
      </c>
      <c r="D85" t="inlineStr">
        <is>
          <t>JÄMTLANDS LÄN</t>
        </is>
      </c>
      <c r="E85" t="inlineStr">
        <is>
          <t>ÖSTERSUND</t>
        </is>
      </c>
      <c r="F85" t="inlineStr">
        <is>
          <t>Övriga Aktiebolag</t>
        </is>
      </c>
      <c r="G85" t="n">
        <v>14.4</v>
      </c>
      <c r="H85" t="n">
        <v>2</v>
      </c>
      <c r="I85" t="n">
        <v>0</v>
      </c>
      <c r="J85" t="n">
        <v>3</v>
      </c>
      <c r="K85" t="n">
        <v>0</v>
      </c>
      <c r="L85" t="n">
        <v>0</v>
      </c>
      <c r="M85" t="n">
        <v>0</v>
      </c>
      <c r="N85" t="n">
        <v>0</v>
      </c>
      <c r="O85" t="n">
        <v>3</v>
      </c>
      <c r="P85" t="n">
        <v>0</v>
      </c>
      <c r="Q85" t="n">
        <v>4</v>
      </c>
      <c r="R85" s="2" t="inlineStr">
        <is>
          <t>Garnlav
Lunglav
Tretåig hackspett
Revlummer</t>
        </is>
      </c>
      <c r="S85">
        <f>HYPERLINK("https://klasma.github.io/Logging_2380/artfynd/A 2962-2023 artfynd.xlsx", "A 2962-2023")</f>
        <v/>
      </c>
      <c r="T85">
        <f>HYPERLINK("https://klasma.github.io/Logging_2380/kartor/A 2962-2023 karta.png", "A 2962-2023")</f>
        <v/>
      </c>
      <c r="V85">
        <f>HYPERLINK("https://klasma.github.io/Logging_2380/klagomål/A 2962-2023 FSC-klagomål.docx", "A 2962-2023")</f>
        <v/>
      </c>
      <c r="W85">
        <f>HYPERLINK("https://klasma.github.io/Logging_2380/klagomålsmail/A 2962-2023 FSC-klagomål mail.docx", "A 2962-2023")</f>
        <v/>
      </c>
      <c r="X85">
        <f>HYPERLINK("https://klasma.github.io/Logging_2380/tillsyn/A 2962-2023 tillsynsbegäran.docx", "A 2962-2023")</f>
        <v/>
      </c>
      <c r="Y85">
        <f>HYPERLINK("https://klasma.github.io/Logging_2380/tillsynsmail/A 2962-2023 tillsynsbegäran mail.docx", "A 2962-2023")</f>
        <v/>
      </c>
      <c r="Z85">
        <f>HYPERLINK("https://klasma.github.io/Logging_2380/fåglar/A 2962-2023 prioriterade fågelarter.docx", "A 2962-2023")</f>
        <v/>
      </c>
    </row>
    <row r="86" ht="15" customHeight="1">
      <c r="A86" t="inlineStr">
        <is>
          <t>A 7698-2024</t>
        </is>
      </c>
      <c r="B86" s="1" t="n">
        <v>45349</v>
      </c>
      <c r="C86" s="1" t="n">
        <v>46066</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41493-2025</t>
        </is>
      </c>
      <c r="B87" s="1" t="n">
        <v>45901.49171296296</v>
      </c>
      <c r="C87" s="1" t="n">
        <v>46066</v>
      </c>
      <c r="D87" t="inlineStr">
        <is>
          <t>JÄMTLANDS LÄN</t>
        </is>
      </c>
      <c r="E87" t="inlineStr">
        <is>
          <t>ÖSTERSUND</t>
        </is>
      </c>
      <c r="F87" t="inlineStr">
        <is>
          <t>Övriga Aktiebolag</t>
        </is>
      </c>
      <c r="G87" t="n">
        <v>0.8</v>
      </c>
      <c r="H87" t="n">
        <v>1</v>
      </c>
      <c r="I87" t="n">
        <v>1</v>
      </c>
      <c r="J87" t="n">
        <v>2</v>
      </c>
      <c r="K87" t="n">
        <v>0</v>
      </c>
      <c r="L87" t="n">
        <v>0</v>
      </c>
      <c r="M87" t="n">
        <v>0</v>
      </c>
      <c r="N87" t="n">
        <v>0</v>
      </c>
      <c r="O87" t="n">
        <v>2</v>
      </c>
      <c r="P87" t="n">
        <v>0</v>
      </c>
      <c r="Q87" t="n">
        <v>4</v>
      </c>
      <c r="R87" s="2" t="inlineStr">
        <is>
          <t>Granticka
Harticka
Trådticka
Revlummer</t>
        </is>
      </c>
      <c r="S87">
        <f>HYPERLINK("https://klasma.github.io/Logging_2380/artfynd/A 41493-2025 artfynd.xlsx", "A 41493-2025")</f>
        <v/>
      </c>
      <c r="T87">
        <f>HYPERLINK("https://klasma.github.io/Logging_2380/kartor/A 41493-2025 karta.png", "A 41493-2025")</f>
        <v/>
      </c>
      <c r="V87">
        <f>HYPERLINK("https://klasma.github.io/Logging_2380/klagomål/A 41493-2025 FSC-klagomål.docx", "A 41493-2025")</f>
        <v/>
      </c>
      <c r="W87">
        <f>HYPERLINK("https://klasma.github.io/Logging_2380/klagomålsmail/A 41493-2025 FSC-klagomål mail.docx", "A 41493-2025")</f>
        <v/>
      </c>
      <c r="X87">
        <f>HYPERLINK("https://klasma.github.io/Logging_2380/tillsyn/A 41493-2025 tillsynsbegäran.docx", "A 41493-2025")</f>
        <v/>
      </c>
      <c r="Y87">
        <f>HYPERLINK("https://klasma.github.io/Logging_2380/tillsynsmail/A 41493-2025 tillsynsbegäran mail.docx", "A 41493-2025")</f>
        <v/>
      </c>
    </row>
    <row r="88" ht="15" customHeight="1">
      <c r="A88" t="inlineStr">
        <is>
          <t>A 31127-2025</t>
        </is>
      </c>
      <c r="B88" s="1" t="n">
        <v>45831</v>
      </c>
      <c r="C88" s="1" t="n">
        <v>46066</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46066</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59291-2022</t>
        </is>
      </c>
      <c r="B90" s="1" t="n">
        <v>44904</v>
      </c>
      <c r="C90" s="1" t="n">
        <v>46066</v>
      </c>
      <c r="D90" t="inlineStr">
        <is>
          <t>JÄMTLANDS LÄN</t>
        </is>
      </c>
      <c r="E90" t="inlineStr">
        <is>
          <t>ÖSTERSUND</t>
        </is>
      </c>
      <c r="G90" t="n">
        <v>9.199999999999999</v>
      </c>
      <c r="H90" t="n">
        <v>1</v>
      </c>
      <c r="I90" t="n">
        <v>0</v>
      </c>
      <c r="J90" t="n">
        <v>3</v>
      </c>
      <c r="K90" t="n">
        <v>0</v>
      </c>
      <c r="L90" t="n">
        <v>0</v>
      </c>
      <c r="M90" t="n">
        <v>0</v>
      </c>
      <c r="N90" t="n">
        <v>0</v>
      </c>
      <c r="O90" t="n">
        <v>3</v>
      </c>
      <c r="P90" t="n">
        <v>0</v>
      </c>
      <c r="Q90" t="n">
        <v>4</v>
      </c>
      <c r="R90" s="2" t="inlineStr">
        <is>
          <t>Garnlav
Lunglav
Skrovellav
Revlummer</t>
        </is>
      </c>
      <c r="S90">
        <f>HYPERLINK("https://klasma.github.io/Logging_2380/artfynd/A 59291-2022 artfynd.xlsx", "A 59291-2022")</f>
        <v/>
      </c>
      <c r="T90">
        <f>HYPERLINK("https://klasma.github.io/Logging_2380/kartor/A 59291-2022 karta.png", "A 59291-2022")</f>
        <v/>
      </c>
      <c r="V90">
        <f>HYPERLINK("https://klasma.github.io/Logging_2380/klagomål/A 59291-2022 FSC-klagomål.docx", "A 59291-2022")</f>
        <v/>
      </c>
      <c r="W90">
        <f>HYPERLINK("https://klasma.github.io/Logging_2380/klagomålsmail/A 59291-2022 FSC-klagomål mail.docx", "A 59291-2022")</f>
        <v/>
      </c>
      <c r="X90">
        <f>HYPERLINK("https://klasma.github.io/Logging_2380/tillsyn/A 59291-2022 tillsynsbegäran.docx", "A 59291-2022")</f>
        <v/>
      </c>
      <c r="Y90">
        <f>HYPERLINK("https://klasma.github.io/Logging_2380/tillsynsmail/A 59291-2022 tillsynsbegäran mail.docx", "A 59291-2022")</f>
        <v/>
      </c>
    </row>
    <row r="91" ht="15" customHeight="1">
      <c r="A91" t="inlineStr">
        <is>
          <t>A 55258-2025</t>
        </is>
      </c>
      <c r="B91" s="1" t="n">
        <v>45968.6444212963</v>
      </c>
      <c r="C91" s="1" t="n">
        <v>46066</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60580-2024</t>
        </is>
      </c>
      <c r="B92" s="1" t="n">
        <v>45644</v>
      </c>
      <c r="C92" s="1" t="n">
        <v>46066</v>
      </c>
      <c r="D92" t="inlineStr">
        <is>
          <t>JÄMTLANDS LÄN</t>
        </is>
      </c>
      <c r="E92" t="inlineStr">
        <is>
          <t>ÖSTERSUND</t>
        </is>
      </c>
      <c r="G92" t="n">
        <v>13.5</v>
      </c>
      <c r="H92" t="n">
        <v>2</v>
      </c>
      <c r="I92" t="n">
        <v>0</v>
      </c>
      <c r="J92" t="n">
        <v>4</v>
      </c>
      <c r="K92" t="n">
        <v>0</v>
      </c>
      <c r="L92" t="n">
        <v>0</v>
      </c>
      <c r="M92" t="n">
        <v>0</v>
      </c>
      <c r="N92" t="n">
        <v>0</v>
      </c>
      <c r="O92" t="n">
        <v>4</v>
      </c>
      <c r="P92" t="n">
        <v>0</v>
      </c>
      <c r="Q92" t="n">
        <v>4</v>
      </c>
      <c r="R92" s="2" t="inlineStr">
        <is>
          <t>Granticka
Lunglav
Spillkråka
Tretåig hackspett</t>
        </is>
      </c>
      <c r="S92">
        <f>HYPERLINK("https://klasma.github.io/Logging_2380/artfynd/A 60580-2024 artfynd.xlsx", "A 60580-2024")</f>
        <v/>
      </c>
      <c r="T92">
        <f>HYPERLINK("https://klasma.github.io/Logging_2380/kartor/A 60580-2024 karta.png", "A 60580-2024")</f>
        <v/>
      </c>
      <c r="V92">
        <f>HYPERLINK("https://klasma.github.io/Logging_2380/klagomål/A 60580-2024 FSC-klagomål.docx", "A 60580-2024")</f>
        <v/>
      </c>
      <c r="W92">
        <f>HYPERLINK("https://klasma.github.io/Logging_2380/klagomålsmail/A 60580-2024 FSC-klagomål mail.docx", "A 60580-2024")</f>
        <v/>
      </c>
      <c r="X92">
        <f>HYPERLINK("https://klasma.github.io/Logging_2380/tillsyn/A 60580-2024 tillsynsbegäran.docx", "A 60580-2024")</f>
        <v/>
      </c>
      <c r="Y92">
        <f>HYPERLINK("https://klasma.github.io/Logging_2380/tillsynsmail/A 60580-2024 tillsynsbegäran mail.docx", "A 60580-2024")</f>
        <v/>
      </c>
      <c r="Z92">
        <f>HYPERLINK("https://klasma.github.io/Logging_2380/fåglar/A 60580-2024 prioriterade fågelarter.docx", "A 60580-2024")</f>
        <v/>
      </c>
    </row>
    <row r="93" ht="15" customHeight="1">
      <c r="A93" t="inlineStr">
        <is>
          <t>A 29135-2022</t>
        </is>
      </c>
      <c r="B93" s="1" t="n">
        <v>44750</v>
      </c>
      <c r="C93" s="1" t="n">
        <v>46066</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57711-2025</t>
        </is>
      </c>
      <c r="B94" s="1" t="n">
        <v>45981.47217592593</v>
      </c>
      <c r="C94" s="1" t="n">
        <v>46066</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38335-2023</t>
        </is>
      </c>
      <c r="B95" s="1" t="n">
        <v>45161</v>
      </c>
      <c r="C95" s="1" t="n">
        <v>46066</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5171-2026</t>
        </is>
      </c>
      <c r="B96" s="1" t="n">
        <v>46049.64416666667</v>
      </c>
      <c r="C96" s="1" t="n">
        <v>46066</v>
      </c>
      <c r="D96" t="inlineStr">
        <is>
          <t>JÄMTLANDS LÄN</t>
        </is>
      </c>
      <c r="E96" t="inlineStr">
        <is>
          <t>ÖSTERSUND</t>
        </is>
      </c>
      <c r="G96" t="n">
        <v>4.1</v>
      </c>
      <c r="H96" t="n">
        <v>1</v>
      </c>
      <c r="I96" t="n">
        <v>4</v>
      </c>
      <c r="J96" t="n">
        <v>0</v>
      </c>
      <c r="K96" t="n">
        <v>0</v>
      </c>
      <c r="L96" t="n">
        <v>0</v>
      </c>
      <c r="M96" t="n">
        <v>0</v>
      </c>
      <c r="N96" t="n">
        <v>0</v>
      </c>
      <c r="O96" t="n">
        <v>0</v>
      </c>
      <c r="P96" t="n">
        <v>0</v>
      </c>
      <c r="Q96" t="n">
        <v>4</v>
      </c>
      <c r="R96" s="2" t="inlineStr">
        <is>
          <t>Fjällig taggsvamp s.str.
Korallblylav
Korallrot
Stuplav</t>
        </is>
      </c>
      <c r="S96">
        <f>HYPERLINK("https://klasma.github.io/Logging_2380/artfynd/A 5171-2026 artfynd.xlsx", "A 5171-2026")</f>
        <v/>
      </c>
      <c r="T96">
        <f>HYPERLINK("https://klasma.github.io/Logging_2380/kartor/A 5171-2026 karta.png", "A 5171-2026")</f>
        <v/>
      </c>
      <c r="V96">
        <f>HYPERLINK("https://klasma.github.io/Logging_2380/klagomål/A 5171-2026 FSC-klagomål.docx", "A 5171-2026")</f>
        <v/>
      </c>
      <c r="W96">
        <f>HYPERLINK("https://klasma.github.io/Logging_2380/klagomålsmail/A 5171-2026 FSC-klagomål mail.docx", "A 5171-2026")</f>
        <v/>
      </c>
      <c r="X96">
        <f>HYPERLINK("https://klasma.github.io/Logging_2380/tillsyn/A 5171-2026 tillsynsbegäran.docx", "A 5171-2026")</f>
        <v/>
      </c>
      <c r="Y96">
        <f>HYPERLINK("https://klasma.github.io/Logging_2380/tillsynsmail/A 5171-2026 tillsynsbegäran mail.docx", "A 5171-2026")</f>
        <v/>
      </c>
    </row>
    <row r="97" ht="15" customHeight="1">
      <c r="A97" t="inlineStr">
        <is>
          <t>A 54421-2021</t>
        </is>
      </c>
      <c r="B97" s="1" t="n">
        <v>44473.43114583333</v>
      </c>
      <c r="C97" s="1" t="n">
        <v>46066</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50895-2024</t>
        </is>
      </c>
      <c r="B98" s="1" t="n">
        <v>45602</v>
      </c>
      <c r="C98" s="1" t="n">
        <v>46066</v>
      </c>
      <c r="D98" t="inlineStr">
        <is>
          <t>JÄMTLANDS LÄN</t>
        </is>
      </c>
      <c r="E98" t="inlineStr">
        <is>
          <t>ÖSTERSUND</t>
        </is>
      </c>
      <c r="F98" t="inlineStr">
        <is>
          <t>Kommuner</t>
        </is>
      </c>
      <c r="G98" t="n">
        <v>6</v>
      </c>
      <c r="H98" t="n">
        <v>2</v>
      </c>
      <c r="I98" t="n">
        <v>0</v>
      </c>
      <c r="J98" t="n">
        <v>2</v>
      </c>
      <c r="K98" t="n">
        <v>1</v>
      </c>
      <c r="L98" t="n">
        <v>0</v>
      </c>
      <c r="M98" t="n">
        <v>0</v>
      </c>
      <c r="N98" t="n">
        <v>0</v>
      </c>
      <c r="O98" t="n">
        <v>3</v>
      </c>
      <c r="P98" t="n">
        <v>1</v>
      </c>
      <c r="Q98" t="n">
        <v>3</v>
      </c>
      <c r="R98" s="2" t="inlineStr">
        <is>
          <t>Knärot
Garnlav
Tretåig hackspett</t>
        </is>
      </c>
      <c r="S98">
        <f>HYPERLINK("https://klasma.github.io/Logging_2380/artfynd/A 50895-2024 artfynd.xlsx", "A 50895-2024")</f>
        <v/>
      </c>
      <c r="T98">
        <f>HYPERLINK("https://klasma.github.io/Logging_2380/kartor/A 50895-2024 karta.png", "A 50895-2024")</f>
        <v/>
      </c>
      <c r="U98">
        <f>HYPERLINK("https://klasma.github.io/Logging_2380/knärot/A 50895-2024 karta knärot.png", "A 50895-2024")</f>
        <v/>
      </c>
      <c r="V98">
        <f>HYPERLINK("https://klasma.github.io/Logging_2380/klagomål/A 50895-2024 FSC-klagomål.docx", "A 50895-2024")</f>
        <v/>
      </c>
      <c r="W98">
        <f>HYPERLINK("https://klasma.github.io/Logging_2380/klagomålsmail/A 50895-2024 FSC-klagomål mail.docx", "A 50895-2024")</f>
        <v/>
      </c>
      <c r="X98">
        <f>HYPERLINK("https://klasma.github.io/Logging_2380/tillsyn/A 50895-2024 tillsynsbegäran.docx", "A 50895-2024")</f>
        <v/>
      </c>
      <c r="Y98">
        <f>HYPERLINK("https://klasma.github.io/Logging_2380/tillsynsmail/A 50895-2024 tillsynsbegäran mail.docx", "A 50895-2024")</f>
        <v/>
      </c>
      <c r="Z98">
        <f>HYPERLINK("https://klasma.github.io/Logging_2380/fåglar/A 50895-2024 prioriterade fågelarter.docx", "A 50895-2024")</f>
        <v/>
      </c>
    </row>
    <row r="99" ht="15" customHeight="1">
      <c r="A99" t="inlineStr">
        <is>
          <t>A 43981-2023</t>
        </is>
      </c>
      <c r="B99" s="1" t="n">
        <v>45187</v>
      </c>
      <c r="C99" s="1" t="n">
        <v>46066</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56647-2025</t>
        </is>
      </c>
      <c r="B100" s="1" t="n">
        <v>45975.63585648148</v>
      </c>
      <c r="C100" s="1" t="n">
        <v>46066</v>
      </c>
      <c r="D100" t="inlineStr">
        <is>
          <t>JÄMTLANDS LÄN</t>
        </is>
      </c>
      <c r="E100" t="inlineStr">
        <is>
          <t>ÖSTERSUND</t>
        </is>
      </c>
      <c r="G100" t="n">
        <v>12.1</v>
      </c>
      <c r="H100" t="n">
        <v>1</v>
      </c>
      <c r="I100" t="n">
        <v>0</v>
      </c>
      <c r="J100" t="n">
        <v>2</v>
      </c>
      <c r="K100" t="n">
        <v>1</v>
      </c>
      <c r="L100" t="n">
        <v>0</v>
      </c>
      <c r="M100" t="n">
        <v>0</v>
      </c>
      <c r="N100" t="n">
        <v>0</v>
      </c>
      <c r="O100" t="n">
        <v>3</v>
      </c>
      <c r="P100" t="n">
        <v>1</v>
      </c>
      <c r="Q100" t="n">
        <v>3</v>
      </c>
      <c r="R100" s="2" t="inlineStr">
        <is>
          <t>Rynkskinn
Garnlav
Tretåig hackspett</t>
        </is>
      </c>
      <c r="S100">
        <f>HYPERLINK("https://klasma.github.io/Logging_2380/artfynd/A 56647-2025 artfynd.xlsx", "A 56647-2025")</f>
        <v/>
      </c>
      <c r="T100">
        <f>HYPERLINK("https://klasma.github.io/Logging_2380/kartor/A 56647-2025 karta.png", "A 56647-2025")</f>
        <v/>
      </c>
      <c r="V100">
        <f>HYPERLINK("https://klasma.github.io/Logging_2380/klagomål/A 56647-2025 FSC-klagomål.docx", "A 56647-2025")</f>
        <v/>
      </c>
      <c r="W100">
        <f>HYPERLINK("https://klasma.github.io/Logging_2380/klagomålsmail/A 56647-2025 FSC-klagomål mail.docx", "A 56647-2025")</f>
        <v/>
      </c>
      <c r="X100">
        <f>HYPERLINK("https://klasma.github.io/Logging_2380/tillsyn/A 56647-2025 tillsynsbegäran.docx", "A 56647-2025")</f>
        <v/>
      </c>
      <c r="Y100">
        <f>HYPERLINK("https://klasma.github.io/Logging_2380/tillsynsmail/A 56647-2025 tillsynsbegäran mail.docx", "A 56647-2025")</f>
        <v/>
      </c>
      <c r="Z100">
        <f>HYPERLINK("https://klasma.github.io/Logging_2380/fåglar/A 56647-2025 prioriterade fågelarter.docx", "A 56647-2025")</f>
        <v/>
      </c>
    </row>
    <row r="101" ht="15" customHeight="1">
      <c r="A101" t="inlineStr">
        <is>
          <t>A 36742-2024</t>
        </is>
      </c>
      <c r="B101" s="1" t="n">
        <v>45538.33584490741</v>
      </c>
      <c r="C101" s="1" t="n">
        <v>46066</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3846-2024</t>
        </is>
      </c>
      <c r="B102" s="1" t="n">
        <v>45321</v>
      </c>
      <c r="C102" s="1" t="n">
        <v>46066</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36806-2025</t>
        </is>
      </c>
      <c r="B103" s="1" t="n">
        <v>45873.69988425926</v>
      </c>
      <c r="C103" s="1" t="n">
        <v>46066</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60565-2022</t>
        </is>
      </c>
      <c r="B104" s="1" t="n">
        <v>44904</v>
      </c>
      <c r="C104" s="1" t="n">
        <v>46066</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46705-2023</t>
        </is>
      </c>
      <c r="B105" s="1" t="n">
        <v>45198</v>
      </c>
      <c r="C105" s="1" t="n">
        <v>46066</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5100-2023</t>
        </is>
      </c>
      <c r="B106" s="1" t="n">
        <v>44956</v>
      </c>
      <c r="C106" s="1" t="n">
        <v>46066</v>
      </c>
      <c r="D106" t="inlineStr">
        <is>
          <t>JÄMTLANDS LÄN</t>
        </is>
      </c>
      <c r="E106" t="inlineStr">
        <is>
          <t>ÖSTERSUND</t>
        </is>
      </c>
      <c r="G106" t="n">
        <v>2.6</v>
      </c>
      <c r="H106" t="n">
        <v>0</v>
      </c>
      <c r="I106" t="n">
        <v>2</v>
      </c>
      <c r="J106" t="n">
        <v>0</v>
      </c>
      <c r="K106" t="n">
        <v>0</v>
      </c>
      <c r="L106" t="n">
        <v>1</v>
      </c>
      <c r="M106" t="n">
        <v>0</v>
      </c>
      <c r="N106" t="n">
        <v>0</v>
      </c>
      <c r="O106" t="n">
        <v>1</v>
      </c>
      <c r="P106" t="n">
        <v>1</v>
      </c>
      <c r="Q106" t="n">
        <v>3</v>
      </c>
      <c r="R106" s="2" t="inlineStr">
        <is>
          <t>Trolldruvemätare
Svart trolldruva
Tibast</t>
        </is>
      </c>
      <c r="S106">
        <f>HYPERLINK("https://klasma.github.io/Logging_2380/artfynd/A 5100-2023 artfynd.xlsx", "A 5100-2023")</f>
        <v/>
      </c>
      <c r="T106">
        <f>HYPERLINK("https://klasma.github.io/Logging_2380/kartor/A 5100-2023 karta.png", "A 5100-2023")</f>
        <v/>
      </c>
      <c r="V106">
        <f>HYPERLINK("https://klasma.github.io/Logging_2380/klagomål/A 5100-2023 FSC-klagomål.docx", "A 5100-2023")</f>
        <v/>
      </c>
      <c r="W106">
        <f>HYPERLINK("https://klasma.github.io/Logging_2380/klagomålsmail/A 5100-2023 FSC-klagomål mail.docx", "A 5100-2023")</f>
        <v/>
      </c>
      <c r="X106">
        <f>HYPERLINK("https://klasma.github.io/Logging_2380/tillsyn/A 5100-2023 tillsynsbegäran.docx", "A 5100-2023")</f>
        <v/>
      </c>
      <c r="Y106">
        <f>HYPERLINK("https://klasma.github.io/Logging_2380/tillsynsmail/A 5100-2023 tillsynsbegäran mail.docx", "A 5100-2023")</f>
        <v/>
      </c>
    </row>
    <row r="107" ht="15" customHeight="1">
      <c r="A107" t="inlineStr">
        <is>
          <t>A 19520-2023</t>
        </is>
      </c>
      <c r="B107" s="1" t="n">
        <v>45049</v>
      </c>
      <c r="C107" s="1" t="n">
        <v>46066</v>
      </c>
      <c r="D107" t="inlineStr">
        <is>
          <t>JÄMTLANDS LÄN</t>
        </is>
      </c>
      <c r="E107" t="inlineStr">
        <is>
          <t>ÖSTERSUND</t>
        </is>
      </c>
      <c r="G107" t="n">
        <v>2</v>
      </c>
      <c r="H107" t="n">
        <v>0</v>
      </c>
      <c r="I107" t="n">
        <v>2</v>
      </c>
      <c r="J107" t="n">
        <v>0</v>
      </c>
      <c r="K107" t="n">
        <v>0</v>
      </c>
      <c r="L107" t="n">
        <v>1</v>
      </c>
      <c r="M107" t="n">
        <v>0</v>
      </c>
      <c r="N107" t="n">
        <v>0</v>
      </c>
      <c r="O107" t="n">
        <v>1</v>
      </c>
      <c r="P107" t="n">
        <v>1</v>
      </c>
      <c r="Q107" t="n">
        <v>3</v>
      </c>
      <c r="R107" s="2" t="inlineStr">
        <is>
          <t>Trolldruvemätare
Svart trolldruva
Svavelriska</t>
        </is>
      </c>
      <c r="S107">
        <f>HYPERLINK("https://klasma.github.io/Logging_2380/artfynd/A 19520-2023 artfynd.xlsx", "A 19520-2023")</f>
        <v/>
      </c>
      <c r="T107">
        <f>HYPERLINK("https://klasma.github.io/Logging_2380/kartor/A 19520-2023 karta.png", "A 19520-2023")</f>
        <v/>
      </c>
      <c r="V107">
        <f>HYPERLINK("https://klasma.github.io/Logging_2380/klagomål/A 19520-2023 FSC-klagomål.docx", "A 19520-2023")</f>
        <v/>
      </c>
      <c r="W107">
        <f>HYPERLINK("https://klasma.github.io/Logging_2380/klagomålsmail/A 19520-2023 FSC-klagomål mail.docx", "A 19520-2023")</f>
        <v/>
      </c>
      <c r="X107">
        <f>HYPERLINK("https://klasma.github.io/Logging_2380/tillsyn/A 19520-2023 tillsynsbegäran.docx", "A 19520-2023")</f>
        <v/>
      </c>
      <c r="Y107">
        <f>HYPERLINK("https://klasma.github.io/Logging_2380/tillsynsmail/A 19520-2023 tillsynsbegäran mail.docx", "A 19520-2023")</f>
        <v/>
      </c>
    </row>
    <row r="108" ht="15" customHeight="1">
      <c r="A108" t="inlineStr">
        <is>
          <t>A 60565-2022</t>
        </is>
      </c>
      <c r="B108" s="1" t="n">
        <v>44904</v>
      </c>
      <c r="C108" s="1" t="n">
        <v>46066</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46066</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46066</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7965-2025</t>
        </is>
      </c>
      <c r="B111" s="1" t="n">
        <v>45707.45219907408</v>
      </c>
      <c r="C111" s="1" t="n">
        <v>46066</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50125-2024</t>
        </is>
      </c>
      <c r="B112" s="1" t="n">
        <v>45600.42737268518</v>
      </c>
      <c r="C112" s="1" t="n">
        <v>46066</v>
      </c>
      <c r="D112" t="inlineStr">
        <is>
          <t>JÄMTLANDS LÄN</t>
        </is>
      </c>
      <c r="E112" t="inlineStr">
        <is>
          <t>ÖSTERSUND</t>
        </is>
      </c>
      <c r="F112" t="inlineStr">
        <is>
          <t>SCA</t>
        </is>
      </c>
      <c r="G112" t="n">
        <v>2.4</v>
      </c>
      <c r="H112" t="n">
        <v>0</v>
      </c>
      <c r="I112" t="n">
        <v>1</v>
      </c>
      <c r="J112" t="n">
        <v>1</v>
      </c>
      <c r="K112" t="n">
        <v>0</v>
      </c>
      <c r="L112" t="n">
        <v>0</v>
      </c>
      <c r="M112" t="n">
        <v>0</v>
      </c>
      <c r="N112" t="n">
        <v>0</v>
      </c>
      <c r="O112" t="n">
        <v>1</v>
      </c>
      <c r="P112" t="n">
        <v>0</v>
      </c>
      <c r="Q112" t="n">
        <v>2</v>
      </c>
      <c r="R112" s="2" t="inlineStr">
        <is>
          <t>Dvärgbägarlav
Skinnlav</t>
        </is>
      </c>
      <c r="S112">
        <f>HYPERLINK("https://klasma.github.io/Logging_2380/artfynd/A 50125-2024 artfynd.xlsx", "A 50125-2024")</f>
        <v/>
      </c>
      <c r="T112">
        <f>HYPERLINK("https://klasma.github.io/Logging_2380/kartor/A 50125-2024 karta.png", "A 50125-2024")</f>
        <v/>
      </c>
      <c r="V112">
        <f>HYPERLINK("https://klasma.github.io/Logging_2380/klagomål/A 50125-2024 FSC-klagomål.docx", "A 50125-2024")</f>
        <v/>
      </c>
      <c r="W112">
        <f>HYPERLINK("https://klasma.github.io/Logging_2380/klagomålsmail/A 50125-2024 FSC-klagomål mail.docx", "A 50125-2024")</f>
        <v/>
      </c>
      <c r="X112">
        <f>HYPERLINK("https://klasma.github.io/Logging_2380/tillsyn/A 50125-2024 tillsynsbegäran.docx", "A 50125-2024")</f>
        <v/>
      </c>
      <c r="Y112">
        <f>HYPERLINK("https://klasma.github.io/Logging_2380/tillsynsmail/A 50125-2024 tillsynsbegäran mail.docx", "A 50125-2024")</f>
        <v/>
      </c>
    </row>
    <row r="113" ht="15" customHeight="1">
      <c r="A113" t="inlineStr">
        <is>
          <t>A 60446-2024</t>
        </is>
      </c>
      <c r="B113" s="1" t="n">
        <v>45643.59420138889</v>
      </c>
      <c r="C113" s="1" t="n">
        <v>46066</v>
      </c>
      <c r="D113" t="inlineStr">
        <is>
          <t>JÄMTLANDS LÄN</t>
        </is>
      </c>
      <c r="E113" t="inlineStr">
        <is>
          <t>ÖSTERSUND</t>
        </is>
      </c>
      <c r="F113" t="inlineStr">
        <is>
          <t>SCA</t>
        </is>
      </c>
      <c r="G113" t="n">
        <v>3.6</v>
      </c>
      <c r="H113" t="n">
        <v>0</v>
      </c>
      <c r="I113" t="n">
        <v>1</v>
      </c>
      <c r="J113" t="n">
        <v>1</v>
      </c>
      <c r="K113" t="n">
        <v>0</v>
      </c>
      <c r="L113" t="n">
        <v>0</v>
      </c>
      <c r="M113" t="n">
        <v>0</v>
      </c>
      <c r="N113" t="n">
        <v>0</v>
      </c>
      <c r="O113" t="n">
        <v>1</v>
      </c>
      <c r="P113" t="n">
        <v>0</v>
      </c>
      <c r="Q113" t="n">
        <v>2</v>
      </c>
      <c r="R113" s="2" t="inlineStr">
        <is>
          <t>Ullticka
Vedticka</t>
        </is>
      </c>
      <c r="S113">
        <f>HYPERLINK("https://klasma.github.io/Logging_2380/artfynd/A 60446-2024 artfynd.xlsx", "A 60446-2024")</f>
        <v/>
      </c>
      <c r="T113">
        <f>HYPERLINK("https://klasma.github.io/Logging_2380/kartor/A 60446-2024 karta.png", "A 60446-2024")</f>
        <v/>
      </c>
      <c r="V113">
        <f>HYPERLINK("https://klasma.github.io/Logging_2380/klagomål/A 60446-2024 FSC-klagomål.docx", "A 60446-2024")</f>
        <v/>
      </c>
      <c r="W113">
        <f>HYPERLINK("https://klasma.github.io/Logging_2380/klagomålsmail/A 60446-2024 FSC-klagomål mail.docx", "A 60446-2024")</f>
        <v/>
      </c>
      <c r="X113">
        <f>HYPERLINK("https://klasma.github.io/Logging_2380/tillsyn/A 60446-2024 tillsynsbegäran.docx", "A 60446-2024")</f>
        <v/>
      </c>
      <c r="Y113">
        <f>HYPERLINK("https://klasma.github.io/Logging_2380/tillsynsmail/A 60446-2024 tillsynsbegäran mail.docx", "A 60446-2024")</f>
        <v/>
      </c>
    </row>
    <row r="114" ht="15" customHeight="1">
      <c r="A114" t="inlineStr">
        <is>
          <t>A 10529-2025</t>
        </is>
      </c>
      <c r="B114" s="1" t="n">
        <v>45721.44840277778</v>
      </c>
      <c r="C114" s="1" t="n">
        <v>46066</v>
      </c>
      <c r="D114" t="inlineStr">
        <is>
          <t>JÄMTLANDS LÄN</t>
        </is>
      </c>
      <c r="E114" t="inlineStr">
        <is>
          <t>ÖSTERSUND</t>
        </is>
      </c>
      <c r="F114" t="inlineStr">
        <is>
          <t>SCA</t>
        </is>
      </c>
      <c r="G114" t="n">
        <v>1.4</v>
      </c>
      <c r="H114" t="n">
        <v>0</v>
      </c>
      <c r="I114" t="n">
        <v>2</v>
      </c>
      <c r="J114" t="n">
        <v>0</v>
      </c>
      <c r="K114" t="n">
        <v>0</v>
      </c>
      <c r="L114" t="n">
        <v>0</v>
      </c>
      <c r="M114" t="n">
        <v>0</v>
      </c>
      <c r="N114" t="n">
        <v>0</v>
      </c>
      <c r="O114" t="n">
        <v>0</v>
      </c>
      <c r="P114" t="n">
        <v>0</v>
      </c>
      <c r="Q114" t="n">
        <v>2</v>
      </c>
      <c r="R114" s="2" t="inlineStr">
        <is>
          <t>Gräsull
Ögonpyrola</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56750-2025</t>
        </is>
      </c>
      <c r="B115" s="1" t="n">
        <v>45975</v>
      </c>
      <c r="C115" s="1" t="n">
        <v>46066</v>
      </c>
      <c r="D115" t="inlineStr">
        <is>
          <t>JÄMTLANDS LÄN</t>
        </is>
      </c>
      <c r="E115" t="inlineStr">
        <is>
          <t>ÖSTERSUND</t>
        </is>
      </c>
      <c r="G115" t="n">
        <v>5.1</v>
      </c>
      <c r="H115" t="n">
        <v>1</v>
      </c>
      <c r="I115" t="n">
        <v>0</v>
      </c>
      <c r="J115" t="n">
        <v>1</v>
      </c>
      <c r="K115" t="n">
        <v>0</v>
      </c>
      <c r="L115" t="n">
        <v>0</v>
      </c>
      <c r="M115" t="n">
        <v>0</v>
      </c>
      <c r="N115" t="n">
        <v>0</v>
      </c>
      <c r="O115" t="n">
        <v>1</v>
      </c>
      <c r="P115" t="n">
        <v>0</v>
      </c>
      <c r="Q115" t="n">
        <v>2</v>
      </c>
      <c r="R115" s="2" t="inlineStr">
        <is>
          <t>Garnlav
Revlummer</t>
        </is>
      </c>
      <c r="S115">
        <f>HYPERLINK("https://klasma.github.io/Logging_2380/artfynd/A 56750-2025 artfynd.xlsx", "A 56750-2025")</f>
        <v/>
      </c>
      <c r="T115">
        <f>HYPERLINK("https://klasma.github.io/Logging_2380/kartor/A 56750-2025 karta.png", "A 56750-2025")</f>
        <v/>
      </c>
      <c r="V115">
        <f>HYPERLINK("https://klasma.github.io/Logging_2380/klagomål/A 56750-2025 FSC-klagomål.docx", "A 56750-2025")</f>
        <v/>
      </c>
      <c r="W115">
        <f>HYPERLINK("https://klasma.github.io/Logging_2380/klagomålsmail/A 56750-2025 FSC-klagomål mail.docx", "A 56750-2025")</f>
        <v/>
      </c>
      <c r="X115">
        <f>HYPERLINK("https://klasma.github.io/Logging_2380/tillsyn/A 56750-2025 tillsynsbegäran.docx", "A 56750-2025")</f>
        <v/>
      </c>
      <c r="Y115">
        <f>HYPERLINK("https://klasma.github.io/Logging_2380/tillsynsmail/A 56750-2025 tillsynsbegäran mail.docx", "A 56750-2025")</f>
        <v/>
      </c>
    </row>
    <row r="116" ht="15" customHeight="1">
      <c r="A116" t="inlineStr">
        <is>
          <t>A 15700-2025</t>
        </is>
      </c>
      <c r="B116" s="1" t="n">
        <v>45748.47314814815</v>
      </c>
      <c r="C116" s="1" t="n">
        <v>46066</v>
      </c>
      <c r="D116" t="inlineStr">
        <is>
          <t>JÄMTLANDS LÄN</t>
        </is>
      </c>
      <c r="E116" t="inlineStr">
        <is>
          <t>ÖSTERSUND</t>
        </is>
      </c>
      <c r="G116" t="n">
        <v>0.9</v>
      </c>
      <c r="H116" t="n">
        <v>0</v>
      </c>
      <c r="I116" t="n">
        <v>2</v>
      </c>
      <c r="J116" t="n">
        <v>0</v>
      </c>
      <c r="K116" t="n">
        <v>0</v>
      </c>
      <c r="L116" t="n">
        <v>0</v>
      </c>
      <c r="M116" t="n">
        <v>0</v>
      </c>
      <c r="N116" t="n">
        <v>0</v>
      </c>
      <c r="O116" t="n">
        <v>0</v>
      </c>
      <c r="P116" t="n">
        <v>0</v>
      </c>
      <c r="Q116" t="n">
        <v>2</v>
      </c>
      <c r="R116" s="2" t="inlineStr">
        <is>
          <t>Brun klibbskivling
Droppklibbskivling</t>
        </is>
      </c>
      <c r="S116">
        <f>HYPERLINK("https://klasma.github.io/Logging_2380/artfynd/A 15700-2025 artfynd.xlsx", "A 15700-2025")</f>
        <v/>
      </c>
      <c r="T116">
        <f>HYPERLINK("https://klasma.github.io/Logging_2380/kartor/A 15700-2025 karta.png", "A 15700-2025")</f>
        <v/>
      </c>
      <c r="V116">
        <f>HYPERLINK("https://klasma.github.io/Logging_2380/klagomål/A 15700-2025 FSC-klagomål.docx", "A 15700-2025")</f>
        <v/>
      </c>
      <c r="W116">
        <f>HYPERLINK("https://klasma.github.io/Logging_2380/klagomålsmail/A 15700-2025 FSC-klagomål mail.docx", "A 15700-2025")</f>
        <v/>
      </c>
      <c r="X116">
        <f>HYPERLINK("https://klasma.github.io/Logging_2380/tillsyn/A 15700-2025 tillsynsbegäran.docx", "A 15700-2025")</f>
        <v/>
      </c>
      <c r="Y116">
        <f>HYPERLINK("https://klasma.github.io/Logging_2380/tillsynsmail/A 15700-2025 tillsynsbegäran mail.docx", "A 15700-2025")</f>
        <v/>
      </c>
    </row>
    <row r="117" ht="15" customHeight="1">
      <c r="A117" t="inlineStr">
        <is>
          <t>A 26612-2025</t>
        </is>
      </c>
      <c r="B117" s="1" t="n">
        <v>45810</v>
      </c>
      <c r="C117" s="1" t="n">
        <v>46066</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40207-2025</t>
        </is>
      </c>
      <c r="B118" s="1" t="n">
        <v>45894.67988425926</v>
      </c>
      <c r="C118" s="1" t="n">
        <v>46066</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45237-2025</t>
        </is>
      </c>
      <c r="B119" s="1" t="n">
        <v>45919.59467592592</v>
      </c>
      <c r="C119" s="1" t="n">
        <v>46066</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35977-2024</t>
        </is>
      </c>
      <c r="B120" s="1" t="n">
        <v>45533.49601851852</v>
      </c>
      <c r="C120" s="1" t="n">
        <v>46066</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54872-2025</t>
        </is>
      </c>
      <c r="B121" s="1" t="n">
        <v>45966.94104166667</v>
      </c>
      <c r="C121" s="1" t="n">
        <v>46066</v>
      </c>
      <c r="D121" t="inlineStr">
        <is>
          <t>JÄMTLANDS LÄN</t>
        </is>
      </c>
      <c r="E121" t="inlineStr">
        <is>
          <t>ÖSTERSUND</t>
        </is>
      </c>
      <c r="G121" t="n">
        <v>2.4</v>
      </c>
      <c r="H121" t="n">
        <v>1</v>
      </c>
      <c r="I121" t="n">
        <v>1</v>
      </c>
      <c r="J121" t="n">
        <v>1</v>
      </c>
      <c r="K121" t="n">
        <v>0</v>
      </c>
      <c r="L121" t="n">
        <v>0</v>
      </c>
      <c r="M121" t="n">
        <v>0</v>
      </c>
      <c r="N121" t="n">
        <v>0</v>
      </c>
      <c r="O121" t="n">
        <v>1</v>
      </c>
      <c r="P121" t="n">
        <v>0</v>
      </c>
      <c r="Q121" t="n">
        <v>2</v>
      </c>
      <c r="R121" s="2" t="inlineStr">
        <is>
          <t>Slåtterfibbla
Korallrot</t>
        </is>
      </c>
      <c r="S121">
        <f>HYPERLINK("https://klasma.github.io/Logging_2380/artfynd/A 54872-2025 artfynd.xlsx", "A 54872-2025")</f>
        <v/>
      </c>
      <c r="T121">
        <f>HYPERLINK("https://klasma.github.io/Logging_2380/kartor/A 54872-2025 karta.png", "A 54872-2025")</f>
        <v/>
      </c>
      <c r="V121">
        <f>HYPERLINK("https://klasma.github.io/Logging_2380/klagomål/A 54872-2025 FSC-klagomål.docx", "A 54872-2025")</f>
        <v/>
      </c>
      <c r="W121">
        <f>HYPERLINK("https://klasma.github.io/Logging_2380/klagomålsmail/A 54872-2025 FSC-klagomål mail.docx", "A 54872-2025")</f>
        <v/>
      </c>
      <c r="X121">
        <f>HYPERLINK("https://klasma.github.io/Logging_2380/tillsyn/A 54872-2025 tillsynsbegäran.docx", "A 54872-2025")</f>
        <v/>
      </c>
      <c r="Y121">
        <f>HYPERLINK("https://klasma.github.io/Logging_2380/tillsynsmail/A 54872-2025 tillsynsbegäran mail.docx", "A 54872-2025")</f>
        <v/>
      </c>
    </row>
    <row r="122" ht="15" customHeight="1">
      <c r="A122" t="inlineStr">
        <is>
          <t>A 63930-2023</t>
        </is>
      </c>
      <c r="B122" s="1" t="n">
        <v>45278</v>
      </c>
      <c r="C122" s="1" t="n">
        <v>46066</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59793-2022</t>
        </is>
      </c>
      <c r="B123" s="1" t="n">
        <v>44908</v>
      </c>
      <c r="C123" s="1" t="n">
        <v>46066</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46105-2021</t>
        </is>
      </c>
      <c r="B124" s="1" t="n">
        <v>44441</v>
      </c>
      <c r="C124" s="1" t="n">
        <v>46066</v>
      </c>
      <c r="D124" t="inlineStr">
        <is>
          <t>JÄMTLANDS LÄN</t>
        </is>
      </c>
      <c r="E124" t="inlineStr">
        <is>
          <t>ÖSTERSUND</t>
        </is>
      </c>
      <c r="G124" t="n">
        <v>4.4</v>
      </c>
      <c r="H124" t="n">
        <v>2</v>
      </c>
      <c r="I124" t="n">
        <v>0</v>
      </c>
      <c r="J124" t="n">
        <v>1</v>
      </c>
      <c r="K124" t="n">
        <v>1</v>
      </c>
      <c r="L124" t="n">
        <v>0</v>
      </c>
      <c r="M124" t="n">
        <v>0</v>
      </c>
      <c r="N124" t="n">
        <v>0</v>
      </c>
      <c r="O124" t="n">
        <v>2</v>
      </c>
      <c r="P124" t="n">
        <v>1</v>
      </c>
      <c r="Q124" t="n">
        <v>2</v>
      </c>
      <c r="R124" s="2" t="inlineStr">
        <is>
          <t>Tallbit
Tretåig hackspett</t>
        </is>
      </c>
      <c r="S124">
        <f>HYPERLINK("https://klasma.github.io/Logging_2380/artfynd/A 46105-2021 artfynd.xlsx", "A 46105-2021")</f>
        <v/>
      </c>
      <c r="T124">
        <f>HYPERLINK("https://klasma.github.io/Logging_2380/kartor/A 46105-2021 karta.png", "A 46105-2021")</f>
        <v/>
      </c>
      <c r="V124">
        <f>HYPERLINK("https://klasma.github.io/Logging_2380/klagomål/A 46105-2021 FSC-klagomål.docx", "A 46105-2021")</f>
        <v/>
      </c>
      <c r="W124">
        <f>HYPERLINK("https://klasma.github.io/Logging_2380/klagomålsmail/A 46105-2021 FSC-klagomål mail.docx", "A 46105-2021")</f>
        <v/>
      </c>
      <c r="X124">
        <f>HYPERLINK("https://klasma.github.io/Logging_2380/tillsyn/A 46105-2021 tillsynsbegäran.docx", "A 46105-2021")</f>
        <v/>
      </c>
      <c r="Y124">
        <f>HYPERLINK("https://klasma.github.io/Logging_2380/tillsynsmail/A 46105-2021 tillsynsbegäran mail.docx", "A 46105-2021")</f>
        <v/>
      </c>
      <c r="Z124">
        <f>HYPERLINK("https://klasma.github.io/Logging_2380/fåglar/A 46105-2021 prioriterade fågelarter.docx", "A 46105-2021")</f>
        <v/>
      </c>
    </row>
    <row r="125" ht="15" customHeight="1">
      <c r="A125" t="inlineStr">
        <is>
          <t>A 58931-2025</t>
        </is>
      </c>
      <c r="B125" s="1" t="n">
        <v>45987.55831018519</v>
      </c>
      <c r="C125" s="1" t="n">
        <v>46066</v>
      </c>
      <c r="D125" t="inlineStr">
        <is>
          <t>JÄMTLANDS LÄN</t>
        </is>
      </c>
      <c r="E125" t="inlineStr">
        <is>
          <t>ÖSTERSUND</t>
        </is>
      </c>
      <c r="G125" t="n">
        <v>3.9</v>
      </c>
      <c r="H125" t="n">
        <v>2</v>
      </c>
      <c r="I125" t="n">
        <v>0</v>
      </c>
      <c r="J125" t="n">
        <v>0</v>
      </c>
      <c r="K125" t="n">
        <v>0</v>
      </c>
      <c r="L125" t="n">
        <v>0</v>
      </c>
      <c r="M125" t="n">
        <v>0</v>
      </c>
      <c r="N125" t="n">
        <v>0</v>
      </c>
      <c r="O125" t="n">
        <v>0</v>
      </c>
      <c r="P125" t="n">
        <v>0</v>
      </c>
      <c r="Q125" t="n">
        <v>2</v>
      </c>
      <c r="R125" s="2" t="inlineStr">
        <is>
          <t>Blåsippa
Revlummer</t>
        </is>
      </c>
      <c r="S125">
        <f>HYPERLINK("https://klasma.github.io/Logging_2380/artfynd/A 58931-2025 artfynd.xlsx", "A 58931-2025")</f>
        <v/>
      </c>
      <c r="T125">
        <f>HYPERLINK("https://klasma.github.io/Logging_2380/kartor/A 58931-2025 karta.png", "A 58931-2025")</f>
        <v/>
      </c>
      <c r="V125">
        <f>HYPERLINK("https://klasma.github.io/Logging_2380/klagomål/A 58931-2025 FSC-klagomål.docx", "A 58931-2025")</f>
        <v/>
      </c>
      <c r="W125">
        <f>HYPERLINK("https://klasma.github.io/Logging_2380/klagomålsmail/A 58931-2025 FSC-klagomål mail.docx", "A 58931-2025")</f>
        <v/>
      </c>
      <c r="X125">
        <f>HYPERLINK("https://klasma.github.io/Logging_2380/tillsyn/A 58931-2025 tillsynsbegäran.docx", "A 58931-2025")</f>
        <v/>
      </c>
      <c r="Y125">
        <f>HYPERLINK("https://klasma.github.io/Logging_2380/tillsynsmail/A 58931-2025 tillsynsbegäran mail.docx", "A 58931-2025")</f>
        <v/>
      </c>
    </row>
    <row r="126" ht="15" customHeight="1">
      <c r="A126" t="inlineStr">
        <is>
          <t>A 47385-2022</t>
        </is>
      </c>
      <c r="B126" s="1" t="n">
        <v>44853</v>
      </c>
      <c r="C126" s="1" t="n">
        <v>46066</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46066</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52129-2023</t>
        </is>
      </c>
      <c r="B128" s="1" t="n">
        <v>45223</v>
      </c>
      <c r="C128" s="1" t="n">
        <v>46066</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4916-2023</t>
        </is>
      </c>
      <c r="B129" s="1" t="n">
        <v>44956</v>
      </c>
      <c r="C129" s="1" t="n">
        <v>46066</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21615-2024</t>
        </is>
      </c>
      <c r="B130" s="1" t="n">
        <v>45441.95357638889</v>
      </c>
      <c r="C130" s="1" t="n">
        <v>46066</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39968-2024</t>
        </is>
      </c>
      <c r="B131" s="1" t="n">
        <v>45553.59296296296</v>
      </c>
      <c r="C131" s="1" t="n">
        <v>46066</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56006-2023</t>
        </is>
      </c>
      <c r="B132" s="1" t="n">
        <v>45233</v>
      </c>
      <c r="C132" s="1" t="n">
        <v>46066</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13795-2025</t>
        </is>
      </c>
      <c r="B133" s="1" t="n">
        <v>45737</v>
      </c>
      <c r="C133" s="1" t="n">
        <v>46066</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60534-2022</t>
        </is>
      </c>
      <c r="B134" s="1" t="n">
        <v>44904</v>
      </c>
      <c r="C134" s="1" t="n">
        <v>46066</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33137-2021</t>
        </is>
      </c>
      <c r="B135" s="1" t="n">
        <v>44376</v>
      </c>
      <c r="C135" s="1" t="n">
        <v>46066</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46066</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46066</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46163-2021</t>
        </is>
      </c>
      <c r="B138" s="1" t="n">
        <v>44441</v>
      </c>
      <c r="C138" s="1" t="n">
        <v>46066</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46066</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59108-2024</t>
        </is>
      </c>
      <c r="B140" s="1" t="n">
        <v>45637.34469907408</v>
      </c>
      <c r="C140" s="1" t="n">
        <v>46066</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40694-2024</t>
        </is>
      </c>
      <c r="B141" s="1" t="n">
        <v>45558</v>
      </c>
      <c r="C141" s="1" t="n">
        <v>46066</v>
      </c>
      <c r="D141" t="inlineStr">
        <is>
          <t>JÄMTLANDS LÄN</t>
        </is>
      </c>
      <c r="E141" t="inlineStr">
        <is>
          <t>ÖSTERSUND</t>
        </is>
      </c>
      <c r="F141" t="inlineStr">
        <is>
          <t>SCA</t>
        </is>
      </c>
      <c r="G141" t="n">
        <v>6.2</v>
      </c>
      <c r="H141" t="n">
        <v>0</v>
      </c>
      <c r="I141" t="n">
        <v>0</v>
      </c>
      <c r="J141" t="n">
        <v>1</v>
      </c>
      <c r="K141" t="n">
        <v>0</v>
      </c>
      <c r="L141" t="n">
        <v>0</v>
      </c>
      <c r="M141" t="n">
        <v>0</v>
      </c>
      <c r="N141" t="n">
        <v>0</v>
      </c>
      <c r="O141" t="n">
        <v>1</v>
      </c>
      <c r="P141" t="n">
        <v>0</v>
      </c>
      <c r="Q141" t="n">
        <v>1</v>
      </c>
      <c r="R141" s="2" t="inlineStr">
        <is>
          <t>Reliktbock</t>
        </is>
      </c>
      <c r="S141">
        <f>HYPERLINK("https://klasma.github.io/Logging_2380/artfynd/A 40694-2024 artfynd.xlsx", "A 40694-2024")</f>
        <v/>
      </c>
      <c r="T141">
        <f>HYPERLINK("https://klasma.github.io/Logging_2380/kartor/A 40694-2024 karta.png", "A 40694-2024")</f>
        <v/>
      </c>
      <c r="V141">
        <f>HYPERLINK("https://klasma.github.io/Logging_2380/klagomål/A 40694-2024 FSC-klagomål.docx", "A 40694-2024")</f>
        <v/>
      </c>
      <c r="W141">
        <f>HYPERLINK("https://klasma.github.io/Logging_2380/klagomålsmail/A 40694-2024 FSC-klagomål mail.docx", "A 40694-2024")</f>
        <v/>
      </c>
      <c r="X141">
        <f>HYPERLINK("https://klasma.github.io/Logging_2380/tillsyn/A 40694-2024 tillsynsbegäran.docx", "A 40694-2024")</f>
        <v/>
      </c>
      <c r="Y141">
        <f>HYPERLINK("https://klasma.github.io/Logging_2380/tillsynsmail/A 40694-2024 tillsynsbegäran mail.docx", "A 40694-2024")</f>
        <v/>
      </c>
    </row>
    <row r="142" ht="15" customHeight="1">
      <c r="A142" t="inlineStr">
        <is>
          <t>A 64380-2023</t>
        </is>
      </c>
      <c r="B142" s="1" t="n">
        <v>45280.56451388889</v>
      </c>
      <c r="C142" s="1" t="n">
        <v>46066</v>
      </c>
      <c r="D142" t="inlineStr">
        <is>
          <t>JÄMTLANDS LÄN</t>
        </is>
      </c>
      <c r="E142" t="inlineStr">
        <is>
          <t>ÖSTERSUND</t>
        </is>
      </c>
      <c r="G142" t="n">
        <v>12.4</v>
      </c>
      <c r="H142" t="n">
        <v>0</v>
      </c>
      <c r="I142" t="n">
        <v>0</v>
      </c>
      <c r="J142" t="n">
        <v>1</v>
      </c>
      <c r="K142" t="n">
        <v>0</v>
      </c>
      <c r="L142" t="n">
        <v>0</v>
      </c>
      <c r="M142" t="n">
        <v>0</v>
      </c>
      <c r="N142" t="n">
        <v>0</v>
      </c>
      <c r="O142" t="n">
        <v>1</v>
      </c>
      <c r="P142" t="n">
        <v>0</v>
      </c>
      <c r="Q142" t="n">
        <v>1</v>
      </c>
      <c r="R142" s="2" t="inlineStr">
        <is>
          <t>Luddfingersvamp</t>
        </is>
      </c>
      <c r="S142">
        <f>HYPERLINK("https://klasma.github.io/Logging_2380/artfynd/A 64380-2023 artfynd.xlsx", "A 64380-2023")</f>
        <v/>
      </c>
      <c r="T142">
        <f>HYPERLINK("https://klasma.github.io/Logging_2380/kartor/A 64380-2023 karta.png", "A 64380-2023")</f>
        <v/>
      </c>
      <c r="V142">
        <f>HYPERLINK("https://klasma.github.io/Logging_2380/klagomål/A 64380-2023 FSC-klagomål.docx", "A 64380-2023")</f>
        <v/>
      </c>
      <c r="W142">
        <f>HYPERLINK("https://klasma.github.io/Logging_2380/klagomålsmail/A 64380-2023 FSC-klagomål mail.docx", "A 64380-2023")</f>
        <v/>
      </c>
      <c r="X142">
        <f>HYPERLINK("https://klasma.github.io/Logging_2380/tillsyn/A 64380-2023 tillsynsbegäran.docx", "A 64380-2023")</f>
        <v/>
      </c>
      <c r="Y142">
        <f>HYPERLINK("https://klasma.github.io/Logging_2380/tillsynsmail/A 64380-2023 tillsynsbegäran mail.docx", "A 64380-2023")</f>
        <v/>
      </c>
    </row>
    <row r="143" ht="15" customHeight="1">
      <c r="A143" t="inlineStr">
        <is>
          <t>A 4787-2026</t>
        </is>
      </c>
      <c r="B143" s="1" t="n">
        <v>46045</v>
      </c>
      <c r="C143" s="1" t="n">
        <v>46066</v>
      </c>
      <c r="D143" t="inlineStr">
        <is>
          <t>JÄMTLANDS LÄN</t>
        </is>
      </c>
      <c r="E143" t="inlineStr">
        <is>
          <t>ÖSTERSUND</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4787-2026 artfynd.xlsx", "A 4787-2026")</f>
        <v/>
      </c>
      <c r="T143">
        <f>HYPERLINK("https://klasma.github.io/Logging_2380/kartor/A 4787-2026 karta.png", "A 4787-2026")</f>
        <v/>
      </c>
      <c r="V143">
        <f>HYPERLINK("https://klasma.github.io/Logging_2380/klagomål/A 4787-2026 FSC-klagomål.docx", "A 4787-2026")</f>
        <v/>
      </c>
      <c r="W143">
        <f>HYPERLINK("https://klasma.github.io/Logging_2380/klagomålsmail/A 4787-2026 FSC-klagomål mail.docx", "A 4787-2026")</f>
        <v/>
      </c>
      <c r="X143">
        <f>HYPERLINK("https://klasma.github.io/Logging_2380/tillsyn/A 4787-2026 tillsynsbegäran.docx", "A 4787-2026")</f>
        <v/>
      </c>
      <c r="Y143">
        <f>HYPERLINK("https://klasma.github.io/Logging_2380/tillsynsmail/A 4787-2026 tillsynsbegäran mail.docx", "A 4787-2026")</f>
        <v/>
      </c>
      <c r="Z143">
        <f>HYPERLINK("https://klasma.github.io/Logging_2380/fåglar/A 4787-2026 prioriterade fågelarter.docx", "A 4787-2026")</f>
        <v/>
      </c>
    </row>
    <row r="144" ht="15" customHeight="1">
      <c r="A144" t="inlineStr">
        <is>
          <t>A 55821-2021</t>
        </is>
      </c>
      <c r="B144" s="1" t="n">
        <v>44476</v>
      </c>
      <c r="C144" s="1" t="n">
        <v>46066</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46066</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26605-2025</t>
        </is>
      </c>
      <c r="B146" s="1" t="n">
        <v>45809.86790509259</v>
      </c>
      <c r="C146" s="1" t="n">
        <v>46066</v>
      </c>
      <c r="D146" t="inlineStr">
        <is>
          <t>JÄMTLANDS LÄN</t>
        </is>
      </c>
      <c r="E146" t="inlineStr">
        <is>
          <t>ÖSTERSUND</t>
        </is>
      </c>
      <c r="G146" t="n">
        <v>1.3</v>
      </c>
      <c r="H146" t="n">
        <v>0</v>
      </c>
      <c r="I146" t="n">
        <v>0</v>
      </c>
      <c r="J146" t="n">
        <v>1</v>
      </c>
      <c r="K146" t="n">
        <v>0</v>
      </c>
      <c r="L146" t="n">
        <v>0</v>
      </c>
      <c r="M146" t="n">
        <v>0</v>
      </c>
      <c r="N146" t="n">
        <v>0</v>
      </c>
      <c r="O146" t="n">
        <v>1</v>
      </c>
      <c r="P146" t="n">
        <v>0</v>
      </c>
      <c r="Q146" t="n">
        <v>1</v>
      </c>
      <c r="R146" s="2" t="inlineStr">
        <is>
          <t>Garnlav</t>
        </is>
      </c>
      <c r="S146">
        <f>HYPERLINK("https://klasma.github.io/Logging_2380/artfynd/A 26605-2025 artfynd.xlsx", "A 26605-2025")</f>
        <v/>
      </c>
      <c r="T146">
        <f>HYPERLINK("https://klasma.github.io/Logging_2380/kartor/A 26605-2025 karta.png", "A 26605-2025")</f>
        <v/>
      </c>
      <c r="V146">
        <f>HYPERLINK("https://klasma.github.io/Logging_2380/klagomål/A 26605-2025 FSC-klagomål.docx", "A 26605-2025")</f>
        <v/>
      </c>
      <c r="W146">
        <f>HYPERLINK("https://klasma.github.io/Logging_2380/klagomålsmail/A 26605-2025 FSC-klagomål mail.docx", "A 26605-2025")</f>
        <v/>
      </c>
      <c r="X146">
        <f>HYPERLINK("https://klasma.github.io/Logging_2380/tillsyn/A 26605-2025 tillsynsbegäran.docx", "A 26605-2025")</f>
        <v/>
      </c>
      <c r="Y146">
        <f>HYPERLINK("https://klasma.github.io/Logging_2380/tillsynsmail/A 26605-2025 tillsynsbegäran mail.docx", "A 26605-2025")</f>
        <v/>
      </c>
    </row>
    <row r="147" ht="15" customHeight="1">
      <c r="A147" t="inlineStr">
        <is>
          <t>A 33550-2025</t>
        </is>
      </c>
      <c r="B147" s="1" t="n">
        <v>45841.57331018519</v>
      </c>
      <c r="C147" s="1" t="n">
        <v>46066</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36225-2025</t>
        </is>
      </c>
      <c r="B148" s="1" t="n">
        <v>45867.51128472222</v>
      </c>
      <c r="C148" s="1" t="n">
        <v>46066</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43188-2025</t>
        </is>
      </c>
      <c r="B149" s="1" t="n">
        <v>45910.41201388889</v>
      </c>
      <c r="C149" s="1" t="n">
        <v>46066</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24368-2025</t>
        </is>
      </c>
      <c r="B150" s="1" t="n">
        <v>45797.60623842593</v>
      </c>
      <c r="C150" s="1" t="n">
        <v>46066</v>
      </c>
      <c r="D150" t="inlineStr">
        <is>
          <t>JÄMTLANDS LÄN</t>
        </is>
      </c>
      <c r="E150" t="inlineStr">
        <is>
          <t>ÖSTERSUND</t>
        </is>
      </c>
      <c r="G150" t="n">
        <v>2.9</v>
      </c>
      <c r="H150" t="n">
        <v>0</v>
      </c>
      <c r="I150" t="n">
        <v>0</v>
      </c>
      <c r="J150" t="n">
        <v>0</v>
      </c>
      <c r="K150" t="n">
        <v>1</v>
      </c>
      <c r="L150" t="n">
        <v>0</v>
      </c>
      <c r="M150" t="n">
        <v>0</v>
      </c>
      <c r="N150" t="n">
        <v>0</v>
      </c>
      <c r="O150" t="n">
        <v>1</v>
      </c>
      <c r="P150" t="n">
        <v>1</v>
      </c>
      <c r="Q150" t="n">
        <v>1</v>
      </c>
      <c r="R150" s="2" t="inlineStr">
        <is>
          <t>Fjällfotad fingersvamp</t>
        </is>
      </c>
      <c r="S150">
        <f>HYPERLINK("https://klasma.github.io/Logging_2380/artfynd/A 24368-2025 artfynd.xlsx", "A 24368-2025")</f>
        <v/>
      </c>
      <c r="T150">
        <f>HYPERLINK("https://klasma.github.io/Logging_2380/kartor/A 24368-2025 karta.png", "A 24368-2025")</f>
        <v/>
      </c>
      <c r="V150">
        <f>HYPERLINK("https://klasma.github.io/Logging_2380/klagomål/A 24368-2025 FSC-klagomål.docx", "A 24368-2025")</f>
        <v/>
      </c>
      <c r="W150">
        <f>HYPERLINK("https://klasma.github.io/Logging_2380/klagomålsmail/A 24368-2025 FSC-klagomål mail.docx", "A 24368-2025")</f>
        <v/>
      </c>
      <c r="X150">
        <f>HYPERLINK("https://klasma.github.io/Logging_2380/tillsyn/A 24368-2025 tillsynsbegäran.docx", "A 24368-2025")</f>
        <v/>
      </c>
      <c r="Y150">
        <f>HYPERLINK("https://klasma.github.io/Logging_2380/tillsynsmail/A 24368-2025 tillsynsbegäran mail.docx", "A 24368-2025")</f>
        <v/>
      </c>
    </row>
    <row r="151" ht="15" customHeight="1">
      <c r="A151" t="inlineStr">
        <is>
          <t>A 28980-2023</t>
        </is>
      </c>
      <c r="B151" s="1" t="n">
        <v>45096</v>
      </c>
      <c r="C151" s="1" t="n">
        <v>46066</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44049-2024</t>
        </is>
      </c>
      <c r="B152" s="1" t="n">
        <v>45572.59462962963</v>
      </c>
      <c r="C152" s="1" t="n">
        <v>46066</v>
      </c>
      <c r="D152" t="inlineStr">
        <is>
          <t>JÄMTLANDS LÄN</t>
        </is>
      </c>
      <c r="E152" t="inlineStr">
        <is>
          <t>ÖSTERSUND</t>
        </is>
      </c>
      <c r="F152" t="inlineStr">
        <is>
          <t>SCA</t>
        </is>
      </c>
      <c r="G152" t="n">
        <v>4.5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44049-2024 artfynd.xlsx", "A 44049-2024")</f>
        <v/>
      </c>
      <c r="T152">
        <f>HYPERLINK("https://klasma.github.io/Logging_2380/kartor/A 44049-2024 karta.png", "A 44049-2024")</f>
        <v/>
      </c>
      <c r="V152">
        <f>HYPERLINK("https://klasma.github.io/Logging_2380/klagomål/A 44049-2024 FSC-klagomål.docx", "A 44049-2024")</f>
        <v/>
      </c>
      <c r="W152">
        <f>HYPERLINK("https://klasma.github.io/Logging_2380/klagomålsmail/A 44049-2024 FSC-klagomål mail.docx", "A 44049-2024")</f>
        <v/>
      </c>
      <c r="X152">
        <f>HYPERLINK("https://klasma.github.io/Logging_2380/tillsyn/A 44049-2024 tillsynsbegäran.docx", "A 44049-2024")</f>
        <v/>
      </c>
      <c r="Y152">
        <f>HYPERLINK("https://klasma.github.io/Logging_2380/tillsynsmail/A 44049-2024 tillsynsbegäran mail.docx", "A 44049-2024")</f>
        <v/>
      </c>
    </row>
    <row r="153" ht="15" customHeight="1">
      <c r="A153" t="inlineStr">
        <is>
          <t>A 54354-2024</t>
        </is>
      </c>
      <c r="B153" s="1" t="n">
        <v>45617.40244212963</v>
      </c>
      <c r="C153" s="1" t="n">
        <v>46066</v>
      </c>
      <c r="D153" t="inlineStr">
        <is>
          <t>JÄMTLANDS LÄN</t>
        </is>
      </c>
      <c r="E153" t="inlineStr">
        <is>
          <t>ÖSTERSUND</t>
        </is>
      </c>
      <c r="G153" t="n">
        <v>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54354-2024 artfynd.xlsx", "A 54354-2024")</f>
        <v/>
      </c>
      <c r="T153">
        <f>HYPERLINK("https://klasma.github.io/Logging_2380/kartor/A 54354-2024 karta.png", "A 54354-2024")</f>
        <v/>
      </c>
      <c r="V153">
        <f>HYPERLINK("https://klasma.github.io/Logging_2380/klagomål/A 54354-2024 FSC-klagomål.docx", "A 54354-2024")</f>
        <v/>
      </c>
      <c r="W153">
        <f>HYPERLINK("https://klasma.github.io/Logging_2380/klagomålsmail/A 54354-2024 FSC-klagomål mail.docx", "A 54354-2024")</f>
        <v/>
      </c>
      <c r="X153">
        <f>HYPERLINK("https://klasma.github.io/Logging_2380/tillsyn/A 54354-2024 tillsynsbegäran.docx", "A 54354-2024")</f>
        <v/>
      </c>
      <c r="Y153">
        <f>HYPERLINK("https://klasma.github.io/Logging_2380/tillsynsmail/A 54354-2024 tillsynsbegäran mail.docx", "A 54354-2024")</f>
        <v/>
      </c>
      <c r="Z153">
        <f>HYPERLINK("https://klasma.github.io/Logging_2380/fåglar/A 54354-2024 prioriterade fågelarter.docx", "A 54354-2024")</f>
        <v/>
      </c>
    </row>
    <row r="154" ht="15" customHeight="1">
      <c r="A154" t="inlineStr">
        <is>
          <t>A 31883-2024</t>
        </is>
      </c>
      <c r="B154" s="1" t="n">
        <v>45509.9572800926</v>
      </c>
      <c r="C154" s="1" t="n">
        <v>46066</v>
      </c>
      <c r="D154" t="inlineStr">
        <is>
          <t>JÄMTLANDS LÄN</t>
        </is>
      </c>
      <c r="E154" t="inlineStr">
        <is>
          <t>ÖSTERSUND</t>
        </is>
      </c>
      <c r="F154" t="inlineStr">
        <is>
          <t>SCA</t>
        </is>
      </c>
      <c r="G154" t="n">
        <v>3.3</v>
      </c>
      <c r="H154" t="n">
        <v>1</v>
      </c>
      <c r="I154" t="n">
        <v>0</v>
      </c>
      <c r="J154" t="n">
        <v>0</v>
      </c>
      <c r="K154" t="n">
        <v>1</v>
      </c>
      <c r="L154" t="n">
        <v>0</v>
      </c>
      <c r="M154" t="n">
        <v>0</v>
      </c>
      <c r="N154" t="n">
        <v>0</v>
      </c>
      <c r="O154" t="n">
        <v>1</v>
      </c>
      <c r="P154" t="n">
        <v>1</v>
      </c>
      <c r="Q154" t="n">
        <v>1</v>
      </c>
      <c r="R154" s="2" t="inlineStr">
        <is>
          <t>Doftticka</t>
        </is>
      </c>
      <c r="S154">
        <f>HYPERLINK("https://klasma.github.io/Logging_2380/artfynd/A 31883-2024 artfynd.xlsx", "A 31883-2024")</f>
        <v/>
      </c>
      <c r="T154">
        <f>HYPERLINK("https://klasma.github.io/Logging_2380/kartor/A 31883-2024 karta.png", "A 31883-2024")</f>
        <v/>
      </c>
      <c r="V154">
        <f>HYPERLINK("https://klasma.github.io/Logging_2380/klagomål/A 31883-2024 FSC-klagomål.docx", "A 31883-2024")</f>
        <v/>
      </c>
      <c r="W154">
        <f>HYPERLINK("https://klasma.github.io/Logging_2380/klagomålsmail/A 31883-2024 FSC-klagomål mail.docx", "A 31883-2024")</f>
        <v/>
      </c>
      <c r="X154">
        <f>HYPERLINK("https://klasma.github.io/Logging_2380/tillsyn/A 31883-2024 tillsynsbegäran.docx", "A 31883-2024")</f>
        <v/>
      </c>
      <c r="Y154">
        <f>HYPERLINK("https://klasma.github.io/Logging_2380/tillsynsmail/A 31883-2024 tillsynsbegäran mail.docx", "A 31883-2024")</f>
        <v/>
      </c>
    </row>
    <row r="155" ht="15" customHeight="1">
      <c r="A155" t="inlineStr">
        <is>
          <t>A 47580-2025</t>
        </is>
      </c>
      <c r="B155" s="1" t="n">
        <v>45931.40935185185</v>
      </c>
      <c r="C155" s="1" t="n">
        <v>46066</v>
      </c>
      <c r="D155" t="inlineStr">
        <is>
          <t>JÄMTLANDS LÄN</t>
        </is>
      </c>
      <c r="E155" t="inlineStr">
        <is>
          <t>ÖSTERSUND</t>
        </is>
      </c>
      <c r="G155" t="n">
        <v>4.1</v>
      </c>
      <c r="H155" t="n">
        <v>1</v>
      </c>
      <c r="I155" t="n">
        <v>0</v>
      </c>
      <c r="J155" t="n">
        <v>0</v>
      </c>
      <c r="K155" t="n">
        <v>0</v>
      </c>
      <c r="L155" t="n">
        <v>0</v>
      </c>
      <c r="M155" t="n">
        <v>0</v>
      </c>
      <c r="N155" t="n">
        <v>0</v>
      </c>
      <c r="O155" t="n">
        <v>0</v>
      </c>
      <c r="P155" t="n">
        <v>0</v>
      </c>
      <c r="Q155" t="n">
        <v>1</v>
      </c>
      <c r="R155" s="2" t="inlineStr">
        <is>
          <t>Revlummer</t>
        </is>
      </c>
      <c r="S155">
        <f>HYPERLINK("https://klasma.github.io/Logging_2380/artfynd/A 47580-2025 artfynd.xlsx", "A 47580-2025")</f>
        <v/>
      </c>
      <c r="T155">
        <f>HYPERLINK("https://klasma.github.io/Logging_2380/kartor/A 47580-2025 karta.png", "A 47580-2025")</f>
        <v/>
      </c>
      <c r="V155">
        <f>HYPERLINK("https://klasma.github.io/Logging_2380/klagomål/A 47580-2025 FSC-klagomål.docx", "A 47580-2025")</f>
        <v/>
      </c>
      <c r="W155">
        <f>HYPERLINK("https://klasma.github.io/Logging_2380/klagomålsmail/A 47580-2025 FSC-klagomål mail.docx", "A 47580-2025")</f>
        <v/>
      </c>
      <c r="X155">
        <f>HYPERLINK("https://klasma.github.io/Logging_2380/tillsyn/A 47580-2025 tillsynsbegäran.docx", "A 47580-2025")</f>
        <v/>
      </c>
      <c r="Y155">
        <f>HYPERLINK("https://klasma.github.io/Logging_2380/tillsynsmail/A 47580-2025 tillsynsbegäran mail.docx", "A 47580-2025")</f>
        <v/>
      </c>
    </row>
    <row r="156" ht="15" customHeight="1">
      <c r="A156" t="inlineStr">
        <is>
          <t>A 9739-2022</t>
        </is>
      </c>
      <c r="B156" s="1" t="n">
        <v>44617</v>
      </c>
      <c r="C156" s="1" t="n">
        <v>46066</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58181-2022</t>
        </is>
      </c>
      <c r="B157" s="1" t="n">
        <v>44900</v>
      </c>
      <c r="C157" s="1" t="n">
        <v>46066</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41312-2024</t>
        </is>
      </c>
      <c r="B158" s="1" t="n">
        <v>45559.63584490741</v>
      </c>
      <c r="C158" s="1" t="n">
        <v>46066</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53300-2025</t>
        </is>
      </c>
      <c r="B159" s="1" t="n">
        <v>45959.32394675926</v>
      </c>
      <c r="C159" s="1" t="n">
        <v>46066</v>
      </c>
      <c r="D159" t="inlineStr">
        <is>
          <t>JÄMTLANDS LÄN</t>
        </is>
      </c>
      <c r="E159" t="inlineStr">
        <is>
          <t>ÖSTERSUND</t>
        </is>
      </c>
      <c r="F159" t="inlineStr">
        <is>
          <t>Sveaskog</t>
        </is>
      </c>
      <c r="G159" t="n">
        <v>12.2</v>
      </c>
      <c r="H159" t="n">
        <v>0</v>
      </c>
      <c r="I159" t="n">
        <v>1</v>
      </c>
      <c r="J159" t="n">
        <v>0</v>
      </c>
      <c r="K159" t="n">
        <v>0</v>
      </c>
      <c r="L159" t="n">
        <v>0</v>
      </c>
      <c r="M159" t="n">
        <v>0</v>
      </c>
      <c r="N159" t="n">
        <v>0</v>
      </c>
      <c r="O159" t="n">
        <v>0</v>
      </c>
      <c r="P159" t="n">
        <v>0</v>
      </c>
      <c r="Q159" t="n">
        <v>1</v>
      </c>
      <c r="R159" s="2" t="inlineStr">
        <is>
          <t>Rödgul trumpetsvamp</t>
        </is>
      </c>
      <c r="S159">
        <f>HYPERLINK("https://klasma.github.io/Logging_2380/artfynd/A 53300-2025 artfynd.xlsx", "A 53300-2025")</f>
        <v/>
      </c>
      <c r="T159">
        <f>HYPERLINK("https://klasma.github.io/Logging_2380/kartor/A 53300-2025 karta.png", "A 53300-2025")</f>
        <v/>
      </c>
      <c r="V159">
        <f>HYPERLINK("https://klasma.github.io/Logging_2380/klagomål/A 53300-2025 FSC-klagomål.docx", "A 53300-2025")</f>
        <v/>
      </c>
      <c r="W159">
        <f>HYPERLINK("https://klasma.github.io/Logging_2380/klagomålsmail/A 53300-2025 FSC-klagomål mail.docx", "A 53300-2025")</f>
        <v/>
      </c>
      <c r="X159">
        <f>HYPERLINK("https://klasma.github.io/Logging_2380/tillsyn/A 53300-2025 tillsynsbegäran.docx", "A 53300-2025")</f>
        <v/>
      </c>
      <c r="Y159">
        <f>HYPERLINK("https://klasma.github.io/Logging_2380/tillsynsmail/A 53300-2025 tillsynsbegäran mail.docx", "A 53300-2025")</f>
        <v/>
      </c>
    </row>
    <row r="160" ht="15" customHeight="1">
      <c r="A160" t="inlineStr">
        <is>
          <t>A 33267-2022</t>
        </is>
      </c>
      <c r="B160" s="1" t="n">
        <v>44785</v>
      </c>
      <c r="C160" s="1" t="n">
        <v>46066</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57065-2024</t>
        </is>
      </c>
      <c r="B161" s="1" t="n">
        <v>45629.35344907407</v>
      </c>
      <c r="C161" s="1" t="n">
        <v>46066</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56201-2024</t>
        </is>
      </c>
      <c r="B162" s="1" t="n">
        <v>45624.59462962963</v>
      </c>
      <c r="C162" s="1" t="n">
        <v>46066</v>
      </c>
      <c r="D162" t="inlineStr">
        <is>
          <t>JÄMTLANDS LÄN</t>
        </is>
      </c>
      <c r="E162" t="inlineStr">
        <is>
          <t>ÖSTERSUND</t>
        </is>
      </c>
      <c r="F162" t="inlineStr">
        <is>
          <t>SCA</t>
        </is>
      </c>
      <c r="G162" t="n">
        <v>5.9</v>
      </c>
      <c r="H162" t="n">
        <v>1</v>
      </c>
      <c r="I162" t="n">
        <v>0</v>
      </c>
      <c r="J162" t="n">
        <v>0</v>
      </c>
      <c r="K162" t="n">
        <v>1</v>
      </c>
      <c r="L162" t="n">
        <v>0</v>
      </c>
      <c r="M162" t="n">
        <v>0</v>
      </c>
      <c r="N162" t="n">
        <v>0</v>
      </c>
      <c r="O162" t="n">
        <v>1</v>
      </c>
      <c r="P162" t="n">
        <v>1</v>
      </c>
      <c r="Q162" t="n">
        <v>1</v>
      </c>
      <c r="R162" s="2" t="inlineStr">
        <is>
          <t>Doftticka</t>
        </is>
      </c>
      <c r="S162">
        <f>HYPERLINK("https://klasma.github.io/Logging_2380/artfynd/A 56201-2024 artfynd.xlsx", "A 56201-2024")</f>
        <v/>
      </c>
      <c r="T162">
        <f>HYPERLINK("https://klasma.github.io/Logging_2380/kartor/A 56201-2024 karta.png", "A 56201-2024")</f>
        <v/>
      </c>
      <c r="V162">
        <f>HYPERLINK("https://klasma.github.io/Logging_2380/klagomål/A 56201-2024 FSC-klagomål.docx", "A 56201-2024")</f>
        <v/>
      </c>
      <c r="W162">
        <f>HYPERLINK("https://klasma.github.io/Logging_2380/klagomålsmail/A 56201-2024 FSC-klagomål mail.docx", "A 56201-2024")</f>
        <v/>
      </c>
      <c r="X162">
        <f>HYPERLINK("https://klasma.github.io/Logging_2380/tillsyn/A 56201-2024 tillsynsbegäran.docx", "A 56201-2024")</f>
        <v/>
      </c>
      <c r="Y162">
        <f>HYPERLINK("https://klasma.github.io/Logging_2380/tillsynsmail/A 56201-2024 tillsynsbegäran mail.docx", "A 56201-2024")</f>
        <v/>
      </c>
    </row>
    <row r="163" ht="15" customHeight="1">
      <c r="A163" t="inlineStr">
        <is>
          <t>A 11513-2024</t>
        </is>
      </c>
      <c r="B163" s="1" t="n">
        <v>45372</v>
      </c>
      <c r="C163" s="1" t="n">
        <v>46066</v>
      </c>
      <c r="D163" t="inlineStr">
        <is>
          <t>JÄMTLANDS LÄN</t>
        </is>
      </c>
      <c r="E163" t="inlineStr">
        <is>
          <t>ÖSTERSUND</t>
        </is>
      </c>
      <c r="G163" t="n">
        <v>21.2</v>
      </c>
      <c r="H163" t="n">
        <v>0</v>
      </c>
      <c r="I163" t="n">
        <v>1</v>
      </c>
      <c r="J163" t="n">
        <v>0</v>
      </c>
      <c r="K163" t="n">
        <v>0</v>
      </c>
      <c r="L163" t="n">
        <v>0</v>
      </c>
      <c r="M163" t="n">
        <v>0</v>
      </c>
      <c r="N163" t="n">
        <v>0</v>
      </c>
      <c r="O163" t="n">
        <v>0</v>
      </c>
      <c r="P163" t="n">
        <v>0</v>
      </c>
      <c r="Q163" t="n">
        <v>1</v>
      </c>
      <c r="R163" s="2" t="inlineStr">
        <is>
          <t>Tibast</t>
        </is>
      </c>
      <c r="S163">
        <f>HYPERLINK("https://klasma.github.io/Logging_2380/artfynd/A 11513-2024 artfynd.xlsx", "A 11513-2024")</f>
        <v/>
      </c>
      <c r="T163">
        <f>HYPERLINK("https://klasma.github.io/Logging_2380/kartor/A 11513-2024 karta.png", "A 11513-2024")</f>
        <v/>
      </c>
      <c r="V163">
        <f>HYPERLINK("https://klasma.github.io/Logging_2380/klagomål/A 11513-2024 FSC-klagomål.docx", "A 11513-2024")</f>
        <v/>
      </c>
      <c r="W163">
        <f>HYPERLINK("https://klasma.github.io/Logging_2380/klagomålsmail/A 11513-2024 FSC-klagomål mail.docx", "A 11513-2024")</f>
        <v/>
      </c>
      <c r="X163">
        <f>HYPERLINK("https://klasma.github.io/Logging_2380/tillsyn/A 11513-2024 tillsynsbegäran.docx", "A 11513-2024")</f>
        <v/>
      </c>
      <c r="Y163">
        <f>HYPERLINK("https://klasma.github.io/Logging_2380/tillsynsmail/A 11513-2024 tillsynsbegäran mail.docx", "A 11513-2024")</f>
        <v/>
      </c>
    </row>
    <row r="164" ht="15" customHeight="1">
      <c r="A164" t="inlineStr">
        <is>
          <t>A 41279-2024</t>
        </is>
      </c>
      <c r="B164" s="1" t="n">
        <v>45559</v>
      </c>
      <c r="C164" s="1" t="n">
        <v>46066</v>
      </c>
      <c r="D164" t="inlineStr">
        <is>
          <t>JÄMTLANDS LÄN</t>
        </is>
      </c>
      <c r="E164" t="inlineStr">
        <is>
          <t>ÖSTERSUND</t>
        </is>
      </c>
      <c r="F164" t="inlineStr">
        <is>
          <t>SCA</t>
        </is>
      </c>
      <c r="G164" t="n">
        <v>1.6</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41279-2024 artfynd.xlsx", "A 41279-2024")</f>
        <v/>
      </c>
      <c r="T164">
        <f>HYPERLINK("https://klasma.github.io/Logging_2380/kartor/A 41279-2024 karta.png", "A 41279-2024")</f>
        <v/>
      </c>
      <c r="V164">
        <f>HYPERLINK("https://klasma.github.io/Logging_2380/klagomål/A 41279-2024 FSC-klagomål.docx", "A 41279-2024")</f>
        <v/>
      </c>
      <c r="W164">
        <f>HYPERLINK("https://klasma.github.io/Logging_2380/klagomålsmail/A 41279-2024 FSC-klagomål mail.docx", "A 41279-2024")</f>
        <v/>
      </c>
      <c r="X164">
        <f>HYPERLINK("https://klasma.github.io/Logging_2380/tillsyn/A 41279-2024 tillsynsbegäran.docx", "A 41279-2024")</f>
        <v/>
      </c>
      <c r="Y164">
        <f>HYPERLINK("https://klasma.github.io/Logging_2380/tillsynsmail/A 41279-2024 tillsynsbegäran mail.docx", "A 41279-2024")</f>
        <v/>
      </c>
    </row>
    <row r="165" ht="15" customHeight="1">
      <c r="A165" t="inlineStr">
        <is>
          <t>A 58274-2025</t>
        </is>
      </c>
      <c r="B165" s="1" t="n">
        <v>45985.43086805556</v>
      </c>
      <c r="C165" s="1" t="n">
        <v>46066</v>
      </c>
      <c r="D165" t="inlineStr">
        <is>
          <t>JÄMTLANDS LÄN</t>
        </is>
      </c>
      <c r="E165" t="inlineStr">
        <is>
          <t>ÖSTERSUND</t>
        </is>
      </c>
      <c r="F165" t="inlineStr">
        <is>
          <t>Övriga Aktiebolag</t>
        </is>
      </c>
      <c r="G165" t="n">
        <v>18.7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58274-2025 artfynd.xlsx", "A 58274-2025")</f>
        <v/>
      </c>
      <c r="T165">
        <f>HYPERLINK("https://klasma.github.io/Logging_2380/kartor/A 58274-2025 karta.png", "A 58274-2025")</f>
        <v/>
      </c>
      <c r="V165">
        <f>HYPERLINK("https://klasma.github.io/Logging_2380/klagomål/A 58274-2025 FSC-klagomål.docx", "A 58274-2025")</f>
        <v/>
      </c>
      <c r="W165">
        <f>HYPERLINK("https://klasma.github.io/Logging_2380/klagomålsmail/A 58274-2025 FSC-klagomål mail.docx", "A 58274-2025")</f>
        <v/>
      </c>
      <c r="X165">
        <f>HYPERLINK("https://klasma.github.io/Logging_2380/tillsyn/A 58274-2025 tillsynsbegäran.docx", "A 58274-2025")</f>
        <v/>
      </c>
      <c r="Y165">
        <f>HYPERLINK("https://klasma.github.io/Logging_2380/tillsynsmail/A 58274-2025 tillsynsbegäran mail.docx", "A 58274-2025")</f>
        <v/>
      </c>
      <c r="Z165">
        <f>HYPERLINK("https://klasma.github.io/Logging_2380/fåglar/A 58274-2025 prioriterade fågelarter.docx", "A 58274-2025")</f>
        <v/>
      </c>
    </row>
    <row r="166" ht="15" customHeight="1">
      <c r="A166" t="inlineStr">
        <is>
          <t>A 40692-2024</t>
        </is>
      </c>
      <c r="B166" s="1" t="n">
        <v>45558</v>
      </c>
      <c r="C166" s="1" t="n">
        <v>46066</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60966-2025</t>
        </is>
      </c>
      <c r="B167" s="1" t="n">
        <v>45999.67758101852</v>
      </c>
      <c r="C167" s="1" t="n">
        <v>46066</v>
      </c>
      <c r="D167" t="inlineStr">
        <is>
          <t>JÄMTLANDS LÄN</t>
        </is>
      </c>
      <c r="E167" t="inlineStr">
        <is>
          <t>ÖSTERSUND</t>
        </is>
      </c>
      <c r="F167" t="inlineStr">
        <is>
          <t>SCA</t>
        </is>
      </c>
      <c r="G167" t="n">
        <v>1.9</v>
      </c>
      <c r="H167" t="n">
        <v>1</v>
      </c>
      <c r="I167" t="n">
        <v>1</v>
      </c>
      <c r="J167" t="n">
        <v>0</v>
      </c>
      <c r="K167" t="n">
        <v>0</v>
      </c>
      <c r="L167" t="n">
        <v>0</v>
      </c>
      <c r="M167" t="n">
        <v>0</v>
      </c>
      <c r="N167" t="n">
        <v>0</v>
      </c>
      <c r="O167" t="n">
        <v>0</v>
      </c>
      <c r="P167" t="n">
        <v>0</v>
      </c>
      <c r="Q167" t="n">
        <v>1</v>
      </c>
      <c r="R167" s="2" t="inlineStr">
        <is>
          <t>Tvåblad</t>
        </is>
      </c>
      <c r="S167">
        <f>HYPERLINK("https://klasma.github.io/Logging_2380/artfynd/A 60966-2025 artfynd.xlsx", "A 60966-2025")</f>
        <v/>
      </c>
      <c r="T167">
        <f>HYPERLINK("https://klasma.github.io/Logging_2380/kartor/A 60966-2025 karta.png", "A 60966-2025")</f>
        <v/>
      </c>
      <c r="V167">
        <f>HYPERLINK("https://klasma.github.io/Logging_2380/klagomål/A 60966-2025 FSC-klagomål.docx", "A 60966-2025")</f>
        <v/>
      </c>
      <c r="W167">
        <f>HYPERLINK("https://klasma.github.io/Logging_2380/klagomålsmail/A 60966-2025 FSC-klagomål mail.docx", "A 60966-2025")</f>
        <v/>
      </c>
      <c r="X167">
        <f>HYPERLINK("https://klasma.github.io/Logging_2380/tillsyn/A 60966-2025 tillsynsbegäran.docx", "A 60966-2025")</f>
        <v/>
      </c>
      <c r="Y167">
        <f>HYPERLINK("https://klasma.github.io/Logging_2380/tillsynsmail/A 60966-2025 tillsynsbegäran mail.docx", "A 60966-2025")</f>
        <v/>
      </c>
    </row>
    <row r="168" ht="15" customHeight="1">
      <c r="A168" t="inlineStr">
        <is>
          <t>A 3894-2026</t>
        </is>
      </c>
      <c r="B168" s="1" t="n">
        <v>46043.67922453704</v>
      </c>
      <c r="C168" s="1" t="n">
        <v>46066</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Rynkskinn</t>
        </is>
      </c>
      <c r="S168">
        <f>HYPERLINK("https://klasma.github.io/Logging_2380/artfynd/A 3894-2026 artfynd.xlsx", "A 3894-2026")</f>
        <v/>
      </c>
      <c r="T168">
        <f>HYPERLINK("https://klasma.github.io/Logging_2380/kartor/A 3894-2026 karta.png", "A 3894-2026")</f>
        <v/>
      </c>
      <c r="V168">
        <f>HYPERLINK("https://klasma.github.io/Logging_2380/klagomål/A 3894-2026 FSC-klagomål.docx", "A 3894-2026")</f>
        <v/>
      </c>
      <c r="W168">
        <f>HYPERLINK("https://klasma.github.io/Logging_2380/klagomålsmail/A 3894-2026 FSC-klagomål mail.docx", "A 3894-2026")</f>
        <v/>
      </c>
      <c r="X168">
        <f>HYPERLINK("https://klasma.github.io/Logging_2380/tillsyn/A 3894-2026 tillsynsbegäran.docx", "A 3894-2026")</f>
        <v/>
      </c>
      <c r="Y168">
        <f>HYPERLINK("https://klasma.github.io/Logging_2380/tillsynsmail/A 3894-2026 tillsynsbegäran mail.docx", "A 3894-2026")</f>
        <v/>
      </c>
    </row>
    <row r="169" ht="15" customHeight="1">
      <c r="A169" t="inlineStr">
        <is>
          <t>A 3512-2026</t>
        </is>
      </c>
      <c r="B169" s="1" t="n">
        <v>46042.58655092592</v>
      </c>
      <c r="C169" s="1" t="n">
        <v>46066</v>
      </c>
      <c r="D169" t="inlineStr">
        <is>
          <t>JÄMTLANDS LÄN</t>
        </is>
      </c>
      <c r="E169" t="inlineStr">
        <is>
          <t>ÖSTERSUND</t>
        </is>
      </c>
      <c r="G169" t="n">
        <v>5.7</v>
      </c>
      <c r="H169" t="n">
        <v>0</v>
      </c>
      <c r="I169" t="n">
        <v>0</v>
      </c>
      <c r="J169" t="n">
        <v>1</v>
      </c>
      <c r="K169" t="n">
        <v>0</v>
      </c>
      <c r="L169" t="n">
        <v>0</v>
      </c>
      <c r="M169" t="n">
        <v>0</v>
      </c>
      <c r="N169" t="n">
        <v>0</v>
      </c>
      <c r="O169" t="n">
        <v>1</v>
      </c>
      <c r="P169" t="n">
        <v>0</v>
      </c>
      <c r="Q169" t="n">
        <v>1</v>
      </c>
      <c r="R169" s="2" t="inlineStr">
        <is>
          <t>Slåtterfibbla</t>
        </is>
      </c>
      <c r="S169">
        <f>HYPERLINK("https://klasma.github.io/Logging_2380/artfynd/A 3512-2026 artfynd.xlsx", "A 3512-2026")</f>
        <v/>
      </c>
      <c r="T169">
        <f>HYPERLINK("https://klasma.github.io/Logging_2380/kartor/A 3512-2026 karta.png", "A 3512-2026")</f>
        <v/>
      </c>
      <c r="V169">
        <f>HYPERLINK("https://klasma.github.io/Logging_2380/klagomål/A 3512-2026 FSC-klagomål.docx", "A 3512-2026")</f>
        <v/>
      </c>
      <c r="W169">
        <f>HYPERLINK("https://klasma.github.io/Logging_2380/klagomålsmail/A 3512-2026 FSC-klagomål mail.docx", "A 3512-2026")</f>
        <v/>
      </c>
      <c r="X169">
        <f>HYPERLINK("https://klasma.github.io/Logging_2380/tillsyn/A 3512-2026 tillsynsbegäran.docx", "A 3512-2026")</f>
        <v/>
      </c>
      <c r="Y169">
        <f>HYPERLINK("https://klasma.github.io/Logging_2380/tillsynsmail/A 3512-2026 tillsynsbegäran mail.docx", "A 3512-2026")</f>
        <v/>
      </c>
    </row>
    <row r="170" ht="15" customHeight="1">
      <c r="A170" t="inlineStr">
        <is>
          <t>A 40781-2025</t>
        </is>
      </c>
      <c r="B170" s="1" t="n">
        <v>45897</v>
      </c>
      <c r="C170" s="1" t="n">
        <v>46066</v>
      </c>
      <c r="D170" t="inlineStr">
        <is>
          <t>JÄMTLANDS LÄN</t>
        </is>
      </c>
      <c r="E170" t="inlineStr">
        <is>
          <t>ÖSTERSUND</t>
        </is>
      </c>
      <c r="F170" t="inlineStr">
        <is>
          <t>Övriga Aktiebolag</t>
        </is>
      </c>
      <c r="G170" t="n">
        <v>2.2</v>
      </c>
      <c r="H170" t="n">
        <v>1</v>
      </c>
      <c r="I170" t="n">
        <v>0</v>
      </c>
      <c r="J170" t="n">
        <v>0</v>
      </c>
      <c r="K170" t="n">
        <v>0</v>
      </c>
      <c r="L170" t="n">
        <v>0</v>
      </c>
      <c r="M170" t="n">
        <v>0</v>
      </c>
      <c r="N170" t="n">
        <v>0</v>
      </c>
      <c r="O170" t="n">
        <v>0</v>
      </c>
      <c r="P170" t="n">
        <v>0</v>
      </c>
      <c r="Q170" t="n">
        <v>1</v>
      </c>
      <c r="R170" s="2" t="inlineStr">
        <is>
          <t>Blåsippa</t>
        </is>
      </c>
      <c r="S170">
        <f>HYPERLINK("https://klasma.github.io/Logging_2380/artfynd/A 40781-2025 artfynd.xlsx", "A 40781-2025")</f>
        <v/>
      </c>
      <c r="T170">
        <f>HYPERLINK("https://klasma.github.io/Logging_2380/kartor/A 40781-2025 karta.png", "A 40781-2025")</f>
        <v/>
      </c>
      <c r="V170">
        <f>HYPERLINK("https://klasma.github.io/Logging_2380/klagomål/A 40781-2025 FSC-klagomål.docx", "A 40781-2025")</f>
        <v/>
      </c>
      <c r="W170">
        <f>HYPERLINK("https://klasma.github.io/Logging_2380/klagomålsmail/A 40781-2025 FSC-klagomål mail.docx", "A 40781-2025")</f>
        <v/>
      </c>
      <c r="X170">
        <f>HYPERLINK("https://klasma.github.io/Logging_2380/tillsyn/A 40781-2025 tillsynsbegäran.docx", "A 40781-2025")</f>
        <v/>
      </c>
      <c r="Y170">
        <f>HYPERLINK("https://klasma.github.io/Logging_2380/tillsynsmail/A 40781-2025 tillsynsbegäran mail.docx", "A 40781-2025")</f>
        <v/>
      </c>
    </row>
    <row r="171" ht="15" customHeight="1">
      <c r="A171" t="inlineStr">
        <is>
          <t>A 41770-2024</t>
        </is>
      </c>
      <c r="B171" s="1" t="n">
        <v>45561.34641203703</v>
      </c>
      <c r="C171" s="1" t="n">
        <v>46066</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4223-2026</t>
        </is>
      </c>
      <c r="B172" s="1" t="n">
        <v>46044.84650462963</v>
      </c>
      <c r="C172" s="1" t="n">
        <v>46066</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62835-2025</t>
        </is>
      </c>
      <c r="B173" s="1" t="n">
        <v>46008.67969907408</v>
      </c>
      <c r="C173" s="1" t="n">
        <v>46066</v>
      </c>
      <c r="D173" t="inlineStr">
        <is>
          <t>JÄMTLANDS LÄN</t>
        </is>
      </c>
      <c r="E173" t="inlineStr">
        <is>
          <t>ÖSTERSUND</t>
        </is>
      </c>
      <c r="G173" t="n">
        <v>2.2</v>
      </c>
      <c r="H173" t="n">
        <v>0</v>
      </c>
      <c r="I173" t="n">
        <v>0</v>
      </c>
      <c r="J173" t="n">
        <v>1</v>
      </c>
      <c r="K173" t="n">
        <v>0</v>
      </c>
      <c r="L173" t="n">
        <v>0</v>
      </c>
      <c r="M173" t="n">
        <v>0</v>
      </c>
      <c r="N173" t="n">
        <v>0</v>
      </c>
      <c r="O173" t="n">
        <v>1</v>
      </c>
      <c r="P173" t="n">
        <v>0</v>
      </c>
      <c r="Q173" t="n">
        <v>1</v>
      </c>
      <c r="R173" s="2" t="inlineStr">
        <is>
          <t>Åkerkål</t>
        </is>
      </c>
      <c r="S173">
        <f>HYPERLINK("https://klasma.github.io/Logging_2380/artfynd/A 62835-2025 artfynd.xlsx", "A 62835-2025")</f>
        <v/>
      </c>
      <c r="T173">
        <f>HYPERLINK("https://klasma.github.io/Logging_2380/kartor/A 62835-2025 karta.png", "A 62835-2025")</f>
        <v/>
      </c>
      <c r="V173">
        <f>HYPERLINK("https://klasma.github.io/Logging_2380/klagomål/A 62835-2025 FSC-klagomål.docx", "A 62835-2025")</f>
        <v/>
      </c>
      <c r="W173">
        <f>HYPERLINK("https://klasma.github.io/Logging_2380/klagomålsmail/A 62835-2025 FSC-klagomål mail.docx", "A 62835-2025")</f>
        <v/>
      </c>
      <c r="X173">
        <f>HYPERLINK("https://klasma.github.io/Logging_2380/tillsyn/A 62835-2025 tillsynsbegäran.docx", "A 62835-2025")</f>
        <v/>
      </c>
      <c r="Y173">
        <f>HYPERLINK("https://klasma.github.io/Logging_2380/tillsynsmail/A 62835-2025 tillsynsbegäran mail.docx", "A 62835-2025")</f>
        <v/>
      </c>
    </row>
    <row r="174" ht="15" customHeight="1">
      <c r="A174" t="inlineStr">
        <is>
          <t>A 5729-2026</t>
        </is>
      </c>
      <c r="B174" s="1" t="n">
        <v>46051.57149305556</v>
      </c>
      <c r="C174" s="1" t="n">
        <v>46066</v>
      </c>
      <c r="D174" t="inlineStr">
        <is>
          <t>JÄMTLANDS LÄN</t>
        </is>
      </c>
      <c r="E174" t="inlineStr">
        <is>
          <t>ÖSTERSUND</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5729-2026 artfynd.xlsx", "A 5729-2026")</f>
        <v/>
      </c>
      <c r="T174">
        <f>HYPERLINK("https://klasma.github.io/Logging_2380/kartor/A 5729-2026 karta.png", "A 5729-2026")</f>
        <v/>
      </c>
      <c r="V174">
        <f>HYPERLINK("https://klasma.github.io/Logging_2380/klagomål/A 5729-2026 FSC-klagomål.docx", "A 5729-2026")</f>
        <v/>
      </c>
      <c r="W174">
        <f>HYPERLINK("https://klasma.github.io/Logging_2380/klagomålsmail/A 5729-2026 FSC-klagomål mail.docx", "A 5729-2026")</f>
        <v/>
      </c>
      <c r="X174">
        <f>HYPERLINK("https://klasma.github.io/Logging_2380/tillsyn/A 5729-2026 tillsynsbegäran.docx", "A 5729-2026")</f>
        <v/>
      </c>
      <c r="Y174">
        <f>HYPERLINK("https://klasma.github.io/Logging_2380/tillsynsmail/A 5729-2026 tillsynsbegäran mail.docx", "A 5729-2026")</f>
        <v/>
      </c>
    </row>
    <row r="175" ht="15" customHeight="1">
      <c r="A175" t="inlineStr">
        <is>
          <t>A 59433-2021</t>
        </is>
      </c>
      <c r="B175" s="1" t="n">
        <v>44491</v>
      </c>
      <c r="C175" s="1" t="n">
        <v>46066</v>
      </c>
      <c r="D175" t="inlineStr">
        <is>
          <t>JÄMTLANDS LÄN</t>
        </is>
      </c>
      <c r="E175" t="inlineStr">
        <is>
          <t>ÖSTERSUND</t>
        </is>
      </c>
      <c r="F175" t="inlineStr">
        <is>
          <t>Övriga statliga verk och myndigheter</t>
        </is>
      </c>
      <c r="G175" t="n">
        <v>1.6</v>
      </c>
      <c r="H175" t="n">
        <v>0</v>
      </c>
      <c r="I175" t="n">
        <v>0</v>
      </c>
      <c r="J175" t="n">
        <v>1</v>
      </c>
      <c r="K175" t="n">
        <v>0</v>
      </c>
      <c r="L175" t="n">
        <v>0</v>
      </c>
      <c r="M175" t="n">
        <v>0</v>
      </c>
      <c r="N175" t="n">
        <v>0</v>
      </c>
      <c r="O175" t="n">
        <v>1</v>
      </c>
      <c r="P175" t="n">
        <v>0</v>
      </c>
      <c r="Q175" t="n">
        <v>1</v>
      </c>
      <c r="R175" s="2" t="inlineStr">
        <is>
          <t>Brunpudrad nållav</t>
        </is>
      </c>
      <c r="S175">
        <f>HYPERLINK("https://klasma.github.io/Logging_2380/artfynd/A 59433-2021 artfynd.xlsx", "A 59433-2021")</f>
        <v/>
      </c>
      <c r="T175">
        <f>HYPERLINK("https://klasma.github.io/Logging_2380/kartor/A 59433-2021 karta.png", "A 59433-2021")</f>
        <v/>
      </c>
      <c r="V175">
        <f>HYPERLINK("https://klasma.github.io/Logging_2380/klagomål/A 59433-2021 FSC-klagomål.docx", "A 59433-2021")</f>
        <v/>
      </c>
      <c r="W175">
        <f>HYPERLINK("https://klasma.github.io/Logging_2380/klagomålsmail/A 59433-2021 FSC-klagomål mail.docx", "A 59433-2021")</f>
        <v/>
      </c>
      <c r="X175">
        <f>HYPERLINK("https://klasma.github.io/Logging_2380/tillsyn/A 59433-2021 tillsynsbegäran.docx", "A 59433-2021")</f>
        <v/>
      </c>
      <c r="Y175">
        <f>HYPERLINK("https://klasma.github.io/Logging_2380/tillsynsmail/A 59433-2021 tillsynsbegäran mail.docx", "A 59433-2021")</f>
        <v/>
      </c>
    </row>
    <row r="176" ht="15" customHeight="1">
      <c r="A176" t="inlineStr">
        <is>
          <t>A 55-2023</t>
        </is>
      </c>
      <c r="B176" s="1" t="n">
        <v>44928</v>
      </c>
      <c r="C176" s="1" t="n">
        <v>46066</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40696-2024</t>
        </is>
      </c>
      <c r="B177" s="1" t="n">
        <v>45558</v>
      </c>
      <c r="C177" s="1" t="n">
        <v>46066</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43883-2024</t>
        </is>
      </c>
      <c r="B178" s="1" t="n">
        <v>45570</v>
      </c>
      <c r="C178" s="1" t="n">
        <v>46066</v>
      </c>
      <c r="D178" t="inlineStr">
        <is>
          <t>JÄMTLANDS LÄN</t>
        </is>
      </c>
      <c r="E178" t="inlineStr">
        <is>
          <t>ÖSTERSUND</t>
        </is>
      </c>
      <c r="G178" t="n">
        <v>3.8</v>
      </c>
      <c r="H178" t="n">
        <v>0</v>
      </c>
      <c r="I178" t="n">
        <v>0</v>
      </c>
      <c r="J178" t="n">
        <v>0</v>
      </c>
      <c r="K178" t="n">
        <v>1</v>
      </c>
      <c r="L178" t="n">
        <v>0</v>
      </c>
      <c r="M178" t="n">
        <v>0</v>
      </c>
      <c r="N178" t="n">
        <v>0</v>
      </c>
      <c r="O178" t="n">
        <v>1</v>
      </c>
      <c r="P178" t="n">
        <v>1</v>
      </c>
      <c r="Q178" t="n">
        <v>1</v>
      </c>
      <c r="R178" s="2" t="inlineStr">
        <is>
          <t>Frösöstarr</t>
        </is>
      </c>
      <c r="S178">
        <f>HYPERLINK("https://klasma.github.io/Logging_2380/artfynd/A 43883-2024 artfynd.xlsx", "A 43883-2024")</f>
        <v/>
      </c>
      <c r="T178">
        <f>HYPERLINK("https://klasma.github.io/Logging_2380/kartor/A 43883-2024 karta.png", "A 43883-2024")</f>
        <v/>
      </c>
      <c r="V178">
        <f>HYPERLINK("https://klasma.github.io/Logging_2380/klagomål/A 43883-2024 FSC-klagomål.docx", "A 43883-2024")</f>
        <v/>
      </c>
      <c r="W178">
        <f>HYPERLINK("https://klasma.github.io/Logging_2380/klagomålsmail/A 43883-2024 FSC-klagomål mail.docx", "A 43883-2024")</f>
        <v/>
      </c>
      <c r="X178">
        <f>HYPERLINK("https://klasma.github.io/Logging_2380/tillsyn/A 43883-2024 tillsynsbegäran.docx", "A 43883-2024")</f>
        <v/>
      </c>
      <c r="Y178">
        <f>HYPERLINK("https://klasma.github.io/Logging_2380/tillsynsmail/A 43883-2024 tillsynsbegäran mail.docx", "A 43883-2024")</f>
        <v/>
      </c>
    </row>
    <row r="179" ht="15" customHeight="1">
      <c r="A179" t="inlineStr">
        <is>
          <t>A 20620-2021</t>
        </is>
      </c>
      <c r="B179" s="1" t="n">
        <v>44316</v>
      </c>
      <c r="C179" s="1" t="n">
        <v>46066</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46066</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46066</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46066</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64092-2021</t>
        </is>
      </c>
      <c r="B183" s="1" t="n">
        <v>44510.44064814815</v>
      </c>
      <c r="C183" s="1" t="n">
        <v>46066</v>
      </c>
      <c r="D183" t="inlineStr">
        <is>
          <t>JÄMTLANDS LÄN</t>
        </is>
      </c>
      <c r="E183" t="inlineStr">
        <is>
          <t>ÖSTERSUND</t>
        </is>
      </c>
      <c r="G183" t="n">
        <v>5.6</v>
      </c>
      <c r="H183" t="n">
        <v>0</v>
      </c>
      <c r="I183" t="n">
        <v>0</v>
      </c>
      <c r="J183" t="n">
        <v>0</v>
      </c>
      <c r="K183" t="n">
        <v>0</v>
      </c>
      <c r="L183" t="n">
        <v>0</v>
      </c>
      <c r="M183" t="n">
        <v>0</v>
      </c>
      <c r="N183" t="n">
        <v>0</v>
      </c>
      <c r="O183" t="n">
        <v>0</v>
      </c>
      <c r="P183" t="n">
        <v>0</v>
      </c>
      <c r="Q183" t="n">
        <v>0</v>
      </c>
      <c r="R183" s="2" t="inlineStr"/>
    </row>
    <row r="184" ht="15" customHeight="1">
      <c r="A184" t="inlineStr">
        <is>
          <t>A 40038-2021</t>
        </is>
      </c>
      <c r="B184" s="1" t="n">
        <v>44418.45925925926</v>
      </c>
      <c r="C184" s="1" t="n">
        <v>46066</v>
      </c>
      <c r="D184" t="inlineStr">
        <is>
          <t>JÄMTLANDS LÄN</t>
        </is>
      </c>
      <c r="E184" t="inlineStr">
        <is>
          <t>ÖSTERSUND</t>
        </is>
      </c>
      <c r="G184" t="n">
        <v>7</v>
      </c>
      <c r="H184" t="n">
        <v>0</v>
      </c>
      <c r="I184" t="n">
        <v>0</v>
      </c>
      <c r="J184" t="n">
        <v>0</v>
      </c>
      <c r="K184" t="n">
        <v>0</v>
      </c>
      <c r="L184" t="n">
        <v>0</v>
      </c>
      <c r="M184" t="n">
        <v>0</v>
      </c>
      <c r="N184" t="n">
        <v>0</v>
      </c>
      <c r="O184" t="n">
        <v>0</v>
      </c>
      <c r="P184" t="n">
        <v>0</v>
      </c>
      <c r="Q184" t="n">
        <v>0</v>
      </c>
      <c r="R184" s="2" t="inlineStr"/>
    </row>
    <row r="185" ht="15" customHeight="1">
      <c r="A185" t="inlineStr">
        <is>
          <t>A 67695-2021</t>
        </is>
      </c>
      <c r="B185" s="1" t="n">
        <v>44524.94607638889</v>
      </c>
      <c r="C185" s="1" t="n">
        <v>46066</v>
      </c>
      <c r="D185" t="inlineStr">
        <is>
          <t>JÄMTLANDS LÄN</t>
        </is>
      </c>
      <c r="E185" t="inlineStr">
        <is>
          <t>ÖSTERSUND</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32986-2021</t>
        </is>
      </c>
      <c r="B186" s="1" t="n">
        <v>44375</v>
      </c>
      <c r="C186" s="1" t="n">
        <v>46066</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29707-2021</t>
        </is>
      </c>
      <c r="B187" s="1" t="n">
        <v>44362</v>
      </c>
      <c r="C187" s="1" t="n">
        <v>46066</v>
      </c>
      <c r="D187" t="inlineStr">
        <is>
          <t>JÄMTLANDS LÄN</t>
        </is>
      </c>
      <c r="E187" t="inlineStr">
        <is>
          <t>ÖSTERSUND</t>
        </is>
      </c>
      <c r="G187" t="n">
        <v>4</v>
      </c>
      <c r="H187" t="n">
        <v>0</v>
      </c>
      <c r="I187" t="n">
        <v>0</v>
      </c>
      <c r="J187" t="n">
        <v>0</v>
      </c>
      <c r="K187" t="n">
        <v>0</v>
      </c>
      <c r="L187" t="n">
        <v>0</v>
      </c>
      <c r="M187" t="n">
        <v>0</v>
      </c>
      <c r="N187" t="n">
        <v>0</v>
      </c>
      <c r="O187" t="n">
        <v>0</v>
      </c>
      <c r="P187" t="n">
        <v>0</v>
      </c>
      <c r="Q187" t="n">
        <v>0</v>
      </c>
      <c r="R187" s="2" t="inlineStr"/>
    </row>
    <row r="188" ht="15" customHeight="1">
      <c r="A188" t="inlineStr">
        <is>
          <t>A 43951-2022</t>
        </is>
      </c>
      <c r="B188" s="1" t="n">
        <v>44838</v>
      </c>
      <c r="C188" s="1" t="n">
        <v>46066</v>
      </c>
      <c r="D188" t="inlineStr">
        <is>
          <t>JÄMTLANDS LÄN</t>
        </is>
      </c>
      <c r="E188" t="inlineStr">
        <is>
          <t>ÖSTERSUND</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72089-2021</t>
        </is>
      </c>
      <c r="B189" s="1" t="n">
        <v>44540</v>
      </c>
      <c r="C189" s="1" t="n">
        <v>46066</v>
      </c>
      <c r="D189" t="inlineStr">
        <is>
          <t>JÄMTLANDS LÄN</t>
        </is>
      </c>
      <c r="E189" t="inlineStr">
        <is>
          <t>ÖSTERSUND</t>
        </is>
      </c>
      <c r="G189" t="n">
        <v>0.9</v>
      </c>
      <c r="H189" t="n">
        <v>0</v>
      </c>
      <c r="I189" t="n">
        <v>0</v>
      </c>
      <c r="J189" t="n">
        <v>0</v>
      </c>
      <c r="K189" t="n">
        <v>0</v>
      </c>
      <c r="L189" t="n">
        <v>0</v>
      </c>
      <c r="M189" t="n">
        <v>0</v>
      </c>
      <c r="N189" t="n">
        <v>0</v>
      </c>
      <c r="O189" t="n">
        <v>0</v>
      </c>
      <c r="P189" t="n">
        <v>0</v>
      </c>
      <c r="Q189" t="n">
        <v>0</v>
      </c>
      <c r="R189" s="2" t="inlineStr"/>
    </row>
    <row r="190" ht="15" customHeight="1">
      <c r="A190" t="inlineStr">
        <is>
          <t>A 33808-2022</t>
        </is>
      </c>
      <c r="B190" s="1" t="n">
        <v>44790</v>
      </c>
      <c r="C190" s="1" t="n">
        <v>46066</v>
      </c>
      <c r="D190" t="inlineStr">
        <is>
          <t>JÄMTLANDS LÄN</t>
        </is>
      </c>
      <c r="E190" t="inlineStr">
        <is>
          <t>ÖSTERSUND</t>
        </is>
      </c>
      <c r="G190" t="n">
        <v>4.1</v>
      </c>
      <c r="H190" t="n">
        <v>0</v>
      </c>
      <c r="I190" t="n">
        <v>0</v>
      </c>
      <c r="J190" t="n">
        <v>0</v>
      </c>
      <c r="K190" t="n">
        <v>0</v>
      </c>
      <c r="L190" t="n">
        <v>0</v>
      </c>
      <c r="M190" t="n">
        <v>0</v>
      </c>
      <c r="N190" t="n">
        <v>0</v>
      </c>
      <c r="O190" t="n">
        <v>0</v>
      </c>
      <c r="P190" t="n">
        <v>0</v>
      </c>
      <c r="Q190" t="n">
        <v>0</v>
      </c>
      <c r="R190" s="2" t="inlineStr"/>
    </row>
    <row r="191" ht="15" customHeight="1">
      <c r="A191" t="inlineStr">
        <is>
          <t>A 8647-2022</t>
        </is>
      </c>
      <c r="B191" s="1" t="n">
        <v>44613</v>
      </c>
      <c r="C191" s="1" t="n">
        <v>46066</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19541-2021</t>
        </is>
      </c>
      <c r="B192" s="1" t="n">
        <v>44312.41724537037</v>
      </c>
      <c r="C192" s="1" t="n">
        <v>46066</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2880-2022</t>
        </is>
      </c>
      <c r="B193" s="1" t="n">
        <v>44581</v>
      </c>
      <c r="C193" s="1" t="n">
        <v>46066</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10834-2021</t>
        </is>
      </c>
      <c r="B194" s="1" t="n">
        <v>44259</v>
      </c>
      <c r="C194" s="1" t="n">
        <v>46066</v>
      </c>
      <c r="D194" t="inlineStr">
        <is>
          <t>JÄMTLANDS LÄN</t>
        </is>
      </c>
      <c r="E194" t="inlineStr">
        <is>
          <t>ÖSTERSUND</t>
        </is>
      </c>
      <c r="G194" t="n">
        <v>12.2</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46066</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154-2022</t>
        </is>
      </c>
      <c r="B196" s="1" t="n">
        <v>44561</v>
      </c>
      <c r="C196" s="1" t="n">
        <v>46066</v>
      </c>
      <c r="D196" t="inlineStr">
        <is>
          <t>JÄMTLANDS LÄN</t>
        </is>
      </c>
      <c r="E196" t="inlineStr">
        <is>
          <t>ÖSTERSUND</t>
        </is>
      </c>
      <c r="G196" t="n">
        <v>4.2</v>
      </c>
      <c r="H196" t="n">
        <v>0</v>
      </c>
      <c r="I196" t="n">
        <v>0</v>
      </c>
      <c r="J196" t="n">
        <v>0</v>
      </c>
      <c r="K196" t="n">
        <v>0</v>
      </c>
      <c r="L196" t="n">
        <v>0</v>
      </c>
      <c r="M196" t="n">
        <v>0</v>
      </c>
      <c r="N196" t="n">
        <v>0</v>
      </c>
      <c r="O196" t="n">
        <v>0</v>
      </c>
      <c r="P196" t="n">
        <v>0</v>
      </c>
      <c r="Q196" t="n">
        <v>0</v>
      </c>
      <c r="R196" s="2" t="inlineStr"/>
    </row>
    <row r="197" ht="15" customHeight="1">
      <c r="A197" t="inlineStr">
        <is>
          <t>A 14155-2021</t>
        </is>
      </c>
      <c r="B197" s="1" t="n">
        <v>44278.42459490741</v>
      </c>
      <c r="C197" s="1" t="n">
        <v>46066</v>
      </c>
      <c r="D197" t="inlineStr">
        <is>
          <t>JÄMTLANDS LÄN</t>
        </is>
      </c>
      <c r="E197" t="inlineStr">
        <is>
          <t>ÖSTERSUND</t>
        </is>
      </c>
      <c r="G197" t="n">
        <v>2.6</v>
      </c>
      <c r="H197" t="n">
        <v>0</v>
      </c>
      <c r="I197" t="n">
        <v>0</v>
      </c>
      <c r="J197" t="n">
        <v>0</v>
      </c>
      <c r="K197" t="n">
        <v>0</v>
      </c>
      <c r="L197" t="n">
        <v>0</v>
      </c>
      <c r="M197" t="n">
        <v>0</v>
      </c>
      <c r="N197" t="n">
        <v>0</v>
      </c>
      <c r="O197" t="n">
        <v>0</v>
      </c>
      <c r="P197" t="n">
        <v>0</v>
      </c>
      <c r="Q197" t="n">
        <v>0</v>
      </c>
      <c r="R197" s="2" t="inlineStr"/>
    </row>
    <row r="198" ht="15" customHeight="1">
      <c r="A198" t="inlineStr">
        <is>
          <t>A 26254-2021</t>
        </is>
      </c>
      <c r="B198" s="1" t="n">
        <v>44347</v>
      </c>
      <c r="C198" s="1" t="n">
        <v>46066</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46066</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46066</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24706-2021</t>
        </is>
      </c>
      <c r="B201" s="1" t="n">
        <v>44340</v>
      </c>
      <c r="C201" s="1" t="n">
        <v>46066</v>
      </c>
      <c r="D201" t="inlineStr">
        <is>
          <t>JÄMTLANDS LÄN</t>
        </is>
      </c>
      <c r="E201" t="inlineStr">
        <is>
          <t>ÖSTERSUND</t>
        </is>
      </c>
      <c r="G201" t="n">
        <v>5.6</v>
      </c>
      <c r="H201" t="n">
        <v>0</v>
      </c>
      <c r="I201" t="n">
        <v>0</v>
      </c>
      <c r="J201" t="n">
        <v>0</v>
      </c>
      <c r="K201" t="n">
        <v>0</v>
      </c>
      <c r="L201" t="n">
        <v>0</v>
      </c>
      <c r="M201" t="n">
        <v>0</v>
      </c>
      <c r="N201" t="n">
        <v>0</v>
      </c>
      <c r="O201" t="n">
        <v>0</v>
      </c>
      <c r="P201" t="n">
        <v>0</v>
      </c>
      <c r="Q201" t="n">
        <v>0</v>
      </c>
      <c r="R201" s="2" t="inlineStr"/>
    </row>
    <row r="202" ht="15" customHeight="1">
      <c r="A202" t="inlineStr">
        <is>
          <t>A 48947-2021</t>
        </is>
      </c>
      <c r="B202" s="1" t="n">
        <v>44453</v>
      </c>
      <c r="C202" s="1" t="n">
        <v>46066</v>
      </c>
      <c r="D202" t="inlineStr">
        <is>
          <t>JÄMTLANDS LÄN</t>
        </is>
      </c>
      <c r="E202" t="inlineStr">
        <is>
          <t>ÖSTERSUND</t>
        </is>
      </c>
      <c r="G202" t="n">
        <v>22.3</v>
      </c>
      <c r="H202" t="n">
        <v>0</v>
      </c>
      <c r="I202" t="n">
        <v>0</v>
      </c>
      <c r="J202" t="n">
        <v>0</v>
      </c>
      <c r="K202" t="n">
        <v>0</v>
      </c>
      <c r="L202" t="n">
        <v>0</v>
      </c>
      <c r="M202" t="n">
        <v>0</v>
      </c>
      <c r="N202" t="n">
        <v>0</v>
      </c>
      <c r="O202" t="n">
        <v>0</v>
      </c>
      <c r="P202" t="n">
        <v>0</v>
      </c>
      <c r="Q202" t="n">
        <v>0</v>
      </c>
      <c r="R202" s="2" t="inlineStr"/>
    </row>
    <row r="203" ht="15" customHeight="1">
      <c r="A203" t="inlineStr">
        <is>
          <t>A 27061-2021</t>
        </is>
      </c>
      <c r="B203" s="1" t="n">
        <v>44349</v>
      </c>
      <c r="C203" s="1" t="n">
        <v>46066</v>
      </c>
      <c r="D203" t="inlineStr">
        <is>
          <t>JÄMTLANDS LÄN</t>
        </is>
      </c>
      <c r="E203" t="inlineStr">
        <is>
          <t>ÖSTERSUND</t>
        </is>
      </c>
      <c r="G203" t="n">
        <v>3.2</v>
      </c>
      <c r="H203" t="n">
        <v>0</v>
      </c>
      <c r="I203" t="n">
        <v>0</v>
      </c>
      <c r="J203" t="n">
        <v>0</v>
      </c>
      <c r="K203" t="n">
        <v>0</v>
      </c>
      <c r="L203" t="n">
        <v>0</v>
      </c>
      <c r="M203" t="n">
        <v>0</v>
      </c>
      <c r="N203" t="n">
        <v>0</v>
      </c>
      <c r="O203" t="n">
        <v>0</v>
      </c>
      <c r="P203" t="n">
        <v>0</v>
      </c>
      <c r="Q203" t="n">
        <v>0</v>
      </c>
      <c r="R203" s="2" t="inlineStr"/>
    </row>
    <row r="204" ht="15" customHeight="1">
      <c r="A204" t="inlineStr">
        <is>
          <t>A 17362-2021</t>
        </is>
      </c>
      <c r="B204" s="1" t="n">
        <v>44298</v>
      </c>
      <c r="C204" s="1" t="n">
        <v>46066</v>
      </c>
      <c r="D204" t="inlineStr">
        <is>
          <t>JÄMTLANDS LÄN</t>
        </is>
      </c>
      <c r="E204" t="inlineStr">
        <is>
          <t>ÖSTERSUND</t>
        </is>
      </c>
      <c r="G204" t="n">
        <v>3.7</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46066</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695-2022</t>
        </is>
      </c>
      <c r="B206" s="1" t="n">
        <v>44566</v>
      </c>
      <c r="C206" s="1" t="n">
        <v>46066</v>
      </c>
      <c r="D206" t="inlineStr">
        <is>
          <t>JÄMTLANDS LÄN</t>
        </is>
      </c>
      <c r="E206" t="inlineStr">
        <is>
          <t>ÖSTERSUND</t>
        </is>
      </c>
      <c r="G206" t="n">
        <v>14.9</v>
      </c>
      <c r="H206" t="n">
        <v>0</v>
      </c>
      <c r="I206" t="n">
        <v>0</v>
      </c>
      <c r="J206" t="n">
        <v>0</v>
      </c>
      <c r="K206" t="n">
        <v>0</v>
      </c>
      <c r="L206" t="n">
        <v>0</v>
      </c>
      <c r="M206" t="n">
        <v>0</v>
      </c>
      <c r="N206" t="n">
        <v>0</v>
      </c>
      <c r="O206" t="n">
        <v>0</v>
      </c>
      <c r="P206" t="n">
        <v>0</v>
      </c>
      <c r="Q206" t="n">
        <v>0</v>
      </c>
      <c r="R206" s="2" t="inlineStr"/>
    </row>
    <row r="207" ht="15" customHeight="1">
      <c r="A207" t="inlineStr">
        <is>
          <t>A 29828-2022</t>
        </is>
      </c>
      <c r="B207" s="1" t="n">
        <v>44755</v>
      </c>
      <c r="C207" s="1" t="n">
        <v>46066</v>
      </c>
      <c r="D207" t="inlineStr">
        <is>
          <t>JÄMTLANDS LÄN</t>
        </is>
      </c>
      <c r="E207" t="inlineStr">
        <is>
          <t>ÖSTERSUND</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44267-2021</t>
        </is>
      </c>
      <c r="B208" s="1" t="n">
        <v>44434</v>
      </c>
      <c r="C208" s="1" t="n">
        <v>46066</v>
      </c>
      <c r="D208" t="inlineStr">
        <is>
          <t>JÄMTLANDS LÄN</t>
        </is>
      </c>
      <c r="E208" t="inlineStr">
        <is>
          <t>ÖSTERSUND</t>
        </is>
      </c>
      <c r="G208" t="n">
        <v>1.1</v>
      </c>
      <c r="H208" t="n">
        <v>0</v>
      </c>
      <c r="I208" t="n">
        <v>0</v>
      </c>
      <c r="J208" t="n">
        <v>0</v>
      </c>
      <c r="K208" t="n">
        <v>0</v>
      </c>
      <c r="L208" t="n">
        <v>0</v>
      </c>
      <c r="M208" t="n">
        <v>0</v>
      </c>
      <c r="N208" t="n">
        <v>0</v>
      </c>
      <c r="O208" t="n">
        <v>0</v>
      </c>
      <c r="P208" t="n">
        <v>0</v>
      </c>
      <c r="Q208" t="n">
        <v>0</v>
      </c>
      <c r="R208" s="2" t="inlineStr"/>
    </row>
    <row r="209" ht="15" customHeight="1">
      <c r="A209" t="inlineStr">
        <is>
          <t>A 47296-2022</t>
        </is>
      </c>
      <c r="B209" s="1" t="n">
        <v>44852.95248842592</v>
      </c>
      <c r="C209" s="1" t="n">
        <v>46066</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72041-2021</t>
        </is>
      </c>
      <c r="B210" s="1" t="n">
        <v>44540</v>
      </c>
      <c r="C210" s="1" t="n">
        <v>46066</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17596-2021</t>
        </is>
      </c>
      <c r="B211" s="1" t="n">
        <v>44299</v>
      </c>
      <c r="C211" s="1" t="n">
        <v>46066</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23895-2021</t>
        </is>
      </c>
      <c r="B212" s="1" t="n">
        <v>44335</v>
      </c>
      <c r="C212" s="1" t="n">
        <v>46066</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70816-2021</t>
        </is>
      </c>
      <c r="B213" s="1" t="n">
        <v>44537.935</v>
      </c>
      <c r="C213" s="1" t="n">
        <v>46066</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8227-2022</t>
        </is>
      </c>
      <c r="B214" s="1" t="n">
        <v>44609.93075231482</v>
      </c>
      <c r="C214" s="1" t="n">
        <v>46066</v>
      </c>
      <c r="D214" t="inlineStr">
        <is>
          <t>JÄMTLANDS LÄN</t>
        </is>
      </c>
      <c r="E214" t="inlineStr">
        <is>
          <t>ÖSTERSUND</t>
        </is>
      </c>
      <c r="G214" t="n">
        <v>6.6</v>
      </c>
      <c r="H214" t="n">
        <v>0</v>
      </c>
      <c r="I214" t="n">
        <v>0</v>
      </c>
      <c r="J214" t="n">
        <v>0</v>
      </c>
      <c r="K214" t="n">
        <v>0</v>
      </c>
      <c r="L214" t="n">
        <v>0</v>
      </c>
      <c r="M214" t="n">
        <v>0</v>
      </c>
      <c r="N214" t="n">
        <v>0</v>
      </c>
      <c r="O214" t="n">
        <v>0</v>
      </c>
      <c r="P214" t="n">
        <v>0</v>
      </c>
      <c r="Q214" t="n">
        <v>0</v>
      </c>
      <c r="R214" s="2" t="inlineStr"/>
    </row>
    <row r="215" ht="15" customHeight="1">
      <c r="A215" t="inlineStr">
        <is>
          <t>A 56148-2022</t>
        </is>
      </c>
      <c r="B215" s="1" t="n">
        <v>44889.89929398148</v>
      </c>
      <c r="C215" s="1" t="n">
        <v>46066</v>
      </c>
      <c r="D215" t="inlineStr">
        <is>
          <t>JÄMTLANDS LÄN</t>
        </is>
      </c>
      <c r="E215" t="inlineStr">
        <is>
          <t>ÖSTERSUND</t>
        </is>
      </c>
      <c r="G215" t="n">
        <v>1.4</v>
      </c>
      <c r="H215" t="n">
        <v>0</v>
      </c>
      <c r="I215" t="n">
        <v>0</v>
      </c>
      <c r="J215" t="n">
        <v>0</v>
      </c>
      <c r="K215" t="n">
        <v>0</v>
      </c>
      <c r="L215" t="n">
        <v>0</v>
      </c>
      <c r="M215" t="n">
        <v>0</v>
      </c>
      <c r="N215" t="n">
        <v>0</v>
      </c>
      <c r="O215" t="n">
        <v>0</v>
      </c>
      <c r="P215" t="n">
        <v>0</v>
      </c>
      <c r="Q215" t="n">
        <v>0</v>
      </c>
      <c r="R215" s="2" t="inlineStr"/>
    </row>
    <row r="216" ht="15" customHeight="1">
      <c r="A216" t="inlineStr">
        <is>
          <t>A 65866-2021</t>
        </is>
      </c>
      <c r="B216" s="1" t="n">
        <v>44516</v>
      </c>
      <c r="C216" s="1" t="n">
        <v>46066</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46913-2022</t>
        </is>
      </c>
      <c r="B217" s="1" t="n">
        <v>44851</v>
      </c>
      <c r="C217" s="1" t="n">
        <v>46066</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32994-2021</t>
        </is>
      </c>
      <c r="B218" s="1" t="n">
        <v>44375</v>
      </c>
      <c r="C218" s="1" t="n">
        <v>46066</v>
      </c>
      <c r="D218" t="inlineStr">
        <is>
          <t>JÄMTLANDS LÄN</t>
        </is>
      </c>
      <c r="E218" t="inlineStr">
        <is>
          <t>ÖSTERSUND</t>
        </is>
      </c>
      <c r="G218" t="n">
        <v>0.1</v>
      </c>
      <c r="H218" t="n">
        <v>0</v>
      </c>
      <c r="I218" t="n">
        <v>0</v>
      </c>
      <c r="J218" t="n">
        <v>0</v>
      </c>
      <c r="K218" t="n">
        <v>0</v>
      </c>
      <c r="L218" t="n">
        <v>0</v>
      </c>
      <c r="M218" t="n">
        <v>0</v>
      </c>
      <c r="N218" t="n">
        <v>0</v>
      </c>
      <c r="O218" t="n">
        <v>0</v>
      </c>
      <c r="P218" t="n">
        <v>0</v>
      </c>
      <c r="Q218" t="n">
        <v>0</v>
      </c>
      <c r="R218" s="2" t="inlineStr"/>
    </row>
    <row r="219" ht="15" customHeight="1">
      <c r="A219" t="inlineStr">
        <is>
          <t>A 55105-2022</t>
        </is>
      </c>
      <c r="B219" s="1" t="n">
        <v>44886.63148148148</v>
      </c>
      <c r="C219" s="1" t="n">
        <v>46066</v>
      </c>
      <c r="D219" t="inlineStr">
        <is>
          <t>JÄMTLANDS LÄN</t>
        </is>
      </c>
      <c r="E219" t="inlineStr">
        <is>
          <t>ÖSTERSUND</t>
        </is>
      </c>
      <c r="F219" t="inlineStr">
        <is>
          <t>Övriga Aktiebolag</t>
        </is>
      </c>
      <c r="G219" t="n">
        <v>2.4</v>
      </c>
      <c r="H219" t="n">
        <v>0</v>
      </c>
      <c r="I219" t="n">
        <v>0</v>
      </c>
      <c r="J219" t="n">
        <v>0</v>
      </c>
      <c r="K219" t="n">
        <v>0</v>
      </c>
      <c r="L219" t="n">
        <v>0</v>
      </c>
      <c r="M219" t="n">
        <v>0</v>
      </c>
      <c r="N219" t="n">
        <v>0</v>
      </c>
      <c r="O219" t="n">
        <v>0</v>
      </c>
      <c r="P219" t="n">
        <v>0</v>
      </c>
      <c r="Q219" t="n">
        <v>0</v>
      </c>
      <c r="R219" s="2" t="inlineStr"/>
      <c r="U219">
        <f>HYPERLINK("https://klasma.github.io/Logging_2380/knärot/A 55105-2022 karta knärot.png", "A 55105-2022")</f>
        <v/>
      </c>
      <c r="V219">
        <f>HYPERLINK("https://klasma.github.io/Logging_2380/klagomål/A 55105-2022 FSC-klagomål.docx", "A 55105-2022")</f>
        <v/>
      </c>
      <c r="W219">
        <f>HYPERLINK("https://klasma.github.io/Logging_2380/klagomålsmail/A 55105-2022 FSC-klagomål mail.docx", "A 55105-2022")</f>
        <v/>
      </c>
      <c r="X219">
        <f>HYPERLINK("https://klasma.github.io/Logging_2380/tillsyn/A 55105-2022 tillsynsbegäran.docx", "A 55105-2022")</f>
        <v/>
      </c>
      <c r="Y219">
        <f>HYPERLINK("https://klasma.github.io/Logging_2380/tillsynsmail/A 55105-2022 tillsynsbegäran mail.docx", "A 55105-2022")</f>
        <v/>
      </c>
    </row>
    <row r="220" ht="15" customHeight="1">
      <c r="A220" t="inlineStr">
        <is>
          <t>A 52898-2022</t>
        </is>
      </c>
      <c r="B220" s="1" t="n">
        <v>44875</v>
      </c>
      <c r="C220" s="1" t="n">
        <v>46066</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65428-2021</t>
        </is>
      </c>
      <c r="B221" s="1" t="n">
        <v>44515</v>
      </c>
      <c r="C221" s="1" t="n">
        <v>46066</v>
      </c>
      <c r="D221" t="inlineStr">
        <is>
          <t>JÄMTLANDS LÄN</t>
        </is>
      </c>
      <c r="E221" t="inlineStr">
        <is>
          <t>ÖSTERSUND</t>
        </is>
      </c>
      <c r="F221" t="inlineStr">
        <is>
          <t>SCA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29094-2022</t>
        </is>
      </c>
      <c r="B222" s="1" t="n">
        <v>44750</v>
      </c>
      <c r="C222" s="1" t="n">
        <v>46066</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71956-2021</t>
        </is>
      </c>
      <c r="B223" s="1" t="n">
        <v>44544</v>
      </c>
      <c r="C223" s="1" t="n">
        <v>46066</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27575-2022</t>
        </is>
      </c>
      <c r="B224" s="1" t="n">
        <v>44742</v>
      </c>
      <c r="C224" s="1" t="n">
        <v>46066</v>
      </c>
      <c r="D224" t="inlineStr">
        <is>
          <t>JÄMTLANDS LÄN</t>
        </is>
      </c>
      <c r="E224" t="inlineStr">
        <is>
          <t>ÖSTERSUND</t>
        </is>
      </c>
      <c r="F224" t="inlineStr">
        <is>
          <t>SCA</t>
        </is>
      </c>
      <c r="G224" t="n">
        <v>2.4</v>
      </c>
      <c r="H224" t="n">
        <v>0</v>
      </c>
      <c r="I224" t="n">
        <v>0</v>
      </c>
      <c r="J224" t="n">
        <v>0</v>
      </c>
      <c r="K224" t="n">
        <v>0</v>
      </c>
      <c r="L224" t="n">
        <v>0</v>
      </c>
      <c r="M224" t="n">
        <v>0</v>
      </c>
      <c r="N224" t="n">
        <v>0</v>
      </c>
      <c r="O224" t="n">
        <v>0</v>
      </c>
      <c r="P224" t="n">
        <v>0</v>
      </c>
      <c r="Q224" t="n">
        <v>0</v>
      </c>
      <c r="R224" s="2" t="inlineStr"/>
      <c r="U224">
        <f>HYPERLINK("https://klasma.github.io/Logging_2380/knärot/A 27575-2022 karta knärot.png", "A 27575-2022")</f>
        <v/>
      </c>
      <c r="V224">
        <f>HYPERLINK("https://klasma.github.io/Logging_2380/klagomål/A 27575-2022 FSC-klagomål.docx", "A 27575-2022")</f>
        <v/>
      </c>
      <c r="W224">
        <f>HYPERLINK("https://klasma.github.io/Logging_2380/klagomålsmail/A 27575-2022 FSC-klagomål mail.docx", "A 27575-2022")</f>
        <v/>
      </c>
      <c r="X224">
        <f>HYPERLINK("https://klasma.github.io/Logging_2380/tillsyn/A 27575-2022 tillsynsbegäran.docx", "A 27575-2022")</f>
        <v/>
      </c>
      <c r="Y224">
        <f>HYPERLINK("https://klasma.github.io/Logging_2380/tillsynsmail/A 27575-2022 tillsynsbegäran mail.docx", "A 27575-2022")</f>
        <v/>
      </c>
    </row>
    <row r="225" ht="15" customHeight="1">
      <c r="A225" t="inlineStr">
        <is>
          <t>A 6458-2022</t>
        </is>
      </c>
      <c r="B225" s="1" t="n">
        <v>44601.36165509259</v>
      </c>
      <c r="C225" s="1" t="n">
        <v>46066</v>
      </c>
      <c r="D225" t="inlineStr">
        <is>
          <t>JÄMTLANDS LÄN</t>
        </is>
      </c>
      <c r="E225" t="inlineStr">
        <is>
          <t>ÖSTERSUND</t>
        </is>
      </c>
      <c r="G225" t="n">
        <v>3.1</v>
      </c>
      <c r="H225" t="n">
        <v>0</v>
      </c>
      <c r="I225" t="n">
        <v>0</v>
      </c>
      <c r="J225" t="n">
        <v>0</v>
      </c>
      <c r="K225" t="n">
        <v>0</v>
      </c>
      <c r="L225" t="n">
        <v>0</v>
      </c>
      <c r="M225" t="n">
        <v>0</v>
      </c>
      <c r="N225" t="n">
        <v>0</v>
      </c>
      <c r="O225" t="n">
        <v>0</v>
      </c>
      <c r="P225" t="n">
        <v>0</v>
      </c>
      <c r="Q225" t="n">
        <v>0</v>
      </c>
      <c r="R225" s="2" t="inlineStr"/>
    </row>
    <row r="226" ht="15" customHeight="1">
      <c r="A226" t="inlineStr">
        <is>
          <t>A 65991-2021</t>
        </is>
      </c>
      <c r="B226" s="1" t="n">
        <v>44517.55134259259</v>
      </c>
      <c r="C226" s="1" t="n">
        <v>46066</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46066</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46066</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23551-2022</t>
        </is>
      </c>
      <c r="B229" s="1" t="n">
        <v>44721</v>
      </c>
      <c r="C229" s="1" t="n">
        <v>46066</v>
      </c>
      <c r="D229" t="inlineStr">
        <is>
          <t>JÄMTLANDS LÄN</t>
        </is>
      </c>
      <c r="E229" t="inlineStr">
        <is>
          <t>ÖSTERSUND</t>
        </is>
      </c>
      <c r="G229" t="n">
        <v>0.3</v>
      </c>
      <c r="H229" t="n">
        <v>0</v>
      </c>
      <c r="I229" t="n">
        <v>0</v>
      </c>
      <c r="J229" t="n">
        <v>0</v>
      </c>
      <c r="K229" t="n">
        <v>0</v>
      </c>
      <c r="L229" t="n">
        <v>0</v>
      </c>
      <c r="M229" t="n">
        <v>0</v>
      </c>
      <c r="N229" t="n">
        <v>0</v>
      </c>
      <c r="O229" t="n">
        <v>0</v>
      </c>
      <c r="P229" t="n">
        <v>0</v>
      </c>
      <c r="Q229" t="n">
        <v>0</v>
      </c>
      <c r="R229" s="2" t="inlineStr"/>
    </row>
    <row r="230" ht="15" customHeight="1">
      <c r="A230" t="inlineStr">
        <is>
          <t>A 45654-2022</t>
        </is>
      </c>
      <c r="B230" s="1" t="n">
        <v>44845.67710648148</v>
      </c>
      <c r="C230" s="1" t="n">
        <v>46066</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42832-2021</t>
        </is>
      </c>
      <c r="B231" s="1" t="n">
        <v>44430</v>
      </c>
      <c r="C231" s="1" t="n">
        <v>46066</v>
      </c>
      <c r="D231" t="inlineStr">
        <is>
          <t>JÄMTLANDS LÄN</t>
        </is>
      </c>
      <c r="E231" t="inlineStr">
        <is>
          <t>ÖSTERSUND</t>
        </is>
      </c>
      <c r="G231" t="n">
        <v>9</v>
      </c>
      <c r="H231" t="n">
        <v>0</v>
      </c>
      <c r="I231" t="n">
        <v>0</v>
      </c>
      <c r="J231" t="n">
        <v>0</v>
      </c>
      <c r="K231" t="n">
        <v>0</v>
      </c>
      <c r="L231" t="n">
        <v>0</v>
      </c>
      <c r="M231" t="n">
        <v>0</v>
      </c>
      <c r="N231" t="n">
        <v>0</v>
      </c>
      <c r="O231" t="n">
        <v>0</v>
      </c>
      <c r="P231" t="n">
        <v>0</v>
      </c>
      <c r="Q231" t="n">
        <v>0</v>
      </c>
      <c r="R231" s="2" t="inlineStr"/>
    </row>
    <row r="232" ht="15" customHeight="1">
      <c r="A232" t="inlineStr">
        <is>
          <t>A 35755-2021</t>
        </is>
      </c>
      <c r="B232" s="1" t="n">
        <v>44385</v>
      </c>
      <c r="C232" s="1" t="n">
        <v>46066</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2627-2024</t>
        </is>
      </c>
      <c r="B233" s="1" t="n">
        <v>45313.9496875</v>
      </c>
      <c r="C233" s="1" t="n">
        <v>46066</v>
      </c>
      <c r="D233" t="inlineStr">
        <is>
          <t>JÄMTLANDS LÄN</t>
        </is>
      </c>
      <c r="E233" t="inlineStr">
        <is>
          <t>ÖSTERSUND</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10590-2021</t>
        </is>
      </c>
      <c r="B234" s="1" t="n">
        <v>44258</v>
      </c>
      <c r="C234" s="1" t="n">
        <v>46066</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32990-2021</t>
        </is>
      </c>
      <c r="B235" s="1" t="n">
        <v>44375</v>
      </c>
      <c r="C235" s="1" t="n">
        <v>46066</v>
      </c>
      <c r="D235" t="inlineStr">
        <is>
          <t>JÄMTLANDS LÄN</t>
        </is>
      </c>
      <c r="E235" t="inlineStr">
        <is>
          <t>ÖSTERSUND</t>
        </is>
      </c>
      <c r="G235" t="n">
        <v>0.2</v>
      </c>
      <c r="H235" t="n">
        <v>0</v>
      </c>
      <c r="I235" t="n">
        <v>0</v>
      </c>
      <c r="J235" t="n">
        <v>0</v>
      </c>
      <c r="K235" t="n">
        <v>0</v>
      </c>
      <c r="L235" t="n">
        <v>0</v>
      </c>
      <c r="M235" t="n">
        <v>0</v>
      </c>
      <c r="N235" t="n">
        <v>0</v>
      </c>
      <c r="O235" t="n">
        <v>0</v>
      </c>
      <c r="P235" t="n">
        <v>0</v>
      </c>
      <c r="Q235" t="n">
        <v>0</v>
      </c>
      <c r="R235" s="2" t="inlineStr"/>
    </row>
    <row r="236" ht="15" customHeight="1">
      <c r="A236" t="inlineStr">
        <is>
          <t>A 24721-2021</t>
        </is>
      </c>
      <c r="B236" s="1" t="n">
        <v>44340</v>
      </c>
      <c r="C236" s="1" t="n">
        <v>46066</v>
      </c>
      <c r="D236" t="inlineStr">
        <is>
          <t>JÄMTLANDS LÄN</t>
        </is>
      </c>
      <c r="E236" t="inlineStr">
        <is>
          <t>ÖSTERSUND</t>
        </is>
      </c>
      <c r="G236" t="n">
        <v>2.7</v>
      </c>
      <c r="H236" t="n">
        <v>0</v>
      </c>
      <c r="I236" t="n">
        <v>0</v>
      </c>
      <c r="J236" t="n">
        <v>0</v>
      </c>
      <c r="K236" t="n">
        <v>0</v>
      </c>
      <c r="L236" t="n">
        <v>0</v>
      </c>
      <c r="M236" t="n">
        <v>0</v>
      </c>
      <c r="N236" t="n">
        <v>0</v>
      </c>
      <c r="O236" t="n">
        <v>0</v>
      </c>
      <c r="P236" t="n">
        <v>0</v>
      </c>
      <c r="Q236" t="n">
        <v>0</v>
      </c>
      <c r="R236" s="2" t="inlineStr"/>
    </row>
    <row r="237" ht="15" customHeight="1">
      <c r="A237" t="inlineStr">
        <is>
          <t>A 21849-2021</t>
        </is>
      </c>
      <c r="B237" s="1" t="n">
        <v>44322</v>
      </c>
      <c r="C237" s="1" t="n">
        <v>46066</v>
      </c>
      <c r="D237" t="inlineStr">
        <is>
          <t>JÄMTLANDS LÄN</t>
        </is>
      </c>
      <c r="E237" t="inlineStr">
        <is>
          <t>ÖSTERSUND</t>
        </is>
      </c>
      <c r="G237" t="n">
        <v>2.5</v>
      </c>
      <c r="H237" t="n">
        <v>0</v>
      </c>
      <c r="I237" t="n">
        <v>0</v>
      </c>
      <c r="J237" t="n">
        <v>0</v>
      </c>
      <c r="K237" t="n">
        <v>0</v>
      </c>
      <c r="L237" t="n">
        <v>0</v>
      </c>
      <c r="M237" t="n">
        <v>0</v>
      </c>
      <c r="N237" t="n">
        <v>0</v>
      </c>
      <c r="O237" t="n">
        <v>0</v>
      </c>
      <c r="P237" t="n">
        <v>0</v>
      </c>
      <c r="Q237" t="n">
        <v>0</v>
      </c>
      <c r="R237" s="2" t="inlineStr"/>
    </row>
    <row r="238" ht="15" customHeight="1">
      <c r="A238" t="inlineStr">
        <is>
          <t>A 72061-2021</t>
        </is>
      </c>
      <c r="B238" s="1" t="n">
        <v>44540</v>
      </c>
      <c r="C238" s="1" t="n">
        <v>46066</v>
      </c>
      <c r="D238" t="inlineStr">
        <is>
          <t>JÄMTLANDS LÄN</t>
        </is>
      </c>
      <c r="E238" t="inlineStr">
        <is>
          <t>ÖSTERSUND</t>
        </is>
      </c>
      <c r="G238" t="n">
        <v>5.3</v>
      </c>
      <c r="H238" t="n">
        <v>0</v>
      </c>
      <c r="I238" t="n">
        <v>0</v>
      </c>
      <c r="J238" t="n">
        <v>0</v>
      </c>
      <c r="K238" t="n">
        <v>0</v>
      </c>
      <c r="L238" t="n">
        <v>0</v>
      </c>
      <c r="M238" t="n">
        <v>0</v>
      </c>
      <c r="N238" t="n">
        <v>0</v>
      </c>
      <c r="O238" t="n">
        <v>0</v>
      </c>
      <c r="P238" t="n">
        <v>0</v>
      </c>
      <c r="Q238" t="n">
        <v>0</v>
      </c>
      <c r="R238" s="2" t="inlineStr"/>
    </row>
    <row r="239" ht="15" customHeight="1">
      <c r="A239" t="inlineStr">
        <is>
          <t>A 14657-2022</t>
        </is>
      </c>
      <c r="B239" s="1" t="n">
        <v>44655</v>
      </c>
      <c r="C239" s="1" t="n">
        <v>46066</v>
      </c>
      <c r="D239" t="inlineStr">
        <is>
          <t>JÄMTLANDS LÄN</t>
        </is>
      </c>
      <c r="E239" t="inlineStr">
        <is>
          <t>ÖSTERSUND</t>
        </is>
      </c>
      <c r="G239" t="n">
        <v>1.1</v>
      </c>
      <c r="H239" t="n">
        <v>0</v>
      </c>
      <c r="I239" t="n">
        <v>0</v>
      </c>
      <c r="J239" t="n">
        <v>0</v>
      </c>
      <c r="K239" t="n">
        <v>0</v>
      </c>
      <c r="L239" t="n">
        <v>0</v>
      </c>
      <c r="M239" t="n">
        <v>0</v>
      </c>
      <c r="N239" t="n">
        <v>0</v>
      </c>
      <c r="O239" t="n">
        <v>0</v>
      </c>
      <c r="P239" t="n">
        <v>0</v>
      </c>
      <c r="Q239" t="n">
        <v>0</v>
      </c>
      <c r="R239" s="2" t="inlineStr"/>
    </row>
    <row r="240" ht="15" customHeight="1">
      <c r="A240" t="inlineStr">
        <is>
          <t>A 5145-2022</t>
        </is>
      </c>
      <c r="B240" s="1" t="n">
        <v>44594</v>
      </c>
      <c r="C240" s="1" t="n">
        <v>46066</v>
      </c>
      <c r="D240" t="inlineStr">
        <is>
          <t>JÄMTLANDS LÄN</t>
        </is>
      </c>
      <c r="E240" t="inlineStr">
        <is>
          <t>ÖSTERSUND</t>
        </is>
      </c>
      <c r="G240" t="n">
        <v>2.6</v>
      </c>
      <c r="H240" t="n">
        <v>0</v>
      </c>
      <c r="I240" t="n">
        <v>0</v>
      </c>
      <c r="J240" t="n">
        <v>0</v>
      </c>
      <c r="K240" t="n">
        <v>0</v>
      </c>
      <c r="L240" t="n">
        <v>0</v>
      </c>
      <c r="M240" t="n">
        <v>0</v>
      </c>
      <c r="N240" t="n">
        <v>0</v>
      </c>
      <c r="O240" t="n">
        <v>0</v>
      </c>
      <c r="P240" t="n">
        <v>0</v>
      </c>
      <c r="Q240" t="n">
        <v>0</v>
      </c>
      <c r="R240" s="2" t="inlineStr"/>
    </row>
    <row r="241" ht="15" customHeight="1">
      <c r="A241" t="inlineStr">
        <is>
          <t>A 21211-2022</t>
        </is>
      </c>
      <c r="B241" s="1" t="n">
        <v>44704.94370370371</v>
      </c>
      <c r="C241" s="1" t="n">
        <v>46066</v>
      </c>
      <c r="D241" t="inlineStr">
        <is>
          <t>JÄMTLANDS LÄN</t>
        </is>
      </c>
      <c r="E241" t="inlineStr">
        <is>
          <t>ÖSTERSUND</t>
        </is>
      </c>
      <c r="F241" t="inlineStr">
        <is>
          <t>SCA</t>
        </is>
      </c>
      <c r="G241" t="n">
        <v>3</v>
      </c>
      <c r="H241" t="n">
        <v>0</v>
      </c>
      <c r="I241" t="n">
        <v>0</v>
      </c>
      <c r="J241" t="n">
        <v>0</v>
      </c>
      <c r="K241" t="n">
        <v>0</v>
      </c>
      <c r="L241" t="n">
        <v>0</v>
      </c>
      <c r="M241" t="n">
        <v>0</v>
      </c>
      <c r="N241" t="n">
        <v>0</v>
      </c>
      <c r="O241" t="n">
        <v>0</v>
      </c>
      <c r="P241" t="n">
        <v>0</v>
      </c>
      <c r="Q241" t="n">
        <v>0</v>
      </c>
      <c r="R241" s="2" t="inlineStr"/>
    </row>
    <row r="242" ht="15" customHeight="1">
      <c r="A242" t="inlineStr">
        <is>
          <t>A 63099-2023</t>
        </is>
      </c>
      <c r="B242" s="1" t="n">
        <v>45273</v>
      </c>
      <c r="C242" s="1" t="n">
        <v>46066</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49592-2024</t>
        </is>
      </c>
      <c r="B243" s="1" t="n">
        <v>45596.55266203704</v>
      </c>
      <c r="C243" s="1" t="n">
        <v>46066</v>
      </c>
      <c r="D243" t="inlineStr">
        <is>
          <t>JÄMTLANDS LÄN</t>
        </is>
      </c>
      <c r="E243" t="inlineStr">
        <is>
          <t>ÖSTERSUND</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35556-2022</t>
        </is>
      </c>
      <c r="B244" s="1" t="n">
        <v>44799</v>
      </c>
      <c r="C244" s="1" t="n">
        <v>46066</v>
      </c>
      <c r="D244" t="inlineStr">
        <is>
          <t>JÄMTLANDS LÄN</t>
        </is>
      </c>
      <c r="E244" t="inlineStr">
        <is>
          <t>ÖSTERSUND</t>
        </is>
      </c>
      <c r="G244" t="n">
        <v>3.6</v>
      </c>
      <c r="H244" t="n">
        <v>0</v>
      </c>
      <c r="I244" t="n">
        <v>0</v>
      </c>
      <c r="J244" t="n">
        <v>0</v>
      </c>
      <c r="K244" t="n">
        <v>0</v>
      </c>
      <c r="L244" t="n">
        <v>0</v>
      </c>
      <c r="M244" t="n">
        <v>0</v>
      </c>
      <c r="N244" t="n">
        <v>0</v>
      </c>
      <c r="O244" t="n">
        <v>0</v>
      </c>
      <c r="P244" t="n">
        <v>0</v>
      </c>
      <c r="Q244" t="n">
        <v>0</v>
      </c>
      <c r="R244" s="2" t="inlineStr"/>
    </row>
    <row r="245" ht="15" customHeight="1">
      <c r="A245" t="inlineStr">
        <is>
          <t>A 6013-2022</t>
        </is>
      </c>
      <c r="B245" s="1" t="n">
        <v>44599.45850694444</v>
      </c>
      <c r="C245" s="1" t="n">
        <v>46066</v>
      </c>
      <c r="D245" t="inlineStr">
        <is>
          <t>JÄMTLANDS LÄN</t>
        </is>
      </c>
      <c r="E245" t="inlineStr">
        <is>
          <t>ÖSTERSUND</t>
        </is>
      </c>
      <c r="G245" t="n">
        <v>2.5</v>
      </c>
      <c r="H245" t="n">
        <v>0</v>
      </c>
      <c r="I245" t="n">
        <v>0</v>
      </c>
      <c r="J245" t="n">
        <v>0</v>
      </c>
      <c r="K245" t="n">
        <v>0</v>
      </c>
      <c r="L245" t="n">
        <v>0</v>
      </c>
      <c r="M245" t="n">
        <v>0</v>
      </c>
      <c r="N245" t="n">
        <v>0</v>
      </c>
      <c r="O245" t="n">
        <v>0</v>
      </c>
      <c r="P245" t="n">
        <v>0</v>
      </c>
      <c r="Q245" t="n">
        <v>0</v>
      </c>
      <c r="R245" s="2" t="inlineStr"/>
    </row>
    <row r="246" ht="15" customHeight="1">
      <c r="A246" t="inlineStr">
        <is>
          <t>A 45980-2023</t>
        </is>
      </c>
      <c r="B246" s="1" t="n">
        <v>45189</v>
      </c>
      <c r="C246" s="1" t="n">
        <v>46066</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53802-2022</t>
        </is>
      </c>
      <c r="B247" s="1" t="n">
        <v>44875</v>
      </c>
      <c r="C247" s="1" t="n">
        <v>46066</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45634.72633101852</v>
      </c>
      <c r="C248" s="1" t="n">
        <v>46066</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31464-2024</t>
        </is>
      </c>
      <c r="B249" s="1" t="n">
        <v>45505.95078703704</v>
      </c>
      <c r="C249" s="1" t="n">
        <v>46066</v>
      </c>
      <c r="D249" t="inlineStr">
        <is>
          <t>JÄMTLANDS LÄN</t>
        </is>
      </c>
      <c r="E249" t="inlineStr">
        <is>
          <t>ÖSTERSUND</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7573-2022</t>
        </is>
      </c>
      <c r="B250" s="1" t="n">
        <v>44607</v>
      </c>
      <c r="C250" s="1" t="n">
        <v>46066</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46066</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46066</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44911.93994212963</v>
      </c>
      <c r="C253" s="1" t="n">
        <v>46066</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10493-2025</t>
        </is>
      </c>
      <c r="B254" s="1" t="n">
        <v>45721.36320601852</v>
      </c>
      <c r="C254" s="1" t="n">
        <v>46066</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1255-2025</t>
        </is>
      </c>
      <c r="B255" s="1" t="n">
        <v>45667.46922453704</v>
      </c>
      <c r="C255" s="1" t="n">
        <v>46066</v>
      </c>
      <c r="D255" t="inlineStr">
        <is>
          <t>JÄMTLANDS LÄN</t>
        </is>
      </c>
      <c r="E255" t="inlineStr">
        <is>
          <t>ÖSTERSUND</t>
        </is>
      </c>
      <c r="F255" t="inlineStr">
        <is>
          <t>SCA</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48106-2024</t>
        </is>
      </c>
      <c r="B256" s="1" t="n">
        <v>45589.62625</v>
      </c>
      <c r="C256" s="1" t="n">
        <v>46066</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46066</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4521-2025</t>
        </is>
      </c>
      <c r="B258" s="1" t="n">
        <v>45686</v>
      </c>
      <c r="C258" s="1" t="n">
        <v>46066</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43557-2024</t>
        </is>
      </c>
      <c r="B259" s="1" t="n">
        <v>45569.39229166666</v>
      </c>
      <c r="C259" s="1" t="n">
        <v>46066</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47627-2024</t>
        </is>
      </c>
      <c r="B260" s="1" t="n">
        <v>45588.3440625</v>
      </c>
      <c r="C260" s="1" t="n">
        <v>46066</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47628-2024</t>
        </is>
      </c>
      <c r="B261" s="1" t="n">
        <v>45588.34418981482</v>
      </c>
      <c r="C261" s="1" t="n">
        <v>46066</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24246-2024</t>
        </is>
      </c>
      <c r="B262" s="1" t="n">
        <v>45457.37893518519</v>
      </c>
      <c r="C262" s="1" t="n">
        <v>46066</v>
      </c>
      <c r="D262" t="inlineStr">
        <is>
          <t>JÄMTLANDS LÄN</t>
        </is>
      </c>
      <c r="E262" t="inlineStr">
        <is>
          <t>ÖSTERSUND</t>
        </is>
      </c>
      <c r="G262" t="n">
        <v>5.3</v>
      </c>
      <c r="H262" t="n">
        <v>0</v>
      </c>
      <c r="I262" t="n">
        <v>0</v>
      </c>
      <c r="J262" t="n">
        <v>0</v>
      </c>
      <c r="K262" t="n">
        <v>0</v>
      </c>
      <c r="L262" t="n">
        <v>0</v>
      </c>
      <c r="M262" t="n">
        <v>0</v>
      </c>
      <c r="N262" t="n">
        <v>0</v>
      </c>
      <c r="O262" t="n">
        <v>0</v>
      </c>
      <c r="P262" t="n">
        <v>0</v>
      </c>
      <c r="Q262" t="n">
        <v>0</v>
      </c>
      <c r="R262" s="2" t="inlineStr"/>
    </row>
    <row r="263" ht="15" customHeight="1">
      <c r="A263" t="inlineStr">
        <is>
          <t>A 55666-2023</t>
        </is>
      </c>
      <c r="B263" s="1" t="n">
        <v>45238.96770833333</v>
      </c>
      <c r="C263" s="1" t="n">
        <v>46066</v>
      </c>
      <c r="D263" t="inlineStr">
        <is>
          <t>JÄMTLANDS LÄN</t>
        </is>
      </c>
      <c r="E263" t="inlineStr">
        <is>
          <t>ÖSTERSUND</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9109-2024</t>
        </is>
      </c>
      <c r="B264" s="1" t="n">
        <v>45357.96106481482</v>
      </c>
      <c r="C264" s="1" t="n">
        <v>46066</v>
      </c>
      <c r="D264" t="inlineStr">
        <is>
          <t>JÄMTLANDS LÄN</t>
        </is>
      </c>
      <c r="E264" t="inlineStr">
        <is>
          <t>ÖSTERSUND</t>
        </is>
      </c>
      <c r="G264" t="n">
        <v>17.1</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46066</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46066</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19664-2025</t>
        </is>
      </c>
      <c r="B267" s="1" t="n">
        <v>45770.6925462963</v>
      </c>
      <c r="C267" s="1" t="n">
        <v>46066</v>
      </c>
      <c r="D267" t="inlineStr">
        <is>
          <t>JÄMTLANDS LÄN</t>
        </is>
      </c>
      <c r="E267" t="inlineStr">
        <is>
          <t>ÖSTERSUND</t>
        </is>
      </c>
      <c r="G267" t="n">
        <v>8.6</v>
      </c>
      <c r="H267" t="n">
        <v>0</v>
      </c>
      <c r="I267" t="n">
        <v>0</v>
      </c>
      <c r="J267" t="n">
        <v>0</v>
      </c>
      <c r="K267" t="n">
        <v>0</v>
      </c>
      <c r="L267" t="n">
        <v>0</v>
      </c>
      <c r="M267" t="n">
        <v>0</v>
      </c>
      <c r="N267" t="n">
        <v>0</v>
      </c>
      <c r="O267" t="n">
        <v>0</v>
      </c>
      <c r="P267" t="n">
        <v>0</v>
      </c>
      <c r="Q267" t="n">
        <v>0</v>
      </c>
      <c r="R267" s="2" t="inlineStr"/>
    </row>
    <row r="268" ht="15" customHeight="1">
      <c r="A268" t="inlineStr">
        <is>
          <t>A 11740-2022</t>
        </is>
      </c>
      <c r="B268" s="1" t="n">
        <v>44634.52982638889</v>
      </c>
      <c r="C268" s="1" t="n">
        <v>46066</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50088-2024</t>
        </is>
      </c>
      <c r="B269" s="1" t="n">
        <v>45600.38585648148</v>
      </c>
      <c r="C269" s="1" t="n">
        <v>46066</v>
      </c>
      <c r="D269" t="inlineStr">
        <is>
          <t>JÄMTLANDS LÄN</t>
        </is>
      </c>
      <c r="E269" t="inlineStr">
        <is>
          <t>ÖSTERSUND</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5140-2025</t>
        </is>
      </c>
      <c r="B270" s="1" t="n">
        <v>45691</v>
      </c>
      <c r="C270" s="1" t="n">
        <v>46066</v>
      </c>
      <c r="D270" t="inlineStr">
        <is>
          <t>JÄMTLANDS LÄN</t>
        </is>
      </c>
      <c r="E270" t="inlineStr">
        <is>
          <t>ÖSTERSUND</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23877-2025</t>
        </is>
      </c>
      <c r="B271" s="1" t="n">
        <v>45793.68469907407</v>
      </c>
      <c r="C271" s="1" t="n">
        <v>46066</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43511-2022</t>
        </is>
      </c>
      <c r="B272" s="1" t="n">
        <v>44837.36724537037</v>
      </c>
      <c r="C272" s="1" t="n">
        <v>46066</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60174-2022</t>
        </is>
      </c>
      <c r="B273" s="1" t="n">
        <v>44909.9640162037</v>
      </c>
      <c r="C273" s="1" t="n">
        <v>46066</v>
      </c>
      <c r="D273" t="inlineStr">
        <is>
          <t>JÄMTLANDS LÄN</t>
        </is>
      </c>
      <c r="E273" t="inlineStr">
        <is>
          <t>ÖSTERSUND</t>
        </is>
      </c>
      <c r="F273" t="inlineStr">
        <is>
          <t>SCA</t>
        </is>
      </c>
      <c r="G273" t="n">
        <v>0.5</v>
      </c>
      <c r="H273" t="n">
        <v>0</v>
      </c>
      <c r="I273" t="n">
        <v>0</v>
      </c>
      <c r="J273" t="n">
        <v>0</v>
      </c>
      <c r="K273" t="n">
        <v>0</v>
      </c>
      <c r="L273" t="n">
        <v>0</v>
      </c>
      <c r="M273" t="n">
        <v>0</v>
      </c>
      <c r="N273" t="n">
        <v>0</v>
      </c>
      <c r="O273" t="n">
        <v>0</v>
      </c>
      <c r="P273" t="n">
        <v>0</v>
      </c>
      <c r="Q273" t="n">
        <v>0</v>
      </c>
      <c r="R273" s="2" t="inlineStr"/>
    </row>
    <row r="274" ht="15" customHeight="1">
      <c r="A274" t="inlineStr">
        <is>
          <t>A 5549-2025</t>
        </is>
      </c>
      <c r="B274" s="1" t="n">
        <v>45693</v>
      </c>
      <c r="C274" s="1" t="n">
        <v>46066</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5553-2025</t>
        </is>
      </c>
      <c r="B275" s="1" t="n">
        <v>45693</v>
      </c>
      <c r="C275" s="1" t="n">
        <v>46066</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43016-2024</t>
        </is>
      </c>
      <c r="B276" s="1" t="n">
        <v>45567.39192129629</v>
      </c>
      <c r="C276" s="1" t="n">
        <v>46066</v>
      </c>
      <c r="D276" t="inlineStr">
        <is>
          <t>JÄMTLANDS LÄN</t>
        </is>
      </c>
      <c r="E276" t="inlineStr">
        <is>
          <t>ÖSTERSUND</t>
        </is>
      </c>
      <c r="G276" t="n">
        <v>5.3</v>
      </c>
      <c r="H276" t="n">
        <v>0</v>
      </c>
      <c r="I276" t="n">
        <v>0</v>
      </c>
      <c r="J276" t="n">
        <v>0</v>
      </c>
      <c r="K276" t="n">
        <v>0</v>
      </c>
      <c r="L276" t="n">
        <v>0</v>
      </c>
      <c r="M276" t="n">
        <v>0</v>
      </c>
      <c r="N276" t="n">
        <v>0</v>
      </c>
      <c r="O276" t="n">
        <v>0</v>
      </c>
      <c r="P276" t="n">
        <v>0</v>
      </c>
      <c r="Q276" t="n">
        <v>0</v>
      </c>
      <c r="R276" s="2" t="inlineStr"/>
    </row>
    <row r="277" ht="15" customHeight="1">
      <c r="A277" t="inlineStr">
        <is>
          <t>A 60560-2022</t>
        </is>
      </c>
      <c r="B277" s="1" t="n">
        <v>44911.54984953703</v>
      </c>
      <c r="C277" s="1" t="n">
        <v>46066</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51481-2023</t>
        </is>
      </c>
      <c r="B278" s="1" t="n">
        <v>45221.92440972223</v>
      </c>
      <c r="C278" s="1" t="n">
        <v>46066</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7439-2026</t>
        </is>
      </c>
      <c r="B279" s="1" t="n">
        <v>46059.44539351852</v>
      </c>
      <c r="C279" s="1" t="n">
        <v>46066</v>
      </c>
      <c r="D279" t="inlineStr">
        <is>
          <t>JÄMTLANDS LÄN</t>
        </is>
      </c>
      <c r="E279" t="inlineStr">
        <is>
          <t>ÖSTERSUND</t>
        </is>
      </c>
      <c r="G279" t="n">
        <v>4.7</v>
      </c>
      <c r="H279" t="n">
        <v>0</v>
      </c>
      <c r="I279" t="n">
        <v>0</v>
      </c>
      <c r="J279" t="n">
        <v>0</v>
      </c>
      <c r="K279" t="n">
        <v>0</v>
      </c>
      <c r="L279" t="n">
        <v>0</v>
      </c>
      <c r="M279" t="n">
        <v>0</v>
      </c>
      <c r="N279" t="n">
        <v>0</v>
      </c>
      <c r="O279" t="n">
        <v>0</v>
      </c>
      <c r="P279" t="n">
        <v>0</v>
      </c>
      <c r="Q279" t="n">
        <v>0</v>
      </c>
      <c r="R279" s="2" t="inlineStr"/>
    </row>
    <row r="280" ht="15" customHeight="1">
      <c r="A280" t="inlineStr">
        <is>
          <t>A 7437-2026</t>
        </is>
      </c>
      <c r="B280" s="1" t="n">
        <v>46059.44135416667</v>
      </c>
      <c r="C280" s="1" t="n">
        <v>46066</v>
      </c>
      <c r="D280" t="inlineStr">
        <is>
          <t>JÄMTLANDS LÄN</t>
        </is>
      </c>
      <c r="E280" t="inlineStr">
        <is>
          <t>ÖSTERSUND</t>
        </is>
      </c>
      <c r="G280" t="n">
        <v>2.3</v>
      </c>
      <c r="H280" t="n">
        <v>0</v>
      </c>
      <c r="I280" t="n">
        <v>0</v>
      </c>
      <c r="J280" t="n">
        <v>0</v>
      </c>
      <c r="K280" t="n">
        <v>0</v>
      </c>
      <c r="L280" t="n">
        <v>0</v>
      </c>
      <c r="M280" t="n">
        <v>0</v>
      </c>
      <c r="N280" t="n">
        <v>0</v>
      </c>
      <c r="O280" t="n">
        <v>0</v>
      </c>
      <c r="P280" t="n">
        <v>0</v>
      </c>
      <c r="Q280" t="n">
        <v>0</v>
      </c>
      <c r="R280" s="2" t="inlineStr"/>
    </row>
    <row r="281" ht="15" customHeight="1">
      <c r="A281" t="inlineStr">
        <is>
          <t>A 24403-2025</t>
        </is>
      </c>
      <c r="B281" s="1" t="n">
        <v>45797.65025462963</v>
      </c>
      <c r="C281" s="1" t="n">
        <v>46066</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8675-2023</t>
        </is>
      </c>
      <c r="B282" s="1" t="n">
        <v>44977.98629629629</v>
      </c>
      <c r="C282" s="1" t="n">
        <v>46066</v>
      </c>
      <c r="D282" t="inlineStr">
        <is>
          <t>JÄMTLANDS LÄN</t>
        </is>
      </c>
      <c r="E282" t="inlineStr">
        <is>
          <t>ÖSTERSUND</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41780-2024</t>
        </is>
      </c>
      <c r="B283" s="1" t="n">
        <v>45561.34908564815</v>
      </c>
      <c r="C283" s="1" t="n">
        <v>46066</v>
      </c>
      <c r="D283" t="inlineStr">
        <is>
          <t>JÄMTLANDS LÄN</t>
        </is>
      </c>
      <c r="E283" t="inlineStr">
        <is>
          <t>ÖSTERSUND</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24568-2025</t>
        </is>
      </c>
      <c r="B284" s="1" t="n">
        <v>45798.46913194445</v>
      </c>
      <c r="C284" s="1" t="n">
        <v>46066</v>
      </c>
      <c r="D284" t="inlineStr">
        <is>
          <t>JÄMTLANDS LÄN</t>
        </is>
      </c>
      <c r="E284" t="inlineStr">
        <is>
          <t>ÖSTERSUND</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6048-2024</t>
        </is>
      </c>
      <c r="B285" s="1" t="n">
        <v>45336</v>
      </c>
      <c r="C285" s="1" t="n">
        <v>46066</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24523-2025</t>
        </is>
      </c>
      <c r="B286" s="1" t="n">
        <v>45798.42108796296</v>
      </c>
      <c r="C286" s="1" t="n">
        <v>46066</v>
      </c>
      <c r="D286" t="inlineStr">
        <is>
          <t>JÄMTLANDS LÄN</t>
        </is>
      </c>
      <c r="E286" t="inlineStr">
        <is>
          <t>ÖSTERSUND</t>
        </is>
      </c>
      <c r="G286" t="n">
        <v>13.7</v>
      </c>
      <c r="H286" t="n">
        <v>0</v>
      </c>
      <c r="I286" t="n">
        <v>0</v>
      </c>
      <c r="J286" t="n">
        <v>0</v>
      </c>
      <c r="K286" t="n">
        <v>0</v>
      </c>
      <c r="L286" t="n">
        <v>0</v>
      </c>
      <c r="M286" t="n">
        <v>0</v>
      </c>
      <c r="N286" t="n">
        <v>0</v>
      </c>
      <c r="O286" t="n">
        <v>0</v>
      </c>
      <c r="P286" t="n">
        <v>0</v>
      </c>
      <c r="Q286" t="n">
        <v>0</v>
      </c>
      <c r="R286" s="2" t="inlineStr"/>
    </row>
    <row r="287" ht="15" customHeight="1">
      <c r="A287" t="inlineStr">
        <is>
          <t>A 2747-2025</t>
        </is>
      </c>
      <c r="B287" s="1" t="n">
        <v>45677.4649537037</v>
      </c>
      <c r="C287" s="1" t="n">
        <v>46066</v>
      </c>
      <c r="D287" t="inlineStr">
        <is>
          <t>JÄMTLANDS LÄN</t>
        </is>
      </c>
      <c r="E287" t="inlineStr">
        <is>
          <t>ÖSTERSUND</t>
        </is>
      </c>
      <c r="F287" t="inlineStr">
        <is>
          <t>Sveaskog</t>
        </is>
      </c>
      <c r="G287" t="n">
        <v>6.4</v>
      </c>
      <c r="H287" t="n">
        <v>0</v>
      </c>
      <c r="I287" t="n">
        <v>0</v>
      </c>
      <c r="J287" t="n">
        <v>0</v>
      </c>
      <c r="K287" t="n">
        <v>0</v>
      </c>
      <c r="L287" t="n">
        <v>0</v>
      </c>
      <c r="M287" t="n">
        <v>0</v>
      </c>
      <c r="N287" t="n">
        <v>0</v>
      </c>
      <c r="O287" t="n">
        <v>0</v>
      </c>
      <c r="P287" t="n">
        <v>0</v>
      </c>
      <c r="Q287" t="n">
        <v>0</v>
      </c>
      <c r="R287" s="2" t="inlineStr"/>
    </row>
    <row r="288" ht="15" customHeight="1">
      <c r="A288" t="inlineStr">
        <is>
          <t>A 25058-2025</t>
        </is>
      </c>
      <c r="B288" s="1" t="n">
        <v>45799.68418981481</v>
      </c>
      <c r="C288" s="1" t="n">
        <v>46066</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53176-2024</t>
        </is>
      </c>
      <c r="B289" s="1" t="n">
        <v>45611.66655092593</v>
      </c>
      <c r="C289" s="1" t="n">
        <v>46066</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25069-2025</t>
        </is>
      </c>
      <c r="B290" s="1" t="n">
        <v>45799.7372337963</v>
      </c>
      <c r="C290" s="1" t="n">
        <v>46066</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63807-2025</t>
        </is>
      </c>
      <c r="B291" s="1" t="n">
        <v>46019</v>
      </c>
      <c r="C291" s="1" t="n">
        <v>46066</v>
      </c>
      <c r="D291" t="inlineStr">
        <is>
          <t>JÄMTLANDS LÄN</t>
        </is>
      </c>
      <c r="E291" t="inlineStr">
        <is>
          <t>ÖSTERSUND</t>
        </is>
      </c>
      <c r="G291" t="n">
        <v>2.4</v>
      </c>
      <c r="H291" t="n">
        <v>0</v>
      </c>
      <c r="I291" t="n">
        <v>0</v>
      </c>
      <c r="J291" t="n">
        <v>0</v>
      </c>
      <c r="K291" t="n">
        <v>0</v>
      </c>
      <c r="L291" t="n">
        <v>0</v>
      </c>
      <c r="M291" t="n">
        <v>0</v>
      </c>
      <c r="N291" t="n">
        <v>0</v>
      </c>
      <c r="O291" t="n">
        <v>0</v>
      </c>
      <c r="P291" t="n">
        <v>0</v>
      </c>
      <c r="Q291" t="n">
        <v>0</v>
      </c>
      <c r="R291" s="2" t="inlineStr"/>
    </row>
    <row r="292" ht="15" customHeight="1">
      <c r="A292" t="inlineStr">
        <is>
          <t>A 24946-2025</t>
        </is>
      </c>
      <c r="B292" s="1" t="n">
        <v>45799.56515046296</v>
      </c>
      <c r="C292" s="1" t="n">
        <v>46066</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63981-2025</t>
        </is>
      </c>
      <c r="B293" s="1" t="n">
        <v>46021.34450231482</v>
      </c>
      <c r="C293" s="1" t="n">
        <v>46066</v>
      </c>
      <c r="D293" t="inlineStr">
        <is>
          <t>JÄMTLANDS LÄN</t>
        </is>
      </c>
      <c r="E293" t="inlineStr">
        <is>
          <t>ÖSTERSUND</t>
        </is>
      </c>
      <c r="G293" t="n">
        <v>17.7</v>
      </c>
      <c r="H293" t="n">
        <v>0</v>
      </c>
      <c r="I293" t="n">
        <v>0</v>
      </c>
      <c r="J293" t="n">
        <v>0</v>
      </c>
      <c r="K293" t="n">
        <v>0</v>
      </c>
      <c r="L293" t="n">
        <v>0</v>
      </c>
      <c r="M293" t="n">
        <v>0</v>
      </c>
      <c r="N293" t="n">
        <v>0</v>
      </c>
      <c r="O293" t="n">
        <v>0</v>
      </c>
      <c r="P293" t="n">
        <v>0</v>
      </c>
      <c r="Q293" t="n">
        <v>0</v>
      </c>
      <c r="R293" s="2" t="inlineStr"/>
    </row>
    <row r="294" ht="15" customHeight="1">
      <c r="A294" t="inlineStr">
        <is>
          <t>A 38871-2025</t>
        </is>
      </c>
      <c r="B294" s="1" t="n">
        <v>45887.57407407407</v>
      </c>
      <c r="C294" s="1" t="n">
        <v>46066</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25059-2025</t>
        </is>
      </c>
      <c r="B295" s="1" t="n">
        <v>45799.69116898148</v>
      </c>
      <c r="C295" s="1" t="n">
        <v>46066</v>
      </c>
      <c r="D295" t="inlineStr">
        <is>
          <t>JÄMTLANDS LÄN</t>
        </is>
      </c>
      <c r="E295" t="inlineStr">
        <is>
          <t>ÖSTERSUND</t>
        </is>
      </c>
      <c r="G295" t="n">
        <v>2.7</v>
      </c>
      <c r="H295" t="n">
        <v>0</v>
      </c>
      <c r="I295" t="n">
        <v>0</v>
      </c>
      <c r="J295" t="n">
        <v>0</v>
      </c>
      <c r="K295" t="n">
        <v>0</v>
      </c>
      <c r="L295" t="n">
        <v>0</v>
      </c>
      <c r="M295" t="n">
        <v>0</v>
      </c>
      <c r="N295" t="n">
        <v>0</v>
      </c>
      <c r="O295" t="n">
        <v>0</v>
      </c>
      <c r="P295" t="n">
        <v>0</v>
      </c>
      <c r="Q295" t="n">
        <v>0</v>
      </c>
      <c r="R295" s="2" t="inlineStr"/>
    </row>
    <row r="296" ht="15" customHeight="1">
      <c r="A296" t="inlineStr">
        <is>
          <t>A 7712-2026</t>
        </is>
      </c>
      <c r="B296" s="1" t="n">
        <v>46062.48398148148</v>
      </c>
      <c r="C296" s="1" t="n">
        <v>46066</v>
      </c>
      <c r="D296" t="inlineStr">
        <is>
          <t>JÄMTLANDS LÄN</t>
        </is>
      </c>
      <c r="E296" t="inlineStr">
        <is>
          <t>ÖSTERSUND</t>
        </is>
      </c>
      <c r="G296" t="n">
        <v>3.2</v>
      </c>
      <c r="H296" t="n">
        <v>0</v>
      </c>
      <c r="I296" t="n">
        <v>0</v>
      </c>
      <c r="J296" t="n">
        <v>0</v>
      </c>
      <c r="K296" t="n">
        <v>0</v>
      </c>
      <c r="L296" t="n">
        <v>0</v>
      </c>
      <c r="M296" t="n">
        <v>0</v>
      </c>
      <c r="N296" t="n">
        <v>0</v>
      </c>
      <c r="O296" t="n">
        <v>0</v>
      </c>
      <c r="P296" t="n">
        <v>0</v>
      </c>
      <c r="Q296" t="n">
        <v>0</v>
      </c>
      <c r="R296" s="2" t="inlineStr"/>
    </row>
    <row r="297" ht="15" customHeight="1">
      <c r="A297" t="inlineStr">
        <is>
          <t>A 64022-2025</t>
        </is>
      </c>
      <c r="B297" s="1" t="n">
        <v>46021.46912037037</v>
      </c>
      <c r="C297" s="1" t="n">
        <v>46066</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4382-2026</t>
        </is>
      </c>
      <c r="B298" s="1" t="n">
        <v>46045.56253472222</v>
      </c>
      <c r="C298" s="1" t="n">
        <v>46066</v>
      </c>
      <c r="D298" t="inlineStr">
        <is>
          <t>JÄMTLANDS LÄN</t>
        </is>
      </c>
      <c r="E298" t="inlineStr">
        <is>
          <t>ÖSTERSUND</t>
        </is>
      </c>
      <c r="G298" t="n">
        <v>13.5</v>
      </c>
      <c r="H298" t="n">
        <v>0</v>
      </c>
      <c r="I298" t="n">
        <v>0</v>
      </c>
      <c r="J298" t="n">
        <v>0</v>
      </c>
      <c r="K298" t="n">
        <v>0</v>
      </c>
      <c r="L298" t="n">
        <v>0</v>
      </c>
      <c r="M298" t="n">
        <v>0</v>
      </c>
      <c r="N298" t="n">
        <v>0</v>
      </c>
      <c r="O298" t="n">
        <v>0</v>
      </c>
      <c r="P298" t="n">
        <v>0</v>
      </c>
      <c r="Q298" t="n">
        <v>0</v>
      </c>
      <c r="R298" s="2" t="inlineStr"/>
    </row>
    <row r="299" ht="15" customHeight="1">
      <c r="A299" t="inlineStr">
        <is>
          <t>A 25572-2025</t>
        </is>
      </c>
      <c r="B299" s="1" t="n">
        <v>45803</v>
      </c>
      <c r="C299" s="1" t="n">
        <v>46066</v>
      </c>
      <c r="D299" t="inlineStr">
        <is>
          <t>JÄMTLANDS LÄN</t>
        </is>
      </c>
      <c r="E299" t="inlineStr">
        <is>
          <t>ÖSTERSUND</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46139-2021</t>
        </is>
      </c>
      <c r="B300" s="1" t="n">
        <v>44441</v>
      </c>
      <c r="C300" s="1" t="n">
        <v>46066</v>
      </c>
      <c r="D300" t="inlineStr">
        <is>
          <t>JÄMTLANDS LÄN</t>
        </is>
      </c>
      <c r="E300" t="inlineStr">
        <is>
          <t>ÖSTERSUND</t>
        </is>
      </c>
      <c r="G300" t="n">
        <v>12.8</v>
      </c>
      <c r="H300" t="n">
        <v>0</v>
      </c>
      <c r="I300" t="n">
        <v>0</v>
      </c>
      <c r="J300" t="n">
        <v>0</v>
      </c>
      <c r="K300" t="n">
        <v>0</v>
      </c>
      <c r="L300" t="n">
        <v>0</v>
      </c>
      <c r="M300" t="n">
        <v>0</v>
      </c>
      <c r="N300" t="n">
        <v>0</v>
      </c>
      <c r="O300" t="n">
        <v>0</v>
      </c>
      <c r="P300" t="n">
        <v>0</v>
      </c>
      <c r="Q300" t="n">
        <v>0</v>
      </c>
      <c r="R300" s="2" t="inlineStr"/>
    </row>
    <row r="301" ht="15" customHeight="1">
      <c r="A301" t="inlineStr">
        <is>
          <t>A 22082-2022</t>
        </is>
      </c>
      <c r="B301" s="1" t="n">
        <v>44711.9403587963</v>
      </c>
      <c r="C301" s="1" t="n">
        <v>46066</v>
      </c>
      <c r="D301" t="inlineStr">
        <is>
          <t>JÄMTLANDS LÄN</t>
        </is>
      </c>
      <c r="E301" t="inlineStr">
        <is>
          <t>ÖSTERSUND</t>
        </is>
      </c>
      <c r="G301" t="n">
        <v>2.6</v>
      </c>
      <c r="H301" t="n">
        <v>0</v>
      </c>
      <c r="I301" t="n">
        <v>0</v>
      </c>
      <c r="J301" t="n">
        <v>0</v>
      </c>
      <c r="K301" t="n">
        <v>0</v>
      </c>
      <c r="L301" t="n">
        <v>0</v>
      </c>
      <c r="M301" t="n">
        <v>0</v>
      </c>
      <c r="N301" t="n">
        <v>0</v>
      </c>
      <c r="O301" t="n">
        <v>0</v>
      </c>
      <c r="P301" t="n">
        <v>0</v>
      </c>
      <c r="Q301" t="n">
        <v>0</v>
      </c>
      <c r="R301" s="2" t="inlineStr"/>
    </row>
    <row r="302" ht="15" customHeight="1">
      <c r="A302" t="inlineStr">
        <is>
          <t>A 38142-2021</t>
        </is>
      </c>
      <c r="B302" s="1" t="n">
        <v>44405</v>
      </c>
      <c r="C302" s="1" t="n">
        <v>46066</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63856-2025</t>
        </is>
      </c>
      <c r="B303" s="1" t="n">
        <v>46020.47796296296</v>
      </c>
      <c r="C303" s="1" t="n">
        <v>46066</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25252-2025</t>
        </is>
      </c>
      <c r="B304" s="1" t="n">
        <v>45800.50355324074</v>
      </c>
      <c r="C304" s="1" t="n">
        <v>46066</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38853-2025</t>
        </is>
      </c>
      <c r="B305" s="1" t="n">
        <v>45887.55666666666</v>
      </c>
      <c r="C305" s="1" t="n">
        <v>46066</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61256-2022</t>
        </is>
      </c>
      <c r="B306" s="1" t="n">
        <v>44909</v>
      </c>
      <c r="C306" s="1" t="n">
        <v>46066</v>
      </c>
      <c r="D306" t="inlineStr">
        <is>
          <t>JÄMTLANDS LÄN</t>
        </is>
      </c>
      <c r="E306" t="inlineStr">
        <is>
          <t>ÖSTERSUND</t>
        </is>
      </c>
      <c r="G306" t="n">
        <v>3.9</v>
      </c>
      <c r="H306" t="n">
        <v>0</v>
      </c>
      <c r="I306" t="n">
        <v>0</v>
      </c>
      <c r="J306" t="n">
        <v>0</v>
      </c>
      <c r="K306" t="n">
        <v>0</v>
      </c>
      <c r="L306" t="n">
        <v>0</v>
      </c>
      <c r="M306" t="n">
        <v>0</v>
      </c>
      <c r="N306" t="n">
        <v>0</v>
      </c>
      <c r="O306" t="n">
        <v>0</v>
      </c>
      <c r="P306" t="n">
        <v>0</v>
      </c>
      <c r="Q306" t="n">
        <v>0</v>
      </c>
      <c r="R306" s="2" t="inlineStr"/>
    </row>
    <row r="307" ht="15" customHeight="1">
      <c r="A307" t="inlineStr">
        <is>
          <t>A 25210-2025</t>
        </is>
      </c>
      <c r="B307" s="1" t="n">
        <v>45800.46960648148</v>
      </c>
      <c r="C307" s="1" t="n">
        <v>46066</v>
      </c>
      <c r="D307" t="inlineStr">
        <is>
          <t>JÄMTLANDS LÄN</t>
        </is>
      </c>
      <c r="E307" t="inlineStr">
        <is>
          <t>ÖSTERSUND</t>
        </is>
      </c>
      <c r="G307" t="n">
        <v>3.5</v>
      </c>
      <c r="H307" t="n">
        <v>0</v>
      </c>
      <c r="I307" t="n">
        <v>0</v>
      </c>
      <c r="J307" t="n">
        <v>0</v>
      </c>
      <c r="K307" t="n">
        <v>0</v>
      </c>
      <c r="L307" t="n">
        <v>0</v>
      </c>
      <c r="M307" t="n">
        <v>0</v>
      </c>
      <c r="N307" t="n">
        <v>0</v>
      </c>
      <c r="O307" t="n">
        <v>0</v>
      </c>
      <c r="P307" t="n">
        <v>0</v>
      </c>
      <c r="Q307" t="n">
        <v>0</v>
      </c>
      <c r="R307" s="2" t="inlineStr"/>
    </row>
    <row r="308" ht="15" customHeight="1">
      <c r="A308" t="inlineStr">
        <is>
          <t>A 26144-2025</t>
        </is>
      </c>
      <c r="B308" s="1" t="n">
        <v>45805.42827546296</v>
      </c>
      <c r="C308" s="1" t="n">
        <v>46066</v>
      </c>
      <c r="D308" t="inlineStr">
        <is>
          <t>JÄMTLANDS LÄN</t>
        </is>
      </c>
      <c r="E308" t="inlineStr">
        <is>
          <t>ÖSTERSUND</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63982-2025</t>
        </is>
      </c>
      <c r="B309" s="1" t="n">
        <v>46021.34454861111</v>
      </c>
      <c r="C309" s="1" t="n">
        <v>46066</v>
      </c>
      <c r="D309" t="inlineStr">
        <is>
          <t>JÄMTLANDS LÄN</t>
        </is>
      </c>
      <c r="E309" t="inlineStr">
        <is>
          <t>ÖSTERSUND</t>
        </is>
      </c>
      <c r="G309" t="n">
        <v>6.5</v>
      </c>
      <c r="H309" t="n">
        <v>0</v>
      </c>
      <c r="I309" t="n">
        <v>0</v>
      </c>
      <c r="J309" t="n">
        <v>0</v>
      </c>
      <c r="K309" t="n">
        <v>0</v>
      </c>
      <c r="L309" t="n">
        <v>0</v>
      </c>
      <c r="M309" t="n">
        <v>0</v>
      </c>
      <c r="N309" t="n">
        <v>0</v>
      </c>
      <c r="O309" t="n">
        <v>0</v>
      </c>
      <c r="P309" t="n">
        <v>0</v>
      </c>
      <c r="Q309" t="n">
        <v>0</v>
      </c>
      <c r="R309" s="2" t="inlineStr"/>
    </row>
    <row r="310" ht="15" customHeight="1">
      <c r="A310" t="inlineStr">
        <is>
          <t>A 4775-2026</t>
        </is>
      </c>
      <c r="B310" s="1" t="n">
        <v>46045</v>
      </c>
      <c r="C310" s="1" t="n">
        <v>46066</v>
      </c>
      <c r="D310" t="inlineStr">
        <is>
          <t>JÄMTLANDS LÄN</t>
        </is>
      </c>
      <c r="E310" t="inlineStr">
        <is>
          <t>ÖSTERSUND</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8076-2026</t>
        </is>
      </c>
      <c r="B311" s="1" t="n">
        <v>46063.65710648148</v>
      </c>
      <c r="C311" s="1" t="n">
        <v>46066</v>
      </c>
      <c r="D311" t="inlineStr">
        <is>
          <t>JÄMTLANDS LÄN</t>
        </is>
      </c>
      <c r="E311" t="inlineStr">
        <is>
          <t>ÖSTERSUND</t>
        </is>
      </c>
      <c r="G311" t="n">
        <v>2.3</v>
      </c>
      <c r="H311" t="n">
        <v>0</v>
      </c>
      <c r="I311" t="n">
        <v>0</v>
      </c>
      <c r="J311" t="n">
        <v>0</v>
      </c>
      <c r="K311" t="n">
        <v>0</v>
      </c>
      <c r="L311" t="n">
        <v>0</v>
      </c>
      <c r="M311" t="n">
        <v>0</v>
      </c>
      <c r="N311" t="n">
        <v>0</v>
      </c>
      <c r="O311" t="n">
        <v>0</v>
      </c>
      <c r="P311" t="n">
        <v>0</v>
      </c>
      <c r="Q311" t="n">
        <v>0</v>
      </c>
      <c r="R311" s="2" t="inlineStr"/>
    </row>
    <row r="312" ht="15" customHeight="1">
      <c r="A312" t="inlineStr">
        <is>
          <t>A 55302-2021</t>
        </is>
      </c>
      <c r="B312" s="1" t="n">
        <v>44475</v>
      </c>
      <c r="C312" s="1" t="n">
        <v>46066</v>
      </c>
      <c r="D312" t="inlineStr">
        <is>
          <t>JÄMTLANDS LÄN</t>
        </is>
      </c>
      <c r="E312" t="inlineStr">
        <is>
          <t>ÖSTERSUND</t>
        </is>
      </c>
      <c r="G312" t="n">
        <v>0.3</v>
      </c>
      <c r="H312" t="n">
        <v>0</v>
      </c>
      <c r="I312" t="n">
        <v>0</v>
      </c>
      <c r="J312" t="n">
        <v>0</v>
      </c>
      <c r="K312" t="n">
        <v>0</v>
      </c>
      <c r="L312" t="n">
        <v>0</v>
      </c>
      <c r="M312" t="n">
        <v>0</v>
      </c>
      <c r="N312" t="n">
        <v>0</v>
      </c>
      <c r="O312" t="n">
        <v>0</v>
      </c>
      <c r="P312" t="n">
        <v>0</v>
      </c>
      <c r="Q312" t="n">
        <v>0</v>
      </c>
      <c r="R312" s="2" t="inlineStr"/>
    </row>
    <row r="313" ht="15" customHeight="1">
      <c r="A313" t="inlineStr">
        <is>
          <t>A 47357-2024</t>
        </is>
      </c>
      <c r="B313" s="1" t="n">
        <v>45587.42835648148</v>
      </c>
      <c r="C313" s="1" t="n">
        <v>46066</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63861-2025</t>
        </is>
      </c>
      <c r="B314" s="1" t="n">
        <v>46020.49056712963</v>
      </c>
      <c r="C314" s="1" t="n">
        <v>46066</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61376-2024</t>
        </is>
      </c>
      <c r="B315" s="1" t="n">
        <v>45646.39434027778</v>
      </c>
      <c r="C315" s="1" t="n">
        <v>46066</v>
      </c>
      <c r="D315" t="inlineStr">
        <is>
          <t>JÄMTLANDS LÄN</t>
        </is>
      </c>
      <c r="E315" t="inlineStr">
        <is>
          <t>ÖSTERSUND</t>
        </is>
      </c>
      <c r="G315" t="n">
        <v>4.6</v>
      </c>
      <c r="H315" t="n">
        <v>0</v>
      </c>
      <c r="I315" t="n">
        <v>0</v>
      </c>
      <c r="J315" t="n">
        <v>0</v>
      </c>
      <c r="K315" t="n">
        <v>0</v>
      </c>
      <c r="L315" t="n">
        <v>0</v>
      </c>
      <c r="M315" t="n">
        <v>0</v>
      </c>
      <c r="N315" t="n">
        <v>0</v>
      </c>
      <c r="O315" t="n">
        <v>0</v>
      </c>
      <c r="P315" t="n">
        <v>0</v>
      </c>
      <c r="Q315" t="n">
        <v>0</v>
      </c>
      <c r="R315" s="2" t="inlineStr"/>
    </row>
    <row r="316" ht="15" customHeight="1">
      <c r="A316" t="inlineStr">
        <is>
          <t>A 26492-2025</t>
        </is>
      </c>
      <c r="B316" s="1" t="n">
        <v>45807</v>
      </c>
      <c r="C316" s="1" t="n">
        <v>46066</v>
      </c>
      <c r="D316" t="inlineStr">
        <is>
          <t>JÄMTLANDS LÄN</t>
        </is>
      </c>
      <c r="E316" t="inlineStr">
        <is>
          <t>ÖSTERSUND</t>
        </is>
      </c>
      <c r="G316" t="n">
        <v>7</v>
      </c>
      <c r="H316" t="n">
        <v>0</v>
      </c>
      <c r="I316" t="n">
        <v>0</v>
      </c>
      <c r="J316" t="n">
        <v>0</v>
      </c>
      <c r="K316" t="n">
        <v>0</v>
      </c>
      <c r="L316" t="n">
        <v>0</v>
      </c>
      <c r="M316" t="n">
        <v>0</v>
      </c>
      <c r="N316" t="n">
        <v>0</v>
      </c>
      <c r="O316" t="n">
        <v>0</v>
      </c>
      <c r="P316" t="n">
        <v>0</v>
      </c>
      <c r="Q316" t="n">
        <v>0</v>
      </c>
      <c r="R316" s="2" t="inlineStr"/>
    </row>
    <row r="317" ht="15" customHeight="1">
      <c r="A317" t="inlineStr">
        <is>
          <t>A 26500-2025</t>
        </is>
      </c>
      <c r="B317" s="1" t="n">
        <v>45807</v>
      </c>
      <c r="C317" s="1" t="n">
        <v>46066</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5135-2025</t>
        </is>
      </c>
      <c r="B318" s="1" t="n">
        <v>45691</v>
      </c>
      <c r="C318" s="1" t="n">
        <v>46066</v>
      </c>
      <c r="D318" t="inlineStr">
        <is>
          <t>JÄMTLANDS LÄN</t>
        </is>
      </c>
      <c r="E318" t="inlineStr">
        <is>
          <t>ÖSTERSUND</t>
        </is>
      </c>
      <c r="F318" t="inlineStr">
        <is>
          <t>Övriga Aktiebolag</t>
        </is>
      </c>
      <c r="G318" t="n">
        <v>126.9</v>
      </c>
      <c r="H318" t="n">
        <v>0</v>
      </c>
      <c r="I318" t="n">
        <v>0</v>
      </c>
      <c r="J318" t="n">
        <v>0</v>
      </c>
      <c r="K318" t="n">
        <v>0</v>
      </c>
      <c r="L318" t="n">
        <v>0</v>
      </c>
      <c r="M318" t="n">
        <v>0</v>
      </c>
      <c r="N318" t="n">
        <v>0</v>
      </c>
      <c r="O318" t="n">
        <v>0</v>
      </c>
      <c r="P318" t="n">
        <v>0</v>
      </c>
      <c r="Q318" t="n">
        <v>0</v>
      </c>
      <c r="R318" s="2" t="inlineStr"/>
    </row>
    <row r="319" ht="15" customHeight="1">
      <c r="A319" t="inlineStr">
        <is>
          <t>A 3610-2024</t>
        </is>
      </c>
      <c r="B319" s="1" t="n">
        <v>45320.92060185185</v>
      </c>
      <c r="C319" s="1" t="n">
        <v>46066</v>
      </c>
      <c r="D319" t="inlineStr">
        <is>
          <t>JÄMTLANDS LÄN</t>
        </is>
      </c>
      <c r="E319" t="inlineStr">
        <is>
          <t>ÖSTERSUND</t>
        </is>
      </c>
      <c r="G319" t="n">
        <v>6.2</v>
      </c>
      <c r="H319" t="n">
        <v>0</v>
      </c>
      <c r="I319" t="n">
        <v>0</v>
      </c>
      <c r="J319" t="n">
        <v>0</v>
      </c>
      <c r="K319" t="n">
        <v>0</v>
      </c>
      <c r="L319" t="n">
        <v>0</v>
      </c>
      <c r="M319" t="n">
        <v>0</v>
      </c>
      <c r="N319" t="n">
        <v>0</v>
      </c>
      <c r="O319" t="n">
        <v>0</v>
      </c>
      <c r="P319" t="n">
        <v>0</v>
      </c>
      <c r="Q319" t="n">
        <v>0</v>
      </c>
      <c r="R319" s="2" t="inlineStr"/>
    </row>
    <row r="320" ht="15" customHeight="1">
      <c r="A320" t="inlineStr">
        <is>
          <t>A 69190-2021</t>
        </is>
      </c>
      <c r="B320" s="1" t="n">
        <v>44529</v>
      </c>
      <c r="C320" s="1" t="n">
        <v>46066</v>
      </c>
      <c r="D320" t="inlineStr">
        <is>
          <t>JÄMTLANDS LÄN</t>
        </is>
      </c>
      <c r="E320" t="inlineStr">
        <is>
          <t>ÖSTERSUND</t>
        </is>
      </c>
      <c r="G320" t="n">
        <v>4.2</v>
      </c>
      <c r="H320" t="n">
        <v>0</v>
      </c>
      <c r="I320" t="n">
        <v>0</v>
      </c>
      <c r="J320" t="n">
        <v>0</v>
      </c>
      <c r="K320" t="n">
        <v>0</v>
      </c>
      <c r="L320" t="n">
        <v>0</v>
      </c>
      <c r="M320" t="n">
        <v>0</v>
      </c>
      <c r="N320" t="n">
        <v>0</v>
      </c>
      <c r="O320" t="n">
        <v>0</v>
      </c>
      <c r="P320" t="n">
        <v>0</v>
      </c>
      <c r="Q320" t="n">
        <v>0</v>
      </c>
      <c r="R320" s="2" t="inlineStr"/>
    </row>
    <row r="321" ht="15" customHeight="1">
      <c r="A321" t="inlineStr">
        <is>
          <t>A 27034-2025</t>
        </is>
      </c>
      <c r="B321" s="1" t="n">
        <v>45811.59258101852</v>
      </c>
      <c r="C321" s="1" t="n">
        <v>46066</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11182-2025</t>
        </is>
      </c>
      <c r="B322" s="1" t="n">
        <v>45725.44297453704</v>
      </c>
      <c r="C322" s="1" t="n">
        <v>46066</v>
      </c>
      <c r="D322" t="inlineStr">
        <is>
          <t>JÄMTLANDS LÄN</t>
        </is>
      </c>
      <c r="E322" t="inlineStr">
        <is>
          <t>ÖSTERSUND</t>
        </is>
      </c>
      <c r="G322" t="n">
        <v>3.3</v>
      </c>
      <c r="H322" t="n">
        <v>0</v>
      </c>
      <c r="I322" t="n">
        <v>0</v>
      </c>
      <c r="J322" t="n">
        <v>0</v>
      </c>
      <c r="K322" t="n">
        <v>0</v>
      </c>
      <c r="L322" t="n">
        <v>0</v>
      </c>
      <c r="M322" t="n">
        <v>0</v>
      </c>
      <c r="N322" t="n">
        <v>0</v>
      </c>
      <c r="O322" t="n">
        <v>0</v>
      </c>
      <c r="P322" t="n">
        <v>0</v>
      </c>
      <c r="Q322" t="n">
        <v>0</v>
      </c>
      <c r="R322" s="2" t="inlineStr"/>
    </row>
    <row r="323" ht="15" customHeight="1">
      <c r="A323" t="inlineStr">
        <is>
          <t>A 26587-2025</t>
        </is>
      </c>
      <c r="B323" s="1" t="n">
        <v>45807.75076388889</v>
      </c>
      <c r="C323" s="1" t="n">
        <v>46066</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53378-2023</t>
        </is>
      </c>
      <c r="B324" s="1" t="n">
        <v>45223</v>
      </c>
      <c r="C324" s="1" t="n">
        <v>46066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10064-2024</t>
        </is>
      </c>
      <c r="B325" s="1" t="n">
        <v>45364.3874074074</v>
      </c>
      <c r="C325" s="1" t="n">
        <v>46066</v>
      </c>
      <c r="D325" t="inlineStr">
        <is>
          <t>JÄMTLANDS LÄN</t>
        </is>
      </c>
      <c r="E325" t="inlineStr">
        <is>
          <t>ÖSTERSUND</t>
        </is>
      </c>
      <c r="G325" t="n">
        <v>13.9</v>
      </c>
      <c r="H325" t="n">
        <v>0</v>
      </c>
      <c r="I325" t="n">
        <v>0</v>
      </c>
      <c r="J325" t="n">
        <v>0</v>
      </c>
      <c r="K325" t="n">
        <v>0</v>
      </c>
      <c r="L325" t="n">
        <v>0</v>
      </c>
      <c r="M325" t="n">
        <v>0</v>
      </c>
      <c r="N325" t="n">
        <v>0</v>
      </c>
      <c r="O325" t="n">
        <v>0</v>
      </c>
      <c r="P325" t="n">
        <v>0</v>
      </c>
      <c r="Q325" t="n">
        <v>0</v>
      </c>
      <c r="R325" s="2" t="inlineStr"/>
    </row>
    <row r="326" ht="15" customHeight="1">
      <c r="A326" t="inlineStr">
        <is>
          <t>A 13651-2025</t>
        </is>
      </c>
      <c r="B326" s="1" t="n">
        <v>45736.71818287037</v>
      </c>
      <c r="C326" s="1" t="n">
        <v>46066</v>
      </c>
      <c r="D326" t="inlineStr">
        <is>
          <t>JÄMTLANDS LÄN</t>
        </is>
      </c>
      <c r="E326" t="inlineStr">
        <is>
          <t>ÖSTERSUND</t>
        </is>
      </c>
      <c r="G326" t="n">
        <v>3.7</v>
      </c>
      <c r="H326" t="n">
        <v>0</v>
      </c>
      <c r="I326" t="n">
        <v>0</v>
      </c>
      <c r="J326" t="n">
        <v>0</v>
      </c>
      <c r="K326" t="n">
        <v>0</v>
      </c>
      <c r="L326" t="n">
        <v>0</v>
      </c>
      <c r="M326" t="n">
        <v>0</v>
      </c>
      <c r="N326" t="n">
        <v>0</v>
      </c>
      <c r="O326" t="n">
        <v>0</v>
      </c>
      <c r="P326" t="n">
        <v>0</v>
      </c>
      <c r="Q326" t="n">
        <v>0</v>
      </c>
      <c r="R326" s="2" t="inlineStr"/>
    </row>
    <row r="327" ht="15" customHeight="1">
      <c r="A327" t="inlineStr">
        <is>
          <t>A 39510-2024</t>
        </is>
      </c>
      <c r="B327" s="1" t="n">
        <v>45551.67761574074</v>
      </c>
      <c r="C327" s="1" t="n">
        <v>46066</v>
      </c>
      <c r="D327" t="inlineStr">
        <is>
          <t>JÄMTLANDS LÄN</t>
        </is>
      </c>
      <c r="E327" t="inlineStr">
        <is>
          <t>ÖSTERSUND</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27035-2025</t>
        </is>
      </c>
      <c r="B328" s="1" t="n">
        <v>45811.5928587963</v>
      </c>
      <c r="C328" s="1" t="n">
        <v>46066</v>
      </c>
      <c r="D328" t="inlineStr">
        <is>
          <t>JÄMTLANDS LÄN</t>
        </is>
      </c>
      <c r="E328" t="inlineStr">
        <is>
          <t>ÖSTERSUND</t>
        </is>
      </c>
      <c r="G328" t="n">
        <v>2.8</v>
      </c>
      <c r="H328" t="n">
        <v>0</v>
      </c>
      <c r="I328" t="n">
        <v>0</v>
      </c>
      <c r="J328" t="n">
        <v>0</v>
      </c>
      <c r="K328" t="n">
        <v>0</v>
      </c>
      <c r="L328" t="n">
        <v>0</v>
      </c>
      <c r="M328" t="n">
        <v>0</v>
      </c>
      <c r="N328" t="n">
        <v>0</v>
      </c>
      <c r="O328" t="n">
        <v>0</v>
      </c>
      <c r="P328" t="n">
        <v>0</v>
      </c>
      <c r="Q328" t="n">
        <v>0</v>
      </c>
      <c r="R328" s="2" t="inlineStr"/>
    </row>
    <row r="329" ht="15" customHeight="1">
      <c r="A329" t="inlineStr">
        <is>
          <t>A 8168-2026</t>
        </is>
      </c>
      <c r="B329" s="1" t="n">
        <v>46064.39027777778</v>
      </c>
      <c r="C329" s="1" t="n">
        <v>46066</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8216-2026</t>
        </is>
      </c>
      <c r="B330" s="1" t="n">
        <v>46064.45548611111</v>
      </c>
      <c r="C330" s="1" t="n">
        <v>46066</v>
      </c>
      <c r="D330" t="inlineStr">
        <is>
          <t>JÄMTLANDS LÄN</t>
        </is>
      </c>
      <c r="E330" t="inlineStr">
        <is>
          <t>ÖSTERSUND</t>
        </is>
      </c>
      <c r="G330" t="n">
        <v>1.8</v>
      </c>
      <c r="H330" t="n">
        <v>0</v>
      </c>
      <c r="I330" t="n">
        <v>0</v>
      </c>
      <c r="J330" t="n">
        <v>0</v>
      </c>
      <c r="K330" t="n">
        <v>0</v>
      </c>
      <c r="L330" t="n">
        <v>0</v>
      </c>
      <c r="M330" t="n">
        <v>0</v>
      </c>
      <c r="N330" t="n">
        <v>0</v>
      </c>
      <c r="O330" t="n">
        <v>0</v>
      </c>
      <c r="P330" t="n">
        <v>0</v>
      </c>
      <c r="Q330" t="n">
        <v>0</v>
      </c>
      <c r="R330" s="2" t="inlineStr"/>
    </row>
    <row r="331" ht="15" customHeight="1">
      <c r="A331" t="inlineStr">
        <is>
          <t>A 8545-2026</t>
        </is>
      </c>
      <c r="B331" s="1" t="n">
        <v>46065.61449074074</v>
      </c>
      <c r="C331" s="1" t="n">
        <v>46066</v>
      </c>
      <c r="D331" t="inlineStr">
        <is>
          <t>JÄMTLANDS LÄN</t>
        </is>
      </c>
      <c r="E331" t="inlineStr">
        <is>
          <t>ÖSTERSUND</t>
        </is>
      </c>
      <c r="F331" t="inlineStr">
        <is>
          <t>Kyrkan</t>
        </is>
      </c>
      <c r="G331" t="n">
        <v>2.3</v>
      </c>
      <c r="H331" t="n">
        <v>0</v>
      </c>
      <c r="I331" t="n">
        <v>0</v>
      </c>
      <c r="J331" t="n">
        <v>0</v>
      </c>
      <c r="K331" t="n">
        <v>0</v>
      </c>
      <c r="L331" t="n">
        <v>0</v>
      </c>
      <c r="M331" t="n">
        <v>0</v>
      </c>
      <c r="N331" t="n">
        <v>0</v>
      </c>
      <c r="O331" t="n">
        <v>0</v>
      </c>
      <c r="P331" t="n">
        <v>0</v>
      </c>
      <c r="Q331" t="n">
        <v>0</v>
      </c>
      <c r="R331" s="2" t="inlineStr"/>
    </row>
    <row r="332" ht="15" customHeight="1">
      <c r="A332" t="inlineStr">
        <is>
          <t>A 56646-2024</t>
        </is>
      </c>
      <c r="B332" s="1" t="n">
        <v>45625</v>
      </c>
      <c r="C332" s="1" t="n">
        <v>46066</v>
      </c>
      <c r="D332" t="inlineStr">
        <is>
          <t>JÄMTLANDS LÄN</t>
        </is>
      </c>
      <c r="E332" t="inlineStr">
        <is>
          <t>ÖSTERSUND</t>
        </is>
      </c>
      <c r="G332" t="n">
        <v>18.9</v>
      </c>
      <c r="H332" t="n">
        <v>0</v>
      </c>
      <c r="I332" t="n">
        <v>0</v>
      </c>
      <c r="J332" t="n">
        <v>0</v>
      </c>
      <c r="K332" t="n">
        <v>0</v>
      </c>
      <c r="L332" t="n">
        <v>0</v>
      </c>
      <c r="M332" t="n">
        <v>0</v>
      </c>
      <c r="N332" t="n">
        <v>0</v>
      </c>
      <c r="O332" t="n">
        <v>0</v>
      </c>
      <c r="P332" t="n">
        <v>0</v>
      </c>
      <c r="Q332" t="n">
        <v>0</v>
      </c>
      <c r="R332" s="2" t="inlineStr"/>
    </row>
    <row r="333" ht="15" customHeight="1">
      <c r="A333" t="inlineStr">
        <is>
          <t>A 10266-2025</t>
        </is>
      </c>
      <c r="B333" s="1" t="n">
        <v>45720.38576388889</v>
      </c>
      <c r="C333" s="1" t="n">
        <v>46066</v>
      </c>
      <c r="D333" t="inlineStr">
        <is>
          <t>JÄMTLANDS LÄN</t>
        </is>
      </c>
      <c r="E333" t="inlineStr">
        <is>
          <t>ÖSTERSUND</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27517-2025</t>
        </is>
      </c>
      <c r="B334" s="1" t="n">
        <v>45813.43966435185</v>
      </c>
      <c r="C334" s="1" t="n">
        <v>46066</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39030-2025</t>
        </is>
      </c>
      <c r="B335" s="1" t="n">
        <v>45888.40700231482</v>
      </c>
      <c r="C335" s="1" t="n">
        <v>46066</v>
      </c>
      <c r="D335" t="inlineStr">
        <is>
          <t>JÄMTLANDS LÄN</t>
        </is>
      </c>
      <c r="E335" t="inlineStr">
        <is>
          <t>ÖSTERSUND</t>
        </is>
      </c>
      <c r="G335" t="n">
        <v>1.8</v>
      </c>
      <c r="H335" t="n">
        <v>0</v>
      </c>
      <c r="I335" t="n">
        <v>0</v>
      </c>
      <c r="J335" t="n">
        <v>0</v>
      </c>
      <c r="K335" t="n">
        <v>0</v>
      </c>
      <c r="L335" t="n">
        <v>0</v>
      </c>
      <c r="M335" t="n">
        <v>0</v>
      </c>
      <c r="N335" t="n">
        <v>0</v>
      </c>
      <c r="O335" t="n">
        <v>0</v>
      </c>
      <c r="P335" t="n">
        <v>0</v>
      </c>
      <c r="Q335" t="n">
        <v>0</v>
      </c>
      <c r="R335" s="2" t="inlineStr"/>
    </row>
    <row r="336" ht="15" customHeight="1">
      <c r="A336" t="inlineStr">
        <is>
          <t>A 7956-2025</t>
        </is>
      </c>
      <c r="B336" s="1" t="n">
        <v>45707.42825231481</v>
      </c>
      <c r="C336" s="1" t="n">
        <v>46066</v>
      </c>
      <c r="D336" t="inlineStr">
        <is>
          <t>JÄMTLANDS LÄN</t>
        </is>
      </c>
      <c r="E336" t="inlineStr">
        <is>
          <t>ÖSTERSUND</t>
        </is>
      </c>
      <c r="F336" t="inlineStr">
        <is>
          <t>Övriga Aktiebolag</t>
        </is>
      </c>
      <c r="G336" t="n">
        <v>111.2</v>
      </c>
      <c r="H336" t="n">
        <v>0</v>
      </c>
      <c r="I336" t="n">
        <v>0</v>
      </c>
      <c r="J336" t="n">
        <v>0</v>
      </c>
      <c r="K336" t="n">
        <v>0</v>
      </c>
      <c r="L336" t="n">
        <v>0</v>
      </c>
      <c r="M336" t="n">
        <v>0</v>
      </c>
      <c r="N336" t="n">
        <v>0</v>
      </c>
      <c r="O336" t="n">
        <v>0</v>
      </c>
      <c r="P336" t="n">
        <v>0</v>
      </c>
      <c r="Q336" t="n">
        <v>0</v>
      </c>
      <c r="R336" s="2" t="inlineStr"/>
    </row>
    <row r="337" ht="15" customHeight="1">
      <c r="A337" t="inlineStr">
        <is>
          <t>A 16335-2025</t>
        </is>
      </c>
      <c r="B337" s="1" t="n">
        <v>45751.36518518518</v>
      </c>
      <c r="C337" s="1" t="n">
        <v>46066</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15686-2025</t>
        </is>
      </c>
      <c r="B338" s="1" t="n">
        <v>45748.46021990741</v>
      </c>
      <c r="C338" s="1" t="n">
        <v>46066</v>
      </c>
      <c r="D338" t="inlineStr">
        <is>
          <t>JÄMTLANDS LÄN</t>
        </is>
      </c>
      <c r="E338" t="inlineStr">
        <is>
          <t>ÖSTERSUND</t>
        </is>
      </c>
      <c r="G338" t="n">
        <v>1.5</v>
      </c>
      <c r="H338" t="n">
        <v>0</v>
      </c>
      <c r="I338" t="n">
        <v>0</v>
      </c>
      <c r="J338" t="n">
        <v>0</v>
      </c>
      <c r="K338" t="n">
        <v>0</v>
      </c>
      <c r="L338" t="n">
        <v>0</v>
      </c>
      <c r="M338" t="n">
        <v>0</v>
      </c>
      <c r="N338" t="n">
        <v>0</v>
      </c>
      <c r="O338" t="n">
        <v>0</v>
      </c>
      <c r="P338" t="n">
        <v>0</v>
      </c>
      <c r="Q338" t="n">
        <v>0</v>
      </c>
      <c r="R338" s="2" t="inlineStr"/>
    </row>
    <row r="339" ht="15" customHeight="1">
      <c r="A339" t="inlineStr">
        <is>
          <t>A 28025-2025</t>
        </is>
      </c>
      <c r="B339" s="1" t="n">
        <v>45817</v>
      </c>
      <c r="C339" s="1" t="n">
        <v>46066</v>
      </c>
      <c r="D339" t="inlineStr">
        <is>
          <t>JÄMTLANDS LÄN</t>
        </is>
      </c>
      <c r="E339" t="inlineStr">
        <is>
          <t>ÖSTERSUND</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39103-2025</t>
        </is>
      </c>
      <c r="B340" s="1" t="n">
        <v>45888.52440972222</v>
      </c>
      <c r="C340" s="1" t="n">
        <v>46066</v>
      </c>
      <c r="D340" t="inlineStr">
        <is>
          <t>JÄMTLANDS LÄN</t>
        </is>
      </c>
      <c r="E340" t="inlineStr">
        <is>
          <t>ÖSTERSUND</t>
        </is>
      </c>
      <c r="G340" t="n">
        <v>23.9</v>
      </c>
      <c r="H340" t="n">
        <v>0</v>
      </c>
      <c r="I340" t="n">
        <v>0</v>
      </c>
      <c r="J340" t="n">
        <v>0</v>
      </c>
      <c r="K340" t="n">
        <v>0</v>
      </c>
      <c r="L340" t="n">
        <v>0</v>
      </c>
      <c r="M340" t="n">
        <v>0</v>
      </c>
      <c r="N340" t="n">
        <v>0</v>
      </c>
      <c r="O340" t="n">
        <v>0</v>
      </c>
      <c r="P340" t="n">
        <v>0</v>
      </c>
      <c r="Q340" t="n">
        <v>0</v>
      </c>
      <c r="R340" s="2" t="inlineStr"/>
    </row>
    <row r="341" ht="15" customHeight="1">
      <c r="A341" t="inlineStr">
        <is>
          <t>A 27343-2022</t>
        </is>
      </c>
      <c r="B341" s="1" t="n">
        <v>44742</v>
      </c>
      <c r="C341" s="1" t="n">
        <v>46066</v>
      </c>
      <c r="D341" t="inlineStr">
        <is>
          <t>JÄMTLANDS LÄN</t>
        </is>
      </c>
      <c r="E341" t="inlineStr">
        <is>
          <t>ÖSTERSUND</t>
        </is>
      </c>
      <c r="G341" t="n">
        <v>1.5</v>
      </c>
      <c r="H341" t="n">
        <v>0</v>
      </c>
      <c r="I341" t="n">
        <v>0</v>
      </c>
      <c r="J341" t="n">
        <v>0</v>
      </c>
      <c r="K341" t="n">
        <v>0</v>
      </c>
      <c r="L341" t="n">
        <v>0</v>
      </c>
      <c r="M341" t="n">
        <v>0</v>
      </c>
      <c r="N341" t="n">
        <v>0</v>
      </c>
      <c r="O341" t="n">
        <v>0</v>
      </c>
      <c r="P341" t="n">
        <v>0</v>
      </c>
      <c r="Q341" t="n">
        <v>0</v>
      </c>
      <c r="R341" s="2" t="inlineStr"/>
    </row>
    <row r="342" ht="15" customHeight="1">
      <c r="A342" t="inlineStr">
        <is>
          <t>A 28595-2025</t>
        </is>
      </c>
      <c r="B342" s="1" t="n">
        <v>45819.59429398148</v>
      </c>
      <c r="C342" s="1" t="n">
        <v>46066</v>
      </c>
      <c r="D342" t="inlineStr">
        <is>
          <t>JÄMTLANDS LÄN</t>
        </is>
      </c>
      <c r="E342" t="inlineStr">
        <is>
          <t>ÖSTERSUND</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28185-2025</t>
        </is>
      </c>
      <c r="B343" s="1" t="n">
        <v>45818.40337962963</v>
      </c>
      <c r="C343" s="1" t="n">
        <v>46066</v>
      </c>
      <c r="D343" t="inlineStr">
        <is>
          <t>JÄMTLANDS LÄN</t>
        </is>
      </c>
      <c r="E343" t="inlineStr">
        <is>
          <t>ÖSTERSUND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7022-2025</t>
        </is>
      </c>
      <c r="B344" s="1" t="n">
        <v>45701.61899305556</v>
      </c>
      <c r="C344" s="1" t="n">
        <v>46066</v>
      </c>
      <c r="D344" t="inlineStr">
        <is>
          <t>JÄMTLANDS LÄN</t>
        </is>
      </c>
      <c r="E344" t="inlineStr">
        <is>
          <t>ÖSTERSUND</t>
        </is>
      </c>
      <c r="G344" t="n">
        <v>4.8</v>
      </c>
      <c r="H344" t="n">
        <v>0</v>
      </c>
      <c r="I344" t="n">
        <v>0</v>
      </c>
      <c r="J344" t="n">
        <v>0</v>
      </c>
      <c r="K344" t="n">
        <v>0</v>
      </c>
      <c r="L344" t="n">
        <v>0</v>
      </c>
      <c r="M344" t="n">
        <v>0</v>
      </c>
      <c r="N344" t="n">
        <v>0</v>
      </c>
      <c r="O344" t="n">
        <v>0</v>
      </c>
      <c r="P344" t="n">
        <v>0</v>
      </c>
      <c r="Q344" t="n">
        <v>0</v>
      </c>
      <c r="R344" s="2" t="inlineStr"/>
    </row>
    <row r="345" ht="15" customHeight="1">
      <c r="A345" t="inlineStr">
        <is>
          <t>A 24781-2024</t>
        </is>
      </c>
      <c r="B345" s="1" t="n">
        <v>45460.7772800926</v>
      </c>
      <c r="C345" s="1" t="n">
        <v>46066</v>
      </c>
      <c r="D345" t="inlineStr">
        <is>
          <t>JÄMTLANDS LÄN</t>
        </is>
      </c>
      <c r="E345" t="inlineStr">
        <is>
          <t>ÖSTERSUND</t>
        </is>
      </c>
      <c r="G345" t="n">
        <v>2.2</v>
      </c>
      <c r="H345" t="n">
        <v>0</v>
      </c>
      <c r="I345" t="n">
        <v>0</v>
      </c>
      <c r="J345" t="n">
        <v>0</v>
      </c>
      <c r="K345" t="n">
        <v>0</v>
      </c>
      <c r="L345" t="n">
        <v>0</v>
      </c>
      <c r="M345" t="n">
        <v>0</v>
      </c>
      <c r="N345" t="n">
        <v>0</v>
      </c>
      <c r="O345" t="n">
        <v>0</v>
      </c>
      <c r="P345" t="n">
        <v>0</v>
      </c>
      <c r="Q345" t="n">
        <v>0</v>
      </c>
      <c r="R345" s="2" t="inlineStr"/>
    </row>
    <row r="346" ht="15" customHeight="1">
      <c r="A346" t="inlineStr">
        <is>
          <t>A 62111-2024</t>
        </is>
      </c>
      <c r="B346" s="1" t="n">
        <v>45656.53215277778</v>
      </c>
      <c r="C346" s="1" t="n">
        <v>46066</v>
      </c>
      <c r="D346" t="inlineStr">
        <is>
          <t>JÄMTLANDS LÄN</t>
        </is>
      </c>
      <c r="E346" t="inlineStr">
        <is>
          <t>ÖSTERSUND</t>
        </is>
      </c>
      <c r="G346" t="n">
        <v>3.4</v>
      </c>
      <c r="H346" t="n">
        <v>0</v>
      </c>
      <c r="I346" t="n">
        <v>0</v>
      </c>
      <c r="J346" t="n">
        <v>0</v>
      </c>
      <c r="K346" t="n">
        <v>0</v>
      </c>
      <c r="L346" t="n">
        <v>0</v>
      </c>
      <c r="M346" t="n">
        <v>0</v>
      </c>
      <c r="N346" t="n">
        <v>0</v>
      </c>
      <c r="O346" t="n">
        <v>0</v>
      </c>
      <c r="P346" t="n">
        <v>0</v>
      </c>
      <c r="Q346" t="n">
        <v>0</v>
      </c>
      <c r="R346" s="2" t="inlineStr"/>
    </row>
    <row r="347" ht="15" customHeight="1">
      <c r="A347" t="inlineStr">
        <is>
          <t>A 14653-2022</t>
        </is>
      </c>
      <c r="B347" s="1" t="n">
        <v>44655.69303240741</v>
      </c>
      <c r="C347" s="1" t="n">
        <v>46066</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11181-2025</t>
        </is>
      </c>
      <c r="B348" s="1" t="n">
        <v>45725.44039351852</v>
      </c>
      <c r="C348" s="1" t="n">
        <v>46066</v>
      </c>
      <c r="D348" t="inlineStr">
        <is>
          <t>JÄMTLANDS LÄN</t>
        </is>
      </c>
      <c r="E348" t="inlineStr">
        <is>
          <t>ÖSTERSUND</t>
        </is>
      </c>
      <c r="G348" t="n">
        <v>15.4</v>
      </c>
      <c r="H348" t="n">
        <v>0</v>
      </c>
      <c r="I348" t="n">
        <v>0</v>
      </c>
      <c r="J348" t="n">
        <v>0</v>
      </c>
      <c r="K348" t="n">
        <v>0</v>
      </c>
      <c r="L348" t="n">
        <v>0</v>
      </c>
      <c r="M348" t="n">
        <v>0</v>
      </c>
      <c r="N348" t="n">
        <v>0</v>
      </c>
      <c r="O348" t="n">
        <v>0</v>
      </c>
      <c r="P348" t="n">
        <v>0</v>
      </c>
      <c r="Q348" t="n">
        <v>0</v>
      </c>
      <c r="R348" s="2" t="inlineStr"/>
    </row>
    <row r="349" ht="15" customHeight="1">
      <c r="A349" t="inlineStr">
        <is>
          <t>A 30320-2025</t>
        </is>
      </c>
      <c r="B349" s="1" t="n">
        <v>45827.49415509259</v>
      </c>
      <c r="C349" s="1" t="n">
        <v>46066</v>
      </c>
      <c r="D349" t="inlineStr">
        <is>
          <t>JÄMTLANDS LÄN</t>
        </is>
      </c>
      <c r="E349" t="inlineStr">
        <is>
          <t>ÖSTERSUND</t>
        </is>
      </c>
      <c r="G349" t="n">
        <v>4.6</v>
      </c>
      <c r="H349" t="n">
        <v>0</v>
      </c>
      <c r="I349" t="n">
        <v>0</v>
      </c>
      <c r="J349" t="n">
        <v>0</v>
      </c>
      <c r="K349" t="n">
        <v>0</v>
      </c>
      <c r="L349" t="n">
        <v>0</v>
      </c>
      <c r="M349" t="n">
        <v>0</v>
      </c>
      <c r="N349" t="n">
        <v>0</v>
      </c>
      <c r="O349" t="n">
        <v>0</v>
      </c>
      <c r="P349" t="n">
        <v>0</v>
      </c>
      <c r="Q349" t="n">
        <v>0</v>
      </c>
      <c r="R349" s="2" t="inlineStr"/>
    </row>
    <row r="350" ht="15" customHeight="1">
      <c r="A350" t="inlineStr">
        <is>
          <t>A 3844-2024</t>
        </is>
      </c>
      <c r="B350" s="1" t="n">
        <v>45321</v>
      </c>
      <c r="C350" s="1" t="n">
        <v>46066</v>
      </c>
      <c r="D350" t="inlineStr">
        <is>
          <t>JÄMTLANDS LÄN</t>
        </is>
      </c>
      <c r="E350" t="inlineStr">
        <is>
          <t>ÖSTERSUND</t>
        </is>
      </c>
      <c r="G350" t="n">
        <v>2.2</v>
      </c>
      <c r="H350" t="n">
        <v>0</v>
      </c>
      <c r="I350" t="n">
        <v>0</v>
      </c>
      <c r="J350" t="n">
        <v>0</v>
      </c>
      <c r="K350" t="n">
        <v>0</v>
      </c>
      <c r="L350" t="n">
        <v>0</v>
      </c>
      <c r="M350" t="n">
        <v>0</v>
      </c>
      <c r="N350" t="n">
        <v>0</v>
      </c>
      <c r="O350" t="n">
        <v>0</v>
      </c>
      <c r="P350" t="n">
        <v>0</v>
      </c>
      <c r="Q350" t="n">
        <v>0</v>
      </c>
      <c r="R350" s="2" t="inlineStr"/>
    </row>
    <row r="351" ht="15" customHeight="1">
      <c r="A351" t="inlineStr">
        <is>
          <t>A 30210-2025</t>
        </is>
      </c>
      <c r="B351" s="1" t="n">
        <v>45827.36590277778</v>
      </c>
      <c r="C351" s="1" t="n">
        <v>46066</v>
      </c>
      <c r="D351" t="inlineStr">
        <is>
          <t>JÄMTLANDS LÄN</t>
        </is>
      </c>
      <c r="E351" t="inlineStr">
        <is>
          <t>ÖSTERSUND</t>
        </is>
      </c>
      <c r="G351" t="n">
        <v>0.7</v>
      </c>
      <c r="H351" t="n">
        <v>0</v>
      </c>
      <c r="I351" t="n">
        <v>0</v>
      </c>
      <c r="J351" t="n">
        <v>0</v>
      </c>
      <c r="K351" t="n">
        <v>0</v>
      </c>
      <c r="L351" t="n">
        <v>0</v>
      </c>
      <c r="M351" t="n">
        <v>0</v>
      </c>
      <c r="N351" t="n">
        <v>0</v>
      </c>
      <c r="O351" t="n">
        <v>0</v>
      </c>
      <c r="P351" t="n">
        <v>0</v>
      </c>
      <c r="Q351" t="n">
        <v>0</v>
      </c>
      <c r="R351" s="2" t="inlineStr"/>
    </row>
    <row r="352" ht="15" customHeight="1">
      <c r="A352" t="inlineStr">
        <is>
          <t>A 7327-2023</t>
        </is>
      </c>
      <c r="B352" s="1" t="n">
        <v>44970.97871527778</v>
      </c>
      <c r="C352" s="1" t="n">
        <v>46066</v>
      </c>
      <c r="D352" t="inlineStr">
        <is>
          <t>JÄMTLANDS LÄN</t>
        </is>
      </c>
      <c r="E352" t="inlineStr">
        <is>
          <t>ÖSTERSUND</t>
        </is>
      </c>
      <c r="F352" t="inlineStr">
        <is>
          <t>SCA</t>
        </is>
      </c>
      <c r="G352" t="n">
        <v>4.6</v>
      </c>
      <c r="H352" t="n">
        <v>0</v>
      </c>
      <c r="I352" t="n">
        <v>0</v>
      </c>
      <c r="J352" t="n">
        <v>0</v>
      </c>
      <c r="K352" t="n">
        <v>0</v>
      </c>
      <c r="L352" t="n">
        <v>0</v>
      </c>
      <c r="M352" t="n">
        <v>0</v>
      </c>
      <c r="N352" t="n">
        <v>0</v>
      </c>
      <c r="O352" t="n">
        <v>0</v>
      </c>
      <c r="P352" t="n">
        <v>0</v>
      </c>
      <c r="Q352" t="n">
        <v>0</v>
      </c>
      <c r="R352" s="2" t="inlineStr"/>
    </row>
    <row r="353" ht="15" customHeight="1">
      <c r="A353" t="inlineStr">
        <is>
          <t>A 49192-2024</t>
        </is>
      </c>
      <c r="B353" s="1" t="n">
        <v>45595.34762731481</v>
      </c>
      <c r="C353" s="1" t="n">
        <v>46066</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25221-2025</t>
        </is>
      </c>
      <c r="B354" s="1" t="n">
        <v>45800.47802083333</v>
      </c>
      <c r="C354" s="1" t="n">
        <v>46066</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40325-2025</t>
        </is>
      </c>
      <c r="B355" s="1" t="n">
        <v>45895.4484837963</v>
      </c>
      <c r="C355" s="1" t="n">
        <v>46066</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40361-2025</t>
        </is>
      </c>
      <c r="B356" s="1" t="n">
        <v>45895.49026620371</v>
      </c>
      <c r="C356" s="1" t="n">
        <v>46066</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40360-2025</t>
        </is>
      </c>
      <c r="B357" s="1" t="n">
        <v>45895.49024305555</v>
      </c>
      <c r="C357" s="1" t="n">
        <v>46066</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79-2025</t>
        </is>
      </c>
      <c r="B358" s="1" t="n">
        <v>45659.44413194444</v>
      </c>
      <c r="C358" s="1" t="n">
        <v>46066</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44327-2023</t>
        </is>
      </c>
      <c r="B359" s="1" t="n">
        <v>45188</v>
      </c>
      <c r="C359" s="1" t="n">
        <v>46066</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40326-2025</t>
        </is>
      </c>
      <c r="B360" s="1" t="n">
        <v>45895.44856481482</v>
      </c>
      <c r="C360" s="1" t="n">
        <v>46066</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21667-2024</t>
        </is>
      </c>
      <c r="B361" s="1" t="n">
        <v>45442.38511574074</v>
      </c>
      <c r="C361" s="1" t="n">
        <v>46066</v>
      </c>
      <c r="D361" t="inlineStr">
        <is>
          <t>JÄMTLANDS LÄN</t>
        </is>
      </c>
      <c r="E361" t="inlineStr">
        <is>
          <t>ÖSTERSUND</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32071-2025</t>
        </is>
      </c>
      <c r="B362" s="1" t="n">
        <v>45835.4491087963</v>
      </c>
      <c r="C362" s="1" t="n">
        <v>46066</v>
      </c>
      <c r="D362" t="inlineStr">
        <is>
          <t>JÄMTLANDS LÄN</t>
        </is>
      </c>
      <c r="E362" t="inlineStr">
        <is>
          <t>ÖSTERSUND</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32279-2025</t>
        </is>
      </c>
      <c r="B363" s="1" t="n">
        <v>45835.67109953704</v>
      </c>
      <c r="C363" s="1" t="n">
        <v>46066</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25187-2024</t>
        </is>
      </c>
      <c r="B364" s="1" t="n">
        <v>45462.56172453704</v>
      </c>
      <c r="C364" s="1" t="n">
        <v>46066</v>
      </c>
      <c r="D364" t="inlineStr">
        <is>
          <t>JÄMTLANDS LÄN</t>
        </is>
      </c>
      <c r="E364" t="inlineStr">
        <is>
          <t>ÖSTERSUND</t>
        </is>
      </c>
      <c r="G364" t="n">
        <v>2.4</v>
      </c>
      <c r="H364" t="n">
        <v>0</v>
      </c>
      <c r="I364" t="n">
        <v>0</v>
      </c>
      <c r="J364" t="n">
        <v>0</v>
      </c>
      <c r="K364" t="n">
        <v>0</v>
      </c>
      <c r="L364" t="n">
        <v>0</v>
      </c>
      <c r="M364" t="n">
        <v>0</v>
      </c>
      <c r="N364" t="n">
        <v>0</v>
      </c>
      <c r="O364" t="n">
        <v>0</v>
      </c>
      <c r="P364" t="n">
        <v>0</v>
      </c>
      <c r="Q364" t="n">
        <v>0</v>
      </c>
      <c r="R364" s="2" t="inlineStr"/>
    </row>
    <row r="365" ht="15" customHeight="1">
      <c r="A365" t="inlineStr">
        <is>
          <t>A 32358-2025</t>
        </is>
      </c>
      <c r="B365" s="1" t="n">
        <v>45837.57481481481</v>
      </c>
      <c r="C365" s="1" t="n">
        <v>46066</v>
      </c>
      <c r="D365" t="inlineStr">
        <is>
          <t>JÄMTLANDS LÄN</t>
        </is>
      </c>
      <c r="E365" t="inlineStr">
        <is>
          <t>ÖSTERSUND</t>
        </is>
      </c>
      <c r="F365" t="inlineStr">
        <is>
          <t>Övriga Aktiebolag</t>
        </is>
      </c>
      <c r="G365" t="n">
        <v>4.8</v>
      </c>
      <c r="H365" t="n">
        <v>0</v>
      </c>
      <c r="I365" t="n">
        <v>0</v>
      </c>
      <c r="J365" t="n">
        <v>0</v>
      </c>
      <c r="K365" t="n">
        <v>0</v>
      </c>
      <c r="L365" t="n">
        <v>0</v>
      </c>
      <c r="M365" t="n">
        <v>0</v>
      </c>
      <c r="N365" t="n">
        <v>0</v>
      </c>
      <c r="O365" t="n">
        <v>0</v>
      </c>
      <c r="P365" t="n">
        <v>0</v>
      </c>
      <c r="Q365" t="n">
        <v>0</v>
      </c>
      <c r="R365" s="2" t="inlineStr"/>
    </row>
    <row r="366" ht="15" customHeight="1">
      <c r="A366" t="inlineStr">
        <is>
          <t>A 32353-2025</t>
        </is>
      </c>
      <c r="B366" s="1" t="n">
        <v>45837.51741898148</v>
      </c>
      <c r="C366" s="1" t="n">
        <v>46066</v>
      </c>
      <c r="D366" t="inlineStr">
        <is>
          <t>JÄMTLANDS LÄN</t>
        </is>
      </c>
      <c r="E366" t="inlineStr">
        <is>
          <t>ÖSTERSUND</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32369-2025</t>
        </is>
      </c>
      <c r="B367" s="1" t="n">
        <v>45837.67381944445</v>
      </c>
      <c r="C367" s="1" t="n">
        <v>46066</v>
      </c>
      <c r="D367" t="inlineStr">
        <is>
          <t>JÄMTLANDS LÄN</t>
        </is>
      </c>
      <c r="E367" t="inlineStr">
        <is>
          <t>ÖSTERSUND</t>
        </is>
      </c>
      <c r="F367" t="inlineStr">
        <is>
          <t>Övriga Aktiebolag</t>
        </is>
      </c>
      <c r="G367" t="n">
        <v>5.7</v>
      </c>
      <c r="H367" t="n">
        <v>0</v>
      </c>
      <c r="I367" t="n">
        <v>0</v>
      </c>
      <c r="J367" t="n">
        <v>0</v>
      </c>
      <c r="K367" t="n">
        <v>0</v>
      </c>
      <c r="L367" t="n">
        <v>0</v>
      </c>
      <c r="M367" t="n">
        <v>0</v>
      </c>
      <c r="N367" t="n">
        <v>0</v>
      </c>
      <c r="O367" t="n">
        <v>0</v>
      </c>
      <c r="P367" t="n">
        <v>0</v>
      </c>
      <c r="Q367" t="n">
        <v>0</v>
      </c>
      <c r="R367" s="2" t="inlineStr"/>
    </row>
    <row r="368" ht="15" customHeight="1">
      <c r="A368" t="inlineStr">
        <is>
          <t>A 13282-2023</t>
        </is>
      </c>
      <c r="B368" s="1" t="n">
        <v>45004</v>
      </c>
      <c r="C368" s="1" t="n">
        <v>46066</v>
      </c>
      <c r="D368" t="inlineStr">
        <is>
          <t>JÄMTLANDS LÄN</t>
        </is>
      </c>
      <c r="E368" t="inlineStr">
        <is>
          <t>ÖSTERSUND</t>
        </is>
      </c>
      <c r="G368" t="n">
        <v>28.5</v>
      </c>
      <c r="H368" t="n">
        <v>0</v>
      </c>
      <c r="I368" t="n">
        <v>0</v>
      </c>
      <c r="J368" t="n">
        <v>0</v>
      </c>
      <c r="K368" t="n">
        <v>0</v>
      </c>
      <c r="L368" t="n">
        <v>0</v>
      </c>
      <c r="M368" t="n">
        <v>0</v>
      </c>
      <c r="N368" t="n">
        <v>0</v>
      </c>
      <c r="O368" t="n">
        <v>0</v>
      </c>
      <c r="P368" t="n">
        <v>0</v>
      </c>
      <c r="Q368" t="n">
        <v>0</v>
      </c>
      <c r="R368" s="2" t="inlineStr"/>
    </row>
    <row r="369" ht="15" customHeight="1">
      <c r="A369" t="inlineStr">
        <is>
          <t>A 14182-2025</t>
        </is>
      </c>
      <c r="B369" s="1" t="n">
        <v>45740.54168981482</v>
      </c>
      <c r="C369" s="1" t="n">
        <v>46066</v>
      </c>
      <c r="D369" t="inlineStr">
        <is>
          <t>JÄMTLANDS LÄN</t>
        </is>
      </c>
      <c r="E369" t="inlineStr">
        <is>
          <t>ÖSTERSUND</t>
        </is>
      </c>
      <c r="F369" t="inlineStr">
        <is>
          <t>Övriga Aktiebolag</t>
        </is>
      </c>
      <c r="G369" t="n">
        <v>20.1</v>
      </c>
      <c r="H369" t="n">
        <v>0</v>
      </c>
      <c r="I369" t="n">
        <v>0</v>
      </c>
      <c r="J369" t="n">
        <v>0</v>
      </c>
      <c r="K369" t="n">
        <v>0</v>
      </c>
      <c r="L369" t="n">
        <v>0</v>
      </c>
      <c r="M369" t="n">
        <v>0</v>
      </c>
      <c r="N369" t="n">
        <v>0</v>
      </c>
      <c r="O369" t="n">
        <v>0</v>
      </c>
      <c r="P369" t="n">
        <v>0</v>
      </c>
      <c r="Q369" t="n">
        <v>0</v>
      </c>
      <c r="R369" s="2" t="inlineStr"/>
    </row>
    <row r="370" ht="15" customHeight="1">
      <c r="A370" t="inlineStr">
        <is>
          <t>A 32368-2025</t>
        </is>
      </c>
      <c r="B370" s="1" t="n">
        <v>45837.66230324074</v>
      </c>
      <c r="C370" s="1" t="n">
        <v>46066</v>
      </c>
      <c r="D370" t="inlineStr">
        <is>
          <t>JÄMTLANDS LÄN</t>
        </is>
      </c>
      <c r="E370" t="inlineStr">
        <is>
          <t>ÖSTERSUND</t>
        </is>
      </c>
      <c r="F370" t="inlineStr">
        <is>
          <t>Övriga Aktiebolag</t>
        </is>
      </c>
      <c r="G370" t="n">
        <v>19.5</v>
      </c>
      <c r="H370" t="n">
        <v>0</v>
      </c>
      <c r="I370" t="n">
        <v>0</v>
      </c>
      <c r="J370" t="n">
        <v>0</v>
      </c>
      <c r="K370" t="n">
        <v>0</v>
      </c>
      <c r="L370" t="n">
        <v>0</v>
      </c>
      <c r="M370" t="n">
        <v>0</v>
      </c>
      <c r="N370" t="n">
        <v>0</v>
      </c>
      <c r="O370" t="n">
        <v>0</v>
      </c>
      <c r="P370" t="n">
        <v>0</v>
      </c>
      <c r="Q370" t="n">
        <v>0</v>
      </c>
      <c r="R370" s="2" t="inlineStr"/>
    </row>
    <row r="371" ht="15" customHeight="1">
      <c r="A371" t="inlineStr">
        <is>
          <t>A 33358-2025</t>
        </is>
      </c>
      <c r="B371" s="1" t="n">
        <v>45841.38054398148</v>
      </c>
      <c r="C371" s="1" t="n">
        <v>46066</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10267-2025</t>
        </is>
      </c>
      <c r="B372" s="1" t="n">
        <v>45720.3859375</v>
      </c>
      <c r="C372" s="1" t="n">
        <v>46066</v>
      </c>
      <c r="D372" t="inlineStr">
        <is>
          <t>JÄMTLANDS LÄN</t>
        </is>
      </c>
      <c r="E372" t="inlineStr">
        <is>
          <t>ÖSTERSUND</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27780-2022</t>
        </is>
      </c>
      <c r="B373" s="1" t="n">
        <v>44743</v>
      </c>
      <c r="C373" s="1" t="n">
        <v>46066</v>
      </c>
      <c r="D373" t="inlineStr">
        <is>
          <t>JÄMTLANDS LÄN</t>
        </is>
      </c>
      <c r="E373" t="inlineStr">
        <is>
          <t>ÖSTERSUND</t>
        </is>
      </c>
      <c r="G373" t="n">
        <v>2.2</v>
      </c>
      <c r="H373" t="n">
        <v>0</v>
      </c>
      <c r="I373" t="n">
        <v>0</v>
      </c>
      <c r="J373" t="n">
        <v>0</v>
      </c>
      <c r="K373" t="n">
        <v>0</v>
      </c>
      <c r="L373" t="n">
        <v>0</v>
      </c>
      <c r="M373" t="n">
        <v>0</v>
      </c>
      <c r="N373" t="n">
        <v>0</v>
      </c>
      <c r="O373" t="n">
        <v>0</v>
      </c>
      <c r="P373" t="n">
        <v>0</v>
      </c>
      <c r="Q373" t="n">
        <v>0</v>
      </c>
      <c r="R373" s="2" t="inlineStr"/>
    </row>
    <row r="374" ht="15" customHeight="1">
      <c r="A374" t="inlineStr">
        <is>
          <t>A 43082-2024</t>
        </is>
      </c>
      <c r="B374" s="1" t="n">
        <v>45567.51068287037</v>
      </c>
      <c r="C374" s="1" t="n">
        <v>46066</v>
      </c>
      <c r="D374" t="inlineStr">
        <is>
          <t>JÄMTLANDS LÄN</t>
        </is>
      </c>
      <c r="E374" t="inlineStr">
        <is>
          <t>ÖSTERSUND</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61653-2022</t>
        </is>
      </c>
      <c r="B375" s="1" t="n">
        <v>44916</v>
      </c>
      <c r="C375" s="1" t="n">
        <v>46066</v>
      </c>
      <c r="D375" t="inlineStr">
        <is>
          <t>JÄMTLANDS LÄN</t>
        </is>
      </c>
      <c r="E375" t="inlineStr">
        <is>
          <t>ÖSTERSUND</t>
        </is>
      </c>
      <c r="G375" t="n">
        <v>7.6</v>
      </c>
      <c r="H375" t="n">
        <v>0</v>
      </c>
      <c r="I375" t="n">
        <v>0</v>
      </c>
      <c r="J375" t="n">
        <v>0</v>
      </c>
      <c r="K375" t="n">
        <v>0</v>
      </c>
      <c r="L375" t="n">
        <v>0</v>
      </c>
      <c r="M375" t="n">
        <v>0</v>
      </c>
      <c r="N375" t="n">
        <v>0</v>
      </c>
      <c r="O375" t="n">
        <v>0</v>
      </c>
      <c r="P375" t="n">
        <v>0</v>
      </c>
      <c r="Q375" t="n">
        <v>0</v>
      </c>
      <c r="R375" s="2" t="inlineStr"/>
    </row>
    <row r="376" ht="15" customHeight="1">
      <c r="A376" t="inlineStr">
        <is>
          <t>A 52854-2024</t>
        </is>
      </c>
      <c r="B376" s="1" t="n">
        <v>45610.61030092592</v>
      </c>
      <c r="C376" s="1" t="n">
        <v>46066</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41582-2025</t>
        </is>
      </c>
      <c r="B377" s="1" t="n">
        <v>45901</v>
      </c>
      <c r="C377" s="1" t="n">
        <v>46066</v>
      </c>
      <c r="D377" t="inlineStr">
        <is>
          <t>JÄMTLANDS LÄN</t>
        </is>
      </c>
      <c r="E377" t="inlineStr">
        <is>
          <t>ÖSTERSUND</t>
        </is>
      </c>
      <c r="G377" t="n">
        <v>0.9</v>
      </c>
      <c r="H377" t="n">
        <v>0</v>
      </c>
      <c r="I377" t="n">
        <v>0</v>
      </c>
      <c r="J377" t="n">
        <v>0</v>
      </c>
      <c r="K377" t="n">
        <v>0</v>
      </c>
      <c r="L377" t="n">
        <v>0</v>
      </c>
      <c r="M377" t="n">
        <v>0</v>
      </c>
      <c r="N377" t="n">
        <v>0</v>
      </c>
      <c r="O377" t="n">
        <v>0</v>
      </c>
      <c r="P377" t="n">
        <v>0</v>
      </c>
      <c r="Q377" t="n">
        <v>0</v>
      </c>
      <c r="R377" s="2" t="inlineStr"/>
    </row>
    <row r="378" ht="15" customHeight="1">
      <c r="A378" t="inlineStr">
        <is>
          <t>A 2228-2024</t>
        </is>
      </c>
      <c r="B378" s="1" t="n">
        <v>45309</v>
      </c>
      <c r="C378" s="1" t="n">
        <v>46066</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34490-2025</t>
        </is>
      </c>
      <c r="B379" s="1" t="n">
        <v>45847.40722222222</v>
      </c>
      <c r="C379" s="1" t="n">
        <v>46066</v>
      </c>
      <c r="D379" t="inlineStr">
        <is>
          <t>JÄMTLANDS LÄN</t>
        </is>
      </c>
      <c r="E379" t="inlineStr">
        <is>
          <t>ÖSTERSUND</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29703-2023</t>
        </is>
      </c>
      <c r="B380" s="1" t="n">
        <v>45107</v>
      </c>
      <c r="C380" s="1" t="n">
        <v>46066</v>
      </c>
      <c r="D380" t="inlineStr">
        <is>
          <t>JÄMTLANDS LÄN</t>
        </is>
      </c>
      <c r="E380" t="inlineStr">
        <is>
          <t>ÖSTERSUND</t>
        </is>
      </c>
      <c r="G380" t="n">
        <v>0.3</v>
      </c>
      <c r="H380" t="n">
        <v>0</v>
      </c>
      <c r="I380" t="n">
        <v>0</v>
      </c>
      <c r="J380" t="n">
        <v>0</v>
      </c>
      <c r="K380" t="n">
        <v>0</v>
      </c>
      <c r="L380" t="n">
        <v>0</v>
      </c>
      <c r="M380" t="n">
        <v>0</v>
      </c>
      <c r="N380" t="n">
        <v>0</v>
      </c>
      <c r="O380" t="n">
        <v>0</v>
      </c>
      <c r="P380" t="n">
        <v>0</v>
      </c>
      <c r="Q380" t="n">
        <v>0</v>
      </c>
      <c r="R380" s="2" t="inlineStr"/>
    </row>
    <row r="381" ht="15" customHeight="1">
      <c r="A381" t="inlineStr">
        <is>
          <t>A 34331-2025</t>
        </is>
      </c>
      <c r="B381" s="1" t="n">
        <v>45846.44827546296</v>
      </c>
      <c r="C381" s="1" t="n">
        <v>46066</v>
      </c>
      <c r="D381" t="inlineStr">
        <is>
          <t>JÄMTLANDS LÄN</t>
        </is>
      </c>
      <c r="E381" t="inlineStr">
        <is>
          <t>ÖSTERSUND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34589-2025</t>
        </is>
      </c>
      <c r="B382" s="1" t="n">
        <v>45847.61561342593</v>
      </c>
      <c r="C382" s="1" t="n">
        <v>46066</v>
      </c>
      <c r="D382" t="inlineStr">
        <is>
          <t>JÄMTLANDS LÄN</t>
        </is>
      </c>
      <c r="E382" t="inlineStr">
        <is>
          <t>ÖSTERSUND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34587-2025</t>
        </is>
      </c>
      <c r="B383" s="1" t="n">
        <v>45847.61533564814</v>
      </c>
      <c r="C383" s="1" t="n">
        <v>46066</v>
      </c>
      <c r="D383" t="inlineStr">
        <is>
          <t>JÄMTLANDS LÄN</t>
        </is>
      </c>
      <c r="E383" t="inlineStr">
        <is>
          <t>ÖSTERSUND</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61530-2023</t>
        </is>
      </c>
      <c r="B384" s="1" t="n">
        <v>45261</v>
      </c>
      <c r="C384" s="1" t="n">
        <v>46066</v>
      </c>
      <c r="D384" t="inlineStr">
        <is>
          <t>JÄMTLANDS LÄN</t>
        </is>
      </c>
      <c r="E384" t="inlineStr">
        <is>
          <t>ÖSTERSUND</t>
        </is>
      </c>
      <c r="F384" t="inlineStr">
        <is>
          <t>Övriga statliga verk och myndigheter</t>
        </is>
      </c>
      <c r="G384" t="n">
        <v>1</v>
      </c>
      <c r="H384" t="n">
        <v>0</v>
      </c>
      <c r="I384" t="n">
        <v>0</v>
      </c>
      <c r="J384" t="n">
        <v>0</v>
      </c>
      <c r="K384" t="n">
        <v>0</v>
      </c>
      <c r="L384" t="n">
        <v>0</v>
      </c>
      <c r="M384" t="n">
        <v>0</v>
      </c>
      <c r="N384" t="n">
        <v>0</v>
      </c>
      <c r="O384" t="n">
        <v>0</v>
      </c>
      <c r="P384" t="n">
        <v>0</v>
      </c>
      <c r="Q384" t="n">
        <v>0</v>
      </c>
      <c r="R384" s="2" t="inlineStr"/>
    </row>
    <row r="385" ht="15" customHeight="1">
      <c r="A385" t="inlineStr">
        <is>
          <t>A 25535-2023</t>
        </is>
      </c>
      <c r="B385" s="1" t="n">
        <v>45089.54944444444</v>
      </c>
      <c r="C385" s="1" t="n">
        <v>46066</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41675-2025</t>
        </is>
      </c>
      <c r="B386" s="1" t="n">
        <v>45902.36641203704</v>
      </c>
      <c r="C386" s="1" t="n">
        <v>46066</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41708-2025</t>
        </is>
      </c>
      <c r="B387" s="1" t="n">
        <v>45902.42280092592</v>
      </c>
      <c r="C387" s="1" t="n">
        <v>46066</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32225-2024</t>
        </is>
      </c>
      <c r="B388" s="1" t="n">
        <v>45511.92825231481</v>
      </c>
      <c r="C388" s="1" t="n">
        <v>46066</v>
      </c>
      <c r="D388" t="inlineStr">
        <is>
          <t>JÄMTLANDS LÄN</t>
        </is>
      </c>
      <c r="E388" t="inlineStr">
        <is>
          <t>ÖSTERSUND</t>
        </is>
      </c>
      <c r="G388" t="n">
        <v>2</v>
      </c>
      <c r="H388" t="n">
        <v>0</v>
      </c>
      <c r="I388" t="n">
        <v>0</v>
      </c>
      <c r="J388" t="n">
        <v>0</v>
      </c>
      <c r="K388" t="n">
        <v>0</v>
      </c>
      <c r="L388" t="n">
        <v>0</v>
      </c>
      <c r="M388" t="n">
        <v>0</v>
      </c>
      <c r="N388" t="n">
        <v>0</v>
      </c>
      <c r="O388" t="n">
        <v>0</v>
      </c>
      <c r="P388" t="n">
        <v>0</v>
      </c>
      <c r="Q388" t="n">
        <v>0</v>
      </c>
      <c r="R388" s="2" t="inlineStr"/>
    </row>
    <row r="389" ht="15" customHeight="1">
      <c r="A389" t="inlineStr">
        <is>
          <t>A 4311-2025</t>
        </is>
      </c>
      <c r="B389" s="1" t="n">
        <v>45685.69267361111</v>
      </c>
      <c r="C389" s="1" t="n">
        <v>46066</v>
      </c>
      <c r="D389" t="inlineStr">
        <is>
          <t>JÄMTLANDS LÄN</t>
        </is>
      </c>
      <c r="E389" t="inlineStr">
        <is>
          <t>ÖSTERSUND</t>
        </is>
      </c>
      <c r="G389" t="n">
        <v>0.7</v>
      </c>
      <c r="H389" t="n">
        <v>0</v>
      </c>
      <c r="I389" t="n">
        <v>0</v>
      </c>
      <c r="J389" t="n">
        <v>0</v>
      </c>
      <c r="K389" t="n">
        <v>0</v>
      </c>
      <c r="L389" t="n">
        <v>0</v>
      </c>
      <c r="M389" t="n">
        <v>0</v>
      </c>
      <c r="N389" t="n">
        <v>0</v>
      </c>
      <c r="O389" t="n">
        <v>0</v>
      </c>
      <c r="P389" t="n">
        <v>0</v>
      </c>
      <c r="Q389" t="n">
        <v>0</v>
      </c>
      <c r="R389" s="2" t="inlineStr"/>
    </row>
    <row r="390" ht="15" customHeight="1">
      <c r="A390" t="inlineStr">
        <is>
          <t>A 25228-2025</t>
        </is>
      </c>
      <c r="B390" s="1" t="n">
        <v>45800.48368055555</v>
      </c>
      <c r="C390" s="1" t="n">
        <v>46066</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12998-2025</t>
        </is>
      </c>
      <c r="B391" s="1" t="n">
        <v>45734.48991898148</v>
      </c>
      <c r="C391" s="1" t="n">
        <v>46066</v>
      </c>
      <c r="D391" t="inlineStr">
        <is>
          <t>JÄMTLANDS LÄN</t>
        </is>
      </c>
      <c r="E391" t="inlineStr">
        <is>
          <t>ÖSTERSUND</t>
        </is>
      </c>
      <c r="F391" t="inlineStr">
        <is>
          <t>SCA</t>
        </is>
      </c>
      <c r="G391" t="n">
        <v>5.7</v>
      </c>
      <c r="H391" t="n">
        <v>0</v>
      </c>
      <c r="I391" t="n">
        <v>0</v>
      </c>
      <c r="J391" t="n">
        <v>0</v>
      </c>
      <c r="K391" t="n">
        <v>0</v>
      </c>
      <c r="L391" t="n">
        <v>0</v>
      </c>
      <c r="M391" t="n">
        <v>0</v>
      </c>
      <c r="N391" t="n">
        <v>0</v>
      </c>
      <c r="O391" t="n">
        <v>0</v>
      </c>
      <c r="P391" t="n">
        <v>0</v>
      </c>
      <c r="Q391" t="n">
        <v>0</v>
      </c>
      <c r="R391" s="2" t="inlineStr"/>
    </row>
    <row r="392" ht="15" customHeight="1">
      <c r="A392" t="inlineStr">
        <is>
          <t>A 42129-2025</t>
        </is>
      </c>
      <c r="B392" s="1" t="n">
        <v>45904.3452662037</v>
      </c>
      <c r="C392" s="1" t="n">
        <v>46066</v>
      </c>
      <c r="D392" t="inlineStr">
        <is>
          <t>JÄMTLANDS LÄN</t>
        </is>
      </c>
      <c r="E392" t="inlineStr">
        <is>
          <t>ÖSTERSUND</t>
        </is>
      </c>
      <c r="G392" t="n">
        <v>0.4</v>
      </c>
      <c r="H392" t="n">
        <v>0</v>
      </c>
      <c r="I392" t="n">
        <v>0</v>
      </c>
      <c r="J392" t="n">
        <v>0</v>
      </c>
      <c r="K392" t="n">
        <v>0</v>
      </c>
      <c r="L392" t="n">
        <v>0</v>
      </c>
      <c r="M392" t="n">
        <v>0</v>
      </c>
      <c r="N392" t="n">
        <v>0</v>
      </c>
      <c r="O392" t="n">
        <v>0</v>
      </c>
      <c r="P392" t="n">
        <v>0</v>
      </c>
      <c r="Q392" t="n">
        <v>0</v>
      </c>
      <c r="R392" s="2" t="inlineStr"/>
    </row>
    <row r="393" ht="15" customHeight="1">
      <c r="A393" t="inlineStr">
        <is>
          <t>A 54913-2024</t>
        </is>
      </c>
      <c r="B393" s="1" t="n">
        <v>45618.6917824074</v>
      </c>
      <c r="C393" s="1" t="n">
        <v>46066</v>
      </c>
      <c r="D393" t="inlineStr">
        <is>
          <t>JÄMTLANDS LÄN</t>
        </is>
      </c>
      <c r="E393" t="inlineStr">
        <is>
          <t>ÖSTERSUND</t>
        </is>
      </c>
      <c r="G393" t="n">
        <v>4.7</v>
      </c>
      <c r="H393" t="n">
        <v>0</v>
      </c>
      <c r="I393" t="n">
        <v>0</v>
      </c>
      <c r="J393" t="n">
        <v>0</v>
      </c>
      <c r="K393" t="n">
        <v>0</v>
      </c>
      <c r="L393" t="n">
        <v>0</v>
      </c>
      <c r="M393" t="n">
        <v>0</v>
      </c>
      <c r="N393" t="n">
        <v>0</v>
      </c>
      <c r="O393" t="n">
        <v>0</v>
      </c>
      <c r="P393" t="n">
        <v>0</v>
      </c>
      <c r="Q393" t="n">
        <v>0</v>
      </c>
      <c r="R393" s="2" t="inlineStr"/>
    </row>
    <row r="394" ht="15" customHeight="1">
      <c r="A394" t="inlineStr">
        <is>
          <t>A 57398-2023</t>
        </is>
      </c>
      <c r="B394" s="1" t="n">
        <v>45245</v>
      </c>
      <c r="C394" s="1" t="n">
        <v>46066</v>
      </c>
      <c r="D394" t="inlineStr">
        <is>
          <t>JÄMTLANDS LÄN</t>
        </is>
      </c>
      <c r="E394" t="inlineStr">
        <is>
          <t>ÖSTERSUND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44051-2021</t>
        </is>
      </c>
      <c r="B395" s="1" t="n">
        <v>44434</v>
      </c>
      <c r="C395" s="1" t="n">
        <v>46066</v>
      </c>
      <c r="D395" t="inlineStr">
        <is>
          <t>JÄMTLANDS LÄN</t>
        </is>
      </c>
      <c r="E395" t="inlineStr">
        <is>
          <t>ÖSTERSUND</t>
        </is>
      </c>
      <c r="G395" t="n">
        <v>2.9</v>
      </c>
      <c r="H395" t="n">
        <v>0</v>
      </c>
      <c r="I395" t="n">
        <v>0</v>
      </c>
      <c r="J395" t="n">
        <v>0</v>
      </c>
      <c r="K395" t="n">
        <v>0</v>
      </c>
      <c r="L395" t="n">
        <v>0</v>
      </c>
      <c r="M395" t="n">
        <v>0</v>
      </c>
      <c r="N395" t="n">
        <v>0</v>
      </c>
      <c r="O395" t="n">
        <v>0</v>
      </c>
      <c r="P395" t="n">
        <v>0</v>
      </c>
      <c r="Q395" t="n">
        <v>0</v>
      </c>
      <c r="R395" s="2" t="inlineStr"/>
    </row>
    <row r="396" ht="15" customHeight="1">
      <c r="A396" t="inlineStr">
        <is>
          <t>A 26586-2025</t>
        </is>
      </c>
      <c r="B396" s="1" t="n">
        <v>45807.74140046296</v>
      </c>
      <c r="C396" s="1" t="n">
        <v>46066</v>
      </c>
      <c r="D396" t="inlineStr">
        <is>
          <t>JÄMTLANDS LÄN</t>
        </is>
      </c>
      <c r="E396" t="inlineStr">
        <is>
          <t>ÖSTERSUND</t>
        </is>
      </c>
      <c r="G396" t="n">
        <v>2.1</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46066</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36211-2025</t>
        </is>
      </c>
      <c r="B398" s="1" t="n">
        <v>45867.46946759259</v>
      </c>
      <c r="C398" s="1" t="n">
        <v>46066</v>
      </c>
      <c r="D398" t="inlineStr">
        <is>
          <t>JÄMTLANDS LÄN</t>
        </is>
      </c>
      <c r="E398" t="inlineStr">
        <is>
          <t>ÖSTERSUND</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34923-2025</t>
        </is>
      </c>
      <c r="B399" s="1" t="n">
        <v>45849.55601851852</v>
      </c>
      <c r="C399" s="1" t="n">
        <v>46066</v>
      </c>
      <c r="D399" t="inlineStr">
        <is>
          <t>JÄMTLANDS LÄN</t>
        </is>
      </c>
      <c r="E399" t="inlineStr">
        <is>
          <t>ÖSTERSUND</t>
        </is>
      </c>
      <c r="G399" t="n">
        <v>1.2</v>
      </c>
      <c r="H399" t="n">
        <v>0</v>
      </c>
      <c r="I399" t="n">
        <v>0</v>
      </c>
      <c r="J399" t="n">
        <v>0</v>
      </c>
      <c r="K399" t="n">
        <v>0</v>
      </c>
      <c r="L399" t="n">
        <v>0</v>
      </c>
      <c r="M399" t="n">
        <v>0</v>
      </c>
      <c r="N399" t="n">
        <v>0</v>
      </c>
      <c r="O399" t="n">
        <v>0</v>
      </c>
      <c r="P399" t="n">
        <v>0</v>
      </c>
      <c r="Q399" t="n">
        <v>0</v>
      </c>
      <c r="R399" s="2" t="inlineStr"/>
    </row>
    <row r="400" ht="15" customHeight="1">
      <c r="A400" t="inlineStr">
        <is>
          <t>A 54587-2024</t>
        </is>
      </c>
      <c r="B400" s="1" t="n">
        <v>45617.65800925926</v>
      </c>
      <c r="C400" s="1" t="n">
        <v>46066</v>
      </c>
      <c r="D400" t="inlineStr">
        <is>
          <t>JÄMTLANDS LÄN</t>
        </is>
      </c>
      <c r="E400" t="inlineStr">
        <is>
          <t>ÖSTERSUND</t>
        </is>
      </c>
      <c r="G400" t="n">
        <v>14</v>
      </c>
      <c r="H400" t="n">
        <v>0</v>
      </c>
      <c r="I400" t="n">
        <v>0</v>
      </c>
      <c r="J400" t="n">
        <v>0</v>
      </c>
      <c r="K400" t="n">
        <v>0</v>
      </c>
      <c r="L400" t="n">
        <v>0</v>
      </c>
      <c r="M400" t="n">
        <v>0</v>
      </c>
      <c r="N400" t="n">
        <v>0</v>
      </c>
      <c r="O400" t="n">
        <v>0</v>
      </c>
      <c r="P400" t="n">
        <v>0</v>
      </c>
      <c r="Q400" t="n">
        <v>0</v>
      </c>
      <c r="R400" s="2" t="inlineStr"/>
    </row>
    <row r="401" ht="15" customHeight="1">
      <c r="A401" t="inlineStr">
        <is>
          <t>A 36098-2025</t>
        </is>
      </c>
      <c r="B401" s="1" t="n">
        <v>45866.50549768518</v>
      </c>
      <c r="C401" s="1" t="n">
        <v>46066</v>
      </c>
      <c r="D401" t="inlineStr">
        <is>
          <t>JÄMTLANDS LÄN</t>
        </is>
      </c>
      <c r="E401" t="inlineStr">
        <is>
          <t>ÖSTERSUND</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44410.35376157407</v>
      </c>
      <c r="C402" s="1" t="n">
        <v>46066</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36566-2025</t>
        </is>
      </c>
      <c r="B403" s="1" t="n">
        <v>45869</v>
      </c>
      <c r="C403" s="1" t="n">
        <v>46066</v>
      </c>
      <c r="D403" t="inlineStr">
        <is>
          <t>JÄMTLANDS LÄN</t>
        </is>
      </c>
      <c r="E403" t="inlineStr">
        <is>
          <t>ÖSTERSUND</t>
        </is>
      </c>
      <c r="F403" t="inlineStr">
        <is>
          <t>Sveaskog</t>
        </is>
      </c>
      <c r="G403" t="n">
        <v>6.9</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46066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20960-2022</t>
        </is>
      </c>
      <c r="B405" s="1" t="n">
        <v>44701.94034722223</v>
      </c>
      <c r="C405" s="1" t="n">
        <v>46066</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10756-2025</t>
        </is>
      </c>
      <c r="B406" s="1" t="n">
        <v>45722.44892361111</v>
      </c>
      <c r="C406" s="1" t="n">
        <v>46066</v>
      </c>
      <c r="D406" t="inlineStr">
        <is>
          <t>JÄMTLANDS LÄN</t>
        </is>
      </c>
      <c r="E406" t="inlineStr">
        <is>
          <t>ÖSTERSUND</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36099-2025</t>
        </is>
      </c>
      <c r="B407" s="1" t="n">
        <v>45866.51630787037</v>
      </c>
      <c r="C407" s="1" t="n">
        <v>46066</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25995-2025</t>
        </is>
      </c>
      <c r="B408" s="1" t="n">
        <v>45804.656875</v>
      </c>
      <c r="C408" s="1" t="n">
        <v>46066</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7936-2025</t>
        </is>
      </c>
      <c r="B409" s="1" t="n">
        <v>45707</v>
      </c>
      <c r="C409" s="1" t="n">
        <v>46066</v>
      </c>
      <c r="D409" t="inlineStr">
        <is>
          <t>JÄMTLANDS LÄN</t>
        </is>
      </c>
      <c r="E409" t="inlineStr">
        <is>
          <t>ÖSTERSUND</t>
        </is>
      </c>
      <c r="G409" t="n">
        <v>0.2</v>
      </c>
      <c r="H409" t="n">
        <v>0</v>
      </c>
      <c r="I409" t="n">
        <v>0</v>
      </c>
      <c r="J409" t="n">
        <v>0</v>
      </c>
      <c r="K409" t="n">
        <v>0</v>
      </c>
      <c r="L409" t="n">
        <v>0</v>
      </c>
      <c r="M409" t="n">
        <v>0</v>
      </c>
      <c r="N409" t="n">
        <v>0</v>
      </c>
      <c r="O409" t="n">
        <v>0</v>
      </c>
      <c r="P409" t="n">
        <v>0</v>
      </c>
      <c r="Q409" t="n">
        <v>0</v>
      </c>
      <c r="R409" s="2" t="inlineStr"/>
    </row>
    <row r="410" ht="15" customHeight="1">
      <c r="A410" t="inlineStr">
        <is>
          <t>A 7940-2025</t>
        </is>
      </c>
      <c r="B410" s="1" t="n">
        <v>45707.40493055555</v>
      </c>
      <c r="C410" s="1" t="n">
        <v>46066</v>
      </c>
      <c r="D410" t="inlineStr">
        <is>
          <t>JÄMTLANDS LÄN</t>
        </is>
      </c>
      <c r="E410" t="inlineStr">
        <is>
          <t>ÖSTERSUND</t>
        </is>
      </c>
      <c r="F410" t="inlineStr">
        <is>
          <t>Övriga Aktiebolag</t>
        </is>
      </c>
      <c r="G410" t="n">
        <v>48.1</v>
      </c>
      <c r="H410" t="n">
        <v>0</v>
      </c>
      <c r="I410" t="n">
        <v>0</v>
      </c>
      <c r="J410" t="n">
        <v>0</v>
      </c>
      <c r="K410" t="n">
        <v>0</v>
      </c>
      <c r="L410" t="n">
        <v>0</v>
      </c>
      <c r="M410" t="n">
        <v>0</v>
      </c>
      <c r="N410" t="n">
        <v>0</v>
      </c>
      <c r="O410" t="n">
        <v>0</v>
      </c>
      <c r="P410" t="n">
        <v>0</v>
      </c>
      <c r="Q410" t="n">
        <v>0</v>
      </c>
      <c r="R410" s="2" t="inlineStr"/>
    </row>
    <row r="411" ht="15" customHeight="1">
      <c r="A411" t="inlineStr">
        <is>
          <t>A 18627-2024</t>
        </is>
      </c>
      <c r="B411" s="1" t="n">
        <v>45425.96443287037</v>
      </c>
      <c r="C411" s="1" t="n">
        <v>46066</v>
      </c>
      <c r="D411" t="inlineStr">
        <is>
          <t>JÄMTLANDS LÄN</t>
        </is>
      </c>
      <c r="E411" t="inlineStr">
        <is>
          <t>ÖSTERSUND</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5024-2025</t>
        </is>
      </c>
      <c r="B412" s="1" t="n">
        <v>45691.40832175926</v>
      </c>
      <c r="C412" s="1" t="n">
        <v>46066</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5025-2025</t>
        </is>
      </c>
      <c r="B413" s="1" t="n">
        <v>45691.40836805556</v>
      </c>
      <c r="C413" s="1" t="n">
        <v>46066</v>
      </c>
      <c r="D413" t="inlineStr">
        <is>
          <t>JÄMTLANDS LÄN</t>
        </is>
      </c>
      <c r="E413" t="inlineStr">
        <is>
          <t>ÖSTERSUND</t>
        </is>
      </c>
      <c r="G413" t="n">
        <v>0.1</v>
      </c>
      <c r="H413" t="n">
        <v>0</v>
      </c>
      <c r="I413" t="n">
        <v>0</v>
      </c>
      <c r="J413" t="n">
        <v>0</v>
      </c>
      <c r="K413" t="n">
        <v>0</v>
      </c>
      <c r="L413" t="n">
        <v>0</v>
      </c>
      <c r="M413" t="n">
        <v>0</v>
      </c>
      <c r="N413" t="n">
        <v>0</v>
      </c>
      <c r="O413" t="n">
        <v>0</v>
      </c>
      <c r="P413" t="n">
        <v>0</v>
      </c>
      <c r="Q413" t="n">
        <v>0</v>
      </c>
      <c r="R413" s="2" t="inlineStr"/>
    </row>
    <row r="414" ht="15" customHeight="1">
      <c r="A414" t="inlineStr">
        <is>
          <t>A 42989-2025</t>
        </is>
      </c>
      <c r="B414" s="1" t="n">
        <v>45909.44971064815</v>
      </c>
      <c r="C414" s="1" t="n">
        <v>46066</v>
      </c>
      <c r="D414" t="inlineStr">
        <is>
          <t>JÄMTLANDS LÄN</t>
        </is>
      </c>
      <c r="E414" t="inlineStr">
        <is>
          <t>ÖSTERSUND</t>
        </is>
      </c>
      <c r="G414" t="n">
        <v>3</v>
      </c>
      <c r="H414" t="n">
        <v>0</v>
      </c>
      <c r="I414" t="n">
        <v>0</v>
      </c>
      <c r="J414" t="n">
        <v>0</v>
      </c>
      <c r="K414" t="n">
        <v>0</v>
      </c>
      <c r="L414" t="n">
        <v>0</v>
      </c>
      <c r="M414" t="n">
        <v>0</v>
      </c>
      <c r="N414" t="n">
        <v>0</v>
      </c>
      <c r="O414" t="n">
        <v>0</v>
      </c>
      <c r="P414" t="n">
        <v>0</v>
      </c>
      <c r="Q414" t="n">
        <v>0</v>
      </c>
      <c r="R414" s="2" t="inlineStr"/>
    </row>
    <row r="415" ht="15" customHeight="1">
      <c r="A415" t="inlineStr">
        <is>
          <t>A 47727-2023</t>
        </is>
      </c>
      <c r="B415" s="1" t="n">
        <v>45203</v>
      </c>
      <c r="C415" s="1" t="n">
        <v>46066</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60767-2022</t>
        </is>
      </c>
      <c r="B416" s="1" t="n">
        <v>44914.35599537037</v>
      </c>
      <c r="C416" s="1" t="n">
        <v>46066</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37085-2025</t>
        </is>
      </c>
      <c r="B417" s="1" t="n">
        <v>45875.44840277778</v>
      </c>
      <c r="C417" s="1" t="n">
        <v>46066</v>
      </c>
      <c r="D417" t="inlineStr">
        <is>
          <t>JÄMTLANDS LÄN</t>
        </is>
      </c>
      <c r="E417" t="inlineStr">
        <is>
          <t>ÖSTERSUND</t>
        </is>
      </c>
      <c r="G417" t="n">
        <v>5.5</v>
      </c>
      <c r="H417" t="n">
        <v>0</v>
      </c>
      <c r="I417" t="n">
        <v>0</v>
      </c>
      <c r="J417" t="n">
        <v>0</v>
      </c>
      <c r="K417" t="n">
        <v>0</v>
      </c>
      <c r="L417" t="n">
        <v>0</v>
      </c>
      <c r="M417" t="n">
        <v>0</v>
      </c>
      <c r="N417" t="n">
        <v>0</v>
      </c>
      <c r="O417" t="n">
        <v>0</v>
      </c>
      <c r="P417" t="n">
        <v>0</v>
      </c>
      <c r="Q417" t="n">
        <v>0</v>
      </c>
      <c r="R417" s="2" t="inlineStr"/>
    </row>
    <row r="418" ht="15" customHeight="1">
      <c r="A418" t="inlineStr">
        <is>
          <t>A 60623-2022</t>
        </is>
      </c>
      <c r="B418" s="1" t="n">
        <v>44911.6459837963</v>
      </c>
      <c r="C418" s="1" t="n">
        <v>46066</v>
      </c>
      <c r="D418" t="inlineStr">
        <is>
          <t>JÄMTLANDS LÄN</t>
        </is>
      </c>
      <c r="E418" t="inlineStr">
        <is>
          <t>ÖSTERSUND</t>
        </is>
      </c>
      <c r="G418" t="n">
        <v>10.9</v>
      </c>
      <c r="H418" t="n">
        <v>0</v>
      </c>
      <c r="I418" t="n">
        <v>0</v>
      </c>
      <c r="J418" t="n">
        <v>0</v>
      </c>
      <c r="K418" t="n">
        <v>0</v>
      </c>
      <c r="L418" t="n">
        <v>0</v>
      </c>
      <c r="M418" t="n">
        <v>0</v>
      </c>
      <c r="N418" t="n">
        <v>0</v>
      </c>
      <c r="O418" t="n">
        <v>0</v>
      </c>
      <c r="P418" t="n">
        <v>0</v>
      </c>
      <c r="Q418" t="n">
        <v>0</v>
      </c>
      <c r="R418" s="2" t="inlineStr"/>
    </row>
    <row r="419" ht="15" customHeight="1">
      <c r="A419" t="inlineStr">
        <is>
          <t>A 43225-2025</t>
        </is>
      </c>
      <c r="B419" s="1" t="n">
        <v>45910.4900462963</v>
      </c>
      <c r="C419" s="1" t="n">
        <v>46066</v>
      </c>
      <c r="D419" t="inlineStr">
        <is>
          <t>JÄMTLANDS LÄN</t>
        </is>
      </c>
      <c r="E419" t="inlineStr">
        <is>
          <t>ÖSTERSUND</t>
        </is>
      </c>
      <c r="F419" t="inlineStr">
        <is>
          <t>SCA</t>
        </is>
      </c>
      <c r="G419" t="n">
        <v>4.5</v>
      </c>
      <c r="H419" t="n">
        <v>0</v>
      </c>
      <c r="I419" t="n">
        <v>0</v>
      </c>
      <c r="J419" t="n">
        <v>0</v>
      </c>
      <c r="K419" t="n">
        <v>0</v>
      </c>
      <c r="L419" t="n">
        <v>0</v>
      </c>
      <c r="M419" t="n">
        <v>0</v>
      </c>
      <c r="N419" t="n">
        <v>0</v>
      </c>
      <c r="O419" t="n">
        <v>0</v>
      </c>
      <c r="P419" t="n">
        <v>0</v>
      </c>
      <c r="Q419" t="n">
        <v>0</v>
      </c>
      <c r="R419" s="2" t="inlineStr"/>
    </row>
    <row r="420" ht="15" customHeight="1">
      <c r="A420" t="inlineStr">
        <is>
          <t>A 43548-2025</t>
        </is>
      </c>
      <c r="B420" s="1" t="n">
        <v>45911.61579861111</v>
      </c>
      <c r="C420" s="1" t="n">
        <v>46066</v>
      </c>
      <c r="D420" t="inlineStr">
        <is>
          <t>JÄMTLANDS LÄN</t>
        </is>
      </c>
      <c r="E420" t="inlineStr">
        <is>
          <t>ÖSTERSUND</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43411-2025</t>
        </is>
      </c>
      <c r="B421" s="1" t="n">
        <v>45911.40074074074</v>
      </c>
      <c r="C421" s="1" t="n">
        <v>46066</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3615-2025</t>
        </is>
      </c>
      <c r="B422" s="1" t="n">
        <v>45681.36493055556</v>
      </c>
      <c r="C422" s="1" t="n">
        <v>46066</v>
      </c>
      <c r="D422" t="inlineStr">
        <is>
          <t>JÄMTLANDS LÄN</t>
        </is>
      </c>
      <c r="E422" t="inlineStr">
        <is>
          <t>ÖSTERSUND</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3651-2025</t>
        </is>
      </c>
      <c r="B423" s="1" t="n">
        <v>45681.40689814815</v>
      </c>
      <c r="C423" s="1" t="n">
        <v>46066</v>
      </c>
      <c r="D423" t="inlineStr">
        <is>
          <t>JÄMTLANDS LÄN</t>
        </is>
      </c>
      <c r="E423" t="inlineStr">
        <is>
          <t>ÖSTERSUND</t>
        </is>
      </c>
      <c r="F423" t="inlineStr">
        <is>
          <t>SCA</t>
        </is>
      </c>
      <c r="G423" t="n">
        <v>9.6</v>
      </c>
      <c r="H423" t="n">
        <v>0</v>
      </c>
      <c r="I423" t="n">
        <v>0</v>
      </c>
      <c r="J423" t="n">
        <v>0</v>
      </c>
      <c r="K423" t="n">
        <v>0</v>
      </c>
      <c r="L423" t="n">
        <v>0</v>
      </c>
      <c r="M423" t="n">
        <v>0</v>
      </c>
      <c r="N423" t="n">
        <v>0</v>
      </c>
      <c r="O423" t="n">
        <v>0</v>
      </c>
      <c r="P423" t="n">
        <v>0</v>
      </c>
      <c r="Q423" t="n">
        <v>0</v>
      </c>
      <c r="R423" s="2" t="inlineStr"/>
    </row>
    <row r="424" ht="15" customHeight="1">
      <c r="A424" t="inlineStr">
        <is>
          <t>A 3664-2025</t>
        </is>
      </c>
      <c r="B424" s="1" t="n">
        <v>45681.4275462963</v>
      </c>
      <c r="C424" s="1" t="n">
        <v>46066</v>
      </c>
      <c r="D424" t="inlineStr">
        <is>
          <t>JÄMTLANDS LÄN</t>
        </is>
      </c>
      <c r="E424" t="inlineStr">
        <is>
          <t>ÖSTERSUND</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12821-2023</t>
        </is>
      </c>
      <c r="B425" s="1" t="n">
        <v>45000</v>
      </c>
      <c r="C425" s="1" t="n">
        <v>46066</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43519-2025</t>
        </is>
      </c>
      <c r="B426" s="1" t="n">
        <v>45911.57349537037</v>
      </c>
      <c r="C426" s="1" t="n">
        <v>46066</v>
      </c>
      <c r="D426" t="inlineStr">
        <is>
          <t>JÄMTLANDS LÄN</t>
        </is>
      </c>
      <c r="E426" t="inlineStr">
        <is>
          <t>ÖSTERSUND</t>
        </is>
      </c>
      <c r="F426" t="inlineStr">
        <is>
          <t>SCA</t>
        </is>
      </c>
      <c r="G426" t="n">
        <v>14.4</v>
      </c>
      <c r="H426" t="n">
        <v>0</v>
      </c>
      <c r="I426" t="n">
        <v>0</v>
      </c>
      <c r="J426" t="n">
        <v>0</v>
      </c>
      <c r="K426" t="n">
        <v>0</v>
      </c>
      <c r="L426" t="n">
        <v>0</v>
      </c>
      <c r="M426" t="n">
        <v>0</v>
      </c>
      <c r="N426" t="n">
        <v>0</v>
      </c>
      <c r="O426" t="n">
        <v>0</v>
      </c>
      <c r="P426" t="n">
        <v>0</v>
      </c>
      <c r="Q426" t="n">
        <v>0</v>
      </c>
      <c r="R426" s="2" t="inlineStr"/>
    </row>
    <row r="427" ht="15" customHeight="1">
      <c r="A427" t="inlineStr">
        <is>
          <t>A 44798-2023</t>
        </is>
      </c>
      <c r="B427" s="1" t="n">
        <v>45190</v>
      </c>
      <c r="C427" s="1" t="n">
        <v>46066</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4936-2025</t>
        </is>
      </c>
      <c r="B428" s="1" t="n">
        <v>45688.69356481481</v>
      </c>
      <c r="C428" s="1" t="n">
        <v>46066</v>
      </c>
      <c r="D428" t="inlineStr">
        <is>
          <t>JÄMTLANDS LÄN</t>
        </is>
      </c>
      <c r="E428" t="inlineStr">
        <is>
          <t>ÖSTERSUND</t>
        </is>
      </c>
      <c r="G428" t="n">
        <v>8.1</v>
      </c>
      <c r="H428" t="n">
        <v>0</v>
      </c>
      <c r="I428" t="n">
        <v>0</v>
      </c>
      <c r="J428" t="n">
        <v>0</v>
      </c>
      <c r="K428" t="n">
        <v>0</v>
      </c>
      <c r="L428" t="n">
        <v>0</v>
      </c>
      <c r="M428" t="n">
        <v>0</v>
      </c>
      <c r="N428" t="n">
        <v>0</v>
      </c>
      <c r="O428" t="n">
        <v>0</v>
      </c>
      <c r="P428" t="n">
        <v>0</v>
      </c>
      <c r="Q428" t="n">
        <v>0</v>
      </c>
      <c r="R428" s="2" t="inlineStr"/>
    </row>
    <row r="429" ht="15" customHeight="1">
      <c r="A429" t="inlineStr">
        <is>
          <t>A 6877-2024</t>
        </is>
      </c>
      <c r="B429" s="1" t="n">
        <v>45342</v>
      </c>
      <c r="C429" s="1" t="n">
        <v>46066</v>
      </c>
      <c r="D429" t="inlineStr">
        <is>
          <t>JÄMTLANDS LÄN</t>
        </is>
      </c>
      <c r="E429" t="inlineStr">
        <is>
          <t>ÖSTERSUND</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9971-2025</t>
        </is>
      </c>
      <c r="B430" s="1" t="n">
        <v>45719.38630787037</v>
      </c>
      <c r="C430" s="1" t="n">
        <v>46066</v>
      </c>
      <c r="D430" t="inlineStr">
        <is>
          <t>JÄMTLANDS LÄN</t>
        </is>
      </c>
      <c r="E430" t="inlineStr">
        <is>
          <t>ÖSTERSUND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44446-2025</t>
        </is>
      </c>
      <c r="B431" s="1" t="n">
        <v>45916.59773148148</v>
      </c>
      <c r="C431" s="1" t="n">
        <v>46066</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6351-2024</t>
        </is>
      </c>
      <c r="B432" s="1" t="n">
        <v>45338</v>
      </c>
      <c r="C432" s="1" t="n">
        <v>46066</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44429-2025</t>
        </is>
      </c>
      <c r="B433" s="1" t="n">
        <v>45916.57010416667</v>
      </c>
      <c r="C433" s="1" t="n">
        <v>46066</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3749-2023</t>
        </is>
      </c>
      <c r="B434" s="1" t="n">
        <v>44949</v>
      </c>
      <c r="C434" s="1" t="n">
        <v>46066</v>
      </c>
      <c r="D434" t="inlineStr">
        <is>
          <t>JÄMTLANDS LÄN</t>
        </is>
      </c>
      <c r="E434" t="inlineStr">
        <is>
          <t>ÖSTERSUND</t>
        </is>
      </c>
      <c r="G434" t="n">
        <v>0.2</v>
      </c>
      <c r="H434" t="n">
        <v>0</v>
      </c>
      <c r="I434" t="n">
        <v>0</v>
      </c>
      <c r="J434" t="n">
        <v>0</v>
      </c>
      <c r="K434" t="n">
        <v>0</v>
      </c>
      <c r="L434" t="n">
        <v>0</v>
      </c>
      <c r="M434" t="n">
        <v>0</v>
      </c>
      <c r="N434" t="n">
        <v>0</v>
      </c>
      <c r="O434" t="n">
        <v>0</v>
      </c>
      <c r="P434" t="n">
        <v>0</v>
      </c>
      <c r="Q434" t="n">
        <v>0</v>
      </c>
      <c r="R434" s="2" t="inlineStr"/>
    </row>
    <row r="435" ht="15" customHeight="1">
      <c r="A435" t="inlineStr">
        <is>
          <t>A 3255-2025</t>
        </is>
      </c>
      <c r="B435" s="1" t="n">
        <v>45679.55256944444</v>
      </c>
      <c r="C435" s="1" t="n">
        <v>46066</v>
      </c>
      <c r="D435" t="inlineStr">
        <is>
          <t>JÄMTLANDS LÄN</t>
        </is>
      </c>
      <c r="E435" t="inlineStr">
        <is>
          <t>ÖSTERSUND</t>
        </is>
      </c>
      <c r="F435" t="inlineStr">
        <is>
          <t>SCA</t>
        </is>
      </c>
      <c r="G435" t="n">
        <v>16.7</v>
      </c>
      <c r="H435" t="n">
        <v>0</v>
      </c>
      <c r="I435" t="n">
        <v>0</v>
      </c>
      <c r="J435" t="n">
        <v>0</v>
      </c>
      <c r="K435" t="n">
        <v>0</v>
      </c>
      <c r="L435" t="n">
        <v>0</v>
      </c>
      <c r="M435" t="n">
        <v>0</v>
      </c>
      <c r="N435" t="n">
        <v>0</v>
      </c>
      <c r="O435" t="n">
        <v>0</v>
      </c>
      <c r="P435" t="n">
        <v>0</v>
      </c>
      <c r="Q435" t="n">
        <v>0</v>
      </c>
      <c r="R435" s="2" t="inlineStr"/>
    </row>
    <row r="436" ht="15" customHeight="1">
      <c r="A436" t="inlineStr">
        <is>
          <t>A 58364-2024</t>
        </is>
      </c>
      <c r="B436" s="1" t="n">
        <v>45632.68814814815</v>
      </c>
      <c r="C436" s="1" t="n">
        <v>46066</v>
      </c>
      <c r="D436" t="inlineStr">
        <is>
          <t>JÄMTLANDS LÄN</t>
        </is>
      </c>
      <c r="E436" t="inlineStr">
        <is>
          <t>ÖSTERSUND</t>
        </is>
      </c>
      <c r="G436" t="n">
        <v>5.5</v>
      </c>
      <c r="H436" t="n">
        <v>0</v>
      </c>
      <c r="I436" t="n">
        <v>0</v>
      </c>
      <c r="J436" t="n">
        <v>0</v>
      </c>
      <c r="K436" t="n">
        <v>0</v>
      </c>
      <c r="L436" t="n">
        <v>0</v>
      </c>
      <c r="M436" t="n">
        <v>0</v>
      </c>
      <c r="N436" t="n">
        <v>0</v>
      </c>
      <c r="O436" t="n">
        <v>0</v>
      </c>
      <c r="P436" t="n">
        <v>0</v>
      </c>
      <c r="Q436" t="n">
        <v>0</v>
      </c>
      <c r="R436" s="2" t="inlineStr"/>
    </row>
    <row r="437" ht="15" customHeight="1">
      <c r="A437" t="inlineStr">
        <is>
          <t>A 33801-2022</t>
        </is>
      </c>
      <c r="B437" s="1" t="n">
        <v>44790</v>
      </c>
      <c r="C437" s="1" t="n">
        <v>46066</v>
      </c>
      <c r="D437" t="inlineStr">
        <is>
          <t>JÄMTLANDS LÄN</t>
        </is>
      </c>
      <c r="E437" t="inlineStr">
        <is>
          <t>ÖSTERSUND</t>
        </is>
      </c>
      <c r="G437" t="n">
        <v>7.6</v>
      </c>
      <c r="H437" t="n">
        <v>0</v>
      </c>
      <c r="I437" t="n">
        <v>0</v>
      </c>
      <c r="J437" t="n">
        <v>0</v>
      </c>
      <c r="K437" t="n">
        <v>0</v>
      </c>
      <c r="L437" t="n">
        <v>0</v>
      </c>
      <c r="M437" t="n">
        <v>0</v>
      </c>
      <c r="N437" t="n">
        <v>0</v>
      </c>
      <c r="O437" t="n">
        <v>0</v>
      </c>
      <c r="P437" t="n">
        <v>0</v>
      </c>
      <c r="Q437" t="n">
        <v>0</v>
      </c>
      <c r="R437" s="2" t="inlineStr"/>
    </row>
    <row r="438" ht="15" customHeight="1">
      <c r="A438" t="inlineStr">
        <is>
          <t>A 3997-2025</t>
        </is>
      </c>
      <c r="B438" s="1" t="n">
        <v>45684.56725694444</v>
      </c>
      <c r="C438" s="1" t="n">
        <v>46066</v>
      </c>
      <c r="D438" t="inlineStr">
        <is>
          <t>JÄMTLANDS LÄN</t>
        </is>
      </c>
      <c r="E438" t="inlineStr">
        <is>
          <t>ÖSTERSUND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64645-2021</t>
        </is>
      </c>
      <c r="B439" s="1" t="n">
        <v>44511.94629629629</v>
      </c>
      <c r="C439" s="1" t="n">
        <v>46066</v>
      </c>
      <c r="D439" t="inlineStr">
        <is>
          <t>JÄMTLANDS LÄN</t>
        </is>
      </c>
      <c r="E439" t="inlineStr">
        <is>
          <t>ÖSTERSUND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45389-2025</t>
        </is>
      </c>
      <c r="B440" s="1" t="n">
        <v>45922.4075</v>
      </c>
      <c r="C440" s="1" t="n">
        <v>46066</v>
      </c>
      <c r="D440" t="inlineStr">
        <is>
          <t>JÄMTLANDS LÄN</t>
        </is>
      </c>
      <c r="E440" t="inlineStr">
        <is>
          <t>ÖSTERSUND</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45391-2025</t>
        </is>
      </c>
      <c r="B441" s="1" t="n">
        <v>45922.4077662037</v>
      </c>
      <c r="C441" s="1" t="n">
        <v>46066</v>
      </c>
      <c r="D441" t="inlineStr">
        <is>
          <t>JÄMTLANDS LÄN</t>
        </is>
      </c>
      <c r="E441" t="inlineStr">
        <is>
          <t>ÖSTERSUND</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45297-2025</t>
        </is>
      </c>
      <c r="B442" s="1" t="n">
        <v>45920.8446412037</v>
      </c>
      <c r="C442" s="1" t="n">
        <v>46066</v>
      </c>
      <c r="D442" t="inlineStr">
        <is>
          <t>JÄMTLANDS LÄN</t>
        </is>
      </c>
      <c r="E442" t="inlineStr">
        <is>
          <t>ÖSTERSUND</t>
        </is>
      </c>
      <c r="G442" t="n">
        <v>1.8</v>
      </c>
      <c r="H442" t="n">
        <v>0</v>
      </c>
      <c r="I442" t="n">
        <v>0</v>
      </c>
      <c r="J442" t="n">
        <v>0</v>
      </c>
      <c r="K442" t="n">
        <v>0</v>
      </c>
      <c r="L442" t="n">
        <v>0</v>
      </c>
      <c r="M442" t="n">
        <v>0</v>
      </c>
      <c r="N442" t="n">
        <v>0</v>
      </c>
      <c r="O442" t="n">
        <v>0</v>
      </c>
      <c r="P442" t="n">
        <v>0</v>
      </c>
      <c r="Q442" t="n">
        <v>0</v>
      </c>
      <c r="R442" s="2" t="inlineStr"/>
    </row>
    <row r="443" ht="15" customHeight="1">
      <c r="A443" t="inlineStr">
        <is>
          <t>A 45385-2025</t>
        </is>
      </c>
      <c r="B443" s="1" t="n">
        <v>45922.40680555555</v>
      </c>
      <c r="C443" s="1" t="n">
        <v>46066</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846-2024</t>
        </is>
      </c>
      <c r="B444" s="1" t="n">
        <v>45300</v>
      </c>
      <c r="C444" s="1" t="n">
        <v>46066</v>
      </c>
      <c r="D444" t="inlineStr">
        <is>
          <t>JÄMTLANDS LÄN</t>
        </is>
      </c>
      <c r="E444" t="inlineStr">
        <is>
          <t>ÖSTERSUND</t>
        </is>
      </c>
      <c r="G444" t="n">
        <v>2.8</v>
      </c>
      <c r="H444" t="n">
        <v>0</v>
      </c>
      <c r="I444" t="n">
        <v>0</v>
      </c>
      <c r="J444" t="n">
        <v>0</v>
      </c>
      <c r="K444" t="n">
        <v>0</v>
      </c>
      <c r="L444" t="n">
        <v>0</v>
      </c>
      <c r="M444" t="n">
        <v>0</v>
      </c>
      <c r="N444" t="n">
        <v>0</v>
      </c>
      <c r="O444" t="n">
        <v>0</v>
      </c>
      <c r="P444" t="n">
        <v>0</v>
      </c>
      <c r="Q444" t="n">
        <v>0</v>
      </c>
      <c r="R444" s="2" t="inlineStr"/>
    </row>
    <row r="445" ht="15" customHeight="1">
      <c r="A445" t="inlineStr">
        <is>
          <t>A 12102-2025</t>
        </is>
      </c>
      <c r="B445" s="1" t="n">
        <v>45729.3425</v>
      </c>
      <c r="C445" s="1" t="n">
        <v>46066</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45386-2025</t>
        </is>
      </c>
      <c r="B446" s="1" t="n">
        <v>45922.40697916667</v>
      </c>
      <c r="C446" s="1" t="n">
        <v>46066</v>
      </c>
      <c r="D446" t="inlineStr">
        <is>
          <t>JÄMTLANDS LÄN</t>
        </is>
      </c>
      <c r="E446" t="inlineStr">
        <is>
          <t>ÖSTERSUND</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45388-2025</t>
        </is>
      </c>
      <c r="B447" s="1" t="n">
        <v>45922.4074537037</v>
      </c>
      <c r="C447" s="1" t="n">
        <v>46066</v>
      </c>
      <c r="D447" t="inlineStr">
        <is>
          <t>JÄMTLANDS LÄN</t>
        </is>
      </c>
      <c r="E447" t="inlineStr">
        <is>
          <t>ÖSTERSUND</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45558-2025</t>
        </is>
      </c>
      <c r="B448" s="1" t="n">
        <v>45922</v>
      </c>
      <c r="C448" s="1" t="n">
        <v>46066</v>
      </c>
      <c r="D448" t="inlineStr">
        <is>
          <t>JÄMTLANDS LÄN</t>
        </is>
      </c>
      <c r="E448" t="inlineStr">
        <is>
          <t>ÖSTERSUND</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45481-2025</t>
        </is>
      </c>
      <c r="B449" s="1" t="n">
        <v>45922.53217592592</v>
      </c>
      <c r="C449" s="1" t="n">
        <v>46066</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46132-2025</t>
        </is>
      </c>
      <c r="B450" s="1" t="n">
        <v>45924.59484953704</v>
      </c>
      <c r="C450" s="1" t="n">
        <v>46066</v>
      </c>
      <c r="D450" t="inlineStr">
        <is>
          <t>JÄMTLANDS LÄN</t>
        </is>
      </c>
      <c r="E450" t="inlineStr">
        <is>
          <t>ÖSTERSUND</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46152-2025</t>
        </is>
      </c>
      <c r="B451" s="1" t="n">
        <v>45924.61512731481</v>
      </c>
      <c r="C451" s="1" t="n">
        <v>46066</v>
      </c>
      <c r="D451" t="inlineStr">
        <is>
          <t>JÄMTLANDS LÄN</t>
        </is>
      </c>
      <c r="E451" t="inlineStr">
        <is>
          <t>ÖSTERSUND</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7233-2024</t>
        </is>
      </c>
      <c r="B452" s="1" t="n">
        <v>45344</v>
      </c>
      <c r="C452" s="1" t="n">
        <v>46066</v>
      </c>
      <c r="D452" t="inlineStr">
        <is>
          <t>JÄMTLANDS LÄN</t>
        </is>
      </c>
      <c r="E452" t="inlineStr">
        <is>
          <t>ÖSTERSUND</t>
        </is>
      </c>
      <c r="G452" t="n">
        <v>1.2</v>
      </c>
      <c r="H452" t="n">
        <v>0</v>
      </c>
      <c r="I452" t="n">
        <v>0</v>
      </c>
      <c r="J452" t="n">
        <v>0</v>
      </c>
      <c r="K452" t="n">
        <v>0</v>
      </c>
      <c r="L452" t="n">
        <v>0</v>
      </c>
      <c r="M452" t="n">
        <v>0</v>
      </c>
      <c r="N452" t="n">
        <v>0</v>
      </c>
      <c r="O452" t="n">
        <v>0</v>
      </c>
      <c r="P452" t="n">
        <v>0</v>
      </c>
      <c r="Q452" t="n">
        <v>0</v>
      </c>
      <c r="R452" s="2" t="inlineStr"/>
    </row>
    <row r="453" ht="15" customHeight="1">
      <c r="A453" t="inlineStr">
        <is>
          <t>A 46202-2025</t>
        </is>
      </c>
      <c r="B453" s="1" t="n">
        <v>45924.70346064815</v>
      </c>
      <c r="C453" s="1" t="n">
        <v>46066</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61791-2023</t>
        </is>
      </c>
      <c r="B454" s="1" t="n">
        <v>45265.95795138889</v>
      </c>
      <c r="C454" s="1" t="n">
        <v>46066</v>
      </c>
      <c r="D454" t="inlineStr">
        <is>
          <t>JÄMTLANDS LÄN</t>
        </is>
      </c>
      <c r="E454" t="inlineStr">
        <is>
          <t>ÖSTERSUND</t>
        </is>
      </c>
      <c r="F454" t="inlineStr">
        <is>
          <t>SCA</t>
        </is>
      </c>
      <c r="G454" t="n">
        <v>11.4</v>
      </c>
      <c r="H454" t="n">
        <v>0</v>
      </c>
      <c r="I454" t="n">
        <v>0</v>
      </c>
      <c r="J454" t="n">
        <v>0</v>
      </c>
      <c r="K454" t="n">
        <v>0</v>
      </c>
      <c r="L454" t="n">
        <v>0</v>
      </c>
      <c r="M454" t="n">
        <v>0</v>
      </c>
      <c r="N454" t="n">
        <v>0</v>
      </c>
      <c r="O454" t="n">
        <v>0</v>
      </c>
      <c r="P454" t="n">
        <v>0</v>
      </c>
      <c r="Q454" t="n">
        <v>0</v>
      </c>
      <c r="R454" s="2" t="inlineStr"/>
    </row>
    <row r="455" ht="15" customHeight="1">
      <c r="A455" t="inlineStr">
        <is>
          <t>A 47563-2025</t>
        </is>
      </c>
      <c r="B455" s="1" t="n">
        <v>45931.38956018518</v>
      </c>
      <c r="C455" s="1" t="n">
        <v>46066</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47805-2024</t>
        </is>
      </c>
      <c r="B456" s="1" t="n">
        <v>45588.61512731481</v>
      </c>
      <c r="C456" s="1" t="n">
        <v>46066</v>
      </c>
      <c r="D456" t="inlineStr">
        <is>
          <t>JÄMTLANDS LÄN</t>
        </is>
      </c>
      <c r="E456" t="inlineStr">
        <is>
          <t>ÖSTERSUND</t>
        </is>
      </c>
      <c r="G456" t="n">
        <v>7.4</v>
      </c>
      <c r="H456" t="n">
        <v>0</v>
      </c>
      <c r="I456" t="n">
        <v>0</v>
      </c>
      <c r="J456" t="n">
        <v>0</v>
      </c>
      <c r="K456" t="n">
        <v>0</v>
      </c>
      <c r="L456" t="n">
        <v>0</v>
      </c>
      <c r="M456" t="n">
        <v>0</v>
      </c>
      <c r="N456" t="n">
        <v>0</v>
      </c>
      <c r="O456" t="n">
        <v>0</v>
      </c>
      <c r="P456" t="n">
        <v>0</v>
      </c>
      <c r="Q456" t="n">
        <v>0</v>
      </c>
      <c r="R456" s="2" t="inlineStr"/>
    </row>
    <row r="457" ht="15" customHeight="1">
      <c r="A457" t="inlineStr">
        <is>
          <t>A 45338-2024</t>
        </is>
      </c>
      <c r="B457" s="1" t="n">
        <v>45576.46905092592</v>
      </c>
      <c r="C457" s="1" t="n">
        <v>46066</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47022-2024</t>
        </is>
      </c>
      <c r="B458" s="1" t="n">
        <v>45586.40660879629</v>
      </c>
      <c r="C458" s="1" t="n">
        <v>46066</v>
      </c>
      <c r="D458" t="inlineStr">
        <is>
          <t>JÄMTLANDS LÄN</t>
        </is>
      </c>
      <c r="E458" t="inlineStr">
        <is>
          <t>ÖSTERSUND</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45895-2024</t>
        </is>
      </c>
      <c r="B459" s="1" t="n">
        <v>45580.42736111111</v>
      </c>
      <c r="C459" s="1" t="n">
        <v>46066</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47575-2025</t>
        </is>
      </c>
      <c r="B460" s="1" t="n">
        <v>45931.40100694444</v>
      </c>
      <c r="C460" s="1" t="n">
        <v>46066</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47579-2025</t>
        </is>
      </c>
      <c r="B461" s="1" t="n">
        <v>45931.40671296296</v>
      </c>
      <c r="C461" s="1" t="n">
        <v>46066</v>
      </c>
      <c r="D461" t="inlineStr">
        <is>
          <t>JÄMTLANDS LÄN</t>
        </is>
      </c>
      <c r="E461" t="inlineStr">
        <is>
          <t>ÖSTERSUND</t>
        </is>
      </c>
      <c r="G461" t="n">
        <v>5.8</v>
      </c>
      <c r="H461" t="n">
        <v>0</v>
      </c>
      <c r="I461" t="n">
        <v>0</v>
      </c>
      <c r="J461" t="n">
        <v>0</v>
      </c>
      <c r="K461" t="n">
        <v>0</v>
      </c>
      <c r="L461" t="n">
        <v>0</v>
      </c>
      <c r="M461" t="n">
        <v>0</v>
      </c>
      <c r="N461" t="n">
        <v>0</v>
      </c>
      <c r="O461" t="n">
        <v>0</v>
      </c>
      <c r="P461" t="n">
        <v>0</v>
      </c>
      <c r="Q461" t="n">
        <v>0</v>
      </c>
      <c r="R461" s="2" t="inlineStr"/>
    </row>
    <row r="462" ht="15" customHeight="1">
      <c r="A462" t="inlineStr">
        <is>
          <t>A 12-2023</t>
        </is>
      </c>
      <c r="B462" s="1" t="n">
        <v>44927.88021990741</v>
      </c>
      <c r="C462" s="1" t="n">
        <v>46066</v>
      </c>
      <c r="D462" t="inlineStr">
        <is>
          <t>JÄMTLANDS LÄN</t>
        </is>
      </c>
      <c r="E462" t="inlineStr">
        <is>
          <t>ÖSTERSUND</t>
        </is>
      </c>
      <c r="G462" t="n">
        <v>4.7</v>
      </c>
      <c r="H462" t="n">
        <v>0</v>
      </c>
      <c r="I462" t="n">
        <v>0</v>
      </c>
      <c r="J462" t="n">
        <v>0</v>
      </c>
      <c r="K462" t="n">
        <v>0</v>
      </c>
      <c r="L462" t="n">
        <v>0</v>
      </c>
      <c r="M462" t="n">
        <v>0</v>
      </c>
      <c r="N462" t="n">
        <v>0</v>
      </c>
      <c r="O462" t="n">
        <v>0</v>
      </c>
      <c r="P462" t="n">
        <v>0</v>
      </c>
      <c r="Q462" t="n">
        <v>0</v>
      </c>
      <c r="R462" s="2" t="inlineStr"/>
    </row>
    <row r="463" ht="15" customHeight="1">
      <c r="A463" t="inlineStr">
        <is>
          <t>A 46732-2024</t>
        </is>
      </c>
      <c r="B463" s="1" t="n">
        <v>45583.46936342592</v>
      </c>
      <c r="C463" s="1" t="n">
        <v>46066</v>
      </c>
      <c r="D463" t="inlineStr">
        <is>
          <t>JÄMTLANDS LÄN</t>
        </is>
      </c>
      <c r="E463" t="inlineStr">
        <is>
          <t>ÖSTERSUND</t>
        </is>
      </c>
      <c r="G463" t="n">
        <v>3.3</v>
      </c>
      <c r="H463" t="n">
        <v>0</v>
      </c>
      <c r="I463" t="n">
        <v>0</v>
      </c>
      <c r="J463" t="n">
        <v>0</v>
      </c>
      <c r="K463" t="n">
        <v>0</v>
      </c>
      <c r="L463" t="n">
        <v>0</v>
      </c>
      <c r="M463" t="n">
        <v>0</v>
      </c>
      <c r="N463" t="n">
        <v>0</v>
      </c>
      <c r="O463" t="n">
        <v>0</v>
      </c>
      <c r="P463" t="n">
        <v>0</v>
      </c>
      <c r="Q463" t="n">
        <v>0</v>
      </c>
      <c r="R463" s="2" t="inlineStr"/>
    </row>
    <row r="464" ht="15" customHeight="1">
      <c r="A464" t="inlineStr">
        <is>
          <t>A 64309-2023</t>
        </is>
      </c>
      <c r="B464" s="1" t="n">
        <v>45280</v>
      </c>
      <c r="C464" s="1" t="n">
        <v>46066</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64314-2023</t>
        </is>
      </c>
      <c r="B465" s="1" t="n">
        <v>45280</v>
      </c>
      <c r="C465" s="1" t="n">
        <v>46066</v>
      </c>
      <c r="D465" t="inlineStr">
        <is>
          <t>JÄMTLANDS LÄN</t>
        </is>
      </c>
      <c r="E465" t="inlineStr">
        <is>
          <t>ÖSTERSUND</t>
        </is>
      </c>
      <c r="G465" t="n">
        <v>0.6</v>
      </c>
      <c r="H465" t="n">
        <v>0</v>
      </c>
      <c r="I465" t="n">
        <v>0</v>
      </c>
      <c r="J465" t="n">
        <v>0</v>
      </c>
      <c r="K465" t="n">
        <v>0</v>
      </c>
      <c r="L465" t="n">
        <v>0</v>
      </c>
      <c r="M465" t="n">
        <v>0</v>
      </c>
      <c r="N465" t="n">
        <v>0</v>
      </c>
      <c r="O465" t="n">
        <v>0</v>
      </c>
      <c r="P465" t="n">
        <v>0</v>
      </c>
      <c r="Q465" t="n">
        <v>0</v>
      </c>
      <c r="R465" s="2" t="inlineStr"/>
    </row>
    <row r="466" ht="15" customHeight="1">
      <c r="A466" t="inlineStr">
        <is>
          <t>A 26373-2025</t>
        </is>
      </c>
      <c r="B466" s="1" t="n">
        <v>45806.40677083333</v>
      </c>
      <c r="C466" s="1" t="n">
        <v>46066</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47759-2025</t>
        </is>
      </c>
      <c r="B467" s="1" t="n">
        <v>45931.67381944445</v>
      </c>
      <c r="C467" s="1" t="n">
        <v>46066</v>
      </c>
      <c r="D467" t="inlineStr">
        <is>
          <t>JÄMTLANDS LÄN</t>
        </is>
      </c>
      <c r="E467" t="inlineStr">
        <is>
          <t>ÖSTERSUND</t>
        </is>
      </c>
      <c r="G467" t="n">
        <v>1.9</v>
      </c>
      <c r="H467" t="n">
        <v>0</v>
      </c>
      <c r="I467" t="n">
        <v>0</v>
      </c>
      <c r="J467" t="n">
        <v>0</v>
      </c>
      <c r="K467" t="n">
        <v>0</v>
      </c>
      <c r="L467" t="n">
        <v>0</v>
      </c>
      <c r="M467" t="n">
        <v>0</v>
      </c>
      <c r="N467" t="n">
        <v>0</v>
      </c>
      <c r="O467" t="n">
        <v>0</v>
      </c>
      <c r="P467" t="n">
        <v>0</v>
      </c>
      <c r="Q467" t="n">
        <v>0</v>
      </c>
      <c r="R467" s="2" t="inlineStr"/>
    </row>
    <row r="468" ht="15" customHeight="1">
      <c r="A468" t="inlineStr">
        <is>
          <t>A 27124-2023</t>
        </is>
      </c>
      <c r="B468" s="1" t="n">
        <v>45096</v>
      </c>
      <c r="C468" s="1" t="n">
        <v>46066</v>
      </c>
      <c r="D468" t="inlineStr">
        <is>
          <t>JÄMTLANDS LÄN</t>
        </is>
      </c>
      <c r="E468" t="inlineStr">
        <is>
          <t>ÖSTERSUND</t>
        </is>
      </c>
      <c r="G468" t="n">
        <v>1.9</v>
      </c>
      <c r="H468" t="n">
        <v>0</v>
      </c>
      <c r="I468" t="n">
        <v>0</v>
      </c>
      <c r="J468" t="n">
        <v>0</v>
      </c>
      <c r="K468" t="n">
        <v>0</v>
      </c>
      <c r="L468" t="n">
        <v>0</v>
      </c>
      <c r="M468" t="n">
        <v>0</v>
      </c>
      <c r="N468" t="n">
        <v>0</v>
      </c>
      <c r="O468" t="n">
        <v>0</v>
      </c>
      <c r="P468" t="n">
        <v>0</v>
      </c>
      <c r="Q468" t="n">
        <v>0</v>
      </c>
      <c r="R468" s="2" t="inlineStr"/>
    </row>
    <row r="469" ht="15" customHeight="1">
      <c r="A469" t="inlineStr">
        <is>
          <t>A 2763-2022</t>
        </is>
      </c>
      <c r="B469" s="1" t="n">
        <v>44580</v>
      </c>
      <c r="C469" s="1" t="n">
        <v>46066</v>
      </c>
      <c r="D469" t="inlineStr">
        <is>
          <t>JÄMTLANDS LÄN</t>
        </is>
      </c>
      <c r="E469" t="inlineStr">
        <is>
          <t>ÖSTERSUND</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16336-2025</t>
        </is>
      </c>
      <c r="B470" s="1" t="n">
        <v>45751.36519675926</v>
      </c>
      <c r="C470" s="1" t="n">
        <v>46066</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17066-2024</t>
        </is>
      </c>
      <c r="B471" s="1" t="n">
        <v>45412.46636574074</v>
      </c>
      <c r="C471" s="1" t="n">
        <v>46066</v>
      </c>
      <c r="D471" t="inlineStr">
        <is>
          <t>JÄMTLANDS LÄN</t>
        </is>
      </c>
      <c r="E471" t="inlineStr">
        <is>
          <t>ÖSTERSUND</t>
        </is>
      </c>
      <c r="G471" t="n">
        <v>4.2</v>
      </c>
      <c r="H471" t="n">
        <v>0</v>
      </c>
      <c r="I471" t="n">
        <v>0</v>
      </c>
      <c r="J471" t="n">
        <v>0</v>
      </c>
      <c r="K471" t="n">
        <v>0</v>
      </c>
      <c r="L471" t="n">
        <v>0</v>
      </c>
      <c r="M471" t="n">
        <v>0</v>
      </c>
      <c r="N471" t="n">
        <v>0</v>
      </c>
      <c r="O471" t="n">
        <v>0</v>
      </c>
      <c r="P471" t="n">
        <v>0</v>
      </c>
      <c r="Q471" t="n">
        <v>0</v>
      </c>
      <c r="R471" s="2" t="inlineStr"/>
    </row>
    <row r="472" ht="15" customHeight="1">
      <c r="A472" t="inlineStr">
        <is>
          <t>A 56811-2025</t>
        </is>
      </c>
      <c r="B472" s="1" t="n">
        <v>45978.45540509259</v>
      </c>
      <c r="C472" s="1" t="n">
        <v>46066</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61449-2024</t>
        </is>
      </c>
      <c r="B473" s="1" t="n">
        <v>45646.48988425926</v>
      </c>
      <c r="C473" s="1" t="n">
        <v>46066</v>
      </c>
      <c r="D473" t="inlineStr">
        <is>
          <t>JÄMTLANDS LÄN</t>
        </is>
      </c>
      <c r="E473" t="inlineStr">
        <is>
          <t>ÖSTERSUND</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61450-2024</t>
        </is>
      </c>
      <c r="B474" s="1" t="n">
        <v>45646.49012731481</v>
      </c>
      <c r="C474" s="1" t="n">
        <v>46066</v>
      </c>
      <c r="D474" t="inlineStr">
        <is>
          <t>JÄMTLANDS LÄN</t>
        </is>
      </c>
      <c r="E474" t="inlineStr">
        <is>
          <t>ÖSTERSUND</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61451-2024</t>
        </is>
      </c>
      <c r="B475" s="1" t="n">
        <v>45646.49017361111</v>
      </c>
      <c r="C475" s="1" t="n">
        <v>46066</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8261-2025</t>
        </is>
      </c>
      <c r="B476" s="1" t="n">
        <v>45708.50256944444</v>
      </c>
      <c r="C476" s="1" t="n">
        <v>46066</v>
      </c>
      <c r="D476" t="inlineStr">
        <is>
          <t>JÄMTLANDS LÄN</t>
        </is>
      </c>
      <c r="E476" t="inlineStr">
        <is>
          <t>ÖSTERSUND</t>
        </is>
      </c>
      <c r="G476" t="n">
        <v>5.4</v>
      </c>
      <c r="H476" t="n">
        <v>0</v>
      </c>
      <c r="I476" t="n">
        <v>0</v>
      </c>
      <c r="J476" t="n">
        <v>0</v>
      </c>
      <c r="K476" t="n">
        <v>0</v>
      </c>
      <c r="L476" t="n">
        <v>0</v>
      </c>
      <c r="M476" t="n">
        <v>0</v>
      </c>
      <c r="N476" t="n">
        <v>0</v>
      </c>
      <c r="O476" t="n">
        <v>0</v>
      </c>
      <c r="P476" t="n">
        <v>0</v>
      </c>
      <c r="Q476" t="n">
        <v>0</v>
      </c>
      <c r="R476" s="2" t="inlineStr"/>
    </row>
    <row r="477" ht="15" customHeight="1">
      <c r="A477" t="inlineStr">
        <is>
          <t>A 57268-2025</t>
        </is>
      </c>
      <c r="B477" s="1" t="n">
        <v>45979.6756712963</v>
      </c>
      <c r="C477" s="1" t="n">
        <v>46066</v>
      </c>
      <c r="D477" t="inlineStr">
        <is>
          <t>JÄMTLANDS LÄN</t>
        </is>
      </c>
      <c r="E477" t="inlineStr">
        <is>
          <t>ÖSTERSUND</t>
        </is>
      </c>
      <c r="F477" t="inlineStr">
        <is>
          <t>Kommuner</t>
        </is>
      </c>
      <c r="G477" t="n">
        <v>0.7</v>
      </c>
      <c r="H477" t="n">
        <v>0</v>
      </c>
      <c r="I477" t="n">
        <v>0</v>
      </c>
      <c r="J477" t="n">
        <v>0</v>
      </c>
      <c r="K477" t="n">
        <v>0</v>
      </c>
      <c r="L477" t="n">
        <v>0</v>
      </c>
      <c r="M477" t="n">
        <v>0</v>
      </c>
      <c r="N477" t="n">
        <v>0</v>
      </c>
      <c r="O477" t="n">
        <v>0</v>
      </c>
      <c r="P477" t="n">
        <v>0</v>
      </c>
      <c r="Q477" t="n">
        <v>0</v>
      </c>
      <c r="R477" s="2" t="inlineStr"/>
    </row>
    <row r="478" ht="15" customHeight="1">
      <c r="A478" t="inlineStr">
        <is>
          <t>A 48893-2025</t>
        </is>
      </c>
      <c r="B478" s="1" t="n">
        <v>45937.47302083333</v>
      </c>
      <c r="C478" s="1" t="n">
        <v>46066</v>
      </c>
      <c r="D478" t="inlineStr">
        <is>
          <t>JÄMTLANDS LÄN</t>
        </is>
      </c>
      <c r="E478" t="inlineStr">
        <is>
          <t>ÖSTERSUND</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39975-2024</t>
        </is>
      </c>
      <c r="B479" s="1" t="n">
        <v>45553.60474537037</v>
      </c>
      <c r="C479" s="1" t="n">
        <v>46066</v>
      </c>
      <c r="D479" t="inlineStr">
        <is>
          <t>JÄMTLANDS LÄN</t>
        </is>
      </c>
      <c r="E479" t="inlineStr">
        <is>
          <t>ÖSTERSUND</t>
        </is>
      </c>
      <c r="G479" t="n">
        <v>3.8</v>
      </c>
      <c r="H479" t="n">
        <v>0</v>
      </c>
      <c r="I479" t="n">
        <v>0</v>
      </c>
      <c r="J479" t="n">
        <v>0</v>
      </c>
      <c r="K479" t="n">
        <v>0</v>
      </c>
      <c r="L479" t="n">
        <v>0</v>
      </c>
      <c r="M479" t="n">
        <v>0</v>
      </c>
      <c r="N479" t="n">
        <v>0</v>
      </c>
      <c r="O479" t="n">
        <v>0</v>
      </c>
      <c r="P479" t="n">
        <v>0</v>
      </c>
      <c r="Q479" t="n">
        <v>0</v>
      </c>
      <c r="R479" s="2" t="inlineStr"/>
    </row>
    <row r="480" ht="15" customHeight="1">
      <c r="A480" t="inlineStr">
        <is>
          <t>A 61506-2023</t>
        </is>
      </c>
      <c r="B480" s="1" t="n">
        <v>45264</v>
      </c>
      <c r="C480" s="1" t="n">
        <v>46066</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16753-2025</t>
        </is>
      </c>
      <c r="B481" s="1" t="n">
        <v>45754.56839120371</v>
      </c>
      <c r="C481" s="1" t="n">
        <v>46066</v>
      </c>
      <c r="D481" t="inlineStr">
        <is>
          <t>JÄMTLANDS LÄN</t>
        </is>
      </c>
      <c r="E481" t="inlineStr">
        <is>
          <t>ÖSTERSUND</t>
        </is>
      </c>
      <c r="G481" t="n">
        <v>0.5</v>
      </c>
      <c r="H481" t="n">
        <v>0</v>
      </c>
      <c r="I481" t="n">
        <v>0</v>
      </c>
      <c r="J481" t="n">
        <v>0</v>
      </c>
      <c r="K481" t="n">
        <v>0</v>
      </c>
      <c r="L481" t="n">
        <v>0</v>
      </c>
      <c r="M481" t="n">
        <v>0</v>
      </c>
      <c r="N481" t="n">
        <v>0</v>
      </c>
      <c r="O481" t="n">
        <v>0</v>
      </c>
      <c r="P481" t="n">
        <v>0</v>
      </c>
      <c r="Q481" t="n">
        <v>0</v>
      </c>
      <c r="R481" s="2" t="inlineStr"/>
    </row>
    <row r="482" ht="15" customHeight="1">
      <c r="A482" t="inlineStr">
        <is>
          <t>A 56067-2022</t>
        </is>
      </c>
      <c r="B482" s="1" t="n">
        <v>44889.59378472222</v>
      </c>
      <c r="C482" s="1" t="n">
        <v>46066</v>
      </c>
      <c r="D482" t="inlineStr">
        <is>
          <t>JÄMTLANDS LÄN</t>
        </is>
      </c>
      <c r="E482" t="inlineStr">
        <is>
          <t>ÖSTERSUND</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49039-2025</t>
        </is>
      </c>
      <c r="B483" s="1" t="n">
        <v>45937.63275462963</v>
      </c>
      <c r="C483" s="1" t="n">
        <v>46066</v>
      </c>
      <c r="D483" t="inlineStr">
        <is>
          <t>JÄMTLANDS LÄN</t>
        </is>
      </c>
      <c r="E483" t="inlineStr">
        <is>
          <t>ÖSTERSUND</t>
        </is>
      </c>
      <c r="G483" t="n">
        <v>1.6</v>
      </c>
      <c r="H483" t="n">
        <v>0</v>
      </c>
      <c r="I483" t="n">
        <v>0</v>
      </c>
      <c r="J483" t="n">
        <v>0</v>
      </c>
      <c r="K483" t="n">
        <v>0</v>
      </c>
      <c r="L483" t="n">
        <v>0</v>
      </c>
      <c r="M483" t="n">
        <v>0</v>
      </c>
      <c r="N483" t="n">
        <v>0</v>
      </c>
      <c r="O483" t="n">
        <v>0</v>
      </c>
      <c r="P483" t="n">
        <v>0</v>
      </c>
      <c r="Q483" t="n">
        <v>0</v>
      </c>
      <c r="R483" s="2" t="inlineStr"/>
    </row>
    <row r="484" ht="15" customHeight="1">
      <c r="A484" t="inlineStr">
        <is>
          <t>A 49572-2025</t>
        </is>
      </c>
      <c r="B484" s="1" t="n">
        <v>45939.49018518518</v>
      </c>
      <c r="C484" s="1" t="n">
        <v>46066</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49576-2025</t>
        </is>
      </c>
      <c r="B485" s="1" t="n">
        <v>45939</v>
      </c>
      <c r="C485" s="1" t="n">
        <v>46066</v>
      </c>
      <c r="D485" t="inlineStr">
        <is>
          <t>JÄMTLANDS LÄN</t>
        </is>
      </c>
      <c r="E485" t="inlineStr">
        <is>
          <t>ÖSTERSUND</t>
        </is>
      </c>
      <c r="F485" t="inlineStr">
        <is>
          <t>SCA</t>
        </is>
      </c>
      <c r="G485" t="n">
        <v>17.1</v>
      </c>
      <c r="H485" t="n">
        <v>0</v>
      </c>
      <c r="I485" t="n">
        <v>0</v>
      </c>
      <c r="J485" t="n">
        <v>0</v>
      </c>
      <c r="K485" t="n">
        <v>0</v>
      </c>
      <c r="L485" t="n">
        <v>0</v>
      </c>
      <c r="M485" t="n">
        <v>0</v>
      </c>
      <c r="N485" t="n">
        <v>0</v>
      </c>
      <c r="O485" t="n">
        <v>0</v>
      </c>
      <c r="P485" t="n">
        <v>0</v>
      </c>
      <c r="Q485" t="n">
        <v>0</v>
      </c>
      <c r="R485" s="2" t="inlineStr"/>
    </row>
    <row r="486" ht="15" customHeight="1">
      <c r="A486" t="inlineStr">
        <is>
          <t>A 6067-2025</t>
        </is>
      </c>
      <c r="B486" s="1" t="n">
        <v>45696.34405092592</v>
      </c>
      <c r="C486" s="1" t="n">
        <v>46066</v>
      </c>
      <c r="D486" t="inlineStr">
        <is>
          <t>JÄMTLANDS LÄN</t>
        </is>
      </c>
      <c r="E486" t="inlineStr">
        <is>
          <t>ÖSTERSUND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14518-2023</t>
        </is>
      </c>
      <c r="B487" s="1" t="n">
        <v>45012</v>
      </c>
      <c r="C487" s="1" t="n">
        <v>46066</v>
      </c>
      <c r="D487" t="inlineStr">
        <is>
          <t>JÄMTLANDS LÄN</t>
        </is>
      </c>
      <c r="E487" t="inlineStr">
        <is>
          <t>ÖSTERSUND</t>
        </is>
      </c>
      <c r="G487" t="n">
        <v>14.4</v>
      </c>
      <c r="H487" t="n">
        <v>0</v>
      </c>
      <c r="I487" t="n">
        <v>0</v>
      </c>
      <c r="J487" t="n">
        <v>0</v>
      </c>
      <c r="K487" t="n">
        <v>0</v>
      </c>
      <c r="L487" t="n">
        <v>0</v>
      </c>
      <c r="M487" t="n">
        <v>0</v>
      </c>
      <c r="N487" t="n">
        <v>0</v>
      </c>
      <c r="O487" t="n">
        <v>0</v>
      </c>
      <c r="P487" t="n">
        <v>0</v>
      </c>
      <c r="Q487" t="n">
        <v>0</v>
      </c>
      <c r="R487" s="2" t="inlineStr"/>
    </row>
    <row r="488" ht="15" customHeight="1">
      <c r="A488" t="inlineStr">
        <is>
          <t>A 50168-2025</t>
        </is>
      </c>
      <c r="B488" s="1" t="n">
        <v>45943.59442129629</v>
      </c>
      <c r="C488" s="1" t="n">
        <v>46066</v>
      </c>
      <c r="D488" t="inlineStr">
        <is>
          <t>JÄMTLANDS LÄN</t>
        </is>
      </c>
      <c r="E488" t="inlineStr">
        <is>
          <t>ÖSTERSUND</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30602-2023</t>
        </is>
      </c>
      <c r="B489" s="1" t="n">
        <v>45112</v>
      </c>
      <c r="C489" s="1" t="n">
        <v>46066</v>
      </c>
      <c r="D489" t="inlineStr">
        <is>
          <t>JÄMTLANDS LÄN</t>
        </is>
      </c>
      <c r="E489" t="inlineStr">
        <is>
          <t>ÖSTERSUND</t>
        </is>
      </c>
      <c r="G489" t="n">
        <v>0.5</v>
      </c>
      <c r="H489" t="n">
        <v>0</v>
      </c>
      <c r="I489" t="n">
        <v>0</v>
      </c>
      <c r="J489" t="n">
        <v>0</v>
      </c>
      <c r="K489" t="n">
        <v>0</v>
      </c>
      <c r="L489" t="n">
        <v>0</v>
      </c>
      <c r="M489" t="n">
        <v>0</v>
      </c>
      <c r="N489" t="n">
        <v>0</v>
      </c>
      <c r="O489" t="n">
        <v>0</v>
      </c>
      <c r="P489" t="n">
        <v>0</v>
      </c>
      <c r="Q489" t="n">
        <v>0</v>
      </c>
      <c r="R489" s="2" t="inlineStr"/>
    </row>
    <row r="490" ht="15" customHeight="1">
      <c r="A490" t="inlineStr">
        <is>
          <t>A 1211-2025</t>
        </is>
      </c>
      <c r="B490" s="1" t="n">
        <v>45667.40662037037</v>
      </c>
      <c r="C490" s="1" t="n">
        <v>46066</v>
      </c>
      <c r="D490" t="inlineStr">
        <is>
          <t>JÄMTLANDS LÄN</t>
        </is>
      </c>
      <c r="E490" t="inlineStr">
        <is>
          <t>ÖSTERSUND</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50528-2025</t>
        </is>
      </c>
      <c r="B491" s="1" t="n">
        <v>45945.47097222223</v>
      </c>
      <c r="C491" s="1" t="n">
        <v>46066</v>
      </c>
      <c r="D491" t="inlineStr">
        <is>
          <t>JÄMTLANDS LÄN</t>
        </is>
      </c>
      <c r="E491" t="inlineStr">
        <is>
          <t>ÖSTERSUND</t>
        </is>
      </c>
      <c r="G491" t="n">
        <v>3.4</v>
      </c>
      <c r="H491" t="n">
        <v>0</v>
      </c>
      <c r="I491" t="n">
        <v>0</v>
      </c>
      <c r="J491" t="n">
        <v>0</v>
      </c>
      <c r="K491" t="n">
        <v>0</v>
      </c>
      <c r="L491" t="n">
        <v>0</v>
      </c>
      <c r="M491" t="n">
        <v>0</v>
      </c>
      <c r="N491" t="n">
        <v>0</v>
      </c>
      <c r="O491" t="n">
        <v>0</v>
      </c>
      <c r="P491" t="n">
        <v>0</v>
      </c>
      <c r="Q491" t="n">
        <v>0</v>
      </c>
      <c r="R491" s="2" t="inlineStr"/>
    </row>
    <row r="492" ht="15" customHeight="1">
      <c r="A492" t="inlineStr">
        <is>
          <t>A 45004-2022</t>
        </is>
      </c>
      <c r="B492" s="1" t="n">
        <v>44840</v>
      </c>
      <c r="C492" s="1" t="n">
        <v>46066</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12352-2025</t>
        </is>
      </c>
      <c r="B493" s="1" t="n">
        <v>45730.36263888889</v>
      </c>
      <c r="C493" s="1" t="n">
        <v>46066</v>
      </c>
      <c r="D493" t="inlineStr">
        <is>
          <t>JÄMTLANDS LÄN</t>
        </is>
      </c>
      <c r="E493" t="inlineStr">
        <is>
          <t>ÖSTERSUND</t>
        </is>
      </c>
      <c r="G493" t="n">
        <v>7.8</v>
      </c>
      <c r="H493" t="n">
        <v>0</v>
      </c>
      <c r="I493" t="n">
        <v>0</v>
      </c>
      <c r="J493" t="n">
        <v>0</v>
      </c>
      <c r="K493" t="n">
        <v>0</v>
      </c>
      <c r="L493" t="n">
        <v>0</v>
      </c>
      <c r="M493" t="n">
        <v>0</v>
      </c>
      <c r="N493" t="n">
        <v>0</v>
      </c>
      <c r="O493" t="n">
        <v>0</v>
      </c>
      <c r="P493" t="n">
        <v>0</v>
      </c>
      <c r="Q493" t="n">
        <v>0</v>
      </c>
      <c r="R493" s="2" t="inlineStr"/>
    </row>
    <row r="494" ht="15" customHeight="1">
      <c r="A494" t="inlineStr">
        <is>
          <t>A 27906-2024</t>
        </is>
      </c>
      <c r="B494" s="1" t="n">
        <v>45475.94585648148</v>
      </c>
      <c r="C494" s="1" t="n">
        <v>46066</v>
      </c>
      <c r="D494" t="inlineStr">
        <is>
          <t>JÄMTLANDS LÄN</t>
        </is>
      </c>
      <c r="E494" t="inlineStr">
        <is>
          <t>ÖSTERSUND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53380-2023</t>
        </is>
      </c>
      <c r="B495" s="1" t="n">
        <v>45223</v>
      </c>
      <c r="C495" s="1" t="n">
        <v>46066</v>
      </c>
      <c r="D495" t="inlineStr">
        <is>
          <t>JÄMTLANDS LÄN</t>
        </is>
      </c>
      <c r="E495" t="inlineStr">
        <is>
          <t>ÖSTERSUND</t>
        </is>
      </c>
      <c r="G495" t="n">
        <v>1.7</v>
      </c>
      <c r="H495" t="n">
        <v>0</v>
      </c>
      <c r="I495" t="n">
        <v>0</v>
      </c>
      <c r="J495" t="n">
        <v>0</v>
      </c>
      <c r="K495" t="n">
        <v>0</v>
      </c>
      <c r="L495" t="n">
        <v>0</v>
      </c>
      <c r="M495" t="n">
        <v>0</v>
      </c>
      <c r="N495" t="n">
        <v>0</v>
      </c>
      <c r="O495" t="n">
        <v>0</v>
      </c>
      <c r="P495" t="n">
        <v>0</v>
      </c>
      <c r="Q495" t="n">
        <v>0</v>
      </c>
      <c r="R495" s="2" t="inlineStr"/>
    </row>
    <row r="496" ht="15" customHeight="1">
      <c r="A496" t="inlineStr">
        <is>
          <t>A 10116-2025</t>
        </is>
      </c>
      <c r="B496" s="1" t="n">
        <v>45719.59836805556</v>
      </c>
      <c r="C496" s="1" t="n">
        <v>46066</v>
      </c>
      <c r="D496" t="inlineStr">
        <is>
          <t>JÄMTLANDS LÄN</t>
        </is>
      </c>
      <c r="E496" t="inlineStr">
        <is>
          <t>ÖSTERSUND</t>
        </is>
      </c>
      <c r="G496" t="n">
        <v>11.1</v>
      </c>
      <c r="H496" t="n">
        <v>0</v>
      </c>
      <c r="I496" t="n">
        <v>0</v>
      </c>
      <c r="J496" t="n">
        <v>0</v>
      </c>
      <c r="K496" t="n">
        <v>0</v>
      </c>
      <c r="L496" t="n">
        <v>0</v>
      </c>
      <c r="M496" t="n">
        <v>0</v>
      </c>
      <c r="N496" t="n">
        <v>0</v>
      </c>
      <c r="O496" t="n">
        <v>0</v>
      </c>
      <c r="P496" t="n">
        <v>0</v>
      </c>
      <c r="Q496" t="n">
        <v>0</v>
      </c>
      <c r="R496" s="2" t="inlineStr"/>
    </row>
    <row r="497" ht="15" customHeight="1">
      <c r="A497" t="inlineStr">
        <is>
          <t>A 48696-2024</t>
        </is>
      </c>
      <c r="B497" s="1" t="n">
        <v>45593.51123842593</v>
      </c>
      <c r="C497" s="1" t="n">
        <v>46066</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50428-2025</t>
        </is>
      </c>
      <c r="B498" s="1" t="n">
        <v>45944.67787037037</v>
      </c>
      <c r="C498" s="1" t="n">
        <v>46066</v>
      </c>
      <c r="D498" t="inlineStr">
        <is>
          <t>JÄMTLANDS LÄN</t>
        </is>
      </c>
      <c r="E498" t="inlineStr">
        <is>
          <t>ÖSTERSUND</t>
        </is>
      </c>
      <c r="F498" t="inlineStr">
        <is>
          <t>SCA</t>
        </is>
      </c>
      <c r="G498" t="n">
        <v>4.9</v>
      </c>
      <c r="H498" t="n">
        <v>0</v>
      </c>
      <c r="I498" t="n">
        <v>0</v>
      </c>
      <c r="J498" t="n">
        <v>0</v>
      </c>
      <c r="K498" t="n">
        <v>0</v>
      </c>
      <c r="L498" t="n">
        <v>0</v>
      </c>
      <c r="M498" t="n">
        <v>0</v>
      </c>
      <c r="N498" t="n">
        <v>0</v>
      </c>
      <c r="O498" t="n">
        <v>0</v>
      </c>
      <c r="P498" t="n">
        <v>0</v>
      </c>
      <c r="Q498" t="n">
        <v>0</v>
      </c>
      <c r="R498" s="2" t="inlineStr"/>
    </row>
    <row r="499" ht="15" customHeight="1">
      <c r="A499" t="inlineStr">
        <is>
          <t>A 48737-2024</t>
        </is>
      </c>
      <c r="B499" s="1" t="n">
        <v>45593.57327546296</v>
      </c>
      <c r="C499" s="1" t="n">
        <v>46066</v>
      </c>
      <c r="D499" t="inlineStr">
        <is>
          <t>JÄMTLANDS LÄN</t>
        </is>
      </c>
      <c r="E499" t="inlineStr">
        <is>
          <t>ÖSTERSUND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58996-2025</t>
        </is>
      </c>
      <c r="B500" s="1" t="n">
        <v>45987.67032407408</v>
      </c>
      <c r="C500" s="1" t="n">
        <v>46066</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33501-2023</t>
        </is>
      </c>
      <c r="B501" s="1" t="n">
        <v>45118</v>
      </c>
      <c r="C501" s="1" t="n">
        <v>46066</v>
      </c>
      <c r="D501" t="inlineStr">
        <is>
          <t>JÄMTLANDS LÄN</t>
        </is>
      </c>
      <c r="E501" t="inlineStr">
        <is>
          <t>ÖSTERSUND</t>
        </is>
      </c>
      <c r="G501" t="n">
        <v>5.8</v>
      </c>
      <c r="H501" t="n">
        <v>0</v>
      </c>
      <c r="I501" t="n">
        <v>0</v>
      </c>
      <c r="J501" t="n">
        <v>0</v>
      </c>
      <c r="K501" t="n">
        <v>0</v>
      </c>
      <c r="L501" t="n">
        <v>0</v>
      </c>
      <c r="M501" t="n">
        <v>0</v>
      </c>
      <c r="N501" t="n">
        <v>0</v>
      </c>
      <c r="O501" t="n">
        <v>0</v>
      </c>
      <c r="P501" t="n">
        <v>0</v>
      </c>
      <c r="Q501" t="n">
        <v>0</v>
      </c>
      <c r="R501" s="2" t="inlineStr"/>
    </row>
    <row r="502" ht="15" customHeight="1">
      <c r="A502" t="inlineStr">
        <is>
          <t>A 60088-2024</t>
        </is>
      </c>
      <c r="B502" s="1" t="n">
        <v>45642.54847222222</v>
      </c>
      <c r="C502" s="1" t="n">
        <v>46066</v>
      </c>
      <c r="D502" t="inlineStr">
        <is>
          <t>JÄMTLANDS LÄN</t>
        </is>
      </c>
      <c r="E502" t="inlineStr">
        <is>
          <t>ÖSTERSUND</t>
        </is>
      </c>
      <c r="G502" t="n">
        <v>5</v>
      </c>
      <c r="H502" t="n">
        <v>0</v>
      </c>
      <c r="I502" t="n">
        <v>0</v>
      </c>
      <c r="J502" t="n">
        <v>0</v>
      </c>
      <c r="K502" t="n">
        <v>0</v>
      </c>
      <c r="L502" t="n">
        <v>0</v>
      </c>
      <c r="M502" t="n">
        <v>0</v>
      </c>
      <c r="N502" t="n">
        <v>0</v>
      </c>
      <c r="O502" t="n">
        <v>0</v>
      </c>
      <c r="P502" t="n">
        <v>0</v>
      </c>
      <c r="Q502" t="n">
        <v>0</v>
      </c>
      <c r="R502" s="2" t="inlineStr"/>
    </row>
    <row r="503" ht="15" customHeight="1">
      <c r="A503" t="inlineStr">
        <is>
          <t>A 49788-2024</t>
        </is>
      </c>
      <c r="B503" s="1" t="n">
        <v>45597.36623842592</v>
      </c>
      <c r="C503" s="1" t="n">
        <v>46066</v>
      </c>
      <c r="D503" t="inlineStr">
        <is>
          <t>JÄMTLANDS LÄN</t>
        </is>
      </c>
      <c r="E503" t="inlineStr">
        <is>
          <t>ÖSTERSUND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4901-2025</t>
        </is>
      </c>
      <c r="B504" s="1" t="n">
        <v>45688.67965277778</v>
      </c>
      <c r="C504" s="1" t="n">
        <v>46066</v>
      </c>
      <c r="D504" t="inlineStr">
        <is>
          <t>JÄMTLANDS LÄN</t>
        </is>
      </c>
      <c r="E504" t="inlineStr">
        <is>
          <t>ÖSTERSUND</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7941-2025</t>
        </is>
      </c>
      <c r="B505" s="1" t="n">
        <v>45707</v>
      </c>
      <c r="C505" s="1" t="n">
        <v>46066</v>
      </c>
      <c r="D505" t="inlineStr">
        <is>
          <t>JÄMTLANDS LÄN</t>
        </is>
      </c>
      <c r="E505" t="inlineStr">
        <is>
          <t>ÖSTERSUND</t>
        </is>
      </c>
      <c r="G505" t="n">
        <v>2</v>
      </c>
      <c r="H505" t="n">
        <v>0</v>
      </c>
      <c r="I505" t="n">
        <v>0</v>
      </c>
      <c r="J505" t="n">
        <v>0</v>
      </c>
      <c r="K505" t="n">
        <v>0</v>
      </c>
      <c r="L505" t="n">
        <v>0</v>
      </c>
      <c r="M505" t="n">
        <v>0</v>
      </c>
      <c r="N505" t="n">
        <v>0</v>
      </c>
      <c r="O505" t="n">
        <v>0</v>
      </c>
      <c r="P505" t="n">
        <v>0</v>
      </c>
      <c r="Q505" t="n">
        <v>0</v>
      </c>
      <c r="R505" s="2" t="inlineStr"/>
    </row>
    <row r="506" ht="15" customHeight="1">
      <c r="A506" t="inlineStr">
        <is>
          <t>A 17709-2024</t>
        </is>
      </c>
      <c r="B506" s="1" t="n">
        <v>45418.4843287037</v>
      </c>
      <c r="C506" s="1" t="n">
        <v>46066</v>
      </c>
      <c r="D506" t="inlineStr">
        <is>
          <t>JÄMTLANDS LÄN</t>
        </is>
      </c>
      <c r="E506" t="inlineStr">
        <is>
          <t>ÖSTERSUND</t>
        </is>
      </c>
      <c r="G506" t="n">
        <v>2.9</v>
      </c>
      <c r="H506" t="n">
        <v>0</v>
      </c>
      <c r="I506" t="n">
        <v>0</v>
      </c>
      <c r="J506" t="n">
        <v>0</v>
      </c>
      <c r="K506" t="n">
        <v>0</v>
      </c>
      <c r="L506" t="n">
        <v>0</v>
      </c>
      <c r="M506" t="n">
        <v>0</v>
      </c>
      <c r="N506" t="n">
        <v>0</v>
      </c>
      <c r="O506" t="n">
        <v>0</v>
      </c>
      <c r="P506" t="n">
        <v>0</v>
      </c>
      <c r="Q506" t="n">
        <v>0</v>
      </c>
      <c r="R506" s="2" t="inlineStr"/>
    </row>
    <row r="507" ht="15" customHeight="1">
      <c r="A507" t="inlineStr">
        <is>
          <t>A 58406-2024</t>
        </is>
      </c>
      <c r="B507" s="1" t="n">
        <v>45634.70898148148</v>
      </c>
      <c r="C507" s="1" t="n">
        <v>46066</v>
      </c>
      <c r="D507" t="inlineStr">
        <is>
          <t>JÄMTLANDS LÄN</t>
        </is>
      </c>
      <c r="E507" t="inlineStr">
        <is>
          <t>ÖSTERSUND</t>
        </is>
      </c>
      <c r="G507" t="n">
        <v>3.8</v>
      </c>
      <c r="H507" t="n">
        <v>0</v>
      </c>
      <c r="I507" t="n">
        <v>0</v>
      </c>
      <c r="J507" t="n">
        <v>0</v>
      </c>
      <c r="K507" t="n">
        <v>0</v>
      </c>
      <c r="L507" t="n">
        <v>0</v>
      </c>
      <c r="M507" t="n">
        <v>0</v>
      </c>
      <c r="N507" t="n">
        <v>0</v>
      </c>
      <c r="O507" t="n">
        <v>0</v>
      </c>
      <c r="P507" t="n">
        <v>0</v>
      </c>
      <c r="Q507" t="n">
        <v>0</v>
      </c>
      <c r="R507" s="2" t="inlineStr"/>
    </row>
    <row r="508" ht="15" customHeight="1">
      <c r="A508" t="inlineStr">
        <is>
          <t>A 51826-2024</t>
        </is>
      </c>
      <c r="B508" s="1" t="n">
        <v>45607.50137731482</v>
      </c>
      <c r="C508" s="1" t="n">
        <v>46066</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13166-2023</t>
        </is>
      </c>
      <c r="B509" s="1" t="n">
        <v>45002</v>
      </c>
      <c r="C509" s="1" t="n">
        <v>46066</v>
      </c>
      <c r="D509" t="inlineStr">
        <is>
          <t>JÄMTLANDS LÄN</t>
        </is>
      </c>
      <c r="E509" t="inlineStr">
        <is>
          <t>ÖSTERSUND</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52247-2025</t>
        </is>
      </c>
      <c r="B510" s="1" t="n">
        <v>45953.47575231481</v>
      </c>
      <c r="C510" s="1" t="n">
        <v>46066</v>
      </c>
      <c r="D510" t="inlineStr">
        <is>
          <t>JÄMTLANDS LÄN</t>
        </is>
      </c>
      <c r="E510" t="inlineStr">
        <is>
          <t>ÖSTERSUND</t>
        </is>
      </c>
      <c r="G510" t="n">
        <v>8.4</v>
      </c>
      <c r="H510" t="n">
        <v>0</v>
      </c>
      <c r="I510" t="n">
        <v>0</v>
      </c>
      <c r="J510" t="n">
        <v>0</v>
      </c>
      <c r="K510" t="n">
        <v>0</v>
      </c>
      <c r="L510" t="n">
        <v>0</v>
      </c>
      <c r="M510" t="n">
        <v>0</v>
      </c>
      <c r="N510" t="n">
        <v>0</v>
      </c>
      <c r="O510" t="n">
        <v>0</v>
      </c>
      <c r="P510" t="n">
        <v>0</v>
      </c>
      <c r="Q510" t="n">
        <v>0</v>
      </c>
      <c r="R510" s="2" t="inlineStr"/>
    </row>
    <row r="511" ht="15" customHeight="1">
      <c r="A511" t="inlineStr">
        <is>
          <t>A 52286-2025</t>
        </is>
      </c>
      <c r="B511" s="1" t="n">
        <v>45953.58497685185</v>
      </c>
      <c r="C511" s="1" t="n">
        <v>46066</v>
      </c>
      <c r="D511" t="inlineStr">
        <is>
          <t>JÄMTLANDS LÄN</t>
        </is>
      </c>
      <c r="E511" t="inlineStr">
        <is>
          <t>ÖSTERSUND</t>
        </is>
      </c>
      <c r="G511" t="n">
        <v>1.2</v>
      </c>
      <c r="H511" t="n">
        <v>0</v>
      </c>
      <c r="I511" t="n">
        <v>0</v>
      </c>
      <c r="J511" t="n">
        <v>0</v>
      </c>
      <c r="K511" t="n">
        <v>0</v>
      </c>
      <c r="L511" t="n">
        <v>0</v>
      </c>
      <c r="M511" t="n">
        <v>0</v>
      </c>
      <c r="N511" t="n">
        <v>0</v>
      </c>
      <c r="O511" t="n">
        <v>0</v>
      </c>
      <c r="P511" t="n">
        <v>0</v>
      </c>
      <c r="Q511" t="n">
        <v>0</v>
      </c>
      <c r="R511" s="2" t="inlineStr"/>
    </row>
    <row r="512" ht="15" customHeight="1">
      <c r="A512" t="inlineStr">
        <is>
          <t>A 52280-2025</t>
        </is>
      </c>
      <c r="B512" s="1" t="n">
        <v>45953.56976851852</v>
      </c>
      <c r="C512" s="1" t="n">
        <v>46066</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8423-2023</t>
        </is>
      </c>
      <c r="B513" s="1" t="n">
        <v>44977</v>
      </c>
      <c r="C513" s="1" t="n">
        <v>46066</v>
      </c>
      <c r="D513" t="inlineStr">
        <is>
          <t>JÄMTLANDS LÄN</t>
        </is>
      </c>
      <c r="E513" t="inlineStr">
        <is>
          <t>ÖSTERSUND</t>
        </is>
      </c>
      <c r="F513" t="inlineStr">
        <is>
          <t>Övriga Aktiebolag</t>
        </is>
      </c>
      <c r="G513" t="n">
        <v>53.1</v>
      </c>
      <c r="H513" t="n">
        <v>0</v>
      </c>
      <c r="I513" t="n">
        <v>0</v>
      </c>
      <c r="J513" t="n">
        <v>0</v>
      </c>
      <c r="K513" t="n">
        <v>0</v>
      </c>
      <c r="L513" t="n">
        <v>0</v>
      </c>
      <c r="M513" t="n">
        <v>0</v>
      </c>
      <c r="N513" t="n">
        <v>0</v>
      </c>
      <c r="O513" t="n">
        <v>0</v>
      </c>
      <c r="P513" t="n">
        <v>0</v>
      </c>
      <c r="Q513" t="n">
        <v>0</v>
      </c>
      <c r="R513" s="2" t="inlineStr"/>
    </row>
    <row r="514" ht="15" customHeight="1">
      <c r="A514" t="inlineStr">
        <is>
          <t>A 52003-2025</t>
        </is>
      </c>
      <c r="B514" s="1" t="n">
        <v>45952.5909375</v>
      </c>
      <c r="C514" s="1" t="n">
        <v>46066</v>
      </c>
      <c r="D514" t="inlineStr">
        <is>
          <t>JÄMTLANDS LÄN</t>
        </is>
      </c>
      <c r="E514" t="inlineStr">
        <is>
          <t>ÖSTERSUND</t>
        </is>
      </c>
      <c r="G514" t="n">
        <v>5.7</v>
      </c>
      <c r="H514" t="n">
        <v>0</v>
      </c>
      <c r="I514" t="n">
        <v>0</v>
      </c>
      <c r="J514" t="n">
        <v>0</v>
      </c>
      <c r="K514" t="n">
        <v>0</v>
      </c>
      <c r="L514" t="n">
        <v>0</v>
      </c>
      <c r="M514" t="n">
        <v>0</v>
      </c>
      <c r="N514" t="n">
        <v>0</v>
      </c>
      <c r="O514" t="n">
        <v>0</v>
      </c>
      <c r="P514" t="n">
        <v>0</v>
      </c>
      <c r="Q514" t="n">
        <v>0</v>
      </c>
      <c r="R514" s="2" t="inlineStr"/>
    </row>
    <row r="515" ht="15" customHeight="1">
      <c r="A515" t="inlineStr">
        <is>
          <t>A 52935-2025</t>
        </is>
      </c>
      <c r="B515" s="1" t="n">
        <v>45957.62978009259</v>
      </c>
      <c r="C515" s="1" t="n">
        <v>46066</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14831-2025</t>
        </is>
      </c>
      <c r="B516" s="1" t="n">
        <v>45743.37109953703</v>
      </c>
      <c r="C516" s="1" t="n">
        <v>46066</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52620-2025</t>
        </is>
      </c>
      <c r="B517" s="1" t="n">
        <v>45954.68207175926</v>
      </c>
      <c r="C517" s="1" t="n">
        <v>46066</v>
      </c>
      <c r="D517" t="inlineStr">
        <is>
          <t>JÄMTLANDS LÄN</t>
        </is>
      </c>
      <c r="E517" t="inlineStr">
        <is>
          <t>ÖSTERSUND</t>
        </is>
      </c>
      <c r="G517" t="n">
        <v>4.6</v>
      </c>
      <c r="H517" t="n">
        <v>0</v>
      </c>
      <c r="I517" t="n">
        <v>0</v>
      </c>
      <c r="J517" t="n">
        <v>0</v>
      </c>
      <c r="K517" t="n">
        <v>0</v>
      </c>
      <c r="L517" t="n">
        <v>0</v>
      </c>
      <c r="M517" t="n">
        <v>0</v>
      </c>
      <c r="N517" t="n">
        <v>0</v>
      </c>
      <c r="O517" t="n">
        <v>0</v>
      </c>
      <c r="P517" t="n">
        <v>0</v>
      </c>
      <c r="Q517" t="n">
        <v>0</v>
      </c>
      <c r="R517" s="2" t="inlineStr"/>
    </row>
    <row r="518" ht="15" customHeight="1">
      <c r="A518" t="inlineStr">
        <is>
          <t>A 4500-2025</t>
        </is>
      </c>
      <c r="B518" s="1" t="n">
        <v>45686.6859375</v>
      </c>
      <c r="C518" s="1" t="n">
        <v>46066</v>
      </c>
      <c r="D518" t="inlineStr">
        <is>
          <t>JÄMTLANDS LÄN</t>
        </is>
      </c>
      <c r="E518" t="inlineStr">
        <is>
          <t>ÖSTERSUND</t>
        </is>
      </c>
      <c r="G518" t="n">
        <v>28.4</v>
      </c>
      <c r="H518" t="n">
        <v>0</v>
      </c>
      <c r="I518" t="n">
        <v>0</v>
      </c>
      <c r="J518" t="n">
        <v>0</v>
      </c>
      <c r="K518" t="n">
        <v>0</v>
      </c>
      <c r="L518" t="n">
        <v>0</v>
      </c>
      <c r="M518" t="n">
        <v>0</v>
      </c>
      <c r="N518" t="n">
        <v>0</v>
      </c>
      <c r="O518" t="n">
        <v>0</v>
      </c>
      <c r="P518" t="n">
        <v>0</v>
      </c>
      <c r="Q518" t="n">
        <v>0</v>
      </c>
      <c r="R518" s="2" t="inlineStr"/>
    </row>
    <row r="519" ht="15" customHeight="1">
      <c r="A519" t="inlineStr">
        <is>
          <t>A 52975-2025</t>
        </is>
      </c>
      <c r="B519" s="1" t="n">
        <v>45957.67876157408</v>
      </c>
      <c r="C519" s="1" t="n">
        <v>46066</v>
      </c>
      <c r="D519" t="inlineStr">
        <is>
          <t>JÄMTLANDS LÄN</t>
        </is>
      </c>
      <c r="E519" t="inlineStr">
        <is>
          <t>ÖSTERSUND</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46066</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42151-2023</t>
        </is>
      </c>
      <c r="B521" s="1" t="n">
        <v>45177.93612268518</v>
      </c>
      <c r="C521" s="1" t="n">
        <v>46066</v>
      </c>
      <c r="D521" t="inlineStr">
        <is>
          <t>JÄMTLANDS LÄN</t>
        </is>
      </c>
      <c r="E521" t="inlineStr">
        <is>
          <t>ÖSTERSUND</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53054-2025</t>
        </is>
      </c>
      <c r="B522" s="1" t="n">
        <v>45958.36498842593</v>
      </c>
      <c r="C522" s="1" t="n">
        <v>46066</v>
      </c>
      <c r="D522" t="inlineStr">
        <is>
          <t>JÄMTLANDS LÄN</t>
        </is>
      </c>
      <c r="E522" t="inlineStr">
        <is>
          <t>ÖSTERSUND</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53057-2025</t>
        </is>
      </c>
      <c r="B523" s="1" t="n">
        <v>45958.36537037037</v>
      </c>
      <c r="C523" s="1" t="n">
        <v>46066</v>
      </c>
      <c r="D523" t="inlineStr">
        <is>
          <t>JÄMTLANDS LÄN</t>
        </is>
      </c>
      <c r="E523" t="inlineStr">
        <is>
          <t>ÖSTERSUND</t>
        </is>
      </c>
      <c r="F523" t="inlineStr">
        <is>
          <t>SCA</t>
        </is>
      </c>
      <c r="G523" t="n">
        <v>47.8</v>
      </c>
      <c r="H523" t="n">
        <v>0</v>
      </c>
      <c r="I523" t="n">
        <v>0</v>
      </c>
      <c r="J523" t="n">
        <v>0</v>
      </c>
      <c r="K523" t="n">
        <v>0</v>
      </c>
      <c r="L523" t="n">
        <v>0</v>
      </c>
      <c r="M523" t="n">
        <v>0</v>
      </c>
      <c r="N523" t="n">
        <v>0</v>
      </c>
      <c r="O523" t="n">
        <v>0</v>
      </c>
      <c r="P523" t="n">
        <v>0</v>
      </c>
      <c r="Q523" t="n">
        <v>0</v>
      </c>
      <c r="R523" s="2" t="inlineStr"/>
    </row>
    <row r="524" ht="15" customHeight="1">
      <c r="A524" t="inlineStr">
        <is>
          <t>A 59648-2022</t>
        </is>
      </c>
      <c r="B524" s="1" t="n">
        <v>44907</v>
      </c>
      <c r="C524" s="1" t="n">
        <v>46066</v>
      </c>
      <c r="D524" t="inlineStr">
        <is>
          <t>JÄMTLANDS LÄN</t>
        </is>
      </c>
      <c r="E524" t="inlineStr">
        <is>
          <t>ÖSTERSUND</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45533-2025</t>
        </is>
      </c>
      <c r="B525" s="1" t="n">
        <v>45922</v>
      </c>
      <c r="C525" s="1" t="n">
        <v>46066</v>
      </c>
      <c r="D525" t="inlineStr">
        <is>
          <t>JÄMTLANDS LÄN</t>
        </is>
      </c>
      <c r="E525" t="inlineStr">
        <is>
          <t>ÖSTERSUND</t>
        </is>
      </c>
      <c r="F525" t="inlineStr">
        <is>
          <t>Övriga statliga verk och myndigheter</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29128-2022</t>
        </is>
      </c>
      <c r="B526" s="1" t="n">
        <v>44750</v>
      </c>
      <c r="C526" s="1" t="n">
        <v>46066</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14118-2025</t>
        </is>
      </c>
      <c r="B527" s="1" t="n">
        <v>45740.46325231482</v>
      </c>
      <c r="C527" s="1" t="n">
        <v>46066</v>
      </c>
      <c r="D527" t="inlineStr">
        <is>
          <t>JÄMTLANDS LÄN</t>
        </is>
      </c>
      <c r="E527" t="inlineStr">
        <is>
          <t>ÖSTERSUND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44489-2024</t>
        </is>
      </c>
      <c r="B528" s="1" t="n">
        <v>45574.38943287037</v>
      </c>
      <c r="C528" s="1" t="n">
        <v>46066</v>
      </c>
      <c r="D528" t="inlineStr">
        <is>
          <t>JÄMTLANDS LÄN</t>
        </is>
      </c>
      <c r="E528" t="inlineStr">
        <is>
          <t>ÖSTERSUND</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54133-2025</t>
        </is>
      </c>
      <c r="B529" s="1" t="n">
        <v>45964.46944444445</v>
      </c>
      <c r="C529" s="1" t="n">
        <v>46066</v>
      </c>
      <c r="D529" t="inlineStr">
        <is>
          <t>JÄMTLANDS LÄN</t>
        </is>
      </c>
      <c r="E529" t="inlineStr">
        <is>
          <t>ÖSTERSUND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7549-2025</t>
        </is>
      </c>
      <c r="B530" s="1" t="n">
        <v>45705.57454861111</v>
      </c>
      <c r="C530" s="1" t="n">
        <v>46066</v>
      </c>
      <c r="D530" t="inlineStr">
        <is>
          <t>JÄMTLANDS LÄN</t>
        </is>
      </c>
      <c r="E530" t="inlineStr">
        <is>
          <t>ÖSTERSUND</t>
        </is>
      </c>
      <c r="F530" t="inlineStr">
        <is>
          <t>SCA</t>
        </is>
      </c>
      <c r="G530" t="n">
        <v>6.4</v>
      </c>
      <c r="H530" t="n">
        <v>0</v>
      </c>
      <c r="I530" t="n">
        <v>0</v>
      </c>
      <c r="J530" t="n">
        <v>0</v>
      </c>
      <c r="K530" t="n">
        <v>0</v>
      </c>
      <c r="L530" t="n">
        <v>0</v>
      </c>
      <c r="M530" t="n">
        <v>0</v>
      </c>
      <c r="N530" t="n">
        <v>0</v>
      </c>
      <c r="O530" t="n">
        <v>0</v>
      </c>
      <c r="P530" t="n">
        <v>0</v>
      </c>
      <c r="Q530" t="n">
        <v>0</v>
      </c>
      <c r="R530" s="2" t="inlineStr"/>
    </row>
    <row r="531" ht="15" customHeight="1">
      <c r="A531" t="inlineStr">
        <is>
          <t>A 54528-2025</t>
        </is>
      </c>
      <c r="B531" s="1" t="n">
        <v>45965.63496527778</v>
      </c>
      <c r="C531" s="1" t="n">
        <v>46066</v>
      </c>
      <c r="D531" t="inlineStr">
        <is>
          <t>JÄMTLANDS LÄN</t>
        </is>
      </c>
      <c r="E531" t="inlineStr">
        <is>
          <t>ÖSTERSUND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54965-2025</t>
        </is>
      </c>
      <c r="B532" s="1" t="n">
        <v>45967.49037037037</v>
      </c>
      <c r="C532" s="1" t="n">
        <v>46066</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54667-2025</t>
        </is>
      </c>
      <c r="B533" s="1" t="n">
        <v>45966.4077662037</v>
      </c>
      <c r="C533" s="1" t="n">
        <v>46066</v>
      </c>
      <c r="D533" t="inlineStr">
        <is>
          <t>JÄMTLANDS LÄN</t>
        </is>
      </c>
      <c r="E533" t="inlineStr">
        <is>
          <t>ÖSTERSUND</t>
        </is>
      </c>
      <c r="G533" t="n">
        <v>6.8</v>
      </c>
      <c r="H533" t="n">
        <v>0</v>
      </c>
      <c r="I533" t="n">
        <v>0</v>
      </c>
      <c r="J533" t="n">
        <v>0</v>
      </c>
      <c r="K533" t="n">
        <v>0</v>
      </c>
      <c r="L533" t="n">
        <v>0</v>
      </c>
      <c r="M533" t="n">
        <v>0</v>
      </c>
      <c r="N533" t="n">
        <v>0</v>
      </c>
      <c r="O533" t="n">
        <v>0</v>
      </c>
      <c r="P533" t="n">
        <v>0</v>
      </c>
      <c r="Q533" t="n">
        <v>0</v>
      </c>
      <c r="R533" s="2" t="inlineStr"/>
    </row>
    <row r="534" ht="15" customHeight="1">
      <c r="A534" t="inlineStr">
        <is>
          <t>A 54931-2025</t>
        </is>
      </c>
      <c r="B534" s="1" t="n">
        <v>45967.42462962963</v>
      </c>
      <c r="C534" s="1" t="n">
        <v>46066</v>
      </c>
      <c r="D534" t="inlineStr">
        <is>
          <t>JÄMTLANDS LÄN</t>
        </is>
      </c>
      <c r="E534" t="inlineStr">
        <is>
          <t>ÖSTERSUND</t>
        </is>
      </c>
      <c r="G534" t="n">
        <v>7.1</v>
      </c>
      <c r="H534" t="n">
        <v>0</v>
      </c>
      <c r="I534" t="n">
        <v>0</v>
      </c>
      <c r="J534" t="n">
        <v>0</v>
      </c>
      <c r="K534" t="n">
        <v>0</v>
      </c>
      <c r="L534" t="n">
        <v>0</v>
      </c>
      <c r="M534" t="n">
        <v>0</v>
      </c>
      <c r="N534" t="n">
        <v>0</v>
      </c>
      <c r="O534" t="n">
        <v>0</v>
      </c>
      <c r="P534" t="n">
        <v>0</v>
      </c>
      <c r="Q534" t="n">
        <v>0</v>
      </c>
      <c r="R534" s="2" t="inlineStr"/>
    </row>
    <row r="535" ht="15" customHeight="1">
      <c r="A535" t="inlineStr">
        <is>
          <t>A 14523-2023</t>
        </is>
      </c>
      <c r="B535" s="1" t="n">
        <v>45012</v>
      </c>
      <c r="C535" s="1" t="n">
        <v>46066</v>
      </c>
      <c r="D535" t="inlineStr">
        <is>
          <t>JÄMTLANDS LÄN</t>
        </is>
      </c>
      <c r="E535" t="inlineStr">
        <is>
          <t>ÖSTERSUND</t>
        </is>
      </c>
      <c r="G535" t="n">
        <v>4.5</v>
      </c>
      <c r="H535" t="n">
        <v>0</v>
      </c>
      <c r="I535" t="n">
        <v>0</v>
      </c>
      <c r="J535" t="n">
        <v>0</v>
      </c>
      <c r="K535" t="n">
        <v>0</v>
      </c>
      <c r="L535" t="n">
        <v>0</v>
      </c>
      <c r="M535" t="n">
        <v>0</v>
      </c>
      <c r="N535" t="n">
        <v>0</v>
      </c>
      <c r="O535" t="n">
        <v>0</v>
      </c>
      <c r="P535" t="n">
        <v>0</v>
      </c>
      <c r="Q535" t="n">
        <v>0</v>
      </c>
      <c r="R535" s="2" t="inlineStr"/>
    </row>
    <row r="536" ht="15" customHeight="1">
      <c r="A536" t="inlineStr">
        <is>
          <t>A 55179-2025</t>
        </is>
      </c>
      <c r="B536" s="1" t="n">
        <v>45968.53167824074</v>
      </c>
      <c r="C536" s="1" t="n">
        <v>46066</v>
      </c>
      <c r="D536" t="inlineStr">
        <is>
          <t>JÄMTLANDS LÄN</t>
        </is>
      </c>
      <c r="E536" t="inlineStr">
        <is>
          <t>ÖSTERSUND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1159-2024</t>
        </is>
      </c>
      <c r="B537" s="1" t="n">
        <v>45302.52006944444</v>
      </c>
      <c r="C537" s="1" t="n">
        <v>46066</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15669-2025</t>
        </is>
      </c>
      <c r="B538" s="1" t="n">
        <v>45748.4396412037</v>
      </c>
      <c r="C538" s="1" t="n">
        <v>46066</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3122-2025</t>
        </is>
      </c>
      <c r="B539" s="1" t="n">
        <v>45678</v>
      </c>
      <c r="C539" s="1" t="n">
        <v>46066</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56165-2025</t>
        </is>
      </c>
      <c r="B540" s="1" t="n">
        <v>45974.38310185185</v>
      </c>
      <c r="C540" s="1" t="n">
        <v>46066</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44911.5662037037</v>
      </c>
      <c r="C541" s="1" t="n">
        <v>46066</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53060-2024</t>
        </is>
      </c>
      <c r="B542" s="1" t="n">
        <v>45611.46912037037</v>
      </c>
      <c r="C542" s="1" t="n">
        <v>46066</v>
      </c>
      <c r="D542" t="inlineStr">
        <is>
          <t>JÄMTLANDS LÄN</t>
        </is>
      </c>
      <c r="E542" t="inlineStr">
        <is>
          <t>ÖSTERSUND</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23555-2022</t>
        </is>
      </c>
      <c r="B543" s="1" t="n">
        <v>44721</v>
      </c>
      <c r="C543" s="1" t="n">
        <v>46066</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54237-2024</t>
        </is>
      </c>
      <c r="B544" s="1" t="n">
        <v>45616.67833333334</v>
      </c>
      <c r="C544" s="1" t="n">
        <v>46066</v>
      </c>
      <c r="D544" t="inlineStr">
        <is>
          <t>JÄMTLANDS LÄN</t>
        </is>
      </c>
      <c r="E544" t="inlineStr">
        <is>
          <t>ÖSTERSUND</t>
        </is>
      </c>
      <c r="F544" t="inlineStr">
        <is>
          <t>SCA</t>
        </is>
      </c>
      <c r="G544" t="n">
        <v>8.9</v>
      </c>
      <c r="H544" t="n">
        <v>0</v>
      </c>
      <c r="I544" t="n">
        <v>0</v>
      </c>
      <c r="J544" t="n">
        <v>0</v>
      </c>
      <c r="K544" t="n">
        <v>0</v>
      </c>
      <c r="L544" t="n">
        <v>0</v>
      </c>
      <c r="M544" t="n">
        <v>0</v>
      </c>
      <c r="N544" t="n">
        <v>0</v>
      </c>
      <c r="O544" t="n">
        <v>0</v>
      </c>
      <c r="P544" t="n">
        <v>0</v>
      </c>
      <c r="Q544" t="n">
        <v>0</v>
      </c>
      <c r="R544" s="2" t="inlineStr"/>
    </row>
    <row r="545" ht="15" customHeight="1">
      <c r="A545" t="inlineStr">
        <is>
          <t>A 56903-2025</t>
        </is>
      </c>
      <c r="B545" s="1" t="n">
        <v>45978.57414351852</v>
      </c>
      <c r="C545" s="1" t="n">
        <v>46066</v>
      </c>
      <c r="D545" t="inlineStr">
        <is>
          <t>JÄMTLANDS LÄN</t>
        </is>
      </c>
      <c r="E545" t="inlineStr">
        <is>
          <t>ÖSTERSUND</t>
        </is>
      </c>
      <c r="G545" t="n">
        <v>3</v>
      </c>
      <c r="H545" t="n">
        <v>0</v>
      </c>
      <c r="I545" t="n">
        <v>0</v>
      </c>
      <c r="J545" t="n">
        <v>0</v>
      </c>
      <c r="K545" t="n">
        <v>0</v>
      </c>
      <c r="L545" t="n">
        <v>0</v>
      </c>
      <c r="M545" t="n">
        <v>0</v>
      </c>
      <c r="N545" t="n">
        <v>0</v>
      </c>
      <c r="O545" t="n">
        <v>0</v>
      </c>
      <c r="P545" t="n">
        <v>0</v>
      </c>
      <c r="Q545" t="n">
        <v>0</v>
      </c>
      <c r="R545" s="2" t="inlineStr"/>
    </row>
    <row r="546" ht="15" customHeight="1">
      <c r="A546" t="inlineStr">
        <is>
          <t>A 56690-2025</t>
        </is>
      </c>
      <c r="B546" s="1" t="n">
        <v>45976.58684027778</v>
      </c>
      <c r="C546" s="1" t="n">
        <v>46066</v>
      </c>
      <c r="D546" t="inlineStr">
        <is>
          <t>JÄMTLANDS LÄN</t>
        </is>
      </c>
      <c r="E546" t="inlineStr">
        <is>
          <t>ÖSTERSUND</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296-2023</t>
        </is>
      </c>
      <c r="B547" s="1" t="n">
        <v>44922</v>
      </c>
      <c r="C547" s="1" t="n">
        <v>46066</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17732-2022</t>
        </is>
      </c>
      <c r="B548" s="1" t="n">
        <v>44680.92873842592</v>
      </c>
      <c r="C548" s="1" t="n">
        <v>46066</v>
      </c>
      <c r="D548" t="inlineStr">
        <is>
          <t>JÄMTLANDS LÄN</t>
        </is>
      </c>
      <c r="E548" t="inlineStr">
        <is>
          <t>ÖSTERSUND</t>
        </is>
      </c>
      <c r="G548" t="n">
        <v>5.4</v>
      </c>
      <c r="H548" t="n">
        <v>0</v>
      </c>
      <c r="I548" t="n">
        <v>0</v>
      </c>
      <c r="J548" t="n">
        <v>0</v>
      </c>
      <c r="K548" t="n">
        <v>0</v>
      </c>
      <c r="L548" t="n">
        <v>0</v>
      </c>
      <c r="M548" t="n">
        <v>0</v>
      </c>
      <c r="N548" t="n">
        <v>0</v>
      </c>
      <c r="O548" t="n">
        <v>0</v>
      </c>
      <c r="P548" t="n">
        <v>0</v>
      </c>
      <c r="Q548" t="n">
        <v>0</v>
      </c>
      <c r="R548" s="2" t="inlineStr"/>
    </row>
    <row r="549" ht="15" customHeight="1">
      <c r="A549" t="inlineStr">
        <is>
          <t>A 57589-2024</t>
        </is>
      </c>
      <c r="B549" s="1" t="n">
        <v>45630.49710648148</v>
      </c>
      <c r="C549" s="1" t="n">
        <v>46066</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57513-2025</t>
        </is>
      </c>
      <c r="B550" s="1" t="n">
        <v>45980.61142361111</v>
      </c>
      <c r="C550" s="1" t="n">
        <v>46066</v>
      </c>
      <c r="D550" t="inlineStr">
        <is>
          <t>JÄMTLANDS LÄN</t>
        </is>
      </c>
      <c r="E550" t="inlineStr">
        <is>
          <t>ÖSTERSUND</t>
        </is>
      </c>
      <c r="G550" t="n">
        <v>3.8</v>
      </c>
      <c r="H550" t="n">
        <v>0</v>
      </c>
      <c r="I550" t="n">
        <v>0</v>
      </c>
      <c r="J550" t="n">
        <v>0</v>
      </c>
      <c r="K550" t="n">
        <v>0</v>
      </c>
      <c r="L550" t="n">
        <v>0</v>
      </c>
      <c r="M550" t="n">
        <v>0</v>
      </c>
      <c r="N550" t="n">
        <v>0</v>
      </c>
      <c r="O550" t="n">
        <v>0</v>
      </c>
      <c r="P550" t="n">
        <v>0</v>
      </c>
      <c r="Q550" t="n">
        <v>0</v>
      </c>
      <c r="R550" s="2" t="inlineStr"/>
    </row>
    <row r="551" ht="15" customHeight="1">
      <c r="A551" t="inlineStr">
        <is>
          <t>A 31040-2021</t>
        </is>
      </c>
      <c r="B551" s="1" t="n">
        <v>44368</v>
      </c>
      <c r="C551" s="1" t="n">
        <v>46066</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55678-2023</t>
        </is>
      </c>
      <c r="B552" s="1" t="n">
        <v>45239.33032407407</v>
      </c>
      <c r="C552" s="1" t="n">
        <v>46066</v>
      </c>
      <c r="D552" t="inlineStr">
        <is>
          <t>JÄMTLANDS LÄN</t>
        </is>
      </c>
      <c r="E552" t="inlineStr">
        <is>
          <t>ÖSTERSUND</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58122-2025</t>
        </is>
      </c>
      <c r="B553" s="1" t="n">
        <v>45982.61043981482</v>
      </c>
      <c r="C553" s="1" t="n">
        <v>46066</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58099-2025</t>
        </is>
      </c>
      <c r="B554" s="1" t="n">
        <v>45982.5862037037</v>
      </c>
      <c r="C554" s="1" t="n">
        <v>46066</v>
      </c>
      <c r="D554" t="inlineStr">
        <is>
          <t>JÄMTLANDS LÄN</t>
        </is>
      </c>
      <c r="E554" t="inlineStr">
        <is>
          <t>ÖSTERSUND</t>
        </is>
      </c>
      <c r="G554" t="n">
        <v>6.1</v>
      </c>
      <c r="H554" t="n">
        <v>0</v>
      </c>
      <c r="I554" t="n">
        <v>0</v>
      </c>
      <c r="J554" t="n">
        <v>0</v>
      </c>
      <c r="K554" t="n">
        <v>0</v>
      </c>
      <c r="L554" t="n">
        <v>0</v>
      </c>
      <c r="M554" t="n">
        <v>0</v>
      </c>
      <c r="N554" t="n">
        <v>0</v>
      </c>
      <c r="O554" t="n">
        <v>0</v>
      </c>
      <c r="P554" t="n">
        <v>0</v>
      </c>
      <c r="Q554" t="n">
        <v>0</v>
      </c>
      <c r="R554" s="2" t="inlineStr"/>
    </row>
    <row r="555" ht="15" customHeight="1">
      <c r="A555" t="inlineStr">
        <is>
          <t>A 379-2026</t>
        </is>
      </c>
      <c r="B555" s="1" t="n">
        <v>46027.7344212963</v>
      </c>
      <c r="C555" s="1" t="n">
        <v>46066</v>
      </c>
      <c r="D555" t="inlineStr">
        <is>
          <t>JÄMTLANDS LÄN</t>
        </is>
      </c>
      <c r="E555" t="inlineStr">
        <is>
          <t>ÖSTERSUND</t>
        </is>
      </c>
      <c r="G555" t="n">
        <v>5.6</v>
      </c>
      <c r="H555" t="n">
        <v>0</v>
      </c>
      <c r="I555" t="n">
        <v>0</v>
      </c>
      <c r="J555" t="n">
        <v>0</v>
      </c>
      <c r="K555" t="n">
        <v>0</v>
      </c>
      <c r="L555" t="n">
        <v>0</v>
      </c>
      <c r="M555" t="n">
        <v>0</v>
      </c>
      <c r="N555" t="n">
        <v>0</v>
      </c>
      <c r="O555" t="n">
        <v>0</v>
      </c>
      <c r="P555" t="n">
        <v>0</v>
      </c>
      <c r="Q555" t="n">
        <v>0</v>
      </c>
      <c r="R555" s="2" t="inlineStr"/>
    </row>
    <row r="556" ht="15" customHeight="1">
      <c r="A556" t="inlineStr">
        <is>
          <t>A 58440-2025</t>
        </is>
      </c>
      <c r="B556" s="1" t="n">
        <v>45985.61524305555</v>
      </c>
      <c r="C556" s="1" t="n">
        <v>46066</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58354-2025</t>
        </is>
      </c>
      <c r="B557" s="1" t="n">
        <v>45985.51131944444</v>
      </c>
      <c r="C557" s="1" t="n">
        <v>46066</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58353-2025</t>
        </is>
      </c>
      <c r="B558" s="1" t="n">
        <v>45985.51128472222</v>
      </c>
      <c r="C558" s="1" t="n">
        <v>46066</v>
      </c>
      <c r="D558" t="inlineStr">
        <is>
          <t>JÄMTLANDS LÄN</t>
        </is>
      </c>
      <c r="E558" t="inlineStr">
        <is>
          <t>ÖSTERSUND</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318-2026</t>
        </is>
      </c>
      <c r="B559" s="1" t="n">
        <v>46027.57334490741</v>
      </c>
      <c r="C559" s="1" t="n">
        <v>46066</v>
      </c>
      <c r="D559" t="inlineStr">
        <is>
          <t>JÄMTLANDS LÄN</t>
        </is>
      </c>
      <c r="E559" t="inlineStr">
        <is>
          <t>ÖSTERSUND</t>
        </is>
      </c>
      <c r="G559" t="n">
        <v>2</v>
      </c>
      <c r="H559" t="n">
        <v>0</v>
      </c>
      <c r="I559" t="n">
        <v>0</v>
      </c>
      <c r="J559" t="n">
        <v>0</v>
      </c>
      <c r="K559" t="n">
        <v>0</v>
      </c>
      <c r="L559" t="n">
        <v>0</v>
      </c>
      <c r="M559" t="n">
        <v>0</v>
      </c>
      <c r="N559" t="n">
        <v>0</v>
      </c>
      <c r="O559" t="n">
        <v>0</v>
      </c>
      <c r="P559" t="n">
        <v>0</v>
      </c>
      <c r="Q559" t="n">
        <v>0</v>
      </c>
      <c r="R559" s="2" t="inlineStr"/>
    </row>
    <row r="560" ht="15" customHeight="1">
      <c r="A560" t="inlineStr">
        <is>
          <t>A 58373-2025</t>
        </is>
      </c>
      <c r="B560" s="1" t="n">
        <v>45985.53162037037</v>
      </c>
      <c r="C560" s="1" t="n">
        <v>46066</v>
      </c>
      <c r="D560" t="inlineStr">
        <is>
          <t>JÄMTLANDS LÄN</t>
        </is>
      </c>
      <c r="E560" t="inlineStr">
        <is>
          <t>ÖSTERSUND</t>
        </is>
      </c>
      <c r="G560" t="n">
        <v>1.1</v>
      </c>
      <c r="H560" t="n">
        <v>0</v>
      </c>
      <c r="I560" t="n">
        <v>0</v>
      </c>
      <c r="J560" t="n">
        <v>0</v>
      </c>
      <c r="K560" t="n">
        <v>0</v>
      </c>
      <c r="L560" t="n">
        <v>0</v>
      </c>
      <c r="M560" t="n">
        <v>0</v>
      </c>
      <c r="N560" t="n">
        <v>0</v>
      </c>
      <c r="O560" t="n">
        <v>0</v>
      </c>
      <c r="P560" t="n">
        <v>0</v>
      </c>
      <c r="Q560" t="n">
        <v>0</v>
      </c>
      <c r="R560" s="2" t="inlineStr"/>
    </row>
    <row r="561" ht="15" customHeight="1">
      <c r="A561" t="inlineStr">
        <is>
          <t>A 330-2026</t>
        </is>
      </c>
      <c r="B561" s="1" t="n">
        <v>46027.59451388889</v>
      </c>
      <c r="C561" s="1" t="n">
        <v>46066</v>
      </c>
      <c r="D561" t="inlineStr">
        <is>
          <t>JÄMTLANDS LÄN</t>
        </is>
      </c>
      <c r="E561" t="inlineStr">
        <is>
          <t>ÖSTERSUND</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15659-2021</t>
        </is>
      </c>
      <c r="B562" s="1" t="n">
        <v>44298</v>
      </c>
      <c r="C562" s="1" t="n">
        <v>46066</v>
      </c>
      <c r="D562" t="inlineStr">
        <is>
          <t>JÄMTLANDS LÄN</t>
        </is>
      </c>
      <c r="E562" t="inlineStr">
        <is>
          <t>ÖSTERSUND</t>
        </is>
      </c>
      <c r="G562" t="n">
        <v>13.3</v>
      </c>
      <c r="H562" t="n">
        <v>0</v>
      </c>
      <c r="I562" t="n">
        <v>0</v>
      </c>
      <c r="J562" t="n">
        <v>0</v>
      </c>
      <c r="K562" t="n">
        <v>0</v>
      </c>
      <c r="L562" t="n">
        <v>0</v>
      </c>
      <c r="M562" t="n">
        <v>0</v>
      </c>
      <c r="N562" t="n">
        <v>0</v>
      </c>
      <c r="O562" t="n">
        <v>0</v>
      </c>
      <c r="P562" t="n">
        <v>0</v>
      </c>
      <c r="Q562" t="n">
        <v>0</v>
      </c>
      <c r="R562" s="2" t="inlineStr"/>
    </row>
    <row r="563" ht="15" customHeight="1">
      <c r="A563" t="inlineStr">
        <is>
          <t>A 58917-2025</t>
        </is>
      </c>
      <c r="B563" s="1" t="n">
        <v>45987.52949074074</v>
      </c>
      <c r="C563" s="1" t="n">
        <v>46066</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58818-2025</t>
        </is>
      </c>
      <c r="B564" s="1" t="n">
        <v>45987.33479166667</v>
      </c>
      <c r="C564" s="1" t="n">
        <v>46066</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58824-2025</t>
        </is>
      </c>
      <c r="B565" s="1" t="n">
        <v>45987.34543981482</v>
      </c>
      <c r="C565" s="1" t="n">
        <v>46066</v>
      </c>
      <c r="D565" t="inlineStr">
        <is>
          <t>JÄMTLANDS LÄN</t>
        </is>
      </c>
      <c r="E565" t="inlineStr">
        <is>
          <t>ÖSTERSUND</t>
        </is>
      </c>
      <c r="G565" t="n">
        <v>3.2</v>
      </c>
      <c r="H565" t="n">
        <v>0</v>
      </c>
      <c r="I565" t="n">
        <v>0</v>
      </c>
      <c r="J565" t="n">
        <v>0</v>
      </c>
      <c r="K565" t="n">
        <v>0</v>
      </c>
      <c r="L565" t="n">
        <v>0</v>
      </c>
      <c r="M565" t="n">
        <v>0</v>
      </c>
      <c r="N565" t="n">
        <v>0</v>
      </c>
      <c r="O565" t="n">
        <v>0</v>
      </c>
      <c r="P565" t="n">
        <v>0</v>
      </c>
      <c r="Q565" t="n">
        <v>0</v>
      </c>
      <c r="R565" s="2" t="inlineStr"/>
    </row>
    <row r="566" ht="15" customHeight="1">
      <c r="A566" t="inlineStr">
        <is>
          <t>A 56847-2024</t>
        </is>
      </c>
      <c r="B566" s="1" t="n">
        <v>45628.53381944444</v>
      </c>
      <c r="C566" s="1" t="n">
        <v>46066</v>
      </c>
      <c r="D566" t="inlineStr">
        <is>
          <t>JÄMTLANDS LÄN</t>
        </is>
      </c>
      <c r="E566" t="inlineStr">
        <is>
          <t>ÖSTERSUND</t>
        </is>
      </c>
      <c r="G566" t="n">
        <v>1.4</v>
      </c>
      <c r="H566" t="n">
        <v>0</v>
      </c>
      <c r="I566" t="n">
        <v>0</v>
      </c>
      <c r="J566" t="n">
        <v>0</v>
      </c>
      <c r="K566" t="n">
        <v>0</v>
      </c>
      <c r="L566" t="n">
        <v>0</v>
      </c>
      <c r="M566" t="n">
        <v>0</v>
      </c>
      <c r="N566" t="n">
        <v>0</v>
      </c>
      <c r="O566" t="n">
        <v>0</v>
      </c>
      <c r="P566" t="n">
        <v>0</v>
      </c>
      <c r="Q566" t="n">
        <v>0</v>
      </c>
      <c r="R566" s="2" t="inlineStr"/>
    </row>
    <row r="567" ht="15" customHeight="1">
      <c r="A567" t="inlineStr">
        <is>
          <t>A 58583-2025</t>
        </is>
      </c>
      <c r="B567" s="1" t="n">
        <v>45986.39024305555</v>
      </c>
      <c r="C567" s="1" t="n">
        <v>46066</v>
      </c>
      <c r="D567" t="inlineStr">
        <is>
          <t>JÄMTLANDS LÄN</t>
        </is>
      </c>
      <c r="E567" t="inlineStr">
        <is>
          <t>ÖSTERSUND</t>
        </is>
      </c>
      <c r="G567" t="n">
        <v>43.1</v>
      </c>
      <c r="H567" t="n">
        <v>0</v>
      </c>
      <c r="I567" t="n">
        <v>0</v>
      </c>
      <c r="J567" t="n">
        <v>0</v>
      </c>
      <c r="K567" t="n">
        <v>0</v>
      </c>
      <c r="L567" t="n">
        <v>0</v>
      </c>
      <c r="M567" t="n">
        <v>0</v>
      </c>
      <c r="N567" t="n">
        <v>0</v>
      </c>
      <c r="O567" t="n">
        <v>0</v>
      </c>
      <c r="P567" t="n">
        <v>0</v>
      </c>
      <c r="Q567" t="n">
        <v>0</v>
      </c>
      <c r="R567" s="2" t="inlineStr"/>
    </row>
    <row r="568" ht="15" customHeight="1">
      <c r="A568" t="inlineStr">
        <is>
          <t>A 19323-2024</t>
        </is>
      </c>
      <c r="B568" s="1" t="n">
        <v>45428.92486111111</v>
      </c>
      <c r="C568" s="1" t="n">
        <v>46066</v>
      </c>
      <c r="D568" t="inlineStr">
        <is>
          <t>JÄMTLANDS LÄN</t>
        </is>
      </c>
      <c r="E568" t="inlineStr">
        <is>
          <t>ÖSTERSUND</t>
        </is>
      </c>
      <c r="F568" t="inlineStr">
        <is>
          <t>Kommuner</t>
        </is>
      </c>
      <c r="G568" t="n">
        <v>0.2</v>
      </c>
      <c r="H568" t="n">
        <v>0</v>
      </c>
      <c r="I568" t="n">
        <v>0</v>
      </c>
      <c r="J568" t="n">
        <v>0</v>
      </c>
      <c r="K568" t="n">
        <v>0</v>
      </c>
      <c r="L568" t="n">
        <v>0</v>
      </c>
      <c r="M568" t="n">
        <v>0</v>
      </c>
      <c r="N568" t="n">
        <v>0</v>
      </c>
      <c r="O568" t="n">
        <v>0</v>
      </c>
      <c r="P568" t="n">
        <v>0</v>
      </c>
      <c r="Q568" t="n">
        <v>0</v>
      </c>
      <c r="R568" s="2" t="inlineStr"/>
    </row>
    <row r="569" ht="15" customHeight="1">
      <c r="A569" t="inlineStr">
        <is>
          <t>A 7005-2025</t>
        </is>
      </c>
      <c r="B569" s="1" t="n">
        <v>45701.60046296296</v>
      </c>
      <c r="C569" s="1" t="n">
        <v>46066</v>
      </c>
      <c r="D569" t="inlineStr">
        <is>
          <t>JÄMTLANDS LÄN</t>
        </is>
      </c>
      <c r="E569" t="inlineStr">
        <is>
          <t>ÖSTERSUND</t>
        </is>
      </c>
      <c r="G569" t="n">
        <v>3.3</v>
      </c>
      <c r="H569" t="n">
        <v>0</v>
      </c>
      <c r="I569" t="n">
        <v>0</v>
      </c>
      <c r="J569" t="n">
        <v>0</v>
      </c>
      <c r="K569" t="n">
        <v>0</v>
      </c>
      <c r="L569" t="n">
        <v>0</v>
      </c>
      <c r="M569" t="n">
        <v>0</v>
      </c>
      <c r="N569" t="n">
        <v>0</v>
      </c>
      <c r="O569" t="n">
        <v>0</v>
      </c>
      <c r="P569" t="n">
        <v>0</v>
      </c>
      <c r="Q569" t="n">
        <v>0</v>
      </c>
      <c r="R569" s="2" t="inlineStr"/>
    </row>
    <row r="570" ht="15" customHeight="1">
      <c r="A570" t="inlineStr">
        <is>
          <t>A 485-2026</t>
        </is>
      </c>
      <c r="B570" s="1" t="n">
        <v>46029.41560185186</v>
      </c>
      <c r="C570" s="1" t="n">
        <v>46066</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623-2026</t>
        </is>
      </c>
      <c r="B571" s="1" t="n">
        <v>46024</v>
      </c>
      <c r="C571" s="1" t="n">
        <v>46066</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59188-2025</t>
        </is>
      </c>
      <c r="B572" s="1" t="n">
        <v>45988.58856481482</v>
      </c>
      <c r="C572" s="1" t="n">
        <v>46066</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27294-2023</t>
        </is>
      </c>
      <c r="B573" s="1" t="n">
        <v>45092</v>
      </c>
      <c r="C573" s="1" t="n">
        <v>46066</v>
      </c>
      <c r="D573" t="inlineStr">
        <is>
          <t>JÄMTLANDS LÄN</t>
        </is>
      </c>
      <c r="E573" t="inlineStr">
        <is>
          <t>ÖSTERSUND</t>
        </is>
      </c>
      <c r="G573" t="n">
        <v>2.8</v>
      </c>
      <c r="H573" t="n">
        <v>0</v>
      </c>
      <c r="I573" t="n">
        <v>0</v>
      </c>
      <c r="J573" t="n">
        <v>0</v>
      </c>
      <c r="K573" t="n">
        <v>0</v>
      </c>
      <c r="L573" t="n">
        <v>0</v>
      </c>
      <c r="M573" t="n">
        <v>0</v>
      </c>
      <c r="N573" t="n">
        <v>0</v>
      </c>
      <c r="O573" t="n">
        <v>0</v>
      </c>
      <c r="P573" t="n">
        <v>0</v>
      </c>
      <c r="Q573" t="n">
        <v>0</v>
      </c>
      <c r="R573" s="2" t="inlineStr"/>
    </row>
    <row r="574" ht="15" customHeight="1">
      <c r="A574" t="inlineStr">
        <is>
          <t>A 8389-2025</t>
        </is>
      </c>
      <c r="B574" s="1" t="n">
        <v>45709.36497685185</v>
      </c>
      <c r="C574" s="1" t="n">
        <v>46066</v>
      </c>
      <c r="D574" t="inlineStr">
        <is>
          <t>JÄMTLANDS LÄN</t>
        </is>
      </c>
      <c r="E574" t="inlineStr">
        <is>
          <t>ÖSTERSUND</t>
        </is>
      </c>
      <c r="F574" t="inlineStr">
        <is>
          <t>SCA</t>
        </is>
      </c>
      <c r="G574" t="n">
        <v>6.3</v>
      </c>
      <c r="H574" t="n">
        <v>0</v>
      </c>
      <c r="I574" t="n">
        <v>0</v>
      </c>
      <c r="J574" t="n">
        <v>0</v>
      </c>
      <c r="K574" t="n">
        <v>0</v>
      </c>
      <c r="L574" t="n">
        <v>0</v>
      </c>
      <c r="M574" t="n">
        <v>0</v>
      </c>
      <c r="N574" t="n">
        <v>0</v>
      </c>
      <c r="O574" t="n">
        <v>0</v>
      </c>
      <c r="P574" t="n">
        <v>0</v>
      </c>
      <c r="Q574" t="n">
        <v>0</v>
      </c>
      <c r="R574" s="2" t="inlineStr"/>
    </row>
    <row r="575" ht="15" customHeight="1">
      <c r="A575" t="inlineStr">
        <is>
          <t>A 59015-2025</t>
        </is>
      </c>
      <c r="B575" s="1" t="n">
        <v>45987.83457175926</v>
      </c>
      <c r="C575" s="1" t="n">
        <v>46066</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1374-2026</t>
        </is>
      </c>
      <c r="B576" s="1" t="n">
        <v>46031.6141087963</v>
      </c>
      <c r="C576" s="1" t="n">
        <v>46066</v>
      </c>
      <c r="D576" t="inlineStr">
        <is>
          <t>JÄMTLANDS LÄN</t>
        </is>
      </c>
      <c r="E576" t="inlineStr">
        <is>
          <t>ÖSTERSUND</t>
        </is>
      </c>
      <c r="G576" t="n">
        <v>2.7</v>
      </c>
      <c r="H576" t="n">
        <v>0</v>
      </c>
      <c r="I576" t="n">
        <v>0</v>
      </c>
      <c r="J576" t="n">
        <v>0</v>
      </c>
      <c r="K576" t="n">
        <v>0</v>
      </c>
      <c r="L576" t="n">
        <v>0</v>
      </c>
      <c r="M576" t="n">
        <v>0</v>
      </c>
      <c r="N576" t="n">
        <v>0</v>
      </c>
      <c r="O576" t="n">
        <v>0</v>
      </c>
      <c r="P576" t="n">
        <v>0</v>
      </c>
      <c r="Q576" t="n">
        <v>0</v>
      </c>
      <c r="R576" s="2" t="inlineStr"/>
    </row>
    <row r="577" ht="15" customHeight="1">
      <c r="A577" t="inlineStr">
        <is>
          <t>A 59007-2025</t>
        </is>
      </c>
      <c r="B577" s="1" t="n">
        <v>45987.69552083333</v>
      </c>
      <c r="C577" s="1" t="n">
        <v>46066</v>
      </c>
      <c r="D577" t="inlineStr">
        <is>
          <t>JÄMTLANDS LÄN</t>
        </is>
      </c>
      <c r="E577" t="inlineStr">
        <is>
          <t>ÖSTERSUND</t>
        </is>
      </c>
      <c r="G577" t="n">
        <v>4</v>
      </c>
      <c r="H577" t="n">
        <v>0</v>
      </c>
      <c r="I577" t="n">
        <v>0</v>
      </c>
      <c r="J577" t="n">
        <v>0</v>
      </c>
      <c r="K577" t="n">
        <v>0</v>
      </c>
      <c r="L577" t="n">
        <v>0</v>
      </c>
      <c r="M577" t="n">
        <v>0</v>
      </c>
      <c r="N577" t="n">
        <v>0</v>
      </c>
      <c r="O577" t="n">
        <v>0</v>
      </c>
      <c r="P577" t="n">
        <v>0</v>
      </c>
      <c r="Q577" t="n">
        <v>0</v>
      </c>
      <c r="R577" s="2" t="inlineStr"/>
    </row>
    <row r="578" ht="15" customHeight="1">
      <c r="A578" t="inlineStr">
        <is>
          <t>A 59619-2025</t>
        </is>
      </c>
      <c r="B578" s="1" t="n">
        <v>45992.38109953704</v>
      </c>
      <c r="C578" s="1" t="n">
        <v>46066</v>
      </c>
      <c r="D578" t="inlineStr">
        <is>
          <t>JÄMTLANDS LÄN</t>
        </is>
      </c>
      <c r="E578" t="inlineStr">
        <is>
          <t>ÖSTERSUND</t>
        </is>
      </c>
      <c r="G578" t="n">
        <v>3.6</v>
      </c>
      <c r="H578" t="n">
        <v>0</v>
      </c>
      <c r="I578" t="n">
        <v>0</v>
      </c>
      <c r="J578" t="n">
        <v>0</v>
      </c>
      <c r="K578" t="n">
        <v>0</v>
      </c>
      <c r="L578" t="n">
        <v>0</v>
      </c>
      <c r="M578" t="n">
        <v>0</v>
      </c>
      <c r="N578" t="n">
        <v>0</v>
      </c>
      <c r="O578" t="n">
        <v>0</v>
      </c>
      <c r="P578" t="n">
        <v>0</v>
      </c>
      <c r="Q578" t="n">
        <v>0</v>
      </c>
      <c r="R578" s="2" t="inlineStr"/>
    </row>
    <row r="579" ht="15" customHeight="1">
      <c r="A579" t="inlineStr">
        <is>
          <t>A 59612-2025</t>
        </is>
      </c>
      <c r="B579" s="1" t="n">
        <v>45992.3706712963</v>
      </c>
      <c r="C579" s="1" t="n">
        <v>46066</v>
      </c>
      <c r="D579" t="inlineStr">
        <is>
          <t>JÄMTLANDS LÄN</t>
        </is>
      </c>
      <c r="E579" t="inlineStr">
        <is>
          <t>ÖSTERSUND</t>
        </is>
      </c>
      <c r="G579" t="n">
        <v>2.3</v>
      </c>
      <c r="H579" t="n">
        <v>0</v>
      </c>
      <c r="I579" t="n">
        <v>0</v>
      </c>
      <c r="J579" t="n">
        <v>0</v>
      </c>
      <c r="K579" t="n">
        <v>0</v>
      </c>
      <c r="L579" t="n">
        <v>0</v>
      </c>
      <c r="M579" t="n">
        <v>0</v>
      </c>
      <c r="N579" t="n">
        <v>0</v>
      </c>
      <c r="O579" t="n">
        <v>0</v>
      </c>
      <c r="P579" t="n">
        <v>0</v>
      </c>
      <c r="Q579" t="n">
        <v>0</v>
      </c>
      <c r="R579" s="2" t="inlineStr"/>
    </row>
    <row r="580" ht="15" customHeight="1">
      <c r="A580" t="inlineStr">
        <is>
          <t>A 59687-2025</t>
        </is>
      </c>
      <c r="B580" s="1" t="n">
        <v>45992.47729166667</v>
      </c>
      <c r="C580" s="1" t="n">
        <v>46066</v>
      </c>
      <c r="D580" t="inlineStr">
        <is>
          <t>JÄMTLANDS LÄN</t>
        </is>
      </c>
      <c r="E580" t="inlineStr">
        <is>
          <t>ÖSTERSUND</t>
        </is>
      </c>
      <c r="G580" t="n">
        <v>5</v>
      </c>
      <c r="H580" t="n">
        <v>0</v>
      </c>
      <c r="I580" t="n">
        <v>0</v>
      </c>
      <c r="J580" t="n">
        <v>0</v>
      </c>
      <c r="K580" t="n">
        <v>0</v>
      </c>
      <c r="L580" t="n">
        <v>0</v>
      </c>
      <c r="M580" t="n">
        <v>0</v>
      </c>
      <c r="N580" t="n">
        <v>0</v>
      </c>
      <c r="O580" t="n">
        <v>0</v>
      </c>
      <c r="P580" t="n">
        <v>0</v>
      </c>
      <c r="Q580" t="n">
        <v>0</v>
      </c>
      <c r="R580" s="2" t="inlineStr"/>
    </row>
    <row r="581" ht="15" customHeight="1">
      <c r="A581" t="inlineStr">
        <is>
          <t>A 17570-2025</t>
        </is>
      </c>
      <c r="B581" s="1" t="n">
        <v>45757.64563657407</v>
      </c>
      <c r="C581" s="1" t="n">
        <v>46066</v>
      </c>
      <c r="D581" t="inlineStr">
        <is>
          <t>JÄMTLANDS LÄN</t>
        </is>
      </c>
      <c r="E581" t="inlineStr">
        <is>
          <t>ÖSTERSUND</t>
        </is>
      </c>
      <c r="G581" t="n">
        <v>2.4</v>
      </c>
      <c r="H581" t="n">
        <v>0</v>
      </c>
      <c r="I581" t="n">
        <v>0</v>
      </c>
      <c r="J581" t="n">
        <v>0</v>
      </c>
      <c r="K581" t="n">
        <v>0</v>
      </c>
      <c r="L581" t="n">
        <v>0</v>
      </c>
      <c r="M581" t="n">
        <v>0</v>
      </c>
      <c r="N581" t="n">
        <v>0</v>
      </c>
      <c r="O581" t="n">
        <v>0</v>
      </c>
      <c r="P581" t="n">
        <v>0</v>
      </c>
      <c r="Q581" t="n">
        <v>0</v>
      </c>
      <c r="R581" s="2" t="inlineStr"/>
    </row>
    <row r="582" ht="15" customHeight="1">
      <c r="A582" t="inlineStr">
        <is>
          <t>A 59613-2025</t>
        </is>
      </c>
      <c r="B582" s="1" t="n">
        <v>45992.37172453704</v>
      </c>
      <c r="C582" s="1" t="n">
        <v>46066</v>
      </c>
      <c r="D582" t="inlineStr">
        <is>
          <t>JÄMTLANDS LÄN</t>
        </is>
      </c>
      <c r="E582" t="inlineStr">
        <is>
          <t>ÖSTERSUND</t>
        </is>
      </c>
      <c r="G582" t="n">
        <v>2.1</v>
      </c>
      <c r="H582" t="n">
        <v>0</v>
      </c>
      <c r="I582" t="n">
        <v>0</v>
      </c>
      <c r="J582" t="n">
        <v>0</v>
      </c>
      <c r="K582" t="n">
        <v>0</v>
      </c>
      <c r="L582" t="n">
        <v>0</v>
      </c>
      <c r="M582" t="n">
        <v>0</v>
      </c>
      <c r="N582" t="n">
        <v>0</v>
      </c>
      <c r="O582" t="n">
        <v>0</v>
      </c>
      <c r="P582" t="n">
        <v>0</v>
      </c>
      <c r="Q582" t="n">
        <v>0</v>
      </c>
      <c r="R582" s="2" t="inlineStr"/>
    </row>
    <row r="583" ht="15" customHeight="1">
      <c r="A583" t="inlineStr">
        <is>
          <t>A 1552-2026</t>
        </is>
      </c>
      <c r="B583" s="1" t="n">
        <v>46034.38729166667</v>
      </c>
      <c r="C583" s="1" t="n">
        <v>46066</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41280-2024</t>
        </is>
      </c>
      <c r="B584" s="1" t="n">
        <v>45559.59476851852</v>
      </c>
      <c r="C584" s="1" t="n">
        <v>46066</v>
      </c>
      <c r="D584" t="inlineStr">
        <is>
          <t>JÄMTLANDS LÄN</t>
        </is>
      </c>
      <c r="E584" t="inlineStr">
        <is>
          <t>ÖSTERSUND</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12429-2025</t>
        </is>
      </c>
      <c r="B585" s="1" t="n">
        <v>45730.45930555555</v>
      </c>
      <c r="C585" s="1" t="n">
        <v>46066</v>
      </c>
      <c r="D585" t="inlineStr">
        <is>
          <t>JÄMTLANDS LÄN</t>
        </is>
      </c>
      <c r="E585" t="inlineStr">
        <is>
          <t>ÖSTERSUND</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19581-2025</t>
        </is>
      </c>
      <c r="B586" s="1" t="n">
        <v>45770.56363425926</v>
      </c>
      <c r="C586" s="1" t="n">
        <v>46066</v>
      </c>
      <c r="D586" t="inlineStr">
        <is>
          <t>JÄMTLANDS LÄN</t>
        </is>
      </c>
      <c r="E586" t="inlineStr">
        <is>
          <t>ÖSTERSUND</t>
        </is>
      </c>
      <c r="G586" t="n">
        <v>17.2</v>
      </c>
      <c r="H586" t="n">
        <v>0</v>
      </c>
      <c r="I586" t="n">
        <v>0</v>
      </c>
      <c r="J586" t="n">
        <v>0</v>
      </c>
      <c r="K586" t="n">
        <v>0</v>
      </c>
      <c r="L586" t="n">
        <v>0</v>
      </c>
      <c r="M586" t="n">
        <v>0</v>
      </c>
      <c r="N586" t="n">
        <v>0</v>
      </c>
      <c r="O586" t="n">
        <v>0</v>
      </c>
      <c r="P586" t="n">
        <v>0</v>
      </c>
      <c r="Q586" t="n">
        <v>0</v>
      </c>
      <c r="R586" s="2" t="inlineStr"/>
    </row>
    <row r="587" ht="15" customHeight="1">
      <c r="A587" t="inlineStr">
        <is>
          <t>A 2700-2026</t>
        </is>
      </c>
      <c r="B587" s="1" t="n">
        <v>46037.6787962963</v>
      </c>
      <c r="C587" s="1" t="n">
        <v>46066</v>
      </c>
      <c r="D587" t="inlineStr">
        <is>
          <t>JÄMTLANDS LÄN</t>
        </is>
      </c>
      <c r="E587" t="inlineStr">
        <is>
          <t>ÖSTERSUND</t>
        </is>
      </c>
      <c r="G587" t="n">
        <v>8.6</v>
      </c>
      <c r="H587" t="n">
        <v>0</v>
      </c>
      <c r="I587" t="n">
        <v>0</v>
      </c>
      <c r="J587" t="n">
        <v>0</v>
      </c>
      <c r="K587" t="n">
        <v>0</v>
      </c>
      <c r="L587" t="n">
        <v>0</v>
      </c>
      <c r="M587" t="n">
        <v>0</v>
      </c>
      <c r="N587" t="n">
        <v>0</v>
      </c>
      <c r="O587" t="n">
        <v>0</v>
      </c>
      <c r="P587" t="n">
        <v>0</v>
      </c>
      <c r="Q587" t="n">
        <v>0</v>
      </c>
      <c r="R587" s="2" t="inlineStr"/>
    </row>
    <row r="588" ht="15" customHeight="1">
      <c r="A588" t="inlineStr">
        <is>
          <t>A 2702-2026</t>
        </is>
      </c>
      <c r="B588" s="1" t="n">
        <v>46037.68489583334</v>
      </c>
      <c r="C588" s="1" t="n">
        <v>46066</v>
      </c>
      <c r="D588" t="inlineStr">
        <is>
          <t>JÄMTLANDS LÄN</t>
        </is>
      </c>
      <c r="E588" t="inlineStr">
        <is>
          <t>ÖSTERSUND</t>
        </is>
      </c>
      <c r="G588" t="n">
        <v>1.7</v>
      </c>
      <c r="H588" t="n">
        <v>0</v>
      </c>
      <c r="I588" t="n">
        <v>0</v>
      </c>
      <c r="J588" t="n">
        <v>0</v>
      </c>
      <c r="K588" t="n">
        <v>0</v>
      </c>
      <c r="L588" t="n">
        <v>0</v>
      </c>
      <c r="M588" t="n">
        <v>0</v>
      </c>
      <c r="N588" t="n">
        <v>0</v>
      </c>
      <c r="O588" t="n">
        <v>0</v>
      </c>
      <c r="P588" t="n">
        <v>0</v>
      </c>
      <c r="Q588" t="n">
        <v>0</v>
      </c>
      <c r="R588" s="2" t="inlineStr"/>
    </row>
    <row r="589" ht="15" customHeight="1">
      <c r="A589" t="inlineStr">
        <is>
          <t>A 1026-2026</t>
        </is>
      </c>
      <c r="B589" s="1" t="n">
        <v>46030.61326388889</v>
      </c>
      <c r="C589" s="1" t="n">
        <v>46066</v>
      </c>
      <c r="D589" t="inlineStr">
        <is>
          <t>JÄMTLANDS LÄN</t>
        </is>
      </c>
      <c r="E589" t="inlineStr">
        <is>
          <t>ÖSTERSUND</t>
        </is>
      </c>
      <c r="G589" t="n">
        <v>6.6</v>
      </c>
      <c r="H589" t="n">
        <v>0</v>
      </c>
      <c r="I589" t="n">
        <v>0</v>
      </c>
      <c r="J589" t="n">
        <v>0</v>
      </c>
      <c r="K589" t="n">
        <v>0</v>
      </c>
      <c r="L589" t="n">
        <v>0</v>
      </c>
      <c r="M589" t="n">
        <v>0</v>
      </c>
      <c r="N589" t="n">
        <v>0</v>
      </c>
      <c r="O589" t="n">
        <v>0</v>
      </c>
      <c r="P589" t="n">
        <v>0</v>
      </c>
      <c r="Q589" t="n">
        <v>0</v>
      </c>
      <c r="R589" s="2" t="inlineStr"/>
    </row>
    <row r="590" ht="15" customHeight="1">
      <c r="A590" t="inlineStr">
        <is>
          <t>A 60537-2025</t>
        </is>
      </c>
      <c r="B590" s="1" t="n">
        <v>45995</v>
      </c>
      <c r="C590" s="1" t="n">
        <v>46066</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24312-2021</t>
        </is>
      </c>
      <c r="B591" s="1" t="n">
        <v>44336</v>
      </c>
      <c r="C591" s="1" t="n">
        <v>46066</v>
      </c>
      <c r="D591" t="inlineStr">
        <is>
          <t>JÄMTLANDS LÄN</t>
        </is>
      </c>
      <c r="E591" t="inlineStr">
        <is>
          <t>ÖSTERSUND</t>
        </is>
      </c>
      <c r="G591" t="n">
        <v>10.6</v>
      </c>
      <c r="H591" t="n">
        <v>0</v>
      </c>
      <c r="I591" t="n">
        <v>0</v>
      </c>
      <c r="J591" t="n">
        <v>0</v>
      </c>
      <c r="K591" t="n">
        <v>0</v>
      </c>
      <c r="L591" t="n">
        <v>0</v>
      </c>
      <c r="M591" t="n">
        <v>0</v>
      </c>
      <c r="N591" t="n">
        <v>0</v>
      </c>
      <c r="O591" t="n">
        <v>0</v>
      </c>
      <c r="P591" t="n">
        <v>0</v>
      </c>
      <c r="Q591" t="n">
        <v>0</v>
      </c>
      <c r="R591" s="2" t="inlineStr"/>
    </row>
    <row r="592" ht="15" customHeight="1">
      <c r="A592" t="inlineStr">
        <is>
          <t>A 38926-2024</t>
        </is>
      </c>
      <c r="B592" s="1" t="n">
        <v>45547.90777777778</v>
      </c>
      <c r="C592" s="1" t="n">
        <v>46066</v>
      </c>
      <c r="D592" t="inlineStr">
        <is>
          <t>JÄMTLANDS LÄN</t>
        </is>
      </c>
      <c r="E592" t="inlineStr">
        <is>
          <t>ÖSTERSUND</t>
        </is>
      </c>
      <c r="G592" t="n">
        <v>0.4</v>
      </c>
      <c r="H592" t="n">
        <v>0</v>
      </c>
      <c r="I592" t="n">
        <v>0</v>
      </c>
      <c r="J592" t="n">
        <v>0</v>
      </c>
      <c r="K592" t="n">
        <v>0</v>
      </c>
      <c r="L592" t="n">
        <v>0</v>
      </c>
      <c r="M592" t="n">
        <v>0</v>
      </c>
      <c r="N592" t="n">
        <v>0</v>
      </c>
      <c r="O592" t="n">
        <v>0</v>
      </c>
      <c r="P592" t="n">
        <v>0</v>
      </c>
      <c r="Q592" t="n">
        <v>0</v>
      </c>
      <c r="R592" s="2" t="inlineStr"/>
    </row>
    <row r="593" ht="15" customHeight="1">
      <c r="A593" t="inlineStr">
        <is>
          <t>A 2694-2026</t>
        </is>
      </c>
      <c r="B593" s="1" t="n">
        <v>46037.6703125</v>
      </c>
      <c r="C593" s="1" t="n">
        <v>46066</v>
      </c>
      <c r="D593" t="inlineStr">
        <is>
          <t>JÄMTLANDS LÄN</t>
        </is>
      </c>
      <c r="E593" t="inlineStr">
        <is>
          <t>ÖSTERSUND</t>
        </is>
      </c>
      <c r="G593" t="n">
        <v>3</v>
      </c>
      <c r="H593" t="n">
        <v>0</v>
      </c>
      <c r="I593" t="n">
        <v>0</v>
      </c>
      <c r="J593" t="n">
        <v>0</v>
      </c>
      <c r="K593" t="n">
        <v>0</v>
      </c>
      <c r="L593" t="n">
        <v>0</v>
      </c>
      <c r="M593" t="n">
        <v>0</v>
      </c>
      <c r="N593" t="n">
        <v>0</v>
      </c>
      <c r="O593" t="n">
        <v>0</v>
      </c>
      <c r="P593" t="n">
        <v>0</v>
      </c>
      <c r="Q593" t="n">
        <v>0</v>
      </c>
      <c r="R593" s="2" t="inlineStr"/>
    </row>
    <row r="594" ht="15" customHeight="1">
      <c r="A594" t="inlineStr">
        <is>
          <t>A 1901-2026</t>
        </is>
      </c>
      <c r="B594" s="1" t="n">
        <v>46032</v>
      </c>
      <c r="C594" s="1" t="n">
        <v>46066</v>
      </c>
      <c r="D594" t="inlineStr">
        <is>
          <t>JÄMTLANDS LÄN</t>
        </is>
      </c>
      <c r="E594" t="inlineStr">
        <is>
          <t>ÖSTERSUND</t>
        </is>
      </c>
      <c r="G594" t="n">
        <v>6.4</v>
      </c>
      <c r="H594" t="n">
        <v>0</v>
      </c>
      <c r="I594" t="n">
        <v>0</v>
      </c>
      <c r="J594" t="n">
        <v>0</v>
      </c>
      <c r="K594" t="n">
        <v>0</v>
      </c>
      <c r="L594" t="n">
        <v>0</v>
      </c>
      <c r="M594" t="n">
        <v>0</v>
      </c>
      <c r="N594" t="n">
        <v>0</v>
      </c>
      <c r="O594" t="n">
        <v>0</v>
      </c>
      <c r="P594" t="n">
        <v>0</v>
      </c>
      <c r="Q594" t="n">
        <v>0</v>
      </c>
      <c r="R594" s="2" t="inlineStr"/>
    </row>
    <row r="595" ht="15" customHeight="1">
      <c r="A595" t="inlineStr">
        <is>
          <t>A 55064-2024</t>
        </is>
      </c>
      <c r="B595" s="1" t="n">
        <v>45621.41050925926</v>
      </c>
      <c r="C595" s="1" t="n">
        <v>46066</v>
      </c>
      <c r="D595" t="inlineStr">
        <is>
          <t>JÄMTLANDS LÄN</t>
        </is>
      </c>
      <c r="E595" t="inlineStr">
        <is>
          <t>ÖSTERSUND</t>
        </is>
      </c>
      <c r="G595" t="n">
        <v>0.8</v>
      </c>
      <c r="H595" t="n">
        <v>0</v>
      </c>
      <c r="I595" t="n">
        <v>0</v>
      </c>
      <c r="J595" t="n">
        <v>0</v>
      </c>
      <c r="K595" t="n">
        <v>0</v>
      </c>
      <c r="L595" t="n">
        <v>0</v>
      </c>
      <c r="M595" t="n">
        <v>0</v>
      </c>
      <c r="N595" t="n">
        <v>0</v>
      </c>
      <c r="O595" t="n">
        <v>0</v>
      </c>
      <c r="P595" t="n">
        <v>0</v>
      </c>
      <c r="Q595" t="n">
        <v>0</v>
      </c>
      <c r="R595" s="2" t="inlineStr"/>
    </row>
    <row r="596" ht="15" customHeight="1">
      <c r="A596" t="inlineStr">
        <is>
          <t>A 41802-2021</t>
        </is>
      </c>
      <c r="B596" s="1" t="n">
        <v>44425</v>
      </c>
      <c r="C596" s="1" t="n">
        <v>46066</v>
      </c>
      <c r="D596" t="inlineStr">
        <is>
          <t>JÄMTLANDS LÄN</t>
        </is>
      </c>
      <c r="E596" t="inlineStr">
        <is>
          <t>ÖSTERSUND</t>
        </is>
      </c>
      <c r="G596" t="n">
        <v>1.7</v>
      </c>
      <c r="H596" t="n">
        <v>0</v>
      </c>
      <c r="I596" t="n">
        <v>0</v>
      </c>
      <c r="J596" t="n">
        <v>0</v>
      </c>
      <c r="K596" t="n">
        <v>0</v>
      </c>
      <c r="L596" t="n">
        <v>0</v>
      </c>
      <c r="M596" t="n">
        <v>0</v>
      </c>
      <c r="N596" t="n">
        <v>0</v>
      </c>
      <c r="O596" t="n">
        <v>0</v>
      </c>
      <c r="P596" t="n">
        <v>0</v>
      </c>
      <c r="Q596" t="n">
        <v>0</v>
      </c>
      <c r="R596" s="2" t="inlineStr"/>
    </row>
    <row r="597" ht="15" customHeight="1">
      <c r="A597" t="inlineStr">
        <is>
          <t>A 4063-2025</t>
        </is>
      </c>
      <c r="B597" s="1" t="n">
        <v>45684</v>
      </c>
      <c r="C597" s="1" t="n">
        <v>46066</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2974-2026</t>
        </is>
      </c>
      <c r="B598" s="1" t="n">
        <v>46038.62193287037</v>
      </c>
      <c r="C598" s="1" t="n">
        <v>46066</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7224-2024</t>
        </is>
      </c>
      <c r="B599" s="1" t="n">
        <v>45344</v>
      </c>
      <c r="C599" s="1" t="n">
        <v>46066</v>
      </c>
      <c r="D599" t="inlineStr">
        <is>
          <t>JÄMTLANDS LÄN</t>
        </is>
      </c>
      <c r="E599" t="inlineStr">
        <is>
          <t>ÖSTERSUND</t>
        </is>
      </c>
      <c r="G599" t="n">
        <v>2.9</v>
      </c>
      <c r="H599" t="n">
        <v>0</v>
      </c>
      <c r="I599" t="n">
        <v>0</v>
      </c>
      <c r="J599" t="n">
        <v>0</v>
      </c>
      <c r="K599" t="n">
        <v>0</v>
      </c>
      <c r="L599" t="n">
        <v>0</v>
      </c>
      <c r="M599" t="n">
        <v>0</v>
      </c>
      <c r="N599" t="n">
        <v>0</v>
      </c>
      <c r="O599" t="n">
        <v>0</v>
      </c>
      <c r="P599" t="n">
        <v>0</v>
      </c>
      <c r="Q599" t="n">
        <v>0</v>
      </c>
      <c r="R599" s="2" t="inlineStr"/>
    </row>
    <row r="600" ht="15" customHeight="1">
      <c r="A600" t="inlineStr">
        <is>
          <t>A 721-2026</t>
        </is>
      </c>
      <c r="B600" s="1" t="n">
        <v>46029</v>
      </c>
      <c r="C600" s="1" t="n">
        <v>46066</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2986-2026</t>
        </is>
      </c>
      <c r="B601" s="1" t="n">
        <v>46038.6322337963</v>
      </c>
      <c r="C601" s="1" t="n">
        <v>46066</v>
      </c>
      <c r="D601" t="inlineStr">
        <is>
          <t>JÄMTLANDS LÄN</t>
        </is>
      </c>
      <c r="E601" t="inlineStr">
        <is>
          <t>ÖSTERSUND</t>
        </is>
      </c>
      <c r="G601" t="n">
        <v>8.6</v>
      </c>
      <c r="H601" t="n">
        <v>0</v>
      </c>
      <c r="I601" t="n">
        <v>0</v>
      </c>
      <c r="J601" t="n">
        <v>0</v>
      </c>
      <c r="K601" t="n">
        <v>0</v>
      </c>
      <c r="L601" t="n">
        <v>0</v>
      </c>
      <c r="M601" t="n">
        <v>0</v>
      </c>
      <c r="N601" t="n">
        <v>0</v>
      </c>
      <c r="O601" t="n">
        <v>0</v>
      </c>
      <c r="P601" t="n">
        <v>0</v>
      </c>
      <c r="Q601" t="n">
        <v>0</v>
      </c>
      <c r="R601" s="2" t="inlineStr"/>
    </row>
    <row r="602" ht="15" customHeight="1">
      <c r="A602" t="inlineStr">
        <is>
          <t>A 3197-2026</t>
        </is>
      </c>
      <c r="B602" s="1" t="n">
        <v>46041.47474537037</v>
      </c>
      <c r="C602" s="1" t="n">
        <v>46066</v>
      </c>
      <c r="D602" t="inlineStr">
        <is>
          <t>JÄMTLANDS LÄN</t>
        </is>
      </c>
      <c r="E602" t="inlineStr">
        <is>
          <t>ÖSTERSUND</t>
        </is>
      </c>
      <c r="G602" t="n">
        <v>1</v>
      </c>
      <c r="H602" t="n">
        <v>0</v>
      </c>
      <c r="I602" t="n">
        <v>0</v>
      </c>
      <c r="J602" t="n">
        <v>0</v>
      </c>
      <c r="K602" t="n">
        <v>0</v>
      </c>
      <c r="L602" t="n">
        <v>0</v>
      </c>
      <c r="M602" t="n">
        <v>0</v>
      </c>
      <c r="N602" t="n">
        <v>0</v>
      </c>
      <c r="O602" t="n">
        <v>0</v>
      </c>
      <c r="P602" t="n">
        <v>0</v>
      </c>
      <c r="Q602" t="n">
        <v>0</v>
      </c>
      <c r="R602" s="2" t="inlineStr"/>
    </row>
    <row r="603" ht="15" customHeight="1">
      <c r="A603" t="inlineStr">
        <is>
          <t>A 60048-2025</t>
        </is>
      </c>
      <c r="B603" s="1" t="n">
        <v>45993</v>
      </c>
      <c r="C603" s="1" t="n">
        <v>46066</v>
      </c>
      <c r="D603" t="inlineStr">
        <is>
          <t>JÄMTLANDS LÄN</t>
        </is>
      </c>
      <c r="E603" t="inlineStr">
        <is>
          <t>ÖSTERSUND</t>
        </is>
      </c>
      <c r="G603" t="n">
        <v>1.3</v>
      </c>
      <c r="H603" t="n">
        <v>0</v>
      </c>
      <c r="I603" t="n">
        <v>0</v>
      </c>
      <c r="J603" t="n">
        <v>0</v>
      </c>
      <c r="K603" t="n">
        <v>0</v>
      </c>
      <c r="L603" t="n">
        <v>0</v>
      </c>
      <c r="M603" t="n">
        <v>0</v>
      </c>
      <c r="N603" t="n">
        <v>0</v>
      </c>
      <c r="O603" t="n">
        <v>0</v>
      </c>
      <c r="P603" t="n">
        <v>0</v>
      </c>
      <c r="Q603" t="n">
        <v>0</v>
      </c>
      <c r="R603" s="2" t="inlineStr"/>
    </row>
    <row r="604" ht="15" customHeight="1">
      <c r="A604" t="inlineStr">
        <is>
          <t>A 2971-2026</t>
        </is>
      </c>
      <c r="B604" s="1" t="n">
        <v>46038.62047453703</v>
      </c>
      <c r="C604" s="1" t="n">
        <v>46066</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2988-2026</t>
        </is>
      </c>
      <c r="B605" s="1" t="n">
        <v>46038.6360300926</v>
      </c>
      <c r="C605" s="1" t="n">
        <v>46066</v>
      </c>
      <c r="D605" t="inlineStr">
        <is>
          <t>JÄMTLANDS LÄN</t>
        </is>
      </c>
      <c r="E605" t="inlineStr">
        <is>
          <t>ÖSTERSUND</t>
        </is>
      </c>
      <c r="G605" t="n">
        <v>1.5</v>
      </c>
      <c r="H605" t="n">
        <v>0</v>
      </c>
      <c r="I605" t="n">
        <v>0</v>
      </c>
      <c r="J605" t="n">
        <v>0</v>
      </c>
      <c r="K605" t="n">
        <v>0</v>
      </c>
      <c r="L605" t="n">
        <v>0</v>
      </c>
      <c r="M605" t="n">
        <v>0</v>
      </c>
      <c r="N605" t="n">
        <v>0</v>
      </c>
      <c r="O605" t="n">
        <v>0</v>
      </c>
      <c r="P605" t="n">
        <v>0</v>
      </c>
      <c r="Q605" t="n">
        <v>0</v>
      </c>
      <c r="R605" s="2" t="inlineStr"/>
    </row>
    <row r="606" ht="15" customHeight="1">
      <c r="A606" t="inlineStr">
        <is>
          <t>A 62222-2022</t>
        </is>
      </c>
      <c r="B606" s="1" t="n">
        <v>44922</v>
      </c>
      <c r="C606" s="1" t="n">
        <v>46066</v>
      </c>
      <c r="D606" t="inlineStr">
        <is>
          <t>JÄMTLANDS LÄN</t>
        </is>
      </c>
      <c r="E606" t="inlineStr">
        <is>
          <t>ÖSTERSUND</t>
        </is>
      </c>
      <c r="G606" t="n">
        <v>4.1</v>
      </c>
      <c r="H606" t="n">
        <v>0</v>
      </c>
      <c r="I606" t="n">
        <v>0</v>
      </c>
      <c r="J606" t="n">
        <v>0</v>
      </c>
      <c r="K606" t="n">
        <v>0</v>
      </c>
      <c r="L606" t="n">
        <v>0</v>
      </c>
      <c r="M606" t="n">
        <v>0</v>
      </c>
      <c r="N606" t="n">
        <v>0</v>
      </c>
      <c r="O606" t="n">
        <v>0</v>
      </c>
      <c r="P606" t="n">
        <v>0</v>
      </c>
      <c r="Q606" t="n">
        <v>0</v>
      </c>
      <c r="R606" s="2" t="inlineStr"/>
    </row>
    <row r="607" ht="15" customHeight="1">
      <c r="A607" t="inlineStr">
        <is>
          <t>A 47804-2024</t>
        </is>
      </c>
      <c r="B607" s="1" t="n">
        <v>45588.61498842593</v>
      </c>
      <c r="C607" s="1" t="n">
        <v>46066</v>
      </c>
      <c r="D607" t="inlineStr">
        <is>
          <t>JÄMTLANDS LÄN</t>
        </is>
      </c>
      <c r="E607" t="inlineStr">
        <is>
          <t>ÖSTERSUND</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50218-2024</t>
        </is>
      </c>
      <c r="B608" s="1" t="n">
        <v>45600.53160879629</v>
      </c>
      <c r="C608" s="1" t="n">
        <v>46066</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61222-2025</t>
        </is>
      </c>
      <c r="B609" s="1" t="n">
        <v>46000.62851851852</v>
      </c>
      <c r="C609" s="1" t="n">
        <v>46066</v>
      </c>
      <c r="D609" t="inlineStr">
        <is>
          <t>JÄMTLANDS LÄN</t>
        </is>
      </c>
      <c r="E609" t="inlineStr">
        <is>
          <t>ÖSTERSUND</t>
        </is>
      </c>
      <c r="G609" t="n">
        <v>9.1</v>
      </c>
      <c r="H609" t="n">
        <v>0</v>
      </c>
      <c r="I609" t="n">
        <v>0</v>
      </c>
      <c r="J609" t="n">
        <v>0</v>
      </c>
      <c r="K609" t="n">
        <v>0</v>
      </c>
      <c r="L609" t="n">
        <v>0</v>
      </c>
      <c r="M609" t="n">
        <v>0</v>
      </c>
      <c r="N609" t="n">
        <v>0</v>
      </c>
      <c r="O609" t="n">
        <v>0</v>
      </c>
      <c r="P609" t="n">
        <v>0</v>
      </c>
      <c r="Q609" t="n">
        <v>0</v>
      </c>
      <c r="R609" s="2" t="inlineStr"/>
    </row>
    <row r="610" ht="15" customHeight="1">
      <c r="A610" t="inlineStr">
        <is>
          <t>A 61235-2025</t>
        </is>
      </c>
      <c r="B610" s="1" t="n">
        <v>46000.63969907408</v>
      </c>
      <c r="C610" s="1" t="n">
        <v>46066</v>
      </c>
      <c r="D610" t="inlineStr">
        <is>
          <t>JÄMTLANDS LÄN</t>
        </is>
      </c>
      <c r="E610" t="inlineStr">
        <is>
          <t>ÖSTERSUND</t>
        </is>
      </c>
      <c r="G610" t="n">
        <v>0.8</v>
      </c>
      <c r="H610" t="n">
        <v>0</v>
      </c>
      <c r="I610" t="n">
        <v>0</v>
      </c>
      <c r="J610" t="n">
        <v>0</v>
      </c>
      <c r="K610" t="n">
        <v>0</v>
      </c>
      <c r="L610" t="n">
        <v>0</v>
      </c>
      <c r="M610" t="n">
        <v>0</v>
      </c>
      <c r="N610" t="n">
        <v>0</v>
      </c>
      <c r="O610" t="n">
        <v>0</v>
      </c>
      <c r="P610" t="n">
        <v>0</v>
      </c>
      <c r="Q610" t="n">
        <v>0</v>
      </c>
      <c r="R610" s="2" t="inlineStr"/>
    </row>
    <row r="611" ht="15" customHeight="1">
      <c r="A611" t="inlineStr">
        <is>
          <t>A 61267-2025</t>
        </is>
      </c>
      <c r="B611" s="1" t="n">
        <v>46000.67793981481</v>
      </c>
      <c r="C611" s="1" t="n">
        <v>46066</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60780-2023</t>
        </is>
      </c>
      <c r="B612" s="1" t="n">
        <v>45260</v>
      </c>
      <c r="C612" s="1" t="n">
        <v>46066</v>
      </c>
      <c r="D612" t="inlineStr">
        <is>
          <t>JÄMTLANDS LÄN</t>
        </is>
      </c>
      <c r="E612" t="inlineStr">
        <is>
          <t>ÖSTERSUND</t>
        </is>
      </c>
      <c r="G612" t="n">
        <v>3.7</v>
      </c>
      <c r="H612" t="n">
        <v>0</v>
      </c>
      <c r="I612" t="n">
        <v>0</v>
      </c>
      <c r="J612" t="n">
        <v>0</v>
      </c>
      <c r="K612" t="n">
        <v>0</v>
      </c>
      <c r="L612" t="n">
        <v>0</v>
      </c>
      <c r="M612" t="n">
        <v>0</v>
      </c>
      <c r="N612" t="n">
        <v>0</v>
      </c>
      <c r="O612" t="n">
        <v>0</v>
      </c>
      <c r="P612" t="n">
        <v>0</v>
      </c>
      <c r="Q612" t="n">
        <v>0</v>
      </c>
      <c r="R612" s="2" t="inlineStr"/>
    </row>
    <row r="613" ht="15" customHeight="1">
      <c r="A613" t="inlineStr">
        <is>
          <t>A 60794-2023</t>
        </is>
      </c>
      <c r="B613" s="1" t="n">
        <v>45260</v>
      </c>
      <c r="C613" s="1" t="n">
        <v>46066</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11877-2024</t>
        </is>
      </c>
      <c r="B614" s="1" t="n">
        <v>45376</v>
      </c>
      <c r="C614" s="1" t="n">
        <v>46066</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53714-2022</t>
        </is>
      </c>
      <c r="B615" s="1" t="n">
        <v>44880</v>
      </c>
      <c r="C615" s="1" t="n">
        <v>46066</v>
      </c>
      <c r="D615" t="inlineStr">
        <is>
          <t>JÄMTLANDS LÄN</t>
        </is>
      </c>
      <c r="E615" t="inlineStr">
        <is>
          <t>ÖSTERSUND</t>
        </is>
      </c>
      <c r="G615" t="n">
        <v>1.3</v>
      </c>
      <c r="H615" t="n">
        <v>0</v>
      </c>
      <c r="I615" t="n">
        <v>0</v>
      </c>
      <c r="J615" t="n">
        <v>0</v>
      </c>
      <c r="K615" t="n">
        <v>0</v>
      </c>
      <c r="L615" t="n">
        <v>0</v>
      </c>
      <c r="M615" t="n">
        <v>0</v>
      </c>
      <c r="N615" t="n">
        <v>0</v>
      </c>
      <c r="O615" t="n">
        <v>0</v>
      </c>
      <c r="P615" t="n">
        <v>0</v>
      </c>
      <c r="Q615" t="n">
        <v>0</v>
      </c>
      <c r="R615" s="2" t="inlineStr"/>
    </row>
    <row r="616" ht="15" customHeight="1">
      <c r="A616" t="inlineStr">
        <is>
          <t>A 52128-2023</t>
        </is>
      </c>
      <c r="B616" s="1" t="n">
        <v>45223</v>
      </c>
      <c r="C616" s="1" t="n">
        <v>46066</v>
      </c>
      <c r="D616" t="inlineStr">
        <is>
          <t>JÄMTLANDS LÄN</t>
        </is>
      </c>
      <c r="E616" t="inlineStr">
        <is>
          <t>ÖSTERSUND</t>
        </is>
      </c>
      <c r="F616" t="inlineStr">
        <is>
          <t>SCA</t>
        </is>
      </c>
      <c r="G616" t="n">
        <v>11.9</v>
      </c>
      <c r="H616" t="n">
        <v>0</v>
      </c>
      <c r="I616" t="n">
        <v>0</v>
      </c>
      <c r="J616" t="n">
        <v>0</v>
      </c>
      <c r="K616" t="n">
        <v>0</v>
      </c>
      <c r="L616" t="n">
        <v>0</v>
      </c>
      <c r="M616" t="n">
        <v>0</v>
      </c>
      <c r="N616" t="n">
        <v>0</v>
      </c>
      <c r="O616" t="n">
        <v>0</v>
      </c>
      <c r="P616" t="n">
        <v>0</v>
      </c>
      <c r="Q616" t="n">
        <v>0</v>
      </c>
      <c r="R616" s="2" t="inlineStr"/>
    </row>
    <row r="617" ht="15" customHeight="1">
      <c r="A617" t="inlineStr">
        <is>
          <t>A 44013-2021</t>
        </is>
      </c>
      <c r="B617" s="1" t="n">
        <v>44434</v>
      </c>
      <c r="C617" s="1" t="n">
        <v>46066</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8003-2025</t>
        </is>
      </c>
      <c r="B618" s="1" t="n">
        <v>45707</v>
      </c>
      <c r="C618" s="1" t="n">
        <v>46066</v>
      </c>
      <c r="D618" t="inlineStr">
        <is>
          <t>JÄMTLANDS LÄN</t>
        </is>
      </c>
      <c r="E618" t="inlineStr">
        <is>
          <t>ÖSTERSUND</t>
        </is>
      </c>
      <c r="F618" t="inlineStr">
        <is>
          <t>Övriga Aktiebolag</t>
        </is>
      </c>
      <c r="G618" t="n">
        <v>35.1</v>
      </c>
      <c r="H618" t="n">
        <v>0</v>
      </c>
      <c r="I618" t="n">
        <v>0</v>
      </c>
      <c r="J618" t="n">
        <v>0</v>
      </c>
      <c r="K618" t="n">
        <v>0</v>
      </c>
      <c r="L618" t="n">
        <v>0</v>
      </c>
      <c r="M618" t="n">
        <v>0</v>
      </c>
      <c r="N618" t="n">
        <v>0</v>
      </c>
      <c r="O618" t="n">
        <v>0</v>
      </c>
      <c r="P618" t="n">
        <v>0</v>
      </c>
      <c r="Q618" t="n">
        <v>0</v>
      </c>
      <c r="R618" s="2" t="inlineStr"/>
    </row>
    <row r="619" ht="15" customHeight="1">
      <c r="A619" t="inlineStr">
        <is>
          <t>A 61427-2025</t>
        </is>
      </c>
      <c r="B619" s="1" t="n">
        <v>46000</v>
      </c>
      <c r="C619" s="1" t="n">
        <v>46066</v>
      </c>
      <c r="D619" t="inlineStr">
        <is>
          <t>JÄMTLANDS LÄN</t>
        </is>
      </c>
      <c r="E619" t="inlineStr">
        <is>
          <t>ÖSTERSUND</t>
        </is>
      </c>
      <c r="G619" t="n">
        <v>0.3</v>
      </c>
      <c r="H619" t="n">
        <v>0</v>
      </c>
      <c r="I619" t="n">
        <v>0</v>
      </c>
      <c r="J619" t="n">
        <v>0</v>
      </c>
      <c r="K619" t="n">
        <v>0</v>
      </c>
      <c r="L619" t="n">
        <v>0</v>
      </c>
      <c r="M619" t="n">
        <v>0</v>
      </c>
      <c r="N619" t="n">
        <v>0</v>
      </c>
      <c r="O619" t="n">
        <v>0</v>
      </c>
      <c r="P619" t="n">
        <v>0</v>
      </c>
      <c r="Q619" t="n">
        <v>0</v>
      </c>
      <c r="R619" s="2" t="inlineStr"/>
    </row>
    <row r="620" ht="15" customHeight="1">
      <c r="A620" t="inlineStr">
        <is>
          <t>A 12285-2022</t>
        </is>
      </c>
      <c r="B620" s="1" t="n">
        <v>44637</v>
      </c>
      <c r="C620" s="1" t="n">
        <v>46066</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61330-2025</t>
        </is>
      </c>
      <c r="B621" s="1" t="n">
        <v>46001</v>
      </c>
      <c r="C621" s="1" t="n">
        <v>46066</v>
      </c>
      <c r="D621" t="inlineStr">
        <is>
          <t>JÄMTLANDS LÄN</t>
        </is>
      </c>
      <c r="E621" t="inlineStr">
        <is>
          <t>ÖSTERSUND</t>
        </is>
      </c>
      <c r="G621" t="n">
        <v>4.5</v>
      </c>
      <c r="H621" t="n">
        <v>0</v>
      </c>
      <c r="I621" t="n">
        <v>0</v>
      </c>
      <c r="J621" t="n">
        <v>0</v>
      </c>
      <c r="K621" t="n">
        <v>0</v>
      </c>
      <c r="L621" t="n">
        <v>0</v>
      </c>
      <c r="M621" t="n">
        <v>0</v>
      </c>
      <c r="N621" t="n">
        <v>0</v>
      </c>
      <c r="O621" t="n">
        <v>0</v>
      </c>
      <c r="P621" t="n">
        <v>0</v>
      </c>
      <c r="Q621" t="n">
        <v>0</v>
      </c>
      <c r="R621" s="2" t="inlineStr"/>
    </row>
    <row r="622" ht="15" customHeight="1">
      <c r="A622" t="inlineStr">
        <is>
          <t>A 4406-2026</t>
        </is>
      </c>
      <c r="B622" s="1" t="n">
        <v>46045.59430555555</v>
      </c>
      <c r="C622" s="1" t="n">
        <v>46066</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61836-2025</t>
        </is>
      </c>
      <c r="B623" s="1" t="n">
        <v>46003</v>
      </c>
      <c r="C623" s="1" t="n">
        <v>46066</v>
      </c>
      <c r="D623" t="inlineStr">
        <is>
          <t>JÄMTLANDS LÄN</t>
        </is>
      </c>
      <c r="E623" t="inlineStr">
        <is>
          <t>ÖSTERSUND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25385-2024</t>
        </is>
      </c>
      <c r="B624" s="1" t="n">
        <v>45462.96347222223</v>
      </c>
      <c r="C624" s="1" t="n">
        <v>46066</v>
      </c>
      <c r="D624" t="inlineStr">
        <is>
          <t>JÄMTLANDS LÄN</t>
        </is>
      </c>
      <c r="E624" t="inlineStr">
        <is>
          <t>ÖSTERSUND</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4294-2026</t>
        </is>
      </c>
      <c r="B625" s="1" t="n">
        <v>46045.41643518519</v>
      </c>
      <c r="C625" s="1" t="n">
        <v>46066</v>
      </c>
      <c r="D625" t="inlineStr">
        <is>
          <t>JÄMTLANDS LÄN</t>
        </is>
      </c>
      <c r="E625" t="inlineStr">
        <is>
          <t>ÖSTERSUND</t>
        </is>
      </c>
      <c r="G625" t="n">
        <v>21.6</v>
      </c>
      <c r="H625" t="n">
        <v>0</v>
      </c>
      <c r="I625" t="n">
        <v>0</v>
      </c>
      <c r="J625" t="n">
        <v>0</v>
      </c>
      <c r="K625" t="n">
        <v>0</v>
      </c>
      <c r="L625" t="n">
        <v>0</v>
      </c>
      <c r="M625" t="n">
        <v>0</v>
      </c>
      <c r="N625" t="n">
        <v>0</v>
      </c>
      <c r="O625" t="n">
        <v>0</v>
      </c>
      <c r="P625" t="n">
        <v>0</v>
      </c>
      <c r="Q625" t="n">
        <v>0</v>
      </c>
      <c r="R625" s="2" t="inlineStr"/>
    </row>
    <row r="626" ht="15" customHeight="1">
      <c r="A626" t="inlineStr">
        <is>
          <t>A 61985-2025</t>
        </is>
      </c>
      <c r="B626" s="1" t="n">
        <v>46003.62509259259</v>
      </c>
      <c r="C626" s="1" t="n">
        <v>46066</v>
      </c>
      <c r="D626" t="inlineStr">
        <is>
          <t>JÄMTLANDS LÄN</t>
        </is>
      </c>
      <c r="E626" t="inlineStr">
        <is>
          <t>ÖSTERSUND</t>
        </is>
      </c>
      <c r="G626" t="n">
        <v>4.2</v>
      </c>
      <c r="H626" t="n">
        <v>0</v>
      </c>
      <c r="I626" t="n">
        <v>0</v>
      </c>
      <c r="J626" t="n">
        <v>0</v>
      </c>
      <c r="K626" t="n">
        <v>0</v>
      </c>
      <c r="L626" t="n">
        <v>0</v>
      </c>
      <c r="M626" t="n">
        <v>0</v>
      </c>
      <c r="N626" t="n">
        <v>0</v>
      </c>
      <c r="O626" t="n">
        <v>0</v>
      </c>
      <c r="P626" t="n">
        <v>0</v>
      </c>
      <c r="Q626" t="n">
        <v>0</v>
      </c>
      <c r="R626" s="2" t="inlineStr"/>
    </row>
    <row r="627" ht="15" customHeight="1">
      <c r="A627" t="inlineStr">
        <is>
          <t>A 4423-2026</t>
        </is>
      </c>
      <c r="B627" s="1" t="n">
        <v>46045.61509259259</v>
      </c>
      <c r="C627" s="1" t="n">
        <v>46066</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61944-2025</t>
        </is>
      </c>
      <c r="B628" s="1" t="n">
        <v>46003.56467592593</v>
      </c>
      <c r="C628" s="1" t="n">
        <v>46066</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61964-2025</t>
        </is>
      </c>
      <c r="B629" s="1" t="n">
        <v>46003</v>
      </c>
      <c r="C629" s="1" t="n">
        <v>46066</v>
      </c>
      <c r="D629" t="inlineStr">
        <is>
          <t>JÄMTLANDS LÄN</t>
        </is>
      </c>
      <c r="E629" t="inlineStr">
        <is>
          <t>ÖSTERSUND</t>
        </is>
      </c>
      <c r="G629" t="n">
        <v>16.5</v>
      </c>
      <c r="H629" t="n">
        <v>0</v>
      </c>
      <c r="I629" t="n">
        <v>0</v>
      </c>
      <c r="J629" t="n">
        <v>0</v>
      </c>
      <c r="K629" t="n">
        <v>0</v>
      </c>
      <c r="L629" t="n">
        <v>0</v>
      </c>
      <c r="M629" t="n">
        <v>0</v>
      </c>
      <c r="N629" t="n">
        <v>0</v>
      </c>
      <c r="O629" t="n">
        <v>0</v>
      </c>
      <c r="P629" t="n">
        <v>0</v>
      </c>
      <c r="Q629" t="n">
        <v>0</v>
      </c>
      <c r="R629" s="2" t="inlineStr"/>
    </row>
    <row r="630" ht="15" customHeight="1">
      <c r="A630" t="inlineStr">
        <is>
          <t>A 61611-2025</t>
        </is>
      </c>
      <c r="B630" s="1" t="n">
        <v>46002</v>
      </c>
      <c r="C630" s="1" t="n">
        <v>46066</v>
      </c>
      <c r="D630" t="inlineStr">
        <is>
          <t>JÄMTLANDS LÄN</t>
        </is>
      </c>
      <c r="E630" t="inlineStr">
        <is>
          <t>ÖSTERSUND</t>
        </is>
      </c>
      <c r="G630" t="n">
        <v>5</v>
      </c>
      <c r="H630" t="n">
        <v>0</v>
      </c>
      <c r="I630" t="n">
        <v>0</v>
      </c>
      <c r="J630" t="n">
        <v>0</v>
      </c>
      <c r="K630" t="n">
        <v>0</v>
      </c>
      <c r="L630" t="n">
        <v>0</v>
      </c>
      <c r="M630" t="n">
        <v>0</v>
      </c>
      <c r="N630" t="n">
        <v>0</v>
      </c>
      <c r="O630" t="n">
        <v>0</v>
      </c>
      <c r="P630" t="n">
        <v>0</v>
      </c>
      <c r="Q630" t="n">
        <v>0</v>
      </c>
      <c r="R630" s="2" t="inlineStr"/>
    </row>
    <row r="631" ht="15" customHeight="1">
      <c r="A631" t="inlineStr">
        <is>
          <t>A 61982-2025</t>
        </is>
      </c>
      <c r="B631" s="1" t="n">
        <v>46003.6159375</v>
      </c>
      <c r="C631" s="1" t="n">
        <v>46066</v>
      </c>
      <c r="D631" t="inlineStr">
        <is>
          <t>JÄMTLANDS LÄN</t>
        </is>
      </c>
      <c r="E631" t="inlineStr">
        <is>
          <t>ÖSTERSUND</t>
        </is>
      </c>
      <c r="G631" t="n">
        <v>4.7</v>
      </c>
      <c r="H631" t="n">
        <v>0</v>
      </c>
      <c r="I631" t="n">
        <v>0</v>
      </c>
      <c r="J631" t="n">
        <v>0</v>
      </c>
      <c r="K631" t="n">
        <v>0</v>
      </c>
      <c r="L631" t="n">
        <v>0</v>
      </c>
      <c r="M631" t="n">
        <v>0</v>
      </c>
      <c r="N631" t="n">
        <v>0</v>
      </c>
      <c r="O631" t="n">
        <v>0</v>
      </c>
      <c r="P631" t="n">
        <v>0</v>
      </c>
      <c r="Q631" t="n">
        <v>0</v>
      </c>
      <c r="R631" s="2" t="inlineStr"/>
    </row>
    <row r="632" ht="15" customHeight="1">
      <c r="A632" t="inlineStr">
        <is>
          <t>A 61849-2025</t>
        </is>
      </c>
      <c r="B632" s="1" t="n">
        <v>46003.38026620371</v>
      </c>
      <c r="C632" s="1" t="n">
        <v>46066</v>
      </c>
      <c r="D632" t="inlineStr">
        <is>
          <t>JÄMTLANDS LÄN</t>
        </is>
      </c>
      <c r="E632" t="inlineStr">
        <is>
          <t>ÖSTERSUND</t>
        </is>
      </c>
      <c r="G632" t="n">
        <v>5.5</v>
      </c>
      <c r="H632" t="n">
        <v>0</v>
      </c>
      <c r="I632" t="n">
        <v>0</v>
      </c>
      <c r="J632" t="n">
        <v>0</v>
      </c>
      <c r="K632" t="n">
        <v>0</v>
      </c>
      <c r="L632" t="n">
        <v>0</v>
      </c>
      <c r="M632" t="n">
        <v>0</v>
      </c>
      <c r="N632" t="n">
        <v>0</v>
      </c>
      <c r="O632" t="n">
        <v>0</v>
      </c>
      <c r="P632" t="n">
        <v>0</v>
      </c>
      <c r="Q632" t="n">
        <v>0</v>
      </c>
      <c r="R632" s="2" t="inlineStr"/>
    </row>
    <row r="633" ht="15" customHeight="1">
      <c r="A633" t="inlineStr">
        <is>
          <t>A 8027-2022</t>
        </is>
      </c>
      <c r="B633" s="1" t="n">
        <v>44609</v>
      </c>
      <c r="C633" s="1" t="n">
        <v>46066</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4226-2026</t>
        </is>
      </c>
      <c r="B634" s="1" t="n">
        <v>46044.85285879629</v>
      </c>
      <c r="C634" s="1" t="n">
        <v>46066</v>
      </c>
      <c r="D634" t="inlineStr">
        <is>
          <t>JÄMTLANDS LÄN</t>
        </is>
      </c>
      <c r="E634" t="inlineStr">
        <is>
          <t>ÖSTERSUND</t>
        </is>
      </c>
      <c r="G634" t="n">
        <v>2.1</v>
      </c>
      <c r="H634" t="n">
        <v>0</v>
      </c>
      <c r="I634" t="n">
        <v>0</v>
      </c>
      <c r="J634" t="n">
        <v>0</v>
      </c>
      <c r="K634" t="n">
        <v>0</v>
      </c>
      <c r="L634" t="n">
        <v>0</v>
      </c>
      <c r="M634" t="n">
        <v>0</v>
      </c>
      <c r="N634" t="n">
        <v>0</v>
      </c>
      <c r="O634" t="n">
        <v>0</v>
      </c>
      <c r="P634" t="n">
        <v>0</v>
      </c>
      <c r="Q634" t="n">
        <v>0</v>
      </c>
      <c r="R634" s="2" t="inlineStr"/>
    </row>
    <row r="635" ht="15" customHeight="1">
      <c r="A635" t="inlineStr">
        <is>
          <t>A 62176-2025</t>
        </is>
      </c>
      <c r="B635" s="1" t="n">
        <v>46006.51157407407</v>
      </c>
      <c r="C635" s="1" t="n">
        <v>46066</v>
      </c>
      <c r="D635" t="inlineStr">
        <is>
          <t>JÄMTLANDS LÄN</t>
        </is>
      </c>
      <c r="E635" t="inlineStr">
        <is>
          <t>ÖSTERSUND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11933-2022</t>
        </is>
      </c>
      <c r="B636" s="1" t="n">
        <v>44635</v>
      </c>
      <c r="C636" s="1" t="n">
        <v>46066</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62175-2025</t>
        </is>
      </c>
      <c r="B637" s="1" t="n">
        <v>46006.51155092593</v>
      </c>
      <c r="C637" s="1" t="n">
        <v>46066</v>
      </c>
      <c r="D637" t="inlineStr">
        <is>
          <t>JÄMTLANDS LÄN</t>
        </is>
      </c>
      <c r="E637" t="inlineStr">
        <is>
          <t>ÖSTERSUND</t>
        </is>
      </c>
      <c r="G637" t="n">
        <v>1.3</v>
      </c>
      <c r="H637" t="n">
        <v>0</v>
      </c>
      <c r="I637" t="n">
        <v>0</v>
      </c>
      <c r="J637" t="n">
        <v>0</v>
      </c>
      <c r="K637" t="n">
        <v>0</v>
      </c>
      <c r="L637" t="n">
        <v>0</v>
      </c>
      <c r="M637" t="n">
        <v>0</v>
      </c>
      <c r="N637" t="n">
        <v>0</v>
      </c>
      <c r="O637" t="n">
        <v>0</v>
      </c>
      <c r="P637" t="n">
        <v>0</v>
      </c>
      <c r="Q637" t="n">
        <v>0</v>
      </c>
      <c r="R637" s="2" t="inlineStr"/>
    </row>
    <row r="638" ht="15" customHeight="1">
      <c r="A638" t="inlineStr">
        <is>
          <t>A 62437-2025</t>
        </is>
      </c>
      <c r="B638" s="1" t="n">
        <v>46007.46907407408</v>
      </c>
      <c r="C638" s="1" t="n">
        <v>46066</v>
      </c>
      <c r="D638" t="inlineStr">
        <is>
          <t>JÄMTLANDS LÄN</t>
        </is>
      </c>
      <c r="E638" t="inlineStr">
        <is>
          <t>ÖSTERSUND</t>
        </is>
      </c>
      <c r="G638" t="n">
        <v>6.3</v>
      </c>
      <c r="H638" t="n">
        <v>0</v>
      </c>
      <c r="I638" t="n">
        <v>0</v>
      </c>
      <c r="J638" t="n">
        <v>0</v>
      </c>
      <c r="K638" t="n">
        <v>0</v>
      </c>
      <c r="L638" t="n">
        <v>0</v>
      </c>
      <c r="M638" t="n">
        <v>0</v>
      </c>
      <c r="N638" t="n">
        <v>0</v>
      </c>
      <c r="O638" t="n">
        <v>0</v>
      </c>
      <c r="P638" t="n">
        <v>0</v>
      </c>
      <c r="Q638" t="n">
        <v>0</v>
      </c>
      <c r="R638" s="2" t="inlineStr"/>
    </row>
    <row r="639" ht="15" customHeight="1">
      <c r="A639" t="inlineStr">
        <is>
          <t>A 4936-2026</t>
        </is>
      </c>
      <c r="B639" s="1" t="n">
        <v>46048.89435185185</v>
      </c>
      <c r="C639" s="1" t="n">
        <v>46066</v>
      </c>
      <c r="D639" t="inlineStr">
        <is>
          <t>JÄMTLANDS LÄN</t>
        </is>
      </c>
      <c r="E639" t="inlineStr">
        <is>
          <t>ÖSTERSUND</t>
        </is>
      </c>
      <c r="G639" t="n">
        <v>0.9</v>
      </c>
      <c r="H639" t="n">
        <v>0</v>
      </c>
      <c r="I639" t="n">
        <v>0</v>
      </c>
      <c r="J639" t="n">
        <v>0</v>
      </c>
      <c r="K639" t="n">
        <v>0</v>
      </c>
      <c r="L639" t="n">
        <v>0</v>
      </c>
      <c r="M639" t="n">
        <v>0</v>
      </c>
      <c r="N639" t="n">
        <v>0</v>
      </c>
      <c r="O639" t="n">
        <v>0</v>
      </c>
      <c r="P639" t="n">
        <v>0</v>
      </c>
      <c r="Q639" t="n">
        <v>0</v>
      </c>
      <c r="R639" s="2" t="inlineStr"/>
    </row>
    <row r="640" ht="15" customHeight="1">
      <c r="A640" t="inlineStr">
        <is>
          <t>A 62452-2025</t>
        </is>
      </c>
      <c r="B640" s="1" t="n">
        <v>46007.49001157407</v>
      </c>
      <c r="C640" s="1" t="n">
        <v>46066</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62509-2025</t>
        </is>
      </c>
      <c r="B641" s="1" t="n">
        <v>46007.5958912037</v>
      </c>
      <c r="C641" s="1" t="n">
        <v>46066</v>
      </c>
      <c r="D641" t="inlineStr">
        <is>
          <t>JÄMTLANDS LÄN</t>
        </is>
      </c>
      <c r="E641" t="inlineStr">
        <is>
          <t>ÖSTERSUND</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62369-2025</t>
        </is>
      </c>
      <c r="B642" s="1" t="n">
        <v>46007.33719907407</v>
      </c>
      <c r="C642" s="1" t="n">
        <v>46066</v>
      </c>
      <c r="D642" t="inlineStr">
        <is>
          <t>JÄMTLANDS LÄN</t>
        </is>
      </c>
      <c r="E642" t="inlineStr">
        <is>
          <t>ÖSTERSUND</t>
        </is>
      </c>
      <c r="F642" t="inlineStr">
        <is>
          <t>Sveaskog</t>
        </is>
      </c>
      <c r="G642" t="n">
        <v>20.3</v>
      </c>
      <c r="H642" t="n">
        <v>0</v>
      </c>
      <c r="I642" t="n">
        <v>0</v>
      </c>
      <c r="J642" t="n">
        <v>0</v>
      </c>
      <c r="K642" t="n">
        <v>0</v>
      </c>
      <c r="L642" t="n">
        <v>0</v>
      </c>
      <c r="M642" t="n">
        <v>0</v>
      </c>
      <c r="N642" t="n">
        <v>0</v>
      </c>
      <c r="O642" t="n">
        <v>0</v>
      </c>
      <c r="P642" t="n">
        <v>0</v>
      </c>
      <c r="Q642" t="n">
        <v>0</v>
      </c>
      <c r="R642" s="2" t="inlineStr"/>
    </row>
    <row r="643" ht="15" customHeight="1">
      <c r="A643" t="inlineStr">
        <is>
          <t>A 62622-2025</t>
        </is>
      </c>
      <c r="B643" s="1" t="n">
        <v>46008.34438657408</v>
      </c>
      <c r="C643" s="1" t="n">
        <v>46066</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62623-2025</t>
        </is>
      </c>
      <c r="B644" s="1" t="n">
        <v>46008.34443287037</v>
      </c>
      <c r="C644" s="1" t="n">
        <v>46066</v>
      </c>
      <c r="D644" t="inlineStr">
        <is>
          <t>JÄMTLANDS LÄN</t>
        </is>
      </c>
      <c r="E644" t="inlineStr">
        <is>
          <t>ÖSTERSUND</t>
        </is>
      </c>
      <c r="G644" t="n">
        <v>7.9</v>
      </c>
      <c r="H644" t="n">
        <v>0</v>
      </c>
      <c r="I644" t="n">
        <v>0</v>
      </c>
      <c r="J644" t="n">
        <v>0</v>
      </c>
      <c r="K644" t="n">
        <v>0</v>
      </c>
      <c r="L644" t="n">
        <v>0</v>
      </c>
      <c r="M644" t="n">
        <v>0</v>
      </c>
      <c r="N644" t="n">
        <v>0</v>
      </c>
      <c r="O644" t="n">
        <v>0</v>
      </c>
      <c r="P644" t="n">
        <v>0</v>
      </c>
      <c r="Q644" t="n">
        <v>0</v>
      </c>
      <c r="R644" s="2" t="inlineStr"/>
    </row>
    <row r="645" ht="15" customHeight="1">
      <c r="A645" t="inlineStr">
        <is>
          <t>A 5360-2026</t>
        </is>
      </c>
      <c r="B645" s="1" t="n">
        <v>46050.44859953703</v>
      </c>
      <c r="C645" s="1" t="n">
        <v>46066</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14947-2025</t>
        </is>
      </c>
      <c r="B646" s="1" t="n">
        <v>45743.57336805556</v>
      </c>
      <c r="C646" s="1" t="n">
        <v>46066</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2753-2025</t>
        </is>
      </c>
      <c r="B647" s="1" t="n">
        <v>45677.47302083333</v>
      </c>
      <c r="C647" s="1" t="n">
        <v>46066</v>
      </c>
      <c r="D647" t="inlineStr">
        <is>
          <t>JÄMTLANDS LÄN</t>
        </is>
      </c>
      <c r="E647" t="inlineStr">
        <is>
          <t>ÖSTERSUND</t>
        </is>
      </c>
      <c r="G647" t="n">
        <v>6.4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46066</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20400-2024</t>
        </is>
      </c>
      <c r="B649" s="1" t="n">
        <v>45435.55372685185</v>
      </c>
      <c r="C649" s="1" t="n">
        <v>46066</v>
      </c>
      <c r="D649" t="inlineStr">
        <is>
          <t>JÄMTLANDS LÄN</t>
        </is>
      </c>
      <c r="E649" t="inlineStr">
        <is>
          <t>ÖSTERSUND</t>
        </is>
      </c>
      <c r="G649" t="n">
        <v>0.9</v>
      </c>
      <c r="H649" t="n">
        <v>0</v>
      </c>
      <c r="I649" t="n">
        <v>0</v>
      </c>
      <c r="J649" t="n">
        <v>0</v>
      </c>
      <c r="K649" t="n">
        <v>0</v>
      </c>
      <c r="L649" t="n">
        <v>0</v>
      </c>
      <c r="M649" t="n">
        <v>0</v>
      </c>
      <c r="N649" t="n">
        <v>0</v>
      </c>
      <c r="O649" t="n">
        <v>0</v>
      </c>
      <c r="P649" t="n">
        <v>0</v>
      </c>
      <c r="Q649" t="n">
        <v>0</v>
      </c>
      <c r="R649" s="2" t="inlineStr"/>
    </row>
    <row r="650" ht="15" customHeight="1">
      <c r="A650" t="inlineStr">
        <is>
          <t>A 63195-2025</t>
        </is>
      </c>
      <c r="B650" s="1" t="n">
        <v>46010.45680555556</v>
      </c>
      <c r="C650" s="1" t="n">
        <v>46066</v>
      </c>
      <c r="D650" t="inlineStr">
        <is>
          <t>JÄMTLANDS LÄN</t>
        </is>
      </c>
      <c r="E650" t="inlineStr">
        <is>
          <t>ÖSTERSUND</t>
        </is>
      </c>
      <c r="G650" t="n">
        <v>1.7</v>
      </c>
      <c r="H650" t="n">
        <v>0</v>
      </c>
      <c r="I650" t="n">
        <v>0</v>
      </c>
      <c r="J650" t="n">
        <v>0</v>
      </c>
      <c r="K650" t="n">
        <v>0</v>
      </c>
      <c r="L650" t="n">
        <v>0</v>
      </c>
      <c r="M650" t="n">
        <v>0</v>
      </c>
      <c r="N650" t="n">
        <v>0</v>
      </c>
      <c r="O650" t="n">
        <v>0</v>
      </c>
      <c r="P650" t="n">
        <v>0</v>
      </c>
      <c r="Q650" t="n">
        <v>0</v>
      </c>
      <c r="R650" s="2" t="inlineStr"/>
    </row>
    <row r="651" ht="15" customHeight="1">
      <c r="A651" t="inlineStr">
        <is>
          <t>A 63245-2025</t>
        </is>
      </c>
      <c r="B651" s="1" t="n">
        <v>46010.53825231481</v>
      </c>
      <c r="C651" s="1" t="n">
        <v>46066</v>
      </c>
      <c r="D651" t="inlineStr">
        <is>
          <t>JÄMTLANDS LÄN</t>
        </is>
      </c>
      <c r="E651" t="inlineStr">
        <is>
          <t>ÖSTERSUND</t>
        </is>
      </c>
      <c r="G651" t="n">
        <v>1.8</v>
      </c>
      <c r="H651" t="n">
        <v>0</v>
      </c>
      <c r="I651" t="n">
        <v>0</v>
      </c>
      <c r="J651" t="n">
        <v>0</v>
      </c>
      <c r="K651" t="n">
        <v>0</v>
      </c>
      <c r="L651" t="n">
        <v>0</v>
      </c>
      <c r="M651" t="n">
        <v>0</v>
      </c>
      <c r="N651" t="n">
        <v>0</v>
      </c>
      <c r="O651" t="n">
        <v>0</v>
      </c>
      <c r="P651" t="n">
        <v>0</v>
      </c>
      <c r="Q651" t="n">
        <v>0</v>
      </c>
      <c r="R651" s="2" t="inlineStr"/>
    </row>
    <row r="652" ht="15" customHeight="1">
      <c r="A652" t="inlineStr">
        <is>
          <t>A 63516-2025</t>
        </is>
      </c>
      <c r="B652" s="1" t="n">
        <v>46013.50993055556</v>
      </c>
      <c r="C652" s="1" t="n">
        <v>46066</v>
      </c>
      <c r="D652" t="inlineStr">
        <is>
          <t>JÄMTLANDS LÄN</t>
        </is>
      </c>
      <c r="E652" t="inlineStr">
        <is>
          <t>ÖSTERSUND</t>
        </is>
      </c>
      <c r="G652" t="n">
        <v>4.8</v>
      </c>
      <c r="H652" t="n">
        <v>0</v>
      </c>
      <c r="I652" t="n">
        <v>0</v>
      </c>
      <c r="J652" t="n">
        <v>0</v>
      </c>
      <c r="K652" t="n">
        <v>0</v>
      </c>
      <c r="L652" t="n">
        <v>0</v>
      </c>
      <c r="M652" t="n">
        <v>0</v>
      </c>
      <c r="N652" t="n">
        <v>0</v>
      </c>
      <c r="O652" t="n">
        <v>0</v>
      </c>
      <c r="P652" t="n">
        <v>0</v>
      </c>
      <c r="Q652" t="n">
        <v>0</v>
      </c>
      <c r="R652" s="2" t="inlineStr"/>
    </row>
    <row r="653" ht="15" customHeight="1">
      <c r="A653" t="inlineStr">
        <is>
          <t>A 20588-2023</t>
        </is>
      </c>
      <c r="B653" s="1" t="n">
        <v>45057</v>
      </c>
      <c r="C653" s="1" t="n">
        <v>46066</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27689-2024</t>
        </is>
      </c>
      <c r="B654" s="1" t="n">
        <v>45475.3378125</v>
      </c>
      <c r="C654" s="1" t="n">
        <v>46066</v>
      </c>
      <c r="D654" t="inlineStr">
        <is>
          <t>JÄMTLANDS LÄN</t>
        </is>
      </c>
      <c r="E654" t="inlineStr">
        <is>
          <t>ÖSTERSUND</t>
        </is>
      </c>
      <c r="G654" t="n">
        <v>0.6</v>
      </c>
      <c r="H654" t="n">
        <v>0</v>
      </c>
      <c r="I654" t="n">
        <v>0</v>
      </c>
      <c r="J654" t="n">
        <v>0</v>
      </c>
      <c r="K654" t="n">
        <v>0</v>
      </c>
      <c r="L654" t="n">
        <v>0</v>
      </c>
      <c r="M654" t="n">
        <v>0</v>
      </c>
      <c r="N654" t="n">
        <v>0</v>
      </c>
      <c r="O654" t="n">
        <v>0</v>
      </c>
      <c r="P654" t="n">
        <v>0</v>
      </c>
      <c r="Q654" t="n">
        <v>0</v>
      </c>
      <c r="R654" s="2" t="inlineStr"/>
    </row>
    <row r="655" ht="15" customHeight="1">
      <c r="A655" t="inlineStr">
        <is>
          <t>A 63475-2025</t>
        </is>
      </c>
      <c r="B655" s="1" t="n">
        <v>46013.4459375</v>
      </c>
      <c r="C655" s="1" t="n">
        <v>46066</v>
      </c>
      <c r="D655" t="inlineStr">
        <is>
          <t>JÄMTLANDS LÄN</t>
        </is>
      </c>
      <c r="E655" t="inlineStr">
        <is>
          <t>ÖSTERSUND</t>
        </is>
      </c>
      <c r="G655" t="n">
        <v>4.4</v>
      </c>
      <c r="H655" t="n">
        <v>0</v>
      </c>
      <c r="I655" t="n">
        <v>0</v>
      </c>
      <c r="J655" t="n">
        <v>0</v>
      </c>
      <c r="K655" t="n">
        <v>0</v>
      </c>
      <c r="L655" t="n">
        <v>0</v>
      </c>
      <c r="M655" t="n">
        <v>0</v>
      </c>
      <c r="N655" t="n">
        <v>0</v>
      </c>
      <c r="O655" t="n">
        <v>0</v>
      </c>
      <c r="P655" t="n">
        <v>0</v>
      </c>
      <c r="Q655" t="n">
        <v>0</v>
      </c>
      <c r="R655" s="2" t="inlineStr"/>
    </row>
    <row r="656" ht="15" customHeight="1">
      <c r="A656" t="inlineStr">
        <is>
          <t>A 51818-2024</t>
        </is>
      </c>
      <c r="B656" s="1" t="n">
        <v>45607.49265046296</v>
      </c>
      <c r="C656" s="1" t="n">
        <v>46066</v>
      </c>
      <c r="D656" t="inlineStr">
        <is>
          <t>JÄMTLANDS LÄN</t>
        </is>
      </c>
      <c r="E656" t="inlineStr">
        <is>
          <t>ÖSTERSUND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63693-2025</t>
        </is>
      </c>
      <c r="B657" s="1" t="n">
        <v>46014.5496875</v>
      </c>
      <c r="C657" s="1" t="n">
        <v>46066</v>
      </c>
      <c r="D657" t="inlineStr">
        <is>
          <t>JÄMTLANDS LÄN</t>
        </is>
      </c>
      <c r="E657" t="inlineStr">
        <is>
          <t>ÖSTERSUND</t>
        </is>
      </c>
      <c r="G657" t="n">
        <v>1.5</v>
      </c>
      <c r="H657" t="n">
        <v>0</v>
      </c>
      <c r="I657" t="n">
        <v>0</v>
      </c>
      <c r="J657" t="n">
        <v>0</v>
      </c>
      <c r="K657" t="n">
        <v>0</v>
      </c>
      <c r="L657" t="n">
        <v>0</v>
      </c>
      <c r="M657" t="n">
        <v>0</v>
      </c>
      <c r="N657" t="n">
        <v>0</v>
      </c>
      <c r="O657" t="n">
        <v>0</v>
      </c>
      <c r="P657" t="n">
        <v>0</v>
      </c>
      <c r="Q657" t="n">
        <v>0</v>
      </c>
      <c r="R657" s="2" t="inlineStr"/>
    </row>
    <row r="658" ht="15" customHeight="1">
      <c r="A658" t="inlineStr">
        <is>
          <t>A 6831-2026</t>
        </is>
      </c>
      <c r="B658" s="1" t="n">
        <v>46057.40715277778</v>
      </c>
      <c r="C658" s="1" t="n">
        <v>46066</v>
      </c>
      <c r="D658" t="inlineStr">
        <is>
          <t>JÄMTLANDS LÄN</t>
        </is>
      </c>
      <c r="E658" t="inlineStr">
        <is>
          <t>ÖSTERSUND</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6999-2026</t>
        </is>
      </c>
      <c r="B659" s="1" t="n">
        <v>46057.6153125</v>
      </c>
      <c r="C659" s="1" t="n">
        <v>46066</v>
      </c>
      <c r="D659" t="inlineStr">
        <is>
          <t>JÄMTLANDS LÄN</t>
        </is>
      </c>
      <c r="E659" t="inlineStr">
        <is>
          <t>ÖSTERSUND</t>
        </is>
      </c>
      <c r="G659" t="n">
        <v>3</v>
      </c>
      <c r="H659" t="n">
        <v>0</v>
      </c>
      <c r="I659" t="n">
        <v>0</v>
      </c>
      <c r="J659" t="n">
        <v>0</v>
      </c>
      <c r="K659" t="n">
        <v>0</v>
      </c>
      <c r="L659" t="n">
        <v>0</v>
      </c>
      <c r="M659" t="n">
        <v>0</v>
      </c>
      <c r="N659" t="n">
        <v>0</v>
      </c>
      <c r="O659" t="n">
        <v>0</v>
      </c>
      <c r="P659" t="n">
        <v>0</v>
      </c>
      <c r="Q659" t="n">
        <v>0</v>
      </c>
      <c r="R659" s="2" t="inlineStr"/>
    </row>
    <row r="660" ht="15" customHeight="1">
      <c r="A660" t="inlineStr">
        <is>
          <t>A 51479-2023</t>
        </is>
      </c>
      <c r="B660" s="1" t="n">
        <v>45221.92429398148</v>
      </c>
      <c r="C660" s="1" t="n">
        <v>46066</v>
      </c>
      <c r="D660" t="inlineStr">
        <is>
          <t>JÄMTLANDS LÄN</t>
        </is>
      </c>
      <c r="E660" t="inlineStr">
        <is>
          <t>ÖSTERSUND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5684-2026</t>
        </is>
      </c>
      <c r="B661" s="1" t="n">
        <v>46051</v>
      </c>
      <c r="C661" s="1" t="n">
        <v>46066</v>
      </c>
      <c r="D661" t="inlineStr">
        <is>
          <t>JÄMTLANDS LÄN</t>
        </is>
      </c>
      <c r="E661" t="inlineStr">
        <is>
          <t>ÖSTERSUND</t>
        </is>
      </c>
      <c r="G661" t="n">
        <v>1.6</v>
      </c>
      <c r="H661" t="n">
        <v>0</v>
      </c>
      <c r="I661" t="n">
        <v>0</v>
      </c>
      <c r="J661" t="n">
        <v>0</v>
      </c>
      <c r="K661" t="n">
        <v>0</v>
      </c>
      <c r="L661" t="n">
        <v>0</v>
      </c>
      <c r="M661" t="n">
        <v>0</v>
      </c>
      <c r="N661" t="n">
        <v>0</v>
      </c>
      <c r="O661" t="n">
        <v>0</v>
      </c>
      <c r="P661" t="n">
        <v>0</v>
      </c>
      <c r="Q661" t="n">
        <v>0</v>
      </c>
      <c r="R661" s="2" t="inlineStr"/>
    </row>
    <row r="662" ht="15" customHeight="1">
      <c r="A662" t="inlineStr">
        <is>
          <t>A 2978-2024</t>
        </is>
      </c>
      <c r="B662" s="1" t="n">
        <v>45315</v>
      </c>
      <c r="C662" s="1" t="n">
        <v>46066</v>
      </c>
      <c r="D662" t="inlineStr">
        <is>
          <t>JÄMTLANDS LÄN</t>
        </is>
      </c>
      <c r="E662" t="inlineStr">
        <is>
          <t>ÖSTERSUND</t>
        </is>
      </c>
      <c r="G662" t="n">
        <v>1.7</v>
      </c>
      <c r="H662" t="n">
        <v>0</v>
      </c>
      <c r="I662" t="n">
        <v>0</v>
      </c>
      <c r="J662" t="n">
        <v>0</v>
      </c>
      <c r="K662" t="n">
        <v>0</v>
      </c>
      <c r="L662" t="n">
        <v>0</v>
      </c>
      <c r="M662" t="n">
        <v>0</v>
      </c>
      <c r="N662" t="n">
        <v>0</v>
      </c>
      <c r="O662" t="n">
        <v>0</v>
      </c>
      <c r="P662" t="n">
        <v>0</v>
      </c>
      <c r="Q662" t="n">
        <v>0</v>
      </c>
      <c r="R662" s="2" t="inlineStr"/>
    </row>
    <row r="663" ht="15" customHeight="1">
      <c r="A663" t="inlineStr">
        <is>
          <t>A 28181-2024</t>
        </is>
      </c>
      <c r="B663" s="1" t="n">
        <v>45477.28482638889</v>
      </c>
      <c r="C663" s="1" t="n">
        <v>46066</v>
      </c>
      <c r="D663" t="inlineStr">
        <is>
          <t>JÄMTLANDS LÄN</t>
        </is>
      </c>
      <c r="E663" t="inlineStr">
        <is>
          <t>ÖSTERSUND</t>
        </is>
      </c>
      <c r="G663" t="n">
        <v>0.7</v>
      </c>
      <c r="H663" t="n">
        <v>0</v>
      </c>
      <c r="I663" t="n">
        <v>0</v>
      </c>
      <c r="J663" t="n">
        <v>0</v>
      </c>
      <c r="K663" t="n">
        <v>0</v>
      </c>
      <c r="L663" t="n">
        <v>0</v>
      </c>
      <c r="M663" t="n">
        <v>0</v>
      </c>
      <c r="N663" t="n">
        <v>0</v>
      </c>
      <c r="O663" t="n">
        <v>0</v>
      </c>
      <c r="P663" t="n">
        <v>0</v>
      </c>
      <c r="Q663" t="n">
        <v>0</v>
      </c>
      <c r="R663" s="2" t="inlineStr"/>
    </row>
    <row r="664" ht="15" customHeight="1">
      <c r="A664" t="inlineStr">
        <is>
          <t>A 6929-2026</t>
        </is>
      </c>
      <c r="B664" s="1" t="n">
        <v>46057.55269675926</v>
      </c>
      <c r="C664" s="1" t="n">
        <v>46066</v>
      </c>
      <c r="D664" t="inlineStr">
        <is>
          <t>JÄMTLANDS LÄN</t>
        </is>
      </c>
      <c r="E664" t="inlineStr">
        <is>
          <t>ÖSTERSUND</t>
        </is>
      </c>
      <c r="G664" t="n">
        <v>6.4</v>
      </c>
      <c r="H664" t="n">
        <v>0</v>
      </c>
      <c r="I664" t="n">
        <v>0</v>
      </c>
      <c r="J664" t="n">
        <v>0</v>
      </c>
      <c r="K664" t="n">
        <v>0</v>
      </c>
      <c r="L664" t="n">
        <v>0</v>
      </c>
      <c r="M664" t="n">
        <v>0</v>
      </c>
      <c r="N664" t="n">
        <v>0</v>
      </c>
      <c r="O664" t="n">
        <v>0</v>
      </c>
      <c r="P664" t="n">
        <v>0</v>
      </c>
      <c r="Q664" t="n">
        <v>0</v>
      </c>
      <c r="R664" s="2" t="inlineStr"/>
    </row>
    <row r="665" ht="15" customHeight="1">
      <c r="A665" t="inlineStr">
        <is>
          <t>A 6761-2026</t>
        </is>
      </c>
      <c r="B665" s="1" t="n">
        <v>46056.8547337963</v>
      </c>
      <c r="C665" s="1" t="n">
        <v>46066</v>
      </c>
      <c r="D665" t="inlineStr">
        <is>
          <t>JÄMTLANDS LÄN</t>
        </is>
      </c>
      <c r="E665" t="inlineStr">
        <is>
          <t>ÖSTERSUND</t>
        </is>
      </c>
      <c r="G665" t="n">
        <v>2.8</v>
      </c>
      <c r="H665" t="n">
        <v>0</v>
      </c>
      <c r="I665" t="n">
        <v>0</v>
      </c>
      <c r="J665" t="n">
        <v>0</v>
      </c>
      <c r="K665" t="n">
        <v>0</v>
      </c>
      <c r="L665" t="n">
        <v>0</v>
      </c>
      <c r="M665" t="n">
        <v>0</v>
      </c>
      <c r="N665" t="n">
        <v>0</v>
      </c>
      <c r="O665" t="n">
        <v>0</v>
      </c>
      <c r="P665" t="n">
        <v>0</v>
      </c>
      <c r="Q665" t="n">
        <v>0</v>
      </c>
      <c r="R665" s="2" t="inlineStr"/>
    </row>
    <row r="666" ht="15" customHeight="1">
      <c r="A666" t="inlineStr">
        <is>
          <t>A 61002-2024</t>
        </is>
      </c>
      <c r="B666" s="1" t="n">
        <v>45645.44158564815</v>
      </c>
      <c r="C666" s="1" t="n">
        <v>46066</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39493-2023</t>
        </is>
      </c>
      <c r="B667" s="1" t="n">
        <v>45166.9569675926</v>
      </c>
      <c r="C667" s="1" t="n">
        <v>46066</v>
      </c>
      <c r="D667" t="inlineStr">
        <is>
          <t>JÄMTLANDS LÄN</t>
        </is>
      </c>
      <c r="E667" t="inlineStr">
        <is>
          <t>ÖSTERSUND</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54883-2023</t>
        </is>
      </c>
      <c r="B668" s="1" t="n">
        <v>45236.62300925926</v>
      </c>
      <c r="C668" s="1" t="n">
        <v>46066</v>
      </c>
      <c r="D668" t="inlineStr">
        <is>
          <t>JÄMTLANDS LÄN</t>
        </is>
      </c>
      <c r="E668" t="inlineStr">
        <is>
          <t>ÖSTERSUND</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2730-2025</t>
        </is>
      </c>
      <c r="B669" s="1" t="n">
        <v>45677.44393518518</v>
      </c>
      <c r="C669" s="1" t="n">
        <v>46066</v>
      </c>
      <c r="D669" t="inlineStr">
        <is>
          <t>JÄMTLANDS LÄN</t>
        </is>
      </c>
      <c r="E669" t="inlineStr">
        <is>
          <t>ÖSTERSUND</t>
        </is>
      </c>
      <c r="G669" t="n">
        <v>2.5</v>
      </c>
      <c r="H669" t="n">
        <v>0</v>
      </c>
      <c r="I669" t="n">
        <v>0</v>
      </c>
      <c r="J669" t="n">
        <v>0</v>
      </c>
      <c r="K669" t="n">
        <v>0</v>
      </c>
      <c r="L669" t="n">
        <v>0</v>
      </c>
      <c r="M669" t="n">
        <v>0</v>
      </c>
      <c r="N669" t="n">
        <v>0</v>
      </c>
      <c r="O669" t="n">
        <v>0</v>
      </c>
      <c r="P669" t="n">
        <v>0</v>
      </c>
      <c r="Q669" t="n">
        <v>0</v>
      </c>
      <c r="R669" s="2" t="inlineStr"/>
    </row>
    <row r="670" ht="15" customHeight="1">
      <c r="A670" t="inlineStr">
        <is>
          <t>A 62225-2022</t>
        </is>
      </c>
      <c r="B670" s="1" t="n">
        <v>44922</v>
      </c>
      <c r="C670" s="1" t="n">
        <v>46066</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8216-2025</t>
        </is>
      </c>
      <c r="B671" s="1" t="n">
        <v>45708.44947916667</v>
      </c>
      <c r="C671" s="1" t="n">
        <v>46066</v>
      </c>
      <c r="D671" t="inlineStr">
        <is>
          <t>JÄMTLANDS LÄN</t>
        </is>
      </c>
      <c r="E671" t="inlineStr">
        <is>
          <t>ÖSTERSUND</t>
        </is>
      </c>
      <c r="F671" t="inlineStr">
        <is>
          <t>Övriga Aktiebolag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20634-2023</t>
        </is>
      </c>
      <c r="B672" s="1" t="n">
        <v>45057.9441087963</v>
      </c>
      <c r="C672" s="1" t="n">
        <v>46066</v>
      </c>
      <c r="D672" t="inlineStr">
        <is>
          <t>JÄMTLANDS LÄN</t>
        </is>
      </c>
      <c r="E672" t="inlineStr">
        <is>
          <t>ÖSTERSUND</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10306-2023</t>
        </is>
      </c>
      <c r="B673" s="1" t="n">
        <v>44986.94196759259</v>
      </c>
      <c r="C673" s="1" t="n">
        <v>46066</v>
      </c>
      <c r="D673" t="inlineStr">
        <is>
          <t>JÄMTLANDS LÄN</t>
        </is>
      </c>
      <c r="E673" t="inlineStr">
        <is>
          <t>ÖSTERSUND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16306-2025</t>
        </is>
      </c>
      <c r="B674" s="1" t="n">
        <v>45751.34664351852</v>
      </c>
      <c r="C674" s="1" t="n">
        <v>46066</v>
      </c>
      <c r="D674" t="inlineStr">
        <is>
          <t>JÄMTLANDS LÄN</t>
        </is>
      </c>
      <c r="E674" t="inlineStr">
        <is>
          <t>ÖSTERSUND</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26321-2022</t>
        </is>
      </c>
      <c r="B675" s="1" t="n">
        <v>44735</v>
      </c>
      <c r="C675" s="1" t="n">
        <v>46066</v>
      </c>
      <c r="D675" t="inlineStr">
        <is>
          <t>JÄMTLANDS LÄN</t>
        </is>
      </c>
      <c r="E675" t="inlineStr">
        <is>
          <t>ÖSTERSUND</t>
        </is>
      </c>
      <c r="G675" t="n">
        <v>1</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46066</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22126-2021</t>
        </is>
      </c>
      <c r="B677" s="1" t="n">
        <v>44323</v>
      </c>
      <c r="C677" s="1" t="n">
        <v>46066</v>
      </c>
      <c r="D677" t="inlineStr">
        <is>
          <t>JÄMTLANDS LÄN</t>
        </is>
      </c>
      <c r="E677" t="inlineStr">
        <is>
          <t>ÖSTERSUND</t>
        </is>
      </c>
      <c r="G677" t="n">
        <v>1.4</v>
      </c>
      <c r="H677" t="n">
        <v>0</v>
      </c>
      <c r="I677" t="n">
        <v>0</v>
      </c>
      <c r="J677" t="n">
        <v>0</v>
      </c>
      <c r="K677" t="n">
        <v>0</v>
      </c>
      <c r="L677" t="n">
        <v>0</v>
      </c>
      <c r="M677" t="n">
        <v>0</v>
      </c>
      <c r="N677" t="n">
        <v>0</v>
      </c>
      <c r="O677" t="n">
        <v>0</v>
      </c>
      <c r="P677" t="n">
        <v>0</v>
      </c>
      <c r="Q677" t="n">
        <v>0</v>
      </c>
      <c r="R677" s="2" t="inlineStr"/>
    </row>
    <row r="678" ht="15" customHeight="1">
      <c r="A678" t="inlineStr">
        <is>
          <t>A 30217-2022</t>
        </is>
      </c>
      <c r="B678" s="1" t="n">
        <v>44757.92671296297</v>
      </c>
      <c r="C678" s="1" t="n">
        <v>46066</v>
      </c>
      <c r="D678" t="inlineStr">
        <is>
          <t>JÄMTLANDS LÄN</t>
        </is>
      </c>
      <c r="E678" t="inlineStr">
        <is>
          <t>ÖSTERSUND</t>
        </is>
      </c>
      <c r="G678" t="n">
        <v>2.9</v>
      </c>
      <c r="H678" t="n">
        <v>0</v>
      </c>
      <c r="I678" t="n">
        <v>0</v>
      </c>
      <c r="J678" t="n">
        <v>0</v>
      </c>
      <c r="K678" t="n">
        <v>0</v>
      </c>
      <c r="L678" t="n">
        <v>0</v>
      </c>
      <c r="M678" t="n">
        <v>0</v>
      </c>
      <c r="N678" t="n">
        <v>0</v>
      </c>
      <c r="O678" t="n">
        <v>0</v>
      </c>
      <c r="P678" t="n">
        <v>0</v>
      </c>
      <c r="Q678" t="n">
        <v>0</v>
      </c>
      <c r="R678" s="2" t="inlineStr"/>
    </row>
    <row r="679" ht="15" customHeight="1">
      <c r="A679" t="inlineStr">
        <is>
          <t>A 55140-2023</t>
        </is>
      </c>
      <c r="B679" s="1" t="n">
        <v>45237.50966435186</v>
      </c>
      <c r="C679" s="1" t="n">
        <v>46066</v>
      </c>
      <c r="D679" t="inlineStr">
        <is>
          <t>JÄMTLANDS LÄN</t>
        </is>
      </c>
      <c r="E679" t="inlineStr">
        <is>
          <t>ÖSTERSUND</t>
        </is>
      </c>
      <c r="G679" t="n">
        <v>1.8</v>
      </c>
      <c r="H679" t="n">
        <v>0</v>
      </c>
      <c r="I679" t="n">
        <v>0</v>
      </c>
      <c r="J679" t="n">
        <v>0</v>
      </c>
      <c r="K679" t="n">
        <v>0</v>
      </c>
      <c r="L679" t="n">
        <v>0</v>
      </c>
      <c r="M679" t="n">
        <v>0</v>
      </c>
      <c r="N679" t="n">
        <v>0</v>
      </c>
      <c r="O679" t="n">
        <v>0</v>
      </c>
      <c r="P679" t="n">
        <v>0</v>
      </c>
      <c r="Q679" t="n">
        <v>0</v>
      </c>
      <c r="R679" s="2" t="inlineStr"/>
    </row>
    <row r="680" ht="15" customHeight="1">
      <c r="A680" t="inlineStr">
        <is>
          <t>A 54663-2022</t>
        </is>
      </c>
      <c r="B680" s="1" t="n">
        <v>44883.44737268519</v>
      </c>
      <c r="C680" s="1" t="n">
        <v>46066</v>
      </c>
      <c r="D680" t="inlineStr">
        <is>
          <t>JÄMTLANDS LÄN</t>
        </is>
      </c>
      <c r="E680" t="inlineStr">
        <is>
          <t>ÖSTERSUND</t>
        </is>
      </c>
      <c r="G680" t="n">
        <v>0.8</v>
      </c>
      <c r="H680" t="n">
        <v>0</v>
      </c>
      <c r="I680" t="n">
        <v>0</v>
      </c>
      <c r="J680" t="n">
        <v>0</v>
      </c>
      <c r="K680" t="n">
        <v>0</v>
      </c>
      <c r="L680" t="n">
        <v>0</v>
      </c>
      <c r="M680" t="n">
        <v>0</v>
      </c>
      <c r="N680" t="n">
        <v>0</v>
      </c>
      <c r="O680" t="n">
        <v>0</v>
      </c>
      <c r="P680" t="n">
        <v>0</v>
      </c>
      <c r="Q680" t="n">
        <v>0</v>
      </c>
      <c r="R680" s="2" t="inlineStr"/>
    </row>
    <row r="681" ht="15" customHeight="1">
      <c r="A681" t="inlineStr">
        <is>
          <t>A 11052-2024</t>
        </is>
      </c>
      <c r="B681" s="1" t="n">
        <v>45370</v>
      </c>
      <c r="C681" s="1" t="n">
        <v>46066</v>
      </c>
      <c r="D681" t="inlineStr">
        <is>
          <t>JÄMTLANDS LÄN</t>
        </is>
      </c>
      <c r="E681" t="inlineStr">
        <is>
          <t>ÖSTERSUND</t>
        </is>
      </c>
      <c r="G681" t="n">
        <v>2.3</v>
      </c>
      <c r="H681" t="n">
        <v>0</v>
      </c>
      <c r="I681" t="n">
        <v>0</v>
      </c>
      <c r="J681" t="n">
        <v>0</v>
      </c>
      <c r="K681" t="n">
        <v>0</v>
      </c>
      <c r="L681" t="n">
        <v>0</v>
      </c>
      <c r="M681" t="n">
        <v>0</v>
      </c>
      <c r="N681" t="n">
        <v>0</v>
      </c>
      <c r="O681" t="n">
        <v>0</v>
      </c>
      <c r="P681" t="n">
        <v>0</v>
      </c>
      <c r="Q681" t="n">
        <v>0</v>
      </c>
      <c r="R681" s="2" t="inlineStr"/>
    </row>
    <row r="682" ht="15" customHeight="1">
      <c r="A682" t="inlineStr">
        <is>
          <t>A 37597-2023</t>
        </is>
      </c>
      <c r="B682" s="1" t="n">
        <v>45159.42180555555</v>
      </c>
      <c r="C682" s="1" t="n">
        <v>46066</v>
      </c>
      <c r="D682" t="inlineStr">
        <is>
          <t>JÄMTLANDS LÄN</t>
        </is>
      </c>
      <c r="E682" t="inlineStr">
        <is>
          <t>ÖSTERSUND</t>
        </is>
      </c>
      <c r="G682" t="n">
        <v>4.7</v>
      </c>
      <c r="H682" t="n">
        <v>0</v>
      </c>
      <c r="I682" t="n">
        <v>0</v>
      </c>
      <c r="J682" t="n">
        <v>0</v>
      </c>
      <c r="K682" t="n">
        <v>0</v>
      </c>
      <c r="L682" t="n">
        <v>0</v>
      </c>
      <c r="M682" t="n">
        <v>0</v>
      </c>
      <c r="N682" t="n">
        <v>0</v>
      </c>
      <c r="O682" t="n">
        <v>0</v>
      </c>
      <c r="P682" t="n">
        <v>0</v>
      </c>
      <c r="Q682" t="n">
        <v>0</v>
      </c>
      <c r="R682" s="2" t="inlineStr"/>
    </row>
    <row r="683" ht="15" customHeight="1">
      <c r="A683" t="inlineStr">
        <is>
          <t>A 55365-2024</t>
        </is>
      </c>
      <c r="B683" s="1" t="n">
        <v>45621.86827546296</v>
      </c>
      <c r="C683" s="1" t="n">
        <v>46066</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44048-2024</t>
        </is>
      </c>
      <c r="B684" s="1" t="n">
        <v>45572.59430555555</v>
      </c>
      <c r="C684" s="1" t="n">
        <v>46066</v>
      </c>
      <c r="D684" t="inlineStr">
        <is>
          <t>JÄMTLANDS LÄN</t>
        </is>
      </c>
      <c r="E684" t="inlineStr">
        <is>
          <t>ÖSTERSUND</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18429-2025</t>
        </is>
      </c>
      <c r="B685" s="1" t="n">
        <v>45762.63375</v>
      </c>
      <c r="C685" s="1" t="n">
        <v>46066</v>
      </c>
      <c r="D685" t="inlineStr">
        <is>
          <t>JÄMTLANDS LÄN</t>
        </is>
      </c>
      <c r="E685" t="inlineStr">
        <is>
          <t>ÖSTERSUND</t>
        </is>
      </c>
      <c r="F685" t="inlineStr">
        <is>
          <t>Sveaskog</t>
        </is>
      </c>
      <c r="G685" t="n">
        <v>5.5</v>
      </c>
      <c r="H685" t="n">
        <v>0</v>
      </c>
      <c r="I685" t="n">
        <v>0</v>
      </c>
      <c r="J685" t="n">
        <v>0</v>
      </c>
      <c r="K685" t="n">
        <v>0</v>
      </c>
      <c r="L685" t="n">
        <v>0</v>
      </c>
      <c r="M685" t="n">
        <v>0</v>
      </c>
      <c r="N685" t="n">
        <v>0</v>
      </c>
      <c r="O685" t="n">
        <v>0</v>
      </c>
      <c r="P685" t="n">
        <v>0</v>
      </c>
      <c r="Q685" t="n">
        <v>0</v>
      </c>
      <c r="R685" s="2" t="inlineStr"/>
    </row>
    <row r="686" ht="15" customHeight="1">
      <c r="A686" t="inlineStr">
        <is>
          <t>A 60349-2024</t>
        </is>
      </c>
      <c r="B686" s="1" t="n">
        <v>45643.42986111111</v>
      </c>
      <c r="C686" s="1" t="n">
        <v>46066</v>
      </c>
      <c r="D686" t="inlineStr">
        <is>
          <t>JÄMTLANDS LÄN</t>
        </is>
      </c>
      <c r="E686" t="inlineStr">
        <is>
          <t>ÖSTERSUND</t>
        </is>
      </c>
      <c r="F686" t="inlineStr">
        <is>
          <t>Sveaskog</t>
        </is>
      </c>
      <c r="G686" t="n">
        <v>16.6</v>
      </c>
      <c r="H686" t="n">
        <v>0</v>
      </c>
      <c r="I686" t="n">
        <v>0</v>
      </c>
      <c r="J686" t="n">
        <v>0</v>
      </c>
      <c r="K686" t="n">
        <v>0</v>
      </c>
      <c r="L686" t="n">
        <v>0</v>
      </c>
      <c r="M686" t="n">
        <v>0</v>
      </c>
      <c r="N686" t="n">
        <v>0</v>
      </c>
      <c r="O686" t="n">
        <v>0</v>
      </c>
      <c r="P686" t="n">
        <v>0</v>
      </c>
      <c r="Q686" t="n">
        <v>0</v>
      </c>
      <c r="R686" s="2" t="inlineStr"/>
    </row>
    <row r="687" ht="15" customHeight="1">
      <c r="A687" t="inlineStr">
        <is>
          <t>A 17574-2022</t>
        </is>
      </c>
      <c r="B687" s="1" t="n">
        <v>44679.92574074074</v>
      </c>
      <c r="C687" s="1" t="n">
        <v>46066</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61332-2024</t>
        </is>
      </c>
      <c r="B688" s="1" t="n">
        <v>45646.35685185185</v>
      </c>
      <c r="C688" s="1" t="n">
        <v>46066</v>
      </c>
      <c r="D688" t="inlineStr">
        <is>
          <t>JÄMTLANDS LÄN</t>
        </is>
      </c>
      <c r="E688" t="inlineStr">
        <is>
          <t>ÖSTERSUND</t>
        </is>
      </c>
      <c r="G688" t="n">
        <v>3.2</v>
      </c>
      <c r="H688" t="n">
        <v>0</v>
      </c>
      <c r="I688" t="n">
        <v>0</v>
      </c>
      <c r="J688" t="n">
        <v>0</v>
      </c>
      <c r="K688" t="n">
        <v>0</v>
      </c>
      <c r="L688" t="n">
        <v>0</v>
      </c>
      <c r="M688" t="n">
        <v>0</v>
      </c>
      <c r="N688" t="n">
        <v>0</v>
      </c>
      <c r="O688" t="n">
        <v>0</v>
      </c>
      <c r="P688" t="n">
        <v>0</v>
      </c>
      <c r="Q688" t="n">
        <v>0</v>
      </c>
      <c r="R688" s="2" t="inlineStr"/>
    </row>
    <row r="689" ht="15" customHeight="1">
      <c r="A689" t="inlineStr">
        <is>
          <t>A 32998-2021</t>
        </is>
      </c>
      <c r="B689" s="1" t="n">
        <v>44375</v>
      </c>
      <c r="C689" s="1" t="n">
        <v>46066</v>
      </c>
      <c r="D689" t="inlineStr">
        <is>
          <t>JÄMTLANDS LÄN</t>
        </is>
      </c>
      <c r="E689" t="inlineStr">
        <is>
          <t>ÖSTERSUND</t>
        </is>
      </c>
      <c r="G689" t="n">
        <v>0.1</v>
      </c>
      <c r="H689" t="n">
        <v>0</v>
      </c>
      <c r="I689" t="n">
        <v>0</v>
      </c>
      <c r="J689" t="n">
        <v>0</v>
      </c>
      <c r="K689" t="n">
        <v>0</v>
      </c>
      <c r="L689" t="n">
        <v>0</v>
      </c>
      <c r="M689" t="n">
        <v>0</v>
      </c>
      <c r="N689" t="n">
        <v>0</v>
      </c>
      <c r="O689" t="n">
        <v>0</v>
      </c>
      <c r="P689" t="n">
        <v>0</v>
      </c>
      <c r="Q689" t="n">
        <v>0</v>
      </c>
      <c r="R689" s="2" t="inlineStr"/>
    </row>
    <row r="690" ht="15" customHeight="1">
      <c r="A690" t="inlineStr">
        <is>
          <t>A 51941-2023</t>
        </is>
      </c>
      <c r="B690" s="1" t="n">
        <v>45223</v>
      </c>
      <c r="C690" s="1" t="n">
        <v>46066</v>
      </c>
      <c r="D690" t="inlineStr">
        <is>
          <t>JÄMTLANDS LÄN</t>
        </is>
      </c>
      <c r="E690" t="inlineStr">
        <is>
          <t>ÖSTERSUND</t>
        </is>
      </c>
      <c r="G690" t="n">
        <v>4.6</v>
      </c>
      <c r="H690" t="n">
        <v>0</v>
      </c>
      <c r="I690" t="n">
        <v>0</v>
      </c>
      <c r="J690" t="n">
        <v>0</v>
      </c>
      <c r="K690" t="n">
        <v>0</v>
      </c>
      <c r="L690" t="n">
        <v>0</v>
      </c>
      <c r="M690" t="n">
        <v>0</v>
      </c>
      <c r="N690" t="n">
        <v>0</v>
      </c>
      <c r="O690" t="n">
        <v>0</v>
      </c>
      <c r="P690" t="n">
        <v>0</v>
      </c>
      <c r="Q690" t="n">
        <v>0</v>
      </c>
      <c r="R690" s="2" t="inlineStr"/>
    </row>
    <row r="691" ht="15" customHeight="1">
      <c r="A691" t="inlineStr">
        <is>
          <t>A 33831-2021</t>
        </is>
      </c>
      <c r="B691" s="1" t="n">
        <v>44378</v>
      </c>
      <c r="C691" s="1" t="n">
        <v>46066</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51936-2023</t>
        </is>
      </c>
      <c r="B692" s="1" t="n">
        <v>45223.5036574074</v>
      </c>
      <c r="C692" s="1" t="n">
        <v>46066</v>
      </c>
      <c r="D692" t="inlineStr">
        <is>
          <t>JÄMTLANDS LÄN</t>
        </is>
      </c>
      <c r="E692" t="inlineStr">
        <is>
          <t>ÖSTERSUND</t>
        </is>
      </c>
      <c r="G692" t="n">
        <v>8.4</v>
      </c>
      <c r="H692" t="n">
        <v>0</v>
      </c>
      <c r="I692" t="n">
        <v>0</v>
      </c>
      <c r="J692" t="n">
        <v>0</v>
      </c>
      <c r="K692" t="n">
        <v>0</v>
      </c>
      <c r="L692" t="n">
        <v>0</v>
      </c>
      <c r="M692" t="n">
        <v>0</v>
      </c>
      <c r="N692" t="n">
        <v>0</v>
      </c>
      <c r="O692" t="n">
        <v>0</v>
      </c>
      <c r="P692" t="n">
        <v>0</v>
      </c>
      <c r="Q692" t="n">
        <v>0</v>
      </c>
      <c r="R692" s="2" t="inlineStr"/>
    </row>
    <row r="693" ht="15" customHeight="1">
      <c r="A693" t="inlineStr">
        <is>
          <t>A 54973-2023</t>
        </is>
      </c>
      <c r="B693" s="1" t="n">
        <v>45236.92776620371</v>
      </c>
      <c r="C693" s="1" t="n">
        <v>46066</v>
      </c>
      <c r="D693" t="inlineStr">
        <is>
          <t>JÄMTLANDS LÄN</t>
        </is>
      </c>
      <c r="E693" t="inlineStr">
        <is>
          <t>ÖSTERSUND</t>
        </is>
      </c>
      <c r="G693" t="n">
        <v>15.4</v>
      </c>
      <c r="H693" t="n">
        <v>0</v>
      </c>
      <c r="I693" t="n">
        <v>0</v>
      </c>
      <c r="J693" t="n">
        <v>0</v>
      </c>
      <c r="K693" t="n">
        <v>0</v>
      </c>
      <c r="L693" t="n">
        <v>0</v>
      </c>
      <c r="M693" t="n">
        <v>0</v>
      </c>
      <c r="N693" t="n">
        <v>0</v>
      </c>
      <c r="O693" t="n">
        <v>0</v>
      </c>
      <c r="P693" t="n">
        <v>0</v>
      </c>
      <c r="Q693" t="n">
        <v>0</v>
      </c>
      <c r="R693" s="2" t="inlineStr"/>
    </row>
    <row r="694" ht="15" customHeight="1">
      <c r="A694" t="inlineStr">
        <is>
          <t>A 28179-2024</t>
        </is>
      </c>
      <c r="B694" s="1" t="n">
        <v>45477.26746527778</v>
      </c>
      <c r="C694" s="1" t="n">
        <v>46066</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13921-2023</t>
        </is>
      </c>
      <c r="B695" s="1" t="n">
        <v>45008</v>
      </c>
      <c r="C695" s="1" t="n">
        <v>46066</v>
      </c>
      <c r="D695" t="inlineStr">
        <is>
          <t>JÄMTLANDS LÄN</t>
        </is>
      </c>
      <c r="E695" t="inlineStr">
        <is>
          <t>ÖSTERSUND</t>
        </is>
      </c>
      <c r="G695" t="n">
        <v>0.3</v>
      </c>
      <c r="H695" t="n">
        <v>0</v>
      </c>
      <c r="I695" t="n">
        <v>0</v>
      </c>
      <c r="J695" t="n">
        <v>0</v>
      </c>
      <c r="K695" t="n">
        <v>0</v>
      </c>
      <c r="L695" t="n">
        <v>0</v>
      </c>
      <c r="M695" t="n">
        <v>0</v>
      </c>
      <c r="N695" t="n">
        <v>0</v>
      </c>
      <c r="O695" t="n">
        <v>0</v>
      </c>
      <c r="P695" t="n">
        <v>0</v>
      </c>
      <c r="Q695" t="n">
        <v>0</v>
      </c>
      <c r="R695" s="2" t="inlineStr"/>
    </row>
    <row r="696" ht="15" customHeight="1">
      <c r="A696" t="inlineStr">
        <is>
          <t>A 207-2025</t>
        </is>
      </c>
      <c r="B696" s="1" t="n">
        <v>45660.32672453704</v>
      </c>
      <c r="C696" s="1" t="n">
        <v>46066</v>
      </c>
      <c r="D696" t="inlineStr">
        <is>
          <t>JÄMTLANDS LÄN</t>
        </is>
      </c>
      <c r="E696" t="inlineStr">
        <is>
          <t>ÖSTERSUND</t>
        </is>
      </c>
      <c r="G696" t="n">
        <v>4</v>
      </c>
      <c r="H696" t="n">
        <v>0</v>
      </c>
      <c r="I696" t="n">
        <v>0</v>
      </c>
      <c r="J696" t="n">
        <v>0</v>
      </c>
      <c r="K696" t="n">
        <v>0</v>
      </c>
      <c r="L696" t="n">
        <v>0</v>
      </c>
      <c r="M696" t="n">
        <v>0</v>
      </c>
      <c r="N696" t="n">
        <v>0</v>
      </c>
      <c r="O696" t="n">
        <v>0</v>
      </c>
      <c r="P696" t="n">
        <v>0</v>
      </c>
      <c r="Q696" t="n">
        <v>0</v>
      </c>
      <c r="R696" s="2" t="inlineStr"/>
    </row>
    <row r="697" ht="15" customHeight="1">
      <c r="A697" t="inlineStr">
        <is>
          <t>A 13738-2025</t>
        </is>
      </c>
      <c r="B697" s="1" t="n">
        <v>45737.40131944444</v>
      </c>
      <c r="C697" s="1" t="n">
        <v>46066</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18577-2025</t>
        </is>
      </c>
      <c r="B698" s="1" t="n">
        <v>45763</v>
      </c>
      <c r="C698" s="1" t="n">
        <v>46066</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18578-2025</t>
        </is>
      </c>
      <c r="B699" s="1" t="n">
        <v>45763</v>
      </c>
      <c r="C699" s="1" t="n">
        <v>46066</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59691-2024</t>
        </is>
      </c>
      <c r="B700" s="1" t="n">
        <v>45639.40684027778</v>
      </c>
      <c r="C700" s="1" t="n">
        <v>46066</v>
      </c>
      <c r="D700" t="inlineStr">
        <is>
          <t>JÄMTLANDS LÄN</t>
        </is>
      </c>
      <c r="E700" t="inlineStr">
        <is>
          <t>ÖSTERSUND</t>
        </is>
      </c>
      <c r="F700" t="inlineStr">
        <is>
          <t>SCA</t>
        </is>
      </c>
      <c r="G700" t="n">
        <v>15.9</v>
      </c>
      <c r="H700" t="n">
        <v>0</v>
      </c>
      <c r="I700" t="n">
        <v>0</v>
      </c>
      <c r="J700" t="n">
        <v>0</v>
      </c>
      <c r="K700" t="n">
        <v>0</v>
      </c>
      <c r="L700" t="n">
        <v>0</v>
      </c>
      <c r="M700" t="n">
        <v>0</v>
      </c>
      <c r="N700" t="n">
        <v>0</v>
      </c>
      <c r="O700" t="n">
        <v>0</v>
      </c>
      <c r="P700" t="n">
        <v>0</v>
      </c>
      <c r="Q700" t="n">
        <v>0</v>
      </c>
      <c r="R700" s="2" t="inlineStr"/>
    </row>
    <row r="701" ht="15" customHeight="1">
      <c r="A701" t="inlineStr">
        <is>
          <t>A 13655-2025</t>
        </is>
      </c>
      <c r="B701" s="1" t="n">
        <v>45736.71956018519</v>
      </c>
      <c r="C701" s="1" t="n">
        <v>46066</v>
      </c>
      <c r="D701" t="inlineStr">
        <is>
          <t>JÄMTLANDS LÄN</t>
        </is>
      </c>
      <c r="E701" t="inlineStr">
        <is>
          <t>ÖSTERSUND</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23563-2022</t>
        </is>
      </c>
      <c r="B702" s="1" t="n">
        <v>44721.47241898148</v>
      </c>
      <c r="C702" s="1" t="n">
        <v>46066</v>
      </c>
      <c r="D702" t="inlineStr">
        <is>
          <t>JÄMTLANDS LÄN</t>
        </is>
      </c>
      <c r="E702" t="inlineStr">
        <is>
          <t>ÖSTERSUND</t>
        </is>
      </c>
      <c r="F702" t="inlineStr">
        <is>
          <t>Övriga Aktiebolag</t>
        </is>
      </c>
      <c r="G702" t="n">
        <v>3.7</v>
      </c>
      <c r="H702" t="n">
        <v>0</v>
      </c>
      <c r="I702" t="n">
        <v>0</v>
      </c>
      <c r="J702" t="n">
        <v>0</v>
      </c>
      <c r="K702" t="n">
        <v>0</v>
      </c>
      <c r="L702" t="n">
        <v>0</v>
      </c>
      <c r="M702" t="n">
        <v>0</v>
      </c>
      <c r="N702" t="n">
        <v>0</v>
      </c>
      <c r="O702" t="n">
        <v>0</v>
      </c>
      <c r="P702" t="n">
        <v>0</v>
      </c>
      <c r="Q702" t="n">
        <v>0</v>
      </c>
      <c r="R702" s="2" t="inlineStr"/>
    </row>
    <row r="703" ht="15" customHeight="1">
      <c r="A703" t="inlineStr">
        <is>
          <t>A 27118-2023</t>
        </is>
      </c>
      <c r="B703" s="1" t="n">
        <v>45096</v>
      </c>
      <c r="C703" s="1" t="n">
        <v>46066</v>
      </c>
      <c r="D703" t="inlineStr">
        <is>
          <t>JÄMTLANDS LÄN</t>
        </is>
      </c>
      <c r="E703" t="inlineStr">
        <is>
          <t>ÖSTERSUND</t>
        </is>
      </c>
      <c r="G703" t="n">
        <v>1.2</v>
      </c>
      <c r="H703" t="n">
        <v>0</v>
      </c>
      <c r="I703" t="n">
        <v>0</v>
      </c>
      <c r="J703" t="n">
        <v>0</v>
      </c>
      <c r="K703" t="n">
        <v>0</v>
      </c>
      <c r="L703" t="n">
        <v>0</v>
      </c>
      <c r="M703" t="n">
        <v>0</v>
      </c>
      <c r="N703" t="n">
        <v>0</v>
      </c>
      <c r="O703" t="n">
        <v>0</v>
      </c>
      <c r="P703" t="n">
        <v>0</v>
      </c>
      <c r="Q703" t="n">
        <v>0</v>
      </c>
      <c r="R703" s="2" t="inlineStr"/>
    </row>
    <row r="704" ht="15" customHeight="1">
      <c r="A704" t="inlineStr">
        <is>
          <t>A 8972-2022</t>
        </is>
      </c>
      <c r="B704" s="1" t="n">
        <v>44614.91989583334</v>
      </c>
      <c r="C704" s="1" t="n">
        <v>46066</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10305-2023</t>
        </is>
      </c>
      <c r="B705" s="1" t="n">
        <v>44986</v>
      </c>
      <c r="C705" s="1" t="n">
        <v>46066</v>
      </c>
      <c r="D705" t="inlineStr">
        <is>
          <t>JÄMTLANDS LÄN</t>
        </is>
      </c>
      <c r="E705" t="inlineStr">
        <is>
          <t>ÖSTERSUND</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51865-2024</t>
        </is>
      </c>
      <c r="B706" s="1" t="n">
        <v>45607.55260416667</v>
      </c>
      <c r="C706" s="1" t="n">
        <v>46066</v>
      </c>
      <c r="D706" t="inlineStr">
        <is>
          <t>JÄMTLANDS LÄN</t>
        </is>
      </c>
      <c r="E706" t="inlineStr">
        <is>
          <t>ÖSTERSUND</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46066</v>
      </c>
      <c r="D707" t="inlineStr">
        <is>
          <t>JÄMTLANDS LÄN</t>
        </is>
      </c>
      <c r="E707" t="inlineStr">
        <is>
          <t>ÖSTERSUND</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7953-2025</t>
        </is>
      </c>
      <c r="B708" s="1" t="n">
        <v>45707.42392361111</v>
      </c>
      <c r="C708" s="1" t="n">
        <v>46066</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4350-2024</t>
        </is>
      </c>
      <c r="B709" s="1" t="n">
        <v>45324.93804398148</v>
      </c>
      <c r="C709" s="1" t="n">
        <v>46066</v>
      </c>
      <c r="D709" t="inlineStr">
        <is>
          <t>JÄMTLANDS LÄN</t>
        </is>
      </c>
      <c r="E709" t="inlineStr">
        <is>
          <t>ÖSTERSUND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2756-2024</t>
        </is>
      </c>
      <c r="B710" s="1" t="n">
        <v>45314.58785879629</v>
      </c>
      <c r="C710" s="1" t="n">
        <v>46066</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70256-2021</t>
        </is>
      </c>
      <c r="B711" s="1" t="n">
        <v>44533</v>
      </c>
      <c r="C711" s="1" t="n">
        <v>46066</v>
      </c>
      <c r="D711" t="inlineStr">
        <is>
          <t>JÄMTLANDS LÄN</t>
        </is>
      </c>
      <c r="E711" t="inlineStr">
        <is>
          <t>ÖSTERSUND</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4136-2023</t>
        </is>
      </c>
      <c r="B712" s="1" t="n">
        <v>44952</v>
      </c>
      <c r="C712" s="1" t="n">
        <v>46066</v>
      </c>
      <c r="D712" t="inlineStr">
        <is>
          <t>JÄMTLANDS LÄN</t>
        </is>
      </c>
      <c r="E712" t="inlineStr">
        <is>
          <t>ÖSTERSUND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1893-2023</t>
        </is>
      </c>
      <c r="B713" s="1" t="n">
        <v>44937</v>
      </c>
      <c r="C713" s="1" t="n">
        <v>46066</v>
      </c>
      <c r="D713" t="inlineStr">
        <is>
          <t>JÄMTLANDS LÄN</t>
        </is>
      </c>
      <c r="E713" t="inlineStr">
        <is>
          <t>ÖSTERSUND</t>
        </is>
      </c>
      <c r="G713" t="n">
        <v>11</v>
      </c>
      <c r="H713" t="n">
        <v>0</v>
      </c>
      <c r="I713" t="n">
        <v>0</v>
      </c>
      <c r="J713" t="n">
        <v>0</v>
      </c>
      <c r="K713" t="n">
        <v>0</v>
      </c>
      <c r="L713" t="n">
        <v>0</v>
      </c>
      <c r="M713" t="n">
        <v>0</v>
      </c>
      <c r="N713" t="n">
        <v>0</v>
      </c>
      <c r="O713" t="n">
        <v>0</v>
      </c>
      <c r="P713" t="n">
        <v>0</v>
      </c>
      <c r="Q713" t="n">
        <v>0</v>
      </c>
      <c r="R713" s="2" t="inlineStr"/>
    </row>
    <row r="714" ht="15" customHeight="1">
      <c r="A714" t="inlineStr">
        <is>
          <t>A 57556-2024</t>
        </is>
      </c>
      <c r="B714" s="1" t="n">
        <v>45630</v>
      </c>
      <c r="C714" s="1" t="n">
        <v>46066</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19566-2024</t>
        </is>
      </c>
      <c r="B715" s="1" t="n">
        <v>45429.92313657407</v>
      </c>
      <c r="C715" s="1" t="n">
        <v>46066</v>
      </c>
      <c r="D715" t="inlineStr">
        <is>
          <t>JÄMTLANDS LÄN</t>
        </is>
      </c>
      <c r="E715" t="inlineStr">
        <is>
          <t>ÖSTERSUND</t>
        </is>
      </c>
      <c r="G715" t="n">
        <v>0</v>
      </c>
      <c r="H715" t="n">
        <v>0</v>
      </c>
      <c r="I715" t="n">
        <v>0</v>
      </c>
      <c r="J715" t="n">
        <v>0</v>
      </c>
      <c r="K715" t="n">
        <v>0</v>
      </c>
      <c r="L715" t="n">
        <v>0</v>
      </c>
      <c r="M715" t="n">
        <v>0</v>
      </c>
      <c r="N715" t="n">
        <v>0</v>
      </c>
      <c r="O715" t="n">
        <v>0</v>
      </c>
      <c r="P715" t="n">
        <v>0</v>
      </c>
      <c r="Q715" t="n">
        <v>0</v>
      </c>
      <c r="R715" s="2" t="inlineStr"/>
    </row>
    <row r="716" ht="15" customHeight="1">
      <c r="A716" t="inlineStr">
        <is>
          <t>A 9552-2025</t>
        </is>
      </c>
      <c r="B716" s="1" t="n">
        <v>45715.59545138889</v>
      </c>
      <c r="C716" s="1" t="n">
        <v>46066</v>
      </c>
      <c r="D716" t="inlineStr">
        <is>
          <t>JÄMTLANDS LÄN</t>
        </is>
      </c>
      <c r="E716" t="inlineStr">
        <is>
          <t>ÖSTERSUND</t>
        </is>
      </c>
      <c r="G716" t="n">
        <v>1.6</v>
      </c>
      <c r="H716" t="n">
        <v>0</v>
      </c>
      <c r="I716" t="n">
        <v>0</v>
      </c>
      <c r="J716" t="n">
        <v>0</v>
      </c>
      <c r="K716" t="n">
        <v>0</v>
      </c>
      <c r="L716" t="n">
        <v>0</v>
      </c>
      <c r="M716" t="n">
        <v>0</v>
      </c>
      <c r="N716" t="n">
        <v>0</v>
      </c>
      <c r="O716" t="n">
        <v>0</v>
      </c>
      <c r="P716" t="n">
        <v>0</v>
      </c>
      <c r="Q716" t="n">
        <v>0</v>
      </c>
      <c r="R716" s="2" t="inlineStr"/>
    </row>
    <row r="717" ht="15" customHeight="1">
      <c r="A717" t="inlineStr">
        <is>
          <t>A 13024-2022</t>
        </is>
      </c>
      <c r="B717" s="1" t="n">
        <v>44643</v>
      </c>
      <c r="C717" s="1" t="n">
        <v>46066</v>
      </c>
      <c r="D717" t="inlineStr">
        <is>
          <t>JÄMTLANDS LÄN</t>
        </is>
      </c>
      <c r="E717" t="inlineStr">
        <is>
          <t>ÖSTERSUND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7233-2025</t>
        </is>
      </c>
      <c r="B718" s="1" t="n">
        <v>45702.51765046296</v>
      </c>
      <c r="C718" s="1" t="n">
        <v>46066</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4966-2025</t>
        </is>
      </c>
      <c r="B719" s="1" t="n">
        <v>45690.63628472222</v>
      </c>
      <c r="C719" s="1" t="n">
        <v>46066</v>
      </c>
      <c r="D719" t="inlineStr">
        <is>
          <t>JÄMTLANDS LÄN</t>
        </is>
      </c>
      <c r="E719" t="inlineStr">
        <is>
          <t>ÖSTERSUND</t>
        </is>
      </c>
      <c r="G719" t="n">
        <v>3.4</v>
      </c>
      <c r="H719" t="n">
        <v>0</v>
      </c>
      <c r="I719" t="n">
        <v>0</v>
      </c>
      <c r="J719" t="n">
        <v>0</v>
      </c>
      <c r="K719" t="n">
        <v>0</v>
      </c>
      <c r="L719" t="n">
        <v>0</v>
      </c>
      <c r="M719" t="n">
        <v>0</v>
      </c>
      <c r="N719" t="n">
        <v>0</v>
      </c>
      <c r="O719" t="n">
        <v>0</v>
      </c>
      <c r="P719" t="n">
        <v>0</v>
      </c>
      <c r="Q719" t="n">
        <v>0</v>
      </c>
      <c r="R719" s="2" t="inlineStr"/>
    </row>
    <row r="720" ht="15" customHeight="1">
      <c r="A720" t="inlineStr">
        <is>
          <t>A 2615-2024</t>
        </is>
      </c>
      <c r="B720" s="1" t="n">
        <v>45313</v>
      </c>
      <c r="C720" s="1" t="n">
        <v>46066</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33002-2021</t>
        </is>
      </c>
      <c r="B721" s="1" t="n">
        <v>44375</v>
      </c>
      <c r="C721" s="1" t="n">
        <v>46066</v>
      </c>
      <c r="D721" t="inlineStr">
        <is>
          <t>JÄMTLANDS LÄN</t>
        </is>
      </c>
      <c r="E721" t="inlineStr">
        <is>
          <t>ÖSTERSUND</t>
        </is>
      </c>
      <c r="G721" t="n">
        <v>0.2</v>
      </c>
      <c r="H721" t="n">
        <v>0</v>
      </c>
      <c r="I721" t="n">
        <v>0</v>
      </c>
      <c r="J721" t="n">
        <v>0</v>
      </c>
      <c r="K721" t="n">
        <v>0</v>
      </c>
      <c r="L721" t="n">
        <v>0</v>
      </c>
      <c r="M721" t="n">
        <v>0</v>
      </c>
      <c r="N721" t="n">
        <v>0</v>
      </c>
      <c r="O721" t="n">
        <v>0</v>
      </c>
      <c r="P721" t="n">
        <v>0</v>
      </c>
      <c r="Q721" t="n">
        <v>0</v>
      </c>
      <c r="R721" s="2" t="inlineStr"/>
    </row>
    <row r="722" ht="15" customHeight="1">
      <c r="A722" t="inlineStr">
        <is>
          <t>A 14542-2025</t>
        </is>
      </c>
      <c r="B722" s="1" t="n">
        <v>45741.68631944444</v>
      </c>
      <c r="C722" s="1" t="n">
        <v>46066</v>
      </c>
      <c r="D722" t="inlineStr">
        <is>
          <t>JÄMTLANDS LÄN</t>
        </is>
      </c>
      <c r="E722" t="inlineStr">
        <is>
          <t>ÖSTERSUND</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24786-2024</t>
        </is>
      </c>
      <c r="B723" s="1" t="n">
        <v>45460.81277777778</v>
      </c>
      <c r="C723" s="1" t="n">
        <v>46066</v>
      </c>
      <c r="D723" t="inlineStr">
        <is>
          <t>JÄMTLANDS LÄN</t>
        </is>
      </c>
      <c r="E723" t="inlineStr">
        <is>
          <t>ÖSTERSUND</t>
        </is>
      </c>
      <c r="G723" t="n">
        <v>0.1</v>
      </c>
      <c r="H723" t="n">
        <v>0</v>
      </c>
      <c r="I723" t="n">
        <v>0</v>
      </c>
      <c r="J723" t="n">
        <v>0</v>
      </c>
      <c r="K723" t="n">
        <v>0</v>
      </c>
      <c r="L723" t="n">
        <v>0</v>
      </c>
      <c r="M723" t="n">
        <v>0</v>
      </c>
      <c r="N723" t="n">
        <v>0</v>
      </c>
      <c r="O723" t="n">
        <v>0</v>
      </c>
      <c r="P723" t="n">
        <v>0</v>
      </c>
      <c r="Q723" t="n">
        <v>0</v>
      </c>
      <c r="R723" s="2" t="inlineStr"/>
    </row>
    <row r="724" ht="15" customHeight="1">
      <c r="A724" t="inlineStr">
        <is>
          <t>A 53660-2024</t>
        </is>
      </c>
      <c r="B724" s="1" t="n">
        <v>45615.31297453704</v>
      </c>
      <c r="C724" s="1" t="n">
        <v>46066</v>
      </c>
      <c r="D724" t="inlineStr">
        <is>
          <t>JÄMTLANDS LÄN</t>
        </is>
      </c>
      <c r="E724" t="inlineStr">
        <is>
          <t>ÖSTERSUND</t>
        </is>
      </c>
      <c r="G724" t="n">
        <v>1.1</v>
      </c>
      <c r="H724" t="n">
        <v>0</v>
      </c>
      <c r="I724" t="n">
        <v>0</v>
      </c>
      <c r="J724" t="n">
        <v>0</v>
      </c>
      <c r="K724" t="n">
        <v>0</v>
      </c>
      <c r="L724" t="n">
        <v>0</v>
      </c>
      <c r="M724" t="n">
        <v>0</v>
      </c>
      <c r="N724" t="n">
        <v>0</v>
      </c>
      <c r="O724" t="n">
        <v>0</v>
      </c>
      <c r="P724" t="n">
        <v>0</v>
      </c>
      <c r="Q724" t="n">
        <v>0</v>
      </c>
      <c r="R724" s="2" t="inlineStr"/>
    </row>
    <row r="725" ht="15" customHeight="1">
      <c r="A725" t="inlineStr">
        <is>
          <t>A 16682-2023</t>
        </is>
      </c>
      <c r="B725" s="1" t="n">
        <v>45028</v>
      </c>
      <c r="C725" s="1" t="n">
        <v>46066</v>
      </c>
      <c r="D725" t="inlineStr">
        <is>
          <t>JÄMTLANDS LÄN</t>
        </is>
      </c>
      <c r="E725" t="inlineStr">
        <is>
          <t>ÖSTERSUND</t>
        </is>
      </c>
      <c r="G725" t="n">
        <v>7.9</v>
      </c>
      <c r="H725" t="n">
        <v>0</v>
      </c>
      <c r="I725" t="n">
        <v>0</v>
      </c>
      <c r="J725" t="n">
        <v>0</v>
      </c>
      <c r="K725" t="n">
        <v>0</v>
      </c>
      <c r="L725" t="n">
        <v>0</v>
      </c>
      <c r="M725" t="n">
        <v>0</v>
      </c>
      <c r="N725" t="n">
        <v>0</v>
      </c>
      <c r="O725" t="n">
        <v>0</v>
      </c>
      <c r="P725" t="n">
        <v>0</v>
      </c>
      <c r="Q725" t="n">
        <v>0</v>
      </c>
      <c r="R725" s="2" t="inlineStr"/>
    </row>
    <row r="726" ht="15" customHeight="1">
      <c r="A726" t="inlineStr">
        <is>
          <t>A 1670-2024</t>
        </is>
      </c>
      <c r="B726" s="1" t="n">
        <v>45306</v>
      </c>
      <c r="C726" s="1" t="n">
        <v>46066</v>
      </c>
      <c r="D726" t="inlineStr">
        <is>
          <t>JÄMTLANDS LÄN</t>
        </is>
      </c>
      <c r="E726" t="inlineStr">
        <is>
          <t>ÖSTERSUND</t>
        </is>
      </c>
      <c r="G726" t="n">
        <v>1.2</v>
      </c>
      <c r="H726" t="n">
        <v>0</v>
      </c>
      <c r="I726" t="n">
        <v>0</v>
      </c>
      <c r="J726" t="n">
        <v>0</v>
      </c>
      <c r="K726" t="n">
        <v>0</v>
      </c>
      <c r="L726" t="n">
        <v>0</v>
      </c>
      <c r="M726" t="n">
        <v>0</v>
      </c>
      <c r="N726" t="n">
        <v>0</v>
      </c>
      <c r="O726" t="n">
        <v>0</v>
      </c>
      <c r="P726" t="n">
        <v>0</v>
      </c>
      <c r="Q726" t="n">
        <v>0</v>
      </c>
      <c r="R726" s="2" t="inlineStr"/>
    </row>
    <row r="727" ht="15" customHeight="1">
      <c r="A727" t="inlineStr">
        <is>
          <t>A 56111-2022</t>
        </is>
      </c>
      <c r="B727" s="1" t="n">
        <v>44889</v>
      </c>
      <c r="C727" s="1" t="n">
        <v>46066</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14867-2025</t>
        </is>
      </c>
      <c r="B728" s="1" t="n">
        <v>45743.44207175926</v>
      </c>
      <c r="C728" s="1" t="n">
        <v>46066</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5544-2025</t>
        </is>
      </c>
      <c r="B729" s="1" t="n">
        <v>45693</v>
      </c>
      <c r="C729" s="1" t="n">
        <v>46066</v>
      </c>
      <c r="D729" t="inlineStr">
        <is>
          <t>JÄMTLANDS LÄN</t>
        </is>
      </c>
      <c r="E729" t="inlineStr">
        <is>
          <t>ÖSTERSUND</t>
        </is>
      </c>
      <c r="G729" t="n">
        <v>5.8</v>
      </c>
      <c r="H729" t="n">
        <v>0</v>
      </c>
      <c r="I729" t="n">
        <v>0</v>
      </c>
      <c r="J729" t="n">
        <v>0</v>
      </c>
      <c r="K729" t="n">
        <v>0</v>
      </c>
      <c r="L729" t="n">
        <v>0</v>
      </c>
      <c r="M729" t="n">
        <v>0</v>
      </c>
      <c r="N729" t="n">
        <v>0</v>
      </c>
      <c r="O729" t="n">
        <v>0</v>
      </c>
      <c r="P729" t="n">
        <v>0</v>
      </c>
      <c r="Q729" t="n">
        <v>0</v>
      </c>
      <c r="R729" s="2" t="inlineStr"/>
    </row>
    <row r="730" ht="15" customHeight="1">
      <c r="A730" t="inlineStr">
        <is>
          <t>A 4707-2024</t>
        </is>
      </c>
      <c r="B730" s="1" t="n">
        <v>45328</v>
      </c>
      <c r="C730" s="1" t="n">
        <v>46066</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231-2022</t>
        </is>
      </c>
      <c r="B731" s="1" t="n">
        <v>44564.93909722222</v>
      </c>
      <c r="C731" s="1" t="n">
        <v>46066</v>
      </c>
      <c r="D731" t="inlineStr">
        <is>
          <t>JÄMTLANDS LÄN</t>
        </is>
      </c>
      <c r="E731" t="inlineStr">
        <is>
          <t>ÖSTERSUND</t>
        </is>
      </c>
      <c r="G731" t="n">
        <v>1.9</v>
      </c>
      <c r="H731" t="n">
        <v>0</v>
      </c>
      <c r="I731" t="n">
        <v>0</v>
      </c>
      <c r="J731" t="n">
        <v>0</v>
      </c>
      <c r="K731" t="n">
        <v>0</v>
      </c>
      <c r="L731" t="n">
        <v>0</v>
      </c>
      <c r="M731" t="n">
        <v>0</v>
      </c>
      <c r="N731" t="n">
        <v>0</v>
      </c>
      <c r="O731" t="n">
        <v>0</v>
      </c>
      <c r="P731" t="n">
        <v>0</v>
      </c>
      <c r="Q731" t="n">
        <v>0</v>
      </c>
      <c r="R731" s="2" t="inlineStr"/>
    </row>
    <row r="732" ht="15" customHeight="1">
      <c r="A732" t="inlineStr">
        <is>
          <t>A 58952-2024</t>
        </is>
      </c>
      <c r="B732" s="1" t="n">
        <v>45636.5674537037</v>
      </c>
      <c r="C732" s="1" t="n">
        <v>46066</v>
      </c>
      <c r="D732" t="inlineStr">
        <is>
          <t>JÄMTLANDS LÄN</t>
        </is>
      </c>
      <c r="E732" t="inlineStr">
        <is>
          <t>ÖSTERSUND</t>
        </is>
      </c>
      <c r="G732" t="n">
        <v>3.7</v>
      </c>
      <c r="H732" t="n">
        <v>0</v>
      </c>
      <c r="I732" t="n">
        <v>0</v>
      </c>
      <c r="J732" t="n">
        <v>0</v>
      </c>
      <c r="K732" t="n">
        <v>0</v>
      </c>
      <c r="L732" t="n">
        <v>0</v>
      </c>
      <c r="M732" t="n">
        <v>0</v>
      </c>
      <c r="N732" t="n">
        <v>0</v>
      </c>
      <c r="O732" t="n">
        <v>0</v>
      </c>
      <c r="P732" t="n">
        <v>0</v>
      </c>
      <c r="Q732" t="n">
        <v>0</v>
      </c>
      <c r="R732" s="2" t="inlineStr"/>
    </row>
    <row r="733" ht="15" customHeight="1">
      <c r="A733" t="inlineStr">
        <is>
          <t>A 46748-2023</t>
        </is>
      </c>
      <c r="B733" s="1" t="n">
        <v>45198</v>
      </c>
      <c r="C733" s="1" t="n">
        <v>46066</v>
      </c>
      <c r="D733" t="inlineStr">
        <is>
          <t>JÄMTLANDS LÄN</t>
        </is>
      </c>
      <c r="E733" t="inlineStr">
        <is>
          <t>ÖSTERSUND</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46763-2023</t>
        </is>
      </c>
      <c r="B734" s="1" t="n">
        <v>45198</v>
      </c>
      <c r="C734" s="1" t="n">
        <v>46066</v>
      </c>
      <c r="D734" t="inlineStr">
        <is>
          <t>JÄMTLANDS LÄN</t>
        </is>
      </c>
      <c r="E734" t="inlineStr">
        <is>
          <t>ÖSTERSUND</t>
        </is>
      </c>
      <c r="F734" t="inlineStr">
        <is>
          <t>Sveaskog</t>
        </is>
      </c>
      <c r="G734" t="n">
        <v>13.3</v>
      </c>
      <c r="H734" t="n">
        <v>0</v>
      </c>
      <c r="I734" t="n">
        <v>0</v>
      </c>
      <c r="J734" t="n">
        <v>0</v>
      </c>
      <c r="K734" t="n">
        <v>0</v>
      </c>
      <c r="L734" t="n">
        <v>0</v>
      </c>
      <c r="M734" t="n">
        <v>0</v>
      </c>
      <c r="N734" t="n">
        <v>0</v>
      </c>
      <c r="O734" t="n">
        <v>0</v>
      </c>
      <c r="P734" t="n">
        <v>0</v>
      </c>
      <c r="Q734" t="n">
        <v>0</v>
      </c>
      <c r="R734" s="2" t="inlineStr"/>
    </row>
    <row r="735" ht="15" customHeight="1">
      <c r="A735" t="inlineStr">
        <is>
          <t>A 5341-2025</t>
        </is>
      </c>
      <c r="B735" s="1" t="n">
        <v>45692.55256944444</v>
      </c>
      <c r="C735" s="1" t="n">
        <v>46066</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21060-2025</t>
        </is>
      </c>
      <c r="B736" s="1" t="n">
        <v>45777.58025462963</v>
      </c>
      <c r="C736" s="1" t="n">
        <v>46066</v>
      </c>
      <c r="D736" t="inlineStr">
        <is>
          <t>JÄMTLANDS LÄN</t>
        </is>
      </c>
      <c r="E736" t="inlineStr">
        <is>
          <t>ÖSTERSUND</t>
        </is>
      </c>
      <c r="G736" t="n">
        <v>2.9</v>
      </c>
      <c r="H736" t="n">
        <v>0</v>
      </c>
      <c r="I736" t="n">
        <v>0</v>
      </c>
      <c r="J736" t="n">
        <v>0</v>
      </c>
      <c r="K736" t="n">
        <v>0</v>
      </c>
      <c r="L736" t="n">
        <v>0</v>
      </c>
      <c r="M736" t="n">
        <v>0</v>
      </c>
      <c r="N736" t="n">
        <v>0</v>
      </c>
      <c r="O736" t="n">
        <v>0</v>
      </c>
      <c r="P736" t="n">
        <v>0</v>
      </c>
      <c r="Q736" t="n">
        <v>0</v>
      </c>
      <c r="R736" s="2" t="inlineStr"/>
    </row>
    <row r="737" ht="15" customHeight="1">
      <c r="A737" t="inlineStr">
        <is>
          <t>A 21094-2025</t>
        </is>
      </c>
      <c r="B737" s="1" t="n">
        <v>45777.62665509259</v>
      </c>
      <c r="C737" s="1" t="n">
        <v>46066</v>
      </c>
      <c r="D737" t="inlineStr">
        <is>
          <t>JÄMTLANDS LÄN</t>
        </is>
      </c>
      <c r="E737" t="inlineStr">
        <is>
          <t>ÖSTERSUND</t>
        </is>
      </c>
      <c r="G737" t="n">
        <v>3.3</v>
      </c>
      <c r="H737" t="n">
        <v>0</v>
      </c>
      <c r="I737" t="n">
        <v>0</v>
      </c>
      <c r="J737" t="n">
        <v>0</v>
      </c>
      <c r="K737" t="n">
        <v>0</v>
      </c>
      <c r="L737" t="n">
        <v>0</v>
      </c>
      <c r="M737" t="n">
        <v>0</v>
      </c>
      <c r="N737" t="n">
        <v>0</v>
      </c>
      <c r="O737" t="n">
        <v>0</v>
      </c>
      <c r="P737" t="n">
        <v>0</v>
      </c>
      <c r="Q737" t="n">
        <v>0</v>
      </c>
      <c r="R737" s="2" t="inlineStr"/>
    </row>
    <row r="738" ht="15" customHeight="1">
      <c r="A738" t="inlineStr">
        <is>
          <t>A 21237-2025</t>
        </is>
      </c>
      <c r="B738" s="1" t="n">
        <v>45779</v>
      </c>
      <c r="C738" s="1" t="n">
        <v>46066</v>
      </c>
      <c r="D738" t="inlineStr">
        <is>
          <t>JÄMTLANDS LÄN</t>
        </is>
      </c>
      <c r="E738" t="inlineStr">
        <is>
          <t>ÖSTERSUND</t>
        </is>
      </c>
      <c r="G738" t="n">
        <v>0.4</v>
      </c>
      <c r="H738" t="n">
        <v>0</v>
      </c>
      <c r="I738" t="n">
        <v>0</v>
      </c>
      <c r="J738" t="n">
        <v>0</v>
      </c>
      <c r="K738" t="n">
        <v>0</v>
      </c>
      <c r="L738" t="n">
        <v>0</v>
      </c>
      <c r="M738" t="n">
        <v>0</v>
      </c>
      <c r="N738" t="n">
        <v>0</v>
      </c>
      <c r="O738" t="n">
        <v>0</v>
      </c>
      <c r="P738" t="n">
        <v>0</v>
      </c>
      <c r="Q738" t="n">
        <v>0</v>
      </c>
      <c r="R738" s="2" t="inlineStr"/>
    </row>
    <row r="739" ht="15" customHeight="1">
      <c r="A739" t="inlineStr">
        <is>
          <t>A 16812-2025</t>
        </is>
      </c>
      <c r="B739" s="1" t="n">
        <v>45754</v>
      </c>
      <c r="C739" s="1" t="n">
        <v>46066</v>
      </c>
      <c r="D739" t="inlineStr">
        <is>
          <t>JÄMTLANDS LÄN</t>
        </is>
      </c>
      <c r="E739" t="inlineStr">
        <is>
          <t>ÖSTERSUND</t>
        </is>
      </c>
      <c r="F739" t="inlineStr">
        <is>
          <t>Övriga statliga verk och myndigheter</t>
        </is>
      </c>
      <c r="G739" t="n">
        <v>3.7</v>
      </c>
      <c r="H739" t="n">
        <v>0</v>
      </c>
      <c r="I739" t="n">
        <v>0</v>
      </c>
      <c r="J739" t="n">
        <v>0</v>
      </c>
      <c r="K739" t="n">
        <v>0</v>
      </c>
      <c r="L739" t="n">
        <v>0</v>
      </c>
      <c r="M739" t="n">
        <v>0</v>
      </c>
      <c r="N739" t="n">
        <v>0</v>
      </c>
      <c r="O739" t="n">
        <v>0</v>
      </c>
      <c r="P739" t="n">
        <v>0</v>
      </c>
      <c r="Q739" t="n">
        <v>0</v>
      </c>
      <c r="R739" s="2" t="inlineStr"/>
    </row>
    <row r="740" ht="15" customHeight="1">
      <c r="A740" t="inlineStr">
        <is>
          <t>A 14848-2025</t>
        </is>
      </c>
      <c r="B740" s="1" t="n">
        <v>45743.39528935185</v>
      </c>
      <c r="C740" s="1" t="n">
        <v>46066</v>
      </c>
      <c r="D740" t="inlineStr">
        <is>
          <t>JÄMTLANDS LÄN</t>
        </is>
      </c>
      <c r="E740" t="inlineStr">
        <is>
          <t>ÖSTERSUND</t>
        </is>
      </c>
      <c r="G740" t="n">
        <v>12.1</v>
      </c>
      <c r="H740" t="n">
        <v>0</v>
      </c>
      <c r="I740" t="n">
        <v>0</v>
      </c>
      <c r="J740" t="n">
        <v>0</v>
      </c>
      <c r="K740" t="n">
        <v>0</v>
      </c>
      <c r="L740" t="n">
        <v>0</v>
      </c>
      <c r="M740" t="n">
        <v>0</v>
      </c>
      <c r="N740" t="n">
        <v>0</v>
      </c>
      <c r="O740" t="n">
        <v>0</v>
      </c>
      <c r="P740" t="n">
        <v>0</v>
      </c>
      <c r="Q740" t="n">
        <v>0</v>
      </c>
      <c r="R740" s="2" t="inlineStr"/>
    </row>
    <row r="741" ht="15" customHeight="1">
      <c r="A741" t="inlineStr">
        <is>
          <t>A 16725-2025</t>
        </is>
      </c>
      <c r="B741" s="1" t="n">
        <v>45754</v>
      </c>
      <c r="C741" s="1" t="n">
        <v>46066</v>
      </c>
      <c r="D741" t="inlineStr">
        <is>
          <t>JÄMTLANDS LÄN</t>
        </is>
      </c>
      <c r="E741" t="inlineStr">
        <is>
          <t>ÖSTERSUND</t>
        </is>
      </c>
      <c r="F741" t="inlineStr">
        <is>
          <t>Övriga statliga verk och myndigheter</t>
        </is>
      </c>
      <c r="G741" t="n">
        <v>3.7</v>
      </c>
      <c r="H741" t="n">
        <v>0</v>
      </c>
      <c r="I741" t="n">
        <v>0</v>
      </c>
      <c r="J741" t="n">
        <v>0</v>
      </c>
      <c r="K741" t="n">
        <v>0</v>
      </c>
      <c r="L741" t="n">
        <v>0</v>
      </c>
      <c r="M741" t="n">
        <v>0</v>
      </c>
      <c r="N741" t="n">
        <v>0</v>
      </c>
      <c r="O741" t="n">
        <v>0</v>
      </c>
      <c r="P741" t="n">
        <v>0</v>
      </c>
      <c r="Q741" t="n">
        <v>0</v>
      </c>
      <c r="R741" s="2" t="inlineStr"/>
    </row>
    <row r="742" ht="15" customHeight="1">
      <c r="A742" t="inlineStr">
        <is>
          <t>A 4480-2025</t>
        </is>
      </c>
      <c r="B742" s="1" t="n">
        <v>45686.64175925926</v>
      </c>
      <c r="C742" s="1" t="n">
        <v>46066</v>
      </c>
      <c r="D742" t="inlineStr">
        <is>
          <t>JÄMTLANDS LÄN</t>
        </is>
      </c>
      <c r="E742" t="inlineStr">
        <is>
          <t>ÖSTERSUND</t>
        </is>
      </c>
      <c r="G742" t="n">
        <v>27.7</v>
      </c>
      <c r="H742" t="n">
        <v>0</v>
      </c>
      <c r="I742" t="n">
        <v>0</v>
      </c>
      <c r="J742" t="n">
        <v>0</v>
      </c>
      <c r="K742" t="n">
        <v>0</v>
      </c>
      <c r="L742" t="n">
        <v>0</v>
      </c>
      <c r="M742" t="n">
        <v>0</v>
      </c>
      <c r="N742" t="n">
        <v>0</v>
      </c>
      <c r="O742" t="n">
        <v>0</v>
      </c>
      <c r="P742" t="n">
        <v>0</v>
      </c>
      <c r="Q742" t="n">
        <v>0</v>
      </c>
      <c r="R742" s="2" t="inlineStr"/>
    </row>
    <row r="743" ht="15" customHeight="1">
      <c r="A743" t="inlineStr">
        <is>
          <t>A 22612-2025</t>
        </is>
      </c>
      <c r="B743" s="1" t="n">
        <v>45789.42538194444</v>
      </c>
      <c r="C743" s="1" t="n">
        <v>46066</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17948-2025</t>
        </is>
      </c>
      <c r="B744" s="1" t="n">
        <v>45760.66995370371</v>
      </c>
      <c r="C744" s="1" t="n">
        <v>46066</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4520-2025</t>
        </is>
      </c>
      <c r="B745" s="1" t="n">
        <v>45686.92384259259</v>
      </c>
      <c r="C745" s="1" t="n">
        <v>46066</v>
      </c>
      <c r="D745" t="inlineStr">
        <is>
          <t>JÄMTLANDS LÄN</t>
        </is>
      </c>
      <c r="E745" t="inlineStr">
        <is>
          <t>ÖSTERSUND</t>
        </is>
      </c>
      <c r="G745" t="n">
        <v>15.2</v>
      </c>
      <c r="H745" t="n">
        <v>0</v>
      </c>
      <c r="I745" t="n">
        <v>0</v>
      </c>
      <c r="J745" t="n">
        <v>0</v>
      </c>
      <c r="K745" t="n">
        <v>0</v>
      </c>
      <c r="L745" t="n">
        <v>0</v>
      </c>
      <c r="M745" t="n">
        <v>0</v>
      </c>
      <c r="N745" t="n">
        <v>0</v>
      </c>
      <c r="O745" t="n">
        <v>0</v>
      </c>
      <c r="P745" t="n">
        <v>0</v>
      </c>
      <c r="Q745" t="n">
        <v>0</v>
      </c>
      <c r="R745" s="2" t="inlineStr"/>
    </row>
    <row r="746" ht="15" customHeight="1">
      <c r="A746" t="inlineStr">
        <is>
          <t>A 4523-2025</t>
        </is>
      </c>
      <c r="B746" s="1" t="n">
        <v>45686.92864583333</v>
      </c>
      <c r="C746" s="1" t="n">
        <v>46066</v>
      </c>
      <c r="D746" t="inlineStr">
        <is>
          <t>JÄMTLANDS LÄN</t>
        </is>
      </c>
      <c r="E746" t="inlineStr">
        <is>
          <t>ÖSTERSUND</t>
        </is>
      </c>
      <c r="G746" t="n">
        <v>15.2</v>
      </c>
      <c r="H746" t="n">
        <v>0</v>
      </c>
      <c r="I746" t="n">
        <v>0</v>
      </c>
      <c r="J746" t="n">
        <v>0</v>
      </c>
      <c r="K746" t="n">
        <v>0</v>
      </c>
      <c r="L746" t="n">
        <v>0</v>
      </c>
      <c r="M746" t="n">
        <v>0</v>
      </c>
      <c r="N746" t="n">
        <v>0</v>
      </c>
      <c r="O746" t="n">
        <v>0</v>
      </c>
      <c r="P746" t="n">
        <v>0</v>
      </c>
      <c r="Q746" t="n">
        <v>0</v>
      </c>
      <c r="R746" s="2" t="inlineStr"/>
    </row>
    <row r="747" ht="15" customHeight="1">
      <c r="A747" t="inlineStr">
        <is>
          <t>A 22713-2025</t>
        </is>
      </c>
      <c r="B747" s="1" t="n">
        <v>45789.56414351852</v>
      </c>
      <c r="C747" s="1" t="n">
        <v>46066</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22822-2025</t>
        </is>
      </c>
      <c r="B748" s="1" t="n">
        <v>45789</v>
      </c>
      <c r="C748" s="1" t="n">
        <v>46066</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22384-2025</t>
        </is>
      </c>
      <c r="B749" s="1" t="n">
        <v>45786</v>
      </c>
      <c r="C749" s="1" t="n">
        <v>46066</v>
      </c>
      <c r="D749" t="inlineStr">
        <is>
          <t>JÄMTLANDS LÄN</t>
        </is>
      </c>
      <c r="E749" t="inlineStr">
        <is>
          <t>ÖSTERSUND</t>
        </is>
      </c>
      <c r="G749" t="n">
        <v>1.4</v>
      </c>
      <c r="H749" t="n">
        <v>0</v>
      </c>
      <c r="I749" t="n">
        <v>0</v>
      </c>
      <c r="J749" t="n">
        <v>0</v>
      </c>
      <c r="K749" t="n">
        <v>0</v>
      </c>
      <c r="L749" t="n">
        <v>0</v>
      </c>
      <c r="M749" t="n">
        <v>0</v>
      </c>
      <c r="N749" t="n">
        <v>0</v>
      </c>
      <c r="O749" t="n">
        <v>0</v>
      </c>
      <c r="P749" t="n">
        <v>0</v>
      </c>
      <c r="Q749" t="n">
        <v>0</v>
      </c>
      <c r="R749" s="2" t="inlineStr"/>
    </row>
    <row r="750" ht="15" customHeight="1">
      <c r="A750" t="inlineStr">
        <is>
          <t>A 23249-2025</t>
        </is>
      </c>
      <c r="B750" s="1" t="n">
        <v>45791</v>
      </c>
      <c r="C750" s="1" t="n">
        <v>46066</v>
      </c>
      <c r="D750" t="inlineStr">
        <is>
          <t>JÄMTLANDS LÄN</t>
        </is>
      </c>
      <c r="E750" t="inlineStr">
        <is>
          <t>ÖSTERSUND</t>
        </is>
      </c>
      <c r="G750" t="n">
        <v>10</v>
      </c>
      <c r="H750" t="n">
        <v>0</v>
      </c>
      <c r="I750" t="n">
        <v>0</v>
      </c>
      <c r="J750" t="n">
        <v>0</v>
      </c>
      <c r="K750" t="n">
        <v>0</v>
      </c>
      <c r="L750" t="n">
        <v>0</v>
      </c>
      <c r="M750" t="n">
        <v>0</v>
      </c>
      <c r="N750" t="n">
        <v>0</v>
      </c>
      <c r="O750" t="n">
        <v>0</v>
      </c>
      <c r="P750" t="n">
        <v>0</v>
      </c>
      <c r="Q750" t="n">
        <v>0</v>
      </c>
      <c r="R750" s="2" t="inlineStr"/>
    </row>
    <row r="751" ht="15" customHeight="1">
      <c r="A751" t="inlineStr">
        <is>
          <t>A 7938-2025</t>
        </is>
      </c>
      <c r="B751" s="1" t="n">
        <v>45707</v>
      </c>
      <c r="C751" s="1" t="n">
        <v>46066</v>
      </c>
      <c r="D751" t="inlineStr">
        <is>
          <t>JÄMTLANDS LÄN</t>
        </is>
      </c>
      <c r="E751" t="inlineStr">
        <is>
          <t>ÖSTERSUND</t>
        </is>
      </c>
      <c r="G751" t="n">
        <v>3</v>
      </c>
      <c r="H751" t="n">
        <v>0</v>
      </c>
      <c r="I751" t="n">
        <v>0</v>
      </c>
      <c r="J751" t="n">
        <v>0</v>
      </c>
      <c r="K751" t="n">
        <v>0</v>
      </c>
      <c r="L751" t="n">
        <v>0</v>
      </c>
      <c r="M751" t="n">
        <v>0</v>
      </c>
      <c r="N751" t="n">
        <v>0</v>
      </c>
      <c r="O751" t="n">
        <v>0</v>
      </c>
      <c r="P751" t="n">
        <v>0</v>
      </c>
      <c r="Q751" t="n">
        <v>0</v>
      </c>
      <c r="R751" s="2" t="inlineStr"/>
    </row>
    <row r="752" ht="15" customHeight="1">
      <c r="A752" t="inlineStr">
        <is>
          <t>A 23100-2025</t>
        </is>
      </c>
      <c r="B752" s="1" t="n">
        <v>45791.35212962963</v>
      </c>
      <c r="C752" s="1" t="n">
        <v>46066</v>
      </c>
      <c r="D752" t="inlineStr">
        <is>
          <t>JÄMTLANDS LÄN</t>
        </is>
      </c>
      <c r="E752" t="inlineStr">
        <is>
          <t>ÖSTERSUND</t>
        </is>
      </c>
      <c r="G752" t="n">
        <v>4.5</v>
      </c>
      <c r="H752" t="n">
        <v>0</v>
      </c>
      <c r="I752" t="n">
        <v>0</v>
      </c>
      <c r="J752" t="n">
        <v>0</v>
      </c>
      <c r="K752" t="n">
        <v>0</v>
      </c>
      <c r="L752" t="n">
        <v>0</v>
      </c>
      <c r="M752" t="n">
        <v>0</v>
      </c>
      <c r="N752" t="n">
        <v>0</v>
      </c>
      <c r="O752" t="n">
        <v>0</v>
      </c>
      <c r="P752" t="n">
        <v>0</v>
      </c>
      <c r="Q752" t="n">
        <v>0</v>
      </c>
      <c r="R752" s="2" t="inlineStr"/>
    </row>
    <row r="753" ht="15" customHeight="1">
      <c r="A753" t="inlineStr">
        <is>
          <t>A 23110-2025</t>
        </is>
      </c>
      <c r="B753" s="1" t="n">
        <v>45791.36526620371</v>
      </c>
      <c r="C753" s="1" t="n">
        <v>46066</v>
      </c>
      <c r="D753" t="inlineStr">
        <is>
          <t>JÄMTLANDS LÄN</t>
        </is>
      </c>
      <c r="E753" t="inlineStr">
        <is>
          <t>ÖSTERSUND</t>
        </is>
      </c>
      <c r="G753" t="n">
        <v>1</v>
      </c>
      <c r="H753" t="n">
        <v>0</v>
      </c>
      <c r="I753" t="n">
        <v>0</v>
      </c>
      <c r="J753" t="n">
        <v>0</v>
      </c>
      <c r="K753" t="n">
        <v>0</v>
      </c>
      <c r="L753" t="n">
        <v>0</v>
      </c>
      <c r="M753" t="n">
        <v>0</v>
      </c>
      <c r="N753" t="n">
        <v>0</v>
      </c>
      <c r="O753" t="n">
        <v>0</v>
      </c>
      <c r="P753" t="n">
        <v>0</v>
      </c>
      <c r="Q753" t="n">
        <v>0</v>
      </c>
      <c r="R753" s="2" t="inlineStr"/>
    </row>
    <row r="754" ht="15" customHeight="1">
      <c r="A754" t="inlineStr">
        <is>
          <t>A 22920-2025</t>
        </is>
      </c>
      <c r="B754" s="1" t="n">
        <v>45790.43905092592</v>
      </c>
      <c r="C754" s="1" t="n">
        <v>46066</v>
      </c>
      <c r="D754" t="inlineStr">
        <is>
          <t>JÄMTLANDS LÄN</t>
        </is>
      </c>
      <c r="E754" t="inlineStr">
        <is>
          <t>ÖSTERSUND</t>
        </is>
      </c>
      <c r="G754" t="n">
        <v>0.4</v>
      </c>
      <c r="H754" t="n">
        <v>0</v>
      </c>
      <c r="I754" t="n">
        <v>0</v>
      </c>
      <c r="J754" t="n">
        <v>0</v>
      </c>
      <c r="K754" t="n">
        <v>0</v>
      </c>
      <c r="L754" t="n">
        <v>0</v>
      </c>
      <c r="M754" t="n">
        <v>0</v>
      </c>
      <c r="N754" t="n">
        <v>0</v>
      </c>
      <c r="O754" t="n">
        <v>0</v>
      </c>
      <c r="P754" t="n">
        <v>0</v>
      </c>
      <c r="Q754" t="n">
        <v>0</v>
      </c>
      <c r="R754" s="2" t="inlineStr"/>
    </row>
    <row r="755">
      <c r="A755" t="inlineStr">
        <is>
          <t>A 23078-2025</t>
        </is>
      </c>
      <c r="B755" s="1" t="n">
        <v>45791.27984953704</v>
      </c>
      <c r="C755" s="1" t="n">
        <v>46066</v>
      </c>
      <c r="D755" t="inlineStr">
        <is>
          <t>JÄMTLANDS LÄN</t>
        </is>
      </c>
      <c r="E755" t="inlineStr">
        <is>
          <t>ÖSTERSUND</t>
        </is>
      </c>
      <c r="G755" t="n">
        <v>2.8</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2026-02-13T11:04:37Z</dcterms:created>
  <dcterms:modified xmlns:dcterms="http://purl.org/dc/terms/" xmlns:xsi="http://www.w3.org/2001/XMLSchema-instance" xsi:type="dcterms:W3CDTF">2026-02-13T11:04:38Z</dcterms:modified>
</cp:coreProperties>
</file>