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45850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45850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45850</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45850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45850</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45850</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45850</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45850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45850</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45850</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45850</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45850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45850</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45850</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45850</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45850</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45850</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45850</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45850</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45850</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45850</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45850</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45850</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45850</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45850</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45850</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45850</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45850</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45850</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45850</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45850</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45850</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45850</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45850</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45850</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45850</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45850</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45850</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45850</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45850</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45850</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45850</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45850</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45850</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45850</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45850</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45850</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45850</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45850</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45850</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45850</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45850</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45850</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45850</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45850</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45850</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45850</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45850</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45850</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45850</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45850</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45850</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45850</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45850</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45850</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45850</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45850</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45850</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45850</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45850</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45850</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45850</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45850</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29117-2025</t>
        </is>
      </c>
      <c r="B75" s="1" t="n">
        <v>45821</v>
      </c>
      <c r="C75" s="1" t="n">
        <v>45850</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HYPERLINK("https://klasma.github.io/Logging_232380/artfynd/A 29117-2025 artfynd.xlsx", "A 29117-2025")</f>
        <v/>
      </c>
      <c r="T75">
        <f>HYPERLINK("https://klasma.github.io/Logging_232380/kartor/A 29117-2025 karta.png", "A 29117-2025")</f>
        <v/>
      </c>
      <c r="U75">
        <f>HYPERLINK("https://klasma.github.io/Logging_232380/knärot/A 29117-2025 karta knärot.png", "A 29117-2025")</f>
        <v/>
      </c>
      <c r="V75">
        <f>HYPERLINK("https://klasma.github.io/Logging_232380/klagomål/A 29117-2025 FSC-klagomål.docx", "A 29117-2025")</f>
        <v/>
      </c>
      <c r="W75">
        <f>HYPERLINK("https://klasma.github.io/Logging_232380/klagomålsmail/A 29117-2025 FSC-klagomål mail.docx", "A 29117-2025")</f>
        <v/>
      </c>
      <c r="X75">
        <f>HYPERLINK("https://klasma.github.io/Logging_232380/tillsyn/A 29117-2025 tillsynsbegäran.docx", "A 29117-2025")</f>
        <v/>
      </c>
      <c r="Y75">
        <f>HYPERLINK("https://klasma.github.io/Logging_232380/tillsynsmail/A 29117-2025 tillsynsbegäran mail.docx", "A 29117-2025")</f>
        <v/>
      </c>
    </row>
    <row r="76" ht="15" customHeight="1">
      <c r="A76" t="inlineStr">
        <is>
          <t>A 29135-2022</t>
        </is>
      </c>
      <c r="B76" s="1" t="n">
        <v>44750</v>
      </c>
      <c r="C76" s="1" t="n">
        <v>45850</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45850</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2962-2023</t>
        </is>
      </c>
      <c r="B78" s="1" t="n">
        <v>44945</v>
      </c>
      <c r="C78" s="1" t="n">
        <v>45850</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55344-2023</t>
        </is>
      </c>
      <c r="B79" s="1" t="n">
        <v>45237</v>
      </c>
      <c r="C79" s="1" t="n">
        <v>45850</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7698-2024</t>
        </is>
      </c>
      <c r="B80" s="1" t="n">
        <v>45349</v>
      </c>
      <c r="C80" s="1" t="n">
        <v>45850</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25369-2024</t>
        </is>
      </c>
      <c r="B81" s="1" t="n">
        <v>45463</v>
      </c>
      <c r="C81" s="1" t="n">
        <v>45850</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41754-2024</t>
        </is>
      </c>
      <c r="B82" s="1" t="n">
        <v>45561</v>
      </c>
      <c r="C82" s="1" t="n">
        <v>45850</v>
      </c>
      <c r="D82" t="inlineStr">
        <is>
          <t>JÄMTLANDS LÄN</t>
        </is>
      </c>
      <c r="E82" t="inlineStr">
        <is>
          <t>ÖSTERSUND</t>
        </is>
      </c>
      <c r="F82" t="inlineStr">
        <is>
          <t>SCA</t>
        </is>
      </c>
      <c r="G82" t="n">
        <v>2.3</v>
      </c>
      <c r="H82" t="n">
        <v>0</v>
      </c>
      <c r="I82" t="n">
        <v>1</v>
      </c>
      <c r="J82" t="n">
        <v>3</v>
      </c>
      <c r="K82" t="n">
        <v>0</v>
      </c>
      <c r="L82" t="n">
        <v>0</v>
      </c>
      <c r="M82" t="n">
        <v>0</v>
      </c>
      <c r="N82" t="n">
        <v>0</v>
      </c>
      <c r="O82" t="n">
        <v>3</v>
      </c>
      <c r="P82" t="n">
        <v>0</v>
      </c>
      <c r="Q82" t="n">
        <v>4</v>
      </c>
      <c r="R82" s="2" t="inlineStr">
        <is>
          <t>Dvärgbägarlav
Kolflarnlav
Lunglav
Dropptaggsvamp</t>
        </is>
      </c>
      <c r="S82">
        <f>HYPERLINK("https://klasma.github.io/Logging_2380/artfynd/A 41754-2024 artfynd.xlsx", "A 41754-2024")</f>
        <v/>
      </c>
      <c r="T82">
        <f>HYPERLINK("https://klasma.github.io/Logging_2380/kartor/A 41754-2024 karta.png", "A 41754-2024")</f>
        <v/>
      </c>
      <c r="V82">
        <f>HYPERLINK("https://klasma.github.io/Logging_2380/klagomål/A 41754-2024 FSC-klagomål.docx", "A 41754-2024")</f>
        <v/>
      </c>
      <c r="W82">
        <f>HYPERLINK("https://klasma.github.io/Logging_2380/klagomålsmail/A 41754-2024 FSC-klagomål mail.docx", "A 41754-2024")</f>
        <v/>
      </c>
      <c r="X82">
        <f>HYPERLINK("https://klasma.github.io/Logging_2380/tillsyn/A 41754-2024 tillsynsbegäran.docx", "A 41754-2024")</f>
        <v/>
      </c>
      <c r="Y82">
        <f>HYPERLINK("https://klasma.github.io/Logging_2380/tillsynsmail/A 41754-2024 tillsynsbegäran mail.docx", "A 41754-2024")</f>
        <v/>
      </c>
    </row>
    <row r="83" ht="15" customHeight="1">
      <c r="A83" t="inlineStr">
        <is>
          <t>A 48753-2024</t>
        </is>
      </c>
      <c r="B83" s="1" t="n">
        <v>45593</v>
      </c>
      <c r="C83" s="1" t="n">
        <v>45850</v>
      </c>
      <c r="D83" t="inlineStr">
        <is>
          <t>JÄMTLANDS LÄN</t>
        </is>
      </c>
      <c r="E83" t="inlineStr">
        <is>
          <t>ÖSTERSUND</t>
        </is>
      </c>
      <c r="F83" t="inlineStr">
        <is>
          <t>Övriga statliga verk och myndigheter</t>
        </is>
      </c>
      <c r="G83" t="n">
        <v>2.2</v>
      </c>
      <c r="H83" t="n">
        <v>1</v>
      </c>
      <c r="I83" t="n">
        <v>0</v>
      </c>
      <c r="J83" t="n">
        <v>3</v>
      </c>
      <c r="K83" t="n">
        <v>0</v>
      </c>
      <c r="L83" t="n">
        <v>0</v>
      </c>
      <c r="M83" t="n">
        <v>0</v>
      </c>
      <c r="N83" t="n">
        <v>0</v>
      </c>
      <c r="O83" t="n">
        <v>3</v>
      </c>
      <c r="P83" t="n">
        <v>0</v>
      </c>
      <c r="Q83" t="n">
        <v>4</v>
      </c>
      <c r="R83" s="2" t="inlineStr">
        <is>
          <t>Granticka
Gränsticka
Ullticka
Revlummer</t>
        </is>
      </c>
      <c r="S83">
        <f>HYPERLINK("https://klasma.github.io/Logging_2380/artfynd/A 48753-2024 artfynd.xlsx", "A 48753-2024")</f>
        <v/>
      </c>
      <c r="T83">
        <f>HYPERLINK("https://klasma.github.io/Logging_2380/kartor/A 48753-2024 karta.png", "A 48753-2024")</f>
        <v/>
      </c>
      <c r="V83">
        <f>HYPERLINK("https://klasma.github.io/Logging_2380/klagomål/A 48753-2024 FSC-klagomål.docx", "A 48753-2024")</f>
        <v/>
      </c>
      <c r="W83">
        <f>HYPERLINK("https://klasma.github.io/Logging_2380/klagomålsmail/A 48753-2024 FSC-klagomål mail.docx", "A 48753-2024")</f>
        <v/>
      </c>
      <c r="X83">
        <f>HYPERLINK("https://klasma.github.io/Logging_2380/tillsyn/A 48753-2024 tillsynsbegäran.docx", "A 48753-2024")</f>
        <v/>
      </c>
      <c r="Y83">
        <f>HYPERLINK("https://klasma.github.io/Logging_2380/tillsynsmail/A 48753-2024 tillsynsbegäran mail.docx", "A 48753-2024")</f>
        <v/>
      </c>
    </row>
    <row r="84" ht="15" customHeight="1">
      <c r="A84" t="inlineStr">
        <is>
          <t>A 55818-2024</t>
        </is>
      </c>
      <c r="B84" s="1" t="n">
        <v>45623</v>
      </c>
      <c r="C84" s="1" t="n">
        <v>45850</v>
      </c>
      <c r="D84" t="inlineStr">
        <is>
          <t>JÄMTLANDS LÄN</t>
        </is>
      </c>
      <c r="E84" t="inlineStr">
        <is>
          <t>ÖSTERSUND</t>
        </is>
      </c>
      <c r="G84" t="n">
        <v>9.5</v>
      </c>
      <c r="H84" t="n">
        <v>0</v>
      </c>
      <c r="I84" t="n">
        <v>1</v>
      </c>
      <c r="J84" t="n">
        <v>2</v>
      </c>
      <c r="K84" t="n">
        <v>1</v>
      </c>
      <c r="L84" t="n">
        <v>0</v>
      </c>
      <c r="M84" t="n">
        <v>0</v>
      </c>
      <c r="N84" t="n">
        <v>0</v>
      </c>
      <c r="O84" t="n">
        <v>3</v>
      </c>
      <c r="P84" t="n">
        <v>1</v>
      </c>
      <c r="Q84" t="n">
        <v>4</v>
      </c>
      <c r="R84" s="2" t="inlineStr">
        <is>
          <t>Gräddporing
Kolflarnlav
Lunglav
Dropptaggsvamp</t>
        </is>
      </c>
      <c r="S84">
        <f>HYPERLINK("https://klasma.github.io/Logging_2380/artfynd/A 55818-2024 artfynd.xlsx", "A 55818-2024")</f>
        <v/>
      </c>
      <c r="T84">
        <f>HYPERLINK("https://klasma.github.io/Logging_2380/kartor/A 55818-2024 karta.png", "A 55818-2024")</f>
        <v/>
      </c>
      <c r="V84">
        <f>HYPERLINK("https://klasma.github.io/Logging_2380/klagomål/A 55818-2024 FSC-klagomål.docx", "A 55818-2024")</f>
        <v/>
      </c>
      <c r="W84">
        <f>HYPERLINK("https://klasma.github.io/Logging_2380/klagomålsmail/A 55818-2024 FSC-klagomål mail.docx", "A 55818-2024")</f>
        <v/>
      </c>
      <c r="X84">
        <f>HYPERLINK("https://klasma.github.io/Logging_2380/tillsyn/A 55818-2024 tillsynsbegäran.docx", "A 55818-2024")</f>
        <v/>
      </c>
      <c r="Y84">
        <f>HYPERLINK("https://klasma.github.io/Logging_2380/tillsynsmail/A 55818-2024 tillsynsbegäran mail.docx", "A 55818-2024")</f>
        <v/>
      </c>
    </row>
    <row r="85" ht="15" customHeight="1">
      <c r="A85" t="inlineStr">
        <is>
          <t>A 60109-2024</t>
        </is>
      </c>
      <c r="B85" s="1" t="n">
        <v>45642</v>
      </c>
      <c r="C85" s="1" t="n">
        <v>45850</v>
      </c>
      <c r="D85" t="inlineStr">
        <is>
          <t>JÄMTLANDS LÄN</t>
        </is>
      </c>
      <c r="E85" t="inlineStr">
        <is>
          <t>ÖSTERSUND</t>
        </is>
      </c>
      <c r="G85" t="n">
        <v>10.2</v>
      </c>
      <c r="H85" t="n">
        <v>1</v>
      </c>
      <c r="I85" t="n">
        <v>0</v>
      </c>
      <c r="J85" t="n">
        <v>4</v>
      </c>
      <c r="K85" t="n">
        <v>0</v>
      </c>
      <c r="L85" t="n">
        <v>0</v>
      </c>
      <c r="M85" t="n">
        <v>0</v>
      </c>
      <c r="N85" t="n">
        <v>0</v>
      </c>
      <c r="O85" t="n">
        <v>4</v>
      </c>
      <c r="P85" t="n">
        <v>0</v>
      </c>
      <c r="Q85" t="n">
        <v>4</v>
      </c>
      <c r="R85" s="2" t="inlineStr">
        <is>
          <t>Garnlav
Granticka
Spillkråka
Ullticka</t>
        </is>
      </c>
      <c r="S85">
        <f>HYPERLINK("https://klasma.github.io/Logging_2380/artfynd/A 60109-2024 artfynd.xlsx", "A 60109-2024")</f>
        <v/>
      </c>
      <c r="T85">
        <f>HYPERLINK("https://klasma.github.io/Logging_2380/kartor/A 60109-2024 karta.png", "A 60109-2024")</f>
        <v/>
      </c>
      <c r="V85">
        <f>HYPERLINK("https://klasma.github.io/Logging_2380/klagomål/A 60109-2024 FSC-klagomål.docx", "A 60109-2024")</f>
        <v/>
      </c>
      <c r="W85">
        <f>HYPERLINK("https://klasma.github.io/Logging_2380/klagomålsmail/A 60109-2024 FSC-klagomål mail.docx", "A 60109-2024")</f>
        <v/>
      </c>
      <c r="X85">
        <f>HYPERLINK("https://klasma.github.io/Logging_2380/tillsyn/A 60109-2024 tillsynsbegäran.docx", "A 60109-2024")</f>
        <v/>
      </c>
      <c r="Y85">
        <f>HYPERLINK("https://klasma.github.io/Logging_2380/tillsynsmail/A 60109-2024 tillsynsbegäran mail.docx", "A 60109-2024")</f>
        <v/>
      </c>
      <c r="Z85">
        <f>HYPERLINK("https://klasma.github.io/Logging_2380/fåglar/A 60109-2024 prioriterade fågelarter.docx", "A 60109-2024")</f>
        <v/>
      </c>
    </row>
    <row r="86" ht="15" customHeight="1">
      <c r="A86" t="inlineStr">
        <is>
          <t>A 60580-2024</t>
        </is>
      </c>
      <c r="B86" s="1" t="n">
        <v>45644</v>
      </c>
      <c r="C86" s="1" t="n">
        <v>45850</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25279-2025</t>
        </is>
      </c>
      <c r="B87" s="1" t="n">
        <v>45800</v>
      </c>
      <c r="C87" s="1" t="n">
        <v>45850</v>
      </c>
      <c r="D87" t="inlineStr">
        <is>
          <t>JÄMTLANDS LÄN</t>
        </is>
      </c>
      <c r="E87" t="inlineStr">
        <is>
          <t>ÖSTERSUND</t>
        </is>
      </c>
      <c r="G87" t="n">
        <v>6.8</v>
      </c>
      <c r="H87" t="n">
        <v>2</v>
      </c>
      <c r="I87" t="n">
        <v>0</v>
      </c>
      <c r="J87" t="n">
        <v>3</v>
      </c>
      <c r="K87" t="n">
        <v>1</v>
      </c>
      <c r="L87" t="n">
        <v>0</v>
      </c>
      <c r="M87" t="n">
        <v>0</v>
      </c>
      <c r="N87" t="n">
        <v>0</v>
      </c>
      <c r="O87" t="n">
        <v>4</v>
      </c>
      <c r="P87" t="n">
        <v>1</v>
      </c>
      <c r="Q87" t="n">
        <v>4</v>
      </c>
      <c r="R87" s="2" t="inlineStr">
        <is>
          <t>Doftticka
Lunglav
Skrovellav
Tretåig hackspett</t>
        </is>
      </c>
      <c r="S87">
        <f>HYPERLINK("https://klasma.github.io/Logging_232380/artfynd/A 25279-2025 artfynd.xlsx", "A 25279-2025")</f>
        <v/>
      </c>
      <c r="T87">
        <f>HYPERLINK("https://klasma.github.io/Logging_232380/kartor/A 25279-2025 karta.png", "A 25279-2025")</f>
        <v/>
      </c>
      <c r="V87">
        <f>HYPERLINK("https://klasma.github.io/Logging_232380/klagomål/A 25279-2025 FSC-klagomål.docx", "A 25279-2025")</f>
        <v/>
      </c>
      <c r="W87">
        <f>HYPERLINK("https://klasma.github.io/Logging_232380/klagomålsmail/A 25279-2025 FSC-klagomål mail.docx", "A 25279-2025")</f>
        <v/>
      </c>
      <c r="X87">
        <f>HYPERLINK("https://klasma.github.io/Logging_232380/tillsyn/A 25279-2025 tillsynsbegäran.docx", "A 25279-2025")</f>
        <v/>
      </c>
      <c r="Y87">
        <f>HYPERLINK("https://klasma.github.io/Logging_232380/tillsynsmail/A 25279-2025 tillsynsbegäran mail.docx", "A 25279-2025")</f>
        <v/>
      </c>
      <c r="Z87">
        <f>HYPERLINK("https://klasma.github.io/Logging_232380/fåglar/A 25279-2025 prioriterade fågelarter.docx", "A 25279-2025")</f>
        <v/>
      </c>
    </row>
    <row r="88" ht="15" customHeight="1">
      <c r="A88" t="inlineStr">
        <is>
          <t>A 31127-2025</t>
        </is>
      </c>
      <c r="B88" s="1" t="n">
        <v>45831</v>
      </c>
      <c r="C88" s="1" t="n">
        <v>45850</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HYPERLINK("https://klasma.github.io/Logging_232380/artfynd/A 31127-2025 artfynd.xlsx", "A 31127-2025")</f>
        <v/>
      </c>
      <c r="T88">
        <f>HYPERLINK("https://klasma.github.io/Logging_232380/kartor/A 31127-2025 karta.png", "A 31127-2025")</f>
        <v/>
      </c>
      <c r="V88">
        <f>HYPERLINK("https://klasma.github.io/Logging_232380/klagomål/A 31127-2025 FSC-klagomål.docx", "A 31127-2025")</f>
        <v/>
      </c>
      <c r="W88">
        <f>HYPERLINK("https://klasma.github.io/Logging_232380/klagomålsmail/A 31127-2025 FSC-klagomål mail.docx", "A 31127-2025")</f>
        <v/>
      </c>
      <c r="X88">
        <f>HYPERLINK("https://klasma.github.io/Logging_232380/tillsyn/A 31127-2025 tillsynsbegäran.docx", "A 31127-2025")</f>
        <v/>
      </c>
      <c r="Y88">
        <f>HYPERLINK("https://klasma.github.io/Logging_232380/tillsynsmail/A 31127-2025 tillsynsbegäran mail.docx", "A 31127-2025")</f>
        <v/>
      </c>
      <c r="Z88">
        <f>HYPERLINK("https://klasma.github.io/Logging_232380/fåglar/A 31127-2025 prioriterade fågelarter.docx", "A 31127-2025")</f>
        <v/>
      </c>
    </row>
    <row r="89" ht="15" customHeight="1">
      <c r="A89" t="inlineStr">
        <is>
          <t>A 23410-2019</t>
        </is>
      </c>
      <c r="B89" s="1" t="n">
        <v>43592</v>
      </c>
      <c r="C89" s="1" t="n">
        <v>45850</v>
      </c>
      <c r="D89" t="inlineStr">
        <is>
          <t>JÄMTLANDS LÄN</t>
        </is>
      </c>
      <c r="E89" t="inlineStr">
        <is>
          <t>ÖSTERSUND</t>
        </is>
      </c>
      <c r="G89" t="n">
        <v>10.6</v>
      </c>
      <c r="H89" t="n">
        <v>3</v>
      </c>
      <c r="I89" t="n">
        <v>2</v>
      </c>
      <c r="J89" t="n">
        <v>0</v>
      </c>
      <c r="K89" t="n">
        <v>0</v>
      </c>
      <c r="L89" t="n">
        <v>0</v>
      </c>
      <c r="M89" t="n">
        <v>0</v>
      </c>
      <c r="N89" t="n">
        <v>0</v>
      </c>
      <c r="O89" t="n">
        <v>0</v>
      </c>
      <c r="P89" t="n">
        <v>0</v>
      </c>
      <c r="Q89" t="n">
        <v>3</v>
      </c>
      <c r="R89" s="2" t="inlineStr">
        <is>
          <t>Guckusko
Tvåblad
Fläcknycklar</t>
        </is>
      </c>
      <c r="S89">
        <f>HYPERLINK("https://klasma.github.io/Logging_2380/artfynd/A 23410-2019 artfynd.xlsx", "A 23410-2019")</f>
        <v/>
      </c>
      <c r="T89">
        <f>HYPERLINK("https://klasma.github.io/Logging_2380/kartor/A 23410-2019 karta.png", "A 23410-2019")</f>
        <v/>
      </c>
      <c r="V89">
        <f>HYPERLINK("https://klasma.github.io/Logging_2380/klagomål/A 23410-2019 FSC-klagomål.docx", "A 23410-2019")</f>
        <v/>
      </c>
      <c r="W89">
        <f>HYPERLINK("https://klasma.github.io/Logging_2380/klagomålsmail/A 23410-2019 FSC-klagomål mail.docx", "A 23410-2019")</f>
        <v/>
      </c>
      <c r="X89">
        <f>HYPERLINK("https://klasma.github.io/Logging_2380/tillsyn/A 23410-2019 tillsynsbegäran.docx", "A 23410-2019")</f>
        <v/>
      </c>
      <c r="Y89">
        <f>HYPERLINK("https://klasma.github.io/Logging_2380/tillsynsmail/A 23410-2019 tillsynsbegäran mail.docx", "A 23410-2019")</f>
        <v/>
      </c>
    </row>
    <row r="90" ht="15" customHeight="1">
      <c r="A90" t="inlineStr">
        <is>
          <t>A 26741-2019</t>
        </is>
      </c>
      <c r="B90" s="1" t="n">
        <v>43607</v>
      </c>
      <c r="C90" s="1" t="n">
        <v>45850</v>
      </c>
      <c r="D90" t="inlineStr">
        <is>
          <t>JÄMTLANDS LÄN</t>
        </is>
      </c>
      <c r="E90" t="inlineStr">
        <is>
          <t>ÖSTERSUND</t>
        </is>
      </c>
      <c r="F90" t="inlineStr">
        <is>
          <t>Övriga statliga verk och myndigheter</t>
        </is>
      </c>
      <c r="G90" t="n">
        <v>4.5</v>
      </c>
      <c r="H90" t="n">
        <v>0</v>
      </c>
      <c r="I90" t="n">
        <v>1</v>
      </c>
      <c r="J90" t="n">
        <v>1</v>
      </c>
      <c r="K90" t="n">
        <v>0</v>
      </c>
      <c r="L90" t="n">
        <v>1</v>
      </c>
      <c r="M90" t="n">
        <v>0</v>
      </c>
      <c r="N90" t="n">
        <v>0</v>
      </c>
      <c r="O90" t="n">
        <v>2</v>
      </c>
      <c r="P90" t="n">
        <v>1</v>
      </c>
      <c r="Q90" t="n">
        <v>3</v>
      </c>
      <c r="R90" s="2" t="inlineStr">
        <is>
          <t>Trolldruvemätare
Lunglav
Svart trolldruva</t>
        </is>
      </c>
      <c r="S90">
        <f>HYPERLINK("https://klasma.github.io/Logging_2380/artfynd/A 26741-2019 artfynd.xlsx", "A 26741-2019")</f>
        <v/>
      </c>
      <c r="T90">
        <f>HYPERLINK("https://klasma.github.io/Logging_2380/kartor/A 26741-2019 karta.png", "A 26741-2019")</f>
        <v/>
      </c>
      <c r="V90">
        <f>HYPERLINK("https://klasma.github.io/Logging_2380/klagomål/A 26741-2019 FSC-klagomål.docx", "A 26741-2019")</f>
        <v/>
      </c>
      <c r="W90">
        <f>HYPERLINK("https://klasma.github.io/Logging_2380/klagomålsmail/A 26741-2019 FSC-klagomål mail.docx", "A 26741-2019")</f>
        <v/>
      </c>
      <c r="X90">
        <f>HYPERLINK("https://klasma.github.io/Logging_2380/tillsyn/A 26741-2019 tillsynsbegäran.docx", "A 26741-2019")</f>
        <v/>
      </c>
      <c r="Y90">
        <f>HYPERLINK("https://klasma.github.io/Logging_2380/tillsynsmail/A 26741-2019 tillsynsbegäran mail.docx", "A 26741-2019")</f>
        <v/>
      </c>
    </row>
    <row r="91" ht="15" customHeight="1">
      <c r="A91" t="inlineStr">
        <is>
          <t>A 36815-2019</t>
        </is>
      </c>
      <c r="B91" s="1" t="n">
        <v>43672</v>
      </c>
      <c r="C91" s="1" t="n">
        <v>45850</v>
      </c>
      <c r="D91" t="inlineStr">
        <is>
          <t>JÄMTLANDS LÄN</t>
        </is>
      </c>
      <c r="E91" t="inlineStr">
        <is>
          <t>ÖSTERSUND</t>
        </is>
      </c>
      <c r="F91" t="inlineStr">
        <is>
          <t>SCA</t>
        </is>
      </c>
      <c r="G91" t="n">
        <v>7.4</v>
      </c>
      <c r="H91" t="n">
        <v>1</v>
      </c>
      <c r="I91" t="n">
        <v>0</v>
      </c>
      <c r="J91" t="n">
        <v>2</v>
      </c>
      <c r="K91" t="n">
        <v>0</v>
      </c>
      <c r="L91" t="n">
        <v>0</v>
      </c>
      <c r="M91" t="n">
        <v>0</v>
      </c>
      <c r="N91" t="n">
        <v>0</v>
      </c>
      <c r="O91" t="n">
        <v>2</v>
      </c>
      <c r="P91" t="n">
        <v>0</v>
      </c>
      <c r="Q91" t="n">
        <v>3</v>
      </c>
      <c r="R91" s="2" t="inlineStr">
        <is>
          <t>Lunglav
Skrovellav
Blåsippa</t>
        </is>
      </c>
      <c r="S91">
        <f>HYPERLINK("https://klasma.github.io/Logging_2380/artfynd/A 36815-2019 artfynd.xlsx", "A 36815-2019")</f>
        <v/>
      </c>
      <c r="T91">
        <f>HYPERLINK("https://klasma.github.io/Logging_2380/kartor/A 36815-2019 karta.png", "A 36815-2019")</f>
        <v/>
      </c>
      <c r="V91">
        <f>HYPERLINK("https://klasma.github.io/Logging_2380/klagomål/A 36815-2019 FSC-klagomål.docx", "A 36815-2019")</f>
        <v/>
      </c>
      <c r="W91">
        <f>HYPERLINK("https://klasma.github.io/Logging_2380/klagomålsmail/A 36815-2019 FSC-klagomål mail.docx", "A 36815-2019")</f>
        <v/>
      </c>
      <c r="X91">
        <f>HYPERLINK("https://klasma.github.io/Logging_2380/tillsyn/A 36815-2019 tillsynsbegäran.docx", "A 36815-2019")</f>
        <v/>
      </c>
      <c r="Y91">
        <f>HYPERLINK("https://klasma.github.io/Logging_2380/tillsynsmail/A 36815-2019 tillsynsbegäran mail.docx", "A 36815-2019")</f>
        <v/>
      </c>
    </row>
    <row r="92" ht="15" customHeight="1">
      <c r="A92" t="inlineStr">
        <is>
          <t>A 62240-2019</t>
        </is>
      </c>
      <c r="B92" s="1" t="n">
        <v>43784</v>
      </c>
      <c r="C92" s="1" t="n">
        <v>45850</v>
      </c>
      <c r="D92" t="inlineStr">
        <is>
          <t>JÄMTLANDS LÄN</t>
        </is>
      </c>
      <c r="E92" t="inlineStr">
        <is>
          <t>ÖSTERSUND</t>
        </is>
      </c>
      <c r="G92" t="n">
        <v>2</v>
      </c>
      <c r="H92" t="n">
        <v>1</v>
      </c>
      <c r="I92" t="n">
        <v>2</v>
      </c>
      <c r="J92" t="n">
        <v>0</v>
      </c>
      <c r="K92" t="n">
        <v>0</v>
      </c>
      <c r="L92" t="n">
        <v>0</v>
      </c>
      <c r="M92" t="n">
        <v>0</v>
      </c>
      <c r="N92" t="n">
        <v>0</v>
      </c>
      <c r="O92" t="n">
        <v>0</v>
      </c>
      <c r="P92" t="n">
        <v>0</v>
      </c>
      <c r="Q92" t="n">
        <v>3</v>
      </c>
      <c r="R92" s="2" t="inlineStr">
        <is>
          <t>Tibast
Ögonpyrola
Blåsippa</t>
        </is>
      </c>
      <c r="S92">
        <f>HYPERLINK("https://klasma.github.io/Logging_2380/artfynd/A 62240-2019 artfynd.xlsx", "A 62240-2019")</f>
        <v/>
      </c>
      <c r="T92">
        <f>HYPERLINK("https://klasma.github.io/Logging_2380/kartor/A 62240-2019 karta.png", "A 62240-2019")</f>
        <v/>
      </c>
      <c r="V92">
        <f>HYPERLINK("https://klasma.github.io/Logging_2380/klagomål/A 62240-2019 FSC-klagomål.docx", "A 62240-2019")</f>
        <v/>
      </c>
      <c r="W92">
        <f>HYPERLINK("https://klasma.github.io/Logging_2380/klagomålsmail/A 62240-2019 FSC-klagomål mail.docx", "A 62240-2019")</f>
        <v/>
      </c>
      <c r="X92">
        <f>HYPERLINK("https://klasma.github.io/Logging_2380/tillsyn/A 62240-2019 tillsynsbegäran.docx", "A 62240-2019")</f>
        <v/>
      </c>
      <c r="Y92">
        <f>HYPERLINK("https://klasma.github.io/Logging_2380/tillsynsmail/A 62240-2019 tillsynsbegäran mail.docx", "A 62240-2019")</f>
        <v/>
      </c>
    </row>
    <row r="93" ht="15" customHeight="1">
      <c r="A93" t="inlineStr">
        <is>
          <t>A 7877-2021</t>
        </is>
      </c>
      <c r="B93" s="1" t="n">
        <v>44242</v>
      </c>
      <c r="C93" s="1" t="n">
        <v>45850</v>
      </c>
      <c r="D93" t="inlineStr">
        <is>
          <t>JÄMTLANDS LÄN</t>
        </is>
      </c>
      <c r="E93" t="inlineStr">
        <is>
          <t>ÖSTERSUND</t>
        </is>
      </c>
      <c r="G93" t="n">
        <v>18.2</v>
      </c>
      <c r="H93" t="n">
        <v>2</v>
      </c>
      <c r="I93" t="n">
        <v>2</v>
      </c>
      <c r="J93" t="n">
        <v>0</v>
      </c>
      <c r="K93" t="n">
        <v>1</v>
      </c>
      <c r="L93" t="n">
        <v>0</v>
      </c>
      <c r="M93" t="n">
        <v>0</v>
      </c>
      <c r="N93" t="n">
        <v>0</v>
      </c>
      <c r="O93" t="n">
        <v>1</v>
      </c>
      <c r="P93" t="n">
        <v>1</v>
      </c>
      <c r="Q93" t="n">
        <v>3</v>
      </c>
      <c r="R93" s="2" t="inlineStr">
        <is>
          <t>Knärot
Grönpyrola
Spindelblomster</t>
        </is>
      </c>
      <c r="S93">
        <f>HYPERLINK("https://klasma.github.io/Logging_2380/artfynd/A 7877-2021 artfynd.xlsx", "A 7877-2021")</f>
        <v/>
      </c>
      <c r="T93">
        <f>HYPERLINK("https://klasma.github.io/Logging_2380/kartor/A 7877-2021 karta.png", "A 7877-2021")</f>
        <v/>
      </c>
      <c r="U93">
        <f>HYPERLINK("https://klasma.github.io/Logging_2380/knärot/A 7877-2021 karta knärot.png", "A 7877-2021")</f>
        <v/>
      </c>
      <c r="V93">
        <f>HYPERLINK("https://klasma.github.io/Logging_2380/klagomål/A 7877-2021 FSC-klagomål.docx", "A 7877-2021")</f>
        <v/>
      </c>
      <c r="W93">
        <f>HYPERLINK("https://klasma.github.io/Logging_2380/klagomålsmail/A 7877-2021 FSC-klagomål mail.docx", "A 7877-2021")</f>
        <v/>
      </c>
      <c r="X93">
        <f>HYPERLINK("https://klasma.github.io/Logging_2380/tillsyn/A 7877-2021 tillsynsbegäran.docx", "A 7877-2021")</f>
        <v/>
      </c>
      <c r="Y93">
        <f>HYPERLINK("https://klasma.github.io/Logging_2380/tillsynsmail/A 7877-2021 tillsynsbegäran mail.docx", "A 7877-2021")</f>
        <v/>
      </c>
    </row>
    <row r="94" ht="15" customHeight="1">
      <c r="A94" t="inlineStr">
        <is>
          <t>A 54421-2021</t>
        </is>
      </c>
      <c r="B94" s="1" t="n">
        <v>44473</v>
      </c>
      <c r="C94" s="1" t="n">
        <v>45850</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29349-2022</t>
        </is>
      </c>
      <c r="B95" s="1" t="n">
        <v>44750</v>
      </c>
      <c r="C95" s="1" t="n">
        <v>45850</v>
      </c>
      <c r="D95" t="inlineStr">
        <is>
          <t>JÄMTLANDS LÄN</t>
        </is>
      </c>
      <c r="E95" t="inlineStr">
        <is>
          <t>ÖSTERSUND</t>
        </is>
      </c>
      <c r="G95" t="n">
        <v>9.9</v>
      </c>
      <c r="H95" t="n">
        <v>1</v>
      </c>
      <c r="I95" t="n">
        <v>3</v>
      </c>
      <c r="J95" t="n">
        <v>0</v>
      </c>
      <c r="K95" t="n">
        <v>0</v>
      </c>
      <c r="L95" t="n">
        <v>0</v>
      </c>
      <c r="M95" t="n">
        <v>0</v>
      </c>
      <c r="N95" t="n">
        <v>0</v>
      </c>
      <c r="O95" t="n">
        <v>0</v>
      </c>
      <c r="P95" t="n">
        <v>0</v>
      </c>
      <c r="Q95" t="n">
        <v>3</v>
      </c>
      <c r="R95" s="2" t="inlineStr">
        <is>
          <t>Finbräken
Grönkulla
Kransrams</t>
        </is>
      </c>
      <c r="S95">
        <f>HYPERLINK("https://klasma.github.io/Logging_2380/artfynd/A 29349-2022 artfynd.xlsx", "A 29349-2022")</f>
        <v/>
      </c>
      <c r="T95">
        <f>HYPERLINK("https://klasma.github.io/Logging_2380/kartor/A 29349-2022 karta.png", "A 29349-2022")</f>
        <v/>
      </c>
      <c r="V95">
        <f>HYPERLINK("https://klasma.github.io/Logging_2380/klagomål/A 29349-2022 FSC-klagomål.docx", "A 29349-2022")</f>
        <v/>
      </c>
      <c r="W95">
        <f>HYPERLINK("https://klasma.github.io/Logging_2380/klagomålsmail/A 29349-2022 FSC-klagomål mail.docx", "A 29349-2022")</f>
        <v/>
      </c>
      <c r="X95">
        <f>HYPERLINK("https://klasma.github.io/Logging_2380/tillsyn/A 29349-2022 tillsynsbegäran.docx", "A 29349-2022")</f>
        <v/>
      </c>
      <c r="Y95">
        <f>HYPERLINK("https://klasma.github.io/Logging_2380/tillsynsmail/A 29349-2022 tillsynsbegäran mail.docx", "A 29349-2022")</f>
        <v/>
      </c>
    </row>
    <row r="96" ht="15" customHeight="1">
      <c r="A96" t="inlineStr">
        <is>
          <t>A 39641-2022</t>
        </is>
      </c>
      <c r="B96" s="1" t="n">
        <v>44817</v>
      </c>
      <c r="C96" s="1" t="n">
        <v>45850</v>
      </c>
      <c r="D96" t="inlineStr">
        <is>
          <t>JÄMTLANDS LÄN</t>
        </is>
      </c>
      <c r="E96" t="inlineStr">
        <is>
          <t>ÖSTERSUND</t>
        </is>
      </c>
      <c r="G96" t="n">
        <v>6</v>
      </c>
      <c r="H96" t="n">
        <v>2</v>
      </c>
      <c r="I96" t="n">
        <v>1</v>
      </c>
      <c r="J96" t="n">
        <v>1</v>
      </c>
      <c r="K96" t="n">
        <v>1</v>
      </c>
      <c r="L96" t="n">
        <v>0</v>
      </c>
      <c r="M96" t="n">
        <v>0</v>
      </c>
      <c r="N96" t="n">
        <v>0</v>
      </c>
      <c r="O96" t="n">
        <v>2</v>
      </c>
      <c r="P96" t="n">
        <v>1</v>
      </c>
      <c r="Q96" t="n">
        <v>3</v>
      </c>
      <c r="R96" s="2" t="inlineStr">
        <is>
          <t>Knärot
Tretåig hackspett
Kransrams</t>
        </is>
      </c>
      <c r="S96">
        <f>HYPERLINK("https://klasma.github.io/Logging_2380/artfynd/A 39641-2022 artfynd.xlsx", "A 39641-2022")</f>
        <v/>
      </c>
      <c r="T96">
        <f>HYPERLINK("https://klasma.github.io/Logging_2380/kartor/A 39641-2022 karta.png", "A 39641-2022")</f>
        <v/>
      </c>
      <c r="U96">
        <f>HYPERLINK("https://klasma.github.io/Logging_2380/knärot/A 39641-2022 karta knärot.png", "A 39641-2022")</f>
        <v/>
      </c>
      <c r="V96">
        <f>HYPERLINK("https://klasma.github.io/Logging_2380/klagomål/A 39641-2022 FSC-klagomål.docx", "A 39641-2022")</f>
        <v/>
      </c>
      <c r="W96">
        <f>HYPERLINK("https://klasma.github.io/Logging_2380/klagomålsmail/A 39641-2022 FSC-klagomål mail.docx", "A 39641-2022")</f>
        <v/>
      </c>
      <c r="X96">
        <f>HYPERLINK("https://klasma.github.io/Logging_2380/tillsyn/A 39641-2022 tillsynsbegäran.docx", "A 39641-2022")</f>
        <v/>
      </c>
      <c r="Y96">
        <f>HYPERLINK("https://klasma.github.io/Logging_2380/tillsynsmail/A 39641-2022 tillsynsbegäran mail.docx", "A 39641-2022")</f>
        <v/>
      </c>
      <c r="Z96">
        <f>HYPERLINK("https://klasma.github.io/Logging_2380/fåglar/A 39641-2022 prioriterade fågelarter.docx", "A 39641-2022")</f>
        <v/>
      </c>
    </row>
    <row r="97" ht="15" customHeight="1">
      <c r="A97" t="inlineStr">
        <is>
          <t>A 60565-2022</t>
        </is>
      </c>
      <c r="B97" s="1" t="n">
        <v>44904</v>
      </c>
      <c r="C97" s="1" t="n">
        <v>45850</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45850</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45850</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21752-2023</t>
        </is>
      </c>
      <c r="B100" s="1" t="n">
        <v>45063</v>
      </c>
      <c r="C100" s="1" t="n">
        <v>45850</v>
      </c>
      <c r="D100" t="inlineStr">
        <is>
          <t>JÄMTLANDS LÄN</t>
        </is>
      </c>
      <c r="E100" t="inlineStr">
        <is>
          <t>ÖSTERSUND</t>
        </is>
      </c>
      <c r="G100" t="n">
        <v>1.5</v>
      </c>
      <c r="H100" t="n">
        <v>3</v>
      </c>
      <c r="I100" t="n">
        <v>1</v>
      </c>
      <c r="J100" t="n">
        <v>0</v>
      </c>
      <c r="K100" t="n">
        <v>1</v>
      </c>
      <c r="L100" t="n">
        <v>0</v>
      </c>
      <c r="M100" t="n">
        <v>0</v>
      </c>
      <c r="N100" t="n">
        <v>0</v>
      </c>
      <c r="O100" t="n">
        <v>1</v>
      </c>
      <c r="P100" t="n">
        <v>1</v>
      </c>
      <c r="Q100" t="n">
        <v>3</v>
      </c>
      <c r="R100" s="2" t="inlineStr">
        <is>
          <t>Knärot
Spindelblomster
Fläcknycklar</t>
        </is>
      </c>
      <c r="S100">
        <f>HYPERLINK("https://klasma.github.io/Logging_2380/artfynd/A 21752-2023 artfynd.xlsx", "A 21752-2023")</f>
        <v/>
      </c>
      <c r="T100">
        <f>HYPERLINK("https://klasma.github.io/Logging_2380/kartor/A 21752-2023 karta.png", "A 21752-2023")</f>
        <v/>
      </c>
      <c r="U100">
        <f>HYPERLINK("https://klasma.github.io/Logging_2380/knärot/A 21752-2023 karta knärot.png", "A 21752-2023")</f>
        <v/>
      </c>
      <c r="V100">
        <f>HYPERLINK("https://klasma.github.io/Logging_2380/klagomål/A 21752-2023 FSC-klagomål.docx", "A 21752-2023")</f>
        <v/>
      </c>
      <c r="W100">
        <f>HYPERLINK("https://klasma.github.io/Logging_2380/klagomålsmail/A 21752-2023 FSC-klagomål mail.docx", "A 21752-2023")</f>
        <v/>
      </c>
      <c r="X100">
        <f>HYPERLINK("https://klasma.github.io/Logging_2380/tillsyn/A 21752-2023 tillsynsbegäran.docx", "A 21752-2023")</f>
        <v/>
      </c>
      <c r="Y100">
        <f>HYPERLINK("https://klasma.github.io/Logging_2380/tillsynsmail/A 21752-2023 tillsynsbegäran mail.docx", "A 21752-2023")</f>
        <v/>
      </c>
    </row>
    <row r="101" ht="15" customHeight="1">
      <c r="A101" t="inlineStr">
        <is>
          <t>A 43981-2023</t>
        </is>
      </c>
      <c r="B101" s="1" t="n">
        <v>45187</v>
      </c>
      <c r="C101" s="1" t="n">
        <v>45850</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46705-2023</t>
        </is>
      </c>
      <c r="B102" s="1" t="n">
        <v>45198</v>
      </c>
      <c r="C102" s="1" t="n">
        <v>45850</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51877-2023</t>
        </is>
      </c>
      <c r="B103" s="1" t="n">
        <v>45215</v>
      </c>
      <c r="C103" s="1" t="n">
        <v>45850</v>
      </c>
      <c r="D103" t="inlineStr">
        <is>
          <t>JÄMTLANDS LÄN</t>
        </is>
      </c>
      <c r="E103" t="inlineStr">
        <is>
          <t>ÖSTERSUND</t>
        </is>
      </c>
      <c r="G103" t="n">
        <v>10.5</v>
      </c>
      <c r="H103" t="n">
        <v>1</v>
      </c>
      <c r="I103" t="n">
        <v>1</v>
      </c>
      <c r="J103" t="n">
        <v>2</v>
      </c>
      <c r="K103" t="n">
        <v>0</v>
      </c>
      <c r="L103" t="n">
        <v>0</v>
      </c>
      <c r="M103" t="n">
        <v>0</v>
      </c>
      <c r="N103" t="n">
        <v>0</v>
      </c>
      <c r="O103" t="n">
        <v>2</v>
      </c>
      <c r="P103" t="n">
        <v>0</v>
      </c>
      <c r="Q103" t="n">
        <v>3</v>
      </c>
      <c r="R103" s="2" t="inlineStr">
        <is>
          <t>Garnlav
Talltita
Nästlav</t>
        </is>
      </c>
      <c r="S103">
        <f>HYPERLINK("https://klasma.github.io/Logging_2380/artfynd/A 51877-2023 artfynd.xlsx", "A 51877-2023")</f>
        <v/>
      </c>
      <c r="T103">
        <f>HYPERLINK("https://klasma.github.io/Logging_2380/kartor/A 51877-2023 karta.png", "A 51877-2023")</f>
        <v/>
      </c>
      <c r="V103">
        <f>HYPERLINK("https://klasma.github.io/Logging_2380/klagomål/A 51877-2023 FSC-klagomål.docx", "A 51877-2023")</f>
        <v/>
      </c>
      <c r="W103">
        <f>HYPERLINK("https://klasma.github.io/Logging_2380/klagomålsmail/A 51877-2023 FSC-klagomål mail.docx", "A 51877-2023")</f>
        <v/>
      </c>
      <c r="X103">
        <f>HYPERLINK("https://klasma.github.io/Logging_2380/tillsyn/A 51877-2023 tillsynsbegäran.docx", "A 51877-2023")</f>
        <v/>
      </c>
      <c r="Y103">
        <f>HYPERLINK("https://klasma.github.io/Logging_2380/tillsynsmail/A 51877-2023 tillsynsbegäran mail.docx", "A 51877-2023")</f>
        <v/>
      </c>
      <c r="Z103">
        <f>HYPERLINK("https://klasma.github.io/Logging_2380/fåglar/A 51877-2023 prioriterade fågelarter.docx", "A 51877-2023")</f>
        <v/>
      </c>
    </row>
    <row r="104" ht="15" customHeight="1">
      <c r="A104" t="inlineStr">
        <is>
          <t>A 3846-2024</t>
        </is>
      </c>
      <c r="B104" s="1" t="n">
        <v>45321</v>
      </c>
      <c r="C104" s="1" t="n">
        <v>45850</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31448-2024</t>
        </is>
      </c>
      <c r="B105" s="1" t="n">
        <v>45506</v>
      </c>
      <c r="C105" s="1" t="n">
        <v>45850</v>
      </c>
      <c r="D105" t="inlineStr">
        <is>
          <t>JÄMTLANDS LÄN</t>
        </is>
      </c>
      <c r="E105" t="inlineStr">
        <is>
          <t>ÖSTERSUND</t>
        </is>
      </c>
      <c r="G105" t="n">
        <v>10</v>
      </c>
      <c r="H105" t="n">
        <v>1</v>
      </c>
      <c r="I105" t="n">
        <v>0</v>
      </c>
      <c r="J105" t="n">
        <v>3</v>
      </c>
      <c r="K105" t="n">
        <v>0</v>
      </c>
      <c r="L105" t="n">
        <v>0</v>
      </c>
      <c r="M105" t="n">
        <v>0</v>
      </c>
      <c r="N105" t="n">
        <v>0</v>
      </c>
      <c r="O105" t="n">
        <v>3</v>
      </c>
      <c r="P105" t="n">
        <v>0</v>
      </c>
      <c r="Q105" t="n">
        <v>3</v>
      </c>
      <c r="R105" s="2" t="inlineStr">
        <is>
          <t>Garnlav
Granticka
Spillkråka</t>
        </is>
      </c>
      <c r="S105">
        <f>HYPERLINK("https://klasma.github.io/Logging_2380/artfynd/A 31448-2024 artfynd.xlsx", "A 31448-2024")</f>
        <v/>
      </c>
      <c r="T105">
        <f>HYPERLINK("https://klasma.github.io/Logging_2380/kartor/A 31448-2024 karta.png", "A 31448-2024")</f>
        <v/>
      </c>
      <c r="V105">
        <f>HYPERLINK("https://klasma.github.io/Logging_2380/klagomål/A 31448-2024 FSC-klagomål.docx", "A 31448-2024")</f>
        <v/>
      </c>
      <c r="W105">
        <f>HYPERLINK("https://klasma.github.io/Logging_2380/klagomålsmail/A 31448-2024 FSC-klagomål mail.docx", "A 31448-2024")</f>
        <v/>
      </c>
      <c r="X105">
        <f>HYPERLINK("https://klasma.github.io/Logging_2380/tillsyn/A 31448-2024 tillsynsbegäran.docx", "A 31448-2024")</f>
        <v/>
      </c>
      <c r="Y105">
        <f>HYPERLINK("https://klasma.github.io/Logging_2380/tillsynsmail/A 31448-2024 tillsynsbegäran mail.docx", "A 31448-2024")</f>
        <v/>
      </c>
      <c r="Z105">
        <f>HYPERLINK("https://klasma.github.io/Logging_2380/fåglar/A 31448-2024 prioriterade fågelarter.docx", "A 31448-2024")</f>
        <v/>
      </c>
    </row>
    <row r="106" ht="15" customHeight="1">
      <c r="A106" t="inlineStr">
        <is>
          <t>A 36742-2024</t>
        </is>
      </c>
      <c r="B106" s="1" t="n">
        <v>45538</v>
      </c>
      <c r="C106" s="1" t="n">
        <v>45850</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40695-2024</t>
        </is>
      </c>
      <c r="B107" s="1" t="n">
        <v>45558</v>
      </c>
      <c r="C107" s="1" t="n">
        <v>45850</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41282-2024</t>
        </is>
      </c>
      <c r="B108" s="1" t="n">
        <v>45559</v>
      </c>
      <c r="C108" s="1" t="n">
        <v>45850</v>
      </c>
      <c r="D108" t="inlineStr">
        <is>
          <t>JÄMTLANDS LÄN</t>
        </is>
      </c>
      <c r="E108" t="inlineStr">
        <is>
          <t>ÖSTERSUND</t>
        </is>
      </c>
      <c r="F108" t="inlineStr">
        <is>
          <t>SCA</t>
        </is>
      </c>
      <c r="G108" t="n">
        <v>2.4</v>
      </c>
      <c r="H108" t="n">
        <v>0</v>
      </c>
      <c r="I108" t="n">
        <v>1</v>
      </c>
      <c r="J108" t="n">
        <v>2</v>
      </c>
      <c r="K108" t="n">
        <v>0</v>
      </c>
      <c r="L108" t="n">
        <v>0</v>
      </c>
      <c r="M108" t="n">
        <v>0</v>
      </c>
      <c r="N108" t="n">
        <v>0</v>
      </c>
      <c r="O108" t="n">
        <v>2</v>
      </c>
      <c r="P108" t="n">
        <v>0</v>
      </c>
      <c r="Q108" t="n">
        <v>3</v>
      </c>
      <c r="R108" s="2" t="inlineStr">
        <is>
          <t>Mörk kolflarnlav
Vitgrynig nållav
Dropptaggsvamp</t>
        </is>
      </c>
      <c r="S108">
        <f>HYPERLINK("https://klasma.github.io/Logging_2380/artfynd/A 41282-2024 artfynd.xlsx", "A 41282-2024")</f>
        <v/>
      </c>
      <c r="T108">
        <f>HYPERLINK("https://klasma.github.io/Logging_2380/kartor/A 41282-2024 karta.png", "A 41282-2024")</f>
        <v/>
      </c>
      <c r="V108">
        <f>HYPERLINK("https://klasma.github.io/Logging_2380/klagomål/A 41282-2024 FSC-klagomål.docx", "A 41282-2024")</f>
        <v/>
      </c>
      <c r="W108">
        <f>HYPERLINK("https://klasma.github.io/Logging_2380/klagomålsmail/A 41282-2024 FSC-klagomål mail.docx", "A 41282-2024")</f>
        <v/>
      </c>
      <c r="X108">
        <f>HYPERLINK("https://klasma.github.io/Logging_2380/tillsyn/A 41282-2024 tillsynsbegäran.docx", "A 41282-2024")</f>
        <v/>
      </c>
      <c r="Y108">
        <f>HYPERLINK("https://klasma.github.io/Logging_2380/tillsynsmail/A 41282-2024 tillsynsbegäran mail.docx", "A 41282-2024")</f>
        <v/>
      </c>
    </row>
    <row r="109" ht="15" customHeight="1">
      <c r="A109" t="inlineStr">
        <is>
          <t>A 44047-2024</t>
        </is>
      </c>
      <c r="B109" s="1" t="n">
        <v>45572</v>
      </c>
      <c r="C109" s="1" t="n">
        <v>45850</v>
      </c>
      <c r="D109" t="inlineStr">
        <is>
          <t>JÄMTLANDS LÄN</t>
        </is>
      </c>
      <c r="E109" t="inlineStr">
        <is>
          <t>ÖSTERSUND</t>
        </is>
      </c>
      <c r="F109" t="inlineStr">
        <is>
          <t>SCA</t>
        </is>
      </c>
      <c r="G109" t="n">
        <v>5.8</v>
      </c>
      <c r="H109" t="n">
        <v>1</v>
      </c>
      <c r="I109" t="n">
        <v>0</v>
      </c>
      <c r="J109" t="n">
        <v>2</v>
      </c>
      <c r="K109" t="n">
        <v>1</v>
      </c>
      <c r="L109" t="n">
        <v>0</v>
      </c>
      <c r="M109" t="n">
        <v>0</v>
      </c>
      <c r="N109" t="n">
        <v>0</v>
      </c>
      <c r="O109" t="n">
        <v>3</v>
      </c>
      <c r="P109" t="n">
        <v>1</v>
      </c>
      <c r="Q109" t="n">
        <v>3</v>
      </c>
      <c r="R109" s="2" t="inlineStr">
        <is>
          <t>Knärot
Lunglav
Motaggsvamp</t>
        </is>
      </c>
      <c r="S109">
        <f>HYPERLINK("https://klasma.github.io/Logging_2380/artfynd/A 44047-2024 artfynd.xlsx", "A 44047-2024")</f>
        <v/>
      </c>
      <c r="T109">
        <f>HYPERLINK("https://klasma.github.io/Logging_2380/kartor/A 44047-2024 karta.png", "A 44047-2024")</f>
        <v/>
      </c>
      <c r="U109">
        <f>HYPERLINK("https://klasma.github.io/Logging_2380/knärot/A 44047-2024 karta knärot.png", "A 44047-2024")</f>
        <v/>
      </c>
      <c r="V109">
        <f>HYPERLINK("https://klasma.github.io/Logging_2380/klagomål/A 44047-2024 FSC-klagomål.docx", "A 44047-2024")</f>
        <v/>
      </c>
      <c r="W109">
        <f>HYPERLINK("https://klasma.github.io/Logging_2380/klagomålsmail/A 44047-2024 FSC-klagomål mail.docx", "A 44047-2024")</f>
        <v/>
      </c>
      <c r="X109">
        <f>HYPERLINK("https://klasma.github.io/Logging_2380/tillsyn/A 44047-2024 tillsynsbegäran.docx", "A 44047-2024")</f>
        <v/>
      </c>
      <c r="Y109">
        <f>HYPERLINK("https://klasma.github.io/Logging_2380/tillsynsmail/A 44047-2024 tillsynsbegäran mail.docx", "A 44047-2024")</f>
        <v/>
      </c>
    </row>
    <row r="110" ht="15" customHeight="1">
      <c r="A110" t="inlineStr">
        <is>
          <t>A 44877-2024</t>
        </is>
      </c>
      <c r="B110" s="1" t="n">
        <v>45575</v>
      </c>
      <c r="C110" s="1" t="n">
        <v>45850</v>
      </c>
      <c r="D110" t="inlineStr">
        <is>
          <t>JÄMTLANDS LÄN</t>
        </is>
      </c>
      <c r="E110" t="inlineStr">
        <is>
          <t>ÖSTERSUND</t>
        </is>
      </c>
      <c r="F110" t="inlineStr">
        <is>
          <t>SCA</t>
        </is>
      </c>
      <c r="G110" t="n">
        <v>6.4</v>
      </c>
      <c r="H110" t="n">
        <v>1</v>
      </c>
      <c r="I110" t="n">
        <v>1</v>
      </c>
      <c r="J110" t="n">
        <v>1</v>
      </c>
      <c r="K110" t="n">
        <v>1</v>
      </c>
      <c r="L110" t="n">
        <v>0</v>
      </c>
      <c r="M110" t="n">
        <v>0</v>
      </c>
      <c r="N110" t="n">
        <v>0</v>
      </c>
      <c r="O110" t="n">
        <v>2</v>
      </c>
      <c r="P110" t="n">
        <v>1</v>
      </c>
      <c r="Q110" t="n">
        <v>3</v>
      </c>
      <c r="R110" s="2" t="inlineStr">
        <is>
          <t>Knärot
Lunglav
Dropptaggsvamp</t>
        </is>
      </c>
      <c r="S110">
        <f>HYPERLINK("https://klasma.github.io/Logging_2380/artfynd/A 44877-2024 artfynd.xlsx", "A 44877-2024")</f>
        <v/>
      </c>
      <c r="T110">
        <f>HYPERLINK("https://klasma.github.io/Logging_2380/kartor/A 44877-2024 karta.png", "A 44877-2024")</f>
        <v/>
      </c>
      <c r="U110">
        <f>HYPERLINK("https://klasma.github.io/Logging_2380/knärot/A 44877-2024 karta knärot.png", "A 44877-2024")</f>
        <v/>
      </c>
      <c r="V110">
        <f>HYPERLINK("https://klasma.github.io/Logging_2380/klagomål/A 44877-2024 FSC-klagomål.docx", "A 44877-2024")</f>
        <v/>
      </c>
      <c r="W110">
        <f>HYPERLINK("https://klasma.github.io/Logging_2380/klagomålsmail/A 44877-2024 FSC-klagomål mail.docx", "A 44877-2024")</f>
        <v/>
      </c>
      <c r="X110">
        <f>HYPERLINK("https://klasma.github.io/Logging_2380/tillsyn/A 44877-2024 tillsynsbegäran.docx", "A 44877-2024")</f>
        <v/>
      </c>
      <c r="Y110">
        <f>HYPERLINK("https://klasma.github.io/Logging_2380/tillsynsmail/A 44877-2024 tillsynsbegäran mail.docx", "A 44877-2024")</f>
        <v/>
      </c>
    </row>
    <row r="111" ht="15" customHeight="1">
      <c r="A111" t="inlineStr">
        <is>
          <t>A 53652-2024</t>
        </is>
      </c>
      <c r="B111" s="1" t="n">
        <v>45615</v>
      </c>
      <c r="C111" s="1" t="n">
        <v>45850</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56599-2024</t>
        </is>
      </c>
      <c r="B112" s="1" t="n">
        <v>45625</v>
      </c>
      <c r="C112" s="1" t="n">
        <v>45850</v>
      </c>
      <c r="D112" t="inlineStr">
        <is>
          <t>JÄMTLANDS LÄN</t>
        </is>
      </c>
      <c r="E112" t="inlineStr">
        <is>
          <t>ÖSTERSUND</t>
        </is>
      </c>
      <c r="G112" t="n">
        <v>2.1</v>
      </c>
      <c r="H112" t="n">
        <v>3</v>
      </c>
      <c r="I112" t="n">
        <v>0</v>
      </c>
      <c r="J112" t="n">
        <v>0</v>
      </c>
      <c r="K112" t="n">
        <v>1</v>
      </c>
      <c r="L112" t="n">
        <v>0</v>
      </c>
      <c r="M112" t="n">
        <v>0</v>
      </c>
      <c r="N112" t="n">
        <v>0</v>
      </c>
      <c r="O112" t="n">
        <v>1</v>
      </c>
      <c r="P112" t="n">
        <v>1</v>
      </c>
      <c r="Q112" t="n">
        <v>3</v>
      </c>
      <c r="R112" s="2" t="inlineStr">
        <is>
          <t>Knärot
Blåsippa
Revlummer</t>
        </is>
      </c>
      <c r="S112">
        <f>HYPERLINK("https://klasma.github.io/Logging_2380/artfynd/A 56599-2024 artfynd.xlsx", "A 56599-2024")</f>
        <v/>
      </c>
      <c r="T112">
        <f>HYPERLINK("https://klasma.github.io/Logging_2380/kartor/A 56599-2024 karta.png", "A 56599-2024")</f>
        <v/>
      </c>
      <c r="U112">
        <f>HYPERLINK("https://klasma.github.io/Logging_2380/knärot/A 56599-2024 karta knärot.png", "A 56599-2024")</f>
        <v/>
      </c>
      <c r="V112">
        <f>HYPERLINK("https://klasma.github.io/Logging_2380/klagomål/A 56599-2024 FSC-klagomål.docx", "A 56599-2024")</f>
        <v/>
      </c>
      <c r="W112">
        <f>HYPERLINK("https://klasma.github.io/Logging_2380/klagomålsmail/A 56599-2024 FSC-klagomål mail.docx", "A 56599-2024")</f>
        <v/>
      </c>
      <c r="X112">
        <f>HYPERLINK("https://klasma.github.io/Logging_2380/tillsyn/A 56599-2024 tillsynsbegäran.docx", "A 56599-2024")</f>
        <v/>
      </c>
      <c r="Y112">
        <f>HYPERLINK("https://klasma.github.io/Logging_2380/tillsynsmail/A 56599-2024 tillsynsbegäran mail.docx", "A 56599-2024")</f>
        <v/>
      </c>
    </row>
    <row r="113" ht="15" customHeight="1">
      <c r="A113" t="inlineStr">
        <is>
          <t>A 7965-2025</t>
        </is>
      </c>
      <c r="B113" s="1" t="n">
        <v>45707</v>
      </c>
      <c r="C113" s="1" t="n">
        <v>45850</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35996-2019</t>
        </is>
      </c>
      <c r="B114" s="1" t="n">
        <v>43656</v>
      </c>
      <c r="C114" s="1" t="n">
        <v>45850</v>
      </c>
      <c r="D114" t="inlineStr">
        <is>
          <t>JÄMTLANDS LÄN</t>
        </is>
      </c>
      <c r="E114" t="inlineStr">
        <is>
          <t>ÖSTERSUND</t>
        </is>
      </c>
      <c r="F114" t="inlineStr">
        <is>
          <t>SCA</t>
        </is>
      </c>
      <c r="G114" t="n">
        <v>1.4</v>
      </c>
      <c r="H114" t="n">
        <v>1</v>
      </c>
      <c r="I114" t="n">
        <v>0</v>
      </c>
      <c r="J114" t="n">
        <v>1</v>
      </c>
      <c r="K114" t="n">
        <v>0</v>
      </c>
      <c r="L114" t="n">
        <v>0</v>
      </c>
      <c r="M114" t="n">
        <v>0</v>
      </c>
      <c r="N114" t="n">
        <v>0</v>
      </c>
      <c r="O114" t="n">
        <v>1</v>
      </c>
      <c r="P114" t="n">
        <v>0</v>
      </c>
      <c r="Q114" t="n">
        <v>2</v>
      </c>
      <c r="R114" s="2" t="inlineStr">
        <is>
          <t>Kolflarnlav
Blåsippa</t>
        </is>
      </c>
      <c r="S114">
        <f>HYPERLINK("https://klasma.github.io/Logging_2380/artfynd/A 35996-2019 artfynd.xlsx", "A 35996-2019")</f>
        <v/>
      </c>
      <c r="T114">
        <f>HYPERLINK("https://klasma.github.io/Logging_2380/kartor/A 35996-2019 karta.png", "A 35996-2019")</f>
        <v/>
      </c>
      <c r="V114">
        <f>HYPERLINK("https://klasma.github.io/Logging_2380/klagomål/A 35996-2019 FSC-klagomål.docx", "A 35996-2019")</f>
        <v/>
      </c>
      <c r="W114">
        <f>HYPERLINK("https://klasma.github.io/Logging_2380/klagomålsmail/A 35996-2019 FSC-klagomål mail.docx", "A 35996-2019")</f>
        <v/>
      </c>
      <c r="X114">
        <f>HYPERLINK("https://klasma.github.io/Logging_2380/tillsyn/A 35996-2019 tillsynsbegäran.docx", "A 35996-2019")</f>
        <v/>
      </c>
      <c r="Y114">
        <f>HYPERLINK("https://klasma.github.io/Logging_2380/tillsynsmail/A 35996-2019 tillsynsbegäran mail.docx", "A 35996-2019")</f>
        <v/>
      </c>
    </row>
    <row r="115" ht="15" customHeight="1">
      <c r="A115" t="inlineStr">
        <is>
          <t>A 29583-2021</t>
        </is>
      </c>
      <c r="B115" s="1" t="n">
        <v>44361</v>
      </c>
      <c r="C115" s="1" t="n">
        <v>45850</v>
      </c>
      <c r="D115" t="inlineStr">
        <is>
          <t>JÄMTLANDS LÄN</t>
        </is>
      </c>
      <c r="E115" t="inlineStr">
        <is>
          <t>ÖSTERSUND</t>
        </is>
      </c>
      <c r="G115" t="n">
        <v>11.7</v>
      </c>
      <c r="H115" t="n">
        <v>1</v>
      </c>
      <c r="I115" t="n">
        <v>1</v>
      </c>
      <c r="J115" t="n">
        <v>0</v>
      </c>
      <c r="K115" t="n">
        <v>0</v>
      </c>
      <c r="L115" t="n">
        <v>0</v>
      </c>
      <c r="M115" t="n">
        <v>0</v>
      </c>
      <c r="N115" t="n">
        <v>0</v>
      </c>
      <c r="O115" t="n">
        <v>0</v>
      </c>
      <c r="P115" t="n">
        <v>0</v>
      </c>
      <c r="Q115" t="n">
        <v>2</v>
      </c>
      <c r="R115" s="2" t="inlineStr">
        <is>
          <t>Kransrams
Blåsippa</t>
        </is>
      </c>
      <c r="S115">
        <f>HYPERLINK("https://klasma.github.io/Logging_2380/artfynd/A 29583-2021 artfynd.xlsx", "A 29583-2021")</f>
        <v/>
      </c>
      <c r="T115">
        <f>HYPERLINK("https://klasma.github.io/Logging_2380/kartor/A 29583-2021 karta.png", "A 29583-2021")</f>
        <v/>
      </c>
      <c r="V115">
        <f>HYPERLINK("https://klasma.github.io/Logging_2380/klagomål/A 29583-2021 FSC-klagomål.docx", "A 29583-2021")</f>
        <v/>
      </c>
      <c r="W115">
        <f>HYPERLINK("https://klasma.github.io/Logging_2380/klagomålsmail/A 29583-2021 FSC-klagomål mail.docx", "A 29583-2021")</f>
        <v/>
      </c>
      <c r="X115">
        <f>HYPERLINK("https://klasma.github.io/Logging_2380/tillsyn/A 29583-2021 tillsynsbegäran.docx", "A 29583-2021")</f>
        <v/>
      </c>
      <c r="Y115">
        <f>HYPERLINK("https://klasma.github.io/Logging_2380/tillsynsmail/A 29583-2021 tillsynsbegäran mail.docx", "A 29583-2021")</f>
        <v/>
      </c>
    </row>
    <row r="116" ht="15" customHeight="1">
      <c r="A116" t="inlineStr">
        <is>
          <t>A 30105-2021</t>
        </is>
      </c>
      <c r="B116" s="1" t="n">
        <v>44363</v>
      </c>
      <c r="C116" s="1" t="n">
        <v>45850</v>
      </c>
      <c r="D116" t="inlineStr">
        <is>
          <t>JÄMTLANDS LÄN</t>
        </is>
      </c>
      <c r="E116" t="inlineStr">
        <is>
          <t>ÖSTERSUND</t>
        </is>
      </c>
      <c r="G116" t="n">
        <v>2</v>
      </c>
      <c r="H116" t="n">
        <v>0</v>
      </c>
      <c r="I116" t="n">
        <v>2</v>
      </c>
      <c r="J116" t="n">
        <v>0</v>
      </c>
      <c r="K116" t="n">
        <v>0</v>
      </c>
      <c r="L116" t="n">
        <v>0</v>
      </c>
      <c r="M116" t="n">
        <v>0</v>
      </c>
      <c r="N116" t="n">
        <v>0</v>
      </c>
      <c r="O116" t="n">
        <v>0</v>
      </c>
      <c r="P116" t="n">
        <v>0</v>
      </c>
      <c r="Q116" t="n">
        <v>2</v>
      </c>
      <c r="R116" s="2" t="inlineStr">
        <is>
          <t>Grönpyrola
Ögonpyrola</t>
        </is>
      </c>
      <c r="S116">
        <f>HYPERLINK("https://klasma.github.io/Logging_2380/artfynd/A 30105-2021 artfynd.xlsx", "A 30105-2021")</f>
        <v/>
      </c>
      <c r="T116">
        <f>HYPERLINK("https://klasma.github.io/Logging_2380/kartor/A 30105-2021 karta.png", "A 30105-2021")</f>
        <v/>
      </c>
      <c r="V116">
        <f>HYPERLINK("https://klasma.github.io/Logging_2380/klagomål/A 30105-2021 FSC-klagomål.docx", "A 30105-2021")</f>
        <v/>
      </c>
      <c r="W116">
        <f>HYPERLINK("https://klasma.github.io/Logging_2380/klagomålsmail/A 30105-2021 FSC-klagomål mail.docx", "A 30105-2021")</f>
        <v/>
      </c>
      <c r="X116">
        <f>HYPERLINK("https://klasma.github.io/Logging_2380/tillsyn/A 30105-2021 tillsynsbegäran.docx", "A 30105-2021")</f>
        <v/>
      </c>
      <c r="Y116">
        <f>HYPERLINK("https://klasma.github.io/Logging_2380/tillsynsmail/A 30105-2021 tillsynsbegäran mail.docx", "A 30105-2021")</f>
        <v/>
      </c>
    </row>
    <row r="117" ht="15" customHeight="1">
      <c r="A117" t="inlineStr">
        <is>
          <t>A 46105-2021</t>
        </is>
      </c>
      <c r="B117" s="1" t="n">
        <v>44441</v>
      </c>
      <c r="C117" s="1" t="n">
        <v>45850</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63601-2021</t>
        </is>
      </c>
      <c r="B118" s="1" t="n">
        <v>44508</v>
      </c>
      <c r="C118" s="1" t="n">
        <v>45850</v>
      </c>
      <c r="D118" t="inlineStr">
        <is>
          <t>JÄMTLANDS LÄN</t>
        </is>
      </c>
      <c r="E118" t="inlineStr">
        <is>
          <t>ÖSTERSUND</t>
        </is>
      </c>
      <c r="F118" t="inlineStr">
        <is>
          <t>SCA</t>
        </is>
      </c>
      <c r="G118" t="n">
        <v>2.9</v>
      </c>
      <c r="H118" t="n">
        <v>0</v>
      </c>
      <c r="I118" t="n">
        <v>1</v>
      </c>
      <c r="J118" t="n">
        <v>0</v>
      </c>
      <c r="K118" t="n">
        <v>1</v>
      </c>
      <c r="L118" t="n">
        <v>0</v>
      </c>
      <c r="M118" t="n">
        <v>0</v>
      </c>
      <c r="N118" t="n">
        <v>0</v>
      </c>
      <c r="O118" t="n">
        <v>1</v>
      </c>
      <c r="P118" t="n">
        <v>1</v>
      </c>
      <c r="Q118" t="n">
        <v>2</v>
      </c>
      <c r="R118" s="2" t="inlineStr">
        <is>
          <t>Läderdoftande fingersvamp
Blodvaxing</t>
        </is>
      </c>
      <c r="S118">
        <f>HYPERLINK("https://klasma.github.io/Logging_2380/artfynd/A 63601-2021 artfynd.xlsx", "A 63601-2021")</f>
        <v/>
      </c>
      <c r="T118">
        <f>HYPERLINK("https://klasma.github.io/Logging_2380/kartor/A 63601-2021 karta.png", "A 63601-2021")</f>
        <v/>
      </c>
      <c r="V118">
        <f>HYPERLINK("https://klasma.github.io/Logging_2380/klagomål/A 63601-2021 FSC-klagomål.docx", "A 63601-2021")</f>
        <v/>
      </c>
      <c r="W118">
        <f>HYPERLINK("https://klasma.github.io/Logging_2380/klagomålsmail/A 63601-2021 FSC-klagomål mail.docx", "A 63601-2021")</f>
        <v/>
      </c>
      <c r="X118">
        <f>HYPERLINK("https://klasma.github.io/Logging_2380/tillsyn/A 63601-2021 tillsynsbegäran.docx", "A 63601-2021")</f>
        <v/>
      </c>
      <c r="Y118">
        <f>HYPERLINK("https://klasma.github.io/Logging_2380/tillsynsmail/A 63601-2021 tillsynsbegäran mail.docx", "A 63601-2021")</f>
        <v/>
      </c>
    </row>
    <row r="119" ht="15" customHeight="1">
      <c r="A119" t="inlineStr">
        <is>
          <t>A 43935-2022</t>
        </is>
      </c>
      <c r="B119" s="1" t="n">
        <v>44838</v>
      </c>
      <c r="C119" s="1" t="n">
        <v>45850</v>
      </c>
      <c r="D119" t="inlineStr">
        <is>
          <t>JÄMTLANDS LÄN</t>
        </is>
      </c>
      <c r="E119" t="inlineStr">
        <is>
          <t>ÖSTERSUND</t>
        </is>
      </c>
      <c r="F119" t="inlineStr">
        <is>
          <t>Övriga Aktiebolag</t>
        </is>
      </c>
      <c r="G119" t="n">
        <v>19.2</v>
      </c>
      <c r="H119" t="n">
        <v>0</v>
      </c>
      <c r="I119" t="n">
        <v>0</v>
      </c>
      <c r="J119" t="n">
        <v>1</v>
      </c>
      <c r="K119" t="n">
        <v>1</v>
      </c>
      <c r="L119" t="n">
        <v>0</v>
      </c>
      <c r="M119" t="n">
        <v>0</v>
      </c>
      <c r="N119" t="n">
        <v>0</v>
      </c>
      <c r="O119" t="n">
        <v>2</v>
      </c>
      <c r="P119" t="n">
        <v>1</v>
      </c>
      <c r="Q119" t="n">
        <v>2</v>
      </c>
      <c r="R119" s="2" t="inlineStr">
        <is>
          <t>Sprickporing
Blå taggsvamp</t>
        </is>
      </c>
      <c r="S119">
        <f>HYPERLINK("https://klasma.github.io/Logging_2380/artfynd/A 43935-2022 artfynd.xlsx", "A 43935-2022")</f>
        <v/>
      </c>
      <c r="T119">
        <f>HYPERLINK("https://klasma.github.io/Logging_2380/kartor/A 43935-2022 karta.png", "A 43935-2022")</f>
        <v/>
      </c>
      <c r="V119">
        <f>HYPERLINK("https://klasma.github.io/Logging_2380/klagomål/A 43935-2022 FSC-klagomål.docx", "A 43935-2022")</f>
        <v/>
      </c>
      <c r="W119">
        <f>HYPERLINK("https://klasma.github.io/Logging_2380/klagomålsmail/A 43935-2022 FSC-klagomål mail.docx", "A 43935-2022")</f>
        <v/>
      </c>
      <c r="X119">
        <f>HYPERLINK("https://klasma.github.io/Logging_2380/tillsyn/A 43935-2022 tillsynsbegäran.docx", "A 43935-2022")</f>
        <v/>
      </c>
      <c r="Y119">
        <f>HYPERLINK("https://klasma.github.io/Logging_2380/tillsynsmail/A 43935-2022 tillsynsbegäran mail.docx", "A 43935-2022")</f>
        <v/>
      </c>
    </row>
    <row r="120" ht="15" customHeight="1">
      <c r="A120" t="inlineStr">
        <is>
          <t>A 47385-2022</t>
        </is>
      </c>
      <c r="B120" s="1" t="n">
        <v>44853</v>
      </c>
      <c r="C120" s="1" t="n">
        <v>45850</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60534-2022</t>
        </is>
      </c>
      <c r="B121" s="1" t="n">
        <v>44904</v>
      </c>
      <c r="C121" s="1" t="n">
        <v>45850</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59793-2022</t>
        </is>
      </c>
      <c r="B122" s="1" t="n">
        <v>44908</v>
      </c>
      <c r="C122" s="1" t="n">
        <v>45850</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60614-2022</t>
        </is>
      </c>
      <c r="B123" s="1" t="n">
        <v>44911</v>
      </c>
      <c r="C123" s="1" t="n">
        <v>45850</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4916-2023</t>
        </is>
      </c>
      <c r="B124" s="1" t="n">
        <v>44956</v>
      </c>
      <c r="C124" s="1" t="n">
        <v>45850</v>
      </c>
      <c r="D124" t="inlineStr">
        <is>
          <t>JÄMTLANDS LÄN</t>
        </is>
      </c>
      <c r="E124" t="inlineStr">
        <is>
          <t>ÖSTERSUND</t>
        </is>
      </c>
      <c r="G124" t="n">
        <v>1.2</v>
      </c>
      <c r="H124" t="n">
        <v>0</v>
      </c>
      <c r="I124" t="n">
        <v>1</v>
      </c>
      <c r="J124" t="n">
        <v>0</v>
      </c>
      <c r="K124" t="n">
        <v>0</v>
      </c>
      <c r="L124" t="n">
        <v>1</v>
      </c>
      <c r="M124" t="n">
        <v>0</v>
      </c>
      <c r="N124" t="n">
        <v>0</v>
      </c>
      <c r="O124" t="n">
        <v>1</v>
      </c>
      <c r="P124" t="n">
        <v>1</v>
      </c>
      <c r="Q124" t="n">
        <v>2</v>
      </c>
      <c r="R124" s="2" t="inlineStr">
        <is>
          <t>Trolldruvemätare
Svart trolldruva</t>
        </is>
      </c>
      <c r="S124">
        <f>HYPERLINK("https://klasma.github.io/Logging_2380/artfynd/A 4916-2023 artfynd.xlsx", "A 4916-2023")</f>
        <v/>
      </c>
      <c r="T124">
        <f>HYPERLINK("https://klasma.github.io/Logging_2380/kartor/A 4916-2023 karta.png", "A 4916-2023")</f>
        <v/>
      </c>
      <c r="V124">
        <f>HYPERLINK("https://klasma.github.io/Logging_2380/klagomål/A 4916-2023 FSC-klagomål.docx", "A 4916-2023")</f>
        <v/>
      </c>
      <c r="W124">
        <f>HYPERLINK("https://klasma.github.io/Logging_2380/klagomålsmail/A 4916-2023 FSC-klagomål mail.docx", "A 4916-2023")</f>
        <v/>
      </c>
      <c r="X124">
        <f>HYPERLINK("https://klasma.github.io/Logging_2380/tillsyn/A 4916-2023 tillsynsbegäran.docx", "A 4916-2023")</f>
        <v/>
      </c>
      <c r="Y124">
        <f>HYPERLINK("https://klasma.github.io/Logging_2380/tillsynsmail/A 4916-2023 tillsynsbegäran mail.docx", "A 4916-2023")</f>
        <v/>
      </c>
    </row>
    <row r="125" ht="15" customHeight="1">
      <c r="A125" t="inlineStr">
        <is>
          <t>A 19147-2023</t>
        </is>
      </c>
      <c r="B125" s="1" t="n">
        <v>45044</v>
      </c>
      <c r="C125" s="1" t="n">
        <v>45850</v>
      </c>
      <c r="D125" t="inlineStr">
        <is>
          <t>JÄMTLANDS LÄN</t>
        </is>
      </c>
      <c r="E125" t="inlineStr">
        <is>
          <t>ÖSTERSUND</t>
        </is>
      </c>
      <c r="G125" t="n">
        <v>5</v>
      </c>
      <c r="H125" t="n">
        <v>1</v>
      </c>
      <c r="I125" t="n">
        <v>0</v>
      </c>
      <c r="J125" t="n">
        <v>1</v>
      </c>
      <c r="K125" t="n">
        <v>0</v>
      </c>
      <c r="L125" t="n">
        <v>1</v>
      </c>
      <c r="M125" t="n">
        <v>0</v>
      </c>
      <c r="N125" t="n">
        <v>0</v>
      </c>
      <c r="O125" t="n">
        <v>2</v>
      </c>
      <c r="P125" t="n">
        <v>1</v>
      </c>
      <c r="Q125" t="n">
        <v>2</v>
      </c>
      <c r="R125" s="2" t="inlineStr">
        <is>
          <t>Bredgentiana
Scharlakansvaxing</t>
        </is>
      </c>
      <c r="S125">
        <f>HYPERLINK("https://klasma.github.io/Logging_2380/artfynd/A 19147-2023 artfynd.xlsx", "A 19147-2023")</f>
        <v/>
      </c>
      <c r="T125">
        <f>HYPERLINK("https://klasma.github.io/Logging_2380/kartor/A 19147-2023 karta.png", "A 19147-2023")</f>
        <v/>
      </c>
      <c r="V125">
        <f>HYPERLINK("https://klasma.github.io/Logging_2380/klagomål/A 19147-2023 FSC-klagomål.docx", "A 19147-2023")</f>
        <v/>
      </c>
      <c r="W125">
        <f>HYPERLINK("https://klasma.github.io/Logging_2380/klagomålsmail/A 19147-2023 FSC-klagomål mail.docx", "A 19147-2023")</f>
        <v/>
      </c>
      <c r="X125">
        <f>HYPERLINK("https://klasma.github.io/Logging_2380/tillsyn/A 19147-2023 tillsynsbegäran.docx", "A 19147-2023")</f>
        <v/>
      </c>
      <c r="Y125">
        <f>HYPERLINK("https://klasma.github.io/Logging_2380/tillsynsmail/A 19147-2023 tillsynsbegäran mail.docx", "A 19147-2023")</f>
        <v/>
      </c>
    </row>
    <row r="126" ht="15" customHeight="1">
      <c r="A126" t="inlineStr">
        <is>
          <t>A 38334-2023</t>
        </is>
      </c>
      <c r="B126" s="1" t="n">
        <v>45161</v>
      </c>
      <c r="C126" s="1" t="n">
        <v>45850</v>
      </c>
      <c r="D126" t="inlineStr">
        <is>
          <t>JÄMTLANDS LÄN</t>
        </is>
      </c>
      <c r="E126" t="inlineStr">
        <is>
          <t>ÖSTERSUND</t>
        </is>
      </c>
      <c r="G126" t="n">
        <v>10.5</v>
      </c>
      <c r="H126" t="n">
        <v>0</v>
      </c>
      <c r="I126" t="n">
        <v>0</v>
      </c>
      <c r="J126" t="n">
        <v>0</v>
      </c>
      <c r="K126" t="n">
        <v>2</v>
      </c>
      <c r="L126" t="n">
        <v>0</v>
      </c>
      <c r="M126" t="n">
        <v>0</v>
      </c>
      <c r="N126" t="n">
        <v>0</v>
      </c>
      <c r="O126" t="n">
        <v>2</v>
      </c>
      <c r="P126" t="n">
        <v>2</v>
      </c>
      <c r="Q126" t="n">
        <v>2</v>
      </c>
      <c r="R126" s="2" t="inlineStr">
        <is>
          <t>Rynkskinn
Violett fingersvamp</t>
        </is>
      </c>
      <c r="S126">
        <f>HYPERLINK("https://klasma.github.io/Logging_2380/artfynd/A 38334-2023 artfynd.xlsx", "A 38334-2023")</f>
        <v/>
      </c>
      <c r="T126">
        <f>HYPERLINK("https://klasma.github.io/Logging_2380/kartor/A 38334-2023 karta.png", "A 38334-2023")</f>
        <v/>
      </c>
      <c r="V126">
        <f>HYPERLINK("https://klasma.github.io/Logging_2380/klagomål/A 38334-2023 FSC-klagomål.docx", "A 38334-2023")</f>
        <v/>
      </c>
      <c r="W126">
        <f>HYPERLINK("https://klasma.github.io/Logging_2380/klagomålsmail/A 38334-2023 FSC-klagomål mail.docx", "A 38334-2023")</f>
        <v/>
      </c>
      <c r="X126">
        <f>HYPERLINK("https://klasma.github.io/Logging_2380/tillsyn/A 38334-2023 tillsynsbegäran.docx", "A 38334-2023")</f>
        <v/>
      </c>
      <c r="Y126">
        <f>HYPERLINK("https://klasma.github.io/Logging_2380/tillsynsmail/A 38334-2023 tillsynsbegäran mail.docx", "A 38334-2023")</f>
        <v/>
      </c>
    </row>
    <row r="127" ht="15" customHeight="1">
      <c r="A127" t="inlineStr">
        <is>
          <t>A 52129-2023</t>
        </is>
      </c>
      <c r="B127" s="1" t="n">
        <v>45223</v>
      </c>
      <c r="C127" s="1" t="n">
        <v>45850</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56006-2023</t>
        </is>
      </c>
      <c r="B128" s="1" t="n">
        <v>45233</v>
      </c>
      <c r="C128" s="1" t="n">
        <v>45850</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55648-2023</t>
        </is>
      </c>
      <c r="B129" s="1" t="n">
        <v>45238</v>
      </c>
      <c r="C129" s="1" t="n">
        <v>45850</v>
      </c>
      <c r="D129" t="inlineStr">
        <is>
          <t>JÄMTLANDS LÄN</t>
        </is>
      </c>
      <c r="E129" t="inlineStr">
        <is>
          <t>ÖSTERSUND</t>
        </is>
      </c>
      <c r="G129" t="n">
        <v>10.9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HYPERLINK("https://klasma.github.io/Logging_2380/artfynd/A 55648-2023 artfynd.xlsx", "A 55648-2023")</f>
        <v/>
      </c>
      <c r="T129">
        <f>HYPERLINK("https://klasma.github.io/Logging_2380/kartor/A 55648-2023 karta.png", "A 55648-2023")</f>
        <v/>
      </c>
      <c r="V129">
        <f>HYPERLINK("https://klasma.github.io/Logging_2380/klagomål/A 55648-2023 FSC-klagomål.docx", "A 55648-2023")</f>
        <v/>
      </c>
      <c r="W129">
        <f>HYPERLINK("https://klasma.github.io/Logging_2380/klagomålsmail/A 55648-2023 FSC-klagomål mail.docx", "A 55648-2023")</f>
        <v/>
      </c>
      <c r="X129">
        <f>HYPERLINK("https://klasma.github.io/Logging_2380/tillsyn/A 55648-2023 tillsynsbegäran.docx", "A 55648-2023")</f>
        <v/>
      </c>
      <c r="Y129">
        <f>HYPERLINK("https://klasma.github.io/Logging_2380/tillsynsmail/A 55648-2023 tillsynsbegäran mail.docx", "A 55648-2023")</f>
        <v/>
      </c>
      <c r="Z129">
        <f>HYPERLINK("https://klasma.github.io/Logging_2380/fåglar/A 55648-2023 prioriterade fågelarter.docx", "A 55648-2023")</f>
        <v/>
      </c>
    </row>
    <row r="130" ht="15" customHeight="1">
      <c r="A130" t="inlineStr">
        <is>
          <t>A 57491-2023</t>
        </is>
      </c>
      <c r="B130" s="1" t="n">
        <v>45246</v>
      </c>
      <c r="C130" s="1" t="n">
        <v>45850</v>
      </c>
      <c r="D130" t="inlineStr">
        <is>
          <t>JÄMTLANDS LÄN</t>
        </is>
      </c>
      <c r="E130" t="inlineStr">
        <is>
          <t>ÖSTERSUND</t>
        </is>
      </c>
      <c r="G130" t="n">
        <v>9.699999999999999</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57491-2023 artfynd.xlsx", "A 57491-2023")</f>
        <v/>
      </c>
      <c r="T130">
        <f>HYPERLINK("https://klasma.github.io/Logging_2380/kartor/A 57491-2023 karta.png", "A 57491-2023")</f>
        <v/>
      </c>
      <c r="V130">
        <f>HYPERLINK("https://klasma.github.io/Logging_2380/klagomål/A 57491-2023 FSC-klagomål.docx", "A 57491-2023")</f>
        <v/>
      </c>
      <c r="W130">
        <f>HYPERLINK("https://klasma.github.io/Logging_2380/klagomålsmail/A 57491-2023 FSC-klagomål mail.docx", "A 57491-2023")</f>
        <v/>
      </c>
      <c r="X130">
        <f>HYPERLINK("https://klasma.github.io/Logging_2380/tillsyn/A 57491-2023 tillsynsbegäran.docx", "A 57491-2023")</f>
        <v/>
      </c>
      <c r="Y130">
        <f>HYPERLINK("https://klasma.github.io/Logging_2380/tillsynsmail/A 57491-2023 tillsynsbegäran mail.docx", "A 57491-2023")</f>
        <v/>
      </c>
    </row>
    <row r="131" ht="15" customHeight="1">
      <c r="A131" t="inlineStr">
        <is>
          <t>A 63930-2023</t>
        </is>
      </c>
      <c r="B131" s="1" t="n">
        <v>45278</v>
      </c>
      <c r="C131" s="1" t="n">
        <v>45850</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64270-2023</t>
        </is>
      </c>
      <c r="B132" s="1" t="n">
        <v>45279</v>
      </c>
      <c r="C132" s="1" t="n">
        <v>45850</v>
      </c>
      <c r="D132" t="inlineStr">
        <is>
          <t>JÄMTLANDS LÄN</t>
        </is>
      </c>
      <c r="E132" t="inlineStr">
        <is>
          <t>ÖSTERSUND</t>
        </is>
      </c>
      <c r="F132" t="inlineStr">
        <is>
          <t>SCA</t>
        </is>
      </c>
      <c r="G132" t="n">
        <v>0.7</v>
      </c>
      <c r="H132" t="n">
        <v>2</v>
      </c>
      <c r="I132" t="n">
        <v>0</v>
      </c>
      <c r="J132" t="n">
        <v>2</v>
      </c>
      <c r="K132" t="n">
        <v>0</v>
      </c>
      <c r="L132" t="n">
        <v>0</v>
      </c>
      <c r="M132" t="n">
        <v>0</v>
      </c>
      <c r="N132" t="n">
        <v>0</v>
      </c>
      <c r="O132" t="n">
        <v>2</v>
      </c>
      <c r="P132" t="n">
        <v>0</v>
      </c>
      <c r="Q132" t="n">
        <v>2</v>
      </c>
      <c r="R132" s="2" t="inlineStr">
        <is>
          <t>Spillkråka
Talltita</t>
        </is>
      </c>
      <c r="S132">
        <f>HYPERLINK("https://klasma.github.io/Logging_2380/artfynd/A 64270-2023 artfynd.xlsx", "A 64270-2023")</f>
        <v/>
      </c>
      <c r="T132">
        <f>HYPERLINK("https://klasma.github.io/Logging_2380/kartor/A 64270-2023 karta.png", "A 64270-2023")</f>
        <v/>
      </c>
      <c r="V132">
        <f>HYPERLINK("https://klasma.github.io/Logging_2380/klagomål/A 64270-2023 FSC-klagomål.docx", "A 64270-2023")</f>
        <v/>
      </c>
      <c r="W132">
        <f>HYPERLINK("https://klasma.github.io/Logging_2380/klagomålsmail/A 64270-2023 FSC-klagomål mail.docx", "A 64270-2023")</f>
        <v/>
      </c>
      <c r="X132">
        <f>HYPERLINK("https://klasma.github.io/Logging_2380/tillsyn/A 64270-2023 tillsynsbegäran.docx", "A 64270-2023")</f>
        <v/>
      </c>
      <c r="Y132">
        <f>HYPERLINK("https://klasma.github.io/Logging_2380/tillsynsmail/A 64270-2023 tillsynsbegäran mail.docx", "A 64270-2023")</f>
        <v/>
      </c>
      <c r="Z132">
        <f>HYPERLINK("https://klasma.github.io/Logging_2380/fåglar/A 64270-2023 prioriterade fågelarter.docx", "A 64270-2023")</f>
        <v/>
      </c>
    </row>
    <row r="133" ht="15" customHeight="1">
      <c r="A133" t="inlineStr">
        <is>
          <t>A 18300-2024</t>
        </is>
      </c>
      <c r="B133" s="1" t="n">
        <v>45421</v>
      </c>
      <c r="C133" s="1" t="n">
        <v>45850</v>
      </c>
      <c r="D133" t="inlineStr">
        <is>
          <t>JÄMTLANDS LÄN</t>
        </is>
      </c>
      <c r="E133" t="inlineStr">
        <is>
          <t>ÖSTERSUND</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HYPERLINK("https://klasma.github.io/Logging_2380/artfynd/A 18300-2024 artfynd.xlsx", "A 18300-2024")</f>
        <v/>
      </c>
      <c r="T133">
        <f>HYPERLINK("https://klasma.github.io/Logging_2380/kartor/A 18300-2024 karta.png", "A 18300-2024")</f>
        <v/>
      </c>
      <c r="V133">
        <f>HYPERLINK("https://klasma.github.io/Logging_2380/klagomål/A 18300-2024 FSC-klagomål.docx", "A 18300-2024")</f>
        <v/>
      </c>
      <c r="W133">
        <f>HYPERLINK("https://klasma.github.io/Logging_2380/klagomålsmail/A 18300-2024 FSC-klagomål mail.docx", "A 18300-2024")</f>
        <v/>
      </c>
      <c r="X133">
        <f>HYPERLINK("https://klasma.github.io/Logging_2380/tillsyn/A 18300-2024 tillsynsbegäran.docx", "A 18300-2024")</f>
        <v/>
      </c>
      <c r="Y133">
        <f>HYPERLINK("https://klasma.github.io/Logging_2380/tillsynsmail/A 18300-2024 tillsynsbegäran mail.docx", "A 18300-2024")</f>
        <v/>
      </c>
    </row>
    <row r="134" ht="15" customHeight="1">
      <c r="A134" t="inlineStr">
        <is>
          <t>A 21615-2024</t>
        </is>
      </c>
      <c r="B134" s="1" t="n">
        <v>45442</v>
      </c>
      <c r="C134" s="1" t="n">
        <v>45850</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22077-2024</t>
        </is>
      </c>
      <c r="B135" s="1" t="n">
        <v>45443</v>
      </c>
      <c r="C135" s="1" t="n">
        <v>45850</v>
      </c>
      <c r="D135" t="inlineStr">
        <is>
          <t>JÄMTLANDS LÄN</t>
        </is>
      </c>
      <c r="E135" t="inlineStr">
        <is>
          <t>ÖSTERSUND</t>
        </is>
      </c>
      <c r="G135" t="n">
        <v>5</v>
      </c>
      <c r="H135" t="n">
        <v>1</v>
      </c>
      <c r="I135" t="n">
        <v>1</v>
      </c>
      <c r="J135" t="n">
        <v>0</v>
      </c>
      <c r="K135" t="n">
        <v>0</v>
      </c>
      <c r="L135" t="n">
        <v>0</v>
      </c>
      <c r="M135" t="n">
        <v>0</v>
      </c>
      <c r="N135" t="n">
        <v>0</v>
      </c>
      <c r="O135" t="n">
        <v>0</v>
      </c>
      <c r="P135" t="n">
        <v>0</v>
      </c>
      <c r="Q135" t="n">
        <v>2</v>
      </c>
      <c r="R135" s="2" t="inlineStr">
        <is>
          <t>Underviol
Blåsippa</t>
        </is>
      </c>
      <c r="S135">
        <f>HYPERLINK("https://klasma.github.io/Logging_2380/artfynd/A 22077-2024 artfynd.xlsx", "A 22077-2024")</f>
        <v/>
      </c>
      <c r="T135">
        <f>HYPERLINK("https://klasma.github.io/Logging_2380/kartor/A 22077-2024 karta.png", "A 22077-2024")</f>
        <v/>
      </c>
      <c r="V135">
        <f>HYPERLINK("https://klasma.github.io/Logging_2380/klagomål/A 22077-2024 FSC-klagomål.docx", "A 22077-2024")</f>
        <v/>
      </c>
      <c r="W135">
        <f>HYPERLINK("https://klasma.github.io/Logging_2380/klagomålsmail/A 22077-2024 FSC-klagomål mail.docx", "A 22077-2024")</f>
        <v/>
      </c>
      <c r="X135">
        <f>HYPERLINK("https://klasma.github.io/Logging_2380/tillsyn/A 22077-2024 tillsynsbegäran.docx", "A 22077-2024")</f>
        <v/>
      </c>
      <c r="Y135">
        <f>HYPERLINK("https://klasma.github.io/Logging_2380/tillsynsmail/A 22077-2024 tillsynsbegäran mail.docx", "A 22077-2024")</f>
        <v/>
      </c>
    </row>
    <row r="136" ht="15" customHeight="1">
      <c r="A136" t="inlineStr">
        <is>
          <t>A 25389-2024</t>
        </is>
      </c>
      <c r="B136" s="1" t="n">
        <v>45463</v>
      </c>
      <c r="C136" s="1" t="n">
        <v>45850</v>
      </c>
      <c r="D136" t="inlineStr">
        <is>
          <t>JÄMTLANDS LÄN</t>
        </is>
      </c>
      <c r="E136" t="inlineStr">
        <is>
          <t>ÖSTERSUND</t>
        </is>
      </c>
      <c r="G136" t="n">
        <v>6</v>
      </c>
      <c r="H136" t="n">
        <v>1</v>
      </c>
      <c r="I136" t="n">
        <v>1</v>
      </c>
      <c r="J136" t="n">
        <v>0</v>
      </c>
      <c r="K136" t="n">
        <v>0</v>
      </c>
      <c r="L136" t="n">
        <v>0</v>
      </c>
      <c r="M136" t="n">
        <v>0</v>
      </c>
      <c r="N136" t="n">
        <v>0</v>
      </c>
      <c r="O136" t="n">
        <v>0</v>
      </c>
      <c r="P136" t="n">
        <v>0</v>
      </c>
      <c r="Q136" t="n">
        <v>2</v>
      </c>
      <c r="R136" s="2" t="inlineStr">
        <is>
          <t>Dropptaggsvamp
Blåsippa</t>
        </is>
      </c>
      <c r="S136">
        <f>HYPERLINK("https://klasma.github.io/Logging_2380/artfynd/A 25389-2024 artfynd.xlsx", "A 25389-2024")</f>
        <v/>
      </c>
      <c r="T136">
        <f>HYPERLINK("https://klasma.github.io/Logging_2380/kartor/A 25389-2024 karta.png", "A 25389-2024")</f>
        <v/>
      </c>
      <c r="V136">
        <f>HYPERLINK("https://klasma.github.io/Logging_2380/klagomål/A 25389-2024 FSC-klagomål.docx", "A 25389-2024")</f>
        <v/>
      </c>
      <c r="W136">
        <f>HYPERLINK("https://klasma.github.io/Logging_2380/klagomålsmail/A 25389-2024 FSC-klagomål mail.docx", "A 25389-2024")</f>
        <v/>
      </c>
      <c r="X136">
        <f>HYPERLINK("https://klasma.github.io/Logging_2380/tillsyn/A 25389-2024 tillsynsbegäran.docx", "A 25389-2024")</f>
        <v/>
      </c>
      <c r="Y136">
        <f>HYPERLINK("https://klasma.github.io/Logging_2380/tillsynsmail/A 25389-2024 tillsynsbegäran mail.docx", "A 25389-2024")</f>
        <v/>
      </c>
    </row>
    <row r="137" ht="15" customHeight="1">
      <c r="A137" t="inlineStr">
        <is>
          <t>A 35977-2024</t>
        </is>
      </c>
      <c r="B137" s="1" t="n">
        <v>45533</v>
      </c>
      <c r="C137" s="1" t="n">
        <v>45850</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39968-2024</t>
        </is>
      </c>
      <c r="B138" s="1" t="n">
        <v>45553</v>
      </c>
      <c r="C138" s="1" t="n">
        <v>45850</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45884-2024</t>
        </is>
      </c>
      <c r="B139" s="1" t="n">
        <v>45580</v>
      </c>
      <c r="C139" s="1" t="n">
        <v>45850</v>
      </c>
      <c r="D139" t="inlineStr">
        <is>
          <t>JÄMTLANDS LÄN</t>
        </is>
      </c>
      <c r="E139" t="inlineStr">
        <is>
          <t>ÖSTERSUND</t>
        </is>
      </c>
      <c r="F139" t="inlineStr">
        <is>
          <t>SCA</t>
        </is>
      </c>
      <c r="G139" t="n">
        <v>6</v>
      </c>
      <c r="H139" t="n">
        <v>0</v>
      </c>
      <c r="I139" t="n">
        <v>1</v>
      </c>
      <c r="J139" t="n">
        <v>1</v>
      </c>
      <c r="K139" t="n">
        <v>0</v>
      </c>
      <c r="L139" t="n">
        <v>0</v>
      </c>
      <c r="M139" t="n">
        <v>0</v>
      </c>
      <c r="N139" t="n">
        <v>0</v>
      </c>
      <c r="O139" t="n">
        <v>1</v>
      </c>
      <c r="P139" t="n">
        <v>0</v>
      </c>
      <c r="Q139" t="n">
        <v>2</v>
      </c>
      <c r="R139" s="2" t="inlineStr">
        <is>
          <t>Dvärgbägarlav
Skinnlav</t>
        </is>
      </c>
      <c r="S139">
        <f>HYPERLINK("https://klasma.github.io/Logging_2380/artfynd/A 45884-2024 artfynd.xlsx", "A 45884-2024")</f>
        <v/>
      </c>
      <c r="T139">
        <f>HYPERLINK("https://klasma.github.io/Logging_2380/kartor/A 45884-2024 karta.png", "A 45884-2024")</f>
        <v/>
      </c>
      <c r="V139">
        <f>HYPERLINK("https://klasma.github.io/Logging_2380/klagomål/A 45884-2024 FSC-klagomål.docx", "A 45884-2024")</f>
        <v/>
      </c>
      <c r="W139">
        <f>HYPERLINK("https://klasma.github.io/Logging_2380/klagomålsmail/A 45884-2024 FSC-klagomål mail.docx", "A 45884-2024")</f>
        <v/>
      </c>
      <c r="X139">
        <f>HYPERLINK("https://klasma.github.io/Logging_2380/tillsyn/A 45884-2024 tillsynsbegäran.docx", "A 45884-2024")</f>
        <v/>
      </c>
      <c r="Y139">
        <f>HYPERLINK("https://klasma.github.io/Logging_2380/tillsynsmail/A 45884-2024 tillsynsbegäran mail.docx", "A 45884-2024")</f>
        <v/>
      </c>
    </row>
    <row r="140" ht="15" customHeight="1">
      <c r="A140" t="inlineStr">
        <is>
          <t>A 48407-2024</t>
        </is>
      </c>
      <c r="B140" s="1" t="n">
        <v>45590</v>
      </c>
      <c r="C140" s="1" t="n">
        <v>45850</v>
      </c>
      <c r="D140" t="inlineStr">
        <is>
          <t>JÄMTLANDS LÄN</t>
        </is>
      </c>
      <c r="E140" t="inlineStr">
        <is>
          <t>ÖSTERSUND</t>
        </is>
      </c>
      <c r="G140" t="n">
        <v>1.8</v>
      </c>
      <c r="H140" t="n">
        <v>0</v>
      </c>
      <c r="I140" t="n">
        <v>1</v>
      </c>
      <c r="J140" t="n">
        <v>0</v>
      </c>
      <c r="K140" t="n">
        <v>1</v>
      </c>
      <c r="L140" t="n">
        <v>0</v>
      </c>
      <c r="M140" t="n">
        <v>0</v>
      </c>
      <c r="N140" t="n">
        <v>0</v>
      </c>
      <c r="O140" t="n">
        <v>1</v>
      </c>
      <c r="P140" t="n">
        <v>1</v>
      </c>
      <c r="Q140" t="n">
        <v>2</v>
      </c>
      <c r="R140" s="2" t="inlineStr">
        <is>
          <t>Frösöstarr
Svart trolldruva</t>
        </is>
      </c>
      <c r="S140">
        <f>HYPERLINK("https://klasma.github.io/Logging_2380/artfynd/A 48407-2024 artfynd.xlsx", "A 48407-2024")</f>
        <v/>
      </c>
      <c r="T140">
        <f>HYPERLINK("https://klasma.github.io/Logging_2380/kartor/A 48407-2024 karta.png", "A 48407-2024")</f>
        <v/>
      </c>
      <c r="V140">
        <f>HYPERLINK("https://klasma.github.io/Logging_2380/klagomål/A 48407-2024 FSC-klagomål.docx", "A 48407-2024")</f>
        <v/>
      </c>
      <c r="W140">
        <f>HYPERLINK("https://klasma.github.io/Logging_2380/klagomålsmail/A 48407-2024 FSC-klagomål mail.docx", "A 48407-2024")</f>
        <v/>
      </c>
      <c r="X140">
        <f>HYPERLINK("https://klasma.github.io/Logging_2380/tillsyn/A 48407-2024 tillsynsbegäran.docx", "A 48407-2024")</f>
        <v/>
      </c>
      <c r="Y140">
        <f>HYPERLINK("https://klasma.github.io/Logging_2380/tillsynsmail/A 48407-2024 tillsynsbegäran mail.docx", "A 48407-2024")</f>
        <v/>
      </c>
    </row>
    <row r="141" ht="15" customHeight="1">
      <c r="A141" t="inlineStr">
        <is>
          <t>A 50125-2024</t>
        </is>
      </c>
      <c r="B141" s="1" t="n">
        <v>45600</v>
      </c>
      <c r="C141" s="1" t="n">
        <v>45850</v>
      </c>
      <c r="D141" t="inlineStr">
        <is>
          <t>JÄMTLANDS LÄN</t>
        </is>
      </c>
      <c r="E141" t="inlineStr">
        <is>
          <t>ÖSTERSUND</t>
        </is>
      </c>
      <c r="F141" t="inlineStr">
        <is>
          <t>SCA</t>
        </is>
      </c>
      <c r="G141" t="n">
        <v>2.4</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50125-2024 artfynd.xlsx", "A 50125-2024")</f>
        <v/>
      </c>
      <c r="T141">
        <f>HYPERLINK("https://klasma.github.io/Logging_2380/kartor/A 50125-2024 karta.png", "A 50125-2024")</f>
        <v/>
      </c>
      <c r="V141">
        <f>HYPERLINK("https://klasma.github.io/Logging_2380/klagomål/A 50125-2024 FSC-klagomål.docx", "A 50125-2024")</f>
        <v/>
      </c>
      <c r="W141">
        <f>HYPERLINK("https://klasma.github.io/Logging_2380/klagomålsmail/A 50125-2024 FSC-klagomål mail.docx", "A 50125-2024")</f>
        <v/>
      </c>
      <c r="X141">
        <f>HYPERLINK("https://klasma.github.io/Logging_2380/tillsyn/A 50125-2024 tillsynsbegäran.docx", "A 50125-2024")</f>
        <v/>
      </c>
      <c r="Y141">
        <f>HYPERLINK("https://klasma.github.io/Logging_2380/tillsynsmail/A 50125-2024 tillsynsbegäran mail.docx", "A 50125-2024")</f>
        <v/>
      </c>
    </row>
    <row r="142" ht="15" customHeight="1">
      <c r="A142" t="inlineStr">
        <is>
          <t>A 50895-2024</t>
        </is>
      </c>
      <c r="B142" s="1" t="n">
        <v>45602</v>
      </c>
      <c r="C142" s="1" t="n">
        <v>45850</v>
      </c>
      <c r="D142" t="inlineStr">
        <is>
          <t>JÄMTLANDS LÄN</t>
        </is>
      </c>
      <c r="E142" t="inlineStr">
        <is>
          <t>ÖSTERSUND</t>
        </is>
      </c>
      <c r="F142" t="inlineStr">
        <is>
          <t>Kommuner</t>
        </is>
      </c>
      <c r="G142" t="n">
        <v>6</v>
      </c>
      <c r="H142" t="n">
        <v>1</v>
      </c>
      <c r="I142" t="n">
        <v>0</v>
      </c>
      <c r="J142" t="n">
        <v>1</v>
      </c>
      <c r="K142" t="n">
        <v>1</v>
      </c>
      <c r="L142" t="n">
        <v>0</v>
      </c>
      <c r="M142" t="n">
        <v>0</v>
      </c>
      <c r="N142" t="n">
        <v>0</v>
      </c>
      <c r="O142" t="n">
        <v>2</v>
      </c>
      <c r="P142" t="n">
        <v>1</v>
      </c>
      <c r="Q142" t="n">
        <v>2</v>
      </c>
      <c r="R142" s="2" t="inlineStr">
        <is>
          <t>Knärot
Garnlav</t>
        </is>
      </c>
      <c r="S142">
        <f>HYPERLINK("https://klasma.github.io/Logging_2380/artfynd/A 50895-2024 artfynd.xlsx", "A 50895-2024")</f>
        <v/>
      </c>
      <c r="T142">
        <f>HYPERLINK("https://klasma.github.io/Logging_2380/kartor/A 50895-2024 karta.png", "A 50895-2024")</f>
        <v/>
      </c>
      <c r="U142">
        <f>HYPERLINK("https://klasma.github.io/Logging_2380/knärot/A 50895-2024 karta knärot.png", "A 50895-2024")</f>
        <v/>
      </c>
      <c r="V142">
        <f>HYPERLINK("https://klasma.github.io/Logging_2380/klagomål/A 50895-2024 FSC-klagomål.docx", "A 50895-2024")</f>
        <v/>
      </c>
      <c r="W142">
        <f>HYPERLINK("https://klasma.github.io/Logging_2380/klagomålsmail/A 50895-2024 FSC-klagomål mail.docx", "A 50895-2024")</f>
        <v/>
      </c>
      <c r="X142">
        <f>HYPERLINK("https://klasma.github.io/Logging_2380/tillsyn/A 50895-2024 tillsynsbegäran.docx", "A 50895-2024")</f>
        <v/>
      </c>
      <c r="Y142">
        <f>HYPERLINK("https://klasma.github.io/Logging_2380/tillsynsmail/A 50895-2024 tillsynsbegäran mail.docx", "A 50895-2024")</f>
        <v/>
      </c>
    </row>
    <row r="143" ht="15" customHeight="1">
      <c r="A143" t="inlineStr">
        <is>
          <t>A 57693-2024</t>
        </is>
      </c>
      <c r="B143" s="1" t="n">
        <v>45628</v>
      </c>
      <c r="C143" s="1" t="n">
        <v>45850</v>
      </c>
      <c r="D143" t="inlineStr">
        <is>
          <t>JÄMTLANDS LÄN</t>
        </is>
      </c>
      <c r="E143" t="inlineStr">
        <is>
          <t>ÖSTERSUND</t>
        </is>
      </c>
      <c r="G143" t="n">
        <v>27.6</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HYPERLINK("https://klasma.github.io/Logging_2380/artfynd/A 57693-2024 artfynd.xlsx", "A 57693-2024")</f>
        <v/>
      </c>
      <c r="T143">
        <f>HYPERLINK("https://klasma.github.io/Logging_2380/kartor/A 57693-2024 karta.png", "A 57693-2024")</f>
        <v/>
      </c>
      <c r="V143">
        <f>HYPERLINK("https://klasma.github.io/Logging_2380/klagomål/A 57693-2024 FSC-klagomål.docx", "A 57693-2024")</f>
        <v/>
      </c>
      <c r="W143">
        <f>HYPERLINK("https://klasma.github.io/Logging_2380/klagomålsmail/A 57693-2024 FSC-klagomål mail.docx", "A 57693-2024")</f>
        <v/>
      </c>
      <c r="X143">
        <f>HYPERLINK("https://klasma.github.io/Logging_2380/tillsyn/A 57693-2024 tillsynsbegäran.docx", "A 57693-2024")</f>
        <v/>
      </c>
      <c r="Y143">
        <f>HYPERLINK("https://klasma.github.io/Logging_2380/tillsynsmail/A 57693-2024 tillsynsbegäran mail.docx", "A 57693-2024")</f>
        <v/>
      </c>
    </row>
    <row r="144" ht="15" customHeight="1">
      <c r="A144" t="inlineStr">
        <is>
          <t>A 60446-2024</t>
        </is>
      </c>
      <c r="B144" s="1" t="n">
        <v>45643</v>
      </c>
      <c r="C144" s="1" t="n">
        <v>45850</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61322-2024</t>
        </is>
      </c>
      <c r="B145" s="1" t="n">
        <v>45646</v>
      </c>
      <c r="C145" s="1" t="n">
        <v>45850</v>
      </c>
      <c r="D145" t="inlineStr">
        <is>
          <t>JÄMTLANDS LÄN</t>
        </is>
      </c>
      <c r="E145" t="inlineStr">
        <is>
          <t>ÖSTERSUND</t>
        </is>
      </c>
      <c r="G145" t="n">
        <v>1.3</v>
      </c>
      <c r="H145" t="n">
        <v>1</v>
      </c>
      <c r="I145" t="n">
        <v>1</v>
      </c>
      <c r="J145" t="n">
        <v>0</v>
      </c>
      <c r="K145" t="n">
        <v>0</v>
      </c>
      <c r="L145" t="n">
        <v>0</v>
      </c>
      <c r="M145" t="n">
        <v>0</v>
      </c>
      <c r="N145" t="n">
        <v>0</v>
      </c>
      <c r="O145" t="n">
        <v>0</v>
      </c>
      <c r="P145" t="n">
        <v>0</v>
      </c>
      <c r="Q145" t="n">
        <v>2</v>
      </c>
      <c r="R145" s="2" t="inlineStr">
        <is>
          <t>Vårärt
Blåsippa</t>
        </is>
      </c>
      <c r="S145">
        <f>HYPERLINK("https://klasma.github.io/Logging_2380/artfynd/A 61322-2024 artfynd.xlsx", "A 61322-2024")</f>
        <v/>
      </c>
      <c r="T145">
        <f>HYPERLINK("https://klasma.github.io/Logging_2380/kartor/A 61322-2024 karta.png", "A 61322-2024")</f>
        <v/>
      </c>
      <c r="V145">
        <f>HYPERLINK("https://klasma.github.io/Logging_2380/klagomål/A 61322-2024 FSC-klagomål.docx", "A 61322-2024")</f>
        <v/>
      </c>
      <c r="W145">
        <f>HYPERLINK("https://klasma.github.io/Logging_2380/klagomålsmail/A 61322-2024 FSC-klagomål mail.docx", "A 61322-2024")</f>
        <v/>
      </c>
      <c r="X145">
        <f>HYPERLINK("https://klasma.github.io/Logging_2380/tillsyn/A 61322-2024 tillsynsbegäran.docx", "A 61322-2024")</f>
        <v/>
      </c>
      <c r="Y145">
        <f>HYPERLINK("https://klasma.github.io/Logging_2380/tillsynsmail/A 61322-2024 tillsynsbegäran mail.docx", "A 61322-2024")</f>
        <v/>
      </c>
    </row>
    <row r="146" ht="15" customHeight="1">
      <c r="A146" t="inlineStr">
        <is>
          <t>A 211-2025</t>
        </is>
      </c>
      <c r="B146" s="1" t="n">
        <v>45660</v>
      </c>
      <c r="C146" s="1" t="n">
        <v>45850</v>
      </c>
      <c r="D146" t="inlineStr">
        <is>
          <t>JÄMTLANDS LÄN</t>
        </is>
      </c>
      <c r="E146" t="inlineStr">
        <is>
          <t>ÖSTERSUND</t>
        </is>
      </c>
      <c r="G146" t="n">
        <v>2.3</v>
      </c>
      <c r="H146" t="n">
        <v>2</v>
      </c>
      <c r="I146" t="n">
        <v>0</v>
      </c>
      <c r="J146" t="n">
        <v>0</v>
      </c>
      <c r="K146" t="n">
        <v>0</v>
      </c>
      <c r="L146" t="n">
        <v>0</v>
      </c>
      <c r="M146" t="n">
        <v>0</v>
      </c>
      <c r="N146" t="n">
        <v>0</v>
      </c>
      <c r="O146" t="n">
        <v>0</v>
      </c>
      <c r="P146" t="n">
        <v>0</v>
      </c>
      <c r="Q146" t="n">
        <v>2</v>
      </c>
      <c r="R146" s="2" t="inlineStr">
        <is>
          <t>Fläcknycklar
Revlummer</t>
        </is>
      </c>
      <c r="S146">
        <f>HYPERLINK("https://klasma.github.io/Logging_2380/artfynd/A 211-2025 artfynd.xlsx", "A 211-2025")</f>
        <v/>
      </c>
      <c r="T146">
        <f>HYPERLINK("https://klasma.github.io/Logging_2380/kartor/A 211-2025 karta.png", "A 211-2025")</f>
        <v/>
      </c>
      <c r="V146">
        <f>HYPERLINK("https://klasma.github.io/Logging_2380/klagomål/A 211-2025 FSC-klagomål.docx", "A 211-2025")</f>
        <v/>
      </c>
      <c r="W146">
        <f>HYPERLINK("https://klasma.github.io/Logging_2380/klagomålsmail/A 211-2025 FSC-klagomål mail.docx", "A 211-2025")</f>
        <v/>
      </c>
      <c r="X146">
        <f>HYPERLINK("https://klasma.github.io/Logging_2380/tillsyn/A 211-2025 tillsynsbegäran.docx", "A 211-2025")</f>
        <v/>
      </c>
      <c r="Y146">
        <f>HYPERLINK("https://klasma.github.io/Logging_2380/tillsynsmail/A 211-2025 tillsynsbegäran mail.docx", "A 211-2025")</f>
        <v/>
      </c>
    </row>
    <row r="147" ht="15" customHeight="1">
      <c r="A147" t="inlineStr">
        <is>
          <t>A 10529-2025</t>
        </is>
      </c>
      <c r="B147" s="1" t="n">
        <v>45721</v>
      </c>
      <c r="C147" s="1" t="n">
        <v>45850</v>
      </c>
      <c r="D147" t="inlineStr">
        <is>
          <t>JÄMTLANDS LÄN</t>
        </is>
      </c>
      <c r="E147" t="inlineStr">
        <is>
          <t>ÖSTERSUND</t>
        </is>
      </c>
      <c r="F147" t="inlineStr">
        <is>
          <t>SCA</t>
        </is>
      </c>
      <c r="G147" t="n">
        <v>1.4</v>
      </c>
      <c r="H147" t="n">
        <v>0</v>
      </c>
      <c r="I147" t="n">
        <v>2</v>
      </c>
      <c r="J147" t="n">
        <v>0</v>
      </c>
      <c r="K147" t="n">
        <v>0</v>
      </c>
      <c r="L147" t="n">
        <v>0</v>
      </c>
      <c r="M147" t="n">
        <v>0</v>
      </c>
      <c r="N147" t="n">
        <v>0</v>
      </c>
      <c r="O147" t="n">
        <v>0</v>
      </c>
      <c r="P147" t="n">
        <v>0</v>
      </c>
      <c r="Q147" t="n">
        <v>2</v>
      </c>
      <c r="R147" s="2" t="inlineStr">
        <is>
          <t>Gräsull
Ögonpyrola</t>
        </is>
      </c>
      <c r="S147">
        <f>HYPERLINK("https://klasma.github.io/Logging_232380/artfynd/A 10529-2025 artfynd.xlsx", "A 10529-2025")</f>
        <v/>
      </c>
      <c r="T147">
        <f>HYPERLINK("https://klasma.github.io/Logging_232380/kartor/A 10529-2025 karta.png", "A 10529-2025")</f>
        <v/>
      </c>
      <c r="V147">
        <f>HYPERLINK("https://klasma.github.io/Logging_232380/klagomål/A 10529-2025 FSC-klagomål.docx", "A 10529-2025")</f>
        <v/>
      </c>
      <c r="W147">
        <f>HYPERLINK("https://klasma.github.io/Logging_232380/klagomålsmail/A 10529-2025 FSC-klagomål mail.docx", "A 10529-2025")</f>
        <v/>
      </c>
      <c r="X147">
        <f>HYPERLINK("https://klasma.github.io/Logging_232380/tillsyn/A 10529-2025 tillsynsbegäran.docx", "A 10529-2025")</f>
        <v/>
      </c>
      <c r="Y147">
        <f>HYPERLINK("https://klasma.github.io/Logging_232380/tillsynsmail/A 10529-2025 tillsynsbegäran mail.docx", "A 10529-2025")</f>
        <v/>
      </c>
    </row>
    <row r="148" ht="15" customHeight="1">
      <c r="A148" t="inlineStr">
        <is>
          <t>A 13795-2025</t>
        </is>
      </c>
      <c r="B148" s="1" t="n">
        <v>45737</v>
      </c>
      <c r="C148" s="1" t="n">
        <v>45850</v>
      </c>
      <c r="D148" t="inlineStr">
        <is>
          <t>JÄMTLANDS LÄN</t>
        </is>
      </c>
      <c r="E148" t="inlineStr">
        <is>
          <t>ÖSTERSUND</t>
        </is>
      </c>
      <c r="G148" t="n">
        <v>13.4</v>
      </c>
      <c r="H148" t="n">
        <v>1</v>
      </c>
      <c r="I148" t="n">
        <v>0</v>
      </c>
      <c r="J148" t="n">
        <v>1</v>
      </c>
      <c r="K148" t="n">
        <v>1</v>
      </c>
      <c r="L148" t="n">
        <v>0</v>
      </c>
      <c r="M148" t="n">
        <v>0</v>
      </c>
      <c r="N148" t="n">
        <v>0</v>
      </c>
      <c r="O148" t="n">
        <v>2</v>
      </c>
      <c r="P148" t="n">
        <v>1</v>
      </c>
      <c r="Q148" t="n">
        <v>2</v>
      </c>
      <c r="R148" s="2" t="inlineStr">
        <is>
          <t>Knärot
Lunglav</t>
        </is>
      </c>
      <c r="S148">
        <f>HYPERLINK("https://klasma.github.io/Logging_232380/artfynd/A 13795-2025 artfynd.xlsx", "A 13795-2025")</f>
        <v/>
      </c>
      <c r="T148">
        <f>HYPERLINK("https://klasma.github.io/Logging_232380/kartor/A 13795-2025 karta.png", "A 13795-2025")</f>
        <v/>
      </c>
      <c r="U148">
        <f>HYPERLINK("https://klasma.github.io/Logging_232380/knärot/A 13795-2025 karta knärot.png", "A 13795-2025")</f>
        <v/>
      </c>
      <c r="V148">
        <f>HYPERLINK("https://klasma.github.io/Logging_232380/klagomål/A 13795-2025 FSC-klagomål.docx", "A 13795-2025")</f>
        <v/>
      </c>
      <c r="W148">
        <f>HYPERLINK("https://klasma.github.io/Logging_232380/klagomålsmail/A 13795-2025 FSC-klagomål mail.docx", "A 13795-2025")</f>
        <v/>
      </c>
      <c r="X148">
        <f>HYPERLINK("https://klasma.github.io/Logging_232380/tillsyn/A 13795-2025 tillsynsbegäran.docx", "A 13795-2025")</f>
        <v/>
      </c>
      <c r="Y148">
        <f>HYPERLINK("https://klasma.github.io/Logging_232380/tillsynsmail/A 13795-2025 tillsynsbegäran mail.docx", "A 13795-2025")</f>
        <v/>
      </c>
    </row>
    <row r="149" ht="15" customHeight="1">
      <c r="A149" t="inlineStr">
        <is>
          <t>A 15700-2025</t>
        </is>
      </c>
      <c r="B149" s="1" t="n">
        <v>45748</v>
      </c>
      <c r="C149" s="1" t="n">
        <v>45850</v>
      </c>
      <c r="D149" t="inlineStr">
        <is>
          <t>JÄMTLANDS LÄN</t>
        </is>
      </c>
      <c r="E149" t="inlineStr">
        <is>
          <t>ÖSTERSUND</t>
        </is>
      </c>
      <c r="G149" t="n">
        <v>0.9</v>
      </c>
      <c r="H149" t="n">
        <v>0</v>
      </c>
      <c r="I149" t="n">
        <v>2</v>
      </c>
      <c r="J149" t="n">
        <v>0</v>
      </c>
      <c r="K149" t="n">
        <v>0</v>
      </c>
      <c r="L149" t="n">
        <v>0</v>
      </c>
      <c r="M149" t="n">
        <v>0</v>
      </c>
      <c r="N149" t="n">
        <v>0</v>
      </c>
      <c r="O149" t="n">
        <v>0</v>
      </c>
      <c r="P149" t="n">
        <v>0</v>
      </c>
      <c r="Q149" t="n">
        <v>2</v>
      </c>
      <c r="R149" s="2" t="inlineStr">
        <is>
          <t>Brun klibbskivling
Droppklibbskivling</t>
        </is>
      </c>
      <c r="S149">
        <f>HYPERLINK("https://klasma.github.io/Logging_232380/artfynd/A 15700-2025 artfynd.xlsx", "A 15700-2025")</f>
        <v/>
      </c>
      <c r="T149">
        <f>HYPERLINK("https://klasma.github.io/Logging_232380/kartor/A 15700-2025 karta.png", "A 15700-2025")</f>
        <v/>
      </c>
      <c r="V149">
        <f>HYPERLINK("https://klasma.github.io/Logging_232380/klagomål/A 15700-2025 FSC-klagomål.docx", "A 15700-2025")</f>
        <v/>
      </c>
      <c r="W149">
        <f>HYPERLINK("https://klasma.github.io/Logging_232380/klagomålsmail/A 15700-2025 FSC-klagomål mail.docx", "A 15700-2025")</f>
        <v/>
      </c>
      <c r="X149">
        <f>HYPERLINK("https://klasma.github.io/Logging_232380/tillsyn/A 15700-2025 tillsynsbegäran.docx", "A 15700-2025")</f>
        <v/>
      </c>
      <c r="Y149">
        <f>HYPERLINK("https://klasma.github.io/Logging_232380/tillsynsmail/A 15700-2025 tillsynsbegäran mail.docx", "A 15700-2025")</f>
        <v/>
      </c>
    </row>
    <row r="150" ht="15" customHeight="1">
      <c r="A150" t="inlineStr">
        <is>
          <t>A 26612-2025</t>
        </is>
      </c>
      <c r="B150" s="1" t="n">
        <v>45810</v>
      </c>
      <c r="C150" s="1" t="n">
        <v>45850</v>
      </c>
      <c r="D150" t="inlineStr">
        <is>
          <t>JÄMTLANDS LÄN</t>
        </is>
      </c>
      <c r="E150" t="inlineStr">
        <is>
          <t>ÖSTERSUND</t>
        </is>
      </c>
      <c r="G150" t="n">
        <v>20.6</v>
      </c>
      <c r="H150" t="n">
        <v>1</v>
      </c>
      <c r="I150" t="n">
        <v>0</v>
      </c>
      <c r="J150" t="n">
        <v>0</v>
      </c>
      <c r="K150" t="n">
        <v>1</v>
      </c>
      <c r="L150" t="n">
        <v>1</v>
      </c>
      <c r="M150" t="n">
        <v>0</v>
      </c>
      <c r="N150" t="n">
        <v>0</v>
      </c>
      <c r="O150" t="n">
        <v>2</v>
      </c>
      <c r="P150" t="n">
        <v>2</v>
      </c>
      <c r="Q150" t="n">
        <v>2</v>
      </c>
      <c r="R150" s="2" t="inlineStr">
        <is>
          <t>Violett guldvinge
Turkos blåvinge</t>
        </is>
      </c>
      <c r="S150">
        <f>HYPERLINK("https://klasma.github.io/Logging_232380/artfynd/A 26612-2025 artfynd.xlsx", "A 26612-2025")</f>
        <v/>
      </c>
      <c r="T150">
        <f>HYPERLINK("https://klasma.github.io/Logging_232380/kartor/A 26612-2025 karta.png", "A 26612-2025")</f>
        <v/>
      </c>
      <c r="V150">
        <f>HYPERLINK("https://klasma.github.io/Logging_232380/klagomål/A 26612-2025 FSC-klagomål.docx", "A 26612-2025")</f>
        <v/>
      </c>
      <c r="W150">
        <f>HYPERLINK("https://klasma.github.io/Logging_232380/klagomålsmail/A 26612-2025 FSC-klagomål mail.docx", "A 26612-2025")</f>
        <v/>
      </c>
      <c r="X150">
        <f>HYPERLINK("https://klasma.github.io/Logging_232380/tillsyn/A 26612-2025 tillsynsbegäran.docx", "A 26612-2025")</f>
        <v/>
      </c>
      <c r="Y150">
        <f>HYPERLINK("https://klasma.github.io/Logging_232380/tillsynsmail/A 26612-2025 tillsynsbegäran mail.docx", "A 26612-2025")</f>
        <v/>
      </c>
    </row>
    <row r="151" ht="15" customHeight="1">
      <c r="A151" t="inlineStr">
        <is>
          <t>A 29058-2019</t>
        </is>
      </c>
      <c r="B151" s="1" t="n">
        <v>43621</v>
      </c>
      <c r="C151" s="1" t="n">
        <v>45850</v>
      </c>
      <c r="D151" t="inlineStr">
        <is>
          <t>JÄMTLANDS LÄN</t>
        </is>
      </c>
      <c r="E151" t="inlineStr">
        <is>
          <t>ÖSTERSUND</t>
        </is>
      </c>
      <c r="G151" t="n">
        <v>1.4</v>
      </c>
      <c r="H151" t="n">
        <v>1</v>
      </c>
      <c r="I151" t="n">
        <v>0</v>
      </c>
      <c r="J151" t="n">
        <v>1</v>
      </c>
      <c r="K151" t="n">
        <v>0</v>
      </c>
      <c r="L151" t="n">
        <v>0</v>
      </c>
      <c r="M151" t="n">
        <v>0</v>
      </c>
      <c r="N151" t="n">
        <v>0</v>
      </c>
      <c r="O151" t="n">
        <v>1</v>
      </c>
      <c r="P151" t="n">
        <v>0</v>
      </c>
      <c r="Q151" t="n">
        <v>1</v>
      </c>
      <c r="R151" s="2" t="inlineStr">
        <is>
          <t>Nordfladdermus</t>
        </is>
      </c>
      <c r="S151">
        <f>HYPERLINK("https://klasma.github.io/Logging_2380/artfynd/A 29058-2019 artfynd.xlsx", "A 29058-2019")</f>
        <v/>
      </c>
      <c r="T151">
        <f>HYPERLINK("https://klasma.github.io/Logging_2380/kartor/A 29058-2019 karta.png", "A 29058-2019")</f>
        <v/>
      </c>
      <c r="V151">
        <f>HYPERLINK("https://klasma.github.io/Logging_2380/klagomål/A 29058-2019 FSC-klagomål.docx", "A 29058-2019")</f>
        <v/>
      </c>
      <c r="W151">
        <f>HYPERLINK("https://klasma.github.io/Logging_2380/klagomålsmail/A 29058-2019 FSC-klagomål mail.docx", "A 29058-2019")</f>
        <v/>
      </c>
      <c r="X151">
        <f>HYPERLINK("https://klasma.github.io/Logging_2380/tillsyn/A 29058-2019 tillsynsbegäran.docx", "A 29058-2019")</f>
        <v/>
      </c>
      <c r="Y151">
        <f>HYPERLINK("https://klasma.github.io/Logging_2380/tillsynsmail/A 29058-2019 tillsynsbegäran mail.docx", "A 29058-2019")</f>
        <v/>
      </c>
    </row>
    <row r="152" ht="15" customHeight="1">
      <c r="A152" t="inlineStr">
        <is>
          <t>A 30941-2019</t>
        </is>
      </c>
      <c r="B152" s="1" t="n">
        <v>43636</v>
      </c>
      <c r="C152" s="1" t="n">
        <v>45850</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30941-2019 artfynd.xlsx", "A 30941-2019")</f>
        <v/>
      </c>
      <c r="T152">
        <f>HYPERLINK("https://klasma.github.io/Logging_2380/kartor/A 30941-2019 karta.png", "A 30941-2019")</f>
        <v/>
      </c>
      <c r="V152">
        <f>HYPERLINK("https://klasma.github.io/Logging_2380/klagomål/A 30941-2019 FSC-klagomål.docx", "A 30941-2019")</f>
        <v/>
      </c>
      <c r="W152">
        <f>HYPERLINK("https://klasma.github.io/Logging_2380/klagomålsmail/A 30941-2019 FSC-klagomål mail.docx", "A 30941-2019")</f>
        <v/>
      </c>
      <c r="X152">
        <f>HYPERLINK("https://klasma.github.io/Logging_2380/tillsyn/A 30941-2019 tillsynsbegäran.docx", "A 30941-2019")</f>
        <v/>
      </c>
      <c r="Y152">
        <f>HYPERLINK("https://klasma.github.io/Logging_2380/tillsynsmail/A 30941-2019 tillsynsbegäran mail.docx", "A 30941-2019")</f>
        <v/>
      </c>
    </row>
    <row r="153" ht="15" customHeight="1">
      <c r="A153" t="inlineStr">
        <is>
          <t>A 57757-2019</t>
        </is>
      </c>
      <c r="B153" s="1" t="n">
        <v>43768</v>
      </c>
      <c r="C153" s="1" t="n">
        <v>45850</v>
      </c>
      <c r="D153" t="inlineStr">
        <is>
          <t>JÄMTLANDS LÄN</t>
        </is>
      </c>
      <c r="E153" t="inlineStr">
        <is>
          <t>ÖSTERSUND</t>
        </is>
      </c>
      <c r="G153" t="n">
        <v>1.3</v>
      </c>
      <c r="H153" t="n">
        <v>1</v>
      </c>
      <c r="I153" t="n">
        <v>0</v>
      </c>
      <c r="J153" t="n">
        <v>0</v>
      </c>
      <c r="K153" t="n">
        <v>0</v>
      </c>
      <c r="L153" t="n">
        <v>0</v>
      </c>
      <c r="M153" t="n">
        <v>0</v>
      </c>
      <c r="N153" t="n">
        <v>0</v>
      </c>
      <c r="O153" t="n">
        <v>0</v>
      </c>
      <c r="P153" t="n">
        <v>0</v>
      </c>
      <c r="Q153" t="n">
        <v>1</v>
      </c>
      <c r="R153" s="2" t="inlineStr">
        <is>
          <t>Revlummer</t>
        </is>
      </c>
      <c r="S153">
        <f>HYPERLINK("https://klasma.github.io/Logging_2380/artfynd/A 57757-2019 artfynd.xlsx", "A 57757-2019")</f>
        <v/>
      </c>
      <c r="T153">
        <f>HYPERLINK("https://klasma.github.io/Logging_2380/kartor/A 57757-2019 karta.png", "A 57757-2019")</f>
        <v/>
      </c>
      <c r="V153">
        <f>HYPERLINK("https://klasma.github.io/Logging_2380/klagomål/A 57757-2019 FSC-klagomål.docx", "A 57757-2019")</f>
        <v/>
      </c>
      <c r="W153">
        <f>HYPERLINK("https://klasma.github.io/Logging_2380/klagomålsmail/A 57757-2019 FSC-klagomål mail.docx", "A 57757-2019")</f>
        <v/>
      </c>
      <c r="X153">
        <f>HYPERLINK("https://klasma.github.io/Logging_2380/tillsyn/A 57757-2019 tillsynsbegäran.docx", "A 57757-2019")</f>
        <v/>
      </c>
      <c r="Y153">
        <f>HYPERLINK("https://klasma.github.io/Logging_2380/tillsynsmail/A 57757-2019 tillsynsbegäran mail.docx", "A 57757-2019")</f>
        <v/>
      </c>
    </row>
    <row r="154" ht="15" customHeight="1">
      <c r="A154" t="inlineStr">
        <is>
          <t>A 61628-2019</t>
        </is>
      </c>
      <c r="B154" s="1" t="n">
        <v>43784</v>
      </c>
      <c r="C154" s="1" t="n">
        <v>45850</v>
      </c>
      <c r="D154" t="inlineStr">
        <is>
          <t>JÄMTLANDS LÄN</t>
        </is>
      </c>
      <c r="E154" t="inlineStr">
        <is>
          <t>ÖSTERSUND</t>
        </is>
      </c>
      <c r="G154" t="n">
        <v>5.6</v>
      </c>
      <c r="H154" t="n">
        <v>0</v>
      </c>
      <c r="I154" t="n">
        <v>1</v>
      </c>
      <c r="J154" t="n">
        <v>0</v>
      </c>
      <c r="K154" t="n">
        <v>0</v>
      </c>
      <c r="L154" t="n">
        <v>0</v>
      </c>
      <c r="M154" t="n">
        <v>0</v>
      </c>
      <c r="N154" t="n">
        <v>0</v>
      </c>
      <c r="O154" t="n">
        <v>0</v>
      </c>
      <c r="P154" t="n">
        <v>0</v>
      </c>
      <c r="Q154" t="n">
        <v>1</v>
      </c>
      <c r="R154" s="2" t="inlineStr">
        <is>
          <t>Tibast</t>
        </is>
      </c>
      <c r="S154">
        <f>HYPERLINK("https://klasma.github.io/Logging_2380/artfynd/A 61628-2019 artfynd.xlsx", "A 61628-2019")</f>
        <v/>
      </c>
      <c r="T154">
        <f>HYPERLINK("https://klasma.github.io/Logging_2380/kartor/A 61628-2019 karta.png", "A 61628-2019")</f>
        <v/>
      </c>
      <c r="V154">
        <f>HYPERLINK("https://klasma.github.io/Logging_2380/klagomål/A 61628-2019 FSC-klagomål.docx", "A 61628-2019")</f>
        <v/>
      </c>
      <c r="W154">
        <f>HYPERLINK("https://klasma.github.io/Logging_2380/klagomålsmail/A 61628-2019 FSC-klagomål mail.docx", "A 61628-2019")</f>
        <v/>
      </c>
      <c r="X154">
        <f>HYPERLINK("https://klasma.github.io/Logging_2380/tillsyn/A 61628-2019 tillsynsbegäran.docx", "A 61628-2019")</f>
        <v/>
      </c>
      <c r="Y154">
        <f>HYPERLINK("https://klasma.github.io/Logging_2380/tillsynsmail/A 61628-2019 tillsynsbegäran mail.docx", "A 61628-2019")</f>
        <v/>
      </c>
    </row>
    <row r="155" ht="15" customHeight="1">
      <c r="A155" t="inlineStr">
        <is>
          <t>A 11561-2020</t>
        </is>
      </c>
      <c r="B155" s="1" t="n">
        <v>43893</v>
      </c>
      <c r="C155" s="1" t="n">
        <v>45850</v>
      </c>
      <c r="D155" t="inlineStr">
        <is>
          <t>JÄMTLANDS LÄN</t>
        </is>
      </c>
      <c r="E155" t="inlineStr">
        <is>
          <t>ÖSTERSUND</t>
        </is>
      </c>
      <c r="G155" t="n">
        <v>6.2</v>
      </c>
      <c r="H155" t="n">
        <v>1</v>
      </c>
      <c r="I155" t="n">
        <v>0</v>
      </c>
      <c r="J155" t="n">
        <v>0</v>
      </c>
      <c r="K155" t="n">
        <v>0</v>
      </c>
      <c r="L155" t="n">
        <v>0</v>
      </c>
      <c r="M155" t="n">
        <v>0</v>
      </c>
      <c r="N155" t="n">
        <v>0</v>
      </c>
      <c r="O155" t="n">
        <v>0</v>
      </c>
      <c r="P155" t="n">
        <v>0</v>
      </c>
      <c r="Q155" t="n">
        <v>1</v>
      </c>
      <c r="R155" s="2" t="inlineStr">
        <is>
          <t>Revlummer</t>
        </is>
      </c>
      <c r="S155">
        <f>HYPERLINK("https://klasma.github.io/Logging_2380/artfynd/A 11561-2020 artfynd.xlsx", "A 11561-2020")</f>
        <v/>
      </c>
      <c r="T155">
        <f>HYPERLINK("https://klasma.github.io/Logging_2380/kartor/A 11561-2020 karta.png", "A 11561-2020")</f>
        <v/>
      </c>
      <c r="V155">
        <f>HYPERLINK("https://klasma.github.io/Logging_2380/klagomål/A 11561-2020 FSC-klagomål.docx", "A 11561-2020")</f>
        <v/>
      </c>
      <c r="W155">
        <f>HYPERLINK("https://klasma.github.io/Logging_2380/klagomålsmail/A 11561-2020 FSC-klagomål mail.docx", "A 11561-2020")</f>
        <v/>
      </c>
      <c r="X155">
        <f>HYPERLINK("https://klasma.github.io/Logging_2380/tillsyn/A 11561-2020 tillsynsbegäran.docx", "A 11561-2020")</f>
        <v/>
      </c>
      <c r="Y155">
        <f>HYPERLINK("https://klasma.github.io/Logging_2380/tillsynsmail/A 11561-2020 tillsynsbegäran mail.docx", "A 11561-2020")</f>
        <v/>
      </c>
    </row>
    <row r="156" ht="15" customHeight="1">
      <c r="A156" t="inlineStr">
        <is>
          <t>A 35980-2020</t>
        </is>
      </c>
      <c r="B156" s="1" t="n">
        <v>44047</v>
      </c>
      <c r="C156" s="1" t="n">
        <v>45850</v>
      </c>
      <c r="D156" t="inlineStr">
        <is>
          <t>JÄMTLANDS LÄN</t>
        </is>
      </c>
      <c r="E156" t="inlineStr">
        <is>
          <t>ÖSTERSUND</t>
        </is>
      </c>
      <c r="G156" t="n">
        <v>0.7</v>
      </c>
      <c r="H156" t="n">
        <v>0</v>
      </c>
      <c r="I156" t="n">
        <v>0</v>
      </c>
      <c r="J156" t="n">
        <v>1</v>
      </c>
      <c r="K156" t="n">
        <v>0</v>
      </c>
      <c r="L156" t="n">
        <v>0</v>
      </c>
      <c r="M156" t="n">
        <v>0</v>
      </c>
      <c r="N156" t="n">
        <v>0</v>
      </c>
      <c r="O156" t="n">
        <v>1</v>
      </c>
      <c r="P156" t="n">
        <v>0</v>
      </c>
      <c r="Q156" t="n">
        <v>1</v>
      </c>
      <c r="R156" s="2" t="inlineStr">
        <is>
          <t>Slåtterfibbla</t>
        </is>
      </c>
      <c r="S156">
        <f>HYPERLINK("https://klasma.github.io/Logging_2380/artfynd/A 35980-2020 artfynd.xlsx", "A 35980-2020")</f>
        <v/>
      </c>
      <c r="T156">
        <f>HYPERLINK("https://klasma.github.io/Logging_2380/kartor/A 35980-2020 karta.png", "A 35980-2020")</f>
        <v/>
      </c>
      <c r="U156">
        <f>HYPERLINK("https://klasma.github.io/Logging_2380/knärot/A 35980-2020 karta knärot.png", "A 35980-2020")</f>
        <v/>
      </c>
      <c r="V156">
        <f>HYPERLINK("https://klasma.github.io/Logging_2380/klagomål/A 35980-2020 FSC-klagomål.docx", "A 35980-2020")</f>
        <v/>
      </c>
      <c r="W156">
        <f>HYPERLINK("https://klasma.github.io/Logging_2380/klagomålsmail/A 35980-2020 FSC-klagomål mail.docx", "A 35980-2020")</f>
        <v/>
      </c>
      <c r="X156">
        <f>HYPERLINK("https://klasma.github.io/Logging_2380/tillsyn/A 35980-2020 tillsynsbegäran.docx", "A 35980-2020")</f>
        <v/>
      </c>
      <c r="Y156">
        <f>HYPERLINK("https://klasma.github.io/Logging_2380/tillsynsmail/A 35980-2020 tillsynsbegäran mail.docx", "A 35980-2020")</f>
        <v/>
      </c>
    </row>
    <row r="157" ht="15" customHeight="1">
      <c r="A157" t="inlineStr">
        <is>
          <t>A 63775-2020</t>
        </is>
      </c>
      <c r="B157" s="1" t="n">
        <v>44165</v>
      </c>
      <c r="C157" s="1" t="n">
        <v>45850</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13362-2021</t>
        </is>
      </c>
      <c r="B158" s="1" t="n">
        <v>44272</v>
      </c>
      <c r="C158" s="1" t="n">
        <v>45850</v>
      </c>
      <c r="D158" t="inlineStr">
        <is>
          <t>JÄMTLANDS LÄN</t>
        </is>
      </c>
      <c r="E158" t="inlineStr">
        <is>
          <t>ÖSTERSUND</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HYPERLINK("https://klasma.github.io/Logging_2380/artfynd/A 13362-2021 artfynd.xlsx", "A 13362-2021")</f>
        <v/>
      </c>
      <c r="T158">
        <f>HYPERLINK("https://klasma.github.io/Logging_2380/kartor/A 13362-2021 karta.png", "A 13362-2021")</f>
        <v/>
      </c>
      <c r="V158">
        <f>HYPERLINK("https://klasma.github.io/Logging_2380/klagomål/A 13362-2021 FSC-klagomål.docx", "A 13362-2021")</f>
        <v/>
      </c>
      <c r="W158">
        <f>HYPERLINK("https://klasma.github.io/Logging_2380/klagomålsmail/A 13362-2021 FSC-klagomål mail.docx", "A 13362-2021")</f>
        <v/>
      </c>
      <c r="X158">
        <f>HYPERLINK("https://klasma.github.io/Logging_2380/tillsyn/A 13362-2021 tillsynsbegäran.docx", "A 13362-2021")</f>
        <v/>
      </c>
      <c r="Y158">
        <f>HYPERLINK("https://klasma.github.io/Logging_2380/tillsynsmail/A 13362-2021 tillsynsbegäran mail.docx", "A 13362-2021")</f>
        <v/>
      </c>
    </row>
    <row r="159" ht="15" customHeight="1">
      <c r="A159" t="inlineStr">
        <is>
          <t>A 17217-2021</t>
        </is>
      </c>
      <c r="B159" s="1" t="n">
        <v>44298</v>
      </c>
      <c r="C159" s="1" t="n">
        <v>45850</v>
      </c>
      <c r="D159" t="inlineStr">
        <is>
          <t>JÄMTLANDS LÄN</t>
        </is>
      </c>
      <c r="E159" t="inlineStr">
        <is>
          <t>ÖSTERSUND</t>
        </is>
      </c>
      <c r="G159" t="n">
        <v>10.4</v>
      </c>
      <c r="H159" t="n">
        <v>0</v>
      </c>
      <c r="I159" t="n">
        <v>0</v>
      </c>
      <c r="J159" t="n">
        <v>1</v>
      </c>
      <c r="K159" t="n">
        <v>0</v>
      </c>
      <c r="L159" t="n">
        <v>0</v>
      </c>
      <c r="M159" t="n">
        <v>0</v>
      </c>
      <c r="N159" t="n">
        <v>0</v>
      </c>
      <c r="O159" t="n">
        <v>1</v>
      </c>
      <c r="P159" t="n">
        <v>0</v>
      </c>
      <c r="Q159" t="n">
        <v>1</v>
      </c>
      <c r="R159" s="2" t="inlineStr">
        <is>
          <t>Rödbrun klubbdyna</t>
        </is>
      </c>
      <c r="S159">
        <f>HYPERLINK("https://klasma.github.io/Logging_2380/artfynd/A 17217-2021 artfynd.xlsx", "A 17217-2021")</f>
        <v/>
      </c>
      <c r="T159">
        <f>HYPERLINK("https://klasma.github.io/Logging_2380/kartor/A 17217-2021 karta.png", "A 17217-2021")</f>
        <v/>
      </c>
      <c r="V159">
        <f>HYPERLINK("https://klasma.github.io/Logging_2380/klagomål/A 17217-2021 FSC-klagomål.docx", "A 17217-2021")</f>
        <v/>
      </c>
      <c r="W159">
        <f>HYPERLINK("https://klasma.github.io/Logging_2380/klagomålsmail/A 17217-2021 FSC-klagomål mail.docx", "A 17217-2021")</f>
        <v/>
      </c>
      <c r="X159">
        <f>HYPERLINK("https://klasma.github.io/Logging_2380/tillsyn/A 17217-2021 tillsynsbegäran.docx", "A 17217-2021")</f>
        <v/>
      </c>
      <c r="Y159">
        <f>HYPERLINK("https://klasma.github.io/Logging_2380/tillsynsmail/A 17217-2021 tillsynsbegäran mail.docx", "A 17217-2021")</f>
        <v/>
      </c>
    </row>
    <row r="160" ht="15" customHeight="1">
      <c r="A160" t="inlineStr">
        <is>
          <t>A 25839-2021</t>
        </is>
      </c>
      <c r="B160" s="1" t="n">
        <v>44343</v>
      </c>
      <c r="C160" s="1" t="n">
        <v>45850</v>
      </c>
      <c r="D160" t="inlineStr">
        <is>
          <t>JÄMTLANDS LÄN</t>
        </is>
      </c>
      <c r="E160" t="inlineStr">
        <is>
          <t>ÖSTERSUND</t>
        </is>
      </c>
      <c r="G160" t="n">
        <v>13</v>
      </c>
      <c r="H160" t="n">
        <v>1</v>
      </c>
      <c r="I160" t="n">
        <v>0</v>
      </c>
      <c r="J160" t="n">
        <v>0</v>
      </c>
      <c r="K160" t="n">
        <v>0</v>
      </c>
      <c r="L160" t="n">
        <v>1</v>
      </c>
      <c r="M160" t="n">
        <v>0</v>
      </c>
      <c r="N160" t="n">
        <v>0</v>
      </c>
      <c r="O160" t="n">
        <v>1</v>
      </c>
      <c r="P160" t="n">
        <v>1</v>
      </c>
      <c r="Q160" t="n">
        <v>1</v>
      </c>
      <c r="R160" s="2" t="inlineStr">
        <is>
          <t>Violett guldvinge</t>
        </is>
      </c>
      <c r="S160">
        <f>HYPERLINK("https://klasma.github.io/Logging_2380/artfynd/A 25839-2021 artfynd.xlsx", "A 25839-2021")</f>
        <v/>
      </c>
      <c r="T160">
        <f>HYPERLINK("https://klasma.github.io/Logging_2380/kartor/A 25839-2021 karta.png", "A 25839-2021")</f>
        <v/>
      </c>
      <c r="V160">
        <f>HYPERLINK("https://klasma.github.io/Logging_2380/klagomål/A 25839-2021 FSC-klagomål.docx", "A 25839-2021")</f>
        <v/>
      </c>
      <c r="W160">
        <f>HYPERLINK("https://klasma.github.io/Logging_2380/klagomålsmail/A 25839-2021 FSC-klagomål mail.docx", "A 25839-2021")</f>
        <v/>
      </c>
      <c r="X160">
        <f>HYPERLINK("https://klasma.github.io/Logging_2380/tillsyn/A 25839-2021 tillsynsbegäran.docx", "A 25839-2021")</f>
        <v/>
      </c>
      <c r="Y160">
        <f>HYPERLINK("https://klasma.github.io/Logging_2380/tillsynsmail/A 25839-2021 tillsynsbegäran mail.docx", "A 25839-2021")</f>
        <v/>
      </c>
    </row>
    <row r="161" ht="15" customHeight="1">
      <c r="A161" t="inlineStr">
        <is>
          <t>A 31328-2021</t>
        </is>
      </c>
      <c r="B161" s="1" t="n">
        <v>44368</v>
      </c>
      <c r="C161" s="1" t="n">
        <v>45850</v>
      </c>
      <c r="D161" t="inlineStr">
        <is>
          <t>JÄMTLANDS LÄN</t>
        </is>
      </c>
      <c r="E161" t="inlineStr">
        <is>
          <t>ÖSTERSUND</t>
        </is>
      </c>
      <c r="G161" t="n">
        <v>6.3</v>
      </c>
      <c r="H161" t="n">
        <v>1</v>
      </c>
      <c r="I161" t="n">
        <v>0</v>
      </c>
      <c r="J161" t="n">
        <v>0</v>
      </c>
      <c r="K161" t="n">
        <v>0</v>
      </c>
      <c r="L161" t="n">
        <v>0</v>
      </c>
      <c r="M161" t="n">
        <v>0</v>
      </c>
      <c r="N161" t="n">
        <v>0</v>
      </c>
      <c r="O161" t="n">
        <v>0</v>
      </c>
      <c r="P161" t="n">
        <v>0</v>
      </c>
      <c r="Q161" t="n">
        <v>1</v>
      </c>
      <c r="R161" s="2" t="inlineStr">
        <is>
          <t>Fläcknycklar</t>
        </is>
      </c>
      <c r="S161">
        <f>HYPERLINK("https://klasma.github.io/Logging_2380/artfynd/A 31328-2021 artfynd.xlsx", "A 31328-2021")</f>
        <v/>
      </c>
      <c r="T161">
        <f>HYPERLINK("https://klasma.github.io/Logging_2380/kartor/A 31328-2021 karta.png", "A 31328-2021")</f>
        <v/>
      </c>
      <c r="V161">
        <f>HYPERLINK("https://klasma.github.io/Logging_2380/klagomål/A 31328-2021 FSC-klagomål.docx", "A 31328-2021")</f>
        <v/>
      </c>
      <c r="W161">
        <f>HYPERLINK("https://klasma.github.io/Logging_2380/klagomålsmail/A 31328-2021 FSC-klagomål mail.docx", "A 31328-2021")</f>
        <v/>
      </c>
      <c r="X161">
        <f>HYPERLINK("https://klasma.github.io/Logging_2380/tillsyn/A 31328-2021 tillsynsbegäran.docx", "A 31328-2021")</f>
        <v/>
      </c>
      <c r="Y161">
        <f>HYPERLINK("https://klasma.github.io/Logging_2380/tillsynsmail/A 31328-2021 tillsynsbegäran mail.docx", "A 31328-2021")</f>
        <v/>
      </c>
    </row>
    <row r="162" ht="15" customHeight="1">
      <c r="A162" t="inlineStr">
        <is>
          <t>A 33137-2021</t>
        </is>
      </c>
      <c r="B162" s="1" t="n">
        <v>44376</v>
      </c>
      <c r="C162" s="1" t="n">
        <v>45850</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46163-2021</t>
        </is>
      </c>
      <c r="B163" s="1" t="n">
        <v>44441</v>
      </c>
      <c r="C163" s="1" t="n">
        <v>45850</v>
      </c>
      <c r="D163" t="inlineStr">
        <is>
          <t>JÄMTLANDS LÄN</t>
        </is>
      </c>
      <c r="E163" t="inlineStr">
        <is>
          <t>ÖSTERSUND</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46163-2021 artfynd.xlsx", "A 46163-2021")</f>
        <v/>
      </c>
      <c r="T163">
        <f>HYPERLINK("https://klasma.github.io/Logging_2380/kartor/A 46163-2021 karta.png", "A 46163-2021")</f>
        <v/>
      </c>
      <c r="V163">
        <f>HYPERLINK("https://klasma.github.io/Logging_2380/klagomål/A 46163-2021 FSC-klagomål.docx", "A 46163-2021")</f>
        <v/>
      </c>
      <c r="W163">
        <f>HYPERLINK("https://klasma.github.io/Logging_2380/klagomålsmail/A 46163-2021 FSC-klagomål mail.docx", "A 46163-2021")</f>
        <v/>
      </c>
      <c r="X163">
        <f>HYPERLINK("https://klasma.github.io/Logging_2380/tillsyn/A 46163-2021 tillsynsbegäran.docx", "A 46163-2021")</f>
        <v/>
      </c>
      <c r="Y163">
        <f>HYPERLINK("https://klasma.github.io/Logging_2380/tillsynsmail/A 46163-2021 tillsynsbegäran mail.docx", "A 46163-2021")</f>
        <v/>
      </c>
      <c r="Z163">
        <f>HYPERLINK("https://klasma.github.io/Logging_2380/fåglar/A 46163-2021 prioriterade fågelarter.docx", "A 46163-2021")</f>
        <v/>
      </c>
    </row>
    <row r="164" ht="15" customHeight="1">
      <c r="A164" t="inlineStr">
        <is>
          <t>A 55821-2021</t>
        </is>
      </c>
      <c r="B164" s="1" t="n">
        <v>44476</v>
      </c>
      <c r="C164" s="1" t="n">
        <v>45850</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59433-2021</t>
        </is>
      </c>
      <c r="B165" s="1" t="n">
        <v>44491</v>
      </c>
      <c r="C165" s="1" t="n">
        <v>45850</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9739-2022</t>
        </is>
      </c>
      <c r="B166" s="1" t="n">
        <v>44617</v>
      </c>
      <c r="C166" s="1" t="n">
        <v>45850</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10336-2022</t>
        </is>
      </c>
      <c r="B167" s="1" t="n">
        <v>44623</v>
      </c>
      <c r="C167" s="1" t="n">
        <v>45850</v>
      </c>
      <c r="D167" t="inlineStr">
        <is>
          <t>JÄMTLANDS LÄN</t>
        </is>
      </c>
      <c r="E167" t="inlineStr">
        <is>
          <t>ÖSTERSUND</t>
        </is>
      </c>
      <c r="G167" t="n">
        <v>0.9</v>
      </c>
      <c r="H167" t="n">
        <v>0</v>
      </c>
      <c r="I167" t="n">
        <v>1</v>
      </c>
      <c r="J167" t="n">
        <v>0</v>
      </c>
      <c r="K167" t="n">
        <v>0</v>
      </c>
      <c r="L167" t="n">
        <v>0</v>
      </c>
      <c r="M167" t="n">
        <v>0</v>
      </c>
      <c r="N167" t="n">
        <v>0</v>
      </c>
      <c r="O167" t="n">
        <v>0</v>
      </c>
      <c r="P167" t="n">
        <v>0</v>
      </c>
      <c r="Q167" t="n">
        <v>1</v>
      </c>
      <c r="R167" s="2" t="inlineStr">
        <is>
          <t>Underviol</t>
        </is>
      </c>
      <c r="S167">
        <f>HYPERLINK("https://klasma.github.io/Logging_2380/artfynd/A 10336-2022 artfynd.xlsx", "A 10336-2022")</f>
        <v/>
      </c>
      <c r="T167">
        <f>HYPERLINK("https://klasma.github.io/Logging_2380/kartor/A 10336-2022 karta.png", "A 10336-2022")</f>
        <v/>
      </c>
      <c r="V167">
        <f>HYPERLINK("https://klasma.github.io/Logging_2380/klagomål/A 10336-2022 FSC-klagomål.docx", "A 10336-2022")</f>
        <v/>
      </c>
      <c r="W167">
        <f>HYPERLINK("https://klasma.github.io/Logging_2380/klagomålsmail/A 10336-2022 FSC-klagomål mail.docx", "A 10336-2022")</f>
        <v/>
      </c>
      <c r="X167">
        <f>HYPERLINK("https://klasma.github.io/Logging_2380/tillsyn/A 10336-2022 tillsynsbegäran.docx", "A 10336-2022")</f>
        <v/>
      </c>
      <c r="Y167">
        <f>HYPERLINK("https://klasma.github.io/Logging_2380/tillsynsmail/A 10336-2022 tillsynsbegäran mail.docx", "A 10336-2022")</f>
        <v/>
      </c>
    </row>
    <row r="168" ht="15" customHeight="1">
      <c r="A168" t="inlineStr">
        <is>
          <t>A 19798-2022</t>
        </is>
      </c>
      <c r="B168" s="1" t="n">
        <v>44694</v>
      </c>
      <c r="C168" s="1" t="n">
        <v>45850</v>
      </c>
      <c r="D168" t="inlineStr">
        <is>
          <t>JÄMTLANDS LÄN</t>
        </is>
      </c>
      <c r="E168" t="inlineStr">
        <is>
          <t>ÖSTERSUND</t>
        </is>
      </c>
      <c r="F168" t="inlineStr">
        <is>
          <t>SCA</t>
        </is>
      </c>
      <c r="G168" t="n">
        <v>1</v>
      </c>
      <c r="H168" t="n">
        <v>1</v>
      </c>
      <c r="I168" t="n">
        <v>1</v>
      </c>
      <c r="J168" t="n">
        <v>0</v>
      </c>
      <c r="K168" t="n">
        <v>0</v>
      </c>
      <c r="L168" t="n">
        <v>0</v>
      </c>
      <c r="M168" t="n">
        <v>0</v>
      </c>
      <c r="N168" t="n">
        <v>0</v>
      </c>
      <c r="O168" t="n">
        <v>0</v>
      </c>
      <c r="P168" t="n">
        <v>0</v>
      </c>
      <c r="Q168" t="n">
        <v>1</v>
      </c>
      <c r="R168" s="2" t="inlineStr">
        <is>
          <t>Guckusko</t>
        </is>
      </c>
      <c r="S168">
        <f>HYPERLINK("https://klasma.github.io/Logging_2380/artfynd/A 19798-2022 artfynd.xlsx", "A 19798-2022")</f>
        <v/>
      </c>
      <c r="T168">
        <f>HYPERLINK("https://klasma.github.io/Logging_2380/kartor/A 19798-2022 karta.png", "A 19798-2022")</f>
        <v/>
      </c>
      <c r="V168">
        <f>HYPERLINK("https://klasma.github.io/Logging_2380/klagomål/A 19798-2022 FSC-klagomål.docx", "A 19798-2022")</f>
        <v/>
      </c>
      <c r="W168">
        <f>HYPERLINK("https://klasma.github.io/Logging_2380/klagomålsmail/A 19798-2022 FSC-klagomål mail.docx", "A 19798-2022")</f>
        <v/>
      </c>
      <c r="X168">
        <f>HYPERLINK("https://klasma.github.io/Logging_2380/tillsyn/A 19798-2022 tillsynsbegäran.docx", "A 19798-2022")</f>
        <v/>
      </c>
      <c r="Y168">
        <f>HYPERLINK("https://klasma.github.io/Logging_2380/tillsynsmail/A 19798-2022 tillsynsbegäran mail.docx", "A 19798-2022")</f>
        <v/>
      </c>
    </row>
    <row r="169" ht="15" customHeight="1">
      <c r="A169" t="inlineStr">
        <is>
          <t>A 27578-2022</t>
        </is>
      </c>
      <c r="B169" s="1" t="n">
        <v>44742</v>
      </c>
      <c r="C169" s="1" t="n">
        <v>45850</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27576-2022</t>
        </is>
      </c>
      <c r="B170" s="1" t="n">
        <v>44742</v>
      </c>
      <c r="C170" s="1" t="n">
        <v>45850</v>
      </c>
      <c r="D170" t="inlineStr">
        <is>
          <t>JÄMTLANDS LÄN</t>
        </is>
      </c>
      <c r="E170" t="inlineStr">
        <is>
          <t>ÖSTERSUND</t>
        </is>
      </c>
      <c r="F170" t="inlineStr">
        <is>
          <t>SCA</t>
        </is>
      </c>
      <c r="G170" t="n">
        <v>0.6</v>
      </c>
      <c r="H170" t="n">
        <v>0</v>
      </c>
      <c r="I170" t="n">
        <v>0</v>
      </c>
      <c r="J170" t="n">
        <v>1</v>
      </c>
      <c r="K170" t="n">
        <v>0</v>
      </c>
      <c r="L170" t="n">
        <v>0</v>
      </c>
      <c r="M170" t="n">
        <v>0</v>
      </c>
      <c r="N170" t="n">
        <v>0</v>
      </c>
      <c r="O170" t="n">
        <v>1</v>
      </c>
      <c r="P170" t="n">
        <v>0</v>
      </c>
      <c r="Q170" t="n">
        <v>1</v>
      </c>
      <c r="R170" s="2" t="inlineStr">
        <is>
          <t>Ullticka</t>
        </is>
      </c>
      <c r="S170">
        <f>HYPERLINK("https://klasma.github.io/Logging_2380/artfynd/A 27576-2022 artfynd.xlsx", "A 27576-2022")</f>
        <v/>
      </c>
      <c r="T170">
        <f>HYPERLINK("https://klasma.github.io/Logging_2380/kartor/A 27576-2022 karta.png", "A 27576-2022")</f>
        <v/>
      </c>
      <c r="U170">
        <f>HYPERLINK("https://klasma.github.io/Logging_2380/knärot/A 27576-2022 karta knärot.png", "A 27576-2022")</f>
        <v/>
      </c>
      <c r="V170">
        <f>HYPERLINK("https://klasma.github.io/Logging_2380/klagomål/A 27576-2022 FSC-klagomål.docx", "A 27576-2022")</f>
        <v/>
      </c>
      <c r="W170">
        <f>HYPERLINK("https://klasma.github.io/Logging_2380/klagomålsmail/A 27576-2022 FSC-klagomål mail.docx", "A 27576-2022")</f>
        <v/>
      </c>
      <c r="X170">
        <f>HYPERLINK("https://klasma.github.io/Logging_2380/tillsyn/A 27576-2022 tillsynsbegäran.docx", "A 27576-2022")</f>
        <v/>
      </c>
      <c r="Y170">
        <f>HYPERLINK("https://klasma.github.io/Logging_2380/tillsynsmail/A 27576-2022 tillsynsbegäran mail.docx", "A 27576-2022")</f>
        <v/>
      </c>
    </row>
    <row r="171" ht="15" customHeight="1">
      <c r="A171" t="inlineStr">
        <is>
          <t>A 33267-2022</t>
        </is>
      </c>
      <c r="B171" s="1" t="n">
        <v>44785</v>
      </c>
      <c r="C171" s="1" t="n">
        <v>45850</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43947-2022</t>
        </is>
      </c>
      <c r="B172" s="1" t="n">
        <v>44838</v>
      </c>
      <c r="C172" s="1" t="n">
        <v>45850</v>
      </c>
      <c r="D172" t="inlineStr">
        <is>
          <t>JÄMTLANDS LÄN</t>
        </is>
      </c>
      <c r="E172" t="inlineStr">
        <is>
          <t>ÖSTERSUND</t>
        </is>
      </c>
      <c r="F172" t="inlineStr">
        <is>
          <t>Övriga Aktiebolag</t>
        </is>
      </c>
      <c r="G172" t="n">
        <v>15.7</v>
      </c>
      <c r="H172" t="n">
        <v>0</v>
      </c>
      <c r="I172" t="n">
        <v>0</v>
      </c>
      <c r="J172" t="n">
        <v>0</v>
      </c>
      <c r="K172" t="n">
        <v>1</v>
      </c>
      <c r="L172" t="n">
        <v>0</v>
      </c>
      <c r="M172" t="n">
        <v>0</v>
      </c>
      <c r="N172" t="n">
        <v>0</v>
      </c>
      <c r="O172" t="n">
        <v>1</v>
      </c>
      <c r="P172" t="n">
        <v>1</v>
      </c>
      <c r="Q172" t="n">
        <v>1</v>
      </c>
      <c r="R172" s="2" t="inlineStr">
        <is>
          <t>Sprickporing</t>
        </is>
      </c>
      <c r="S172">
        <f>HYPERLINK("https://klasma.github.io/Logging_2380/artfynd/A 43947-2022 artfynd.xlsx", "A 43947-2022")</f>
        <v/>
      </c>
      <c r="T172">
        <f>HYPERLINK("https://klasma.github.io/Logging_2380/kartor/A 43947-2022 karta.png", "A 43947-2022")</f>
        <v/>
      </c>
      <c r="V172">
        <f>HYPERLINK("https://klasma.github.io/Logging_2380/klagomål/A 43947-2022 FSC-klagomål.docx", "A 43947-2022")</f>
        <v/>
      </c>
      <c r="W172">
        <f>HYPERLINK("https://klasma.github.io/Logging_2380/klagomålsmail/A 43947-2022 FSC-klagomål mail.docx", "A 43947-2022")</f>
        <v/>
      </c>
      <c r="X172">
        <f>HYPERLINK("https://klasma.github.io/Logging_2380/tillsyn/A 43947-2022 tillsynsbegäran.docx", "A 43947-2022")</f>
        <v/>
      </c>
      <c r="Y172">
        <f>HYPERLINK("https://klasma.github.io/Logging_2380/tillsynsmail/A 43947-2022 tillsynsbegäran mail.docx", "A 43947-2022")</f>
        <v/>
      </c>
    </row>
    <row r="173" ht="15" customHeight="1">
      <c r="A173" t="inlineStr">
        <is>
          <t>A 45441-2022</t>
        </is>
      </c>
      <c r="B173" s="1" t="n">
        <v>44844</v>
      </c>
      <c r="C173" s="1" t="n">
        <v>45850</v>
      </c>
      <c r="D173" t="inlineStr">
        <is>
          <t>JÄMTLANDS LÄN</t>
        </is>
      </c>
      <c r="E173" t="inlineStr">
        <is>
          <t>ÖSTERSUND</t>
        </is>
      </c>
      <c r="F173" t="inlineStr">
        <is>
          <t>SCA</t>
        </is>
      </c>
      <c r="G173" t="n">
        <v>1.8</v>
      </c>
      <c r="H173" t="n">
        <v>0</v>
      </c>
      <c r="I173" t="n">
        <v>1</v>
      </c>
      <c r="J173" t="n">
        <v>0</v>
      </c>
      <c r="K173" t="n">
        <v>0</v>
      </c>
      <c r="L173" t="n">
        <v>0</v>
      </c>
      <c r="M173" t="n">
        <v>0</v>
      </c>
      <c r="N173" t="n">
        <v>0</v>
      </c>
      <c r="O173" t="n">
        <v>0</v>
      </c>
      <c r="P173" t="n">
        <v>0</v>
      </c>
      <c r="Q173" t="n">
        <v>1</v>
      </c>
      <c r="R173" s="2" t="inlineStr">
        <is>
          <t>Korallblylav</t>
        </is>
      </c>
      <c r="S173">
        <f>HYPERLINK("https://klasma.github.io/Logging_2380/artfynd/A 45441-2022 artfynd.xlsx", "A 45441-2022")</f>
        <v/>
      </c>
      <c r="T173">
        <f>HYPERLINK("https://klasma.github.io/Logging_2380/kartor/A 45441-2022 karta.png", "A 45441-2022")</f>
        <v/>
      </c>
      <c r="V173">
        <f>HYPERLINK("https://klasma.github.io/Logging_2380/klagomål/A 45441-2022 FSC-klagomål.docx", "A 45441-2022")</f>
        <v/>
      </c>
      <c r="W173">
        <f>HYPERLINK("https://klasma.github.io/Logging_2380/klagomålsmail/A 45441-2022 FSC-klagomål mail.docx", "A 45441-2022")</f>
        <v/>
      </c>
      <c r="X173">
        <f>HYPERLINK("https://klasma.github.io/Logging_2380/tillsyn/A 45441-2022 tillsynsbegäran.docx", "A 45441-2022")</f>
        <v/>
      </c>
      <c r="Y173">
        <f>HYPERLINK("https://klasma.github.io/Logging_2380/tillsynsmail/A 45441-2022 tillsynsbegäran mail.docx", "A 45441-2022")</f>
        <v/>
      </c>
    </row>
    <row r="174" ht="15" customHeight="1">
      <c r="A174" t="inlineStr">
        <is>
          <t>A 53764-2022</t>
        </is>
      </c>
      <c r="B174" s="1" t="n">
        <v>44875</v>
      </c>
      <c r="C174" s="1" t="n">
        <v>45850</v>
      </c>
      <c r="D174" t="inlineStr">
        <is>
          <t>JÄMTLANDS LÄN</t>
        </is>
      </c>
      <c r="E174" t="inlineStr">
        <is>
          <t>ÖSTERSUND</t>
        </is>
      </c>
      <c r="G174" t="n">
        <v>0.2</v>
      </c>
      <c r="H174" t="n">
        <v>0</v>
      </c>
      <c r="I174" t="n">
        <v>0</v>
      </c>
      <c r="J174" t="n">
        <v>1</v>
      </c>
      <c r="K174" t="n">
        <v>0</v>
      </c>
      <c r="L174" t="n">
        <v>0</v>
      </c>
      <c r="M174" t="n">
        <v>0</v>
      </c>
      <c r="N174" t="n">
        <v>0</v>
      </c>
      <c r="O174" t="n">
        <v>1</v>
      </c>
      <c r="P174" t="n">
        <v>0</v>
      </c>
      <c r="Q174" t="n">
        <v>1</v>
      </c>
      <c r="R174" s="2" t="inlineStr">
        <is>
          <t>Slåtterfibbla</t>
        </is>
      </c>
      <c r="S174">
        <f>HYPERLINK("https://klasma.github.io/Logging_2380/artfynd/A 53764-2022 artfynd.xlsx", "A 53764-2022")</f>
        <v/>
      </c>
      <c r="T174">
        <f>HYPERLINK("https://klasma.github.io/Logging_2380/kartor/A 53764-2022 karta.png", "A 53764-2022")</f>
        <v/>
      </c>
      <c r="V174">
        <f>HYPERLINK("https://klasma.github.io/Logging_2380/klagomål/A 53764-2022 FSC-klagomål.docx", "A 53764-2022")</f>
        <v/>
      </c>
      <c r="W174">
        <f>HYPERLINK("https://klasma.github.io/Logging_2380/klagomålsmail/A 53764-2022 FSC-klagomål mail.docx", "A 53764-2022")</f>
        <v/>
      </c>
      <c r="X174">
        <f>HYPERLINK("https://klasma.github.io/Logging_2380/tillsyn/A 53764-2022 tillsynsbegäran.docx", "A 53764-2022")</f>
        <v/>
      </c>
      <c r="Y174">
        <f>HYPERLINK("https://klasma.github.io/Logging_2380/tillsynsmail/A 53764-2022 tillsynsbegäran mail.docx", "A 53764-2022")</f>
        <v/>
      </c>
    </row>
    <row r="175" ht="15" customHeight="1">
      <c r="A175" t="inlineStr">
        <is>
          <t>A 56245-2022</t>
        </is>
      </c>
      <c r="B175" s="1" t="n">
        <v>44890</v>
      </c>
      <c r="C175" s="1" t="n">
        <v>45850</v>
      </c>
      <c r="D175" t="inlineStr">
        <is>
          <t>JÄMTLANDS LÄN</t>
        </is>
      </c>
      <c r="E175" t="inlineStr">
        <is>
          <t>ÖSTERSUND</t>
        </is>
      </c>
      <c r="F175" t="inlineStr">
        <is>
          <t>Övriga Aktiebolag</t>
        </is>
      </c>
      <c r="G175" t="n">
        <v>10.6</v>
      </c>
      <c r="H175" t="n">
        <v>0</v>
      </c>
      <c r="I175" t="n">
        <v>0</v>
      </c>
      <c r="J175" t="n">
        <v>1</v>
      </c>
      <c r="K175" t="n">
        <v>0</v>
      </c>
      <c r="L175" t="n">
        <v>0</v>
      </c>
      <c r="M175" t="n">
        <v>0</v>
      </c>
      <c r="N175" t="n">
        <v>0</v>
      </c>
      <c r="O175" t="n">
        <v>1</v>
      </c>
      <c r="P175" t="n">
        <v>0</v>
      </c>
      <c r="Q175" t="n">
        <v>1</v>
      </c>
      <c r="R175" s="2" t="inlineStr">
        <is>
          <t>Garnlav</t>
        </is>
      </c>
      <c r="S175">
        <f>HYPERLINK("https://klasma.github.io/Logging_2380/artfynd/A 56245-2022 artfynd.xlsx", "A 56245-2022")</f>
        <v/>
      </c>
      <c r="T175">
        <f>HYPERLINK("https://klasma.github.io/Logging_2380/kartor/A 56245-2022 karta.png", "A 56245-2022")</f>
        <v/>
      </c>
      <c r="V175">
        <f>HYPERLINK("https://klasma.github.io/Logging_2380/klagomål/A 56245-2022 FSC-klagomål.docx", "A 56245-2022")</f>
        <v/>
      </c>
      <c r="W175">
        <f>HYPERLINK("https://klasma.github.io/Logging_2380/klagomålsmail/A 56245-2022 FSC-klagomål mail.docx", "A 56245-2022")</f>
        <v/>
      </c>
      <c r="X175">
        <f>HYPERLINK("https://klasma.github.io/Logging_2380/tillsyn/A 56245-2022 tillsynsbegäran.docx", "A 56245-2022")</f>
        <v/>
      </c>
      <c r="Y175">
        <f>HYPERLINK("https://klasma.github.io/Logging_2380/tillsynsmail/A 56245-2022 tillsynsbegäran mail.docx", "A 56245-2022")</f>
        <v/>
      </c>
    </row>
    <row r="176" ht="15" customHeight="1">
      <c r="A176" t="inlineStr">
        <is>
          <t>A 58181-2022</t>
        </is>
      </c>
      <c r="B176" s="1" t="n">
        <v>44900</v>
      </c>
      <c r="C176" s="1" t="n">
        <v>45850</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59739-2022</t>
        </is>
      </c>
      <c r="B177" s="1" t="n">
        <v>44908</v>
      </c>
      <c r="C177" s="1" t="n">
        <v>45850</v>
      </c>
      <c r="D177" t="inlineStr">
        <is>
          <t>JÄMTLANDS LÄN</t>
        </is>
      </c>
      <c r="E177" t="inlineStr">
        <is>
          <t>ÖSTERSUND</t>
        </is>
      </c>
      <c r="F177" t="inlineStr">
        <is>
          <t>Kommuner</t>
        </is>
      </c>
      <c r="G177" t="n">
        <v>1.9</v>
      </c>
      <c r="H177" t="n">
        <v>0</v>
      </c>
      <c r="I177" t="n">
        <v>1</v>
      </c>
      <c r="J177" t="n">
        <v>0</v>
      </c>
      <c r="K177" t="n">
        <v>0</v>
      </c>
      <c r="L177" t="n">
        <v>0</v>
      </c>
      <c r="M177" t="n">
        <v>0</v>
      </c>
      <c r="N177" t="n">
        <v>0</v>
      </c>
      <c r="O177" t="n">
        <v>0</v>
      </c>
      <c r="P177" t="n">
        <v>0</v>
      </c>
      <c r="Q177" t="n">
        <v>1</v>
      </c>
      <c r="R177" s="2" t="inlineStr">
        <is>
          <t>Vedticka</t>
        </is>
      </c>
      <c r="S177">
        <f>HYPERLINK("https://klasma.github.io/Logging_2380/artfynd/A 59739-2022 artfynd.xlsx", "A 59739-2022")</f>
        <v/>
      </c>
      <c r="T177">
        <f>HYPERLINK("https://klasma.github.io/Logging_2380/kartor/A 59739-2022 karta.png", "A 59739-2022")</f>
        <v/>
      </c>
      <c r="V177">
        <f>HYPERLINK("https://klasma.github.io/Logging_2380/klagomål/A 59739-2022 FSC-klagomål.docx", "A 59739-2022")</f>
        <v/>
      </c>
      <c r="W177">
        <f>HYPERLINK("https://klasma.github.io/Logging_2380/klagomålsmail/A 59739-2022 FSC-klagomål mail.docx", "A 59739-2022")</f>
        <v/>
      </c>
      <c r="X177">
        <f>HYPERLINK("https://klasma.github.io/Logging_2380/tillsyn/A 59739-2022 tillsynsbegäran.docx", "A 59739-2022")</f>
        <v/>
      </c>
      <c r="Y177">
        <f>HYPERLINK("https://klasma.github.io/Logging_2380/tillsynsmail/A 59739-2022 tillsynsbegäran mail.docx", "A 59739-2022")</f>
        <v/>
      </c>
    </row>
    <row r="178" ht="15" customHeight="1">
      <c r="A178" t="inlineStr">
        <is>
          <t>A 28980-2023</t>
        </is>
      </c>
      <c r="B178" s="1" t="n">
        <v>45096</v>
      </c>
      <c r="C178" s="1" t="n">
        <v>45850</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32411-2023</t>
        </is>
      </c>
      <c r="B179" s="1" t="n">
        <v>45120</v>
      </c>
      <c r="C179" s="1" t="n">
        <v>45850</v>
      </c>
      <c r="D179" t="inlineStr">
        <is>
          <t>JÄMTLANDS LÄN</t>
        </is>
      </c>
      <c r="E179" t="inlineStr">
        <is>
          <t>ÖSTERSUND</t>
        </is>
      </c>
      <c r="G179" t="n">
        <v>8.5</v>
      </c>
      <c r="H179" t="n">
        <v>1</v>
      </c>
      <c r="I179" t="n">
        <v>1</v>
      </c>
      <c r="J179" t="n">
        <v>0</v>
      </c>
      <c r="K179" t="n">
        <v>0</v>
      </c>
      <c r="L179" t="n">
        <v>0</v>
      </c>
      <c r="M179" t="n">
        <v>0</v>
      </c>
      <c r="N179" t="n">
        <v>0</v>
      </c>
      <c r="O179" t="n">
        <v>0</v>
      </c>
      <c r="P179" t="n">
        <v>0</v>
      </c>
      <c r="Q179" t="n">
        <v>1</v>
      </c>
      <c r="R179" s="2" t="inlineStr">
        <is>
          <t>Spindelblomster</t>
        </is>
      </c>
      <c r="S179">
        <f>HYPERLINK("https://klasma.github.io/Logging_2380/artfynd/A 32411-2023 artfynd.xlsx", "A 32411-2023")</f>
        <v/>
      </c>
      <c r="T179">
        <f>HYPERLINK("https://klasma.github.io/Logging_2380/kartor/A 32411-2023 karta.png", "A 32411-2023")</f>
        <v/>
      </c>
      <c r="V179">
        <f>HYPERLINK("https://klasma.github.io/Logging_2380/klagomål/A 32411-2023 FSC-klagomål.docx", "A 32411-2023")</f>
        <v/>
      </c>
      <c r="W179">
        <f>HYPERLINK("https://klasma.github.io/Logging_2380/klagomålsmail/A 32411-2023 FSC-klagomål mail.docx", "A 32411-2023")</f>
        <v/>
      </c>
      <c r="X179">
        <f>HYPERLINK("https://klasma.github.io/Logging_2380/tillsyn/A 32411-2023 tillsynsbegäran.docx", "A 32411-2023")</f>
        <v/>
      </c>
      <c r="Y179">
        <f>HYPERLINK("https://klasma.github.io/Logging_2380/tillsynsmail/A 32411-2023 tillsynsbegäran mail.docx", "A 32411-2023")</f>
        <v/>
      </c>
    </row>
    <row r="180" ht="15" customHeight="1">
      <c r="A180" t="inlineStr">
        <is>
          <t>A 50825-2023</t>
        </is>
      </c>
      <c r="B180" s="1" t="n">
        <v>45217</v>
      </c>
      <c r="C180" s="1" t="n">
        <v>45850</v>
      </c>
      <c r="D180" t="inlineStr">
        <is>
          <t>JÄMTLANDS LÄN</t>
        </is>
      </c>
      <c r="E180" t="inlineStr">
        <is>
          <t>ÖSTERSUND</t>
        </is>
      </c>
      <c r="G180" t="n">
        <v>24.3</v>
      </c>
      <c r="H180" t="n">
        <v>0</v>
      </c>
      <c r="I180" t="n">
        <v>0</v>
      </c>
      <c r="J180" t="n">
        <v>1</v>
      </c>
      <c r="K180" t="n">
        <v>0</v>
      </c>
      <c r="L180" t="n">
        <v>0</v>
      </c>
      <c r="M180" t="n">
        <v>0</v>
      </c>
      <c r="N180" t="n">
        <v>0</v>
      </c>
      <c r="O180" t="n">
        <v>1</v>
      </c>
      <c r="P180" t="n">
        <v>0</v>
      </c>
      <c r="Q180" t="n">
        <v>1</v>
      </c>
      <c r="R180" s="2" t="inlineStr">
        <is>
          <t>Granticka</t>
        </is>
      </c>
      <c r="S180">
        <f>HYPERLINK("https://klasma.github.io/Logging_2380/artfynd/A 50825-2023 artfynd.xlsx", "A 50825-2023")</f>
        <v/>
      </c>
      <c r="T180">
        <f>HYPERLINK("https://klasma.github.io/Logging_2380/kartor/A 50825-2023 karta.png", "A 50825-2023")</f>
        <v/>
      </c>
      <c r="V180">
        <f>HYPERLINK("https://klasma.github.io/Logging_2380/klagomål/A 50825-2023 FSC-klagomål.docx", "A 50825-2023")</f>
        <v/>
      </c>
      <c r="W180">
        <f>HYPERLINK("https://klasma.github.io/Logging_2380/klagomålsmail/A 50825-2023 FSC-klagomål mail.docx", "A 50825-2023")</f>
        <v/>
      </c>
      <c r="X180">
        <f>HYPERLINK("https://klasma.github.io/Logging_2380/tillsyn/A 50825-2023 tillsynsbegäran.docx", "A 50825-2023")</f>
        <v/>
      </c>
      <c r="Y180">
        <f>HYPERLINK("https://klasma.github.io/Logging_2380/tillsynsmail/A 50825-2023 tillsynsbegäran mail.docx", "A 50825-2023")</f>
        <v/>
      </c>
    </row>
    <row r="181" ht="15" customHeight="1">
      <c r="A181" t="inlineStr">
        <is>
          <t>A 56025-2023</t>
        </is>
      </c>
      <c r="B181" s="1" t="n">
        <v>45233</v>
      </c>
      <c r="C181" s="1" t="n">
        <v>45850</v>
      </c>
      <c r="D181" t="inlineStr">
        <is>
          <t>JÄMTLANDS LÄN</t>
        </is>
      </c>
      <c r="E181" t="inlineStr">
        <is>
          <t>ÖSTERSUND</t>
        </is>
      </c>
      <c r="G181" t="n">
        <v>3.9</v>
      </c>
      <c r="H181" t="n">
        <v>1</v>
      </c>
      <c r="I181" t="n">
        <v>0</v>
      </c>
      <c r="J181" t="n">
        <v>1</v>
      </c>
      <c r="K181" t="n">
        <v>0</v>
      </c>
      <c r="L181" t="n">
        <v>0</v>
      </c>
      <c r="M181" t="n">
        <v>0</v>
      </c>
      <c r="N181" t="n">
        <v>0</v>
      </c>
      <c r="O181" t="n">
        <v>1</v>
      </c>
      <c r="P181" t="n">
        <v>0</v>
      </c>
      <c r="Q181" t="n">
        <v>1</v>
      </c>
      <c r="R181" s="2" t="inlineStr">
        <is>
          <t>Jämtlandsmaskros</t>
        </is>
      </c>
      <c r="S181">
        <f>HYPERLINK("https://klasma.github.io/Logging_2380/artfynd/A 56025-2023 artfynd.xlsx", "A 56025-2023")</f>
        <v/>
      </c>
      <c r="T181">
        <f>HYPERLINK("https://klasma.github.io/Logging_2380/kartor/A 56025-2023 karta.png", "A 56025-2023")</f>
        <v/>
      </c>
      <c r="V181">
        <f>HYPERLINK("https://klasma.github.io/Logging_2380/klagomål/A 56025-2023 FSC-klagomål.docx", "A 56025-2023")</f>
        <v/>
      </c>
      <c r="W181">
        <f>HYPERLINK("https://klasma.github.io/Logging_2380/klagomålsmail/A 56025-2023 FSC-klagomål mail.docx", "A 56025-2023")</f>
        <v/>
      </c>
      <c r="X181">
        <f>HYPERLINK("https://klasma.github.io/Logging_2380/tillsyn/A 56025-2023 tillsynsbegäran.docx", "A 56025-2023")</f>
        <v/>
      </c>
      <c r="Y181">
        <f>HYPERLINK("https://klasma.github.io/Logging_2380/tillsynsmail/A 56025-2023 tillsynsbegäran mail.docx", "A 56025-2023")</f>
        <v/>
      </c>
    </row>
    <row r="182" ht="15" customHeight="1">
      <c r="A182" t="inlineStr">
        <is>
          <t>A 57864-2023</t>
        </is>
      </c>
      <c r="B182" s="1" t="n">
        <v>45244</v>
      </c>
      <c r="C182" s="1" t="n">
        <v>45850</v>
      </c>
      <c r="D182" t="inlineStr">
        <is>
          <t>JÄMTLANDS LÄN</t>
        </is>
      </c>
      <c r="E182" t="inlineStr">
        <is>
          <t>ÖSTERSUND</t>
        </is>
      </c>
      <c r="G182" t="n">
        <v>3.1</v>
      </c>
      <c r="H182" t="n">
        <v>1</v>
      </c>
      <c r="I182" t="n">
        <v>0</v>
      </c>
      <c r="J182" t="n">
        <v>0</v>
      </c>
      <c r="K182" t="n">
        <v>0</v>
      </c>
      <c r="L182" t="n">
        <v>0</v>
      </c>
      <c r="M182" t="n">
        <v>0</v>
      </c>
      <c r="N182" t="n">
        <v>0</v>
      </c>
      <c r="O182" t="n">
        <v>0</v>
      </c>
      <c r="P182" t="n">
        <v>0</v>
      </c>
      <c r="Q182" t="n">
        <v>1</v>
      </c>
      <c r="R182" s="2" t="inlineStr">
        <is>
          <t>Mattlummer</t>
        </is>
      </c>
      <c r="S182">
        <f>HYPERLINK("https://klasma.github.io/Logging_2380/artfynd/A 57864-2023 artfynd.xlsx", "A 57864-2023")</f>
        <v/>
      </c>
      <c r="T182">
        <f>HYPERLINK("https://klasma.github.io/Logging_2380/kartor/A 57864-2023 karta.png", "A 57864-2023")</f>
        <v/>
      </c>
      <c r="V182">
        <f>HYPERLINK("https://klasma.github.io/Logging_2380/klagomål/A 57864-2023 FSC-klagomål.docx", "A 57864-2023")</f>
        <v/>
      </c>
      <c r="W182">
        <f>HYPERLINK("https://klasma.github.io/Logging_2380/klagomålsmail/A 57864-2023 FSC-klagomål mail.docx", "A 57864-2023")</f>
        <v/>
      </c>
      <c r="X182">
        <f>HYPERLINK("https://klasma.github.io/Logging_2380/tillsyn/A 57864-2023 tillsynsbegäran.docx", "A 57864-2023")</f>
        <v/>
      </c>
      <c r="Y182">
        <f>HYPERLINK("https://klasma.github.io/Logging_2380/tillsynsmail/A 57864-2023 tillsynsbegäran mail.docx", "A 57864-2023")</f>
        <v/>
      </c>
    </row>
    <row r="183" ht="15" customHeight="1">
      <c r="A183" t="inlineStr">
        <is>
          <t>A 64380-2023</t>
        </is>
      </c>
      <c r="B183" s="1" t="n">
        <v>45280</v>
      </c>
      <c r="C183" s="1" t="n">
        <v>45850</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3272-2024</t>
        </is>
      </c>
      <c r="B184" s="1" t="n">
        <v>45316</v>
      </c>
      <c r="C184" s="1" t="n">
        <v>45850</v>
      </c>
      <c r="D184" t="inlineStr">
        <is>
          <t>JÄMTLANDS LÄN</t>
        </is>
      </c>
      <c r="E184" t="inlineStr">
        <is>
          <t>ÖSTERSUND</t>
        </is>
      </c>
      <c r="G184" t="n">
        <v>5.6</v>
      </c>
      <c r="H184" t="n">
        <v>1</v>
      </c>
      <c r="I184" t="n">
        <v>1</v>
      </c>
      <c r="J184" t="n">
        <v>0</v>
      </c>
      <c r="K184" t="n">
        <v>0</v>
      </c>
      <c r="L184" t="n">
        <v>0</v>
      </c>
      <c r="M184" t="n">
        <v>0</v>
      </c>
      <c r="N184" t="n">
        <v>0</v>
      </c>
      <c r="O184" t="n">
        <v>0</v>
      </c>
      <c r="P184" t="n">
        <v>0</v>
      </c>
      <c r="Q184" t="n">
        <v>1</v>
      </c>
      <c r="R184" s="2" t="inlineStr">
        <is>
          <t>Korallrot</t>
        </is>
      </c>
      <c r="S184">
        <f>HYPERLINK("https://klasma.github.io/Logging_2380/artfynd/A 3272-2024 artfynd.xlsx", "A 3272-2024")</f>
        <v/>
      </c>
      <c r="T184">
        <f>HYPERLINK("https://klasma.github.io/Logging_2380/kartor/A 3272-2024 karta.png", "A 3272-2024")</f>
        <v/>
      </c>
      <c r="V184">
        <f>HYPERLINK("https://klasma.github.io/Logging_2380/klagomål/A 3272-2024 FSC-klagomål.docx", "A 3272-2024")</f>
        <v/>
      </c>
      <c r="W184">
        <f>HYPERLINK("https://klasma.github.io/Logging_2380/klagomålsmail/A 3272-2024 FSC-klagomål mail.docx", "A 3272-2024")</f>
        <v/>
      </c>
      <c r="X184">
        <f>HYPERLINK("https://klasma.github.io/Logging_2380/tillsyn/A 3272-2024 tillsynsbegäran.docx", "A 3272-2024")</f>
        <v/>
      </c>
      <c r="Y184">
        <f>HYPERLINK("https://klasma.github.io/Logging_2380/tillsynsmail/A 3272-2024 tillsynsbegäran mail.docx", "A 3272-2024")</f>
        <v/>
      </c>
    </row>
    <row r="185" ht="15" customHeight="1">
      <c r="A185" t="inlineStr">
        <is>
          <t>A 5781-2024</t>
        </is>
      </c>
      <c r="B185" s="1" t="n">
        <v>45335</v>
      </c>
      <c r="C185" s="1" t="n">
        <v>45850</v>
      </c>
      <c r="D185" t="inlineStr">
        <is>
          <t>JÄMTLANDS LÄN</t>
        </is>
      </c>
      <c r="E185" t="inlineStr">
        <is>
          <t>ÖSTERSUND</t>
        </is>
      </c>
      <c r="G185" t="n">
        <v>8.800000000000001</v>
      </c>
      <c r="H185" t="n">
        <v>1</v>
      </c>
      <c r="I185" t="n">
        <v>1</v>
      </c>
      <c r="J185" t="n">
        <v>0</v>
      </c>
      <c r="K185" t="n">
        <v>0</v>
      </c>
      <c r="L185" t="n">
        <v>0</v>
      </c>
      <c r="M185" t="n">
        <v>0</v>
      </c>
      <c r="N185" t="n">
        <v>0</v>
      </c>
      <c r="O185" t="n">
        <v>0</v>
      </c>
      <c r="P185" t="n">
        <v>0</v>
      </c>
      <c r="Q185" t="n">
        <v>1</v>
      </c>
      <c r="R185" s="2" t="inlineStr">
        <is>
          <t>Guckusko</t>
        </is>
      </c>
      <c r="S185">
        <f>HYPERLINK("https://klasma.github.io/Logging_2380/artfynd/A 5781-2024 artfynd.xlsx", "A 5781-2024")</f>
        <v/>
      </c>
      <c r="T185">
        <f>HYPERLINK("https://klasma.github.io/Logging_2380/kartor/A 5781-2024 karta.png", "A 5781-2024")</f>
        <v/>
      </c>
      <c r="V185">
        <f>HYPERLINK("https://klasma.github.io/Logging_2380/klagomål/A 5781-2024 FSC-klagomål.docx", "A 5781-2024")</f>
        <v/>
      </c>
      <c r="W185">
        <f>HYPERLINK("https://klasma.github.io/Logging_2380/klagomålsmail/A 5781-2024 FSC-klagomål mail.docx", "A 5781-2024")</f>
        <v/>
      </c>
      <c r="X185">
        <f>HYPERLINK("https://klasma.github.io/Logging_2380/tillsyn/A 5781-2024 tillsynsbegäran.docx", "A 5781-2024")</f>
        <v/>
      </c>
      <c r="Y185">
        <f>HYPERLINK("https://klasma.github.io/Logging_2380/tillsynsmail/A 5781-2024 tillsynsbegäran mail.docx", "A 5781-2024")</f>
        <v/>
      </c>
    </row>
    <row r="186" ht="15" customHeight="1">
      <c r="A186" t="inlineStr">
        <is>
          <t>A 5779-2024</t>
        </is>
      </c>
      <c r="B186" s="1" t="n">
        <v>45335</v>
      </c>
      <c r="C186" s="1" t="n">
        <v>45850</v>
      </c>
      <c r="D186" t="inlineStr">
        <is>
          <t>JÄMTLANDS LÄN</t>
        </is>
      </c>
      <c r="E186" t="inlineStr">
        <is>
          <t>ÖSTERSUND</t>
        </is>
      </c>
      <c r="G186" t="n">
        <v>9.9</v>
      </c>
      <c r="H186" t="n">
        <v>0</v>
      </c>
      <c r="I186" t="n">
        <v>1</v>
      </c>
      <c r="J186" t="n">
        <v>0</v>
      </c>
      <c r="K186" t="n">
        <v>0</v>
      </c>
      <c r="L186" t="n">
        <v>0</v>
      </c>
      <c r="M186" t="n">
        <v>0</v>
      </c>
      <c r="N186" t="n">
        <v>0</v>
      </c>
      <c r="O186" t="n">
        <v>0</v>
      </c>
      <c r="P186" t="n">
        <v>0</v>
      </c>
      <c r="Q186" t="n">
        <v>1</v>
      </c>
      <c r="R186" s="2" t="inlineStr">
        <is>
          <t>Kransrams</t>
        </is>
      </c>
      <c r="S186">
        <f>HYPERLINK("https://klasma.github.io/Logging_2380/artfynd/A 5779-2024 artfynd.xlsx", "A 5779-2024")</f>
        <v/>
      </c>
      <c r="T186">
        <f>HYPERLINK("https://klasma.github.io/Logging_2380/kartor/A 5779-2024 karta.png", "A 5779-2024")</f>
        <v/>
      </c>
      <c r="V186">
        <f>HYPERLINK("https://klasma.github.io/Logging_2380/klagomål/A 5779-2024 FSC-klagomål.docx", "A 5779-2024")</f>
        <v/>
      </c>
      <c r="W186">
        <f>HYPERLINK("https://klasma.github.io/Logging_2380/klagomålsmail/A 5779-2024 FSC-klagomål mail.docx", "A 5779-2024")</f>
        <v/>
      </c>
      <c r="X186">
        <f>HYPERLINK("https://klasma.github.io/Logging_2380/tillsyn/A 5779-2024 tillsynsbegäran.docx", "A 5779-2024")</f>
        <v/>
      </c>
      <c r="Y186">
        <f>HYPERLINK("https://klasma.github.io/Logging_2380/tillsynsmail/A 5779-2024 tillsynsbegäran mail.docx", "A 5779-2024")</f>
        <v/>
      </c>
    </row>
    <row r="187" ht="15" customHeight="1">
      <c r="A187" t="inlineStr">
        <is>
          <t>A 11513-2024</t>
        </is>
      </c>
      <c r="B187" s="1" t="n">
        <v>45372</v>
      </c>
      <c r="C187" s="1" t="n">
        <v>45850</v>
      </c>
      <c r="D187" t="inlineStr">
        <is>
          <t>JÄMTLANDS LÄN</t>
        </is>
      </c>
      <c r="E187" t="inlineStr">
        <is>
          <t>ÖSTERSUND</t>
        </is>
      </c>
      <c r="G187" t="n">
        <v>21.2</v>
      </c>
      <c r="H187" t="n">
        <v>0</v>
      </c>
      <c r="I187" t="n">
        <v>1</v>
      </c>
      <c r="J187" t="n">
        <v>0</v>
      </c>
      <c r="K187" t="n">
        <v>0</v>
      </c>
      <c r="L187" t="n">
        <v>0</v>
      </c>
      <c r="M187" t="n">
        <v>0</v>
      </c>
      <c r="N187" t="n">
        <v>0</v>
      </c>
      <c r="O187" t="n">
        <v>0</v>
      </c>
      <c r="P187" t="n">
        <v>0</v>
      </c>
      <c r="Q187" t="n">
        <v>1</v>
      </c>
      <c r="R187" s="2" t="inlineStr">
        <is>
          <t>Tibast</t>
        </is>
      </c>
      <c r="S187">
        <f>HYPERLINK("https://klasma.github.io/Logging_2380/artfynd/A 11513-2024 artfynd.xlsx", "A 11513-2024")</f>
        <v/>
      </c>
      <c r="T187">
        <f>HYPERLINK("https://klasma.github.io/Logging_2380/kartor/A 11513-2024 karta.png", "A 11513-2024")</f>
        <v/>
      </c>
      <c r="V187">
        <f>HYPERLINK("https://klasma.github.io/Logging_2380/klagomål/A 11513-2024 FSC-klagomål.docx", "A 11513-2024")</f>
        <v/>
      </c>
      <c r="W187">
        <f>HYPERLINK("https://klasma.github.io/Logging_2380/klagomålsmail/A 11513-2024 FSC-klagomål mail.docx", "A 11513-2024")</f>
        <v/>
      </c>
      <c r="X187">
        <f>HYPERLINK("https://klasma.github.io/Logging_2380/tillsyn/A 11513-2024 tillsynsbegäran.docx", "A 11513-2024")</f>
        <v/>
      </c>
      <c r="Y187">
        <f>HYPERLINK("https://klasma.github.io/Logging_2380/tillsynsmail/A 11513-2024 tillsynsbegäran mail.docx", "A 11513-2024")</f>
        <v/>
      </c>
    </row>
    <row r="188" ht="15" customHeight="1">
      <c r="A188" t="inlineStr">
        <is>
          <t>A 15090-2024</t>
        </is>
      </c>
      <c r="B188" s="1" t="n">
        <v>45399</v>
      </c>
      <c r="C188" s="1" t="n">
        <v>45850</v>
      </c>
      <c r="D188" t="inlineStr">
        <is>
          <t>JÄMTLANDS LÄN</t>
        </is>
      </c>
      <c r="E188" t="inlineStr">
        <is>
          <t>ÖSTERSUND</t>
        </is>
      </c>
      <c r="G188" t="n">
        <v>18</v>
      </c>
      <c r="H188" t="n">
        <v>0</v>
      </c>
      <c r="I188" t="n">
        <v>1</v>
      </c>
      <c r="J188" t="n">
        <v>0</v>
      </c>
      <c r="K188" t="n">
        <v>0</v>
      </c>
      <c r="L188" t="n">
        <v>0</v>
      </c>
      <c r="M188" t="n">
        <v>0</v>
      </c>
      <c r="N188" t="n">
        <v>0</v>
      </c>
      <c r="O188" t="n">
        <v>0</v>
      </c>
      <c r="P188" t="n">
        <v>0</v>
      </c>
      <c r="Q188" t="n">
        <v>1</v>
      </c>
      <c r="R188" s="2" t="inlineStr">
        <is>
          <t>Svavelriska</t>
        </is>
      </c>
      <c r="S188">
        <f>HYPERLINK("https://klasma.github.io/Logging_2380/artfynd/A 15090-2024 artfynd.xlsx", "A 15090-2024")</f>
        <v/>
      </c>
      <c r="T188">
        <f>HYPERLINK("https://klasma.github.io/Logging_2380/kartor/A 15090-2024 karta.png", "A 15090-2024")</f>
        <v/>
      </c>
      <c r="V188">
        <f>HYPERLINK("https://klasma.github.io/Logging_2380/klagomål/A 15090-2024 FSC-klagomål.docx", "A 15090-2024")</f>
        <v/>
      </c>
      <c r="W188">
        <f>HYPERLINK("https://klasma.github.io/Logging_2380/klagomålsmail/A 15090-2024 FSC-klagomål mail.docx", "A 15090-2024")</f>
        <v/>
      </c>
      <c r="X188">
        <f>HYPERLINK("https://klasma.github.io/Logging_2380/tillsyn/A 15090-2024 tillsynsbegäran.docx", "A 15090-2024")</f>
        <v/>
      </c>
      <c r="Y188">
        <f>HYPERLINK("https://klasma.github.io/Logging_2380/tillsynsmail/A 15090-2024 tillsynsbegäran mail.docx", "A 15090-2024")</f>
        <v/>
      </c>
    </row>
    <row r="189" ht="15" customHeight="1">
      <c r="A189" t="inlineStr">
        <is>
          <t>A 18951-2024</t>
        </is>
      </c>
      <c r="B189" s="1" t="n">
        <v>45427</v>
      </c>
      <c r="C189" s="1" t="n">
        <v>45850</v>
      </c>
      <c r="D189" t="inlineStr">
        <is>
          <t>JÄMTLANDS LÄN</t>
        </is>
      </c>
      <c r="E189" t="inlineStr">
        <is>
          <t>ÖSTERSUND</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HYPERLINK("https://klasma.github.io/Logging_2380/artfynd/A 18951-2024 artfynd.xlsx", "A 18951-2024")</f>
        <v/>
      </c>
      <c r="T189">
        <f>HYPERLINK("https://klasma.github.io/Logging_2380/kartor/A 18951-2024 karta.png", "A 18951-2024")</f>
        <v/>
      </c>
      <c r="V189">
        <f>HYPERLINK("https://klasma.github.io/Logging_2380/klagomål/A 18951-2024 FSC-klagomål.docx", "A 18951-2024")</f>
        <v/>
      </c>
      <c r="W189">
        <f>HYPERLINK("https://klasma.github.io/Logging_2380/klagomålsmail/A 18951-2024 FSC-klagomål mail.docx", "A 18951-2024")</f>
        <v/>
      </c>
      <c r="X189">
        <f>HYPERLINK("https://klasma.github.io/Logging_2380/tillsyn/A 18951-2024 tillsynsbegäran.docx", "A 18951-2024")</f>
        <v/>
      </c>
      <c r="Y189">
        <f>HYPERLINK("https://klasma.github.io/Logging_2380/tillsynsmail/A 18951-2024 tillsynsbegäran mail.docx", "A 18951-2024")</f>
        <v/>
      </c>
    </row>
    <row r="190" ht="15" customHeight="1">
      <c r="A190" t="inlineStr">
        <is>
          <t>A 21614-2024</t>
        </is>
      </c>
      <c r="B190" s="1" t="n">
        <v>45442</v>
      </c>
      <c r="C190" s="1" t="n">
        <v>45850</v>
      </c>
      <c r="D190" t="inlineStr">
        <is>
          <t>JÄMTLANDS LÄN</t>
        </is>
      </c>
      <c r="E190" t="inlineStr">
        <is>
          <t>ÖSTERSUND</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HYPERLINK("https://klasma.github.io/Logging_2380/artfynd/A 21614-2024 artfynd.xlsx", "A 21614-2024")</f>
        <v/>
      </c>
      <c r="T190">
        <f>HYPERLINK("https://klasma.github.io/Logging_2380/kartor/A 21614-2024 karta.png", "A 21614-2024")</f>
        <v/>
      </c>
      <c r="U190">
        <f>HYPERLINK("https://klasma.github.io/Logging_2380/knärot/A 21614-2024 karta knärot.png", "A 21614-2024")</f>
        <v/>
      </c>
      <c r="V190">
        <f>HYPERLINK("https://klasma.github.io/Logging_2380/klagomål/A 21614-2024 FSC-klagomål.docx", "A 21614-2024")</f>
        <v/>
      </c>
      <c r="W190">
        <f>HYPERLINK("https://klasma.github.io/Logging_2380/klagomålsmail/A 21614-2024 FSC-klagomål mail.docx", "A 21614-2024")</f>
        <v/>
      </c>
      <c r="X190">
        <f>HYPERLINK("https://klasma.github.io/Logging_2380/tillsyn/A 21614-2024 tillsynsbegäran.docx", "A 21614-2024")</f>
        <v/>
      </c>
      <c r="Y190">
        <f>HYPERLINK("https://klasma.github.io/Logging_2380/tillsynsmail/A 21614-2024 tillsynsbegäran mail.docx", "A 21614-2024")</f>
        <v/>
      </c>
    </row>
    <row r="191" ht="15" customHeight="1">
      <c r="A191" t="inlineStr">
        <is>
          <t>A 31883-2024</t>
        </is>
      </c>
      <c r="B191" s="1" t="n">
        <v>45510</v>
      </c>
      <c r="C191" s="1" t="n">
        <v>45850</v>
      </c>
      <c r="D191" t="inlineStr">
        <is>
          <t>JÄMTLANDS LÄN</t>
        </is>
      </c>
      <c r="E191" t="inlineStr">
        <is>
          <t>ÖSTERSUND</t>
        </is>
      </c>
      <c r="F191" t="inlineStr">
        <is>
          <t>SCA</t>
        </is>
      </c>
      <c r="G191" t="n">
        <v>3.3</v>
      </c>
      <c r="H191" t="n">
        <v>1</v>
      </c>
      <c r="I191" t="n">
        <v>0</v>
      </c>
      <c r="J191" t="n">
        <v>0</v>
      </c>
      <c r="K191" t="n">
        <v>1</v>
      </c>
      <c r="L191" t="n">
        <v>0</v>
      </c>
      <c r="M191" t="n">
        <v>0</v>
      </c>
      <c r="N191" t="n">
        <v>0</v>
      </c>
      <c r="O191" t="n">
        <v>1</v>
      </c>
      <c r="P191" t="n">
        <v>1</v>
      </c>
      <c r="Q191" t="n">
        <v>1</v>
      </c>
      <c r="R191" s="2" t="inlineStr">
        <is>
          <t>Doftticka</t>
        </is>
      </c>
      <c r="S191">
        <f>HYPERLINK("https://klasma.github.io/Logging_2380/artfynd/A 31883-2024 artfynd.xlsx", "A 31883-2024")</f>
        <v/>
      </c>
      <c r="T191">
        <f>HYPERLINK("https://klasma.github.io/Logging_2380/kartor/A 31883-2024 karta.png", "A 31883-2024")</f>
        <v/>
      </c>
      <c r="V191">
        <f>HYPERLINK("https://klasma.github.io/Logging_2380/klagomål/A 31883-2024 FSC-klagomål.docx", "A 31883-2024")</f>
        <v/>
      </c>
      <c r="W191">
        <f>HYPERLINK("https://klasma.github.io/Logging_2380/klagomålsmail/A 31883-2024 FSC-klagomål mail.docx", "A 31883-2024")</f>
        <v/>
      </c>
      <c r="X191">
        <f>HYPERLINK("https://klasma.github.io/Logging_2380/tillsyn/A 31883-2024 tillsynsbegäran.docx", "A 31883-2024")</f>
        <v/>
      </c>
      <c r="Y191">
        <f>HYPERLINK("https://klasma.github.io/Logging_2380/tillsynsmail/A 31883-2024 tillsynsbegäran mail.docx", "A 31883-2024")</f>
        <v/>
      </c>
    </row>
    <row r="192" ht="15" customHeight="1">
      <c r="A192" t="inlineStr">
        <is>
          <t>A 35422-2024</t>
        </is>
      </c>
      <c r="B192" s="1" t="n">
        <v>45531</v>
      </c>
      <c r="C192" s="1" t="n">
        <v>45850</v>
      </c>
      <c r="D192" t="inlineStr">
        <is>
          <t>JÄMTLANDS LÄN</t>
        </is>
      </c>
      <c r="E192" t="inlineStr">
        <is>
          <t>ÖSTERSUND</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HYPERLINK("https://klasma.github.io/Logging_2380/artfynd/A 35422-2024 artfynd.xlsx", "A 35422-2024")</f>
        <v/>
      </c>
      <c r="T192">
        <f>HYPERLINK("https://klasma.github.io/Logging_2380/kartor/A 35422-2024 karta.png", "A 35422-2024")</f>
        <v/>
      </c>
      <c r="V192">
        <f>HYPERLINK("https://klasma.github.io/Logging_2380/klagomål/A 35422-2024 FSC-klagomål.docx", "A 35422-2024")</f>
        <v/>
      </c>
      <c r="W192">
        <f>HYPERLINK("https://klasma.github.io/Logging_2380/klagomålsmail/A 35422-2024 FSC-klagomål mail.docx", "A 35422-2024")</f>
        <v/>
      </c>
      <c r="X192">
        <f>HYPERLINK("https://klasma.github.io/Logging_2380/tillsyn/A 35422-2024 tillsynsbegäran.docx", "A 35422-2024")</f>
        <v/>
      </c>
      <c r="Y192">
        <f>HYPERLINK("https://klasma.github.io/Logging_2380/tillsynsmail/A 35422-2024 tillsynsbegäran mail.docx", "A 35422-2024")</f>
        <v/>
      </c>
    </row>
    <row r="193" ht="15" customHeight="1">
      <c r="A193" t="inlineStr">
        <is>
          <t>A 35421-2024</t>
        </is>
      </c>
      <c r="B193" s="1" t="n">
        <v>45531</v>
      </c>
      <c r="C193" s="1" t="n">
        <v>45850</v>
      </c>
      <c r="D193" t="inlineStr">
        <is>
          <t>JÄMTLANDS LÄN</t>
        </is>
      </c>
      <c r="E193" t="inlineStr">
        <is>
          <t>ÖSTERSUND</t>
        </is>
      </c>
      <c r="F193" t="inlineStr">
        <is>
          <t>SCA</t>
        </is>
      </c>
      <c r="G193" t="n">
        <v>1.6</v>
      </c>
      <c r="H193" t="n">
        <v>0</v>
      </c>
      <c r="I193" t="n">
        <v>1</v>
      </c>
      <c r="J193" t="n">
        <v>0</v>
      </c>
      <c r="K193" t="n">
        <v>0</v>
      </c>
      <c r="L193" t="n">
        <v>0</v>
      </c>
      <c r="M193" t="n">
        <v>0</v>
      </c>
      <c r="N193" t="n">
        <v>0</v>
      </c>
      <c r="O193" t="n">
        <v>0</v>
      </c>
      <c r="P193" t="n">
        <v>0</v>
      </c>
      <c r="Q193" t="n">
        <v>1</v>
      </c>
      <c r="R193" s="2" t="inlineStr">
        <is>
          <t>Dropptaggsvamp</t>
        </is>
      </c>
      <c r="S193">
        <f>HYPERLINK("https://klasma.github.io/Logging_2380/artfynd/A 35421-2024 artfynd.xlsx", "A 35421-2024")</f>
        <v/>
      </c>
      <c r="T193">
        <f>HYPERLINK("https://klasma.github.io/Logging_2380/kartor/A 35421-2024 karta.png", "A 35421-2024")</f>
        <v/>
      </c>
      <c r="V193">
        <f>HYPERLINK("https://klasma.github.io/Logging_2380/klagomål/A 35421-2024 FSC-klagomål.docx", "A 35421-2024")</f>
        <v/>
      </c>
      <c r="W193">
        <f>HYPERLINK("https://klasma.github.io/Logging_2380/klagomålsmail/A 35421-2024 FSC-klagomål mail.docx", "A 35421-2024")</f>
        <v/>
      </c>
      <c r="X193">
        <f>HYPERLINK("https://klasma.github.io/Logging_2380/tillsyn/A 35421-2024 tillsynsbegäran.docx", "A 35421-2024")</f>
        <v/>
      </c>
      <c r="Y193">
        <f>HYPERLINK("https://klasma.github.io/Logging_2380/tillsynsmail/A 35421-2024 tillsynsbegäran mail.docx", "A 35421-2024")</f>
        <v/>
      </c>
    </row>
    <row r="194" ht="15" customHeight="1">
      <c r="A194" t="inlineStr">
        <is>
          <t>A 36472-2024</t>
        </is>
      </c>
      <c r="B194" s="1" t="n">
        <v>45537</v>
      </c>
      <c r="C194" s="1" t="n">
        <v>45850</v>
      </c>
      <c r="D194" t="inlineStr">
        <is>
          <t>JÄMTLANDS LÄN</t>
        </is>
      </c>
      <c r="E194" t="inlineStr">
        <is>
          <t>ÖSTERSUND</t>
        </is>
      </c>
      <c r="F194" t="inlineStr">
        <is>
          <t>SCA</t>
        </is>
      </c>
      <c r="G194" t="n">
        <v>2.1</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36472-2024 artfynd.xlsx", "A 36472-2024")</f>
        <v/>
      </c>
      <c r="T194">
        <f>HYPERLINK("https://klasma.github.io/Logging_2380/kartor/A 36472-2024 karta.png", "A 36472-2024")</f>
        <v/>
      </c>
      <c r="V194">
        <f>HYPERLINK("https://klasma.github.io/Logging_2380/klagomål/A 36472-2024 FSC-klagomål.docx", "A 36472-2024")</f>
        <v/>
      </c>
      <c r="W194">
        <f>HYPERLINK("https://klasma.github.io/Logging_2380/klagomålsmail/A 36472-2024 FSC-klagomål mail.docx", "A 36472-2024")</f>
        <v/>
      </c>
      <c r="X194">
        <f>HYPERLINK("https://klasma.github.io/Logging_2380/tillsyn/A 36472-2024 tillsynsbegäran.docx", "A 36472-2024")</f>
        <v/>
      </c>
      <c r="Y194">
        <f>HYPERLINK("https://klasma.github.io/Logging_2380/tillsynsmail/A 36472-2024 tillsynsbegäran mail.docx", "A 36472-2024")</f>
        <v/>
      </c>
    </row>
    <row r="195" ht="15" customHeight="1">
      <c r="A195" t="inlineStr">
        <is>
          <t>A 40694-2024</t>
        </is>
      </c>
      <c r="B195" s="1" t="n">
        <v>45558</v>
      </c>
      <c r="C195" s="1" t="n">
        <v>45850</v>
      </c>
      <c r="D195" t="inlineStr">
        <is>
          <t>JÄMTLANDS LÄN</t>
        </is>
      </c>
      <c r="E195" t="inlineStr">
        <is>
          <t>ÖSTERSUND</t>
        </is>
      </c>
      <c r="F195" t="inlineStr">
        <is>
          <t>SCA</t>
        </is>
      </c>
      <c r="G195" t="n">
        <v>6.2</v>
      </c>
      <c r="H195" t="n">
        <v>0</v>
      </c>
      <c r="I195" t="n">
        <v>0</v>
      </c>
      <c r="J195" t="n">
        <v>1</v>
      </c>
      <c r="K195" t="n">
        <v>0</v>
      </c>
      <c r="L195" t="n">
        <v>0</v>
      </c>
      <c r="M195" t="n">
        <v>0</v>
      </c>
      <c r="N195" t="n">
        <v>0</v>
      </c>
      <c r="O195" t="n">
        <v>1</v>
      </c>
      <c r="P195" t="n">
        <v>0</v>
      </c>
      <c r="Q195" t="n">
        <v>1</v>
      </c>
      <c r="R195" s="2" t="inlineStr">
        <is>
          <t>Reliktbock</t>
        </is>
      </c>
      <c r="S195">
        <f>HYPERLINK("https://klasma.github.io/Logging_2380/artfynd/A 40694-2024 artfynd.xlsx", "A 40694-2024")</f>
        <v/>
      </c>
      <c r="T195">
        <f>HYPERLINK("https://klasma.github.io/Logging_2380/kartor/A 40694-2024 karta.png", "A 40694-2024")</f>
        <v/>
      </c>
      <c r="V195">
        <f>HYPERLINK("https://klasma.github.io/Logging_2380/klagomål/A 40694-2024 FSC-klagomål.docx", "A 40694-2024")</f>
        <v/>
      </c>
      <c r="W195">
        <f>HYPERLINK("https://klasma.github.io/Logging_2380/klagomålsmail/A 40694-2024 FSC-klagomål mail.docx", "A 40694-2024")</f>
        <v/>
      </c>
      <c r="X195">
        <f>HYPERLINK("https://klasma.github.io/Logging_2380/tillsyn/A 40694-2024 tillsynsbegäran.docx", "A 40694-2024")</f>
        <v/>
      </c>
      <c r="Y195">
        <f>HYPERLINK("https://klasma.github.io/Logging_2380/tillsynsmail/A 40694-2024 tillsynsbegäran mail.docx", "A 40694-2024")</f>
        <v/>
      </c>
    </row>
    <row r="196" ht="15" customHeight="1">
      <c r="A196" t="inlineStr">
        <is>
          <t>A 40692-2024</t>
        </is>
      </c>
      <c r="B196" s="1" t="n">
        <v>45558</v>
      </c>
      <c r="C196" s="1" t="n">
        <v>45850</v>
      </c>
      <c r="D196" t="inlineStr">
        <is>
          <t>JÄMTLANDS LÄN</t>
        </is>
      </c>
      <c r="E196" t="inlineStr">
        <is>
          <t>ÖSTERSUND</t>
        </is>
      </c>
      <c r="F196" t="inlineStr">
        <is>
          <t>SCA</t>
        </is>
      </c>
      <c r="G196" t="n">
        <v>0.9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40692-2024 artfynd.xlsx", "A 40692-2024")</f>
        <v/>
      </c>
      <c r="T196">
        <f>HYPERLINK("https://klasma.github.io/Logging_2380/kartor/A 40692-2024 karta.png", "A 40692-2024")</f>
        <v/>
      </c>
      <c r="V196">
        <f>HYPERLINK("https://klasma.github.io/Logging_2380/klagomål/A 40692-2024 FSC-klagomål.docx", "A 40692-2024")</f>
        <v/>
      </c>
      <c r="W196">
        <f>HYPERLINK("https://klasma.github.io/Logging_2380/klagomålsmail/A 40692-2024 FSC-klagomål mail.docx", "A 40692-2024")</f>
        <v/>
      </c>
      <c r="X196">
        <f>HYPERLINK("https://klasma.github.io/Logging_2380/tillsyn/A 40692-2024 tillsynsbegäran.docx", "A 40692-2024")</f>
        <v/>
      </c>
      <c r="Y196">
        <f>HYPERLINK("https://klasma.github.io/Logging_2380/tillsynsmail/A 40692-2024 tillsynsbegäran mail.docx", "A 40692-2024")</f>
        <v/>
      </c>
    </row>
    <row r="197" ht="15" customHeight="1">
      <c r="A197" t="inlineStr">
        <is>
          <t>A 40696-2024</t>
        </is>
      </c>
      <c r="B197" s="1" t="n">
        <v>45558</v>
      </c>
      <c r="C197" s="1" t="n">
        <v>45850</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41312-2024</t>
        </is>
      </c>
      <c r="B198" s="1" t="n">
        <v>45559</v>
      </c>
      <c r="C198" s="1" t="n">
        <v>45850</v>
      </c>
      <c r="D198" t="inlineStr">
        <is>
          <t>JÄMTLANDS LÄN</t>
        </is>
      </c>
      <c r="E198" t="inlineStr">
        <is>
          <t>ÖSTERSUND</t>
        </is>
      </c>
      <c r="F198" t="inlineStr">
        <is>
          <t>SCA</t>
        </is>
      </c>
      <c r="G198" t="n">
        <v>2.6</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41312-2024 artfynd.xlsx", "A 41312-2024")</f>
        <v/>
      </c>
      <c r="T198">
        <f>HYPERLINK("https://klasma.github.io/Logging_2380/kartor/A 41312-2024 karta.png", "A 41312-2024")</f>
        <v/>
      </c>
      <c r="V198">
        <f>HYPERLINK("https://klasma.github.io/Logging_2380/klagomål/A 41312-2024 FSC-klagomål.docx", "A 41312-2024")</f>
        <v/>
      </c>
      <c r="W198">
        <f>HYPERLINK("https://klasma.github.io/Logging_2380/klagomålsmail/A 41312-2024 FSC-klagomål mail.docx", "A 41312-2024")</f>
        <v/>
      </c>
      <c r="X198">
        <f>HYPERLINK("https://klasma.github.io/Logging_2380/tillsyn/A 41312-2024 tillsynsbegäran.docx", "A 41312-2024")</f>
        <v/>
      </c>
      <c r="Y198">
        <f>HYPERLINK("https://klasma.github.io/Logging_2380/tillsynsmail/A 41312-2024 tillsynsbegäran mail.docx", "A 41312-2024")</f>
        <v/>
      </c>
    </row>
    <row r="199" ht="15" customHeight="1">
      <c r="A199" t="inlineStr">
        <is>
          <t>A 41275-2024</t>
        </is>
      </c>
      <c r="B199" s="1" t="n">
        <v>45559</v>
      </c>
      <c r="C199" s="1" t="n">
        <v>45850</v>
      </c>
      <c r="D199" t="inlineStr">
        <is>
          <t>JÄMTLANDS LÄN</t>
        </is>
      </c>
      <c r="E199" t="inlineStr">
        <is>
          <t>ÖSTERSUND</t>
        </is>
      </c>
      <c r="F199" t="inlineStr">
        <is>
          <t>SCA</t>
        </is>
      </c>
      <c r="G199" t="n">
        <v>3.3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41275-2024 artfynd.xlsx", "A 41275-2024")</f>
        <v/>
      </c>
      <c r="T199">
        <f>HYPERLINK("https://klasma.github.io/Logging_2380/kartor/A 41275-2024 karta.png", "A 41275-2024")</f>
        <v/>
      </c>
      <c r="V199">
        <f>HYPERLINK("https://klasma.github.io/Logging_2380/klagomål/A 41275-2024 FSC-klagomål.docx", "A 41275-2024")</f>
        <v/>
      </c>
      <c r="W199">
        <f>HYPERLINK("https://klasma.github.io/Logging_2380/klagomålsmail/A 41275-2024 FSC-klagomål mail.docx", "A 41275-2024")</f>
        <v/>
      </c>
      <c r="X199">
        <f>HYPERLINK("https://klasma.github.io/Logging_2380/tillsyn/A 41275-2024 tillsynsbegäran.docx", "A 41275-2024")</f>
        <v/>
      </c>
      <c r="Y199">
        <f>HYPERLINK("https://klasma.github.io/Logging_2380/tillsynsmail/A 41275-2024 tillsynsbegäran mail.docx", "A 41275-2024")</f>
        <v/>
      </c>
    </row>
    <row r="200" ht="15" customHeight="1">
      <c r="A200" t="inlineStr">
        <is>
          <t>A 41279-2024</t>
        </is>
      </c>
      <c r="B200" s="1" t="n">
        <v>45559</v>
      </c>
      <c r="C200" s="1" t="n">
        <v>45850</v>
      </c>
      <c r="D200" t="inlineStr">
        <is>
          <t>JÄMTLANDS LÄN</t>
        </is>
      </c>
      <c r="E200" t="inlineStr">
        <is>
          <t>ÖSTERSUND</t>
        </is>
      </c>
      <c r="F200" t="inlineStr">
        <is>
          <t>SCA</t>
        </is>
      </c>
      <c r="G200" t="n">
        <v>1.6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41279-2024 artfynd.xlsx", "A 41279-2024")</f>
        <v/>
      </c>
      <c r="T200">
        <f>HYPERLINK("https://klasma.github.io/Logging_2380/kartor/A 41279-2024 karta.png", "A 41279-2024")</f>
        <v/>
      </c>
      <c r="V200">
        <f>HYPERLINK("https://klasma.github.io/Logging_2380/klagomål/A 41279-2024 FSC-klagomål.docx", "A 41279-2024")</f>
        <v/>
      </c>
      <c r="W200">
        <f>HYPERLINK("https://klasma.github.io/Logging_2380/klagomålsmail/A 41279-2024 FSC-klagomål mail.docx", "A 41279-2024")</f>
        <v/>
      </c>
      <c r="X200">
        <f>HYPERLINK("https://klasma.github.io/Logging_2380/tillsyn/A 41279-2024 tillsynsbegäran.docx", "A 41279-2024")</f>
        <v/>
      </c>
      <c r="Y200">
        <f>HYPERLINK("https://klasma.github.io/Logging_2380/tillsynsmail/A 41279-2024 tillsynsbegäran mail.docx", "A 41279-2024")</f>
        <v/>
      </c>
    </row>
    <row r="201" ht="15" customHeight="1">
      <c r="A201" t="inlineStr">
        <is>
          <t>A 41286-2024</t>
        </is>
      </c>
      <c r="B201" s="1" t="n">
        <v>45559</v>
      </c>
      <c r="C201" s="1" t="n">
        <v>45850</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41286-2024 artfynd.xlsx", "A 41286-2024")</f>
        <v/>
      </c>
      <c r="T201">
        <f>HYPERLINK("https://klasma.github.io/Logging_2380/kartor/A 41286-2024 karta.png", "A 41286-2024")</f>
        <v/>
      </c>
      <c r="V201">
        <f>HYPERLINK("https://klasma.github.io/Logging_2380/klagomål/A 41286-2024 FSC-klagomål.docx", "A 41286-2024")</f>
        <v/>
      </c>
      <c r="W201">
        <f>HYPERLINK("https://klasma.github.io/Logging_2380/klagomålsmail/A 41286-2024 FSC-klagomål mail.docx", "A 41286-2024")</f>
        <v/>
      </c>
      <c r="X201">
        <f>HYPERLINK("https://klasma.github.io/Logging_2380/tillsyn/A 41286-2024 tillsynsbegäran.docx", "A 41286-2024")</f>
        <v/>
      </c>
      <c r="Y201">
        <f>HYPERLINK("https://klasma.github.io/Logging_2380/tillsynsmail/A 41286-2024 tillsynsbegäran mail.docx", "A 41286-2024")</f>
        <v/>
      </c>
    </row>
    <row r="202" ht="15" customHeight="1">
      <c r="A202" t="inlineStr">
        <is>
          <t>A 41755-2024</t>
        </is>
      </c>
      <c r="B202" s="1" t="n">
        <v>45561</v>
      </c>
      <c r="C202" s="1" t="n">
        <v>45850</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41755-2024 artfynd.xlsx", "A 41755-2024")</f>
        <v/>
      </c>
      <c r="T202">
        <f>HYPERLINK("https://klasma.github.io/Logging_2380/kartor/A 41755-2024 karta.png", "A 41755-2024")</f>
        <v/>
      </c>
      <c r="V202">
        <f>HYPERLINK("https://klasma.github.io/Logging_2380/klagomål/A 41755-2024 FSC-klagomål.docx", "A 41755-2024")</f>
        <v/>
      </c>
      <c r="W202">
        <f>HYPERLINK("https://klasma.github.io/Logging_2380/klagomålsmail/A 41755-2024 FSC-klagomål mail.docx", "A 41755-2024")</f>
        <v/>
      </c>
      <c r="X202">
        <f>HYPERLINK("https://klasma.github.io/Logging_2380/tillsyn/A 41755-2024 tillsynsbegäran.docx", "A 41755-2024")</f>
        <v/>
      </c>
      <c r="Y202">
        <f>HYPERLINK("https://klasma.github.io/Logging_2380/tillsynsmail/A 41755-2024 tillsynsbegäran mail.docx", "A 41755-2024")</f>
        <v/>
      </c>
    </row>
    <row r="203" ht="15" customHeight="1">
      <c r="A203" t="inlineStr">
        <is>
          <t>A 41762-2024</t>
        </is>
      </c>
      <c r="B203" s="1" t="n">
        <v>45561</v>
      </c>
      <c r="C203" s="1" t="n">
        <v>45850</v>
      </c>
      <c r="D203" t="inlineStr">
        <is>
          <t>JÄMTLANDS LÄN</t>
        </is>
      </c>
      <c r="E203" t="inlineStr">
        <is>
          <t>ÖSTERSUND</t>
        </is>
      </c>
      <c r="F203" t="inlineStr">
        <is>
          <t>SCA</t>
        </is>
      </c>
      <c r="G203" t="n">
        <v>5.9</v>
      </c>
      <c r="H203" t="n">
        <v>0</v>
      </c>
      <c r="I203" t="n">
        <v>1</v>
      </c>
      <c r="J203" t="n">
        <v>0</v>
      </c>
      <c r="K203" t="n">
        <v>0</v>
      </c>
      <c r="L203" t="n">
        <v>0</v>
      </c>
      <c r="M203" t="n">
        <v>0</v>
      </c>
      <c r="N203" t="n">
        <v>0</v>
      </c>
      <c r="O203" t="n">
        <v>0</v>
      </c>
      <c r="P203" t="n">
        <v>0</v>
      </c>
      <c r="Q203" t="n">
        <v>1</v>
      </c>
      <c r="R203" s="2" t="inlineStr">
        <is>
          <t>Dropptaggsvamp</t>
        </is>
      </c>
      <c r="S203">
        <f>HYPERLINK("https://klasma.github.io/Logging_2380/artfynd/A 41762-2024 artfynd.xlsx", "A 41762-2024")</f>
        <v/>
      </c>
      <c r="T203">
        <f>HYPERLINK("https://klasma.github.io/Logging_2380/kartor/A 41762-2024 karta.png", "A 41762-2024")</f>
        <v/>
      </c>
      <c r="V203">
        <f>HYPERLINK("https://klasma.github.io/Logging_2380/klagomål/A 41762-2024 FSC-klagomål.docx", "A 41762-2024")</f>
        <v/>
      </c>
      <c r="W203">
        <f>HYPERLINK("https://klasma.github.io/Logging_2380/klagomålsmail/A 41762-2024 FSC-klagomål mail.docx", "A 41762-2024")</f>
        <v/>
      </c>
      <c r="X203">
        <f>HYPERLINK("https://klasma.github.io/Logging_2380/tillsyn/A 41762-2024 tillsynsbegäran.docx", "A 41762-2024")</f>
        <v/>
      </c>
      <c r="Y203">
        <f>HYPERLINK("https://klasma.github.io/Logging_2380/tillsynsmail/A 41762-2024 tillsynsbegäran mail.docx", "A 41762-2024")</f>
        <v/>
      </c>
    </row>
    <row r="204" ht="15" customHeight="1">
      <c r="A204" t="inlineStr">
        <is>
          <t>A 41770-2024</t>
        </is>
      </c>
      <c r="B204" s="1" t="n">
        <v>45561</v>
      </c>
      <c r="C204" s="1" t="n">
        <v>45850</v>
      </c>
      <c r="D204" t="inlineStr">
        <is>
          <t>JÄMTLANDS LÄN</t>
        </is>
      </c>
      <c r="E204" t="inlineStr">
        <is>
          <t>ÖSTERSUND</t>
        </is>
      </c>
      <c r="F204" t="inlineStr">
        <is>
          <t>SCA</t>
        </is>
      </c>
      <c r="G204" t="n">
        <v>4.4</v>
      </c>
      <c r="H204" t="n">
        <v>0</v>
      </c>
      <c r="I204" t="n">
        <v>1</v>
      </c>
      <c r="J204" t="n">
        <v>0</v>
      </c>
      <c r="K204" t="n">
        <v>0</v>
      </c>
      <c r="L204" t="n">
        <v>0</v>
      </c>
      <c r="M204" t="n">
        <v>0</v>
      </c>
      <c r="N204" t="n">
        <v>0</v>
      </c>
      <c r="O204" t="n">
        <v>0</v>
      </c>
      <c r="P204" t="n">
        <v>0</v>
      </c>
      <c r="Q204" t="n">
        <v>1</v>
      </c>
      <c r="R204" s="2" t="inlineStr">
        <is>
          <t>Vedticka</t>
        </is>
      </c>
      <c r="S204">
        <f>HYPERLINK("https://klasma.github.io/Logging_2380/artfynd/A 41770-2024 artfynd.xlsx", "A 41770-2024")</f>
        <v/>
      </c>
      <c r="T204">
        <f>HYPERLINK("https://klasma.github.io/Logging_2380/kartor/A 41770-2024 karta.png", "A 41770-2024")</f>
        <v/>
      </c>
      <c r="V204">
        <f>HYPERLINK("https://klasma.github.io/Logging_2380/klagomål/A 41770-2024 FSC-klagomål.docx", "A 41770-2024")</f>
        <v/>
      </c>
      <c r="W204">
        <f>HYPERLINK("https://klasma.github.io/Logging_2380/klagomålsmail/A 41770-2024 FSC-klagomål mail.docx", "A 41770-2024")</f>
        <v/>
      </c>
      <c r="X204">
        <f>HYPERLINK("https://klasma.github.io/Logging_2380/tillsyn/A 41770-2024 tillsynsbegäran.docx", "A 41770-2024")</f>
        <v/>
      </c>
      <c r="Y204">
        <f>HYPERLINK("https://klasma.github.io/Logging_2380/tillsynsmail/A 41770-2024 tillsynsbegäran mail.docx", "A 41770-2024")</f>
        <v/>
      </c>
    </row>
    <row r="205" ht="15" customHeight="1">
      <c r="A205" t="inlineStr">
        <is>
          <t>A 44049-2024</t>
        </is>
      </c>
      <c r="B205" s="1" t="n">
        <v>45572</v>
      </c>
      <c r="C205" s="1" t="n">
        <v>45850</v>
      </c>
      <c r="D205" t="inlineStr">
        <is>
          <t>JÄMTLANDS LÄN</t>
        </is>
      </c>
      <c r="E205" t="inlineStr">
        <is>
          <t>ÖSTERSUND</t>
        </is>
      </c>
      <c r="F205" t="inlineStr">
        <is>
          <t>SCA</t>
        </is>
      </c>
      <c r="G205" t="n">
        <v>4.5</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44049-2024 artfynd.xlsx", "A 44049-2024")</f>
        <v/>
      </c>
      <c r="T205">
        <f>HYPERLINK("https://klasma.github.io/Logging_2380/kartor/A 44049-2024 karta.png", "A 44049-2024")</f>
        <v/>
      </c>
      <c r="V205">
        <f>HYPERLINK("https://klasma.github.io/Logging_2380/klagomål/A 44049-2024 FSC-klagomål.docx", "A 44049-2024")</f>
        <v/>
      </c>
      <c r="W205">
        <f>HYPERLINK("https://klasma.github.io/Logging_2380/klagomålsmail/A 44049-2024 FSC-klagomål mail.docx", "A 44049-2024")</f>
        <v/>
      </c>
      <c r="X205">
        <f>HYPERLINK("https://klasma.github.io/Logging_2380/tillsyn/A 44049-2024 tillsynsbegäran.docx", "A 44049-2024")</f>
        <v/>
      </c>
      <c r="Y205">
        <f>HYPERLINK("https://klasma.github.io/Logging_2380/tillsynsmail/A 44049-2024 tillsynsbegäran mail.docx", "A 44049-2024")</f>
        <v/>
      </c>
    </row>
    <row r="206" ht="15" customHeight="1">
      <c r="A206" t="inlineStr">
        <is>
          <t>A 44737-2024</t>
        </is>
      </c>
      <c r="B206" s="1" t="n">
        <v>45574</v>
      </c>
      <c r="C206" s="1" t="n">
        <v>45850</v>
      </c>
      <c r="D206" t="inlineStr">
        <is>
          <t>JÄMTLANDS LÄN</t>
        </is>
      </c>
      <c r="E206" t="inlineStr">
        <is>
          <t>ÖSTERSUND</t>
        </is>
      </c>
      <c r="F206" t="inlineStr">
        <is>
          <t>SCA</t>
        </is>
      </c>
      <c r="G206" t="n">
        <v>6.3</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44737-2024 artfynd.xlsx", "A 44737-2024")</f>
        <v/>
      </c>
      <c r="T206">
        <f>HYPERLINK("https://klasma.github.io/Logging_2380/kartor/A 44737-2024 karta.png", "A 44737-2024")</f>
        <v/>
      </c>
      <c r="V206">
        <f>HYPERLINK("https://klasma.github.io/Logging_2380/klagomål/A 44737-2024 FSC-klagomål.docx", "A 44737-2024")</f>
        <v/>
      </c>
      <c r="W206">
        <f>HYPERLINK("https://klasma.github.io/Logging_2380/klagomålsmail/A 44737-2024 FSC-klagomål mail.docx", "A 44737-2024")</f>
        <v/>
      </c>
      <c r="X206">
        <f>HYPERLINK("https://klasma.github.io/Logging_2380/tillsyn/A 44737-2024 tillsynsbegäran.docx", "A 44737-2024")</f>
        <v/>
      </c>
      <c r="Y206">
        <f>HYPERLINK("https://klasma.github.io/Logging_2380/tillsynsmail/A 44737-2024 tillsynsbegäran mail.docx", "A 44737-2024")</f>
        <v/>
      </c>
    </row>
    <row r="207" ht="15" customHeight="1">
      <c r="A207" t="inlineStr">
        <is>
          <t>A 45267-2024</t>
        </is>
      </c>
      <c r="B207" s="1" t="n">
        <v>45576</v>
      </c>
      <c r="C207" s="1" t="n">
        <v>45850</v>
      </c>
      <c r="D207" t="inlineStr">
        <is>
          <t>JÄMTLANDS LÄN</t>
        </is>
      </c>
      <c r="E207" t="inlineStr">
        <is>
          <t>ÖSTERSUND</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45267-2024 artfynd.xlsx", "A 45267-2024")</f>
        <v/>
      </c>
      <c r="T207">
        <f>HYPERLINK("https://klasma.github.io/Logging_2380/kartor/A 45267-2024 karta.png", "A 45267-2024")</f>
        <v/>
      </c>
      <c r="V207">
        <f>HYPERLINK("https://klasma.github.io/Logging_2380/klagomål/A 45267-2024 FSC-klagomål.docx", "A 45267-2024")</f>
        <v/>
      </c>
      <c r="W207">
        <f>HYPERLINK("https://klasma.github.io/Logging_2380/klagomålsmail/A 45267-2024 FSC-klagomål mail.docx", "A 45267-2024")</f>
        <v/>
      </c>
      <c r="X207">
        <f>HYPERLINK("https://klasma.github.io/Logging_2380/tillsyn/A 45267-2024 tillsynsbegäran.docx", "A 45267-2024")</f>
        <v/>
      </c>
      <c r="Y207">
        <f>HYPERLINK("https://klasma.github.io/Logging_2380/tillsynsmail/A 45267-2024 tillsynsbegäran mail.docx", "A 45267-2024")</f>
        <v/>
      </c>
      <c r="Z207">
        <f>HYPERLINK("https://klasma.github.io/Logging_2380/fåglar/A 45267-2024 prioriterade fågelarter.docx", "A 45267-2024")</f>
        <v/>
      </c>
    </row>
    <row r="208" ht="15" customHeight="1">
      <c r="A208" t="inlineStr">
        <is>
          <t>A 47176-2024</t>
        </is>
      </c>
      <c r="B208" s="1" t="n">
        <v>45586</v>
      </c>
      <c r="C208" s="1" t="n">
        <v>45850</v>
      </c>
      <c r="D208" t="inlineStr">
        <is>
          <t>JÄMTLANDS LÄN</t>
        </is>
      </c>
      <c r="E208" t="inlineStr">
        <is>
          <t>ÖSTERSUND</t>
        </is>
      </c>
      <c r="F208" t="inlineStr">
        <is>
          <t>SCA</t>
        </is>
      </c>
      <c r="G208" t="n">
        <v>2.9</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47176-2024 artfynd.xlsx", "A 47176-2024")</f>
        <v/>
      </c>
      <c r="T208">
        <f>HYPERLINK("https://klasma.github.io/Logging_2380/kartor/A 47176-2024 karta.png", "A 47176-2024")</f>
        <v/>
      </c>
      <c r="V208">
        <f>HYPERLINK("https://klasma.github.io/Logging_2380/klagomål/A 47176-2024 FSC-klagomål.docx", "A 47176-2024")</f>
        <v/>
      </c>
      <c r="W208">
        <f>HYPERLINK("https://klasma.github.io/Logging_2380/klagomålsmail/A 47176-2024 FSC-klagomål mail.docx", "A 47176-2024")</f>
        <v/>
      </c>
      <c r="X208">
        <f>HYPERLINK("https://klasma.github.io/Logging_2380/tillsyn/A 47176-2024 tillsynsbegäran.docx", "A 47176-2024")</f>
        <v/>
      </c>
      <c r="Y208">
        <f>HYPERLINK("https://klasma.github.io/Logging_2380/tillsynsmail/A 47176-2024 tillsynsbegäran mail.docx", "A 47176-2024")</f>
        <v/>
      </c>
    </row>
    <row r="209" ht="15" customHeight="1">
      <c r="A209" t="inlineStr">
        <is>
          <t>A 54354-2024</t>
        </is>
      </c>
      <c r="B209" s="1" t="n">
        <v>45617</v>
      </c>
      <c r="C209" s="1" t="n">
        <v>45850</v>
      </c>
      <c r="D209" t="inlineStr">
        <is>
          <t>JÄMTLANDS LÄN</t>
        </is>
      </c>
      <c r="E209" t="inlineStr">
        <is>
          <t>ÖSTERSUND</t>
        </is>
      </c>
      <c r="G209" t="n">
        <v>7</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54354-2024 artfynd.xlsx", "A 54354-2024")</f>
        <v/>
      </c>
      <c r="T209">
        <f>HYPERLINK("https://klasma.github.io/Logging_2380/kartor/A 54354-2024 karta.png", "A 54354-2024")</f>
        <v/>
      </c>
      <c r="V209">
        <f>HYPERLINK("https://klasma.github.io/Logging_2380/klagomål/A 54354-2024 FSC-klagomål.docx", "A 54354-2024")</f>
        <v/>
      </c>
      <c r="W209">
        <f>HYPERLINK("https://klasma.github.io/Logging_2380/klagomålsmail/A 54354-2024 FSC-klagomål mail.docx", "A 54354-2024")</f>
        <v/>
      </c>
      <c r="X209">
        <f>HYPERLINK("https://klasma.github.io/Logging_2380/tillsyn/A 54354-2024 tillsynsbegäran.docx", "A 54354-2024")</f>
        <v/>
      </c>
      <c r="Y209">
        <f>HYPERLINK("https://klasma.github.io/Logging_2380/tillsynsmail/A 54354-2024 tillsynsbegäran mail.docx", "A 54354-2024")</f>
        <v/>
      </c>
      <c r="Z209">
        <f>HYPERLINK("https://klasma.github.io/Logging_2380/fåglar/A 54354-2024 prioriterade fågelarter.docx", "A 54354-2024")</f>
        <v/>
      </c>
    </row>
    <row r="210" ht="15" customHeight="1">
      <c r="A210" t="inlineStr">
        <is>
          <t>A 56201-2024</t>
        </is>
      </c>
      <c r="B210" s="1" t="n">
        <v>45624</v>
      </c>
      <c r="C210" s="1" t="n">
        <v>45850</v>
      </c>
      <c r="D210" t="inlineStr">
        <is>
          <t>JÄMTLANDS LÄN</t>
        </is>
      </c>
      <c r="E210" t="inlineStr">
        <is>
          <t>ÖSTERSUND</t>
        </is>
      </c>
      <c r="F210" t="inlineStr">
        <is>
          <t>SCA</t>
        </is>
      </c>
      <c r="G210" t="n">
        <v>5.9</v>
      </c>
      <c r="H210" t="n">
        <v>1</v>
      </c>
      <c r="I210" t="n">
        <v>0</v>
      </c>
      <c r="J210" t="n">
        <v>0</v>
      </c>
      <c r="K210" t="n">
        <v>1</v>
      </c>
      <c r="L210" t="n">
        <v>0</v>
      </c>
      <c r="M210" t="n">
        <v>0</v>
      </c>
      <c r="N210" t="n">
        <v>0</v>
      </c>
      <c r="O210" t="n">
        <v>1</v>
      </c>
      <c r="P210" t="n">
        <v>1</v>
      </c>
      <c r="Q210" t="n">
        <v>1</v>
      </c>
      <c r="R210" s="2" t="inlineStr">
        <is>
          <t>Doftticka</t>
        </is>
      </c>
      <c r="S210">
        <f>HYPERLINK("https://klasma.github.io/Logging_2380/artfynd/A 56201-2024 artfynd.xlsx", "A 56201-2024")</f>
        <v/>
      </c>
      <c r="T210">
        <f>HYPERLINK("https://klasma.github.io/Logging_2380/kartor/A 56201-2024 karta.png", "A 56201-2024")</f>
        <v/>
      </c>
      <c r="V210">
        <f>HYPERLINK("https://klasma.github.io/Logging_2380/klagomål/A 56201-2024 FSC-klagomål.docx", "A 56201-2024")</f>
        <v/>
      </c>
      <c r="W210">
        <f>HYPERLINK("https://klasma.github.io/Logging_2380/klagomålsmail/A 56201-2024 FSC-klagomål mail.docx", "A 56201-2024")</f>
        <v/>
      </c>
      <c r="X210">
        <f>HYPERLINK("https://klasma.github.io/Logging_2380/tillsyn/A 56201-2024 tillsynsbegäran.docx", "A 56201-2024")</f>
        <v/>
      </c>
      <c r="Y210">
        <f>HYPERLINK("https://klasma.github.io/Logging_2380/tillsynsmail/A 56201-2024 tillsynsbegäran mail.docx", "A 56201-2024")</f>
        <v/>
      </c>
    </row>
    <row r="211" ht="15" customHeight="1">
      <c r="A211" t="inlineStr">
        <is>
          <t>A 57065-2024</t>
        </is>
      </c>
      <c r="B211" s="1" t="n">
        <v>45629</v>
      </c>
      <c r="C211" s="1" t="n">
        <v>45850</v>
      </c>
      <c r="D211" t="inlineStr">
        <is>
          <t>JÄMTLANDS LÄN</t>
        </is>
      </c>
      <c r="E211" t="inlineStr">
        <is>
          <t>ÖSTERSUND</t>
        </is>
      </c>
      <c r="F211" t="inlineStr">
        <is>
          <t>SCA</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57065-2024 artfynd.xlsx", "A 57065-2024")</f>
        <v/>
      </c>
      <c r="T211">
        <f>HYPERLINK("https://klasma.github.io/Logging_2380/kartor/A 57065-2024 karta.png", "A 57065-2024")</f>
        <v/>
      </c>
      <c r="V211">
        <f>HYPERLINK("https://klasma.github.io/Logging_2380/klagomål/A 57065-2024 FSC-klagomål.docx", "A 57065-2024")</f>
        <v/>
      </c>
      <c r="W211">
        <f>HYPERLINK("https://klasma.github.io/Logging_2380/klagomålsmail/A 57065-2024 FSC-klagomål mail.docx", "A 57065-2024")</f>
        <v/>
      </c>
      <c r="X211">
        <f>HYPERLINK("https://klasma.github.io/Logging_2380/tillsyn/A 57065-2024 tillsynsbegäran.docx", "A 57065-2024")</f>
        <v/>
      </c>
      <c r="Y211">
        <f>HYPERLINK("https://klasma.github.io/Logging_2380/tillsynsmail/A 57065-2024 tillsynsbegäran mail.docx", "A 57065-2024")</f>
        <v/>
      </c>
      <c r="Z211">
        <f>HYPERLINK("https://klasma.github.io/Logging_2380/fåglar/A 57065-2024 prioriterade fågelarter.docx", "A 57065-2024")</f>
        <v/>
      </c>
    </row>
    <row r="212" ht="15" customHeight="1">
      <c r="A212" t="inlineStr">
        <is>
          <t>A 59108-2024</t>
        </is>
      </c>
      <c r="B212" s="1" t="n">
        <v>45637</v>
      </c>
      <c r="C212" s="1" t="n">
        <v>45850</v>
      </c>
      <c r="D212" t="inlineStr">
        <is>
          <t>JÄMTLANDS LÄN</t>
        </is>
      </c>
      <c r="E212" t="inlineStr">
        <is>
          <t>ÖSTERSUND</t>
        </is>
      </c>
      <c r="F212" t="inlineStr">
        <is>
          <t>SCA</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59108-2024 artfynd.xlsx", "A 59108-2024")</f>
        <v/>
      </c>
      <c r="T212">
        <f>HYPERLINK("https://klasma.github.io/Logging_2380/kartor/A 59108-2024 karta.png", "A 59108-2024")</f>
        <v/>
      </c>
      <c r="V212">
        <f>HYPERLINK("https://klasma.github.io/Logging_2380/klagomål/A 59108-2024 FSC-klagomål.docx", "A 59108-2024")</f>
        <v/>
      </c>
      <c r="W212">
        <f>HYPERLINK("https://klasma.github.io/Logging_2380/klagomålsmail/A 59108-2024 FSC-klagomål mail.docx", "A 59108-2024")</f>
        <v/>
      </c>
      <c r="X212">
        <f>HYPERLINK("https://klasma.github.io/Logging_2380/tillsyn/A 59108-2024 tillsynsbegäran.docx", "A 59108-2024")</f>
        <v/>
      </c>
      <c r="Y212">
        <f>HYPERLINK("https://klasma.github.io/Logging_2380/tillsynsmail/A 59108-2024 tillsynsbegäran mail.docx", "A 59108-2024")</f>
        <v/>
      </c>
      <c r="Z212">
        <f>HYPERLINK("https://klasma.github.io/Logging_2380/fåglar/A 59108-2024 prioriterade fågelarter.docx", "A 59108-2024")</f>
        <v/>
      </c>
    </row>
    <row r="213" ht="15" customHeight="1">
      <c r="A213" t="inlineStr">
        <is>
          <t>A 61179-2024</t>
        </is>
      </c>
      <c r="B213" s="1" t="n">
        <v>45645</v>
      </c>
      <c r="C213" s="1" t="n">
        <v>45850</v>
      </c>
      <c r="D213" t="inlineStr">
        <is>
          <t>JÄMTLANDS LÄN</t>
        </is>
      </c>
      <c r="E213" t="inlineStr">
        <is>
          <t>ÖSTERSUND</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HYPERLINK("https://klasma.github.io/Logging_2380/artfynd/A 61179-2024 artfynd.xlsx", "A 61179-2024")</f>
        <v/>
      </c>
      <c r="T213">
        <f>HYPERLINK("https://klasma.github.io/Logging_2380/kartor/A 61179-2024 karta.png", "A 61179-2024")</f>
        <v/>
      </c>
      <c r="U213">
        <f>HYPERLINK("https://klasma.github.io/Logging_2380/knärot/A 61179-2024 karta knärot.png", "A 61179-2024")</f>
        <v/>
      </c>
      <c r="V213">
        <f>HYPERLINK("https://klasma.github.io/Logging_2380/klagomål/A 61179-2024 FSC-klagomål.docx", "A 61179-2024")</f>
        <v/>
      </c>
      <c r="W213">
        <f>HYPERLINK("https://klasma.github.io/Logging_2380/klagomålsmail/A 61179-2024 FSC-klagomål mail.docx", "A 61179-2024")</f>
        <v/>
      </c>
      <c r="X213">
        <f>HYPERLINK("https://klasma.github.io/Logging_2380/tillsyn/A 61179-2024 tillsynsbegäran.docx", "A 61179-2024")</f>
        <v/>
      </c>
      <c r="Y213">
        <f>HYPERLINK("https://klasma.github.io/Logging_2380/tillsynsmail/A 61179-2024 tillsynsbegäran mail.docx", "A 61179-2024")</f>
        <v/>
      </c>
    </row>
    <row r="214" ht="15" customHeight="1">
      <c r="A214" t="inlineStr">
        <is>
          <t>A 3995-2025</t>
        </is>
      </c>
      <c r="B214" s="1" t="n">
        <v>45684</v>
      </c>
      <c r="C214" s="1" t="n">
        <v>45850</v>
      </c>
      <c r="D214" t="inlineStr">
        <is>
          <t>JÄMTLANDS LÄN</t>
        </is>
      </c>
      <c r="E214" t="inlineStr">
        <is>
          <t>ÖSTERSUND</t>
        </is>
      </c>
      <c r="G214" t="n">
        <v>6.5</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3995-2025 artfynd.xlsx", "A 3995-2025")</f>
        <v/>
      </c>
      <c r="T214">
        <f>HYPERLINK("https://klasma.github.io/Logging_2380/kartor/A 3995-2025 karta.png", "A 3995-2025")</f>
        <v/>
      </c>
      <c r="V214">
        <f>HYPERLINK("https://klasma.github.io/Logging_2380/klagomål/A 3995-2025 FSC-klagomål.docx", "A 3995-2025")</f>
        <v/>
      </c>
      <c r="W214">
        <f>HYPERLINK("https://klasma.github.io/Logging_2380/klagomålsmail/A 3995-2025 FSC-klagomål mail.docx", "A 3995-2025")</f>
        <v/>
      </c>
      <c r="X214">
        <f>HYPERLINK("https://klasma.github.io/Logging_2380/tillsyn/A 3995-2025 tillsynsbegäran.docx", "A 3995-2025")</f>
        <v/>
      </c>
      <c r="Y214">
        <f>HYPERLINK("https://klasma.github.io/Logging_2380/tillsynsmail/A 3995-2025 tillsynsbegäran mail.docx", "A 3995-2025")</f>
        <v/>
      </c>
      <c r="Z214">
        <f>HYPERLINK("https://klasma.github.io/Logging_2380/fåglar/A 3995-2025 prioriterade fågelarter.docx", "A 3995-2025")</f>
        <v/>
      </c>
    </row>
    <row r="215" ht="15" customHeight="1">
      <c r="A215" t="inlineStr">
        <is>
          <t>A 4372-2025</t>
        </is>
      </c>
      <c r="B215" s="1" t="n">
        <v>45686</v>
      </c>
      <c r="C215" s="1" t="n">
        <v>45850</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45850</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45850</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45850</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45850</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45850</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45850</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45850</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45850</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45850</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45850</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45850</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45850</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45850</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45850</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45850</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45850</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45850</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45850</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45850</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45850</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45850</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45850</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45850</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45850</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45850</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45850</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45850</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45850</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45850</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45850</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45850</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45850</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45850</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45850</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45850</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45850</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45850</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45850</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45850</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45850</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45850</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45850</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45850</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45850</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45850</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45850</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45850</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45850</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45850</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45850</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45850</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45850</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45850</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45850</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45850</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45850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45850</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45850</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45850</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45850</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45850</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45850</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45850</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45850</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45850</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45850</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45850</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45850</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45850</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45850</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45850</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45850</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45850</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45850</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45850</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45850</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45850</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45850</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45850</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45850</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45850</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45850</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45850</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45850</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45850</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45850</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45850</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45850</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45850</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45850</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45850</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45850</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45850</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45850</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45850</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45850</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45850</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45850</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45850</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45850</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45850</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45850</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45850</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45850</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45850</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45850</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45850</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45850</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45850</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45850</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45850</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45850</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45850</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45850</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45850</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45850</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45850</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45850</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45850</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45850</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45850</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45850</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45850</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45850</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45850</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45850</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45850</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45850</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45850</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45850</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45850</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45850</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45850</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45850</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45850</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45850</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45850</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45850</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45850</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45850</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45850</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45850</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45850</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45850</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45850</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45850</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45850</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45850</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45850</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45850</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45850</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45850</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45850</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45850</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45850</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45850</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45850</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45850</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45850</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45850</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45850</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45850</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45850</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45850</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45850</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45850</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45850</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45850</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45850</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45850</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45850</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45850</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45850</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45850</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45850</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45850</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45850</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45850</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45850</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45850</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45850</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45850</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45850</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45850</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45850</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45850</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45850</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45850</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45850</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45850</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45850</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45850</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45850</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45850</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45850</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45850</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45850</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45850</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45850</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45850</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45850</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45850</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45850</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45850</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45850</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45850</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45850</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45850</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45850</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45850</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45850</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45850</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45850</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45850</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45850</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45850</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45850</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45850</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45850</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45850</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45850</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45850</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45850</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45850</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45850</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45850</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45850</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45850</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45850</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45850</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45850</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45850</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45850</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45850</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45850</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45850</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45850</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45850</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45850</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45850</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45850</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45850</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45850</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45850</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45850</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45850</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45850</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45850</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45850</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45850</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45850</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45850</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45850</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45850</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45850</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45850</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45850</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45850</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45850</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45850</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45850</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45850</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45850</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45850</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45850</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45850</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45850</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45850</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45850</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45850</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45850</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45850</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45850</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45850</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45850</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45850</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45850</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45850</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45850</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45850</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45850</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45850</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45850</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45850</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45850</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45850</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45850</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45850</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45850</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45850</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45850</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45850</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45850</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45850</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45850</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45850</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45850</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45850</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45850</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45850</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45850</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45850</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45850</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45850</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45850</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45850</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45850</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45850</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45850</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45850</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45850</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45850</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45850</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45850</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45850</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45850</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45850</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45850</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45850</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45850</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45850</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45850</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45850</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45850</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45850</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45850</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45850</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45850</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45850</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45850</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45850</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45850</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45850</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45850</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45850</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45850</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45850</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45850</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45850</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45850</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45850</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45850</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45850</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45850</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45850</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45850</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45850</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45850</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45850</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45850</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45850</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45850</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45850</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45850</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45850</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45850</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45850</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45850</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45850</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45850</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45850</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45850</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45850</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45850</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45850</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45850</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45850</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45850</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45850</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45850</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45850</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45850</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45850</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45850</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45850</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45850</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45850</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45850</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45850</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45850</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45850</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45850</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45850</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45850</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45850</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45850</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45850</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45850</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45850</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45850</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45850</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45850</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45850</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45850</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45850</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45850</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45850</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45850</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45850</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45850</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45850</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45850</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45850</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45850</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45850</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45850</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45850</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45850</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45850</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45850</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45850</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45850</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45850</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45850</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45850</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45850</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45850</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45850</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45850</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45850</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45850</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45850</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45850</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45850</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45850</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45850</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45850</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45850</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45850</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45850</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45850</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45850</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45850</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45850</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45850</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45850</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45850</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45850</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45850</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45850</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45850</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45850</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45850</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45850</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45850</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45850</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45850</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45850</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45850</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45850</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45850</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45850</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45850</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45850</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45850</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45850</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45850</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45850</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45850</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45850</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45850</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45850</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45850</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45850</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45850</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45850</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45850</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45850</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45850</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45850</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45850</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45850</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45850</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45850</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45850</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45850</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45850</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45850</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45850</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45850</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45850</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45850</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45850</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45850</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45850</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45850</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45850</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45850</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45850</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45850</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45850</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45850</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45850</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45850</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45850</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45850</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45850</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45850</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45850</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45850</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45850</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45850</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45850</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45850</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45850</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45850</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45850</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45850</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45850</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45850</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45850</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45850</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45850</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45850</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45850</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45850</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45850</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45850</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45850</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45850</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45850</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45850</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45850</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45850</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45850</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45850</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45850</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45850</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45850</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45850</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45850</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45850</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45850</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45850</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45850</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45850</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45850</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45850</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45850</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45850</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45850</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45850</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45850</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45850</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c r="U759">
        <f>HYPERLINK("https://klasma.github.io/Logging_2380/knärot/A 61535-2023 karta knärot.png", "A 61535-2023")</f>
        <v/>
      </c>
      <c r="V759">
        <f>HYPERLINK("https://klasma.github.io/Logging_2380/klagomål/A 61535-2023 FSC-klagomål.docx", "A 61535-2023")</f>
        <v/>
      </c>
      <c r="W759">
        <f>HYPERLINK("https://klasma.github.io/Logging_2380/klagomålsmail/A 61535-2023 FSC-klagomål mail.docx", "A 61535-2023")</f>
        <v/>
      </c>
      <c r="X759">
        <f>HYPERLINK("https://klasma.github.io/Logging_2380/tillsyn/A 61535-2023 tillsynsbegäran.docx", "A 61535-2023")</f>
        <v/>
      </c>
      <c r="Y759">
        <f>HYPERLINK("https://klasma.github.io/Logging_2380/tillsynsmail/A 61535-2023 tillsynsbegäran mail.docx", "A 61535-2023")</f>
        <v/>
      </c>
    </row>
    <row r="760" ht="15" customHeight="1">
      <c r="A760" t="inlineStr">
        <is>
          <t>A 61530-2023</t>
        </is>
      </c>
      <c r="B760" s="1" t="n">
        <v>45261</v>
      </c>
      <c r="C760" s="1" t="n">
        <v>45850</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45850</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45850</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45850</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45850</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45850</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45850</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45850</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45850</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45850</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45850</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45850</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45850</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45850</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45850</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45850</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45850</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45850</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45850</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45850</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45850</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45850</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45850</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45850</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45850</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45850</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45850</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45850</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45850</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45850</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45850</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45850</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45850</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45850</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45850</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45850</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45850</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45850</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45850</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45850</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45850</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45850</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45850</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45850</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45850</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45850</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45850</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45850</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45850</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45850</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45850</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45850</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45850</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45850</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45850</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45850</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45850</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45850</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45850</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45850</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45850</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45850</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45850</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45850</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45850</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45850</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45850</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45850</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45850</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45850</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45850</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45850</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45850</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45850</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45850</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45850</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45850</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45850</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45850</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45850</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45850</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45850</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45850</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45850</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45850</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45850</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45850</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45850</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45850</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45850</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45850</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45850</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45850</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45850</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45850</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45850</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45850</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45850</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45850</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45850</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45850</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45850</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45850</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45850</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45850</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45850</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45850</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45850</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45850</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45850</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45850</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45850</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45850</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45850</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45850</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45850</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45850</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45850</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45850</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45850</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45850</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45850</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45850</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45850</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45850</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45850</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45850</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45850</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45850</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45850</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45850</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45850</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45850</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45850</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45850</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45850</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45850</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45850</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45850</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45850</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45850</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45850</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45850</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45850</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45850</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45850</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45850</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45850</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45850</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45850</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45850</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45850</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45850</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45850</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45850</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45850</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45850</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45850</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45850</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45850</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45850</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45850</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45850</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45850</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45850</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45850</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45850</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45850</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45850</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45850</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45850</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45850</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45850</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45850</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45850</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45850</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45850</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45850</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45850</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45850</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45850</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45850</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45850</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45850</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45850</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45850</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45850</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45850</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45850</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45850</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45850</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45850</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45850</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45850</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45850</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45850</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45850</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45850</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45850</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45850</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45850</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45850</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45850</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45850</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45850</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45850</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45850</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45850</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45850</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45850</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45850</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45850</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45850</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45850</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45850</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45850</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45850</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45850</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45850</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45850</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45850</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45850</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45850</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45850</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45850</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45850</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45850</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45850</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45850</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45850</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45850</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45850</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45850</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45850</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45850</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45850</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45850</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45850</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45850</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45850</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45850</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45850</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45850</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45850</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45850</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45850</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45850</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45850</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45850</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45850</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45850</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45850</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45850</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45850</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45850</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45850</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45850</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45850</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45850</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45850</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45850</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45850</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45850</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45850</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45850</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45850</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45850</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45850</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45850</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45850</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45850</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45850</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45850</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45850</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45850</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45850</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45850</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45850</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45850</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45850</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45850</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45850</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45850</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45850</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45850</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45850</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45850</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45850</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45850</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45850</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45850</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45850</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45850</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45850</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45850</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45850</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45850</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45850</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45850</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45850</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45850</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45850</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45850</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45850</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45850</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45850</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45850</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45850</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45850</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45850</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45850</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45850</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45850</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45850</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45850</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45850</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45850</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45850</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45850</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45850</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45850</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45850</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45850</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45850</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45850</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45850</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45850</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45850</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45850</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45850</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45850</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45850</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45850</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45850</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45850</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45850</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45850</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45850</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45850</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45850</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45850</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45850</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45850</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45850</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45850</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45850</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45850</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45850</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45850</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45850</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45850</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45850</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45850</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45850</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45850</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45850</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45850</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45850</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45850</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45850</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45850</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45850</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45850</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45850</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45850</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45850</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45850</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45850</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45850</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45850</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45850</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45850</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45850</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45850</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45850</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45850</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45850</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45850</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45850</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45850</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45850</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45850</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45850</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45850</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45850</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45850</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45850</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45850</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45850</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45850</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45850</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45850</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45850</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45850</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45850</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45850</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45850</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45850</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45850</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45850</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45850</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45850</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45850</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45850</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45850</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45850</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45850</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45850</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45850</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45850</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45850</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45850</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45850</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45850</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45850</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45850</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45850</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45850</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45850</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45850</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45850</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45850</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45850</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45850</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45850</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45850</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45850</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45850</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45850</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45850</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45850</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45850</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45850</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45850</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45850</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45850</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45850</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45850</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45850</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45850</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45850</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45850</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45850</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45850</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45850</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45850</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45850</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45850</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45850</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45850</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45850</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45850</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45850</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45850</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45850</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30320-2025</t>
        </is>
      </c>
      <c r="B1215" s="1" t="n">
        <v>45827</v>
      </c>
      <c r="C1215" s="1" t="n">
        <v>45850</v>
      </c>
      <c r="D1215" t="inlineStr">
        <is>
          <t>JÄMTLANDS LÄN</t>
        </is>
      </c>
      <c r="E1215" t="inlineStr">
        <is>
          <t>ÖSTERSUND</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45850</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45850</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45850</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32353-2025</t>
        </is>
      </c>
      <c r="B1219" s="1" t="n">
        <v>45837</v>
      </c>
      <c r="C1219" s="1" t="n">
        <v>45850</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32369-2025</t>
        </is>
      </c>
      <c r="B1220" s="1" t="n">
        <v>45837</v>
      </c>
      <c r="C1220" s="1" t="n">
        <v>45850</v>
      </c>
      <c r="D1220" t="inlineStr">
        <is>
          <t>JÄMTLANDS LÄN</t>
        </is>
      </c>
      <c r="E1220" t="inlineStr">
        <is>
          <t>ÖSTERSUND</t>
        </is>
      </c>
      <c r="F1220" t="inlineStr">
        <is>
          <t>Övriga Aktiebolag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32358-2025</t>
        </is>
      </c>
      <c r="B1221" s="1" t="n">
        <v>45837</v>
      </c>
      <c r="C1221" s="1" t="n">
        <v>45850</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32368-2025</t>
        </is>
      </c>
      <c r="B1222" s="1" t="n">
        <v>45837</v>
      </c>
      <c r="C1222" s="1" t="n">
        <v>45850</v>
      </c>
      <c r="D1222" t="inlineStr">
        <is>
          <t>JÄMTLANDS LÄN</t>
        </is>
      </c>
      <c r="E1222" t="inlineStr">
        <is>
          <t>ÖSTERSUND</t>
        </is>
      </c>
      <c r="F1222" t="inlineStr">
        <is>
          <t>Övriga Aktiebolag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33358-2025</t>
        </is>
      </c>
      <c r="B1223" s="1" t="n">
        <v>45841</v>
      </c>
      <c r="C1223" s="1" t="n">
        <v>45850</v>
      </c>
      <c r="D1223" t="inlineStr">
        <is>
          <t>JÄMTLANDS LÄN</t>
        </is>
      </c>
      <c r="E1223" t="inlineStr">
        <is>
          <t>ÖSTERSUND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34331-2025</t>
        </is>
      </c>
      <c r="B1224" s="1" t="n">
        <v>45846</v>
      </c>
      <c r="C1224" s="1" t="n">
        <v>45850</v>
      </c>
      <c r="D1224" t="inlineStr">
        <is>
          <t>JÄMTLANDS LÄN</t>
        </is>
      </c>
      <c r="E1224" t="inlineStr">
        <is>
          <t>ÖSTERSUND</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34589-2025</t>
        </is>
      </c>
      <c r="B1225" s="1" t="n">
        <v>45847</v>
      </c>
      <c r="C1225" s="1" t="n">
        <v>45850</v>
      </c>
      <c r="D1225" t="inlineStr">
        <is>
          <t>JÄMTLANDS LÄN</t>
        </is>
      </c>
      <c r="E1225" t="inlineStr">
        <is>
          <t>ÖSTERSUND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34587-2025</t>
        </is>
      </c>
      <c r="B1226" s="1" t="n">
        <v>45847</v>
      </c>
      <c r="C1226" s="1" t="n">
        <v>45850</v>
      </c>
      <c r="D1226" t="inlineStr">
        <is>
          <t>JÄMTLANDS LÄN</t>
        </is>
      </c>
      <c r="E1226" t="inlineStr">
        <is>
          <t>ÖSTERSUND</t>
        </is>
      </c>
      <c r="F1226" t="inlineStr">
        <is>
          <t>SCA</t>
        </is>
      </c>
      <c r="G1226" t="n">
        <v>2.3</v>
      </c>
      <c r="H1226" t="n">
        <v>0</v>
      </c>
      <c r="I1226" t="n">
        <v>0</v>
      </c>
      <c r="J1226" t="n">
        <v>0</v>
      </c>
      <c r="K1226" t="n">
        <v>0</v>
      </c>
      <c r="L1226" t="n">
        <v>0</v>
      </c>
      <c r="M1226" t="n">
        <v>0</v>
      </c>
      <c r="N1226" t="n">
        <v>0</v>
      </c>
      <c r="O1226" t="n">
        <v>0</v>
      </c>
      <c r="P1226" t="n">
        <v>0</v>
      </c>
      <c r="Q1226" t="n">
        <v>0</v>
      </c>
      <c r="R1226" s="2" t="inlineStr"/>
    </row>
    <row r="1227">
      <c r="A1227" t="inlineStr">
        <is>
          <t>A 34490-2025</t>
        </is>
      </c>
      <c r="B1227" s="1" t="n">
        <v>45847</v>
      </c>
      <c r="C1227" s="1" t="n">
        <v>45850</v>
      </c>
      <c r="D1227" t="inlineStr">
        <is>
          <t>JÄMTLANDS LÄN</t>
        </is>
      </c>
      <c r="E1227" t="inlineStr">
        <is>
          <t>ÖSTERSUND</t>
        </is>
      </c>
      <c r="F1227" t="inlineStr">
        <is>
          <t>SCA</t>
        </is>
      </c>
      <c r="G1227" t="n">
        <v>1.3</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2025-07-12T19:26:49Z</dcterms:created>
  <dcterms:modified xmlns:dcterms="http://purl.org/dc/terms/" xmlns:xsi="http://www.w3.org/2001/XMLSchema-instance" xsi:type="dcterms:W3CDTF">2025-07-12T19:26:50Z</dcterms:modified>
</cp:coreProperties>
</file>