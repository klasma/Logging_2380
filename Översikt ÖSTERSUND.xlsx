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45791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45791</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45791</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45791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45791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45791</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45791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45791</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45791</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45791</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45791</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45791</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45791</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45791</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45791</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45791</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45791</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45791</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45791</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45791</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45791</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45791</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45791</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45791</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45791</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45791</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45791</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45791</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45791</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45791</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45791</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45791</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45791</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45791</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45791</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45791</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45791</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45791</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45791</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45791</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45791</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45791</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45791</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45791</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45791</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45791</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45791</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45791</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45791</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45791</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45791</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45791</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45791</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45791</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45791</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45791</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45791</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45791</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45791</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45791</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45791</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45791</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45791</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45791</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45791</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45791</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45791</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45791</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45791</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45791</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45791</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45791</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45791</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45791</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45791</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45791</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45791</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45791</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45791</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45791</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45791</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45791</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45791</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45791</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45791</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45791</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45791</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45791</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45791</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45791</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45791</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45791</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45791</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45791</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45791</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45791</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45791</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45791</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45791</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45791</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45791</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45791</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45791</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45791</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45791</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45791</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45791</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45791</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45791</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45791</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45791</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45791</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45791</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45791</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45791</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45791</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45791</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45791</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45791</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45791</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45791</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45791</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45791</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45791</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45791</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45791</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45791</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45791</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45791</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45791</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45791</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45791</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45791</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45791</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45791</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45791</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45791</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45791</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45791</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45791</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45791</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45791</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45791</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45791</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45791</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45791</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45791</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45791</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45791</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45791</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45791</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45791</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45791</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45791</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45791</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45791</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45791</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45791</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45791</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45791</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45791</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45791</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45791</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45791</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45791</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45791</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45791</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45791</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45791</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45791</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45791</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45791</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45791</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45791</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45791</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45791</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45791</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45791</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45791</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45791</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45791</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45791</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45791</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45791</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45791</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45791</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45791</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45791</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45791</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45791</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45791</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45791</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45791</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45791</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45791</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45791</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45791</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45791</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45791</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45791</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45791</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45791</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45791</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45791</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45791</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45791</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45791</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45791</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20319-2019</t>
        </is>
      </c>
      <c r="B211" s="1" t="n">
        <v>43571</v>
      </c>
      <c r="C211" s="1" t="n">
        <v>45791</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21727-2019</t>
        </is>
      </c>
      <c r="B212" s="1" t="n">
        <v>43581</v>
      </c>
      <c r="C212" s="1" t="n">
        <v>45791</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21793-2019</t>
        </is>
      </c>
      <c r="B213" s="1" t="n">
        <v>43581</v>
      </c>
      <c r="C213" s="1" t="n">
        <v>45791</v>
      </c>
      <c r="D213" t="inlineStr">
        <is>
          <t>JÄMTLANDS LÄN</t>
        </is>
      </c>
      <c r="E213" t="inlineStr">
        <is>
          <t>ÖSTERSUND</t>
        </is>
      </c>
      <c r="F213" t="inlineStr">
        <is>
          <t>SCA</t>
        </is>
      </c>
      <c r="G213" t="n">
        <v>3.6</v>
      </c>
      <c r="H213" t="n">
        <v>0</v>
      </c>
      <c r="I213" t="n">
        <v>0</v>
      </c>
      <c r="J213" t="n">
        <v>0</v>
      </c>
      <c r="K213" t="n">
        <v>0</v>
      </c>
      <c r="L213" t="n">
        <v>0</v>
      </c>
      <c r="M213" t="n">
        <v>0</v>
      </c>
      <c r="N213" t="n">
        <v>0</v>
      </c>
      <c r="O213" t="n">
        <v>0</v>
      </c>
      <c r="P213" t="n">
        <v>0</v>
      </c>
      <c r="Q213" t="n">
        <v>0</v>
      </c>
      <c r="R213" s="2" t="inlineStr"/>
    </row>
    <row r="214" ht="15" customHeight="1">
      <c r="A214" t="inlineStr">
        <is>
          <t>A 22119-2019</t>
        </is>
      </c>
      <c r="B214" s="1" t="n">
        <v>43584</v>
      </c>
      <c r="C214" s="1" t="n">
        <v>45791</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22115-2019</t>
        </is>
      </c>
      <c r="B215" s="1" t="n">
        <v>43584</v>
      </c>
      <c r="C215" s="1" t="n">
        <v>45791</v>
      </c>
      <c r="D215" t="inlineStr">
        <is>
          <t>JÄMTLANDS LÄN</t>
        </is>
      </c>
      <c r="E215" t="inlineStr">
        <is>
          <t>ÖSTERSUND</t>
        </is>
      </c>
      <c r="G215" t="n">
        <v>15.1</v>
      </c>
      <c r="H215" t="n">
        <v>0</v>
      </c>
      <c r="I215" t="n">
        <v>0</v>
      </c>
      <c r="J215" t="n">
        <v>0</v>
      </c>
      <c r="K215" t="n">
        <v>0</v>
      </c>
      <c r="L215" t="n">
        <v>0</v>
      </c>
      <c r="M215" t="n">
        <v>0</v>
      </c>
      <c r="N215" t="n">
        <v>0</v>
      </c>
      <c r="O215" t="n">
        <v>0</v>
      </c>
      <c r="P215" t="n">
        <v>0</v>
      </c>
      <c r="Q215" t="n">
        <v>0</v>
      </c>
      <c r="R215" s="2" t="inlineStr"/>
      <c r="U215">
        <f>HYPERLINK("https://klasma.github.io/Logging_2380/knärot/A 22115-2019 karta knärot.png", "A 22115-2019")</f>
        <v/>
      </c>
      <c r="V215">
        <f>HYPERLINK("https://klasma.github.io/Logging_2380/klagomål/A 22115-2019 FSC-klagomål.docx", "A 22115-2019")</f>
        <v/>
      </c>
      <c r="W215">
        <f>HYPERLINK("https://klasma.github.io/Logging_2380/klagomålsmail/A 22115-2019 FSC-klagomål mail.docx", "A 22115-2019")</f>
        <v/>
      </c>
      <c r="X215">
        <f>HYPERLINK("https://klasma.github.io/Logging_2380/tillsyn/A 22115-2019 tillsynsbegäran.docx", "A 22115-2019")</f>
        <v/>
      </c>
      <c r="Y215">
        <f>HYPERLINK("https://klasma.github.io/Logging_2380/tillsynsmail/A 22115-2019 tillsynsbegäran mail.docx", "A 22115-2019")</f>
        <v/>
      </c>
    </row>
    <row r="216" ht="15" customHeight="1">
      <c r="A216" t="inlineStr">
        <is>
          <t>A 23609-2019</t>
        </is>
      </c>
      <c r="B216" s="1" t="n">
        <v>43594</v>
      </c>
      <c r="C216" s="1" t="n">
        <v>45791</v>
      </c>
      <c r="D216" t="inlineStr">
        <is>
          <t>JÄMTLANDS LÄN</t>
        </is>
      </c>
      <c r="E216" t="inlineStr">
        <is>
          <t>ÖSTERSUND</t>
        </is>
      </c>
      <c r="G216" t="n">
        <v>2.5</v>
      </c>
      <c r="H216" t="n">
        <v>0</v>
      </c>
      <c r="I216" t="n">
        <v>0</v>
      </c>
      <c r="J216" t="n">
        <v>0</v>
      </c>
      <c r="K216" t="n">
        <v>0</v>
      </c>
      <c r="L216" t="n">
        <v>0</v>
      </c>
      <c r="M216" t="n">
        <v>0</v>
      </c>
      <c r="N216" t="n">
        <v>0</v>
      </c>
      <c r="O216" t="n">
        <v>0</v>
      </c>
      <c r="P216" t="n">
        <v>0</v>
      </c>
      <c r="Q216" t="n">
        <v>0</v>
      </c>
      <c r="R216" s="2" t="inlineStr"/>
    </row>
    <row r="217" ht="15" customHeight="1">
      <c r="A217" t="inlineStr">
        <is>
          <t>A 23940-2019</t>
        </is>
      </c>
      <c r="B217" s="1" t="n">
        <v>43595</v>
      </c>
      <c r="C217" s="1" t="n">
        <v>45791</v>
      </c>
      <c r="D217" t="inlineStr">
        <is>
          <t>JÄMTLANDS LÄN</t>
        </is>
      </c>
      <c r="E217" t="inlineStr">
        <is>
          <t>ÖSTERSUND</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25205-2019</t>
        </is>
      </c>
      <c r="B218" s="1" t="n">
        <v>43600</v>
      </c>
      <c r="C218" s="1" t="n">
        <v>45791</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28892-2019</t>
        </is>
      </c>
      <c r="B219" s="1" t="n">
        <v>43619</v>
      </c>
      <c r="C219" s="1" t="n">
        <v>45791</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28899-2019</t>
        </is>
      </c>
      <c r="B220" s="1" t="n">
        <v>43619</v>
      </c>
      <c r="C220" s="1" t="n">
        <v>45791</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28884-2019</t>
        </is>
      </c>
      <c r="B221" s="1" t="n">
        <v>43619</v>
      </c>
      <c r="C221" s="1" t="n">
        <v>45791</v>
      </c>
      <c r="D221" t="inlineStr">
        <is>
          <t>JÄMTLANDS LÄN</t>
        </is>
      </c>
      <c r="E221" t="inlineStr">
        <is>
          <t>ÖSTERSUND</t>
        </is>
      </c>
      <c r="G221" t="n">
        <v>0.3</v>
      </c>
      <c r="H221" t="n">
        <v>0</v>
      </c>
      <c r="I221" t="n">
        <v>0</v>
      </c>
      <c r="J221" t="n">
        <v>0</v>
      </c>
      <c r="K221" t="n">
        <v>0</v>
      </c>
      <c r="L221" t="n">
        <v>0</v>
      </c>
      <c r="M221" t="n">
        <v>0</v>
      </c>
      <c r="N221" t="n">
        <v>0</v>
      </c>
      <c r="O221" t="n">
        <v>0</v>
      </c>
      <c r="P221" t="n">
        <v>0</v>
      </c>
      <c r="Q221" t="n">
        <v>0</v>
      </c>
      <c r="R221" s="2" t="inlineStr"/>
    </row>
    <row r="222" ht="15" customHeight="1">
      <c r="A222" t="inlineStr">
        <is>
          <t>A 27977-2019</t>
        </is>
      </c>
      <c r="B222" s="1" t="n">
        <v>43620</v>
      </c>
      <c r="C222" s="1" t="n">
        <v>45791</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31189-2019</t>
        </is>
      </c>
      <c r="B223" s="1" t="n">
        <v>43635</v>
      </c>
      <c r="C223" s="1" t="n">
        <v>45791</v>
      </c>
      <c r="D223" t="inlineStr">
        <is>
          <t>JÄMTLANDS LÄN</t>
        </is>
      </c>
      <c r="E223" t="inlineStr">
        <is>
          <t>ÖSTERSUND</t>
        </is>
      </c>
      <c r="G223" t="n">
        <v>5.5</v>
      </c>
      <c r="H223" t="n">
        <v>0</v>
      </c>
      <c r="I223" t="n">
        <v>0</v>
      </c>
      <c r="J223" t="n">
        <v>0</v>
      </c>
      <c r="K223" t="n">
        <v>0</v>
      </c>
      <c r="L223" t="n">
        <v>0</v>
      </c>
      <c r="M223" t="n">
        <v>0</v>
      </c>
      <c r="N223" t="n">
        <v>0</v>
      </c>
      <c r="O223" t="n">
        <v>0</v>
      </c>
      <c r="P223" t="n">
        <v>0</v>
      </c>
      <c r="Q223" t="n">
        <v>0</v>
      </c>
      <c r="R223" s="2" t="inlineStr"/>
    </row>
    <row r="224" ht="15" customHeight="1">
      <c r="A224" t="inlineStr">
        <is>
          <t>A 30940-2019</t>
        </is>
      </c>
      <c r="B224" s="1" t="n">
        <v>43637</v>
      </c>
      <c r="C224" s="1" t="n">
        <v>45791</v>
      </c>
      <c r="D224" t="inlineStr">
        <is>
          <t>JÄMTLANDS LÄN</t>
        </is>
      </c>
      <c r="E224" t="inlineStr">
        <is>
          <t>ÖSTERSUND</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30946-2019</t>
        </is>
      </c>
      <c r="B225" s="1" t="n">
        <v>43636</v>
      </c>
      <c r="C225" s="1" t="n">
        <v>45791</v>
      </c>
      <c r="D225" t="inlineStr">
        <is>
          <t>JÄMTLANDS LÄN</t>
        </is>
      </c>
      <c r="E225" t="inlineStr">
        <is>
          <t>ÖSTERSUND</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31617-2019</t>
        </is>
      </c>
      <c r="B226" s="1" t="n">
        <v>43640</v>
      </c>
      <c r="C226" s="1" t="n">
        <v>45791</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31621-2019</t>
        </is>
      </c>
      <c r="B227" s="1" t="n">
        <v>43640</v>
      </c>
      <c r="C227" s="1" t="n">
        <v>45791</v>
      </c>
      <c r="D227" t="inlineStr">
        <is>
          <t>JÄMTLANDS LÄN</t>
        </is>
      </c>
      <c r="E227" t="inlineStr">
        <is>
          <t>ÖSTERSUND</t>
        </is>
      </c>
      <c r="G227" t="n">
        <v>1.3</v>
      </c>
      <c r="H227" t="n">
        <v>0</v>
      </c>
      <c r="I227" t="n">
        <v>0</v>
      </c>
      <c r="J227" t="n">
        <v>0</v>
      </c>
      <c r="K227" t="n">
        <v>0</v>
      </c>
      <c r="L227" t="n">
        <v>0</v>
      </c>
      <c r="M227" t="n">
        <v>0</v>
      </c>
      <c r="N227" t="n">
        <v>0</v>
      </c>
      <c r="O227" t="n">
        <v>0</v>
      </c>
      <c r="P227" t="n">
        <v>0</v>
      </c>
      <c r="Q227" t="n">
        <v>0</v>
      </c>
      <c r="R227" s="2" t="inlineStr"/>
    </row>
    <row r="228" ht="15" customHeight="1">
      <c r="A228" t="inlineStr">
        <is>
          <t>A 34903-2019</t>
        </is>
      </c>
      <c r="B228" s="1" t="n">
        <v>43650</v>
      </c>
      <c r="C228" s="1" t="n">
        <v>45791</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35500-2019</t>
        </is>
      </c>
      <c r="B229" s="1" t="n">
        <v>43651</v>
      </c>
      <c r="C229" s="1" t="n">
        <v>45791</v>
      </c>
      <c r="D229" t="inlineStr">
        <is>
          <t>JÄMTLANDS LÄN</t>
        </is>
      </c>
      <c r="E229" t="inlineStr">
        <is>
          <t>ÖSTERSUND</t>
        </is>
      </c>
      <c r="F229" t="inlineStr">
        <is>
          <t>SCA</t>
        </is>
      </c>
      <c r="G229" t="n">
        <v>7</v>
      </c>
      <c r="H229" t="n">
        <v>0</v>
      </c>
      <c r="I229" t="n">
        <v>0</v>
      </c>
      <c r="J229" t="n">
        <v>0</v>
      </c>
      <c r="K229" t="n">
        <v>0</v>
      </c>
      <c r="L229" t="n">
        <v>0</v>
      </c>
      <c r="M229" t="n">
        <v>0</v>
      </c>
      <c r="N229" t="n">
        <v>0</v>
      </c>
      <c r="O229" t="n">
        <v>0</v>
      </c>
      <c r="P229" t="n">
        <v>0</v>
      </c>
      <c r="Q229" t="n">
        <v>0</v>
      </c>
      <c r="R229" s="2" t="inlineStr"/>
    </row>
    <row r="230" ht="15" customHeight="1">
      <c r="A230" t="inlineStr">
        <is>
          <t>A 35535-2019</t>
        </is>
      </c>
      <c r="B230" s="1" t="n">
        <v>43654</v>
      </c>
      <c r="C230" s="1" t="n">
        <v>45791</v>
      </c>
      <c r="D230" t="inlineStr">
        <is>
          <t>JÄMTLANDS LÄN</t>
        </is>
      </c>
      <c r="E230" t="inlineStr">
        <is>
          <t>ÖSTERSUND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34109-2019</t>
        </is>
      </c>
      <c r="B231" s="1" t="n">
        <v>43654</v>
      </c>
      <c r="C231" s="1" t="n">
        <v>45791</v>
      </c>
      <c r="D231" t="inlineStr">
        <is>
          <t>JÄMTLANDS LÄN</t>
        </is>
      </c>
      <c r="E231" t="inlineStr">
        <is>
          <t>ÖSTERSUND</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34246-2019</t>
        </is>
      </c>
      <c r="B232" s="1" t="n">
        <v>43655</v>
      </c>
      <c r="C232" s="1" t="n">
        <v>45791</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35678-2019</t>
        </is>
      </c>
      <c r="B233" s="1" t="n">
        <v>43656</v>
      </c>
      <c r="C233" s="1" t="n">
        <v>45791</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35688-2019</t>
        </is>
      </c>
      <c r="B234" s="1" t="n">
        <v>43656</v>
      </c>
      <c r="C234" s="1" t="n">
        <v>45791</v>
      </c>
      <c r="D234" t="inlineStr">
        <is>
          <t>JÄMTLANDS LÄN</t>
        </is>
      </c>
      <c r="E234" t="inlineStr">
        <is>
          <t>ÖSTERSUND</t>
        </is>
      </c>
      <c r="G234" t="n">
        <v>12.6</v>
      </c>
      <c r="H234" t="n">
        <v>0</v>
      </c>
      <c r="I234" t="n">
        <v>0</v>
      </c>
      <c r="J234" t="n">
        <v>0</v>
      </c>
      <c r="K234" t="n">
        <v>0</v>
      </c>
      <c r="L234" t="n">
        <v>0</v>
      </c>
      <c r="M234" t="n">
        <v>0</v>
      </c>
      <c r="N234" t="n">
        <v>0</v>
      </c>
      <c r="O234" t="n">
        <v>0</v>
      </c>
      <c r="P234" t="n">
        <v>0</v>
      </c>
      <c r="Q234" t="n">
        <v>0</v>
      </c>
      <c r="R234" s="2" t="inlineStr"/>
    </row>
    <row r="235" ht="15" customHeight="1">
      <c r="A235" t="inlineStr">
        <is>
          <t>A 36003-2019</t>
        </is>
      </c>
      <c r="B235" s="1" t="n">
        <v>43657</v>
      </c>
      <c r="C235" s="1" t="n">
        <v>45791</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36652-2019</t>
        </is>
      </c>
      <c r="B236" s="1" t="n">
        <v>43670</v>
      </c>
      <c r="C236" s="1" t="n">
        <v>45791</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37222-2019</t>
        </is>
      </c>
      <c r="B237" s="1" t="n">
        <v>43676</v>
      </c>
      <c r="C237" s="1" t="n">
        <v>45791</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38662-2019</t>
        </is>
      </c>
      <c r="B238" s="1" t="n">
        <v>43684</v>
      </c>
      <c r="C238" s="1" t="n">
        <v>45791</v>
      </c>
      <c r="D238" t="inlineStr">
        <is>
          <t>JÄMTLANDS LÄN</t>
        </is>
      </c>
      <c r="E238" t="inlineStr">
        <is>
          <t>ÖSTERSUND</t>
        </is>
      </c>
      <c r="G238" t="n">
        <v>2.2</v>
      </c>
      <c r="H238" t="n">
        <v>0</v>
      </c>
      <c r="I238" t="n">
        <v>0</v>
      </c>
      <c r="J238" t="n">
        <v>0</v>
      </c>
      <c r="K238" t="n">
        <v>0</v>
      </c>
      <c r="L238" t="n">
        <v>0</v>
      </c>
      <c r="M238" t="n">
        <v>0</v>
      </c>
      <c r="N238" t="n">
        <v>0</v>
      </c>
      <c r="O238" t="n">
        <v>0</v>
      </c>
      <c r="P238" t="n">
        <v>0</v>
      </c>
      <c r="Q238" t="n">
        <v>0</v>
      </c>
      <c r="R238" s="2" t="inlineStr"/>
    </row>
    <row r="239" ht="15" customHeight="1">
      <c r="A239" t="inlineStr">
        <is>
          <t>A 39459-2019</t>
        </is>
      </c>
      <c r="B239" s="1" t="n">
        <v>43686</v>
      </c>
      <c r="C239" s="1" t="n">
        <v>45791</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40530-2019</t>
        </is>
      </c>
      <c r="B240" s="1" t="n">
        <v>43696</v>
      </c>
      <c r="C240" s="1" t="n">
        <v>45791</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41364-2019</t>
        </is>
      </c>
      <c r="B241" s="1" t="n">
        <v>43696</v>
      </c>
      <c r="C241" s="1" t="n">
        <v>45791</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40531-2019</t>
        </is>
      </c>
      <c r="B242" s="1" t="n">
        <v>43696</v>
      </c>
      <c r="C242" s="1" t="n">
        <v>45791</v>
      </c>
      <c r="D242" t="inlineStr">
        <is>
          <t>JÄMTLANDS LÄN</t>
        </is>
      </c>
      <c r="E242" t="inlineStr">
        <is>
          <t>ÖSTERSUND</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41556-2019</t>
        </is>
      </c>
      <c r="B243" s="1" t="n">
        <v>43696</v>
      </c>
      <c r="C243" s="1" t="n">
        <v>45791</v>
      </c>
      <c r="D243" t="inlineStr">
        <is>
          <t>JÄMTLANDS LÄN</t>
        </is>
      </c>
      <c r="E243" t="inlineStr">
        <is>
          <t>ÖSTERSUND</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41588-2019</t>
        </is>
      </c>
      <c r="B244" s="1" t="n">
        <v>43699</v>
      </c>
      <c r="C244" s="1" t="n">
        <v>45791</v>
      </c>
      <c r="D244" t="inlineStr">
        <is>
          <t>JÄMTLANDS LÄN</t>
        </is>
      </c>
      <c r="E244" t="inlineStr">
        <is>
          <t>ÖSTERSUND</t>
        </is>
      </c>
      <c r="G244" t="n">
        <v>26.7</v>
      </c>
      <c r="H244" t="n">
        <v>0</v>
      </c>
      <c r="I244" t="n">
        <v>0</v>
      </c>
      <c r="J244" t="n">
        <v>0</v>
      </c>
      <c r="K244" t="n">
        <v>0</v>
      </c>
      <c r="L244" t="n">
        <v>0</v>
      </c>
      <c r="M244" t="n">
        <v>0</v>
      </c>
      <c r="N244" t="n">
        <v>0</v>
      </c>
      <c r="O244" t="n">
        <v>0</v>
      </c>
      <c r="P244" t="n">
        <v>0</v>
      </c>
      <c r="Q244" t="n">
        <v>0</v>
      </c>
      <c r="R244" s="2" t="inlineStr"/>
    </row>
    <row r="245" ht="15" customHeight="1">
      <c r="A245" t="inlineStr">
        <is>
          <t>A 43249-2019</t>
        </is>
      </c>
      <c r="B245" s="1" t="n">
        <v>43703</v>
      </c>
      <c r="C245" s="1" t="n">
        <v>45791</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43425-2019</t>
        </is>
      </c>
      <c r="B246" s="1" t="n">
        <v>43703</v>
      </c>
      <c r="C246" s="1" t="n">
        <v>45791</v>
      </c>
      <c r="D246" t="inlineStr">
        <is>
          <t>JÄMTLANDS LÄN</t>
        </is>
      </c>
      <c r="E246" t="inlineStr">
        <is>
          <t>ÖSTERSUND</t>
        </is>
      </c>
      <c r="G246" t="n">
        <v>2.4</v>
      </c>
      <c r="H246" t="n">
        <v>0</v>
      </c>
      <c r="I246" t="n">
        <v>0</v>
      </c>
      <c r="J246" t="n">
        <v>0</v>
      </c>
      <c r="K246" t="n">
        <v>0</v>
      </c>
      <c r="L246" t="n">
        <v>0</v>
      </c>
      <c r="M246" t="n">
        <v>0</v>
      </c>
      <c r="N246" t="n">
        <v>0</v>
      </c>
      <c r="O246" t="n">
        <v>0</v>
      </c>
      <c r="P246" t="n">
        <v>0</v>
      </c>
      <c r="Q246" t="n">
        <v>0</v>
      </c>
      <c r="R246" s="2" t="inlineStr"/>
    </row>
    <row r="247" ht="15" customHeight="1">
      <c r="A247" t="inlineStr">
        <is>
          <t>A 46346-2019</t>
        </is>
      </c>
      <c r="B247" s="1" t="n">
        <v>43718</v>
      </c>
      <c r="C247" s="1" t="n">
        <v>45791</v>
      </c>
      <c r="D247" t="inlineStr">
        <is>
          <t>JÄMTLANDS LÄN</t>
        </is>
      </c>
      <c r="E247" t="inlineStr">
        <is>
          <t>ÖSTERSUND</t>
        </is>
      </c>
      <c r="F247" t="inlineStr">
        <is>
          <t>SCA</t>
        </is>
      </c>
      <c r="G247" t="n">
        <v>6.5</v>
      </c>
      <c r="H247" t="n">
        <v>0</v>
      </c>
      <c r="I247" t="n">
        <v>0</v>
      </c>
      <c r="J247" t="n">
        <v>0</v>
      </c>
      <c r="K247" t="n">
        <v>0</v>
      </c>
      <c r="L247" t="n">
        <v>0</v>
      </c>
      <c r="M247" t="n">
        <v>0</v>
      </c>
      <c r="N247" t="n">
        <v>0</v>
      </c>
      <c r="O247" t="n">
        <v>0</v>
      </c>
      <c r="P247" t="n">
        <v>0</v>
      </c>
      <c r="Q247" t="n">
        <v>0</v>
      </c>
      <c r="R247" s="2" t="inlineStr"/>
    </row>
    <row r="248" ht="15" customHeight="1">
      <c r="A248" t="inlineStr">
        <is>
          <t>A 47810-2019</t>
        </is>
      </c>
      <c r="B248" s="1" t="n">
        <v>43724</v>
      </c>
      <c r="C248" s="1" t="n">
        <v>45791</v>
      </c>
      <c r="D248" t="inlineStr">
        <is>
          <t>JÄMTLANDS LÄN</t>
        </is>
      </c>
      <c r="E248" t="inlineStr">
        <is>
          <t>ÖSTERSUND</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48115-2019</t>
        </is>
      </c>
      <c r="B249" s="1" t="n">
        <v>43725</v>
      </c>
      <c r="C249" s="1" t="n">
        <v>45791</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48680-2019</t>
        </is>
      </c>
      <c r="B250" s="1" t="n">
        <v>43727</v>
      </c>
      <c r="C250" s="1" t="n">
        <v>45791</v>
      </c>
      <c r="D250" t="inlineStr">
        <is>
          <t>JÄMTLANDS LÄN</t>
        </is>
      </c>
      <c r="E250" t="inlineStr">
        <is>
          <t>ÖSTERSUND</t>
        </is>
      </c>
      <c r="G250" t="n">
        <v>3</v>
      </c>
      <c r="H250" t="n">
        <v>0</v>
      </c>
      <c r="I250" t="n">
        <v>0</v>
      </c>
      <c r="J250" t="n">
        <v>0</v>
      </c>
      <c r="K250" t="n">
        <v>0</v>
      </c>
      <c r="L250" t="n">
        <v>0</v>
      </c>
      <c r="M250" t="n">
        <v>0</v>
      </c>
      <c r="N250" t="n">
        <v>0</v>
      </c>
      <c r="O250" t="n">
        <v>0</v>
      </c>
      <c r="P250" t="n">
        <v>0</v>
      </c>
      <c r="Q250" t="n">
        <v>0</v>
      </c>
      <c r="R250" s="2" t="inlineStr"/>
    </row>
    <row r="251" ht="15" customHeight="1">
      <c r="A251" t="inlineStr">
        <is>
          <t>A 49629-2019</t>
        </is>
      </c>
      <c r="B251" s="1" t="n">
        <v>43732</v>
      </c>
      <c r="C251" s="1" t="n">
        <v>45791</v>
      </c>
      <c r="D251" t="inlineStr">
        <is>
          <t>JÄMTLANDS LÄN</t>
        </is>
      </c>
      <c r="E251" t="inlineStr">
        <is>
          <t>ÖSTERSUND</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51347-2019</t>
        </is>
      </c>
      <c r="B252" s="1" t="n">
        <v>43732</v>
      </c>
      <c r="C252" s="1" t="n">
        <v>45791</v>
      </c>
      <c r="D252" t="inlineStr">
        <is>
          <t>JÄMTLANDS LÄN</t>
        </is>
      </c>
      <c r="E252" t="inlineStr">
        <is>
          <t>ÖSTERSUND</t>
        </is>
      </c>
      <c r="G252" t="n">
        <v>3.8</v>
      </c>
      <c r="H252" t="n">
        <v>0</v>
      </c>
      <c r="I252" t="n">
        <v>0</v>
      </c>
      <c r="J252" t="n">
        <v>0</v>
      </c>
      <c r="K252" t="n">
        <v>0</v>
      </c>
      <c r="L252" t="n">
        <v>0</v>
      </c>
      <c r="M252" t="n">
        <v>0</v>
      </c>
      <c r="N252" t="n">
        <v>0</v>
      </c>
      <c r="O252" t="n">
        <v>0</v>
      </c>
      <c r="P252" t="n">
        <v>0</v>
      </c>
      <c r="Q252" t="n">
        <v>0</v>
      </c>
      <c r="R252" s="2" t="inlineStr"/>
    </row>
    <row r="253" ht="15" customHeight="1">
      <c r="A253" t="inlineStr">
        <is>
          <t>A 49997-2019</t>
        </is>
      </c>
      <c r="B253" s="1" t="n">
        <v>43733</v>
      </c>
      <c r="C253" s="1" t="n">
        <v>45791</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50316-2019</t>
        </is>
      </c>
      <c r="B254" s="1" t="n">
        <v>43735</v>
      </c>
      <c r="C254" s="1" t="n">
        <v>45791</v>
      </c>
      <c r="D254" t="inlineStr">
        <is>
          <t>JÄMTLANDS LÄN</t>
        </is>
      </c>
      <c r="E254" t="inlineStr">
        <is>
          <t>ÖSTERSUND</t>
        </is>
      </c>
      <c r="G254" t="n">
        <v>9.5</v>
      </c>
      <c r="H254" t="n">
        <v>0</v>
      </c>
      <c r="I254" t="n">
        <v>0</v>
      </c>
      <c r="J254" t="n">
        <v>0</v>
      </c>
      <c r="K254" t="n">
        <v>0</v>
      </c>
      <c r="L254" t="n">
        <v>0</v>
      </c>
      <c r="M254" t="n">
        <v>0</v>
      </c>
      <c r="N254" t="n">
        <v>0</v>
      </c>
      <c r="O254" t="n">
        <v>0</v>
      </c>
      <c r="P254" t="n">
        <v>0</v>
      </c>
      <c r="Q254" t="n">
        <v>0</v>
      </c>
      <c r="R254" s="2" t="inlineStr"/>
    </row>
    <row r="255" ht="15" customHeight="1">
      <c r="A255" t="inlineStr">
        <is>
          <t>A 50779-2019</t>
        </is>
      </c>
      <c r="B255" s="1" t="n">
        <v>43738</v>
      </c>
      <c r="C255" s="1" t="n">
        <v>45791</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50968-2019</t>
        </is>
      </c>
      <c r="B256" s="1" t="n">
        <v>43738</v>
      </c>
      <c r="C256" s="1" t="n">
        <v>45791</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54498-2019</t>
        </is>
      </c>
      <c r="B257" s="1" t="n">
        <v>43747</v>
      </c>
      <c r="C257" s="1" t="n">
        <v>45791</v>
      </c>
      <c r="D257" t="inlineStr">
        <is>
          <t>JÄMTLANDS LÄN</t>
        </is>
      </c>
      <c r="E257" t="inlineStr">
        <is>
          <t>ÖSTERSUND</t>
        </is>
      </c>
      <c r="G257" t="n">
        <v>1</v>
      </c>
      <c r="H257" t="n">
        <v>0</v>
      </c>
      <c r="I257" t="n">
        <v>0</v>
      </c>
      <c r="J257" t="n">
        <v>0</v>
      </c>
      <c r="K257" t="n">
        <v>0</v>
      </c>
      <c r="L257" t="n">
        <v>0</v>
      </c>
      <c r="M257" t="n">
        <v>0</v>
      </c>
      <c r="N257" t="n">
        <v>0</v>
      </c>
      <c r="O257" t="n">
        <v>0</v>
      </c>
      <c r="P257" t="n">
        <v>0</v>
      </c>
      <c r="Q257" t="n">
        <v>0</v>
      </c>
      <c r="R257" s="2" t="inlineStr"/>
    </row>
    <row r="258" ht="15" customHeight="1">
      <c r="A258" t="inlineStr">
        <is>
          <t>A 53297-2019</t>
        </is>
      </c>
      <c r="B258" s="1" t="n">
        <v>43748</v>
      </c>
      <c r="C258" s="1" t="n">
        <v>45791</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53533-2019</t>
        </is>
      </c>
      <c r="B259" s="1" t="n">
        <v>43749</v>
      </c>
      <c r="C259" s="1" t="n">
        <v>45791</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53859-2019</t>
        </is>
      </c>
      <c r="B260" s="1" t="n">
        <v>43752</v>
      </c>
      <c r="C260" s="1" t="n">
        <v>45791</v>
      </c>
      <c r="D260" t="inlineStr">
        <is>
          <t>JÄMTLANDS LÄN</t>
        </is>
      </c>
      <c r="E260" t="inlineStr">
        <is>
          <t>ÖSTERSUND</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57466-2019</t>
        </is>
      </c>
      <c r="B261" s="1" t="n">
        <v>43761</v>
      </c>
      <c r="C261" s="1" t="n">
        <v>45791</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56512-2019</t>
        </is>
      </c>
      <c r="B262" s="1" t="n">
        <v>43762</v>
      </c>
      <c r="C262" s="1" t="n">
        <v>45791</v>
      </c>
      <c r="D262" t="inlineStr">
        <is>
          <t>JÄMTLANDS LÄN</t>
        </is>
      </c>
      <c r="E262" t="inlineStr">
        <is>
          <t>ÖSTERSUND</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57845-2019</t>
        </is>
      </c>
      <c r="B263" s="1" t="n">
        <v>43768</v>
      </c>
      <c r="C263" s="1" t="n">
        <v>45791</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58216-2019</t>
        </is>
      </c>
      <c r="B264" s="1" t="n">
        <v>43770</v>
      </c>
      <c r="C264" s="1" t="n">
        <v>45791</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58210-2019</t>
        </is>
      </c>
      <c r="B265" s="1" t="n">
        <v>43770</v>
      </c>
      <c r="C265" s="1" t="n">
        <v>45791</v>
      </c>
      <c r="D265" t="inlineStr">
        <is>
          <t>JÄMTLANDS LÄN</t>
        </is>
      </c>
      <c r="E265" t="inlineStr">
        <is>
          <t>ÖSTERSUND</t>
        </is>
      </c>
      <c r="G265" t="n">
        <v>2.6</v>
      </c>
      <c r="H265" t="n">
        <v>0</v>
      </c>
      <c r="I265" t="n">
        <v>0</v>
      </c>
      <c r="J265" t="n">
        <v>0</v>
      </c>
      <c r="K265" t="n">
        <v>0</v>
      </c>
      <c r="L265" t="n">
        <v>0</v>
      </c>
      <c r="M265" t="n">
        <v>0</v>
      </c>
      <c r="N265" t="n">
        <v>0</v>
      </c>
      <c r="O265" t="n">
        <v>0</v>
      </c>
      <c r="P265" t="n">
        <v>0</v>
      </c>
      <c r="Q265" t="n">
        <v>0</v>
      </c>
      <c r="R265" s="2" t="inlineStr"/>
    </row>
    <row r="266" ht="15" customHeight="1">
      <c r="A266" t="inlineStr">
        <is>
          <t>A 59437-2019</t>
        </is>
      </c>
      <c r="B266" s="1" t="n">
        <v>43773</v>
      </c>
      <c r="C266" s="1" t="n">
        <v>45791</v>
      </c>
      <c r="D266" t="inlineStr">
        <is>
          <t>JÄMTLANDS LÄN</t>
        </is>
      </c>
      <c r="E266" t="inlineStr">
        <is>
          <t>ÖSTERSUND</t>
        </is>
      </c>
      <c r="G266" t="n">
        <v>6.2</v>
      </c>
      <c r="H266" t="n">
        <v>0</v>
      </c>
      <c r="I266" t="n">
        <v>0</v>
      </c>
      <c r="J266" t="n">
        <v>0</v>
      </c>
      <c r="K266" t="n">
        <v>0</v>
      </c>
      <c r="L266" t="n">
        <v>0</v>
      </c>
      <c r="M266" t="n">
        <v>0</v>
      </c>
      <c r="N266" t="n">
        <v>0</v>
      </c>
      <c r="O266" t="n">
        <v>0</v>
      </c>
      <c r="P266" t="n">
        <v>0</v>
      </c>
      <c r="Q266" t="n">
        <v>0</v>
      </c>
      <c r="R266" s="2" t="inlineStr"/>
    </row>
    <row r="267" ht="15" customHeight="1">
      <c r="A267" t="inlineStr">
        <is>
          <t>A 60240-2019</t>
        </is>
      </c>
      <c r="B267" s="1" t="n">
        <v>43776</v>
      </c>
      <c r="C267" s="1" t="n">
        <v>45791</v>
      </c>
      <c r="D267" t="inlineStr">
        <is>
          <t>JÄMTLANDS LÄN</t>
        </is>
      </c>
      <c r="E267" t="inlineStr">
        <is>
          <t>ÖSTERSUND</t>
        </is>
      </c>
      <c r="G267" t="n">
        <v>3.9</v>
      </c>
      <c r="H267" t="n">
        <v>0</v>
      </c>
      <c r="I267" t="n">
        <v>0</v>
      </c>
      <c r="J267" t="n">
        <v>0</v>
      </c>
      <c r="K267" t="n">
        <v>0</v>
      </c>
      <c r="L267" t="n">
        <v>0</v>
      </c>
      <c r="M267" t="n">
        <v>0</v>
      </c>
      <c r="N267" t="n">
        <v>0</v>
      </c>
      <c r="O267" t="n">
        <v>0</v>
      </c>
      <c r="P267" t="n">
        <v>0</v>
      </c>
      <c r="Q267" t="n">
        <v>0</v>
      </c>
      <c r="R267" s="2" t="inlineStr"/>
    </row>
    <row r="268" ht="15" customHeight="1">
      <c r="A268" t="inlineStr">
        <is>
          <t>A 60001-2019</t>
        </is>
      </c>
      <c r="B268" s="1" t="n">
        <v>43777</v>
      </c>
      <c r="C268" s="1" t="n">
        <v>45791</v>
      </c>
      <c r="D268" t="inlineStr">
        <is>
          <t>JÄMTLANDS LÄN</t>
        </is>
      </c>
      <c r="E268" t="inlineStr">
        <is>
          <t>ÖSTERSUND</t>
        </is>
      </c>
      <c r="G268" t="n">
        <v>3.2</v>
      </c>
      <c r="H268" t="n">
        <v>0</v>
      </c>
      <c r="I268" t="n">
        <v>0</v>
      </c>
      <c r="J268" t="n">
        <v>0</v>
      </c>
      <c r="K268" t="n">
        <v>0</v>
      </c>
      <c r="L268" t="n">
        <v>0</v>
      </c>
      <c r="M268" t="n">
        <v>0</v>
      </c>
      <c r="N268" t="n">
        <v>0</v>
      </c>
      <c r="O268" t="n">
        <v>0</v>
      </c>
      <c r="P268" t="n">
        <v>0</v>
      </c>
      <c r="Q268" t="n">
        <v>0</v>
      </c>
      <c r="R268" s="2" t="inlineStr"/>
    </row>
    <row r="269" ht="15" customHeight="1">
      <c r="A269" t="inlineStr">
        <is>
          <t>A 60669-2019</t>
        </is>
      </c>
      <c r="B269" s="1" t="n">
        <v>43781</v>
      </c>
      <c r="C269" s="1" t="n">
        <v>45791</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60604-2019</t>
        </is>
      </c>
      <c r="B270" s="1" t="n">
        <v>43781</v>
      </c>
      <c r="C270" s="1" t="n">
        <v>45791</v>
      </c>
      <c r="D270" t="inlineStr">
        <is>
          <t>JÄMTLANDS LÄN</t>
        </is>
      </c>
      <c r="E270" t="inlineStr">
        <is>
          <t>ÖSTERSUND</t>
        </is>
      </c>
      <c r="G270" t="n">
        <v>8.9</v>
      </c>
      <c r="H270" t="n">
        <v>0</v>
      </c>
      <c r="I270" t="n">
        <v>0</v>
      </c>
      <c r="J270" t="n">
        <v>0</v>
      </c>
      <c r="K270" t="n">
        <v>0</v>
      </c>
      <c r="L270" t="n">
        <v>0</v>
      </c>
      <c r="M270" t="n">
        <v>0</v>
      </c>
      <c r="N270" t="n">
        <v>0</v>
      </c>
      <c r="O270" t="n">
        <v>0</v>
      </c>
      <c r="P270" t="n">
        <v>0</v>
      </c>
      <c r="Q270" t="n">
        <v>0</v>
      </c>
      <c r="R270" s="2" t="inlineStr"/>
    </row>
    <row r="271" ht="15" customHeight="1">
      <c r="A271" t="inlineStr">
        <is>
          <t>A 62234-2019</t>
        </is>
      </c>
      <c r="B271" s="1" t="n">
        <v>43784</v>
      </c>
      <c r="C271" s="1" t="n">
        <v>45791</v>
      </c>
      <c r="D271" t="inlineStr">
        <is>
          <t>JÄMTLANDS LÄN</t>
        </is>
      </c>
      <c r="E271" t="inlineStr">
        <is>
          <t>ÖSTERSUND</t>
        </is>
      </c>
      <c r="G271" t="n">
        <v>1.3</v>
      </c>
      <c r="H271" t="n">
        <v>0</v>
      </c>
      <c r="I271" t="n">
        <v>0</v>
      </c>
      <c r="J271" t="n">
        <v>0</v>
      </c>
      <c r="K271" t="n">
        <v>0</v>
      </c>
      <c r="L271" t="n">
        <v>0</v>
      </c>
      <c r="M271" t="n">
        <v>0</v>
      </c>
      <c r="N271" t="n">
        <v>0</v>
      </c>
      <c r="O271" t="n">
        <v>0</v>
      </c>
      <c r="P271" t="n">
        <v>0</v>
      </c>
      <c r="Q271" t="n">
        <v>0</v>
      </c>
      <c r="R271" s="2" t="inlineStr"/>
    </row>
    <row r="272" ht="15" customHeight="1">
      <c r="A272" t="inlineStr">
        <is>
          <t>A 62136-2019</t>
        </is>
      </c>
      <c r="B272" s="1" t="n">
        <v>43787</v>
      </c>
      <c r="C272" s="1" t="n">
        <v>45791</v>
      </c>
      <c r="D272" t="inlineStr">
        <is>
          <t>JÄMTLANDS LÄN</t>
        </is>
      </c>
      <c r="E272" t="inlineStr">
        <is>
          <t>ÖSTERSUND</t>
        </is>
      </c>
      <c r="F272" t="inlineStr">
        <is>
          <t>Övriga Aktiebolag</t>
        </is>
      </c>
      <c r="G272" t="n">
        <v>35.2</v>
      </c>
      <c r="H272" t="n">
        <v>0</v>
      </c>
      <c r="I272" t="n">
        <v>0</v>
      </c>
      <c r="J272" t="n">
        <v>0</v>
      </c>
      <c r="K272" t="n">
        <v>0</v>
      </c>
      <c r="L272" t="n">
        <v>0</v>
      </c>
      <c r="M272" t="n">
        <v>0</v>
      </c>
      <c r="N272" t="n">
        <v>0</v>
      </c>
      <c r="O272" t="n">
        <v>0</v>
      </c>
      <c r="P272" t="n">
        <v>0</v>
      </c>
      <c r="Q272" t="n">
        <v>0</v>
      </c>
      <c r="R272" s="2" t="inlineStr"/>
    </row>
    <row r="273" ht="15" customHeight="1">
      <c r="A273" t="inlineStr">
        <is>
          <t>A 64622-2019</t>
        </is>
      </c>
      <c r="B273" s="1" t="n">
        <v>43794</v>
      </c>
      <c r="C273" s="1" t="n">
        <v>45791</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65335-2019</t>
        </is>
      </c>
      <c r="B274" s="1" t="n">
        <v>43802</v>
      </c>
      <c r="C274" s="1" t="n">
        <v>45791</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67010-2019</t>
        </is>
      </c>
      <c r="B275" s="1" t="n">
        <v>43805</v>
      </c>
      <c r="C275" s="1" t="n">
        <v>45791</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66592-2019</t>
        </is>
      </c>
      <c r="B276" s="1" t="n">
        <v>43809</v>
      </c>
      <c r="C276" s="1" t="n">
        <v>45791</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67863-2019</t>
        </is>
      </c>
      <c r="B277" s="1" t="n">
        <v>43809</v>
      </c>
      <c r="C277" s="1" t="n">
        <v>45791</v>
      </c>
      <c r="D277" t="inlineStr">
        <is>
          <t>JÄMTLANDS LÄN</t>
        </is>
      </c>
      <c r="E277" t="inlineStr">
        <is>
          <t>ÖSTERSUND</t>
        </is>
      </c>
      <c r="G277" t="n">
        <v>2.3</v>
      </c>
      <c r="H277" t="n">
        <v>0</v>
      </c>
      <c r="I277" t="n">
        <v>0</v>
      </c>
      <c r="J277" t="n">
        <v>0</v>
      </c>
      <c r="K277" t="n">
        <v>0</v>
      </c>
      <c r="L277" t="n">
        <v>0</v>
      </c>
      <c r="M277" t="n">
        <v>0</v>
      </c>
      <c r="N277" t="n">
        <v>0</v>
      </c>
      <c r="O277" t="n">
        <v>0</v>
      </c>
      <c r="P277" t="n">
        <v>0</v>
      </c>
      <c r="Q277" t="n">
        <v>0</v>
      </c>
      <c r="R277" s="2" t="inlineStr"/>
    </row>
    <row r="278" ht="15" customHeight="1">
      <c r="A278" t="inlineStr">
        <is>
          <t>A 68238-2019</t>
        </is>
      </c>
      <c r="B278" s="1" t="n">
        <v>43817</v>
      </c>
      <c r="C278" s="1" t="n">
        <v>45791</v>
      </c>
      <c r="D278" t="inlineStr">
        <is>
          <t>JÄMTLANDS LÄN</t>
        </is>
      </c>
      <c r="E278" t="inlineStr">
        <is>
          <t>ÖSTERSUND</t>
        </is>
      </c>
      <c r="G278" t="n">
        <v>2.7</v>
      </c>
      <c r="H278" t="n">
        <v>0</v>
      </c>
      <c r="I278" t="n">
        <v>0</v>
      </c>
      <c r="J278" t="n">
        <v>0</v>
      </c>
      <c r="K278" t="n">
        <v>0</v>
      </c>
      <c r="L278" t="n">
        <v>0</v>
      </c>
      <c r="M278" t="n">
        <v>0</v>
      </c>
      <c r="N278" t="n">
        <v>0</v>
      </c>
      <c r="O278" t="n">
        <v>0</v>
      </c>
      <c r="P278" t="n">
        <v>0</v>
      </c>
      <c r="Q278" t="n">
        <v>0</v>
      </c>
      <c r="R278" s="2" t="inlineStr"/>
    </row>
    <row r="279" ht="15" customHeight="1">
      <c r="A279" t="inlineStr">
        <is>
          <t>A 745-2020</t>
        </is>
      </c>
      <c r="B279" s="1" t="n">
        <v>43838</v>
      </c>
      <c r="C279" s="1" t="n">
        <v>45791</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1088-2020</t>
        </is>
      </c>
      <c r="B280" s="1" t="n">
        <v>43840</v>
      </c>
      <c r="C280" s="1" t="n">
        <v>45791</v>
      </c>
      <c r="D280" t="inlineStr">
        <is>
          <t>JÄMTLANDS LÄN</t>
        </is>
      </c>
      <c r="E280" t="inlineStr">
        <is>
          <t>ÖSTERSUND</t>
        </is>
      </c>
      <c r="G280" t="n">
        <v>4.4</v>
      </c>
      <c r="H280" t="n">
        <v>0</v>
      </c>
      <c r="I280" t="n">
        <v>0</v>
      </c>
      <c r="J280" t="n">
        <v>0</v>
      </c>
      <c r="K280" t="n">
        <v>0</v>
      </c>
      <c r="L280" t="n">
        <v>0</v>
      </c>
      <c r="M280" t="n">
        <v>0</v>
      </c>
      <c r="N280" t="n">
        <v>0</v>
      </c>
      <c r="O280" t="n">
        <v>0</v>
      </c>
      <c r="P280" t="n">
        <v>0</v>
      </c>
      <c r="Q280" t="n">
        <v>0</v>
      </c>
      <c r="R280" s="2" t="inlineStr"/>
    </row>
    <row r="281" ht="15" customHeight="1">
      <c r="A281" t="inlineStr">
        <is>
          <t>A 1268-2020</t>
        </is>
      </c>
      <c r="B281" s="1" t="n">
        <v>43840</v>
      </c>
      <c r="C281" s="1" t="n">
        <v>45791</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1077-2020</t>
        </is>
      </c>
      <c r="B282" s="1" t="n">
        <v>43840</v>
      </c>
      <c r="C282" s="1" t="n">
        <v>45791</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5905-2020</t>
        </is>
      </c>
      <c r="B283" s="1" t="n">
        <v>43861</v>
      </c>
      <c r="C283" s="1" t="n">
        <v>45791</v>
      </c>
      <c r="D283" t="inlineStr">
        <is>
          <t>JÄMTLANDS LÄN</t>
        </is>
      </c>
      <c r="E283" t="inlineStr">
        <is>
          <t>ÖSTERSUND</t>
        </is>
      </c>
      <c r="G283" t="n">
        <v>2.6</v>
      </c>
      <c r="H283" t="n">
        <v>0</v>
      </c>
      <c r="I283" t="n">
        <v>0</v>
      </c>
      <c r="J283" t="n">
        <v>0</v>
      </c>
      <c r="K283" t="n">
        <v>0</v>
      </c>
      <c r="L283" t="n">
        <v>0</v>
      </c>
      <c r="M283" t="n">
        <v>0</v>
      </c>
      <c r="N283" t="n">
        <v>0</v>
      </c>
      <c r="O283" t="n">
        <v>0</v>
      </c>
      <c r="P283" t="n">
        <v>0</v>
      </c>
      <c r="Q283" t="n">
        <v>0</v>
      </c>
      <c r="R283" s="2" t="inlineStr"/>
    </row>
    <row r="284" ht="15" customHeight="1">
      <c r="A284" t="inlineStr">
        <is>
          <t>A 6028-2020</t>
        </is>
      </c>
      <c r="B284" s="1" t="n">
        <v>43864</v>
      </c>
      <c r="C284" s="1" t="n">
        <v>45791</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6522-2020</t>
        </is>
      </c>
      <c r="B285" s="1" t="n">
        <v>43864</v>
      </c>
      <c r="C285" s="1" t="n">
        <v>45791</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6566-2020</t>
        </is>
      </c>
      <c r="B286" s="1" t="n">
        <v>43865</v>
      </c>
      <c r="C286" s="1" t="n">
        <v>45791</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7255-2020</t>
        </is>
      </c>
      <c r="B287" s="1" t="n">
        <v>43871</v>
      </c>
      <c r="C287" s="1" t="n">
        <v>45791</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7570-2020</t>
        </is>
      </c>
      <c r="B288" s="1" t="n">
        <v>43871</v>
      </c>
      <c r="C288" s="1" t="n">
        <v>45791</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8401-2020</t>
        </is>
      </c>
      <c r="B289" s="1" t="n">
        <v>43875</v>
      </c>
      <c r="C289" s="1" t="n">
        <v>45791</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11566-2020</t>
        </is>
      </c>
      <c r="B290" s="1" t="n">
        <v>43893</v>
      </c>
      <c r="C290" s="1" t="n">
        <v>45791</v>
      </c>
      <c r="D290" t="inlineStr">
        <is>
          <t>JÄMTLANDS LÄN</t>
        </is>
      </c>
      <c r="E290" t="inlineStr">
        <is>
          <t>ÖSTERSUND</t>
        </is>
      </c>
      <c r="G290" t="n">
        <v>2</v>
      </c>
      <c r="H290" t="n">
        <v>0</v>
      </c>
      <c r="I290" t="n">
        <v>0</v>
      </c>
      <c r="J290" t="n">
        <v>0</v>
      </c>
      <c r="K290" t="n">
        <v>0</v>
      </c>
      <c r="L290" t="n">
        <v>0</v>
      </c>
      <c r="M290" t="n">
        <v>0</v>
      </c>
      <c r="N290" t="n">
        <v>0</v>
      </c>
      <c r="O290" t="n">
        <v>0</v>
      </c>
      <c r="P290" t="n">
        <v>0</v>
      </c>
      <c r="Q290" t="n">
        <v>0</v>
      </c>
      <c r="R290" s="2" t="inlineStr"/>
    </row>
    <row r="291" ht="15" customHeight="1">
      <c r="A291" t="inlineStr">
        <is>
          <t>A 12202-2020</t>
        </is>
      </c>
      <c r="B291" s="1" t="n">
        <v>43895</v>
      </c>
      <c r="C291" s="1" t="n">
        <v>45791</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13264-2020</t>
        </is>
      </c>
      <c r="B292" s="1" t="n">
        <v>43901</v>
      </c>
      <c r="C292" s="1" t="n">
        <v>45791</v>
      </c>
      <c r="D292" t="inlineStr">
        <is>
          <t>JÄMTLANDS LÄN</t>
        </is>
      </c>
      <c r="E292" t="inlineStr">
        <is>
          <t>ÖSTERSUND</t>
        </is>
      </c>
      <c r="G292" t="n">
        <v>4.4</v>
      </c>
      <c r="H292" t="n">
        <v>0</v>
      </c>
      <c r="I292" t="n">
        <v>0</v>
      </c>
      <c r="J292" t="n">
        <v>0</v>
      </c>
      <c r="K292" t="n">
        <v>0</v>
      </c>
      <c r="L292" t="n">
        <v>0</v>
      </c>
      <c r="M292" t="n">
        <v>0</v>
      </c>
      <c r="N292" t="n">
        <v>0</v>
      </c>
      <c r="O292" t="n">
        <v>0</v>
      </c>
      <c r="P292" t="n">
        <v>0</v>
      </c>
      <c r="Q292" t="n">
        <v>0</v>
      </c>
      <c r="R292" s="2" t="inlineStr"/>
    </row>
    <row r="293" ht="15" customHeight="1">
      <c r="A293" t="inlineStr">
        <is>
          <t>A 14917-2020</t>
        </is>
      </c>
      <c r="B293" s="1" t="n">
        <v>43906</v>
      </c>
      <c r="C293" s="1" t="n">
        <v>45791</v>
      </c>
      <c r="D293" t="inlineStr">
        <is>
          <t>JÄMTLANDS LÄN</t>
        </is>
      </c>
      <c r="E293" t="inlineStr">
        <is>
          <t>ÖSTERSUND</t>
        </is>
      </c>
      <c r="G293" t="n">
        <v>12.9</v>
      </c>
      <c r="H293" t="n">
        <v>0</v>
      </c>
      <c r="I293" t="n">
        <v>0</v>
      </c>
      <c r="J293" t="n">
        <v>0</v>
      </c>
      <c r="K293" t="n">
        <v>0</v>
      </c>
      <c r="L293" t="n">
        <v>0</v>
      </c>
      <c r="M293" t="n">
        <v>0</v>
      </c>
      <c r="N293" t="n">
        <v>0</v>
      </c>
      <c r="O293" t="n">
        <v>0</v>
      </c>
      <c r="P293" t="n">
        <v>0</v>
      </c>
      <c r="Q293" t="n">
        <v>0</v>
      </c>
      <c r="R293" s="2" t="inlineStr"/>
    </row>
    <row r="294" ht="15" customHeight="1">
      <c r="A294" t="inlineStr">
        <is>
          <t>A 15797-2020</t>
        </is>
      </c>
      <c r="B294" s="1" t="n">
        <v>43909</v>
      </c>
      <c r="C294" s="1" t="n">
        <v>45791</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14903-2020</t>
        </is>
      </c>
      <c r="B295" s="1" t="n">
        <v>43910</v>
      </c>
      <c r="C295" s="1" t="n">
        <v>45791</v>
      </c>
      <c r="D295" t="inlineStr">
        <is>
          <t>JÄMTLANDS LÄN</t>
        </is>
      </c>
      <c r="E295" t="inlineStr">
        <is>
          <t>ÖSTERSUND</t>
        </is>
      </c>
      <c r="F295" t="inlineStr">
        <is>
          <t>Kyrkan</t>
        </is>
      </c>
      <c r="G295" t="n">
        <v>2.3</v>
      </c>
      <c r="H295" t="n">
        <v>0</v>
      </c>
      <c r="I295" t="n">
        <v>0</v>
      </c>
      <c r="J295" t="n">
        <v>0</v>
      </c>
      <c r="K295" t="n">
        <v>0</v>
      </c>
      <c r="L295" t="n">
        <v>0</v>
      </c>
      <c r="M295" t="n">
        <v>0</v>
      </c>
      <c r="N295" t="n">
        <v>0</v>
      </c>
      <c r="O295" t="n">
        <v>0</v>
      </c>
      <c r="P295" t="n">
        <v>0</v>
      </c>
      <c r="Q295" t="n">
        <v>0</v>
      </c>
      <c r="R295" s="2" t="inlineStr"/>
    </row>
    <row r="296" ht="15" customHeight="1">
      <c r="A296" t="inlineStr">
        <is>
          <t>A 17464-2020</t>
        </is>
      </c>
      <c r="B296" s="1" t="n">
        <v>43917</v>
      </c>
      <c r="C296" s="1" t="n">
        <v>45791</v>
      </c>
      <c r="D296" t="inlineStr">
        <is>
          <t>JÄMTLANDS LÄN</t>
        </is>
      </c>
      <c r="E296" t="inlineStr">
        <is>
          <t>ÖSTERSUND</t>
        </is>
      </c>
      <c r="G296" t="n">
        <v>3.8</v>
      </c>
      <c r="H296" t="n">
        <v>0</v>
      </c>
      <c r="I296" t="n">
        <v>0</v>
      </c>
      <c r="J296" t="n">
        <v>0</v>
      </c>
      <c r="K296" t="n">
        <v>0</v>
      </c>
      <c r="L296" t="n">
        <v>0</v>
      </c>
      <c r="M296" t="n">
        <v>0</v>
      </c>
      <c r="N296" t="n">
        <v>0</v>
      </c>
      <c r="O296" t="n">
        <v>0</v>
      </c>
      <c r="P296" t="n">
        <v>0</v>
      </c>
      <c r="Q296" t="n">
        <v>0</v>
      </c>
      <c r="R296" s="2" t="inlineStr"/>
    </row>
    <row r="297" ht="15" customHeight="1">
      <c r="A297" t="inlineStr">
        <is>
          <t>A 18339-2020</t>
        </is>
      </c>
      <c r="B297" s="1" t="n">
        <v>43928</v>
      </c>
      <c r="C297" s="1" t="n">
        <v>45791</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18683-2020</t>
        </is>
      </c>
      <c r="B298" s="1" t="n">
        <v>43930</v>
      </c>
      <c r="C298" s="1" t="n">
        <v>45791</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19631-2020</t>
        </is>
      </c>
      <c r="B299" s="1" t="n">
        <v>43936</v>
      </c>
      <c r="C299" s="1" t="n">
        <v>45791</v>
      </c>
      <c r="D299" t="inlineStr">
        <is>
          <t>JÄMTLANDS LÄN</t>
        </is>
      </c>
      <c r="E299" t="inlineStr">
        <is>
          <t>ÖSTERSUND</t>
        </is>
      </c>
      <c r="G299" t="n">
        <v>5.5</v>
      </c>
      <c r="H299" t="n">
        <v>0</v>
      </c>
      <c r="I299" t="n">
        <v>0</v>
      </c>
      <c r="J299" t="n">
        <v>0</v>
      </c>
      <c r="K299" t="n">
        <v>0</v>
      </c>
      <c r="L299" t="n">
        <v>0</v>
      </c>
      <c r="M299" t="n">
        <v>0</v>
      </c>
      <c r="N299" t="n">
        <v>0</v>
      </c>
      <c r="O299" t="n">
        <v>0</v>
      </c>
      <c r="P299" t="n">
        <v>0</v>
      </c>
      <c r="Q299" t="n">
        <v>0</v>
      </c>
      <c r="R299" s="2" t="inlineStr"/>
    </row>
    <row r="300" ht="15" customHeight="1">
      <c r="A300" t="inlineStr">
        <is>
          <t>A 19923-2020</t>
        </is>
      </c>
      <c r="B300" s="1" t="n">
        <v>43943</v>
      </c>
      <c r="C300" s="1" t="n">
        <v>45791</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20198-2020</t>
        </is>
      </c>
      <c r="B301" s="1" t="n">
        <v>43944</v>
      </c>
      <c r="C301" s="1" t="n">
        <v>45791</v>
      </c>
      <c r="D301" t="inlineStr">
        <is>
          <t>JÄMTLANDS LÄN</t>
        </is>
      </c>
      <c r="E301" t="inlineStr">
        <is>
          <t>ÖSTERSUND</t>
        </is>
      </c>
      <c r="G301" t="n">
        <v>2</v>
      </c>
      <c r="H301" t="n">
        <v>0</v>
      </c>
      <c r="I301" t="n">
        <v>0</v>
      </c>
      <c r="J301" t="n">
        <v>0</v>
      </c>
      <c r="K301" t="n">
        <v>0</v>
      </c>
      <c r="L301" t="n">
        <v>0</v>
      </c>
      <c r="M301" t="n">
        <v>0</v>
      </c>
      <c r="N301" t="n">
        <v>0</v>
      </c>
      <c r="O301" t="n">
        <v>0</v>
      </c>
      <c r="P301" t="n">
        <v>0</v>
      </c>
      <c r="Q301" t="n">
        <v>0</v>
      </c>
      <c r="R301" s="2" t="inlineStr"/>
    </row>
    <row r="302" ht="15" customHeight="1">
      <c r="A302" t="inlineStr">
        <is>
          <t>A 23507-2020</t>
        </is>
      </c>
      <c r="B302" s="1" t="n">
        <v>43969</v>
      </c>
      <c r="C302" s="1" t="n">
        <v>45791</v>
      </c>
      <c r="D302" t="inlineStr">
        <is>
          <t>JÄMTLANDS LÄN</t>
        </is>
      </c>
      <c r="E302" t="inlineStr">
        <is>
          <t>ÖSTERSUND</t>
        </is>
      </c>
      <c r="G302" t="n">
        <v>5.8</v>
      </c>
      <c r="H302" t="n">
        <v>0</v>
      </c>
      <c r="I302" t="n">
        <v>0</v>
      </c>
      <c r="J302" t="n">
        <v>0</v>
      </c>
      <c r="K302" t="n">
        <v>0</v>
      </c>
      <c r="L302" t="n">
        <v>0</v>
      </c>
      <c r="M302" t="n">
        <v>0</v>
      </c>
      <c r="N302" t="n">
        <v>0</v>
      </c>
      <c r="O302" t="n">
        <v>0</v>
      </c>
      <c r="P302" t="n">
        <v>0</v>
      </c>
      <c r="Q302" t="n">
        <v>0</v>
      </c>
      <c r="R302" s="2" t="inlineStr"/>
    </row>
    <row r="303" ht="15" customHeight="1">
      <c r="A303" t="inlineStr">
        <is>
          <t>A 23445-2020</t>
        </is>
      </c>
      <c r="B303" s="1" t="n">
        <v>43969</v>
      </c>
      <c r="C303" s="1" t="n">
        <v>45791</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24259-2020</t>
        </is>
      </c>
      <c r="B304" s="1" t="n">
        <v>43970</v>
      </c>
      <c r="C304" s="1" t="n">
        <v>45791</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24253-2020</t>
        </is>
      </c>
      <c r="B305" s="1" t="n">
        <v>43970</v>
      </c>
      <c r="C305" s="1" t="n">
        <v>45791</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25148-2020</t>
        </is>
      </c>
      <c r="B306" s="1" t="n">
        <v>43978</v>
      </c>
      <c r="C306" s="1" t="n">
        <v>45791</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26410-2020</t>
        </is>
      </c>
      <c r="B307" s="1" t="n">
        <v>43986</v>
      </c>
      <c r="C307" s="1" t="n">
        <v>45791</v>
      </c>
      <c r="D307" t="inlineStr">
        <is>
          <t>JÄMTLANDS LÄN</t>
        </is>
      </c>
      <c r="E307" t="inlineStr">
        <is>
          <t>ÖSTERSUND</t>
        </is>
      </c>
      <c r="G307" t="n">
        <v>2.1</v>
      </c>
      <c r="H307" t="n">
        <v>0</v>
      </c>
      <c r="I307" t="n">
        <v>0</v>
      </c>
      <c r="J307" t="n">
        <v>0</v>
      </c>
      <c r="K307" t="n">
        <v>0</v>
      </c>
      <c r="L307" t="n">
        <v>0</v>
      </c>
      <c r="M307" t="n">
        <v>0</v>
      </c>
      <c r="N307" t="n">
        <v>0</v>
      </c>
      <c r="O307" t="n">
        <v>0</v>
      </c>
      <c r="P307" t="n">
        <v>0</v>
      </c>
      <c r="Q307" t="n">
        <v>0</v>
      </c>
      <c r="R307" s="2" t="inlineStr"/>
    </row>
    <row r="308" ht="15" customHeight="1">
      <c r="A308" t="inlineStr">
        <is>
          <t>A 27576-2020</t>
        </is>
      </c>
      <c r="B308" s="1" t="n">
        <v>43992</v>
      </c>
      <c r="C308" s="1" t="n">
        <v>45791</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29635-2020</t>
        </is>
      </c>
      <c r="B309" s="1" t="n">
        <v>44000</v>
      </c>
      <c r="C309" s="1" t="n">
        <v>45791</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29435-2020</t>
        </is>
      </c>
      <c r="B310" s="1" t="n">
        <v>44004</v>
      </c>
      <c r="C310" s="1" t="n">
        <v>45791</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29479-2020</t>
        </is>
      </c>
      <c r="B311" s="1" t="n">
        <v>44005</v>
      </c>
      <c r="C311" s="1" t="n">
        <v>45791</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29581-2020</t>
        </is>
      </c>
      <c r="B312" s="1" t="n">
        <v>44004</v>
      </c>
      <c r="C312" s="1" t="n">
        <v>45791</v>
      </c>
      <c r="D312" t="inlineStr">
        <is>
          <t>JÄMTLANDS LÄN</t>
        </is>
      </c>
      <c r="E312" t="inlineStr">
        <is>
          <t>ÖSTERSUND</t>
        </is>
      </c>
      <c r="G312" t="n">
        <v>0.4</v>
      </c>
      <c r="H312" t="n">
        <v>0</v>
      </c>
      <c r="I312" t="n">
        <v>0</v>
      </c>
      <c r="J312" t="n">
        <v>0</v>
      </c>
      <c r="K312" t="n">
        <v>0</v>
      </c>
      <c r="L312" t="n">
        <v>0</v>
      </c>
      <c r="M312" t="n">
        <v>0</v>
      </c>
      <c r="N312" t="n">
        <v>0</v>
      </c>
      <c r="O312" t="n">
        <v>0</v>
      </c>
      <c r="P312" t="n">
        <v>0</v>
      </c>
      <c r="Q312" t="n">
        <v>0</v>
      </c>
      <c r="R312" s="2" t="inlineStr"/>
    </row>
    <row r="313" ht="15" customHeight="1">
      <c r="A313" t="inlineStr">
        <is>
          <t>A 30676-2020</t>
        </is>
      </c>
      <c r="B313" s="1" t="n">
        <v>44008</v>
      </c>
      <c r="C313" s="1" t="n">
        <v>45791</v>
      </c>
      <c r="D313" t="inlineStr">
        <is>
          <t>JÄMTLANDS LÄN</t>
        </is>
      </c>
      <c r="E313" t="inlineStr">
        <is>
          <t>ÖSTERSUND</t>
        </is>
      </c>
      <c r="G313" t="n">
        <v>2.4</v>
      </c>
      <c r="H313" t="n">
        <v>0</v>
      </c>
      <c r="I313" t="n">
        <v>0</v>
      </c>
      <c r="J313" t="n">
        <v>0</v>
      </c>
      <c r="K313" t="n">
        <v>0</v>
      </c>
      <c r="L313" t="n">
        <v>0</v>
      </c>
      <c r="M313" t="n">
        <v>0</v>
      </c>
      <c r="N313" t="n">
        <v>0</v>
      </c>
      <c r="O313" t="n">
        <v>0</v>
      </c>
      <c r="P313" t="n">
        <v>0</v>
      </c>
      <c r="Q313" t="n">
        <v>0</v>
      </c>
      <c r="R313" s="2" t="inlineStr"/>
    </row>
    <row r="314" ht="15" customHeight="1">
      <c r="A314" t="inlineStr">
        <is>
          <t>A 33945-2020</t>
        </is>
      </c>
      <c r="B314" s="1" t="n">
        <v>44027</v>
      </c>
      <c r="C314" s="1" t="n">
        <v>45791</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34703-2020</t>
        </is>
      </c>
      <c r="B315" s="1" t="n">
        <v>44035</v>
      </c>
      <c r="C315" s="1" t="n">
        <v>45791</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37500-2020</t>
        </is>
      </c>
      <c r="B316" s="1" t="n">
        <v>44055</v>
      </c>
      <c r="C316" s="1" t="n">
        <v>45791</v>
      </c>
      <c r="D316" t="inlineStr">
        <is>
          <t>JÄMTLANDS LÄN</t>
        </is>
      </c>
      <c r="E316" t="inlineStr">
        <is>
          <t>ÖSTERSUND</t>
        </is>
      </c>
      <c r="G316" t="n">
        <v>4.8</v>
      </c>
      <c r="H316" t="n">
        <v>0</v>
      </c>
      <c r="I316" t="n">
        <v>0</v>
      </c>
      <c r="J316" t="n">
        <v>0</v>
      </c>
      <c r="K316" t="n">
        <v>0</v>
      </c>
      <c r="L316" t="n">
        <v>0</v>
      </c>
      <c r="M316" t="n">
        <v>0</v>
      </c>
      <c r="N316" t="n">
        <v>0</v>
      </c>
      <c r="O316" t="n">
        <v>0</v>
      </c>
      <c r="P316" t="n">
        <v>0</v>
      </c>
      <c r="Q316" t="n">
        <v>0</v>
      </c>
      <c r="R316" s="2" t="inlineStr"/>
    </row>
    <row r="317" ht="15" customHeight="1">
      <c r="A317" t="inlineStr">
        <is>
          <t>A 38099-2020</t>
        </is>
      </c>
      <c r="B317" s="1" t="n">
        <v>44057</v>
      </c>
      <c r="C317" s="1" t="n">
        <v>45791</v>
      </c>
      <c r="D317" t="inlineStr">
        <is>
          <t>JÄMTLANDS LÄN</t>
        </is>
      </c>
      <c r="E317" t="inlineStr">
        <is>
          <t>ÖSTERSUND</t>
        </is>
      </c>
      <c r="F317" t="inlineStr">
        <is>
          <t>SCA</t>
        </is>
      </c>
      <c r="G317" t="n">
        <v>5.5</v>
      </c>
      <c r="H317" t="n">
        <v>0</v>
      </c>
      <c r="I317" t="n">
        <v>0</v>
      </c>
      <c r="J317" t="n">
        <v>0</v>
      </c>
      <c r="K317" t="n">
        <v>0</v>
      </c>
      <c r="L317" t="n">
        <v>0</v>
      </c>
      <c r="M317" t="n">
        <v>0</v>
      </c>
      <c r="N317" t="n">
        <v>0</v>
      </c>
      <c r="O317" t="n">
        <v>0</v>
      </c>
      <c r="P317" t="n">
        <v>0</v>
      </c>
      <c r="Q317" t="n">
        <v>0</v>
      </c>
      <c r="R317" s="2" t="inlineStr"/>
    </row>
    <row r="318" ht="15" customHeight="1">
      <c r="A318" t="inlineStr">
        <is>
          <t>A 41354-2020</t>
        </is>
      </c>
      <c r="B318" s="1" t="n">
        <v>44072</v>
      </c>
      <c r="C318" s="1" t="n">
        <v>45791</v>
      </c>
      <c r="D318" t="inlineStr">
        <is>
          <t>JÄMTLANDS LÄN</t>
        </is>
      </c>
      <c r="E318" t="inlineStr">
        <is>
          <t>ÖSTERSUND</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42712-2020</t>
        </is>
      </c>
      <c r="B319" s="1" t="n">
        <v>44076</v>
      </c>
      <c r="C319" s="1" t="n">
        <v>45791</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42749-2020</t>
        </is>
      </c>
      <c r="B320" s="1" t="n">
        <v>44078</v>
      </c>
      <c r="C320" s="1" t="n">
        <v>45791</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42765-2020</t>
        </is>
      </c>
      <c r="B321" s="1" t="n">
        <v>44077</v>
      </c>
      <c r="C321" s="1" t="n">
        <v>45791</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42766-2020</t>
        </is>
      </c>
      <c r="B322" s="1" t="n">
        <v>44077</v>
      </c>
      <c r="C322" s="1" t="n">
        <v>45791</v>
      </c>
      <c r="D322" t="inlineStr">
        <is>
          <t>JÄMTLANDS LÄN</t>
        </is>
      </c>
      <c r="E322" t="inlineStr">
        <is>
          <t>ÖSTERSUND</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43796-2020</t>
        </is>
      </c>
      <c r="B323" s="1" t="n">
        <v>44082</v>
      </c>
      <c r="C323" s="1" t="n">
        <v>45791</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45820-2020</t>
        </is>
      </c>
      <c r="B324" s="1" t="n">
        <v>44090</v>
      </c>
      <c r="C324" s="1" t="n">
        <v>45791</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50121-2020</t>
        </is>
      </c>
      <c r="B325" s="1" t="n">
        <v>44106</v>
      </c>
      <c r="C325" s="1" t="n">
        <v>45791</v>
      </c>
      <c r="D325" t="inlineStr">
        <is>
          <t>JÄMTLANDS LÄN</t>
        </is>
      </c>
      <c r="E325" t="inlineStr">
        <is>
          <t>ÖSTERSUND</t>
        </is>
      </c>
      <c r="F325" t="inlineStr">
        <is>
          <t>Övriga statliga verk och myndigheter</t>
        </is>
      </c>
      <c r="G325" t="n">
        <v>5.2</v>
      </c>
      <c r="H325" t="n">
        <v>0</v>
      </c>
      <c r="I325" t="n">
        <v>0</v>
      </c>
      <c r="J325" t="n">
        <v>0</v>
      </c>
      <c r="K325" t="n">
        <v>0</v>
      </c>
      <c r="L325" t="n">
        <v>0</v>
      </c>
      <c r="M325" t="n">
        <v>0</v>
      </c>
      <c r="N325" t="n">
        <v>0</v>
      </c>
      <c r="O325" t="n">
        <v>0</v>
      </c>
      <c r="P325" t="n">
        <v>0</v>
      </c>
      <c r="Q325" t="n">
        <v>0</v>
      </c>
      <c r="R325" s="2" t="inlineStr"/>
    </row>
    <row r="326" ht="15" customHeight="1">
      <c r="A326" t="inlineStr">
        <is>
          <t>A 50153-2020</t>
        </is>
      </c>
      <c r="B326" s="1" t="n">
        <v>44106</v>
      </c>
      <c r="C326" s="1" t="n">
        <v>45791</v>
      </c>
      <c r="D326" t="inlineStr">
        <is>
          <t>JÄMTLANDS LÄN</t>
        </is>
      </c>
      <c r="E326" t="inlineStr">
        <is>
          <t>ÖSTERSUND</t>
        </is>
      </c>
      <c r="F326" t="inlineStr">
        <is>
          <t>Övriga statliga verk och myndigheter</t>
        </is>
      </c>
      <c r="G326" t="n">
        <v>4.6</v>
      </c>
      <c r="H326" t="n">
        <v>0</v>
      </c>
      <c r="I326" t="n">
        <v>0</v>
      </c>
      <c r="J326" t="n">
        <v>0</v>
      </c>
      <c r="K326" t="n">
        <v>0</v>
      </c>
      <c r="L326" t="n">
        <v>0</v>
      </c>
      <c r="M326" t="n">
        <v>0</v>
      </c>
      <c r="N326" t="n">
        <v>0</v>
      </c>
      <c r="O326" t="n">
        <v>0</v>
      </c>
      <c r="P326" t="n">
        <v>0</v>
      </c>
      <c r="Q326" t="n">
        <v>0</v>
      </c>
      <c r="R326" s="2" t="inlineStr"/>
    </row>
    <row r="327" ht="15" customHeight="1">
      <c r="A327" t="inlineStr">
        <is>
          <t>A 50144-2020</t>
        </is>
      </c>
      <c r="B327" s="1" t="n">
        <v>44106</v>
      </c>
      <c r="C327" s="1" t="n">
        <v>45791</v>
      </c>
      <c r="D327" t="inlineStr">
        <is>
          <t>JÄMTLANDS LÄN</t>
        </is>
      </c>
      <c r="E327" t="inlineStr">
        <is>
          <t>ÖSTERSUND</t>
        </is>
      </c>
      <c r="F327" t="inlineStr">
        <is>
          <t>Övriga statliga verk och myndigheter</t>
        </is>
      </c>
      <c r="G327" t="n">
        <v>2.2</v>
      </c>
      <c r="H327" t="n">
        <v>0</v>
      </c>
      <c r="I327" t="n">
        <v>0</v>
      </c>
      <c r="J327" t="n">
        <v>0</v>
      </c>
      <c r="K327" t="n">
        <v>0</v>
      </c>
      <c r="L327" t="n">
        <v>0</v>
      </c>
      <c r="M327" t="n">
        <v>0</v>
      </c>
      <c r="N327" t="n">
        <v>0</v>
      </c>
      <c r="O327" t="n">
        <v>0</v>
      </c>
      <c r="P327" t="n">
        <v>0</v>
      </c>
      <c r="Q327" t="n">
        <v>0</v>
      </c>
      <c r="R327" s="2" t="inlineStr"/>
    </row>
    <row r="328" ht="15" customHeight="1">
      <c r="A328" t="inlineStr">
        <is>
          <t>A 50632-2020</t>
        </is>
      </c>
      <c r="B328" s="1" t="n">
        <v>44110</v>
      </c>
      <c r="C328" s="1" t="n">
        <v>45791</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52478-2020</t>
        </is>
      </c>
      <c r="B329" s="1" t="n">
        <v>44113</v>
      </c>
      <c r="C329" s="1" t="n">
        <v>45791</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52535-2020</t>
        </is>
      </c>
      <c r="B330" s="1" t="n">
        <v>44118</v>
      </c>
      <c r="C330" s="1" t="n">
        <v>45791</v>
      </c>
      <c r="D330" t="inlineStr">
        <is>
          <t>JÄMTLANDS LÄN</t>
        </is>
      </c>
      <c r="E330" t="inlineStr">
        <is>
          <t>ÖSTERSUND</t>
        </is>
      </c>
      <c r="G330" t="n">
        <v>2</v>
      </c>
      <c r="H330" t="n">
        <v>0</v>
      </c>
      <c r="I330" t="n">
        <v>0</v>
      </c>
      <c r="J330" t="n">
        <v>0</v>
      </c>
      <c r="K330" t="n">
        <v>0</v>
      </c>
      <c r="L330" t="n">
        <v>0</v>
      </c>
      <c r="M330" t="n">
        <v>0</v>
      </c>
      <c r="N330" t="n">
        <v>0</v>
      </c>
      <c r="O330" t="n">
        <v>0</v>
      </c>
      <c r="P330" t="n">
        <v>0</v>
      </c>
      <c r="Q330" t="n">
        <v>0</v>
      </c>
      <c r="R330" s="2" t="inlineStr"/>
    </row>
    <row r="331" ht="15" customHeight="1">
      <c r="A331" t="inlineStr">
        <is>
          <t>A 52777-2020</t>
        </is>
      </c>
      <c r="B331" s="1" t="n">
        <v>44118</v>
      </c>
      <c r="C331" s="1" t="n">
        <v>45791</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52791-2020</t>
        </is>
      </c>
      <c r="B332" s="1" t="n">
        <v>44118</v>
      </c>
      <c r="C332" s="1" t="n">
        <v>45791</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53323-2020</t>
        </is>
      </c>
      <c r="B333" s="1" t="n">
        <v>44123</v>
      </c>
      <c r="C333" s="1" t="n">
        <v>45791</v>
      </c>
      <c r="D333" t="inlineStr">
        <is>
          <t>JÄMTLANDS LÄN</t>
        </is>
      </c>
      <c r="E333" t="inlineStr">
        <is>
          <t>ÖSTERSUND</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53967-2020</t>
        </is>
      </c>
      <c r="B334" s="1" t="n">
        <v>44125</v>
      </c>
      <c r="C334" s="1" t="n">
        <v>45791</v>
      </c>
      <c r="D334" t="inlineStr">
        <is>
          <t>JÄMTLANDS LÄN</t>
        </is>
      </c>
      <c r="E334" t="inlineStr">
        <is>
          <t>ÖSTERSUND</t>
        </is>
      </c>
      <c r="G334" t="n">
        <v>25.8</v>
      </c>
      <c r="H334" t="n">
        <v>0</v>
      </c>
      <c r="I334" t="n">
        <v>0</v>
      </c>
      <c r="J334" t="n">
        <v>0</v>
      </c>
      <c r="K334" t="n">
        <v>0</v>
      </c>
      <c r="L334" t="n">
        <v>0</v>
      </c>
      <c r="M334" t="n">
        <v>0</v>
      </c>
      <c r="N334" t="n">
        <v>0</v>
      </c>
      <c r="O334" t="n">
        <v>0</v>
      </c>
      <c r="P334" t="n">
        <v>0</v>
      </c>
      <c r="Q334" t="n">
        <v>0</v>
      </c>
      <c r="R334" s="2" t="inlineStr"/>
    </row>
    <row r="335" ht="15" customHeight="1">
      <c r="A335" t="inlineStr">
        <is>
          <t>A 54539-2020</t>
        </is>
      </c>
      <c r="B335" s="1" t="n">
        <v>44126</v>
      </c>
      <c r="C335" s="1" t="n">
        <v>45791</v>
      </c>
      <c r="D335" t="inlineStr">
        <is>
          <t>JÄMTLANDS LÄN</t>
        </is>
      </c>
      <c r="E335" t="inlineStr">
        <is>
          <t>ÖSTERSUND</t>
        </is>
      </c>
      <c r="G335" t="n">
        <v>4.2</v>
      </c>
      <c r="H335" t="n">
        <v>0</v>
      </c>
      <c r="I335" t="n">
        <v>0</v>
      </c>
      <c r="J335" t="n">
        <v>0</v>
      </c>
      <c r="K335" t="n">
        <v>0</v>
      </c>
      <c r="L335" t="n">
        <v>0</v>
      </c>
      <c r="M335" t="n">
        <v>0</v>
      </c>
      <c r="N335" t="n">
        <v>0</v>
      </c>
      <c r="O335" t="n">
        <v>0</v>
      </c>
      <c r="P335" t="n">
        <v>0</v>
      </c>
      <c r="Q335" t="n">
        <v>0</v>
      </c>
      <c r="R335" s="2" t="inlineStr"/>
    </row>
    <row r="336" ht="15" customHeight="1">
      <c r="A336" t="inlineStr">
        <is>
          <t>A 54844-2020</t>
        </is>
      </c>
      <c r="B336" s="1" t="n">
        <v>44126</v>
      </c>
      <c r="C336" s="1" t="n">
        <v>45791</v>
      </c>
      <c r="D336" t="inlineStr">
        <is>
          <t>JÄMTLANDS LÄN</t>
        </is>
      </c>
      <c r="E336" t="inlineStr">
        <is>
          <t>ÖSTERSUND</t>
        </is>
      </c>
      <c r="G336" t="n">
        <v>6.9</v>
      </c>
      <c r="H336" t="n">
        <v>0</v>
      </c>
      <c r="I336" t="n">
        <v>0</v>
      </c>
      <c r="J336" t="n">
        <v>0</v>
      </c>
      <c r="K336" t="n">
        <v>0</v>
      </c>
      <c r="L336" t="n">
        <v>0</v>
      </c>
      <c r="M336" t="n">
        <v>0</v>
      </c>
      <c r="N336" t="n">
        <v>0</v>
      </c>
      <c r="O336" t="n">
        <v>0</v>
      </c>
      <c r="P336" t="n">
        <v>0</v>
      </c>
      <c r="Q336" t="n">
        <v>0</v>
      </c>
      <c r="R336" s="2" t="inlineStr"/>
    </row>
    <row r="337" ht="15" customHeight="1">
      <c r="A337" t="inlineStr">
        <is>
          <t>A 56220-2020</t>
        </is>
      </c>
      <c r="B337" s="1" t="n">
        <v>44133</v>
      </c>
      <c r="C337" s="1" t="n">
        <v>45791</v>
      </c>
      <c r="D337" t="inlineStr">
        <is>
          <t>JÄMTLANDS LÄN</t>
        </is>
      </c>
      <c r="E337" t="inlineStr">
        <is>
          <t>ÖSTERSUND</t>
        </is>
      </c>
      <c r="G337" t="n">
        <v>0.6</v>
      </c>
      <c r="H337" t="n">
        <v>0</v>
      </c>
      <c r="I337" t="n">
        <v>0</v>
      </c>
      <c r="J337" t="n">
        <v>0</v>
      </c>
      <c r="K337" t="n">
        <v>0</v>
      </c>
      <c r="L337" t="n">
        <v>0</v>
      </c>
      <c r="M337" t="n">
        <v>0</v>
      </c>
      <c r="N337" t="n">
        <v>0</v>
      </c>
      <c r="O337" t="n">
        <v>0</v>
      </c>
      <c r="P337" t="n">
        <v>0</v>
      </c>
      <c r="Q337" t="n">
        <v>0</v>
      </c>
      <c r="R337" s="2" t="inlineStr"/>
    </row>
    <row r="338" ht="15" customHeight="1">
      <c r="A338" t="inlineStr">
        <is>
          <t>A 56486-2020</t>
        </is>
      </c>
      <c r="B338" s="1" t="n">
        <v>44137</v>
      </c>
      <c r="C338" s="1" t="n">
        <v>45791</v>
      </c>
      <c r="D338" t="inlineStr">
        <is>
          <t>JÄMTLANDS LÄN</t>
        </is>
      </c>
      <c r="E338" t="inlineStr">
        <is>
          <t>ÖSTERSUND</t>
        </is>
      </c>
      <c r="G338" t="n">
        <v>5.8</v>
      </c>
      <c r="H338" t="n">
        <v>0</v>
      </c>
      <c r="I338" t="n">
        <v>0</v>
      </c>
      <c r="J338" t="n">
        <v>0</v>
      </c>
      <c r="K338" t="n">
        <v>0</v>
      </c>
      <c r="L338" t="n">
        <v>0</v>
      </c>
      <c r="M338" t="n">
        <v>0</v>
      </c>
      <c r="N338" t="n">
        <v>0</v>
      </c>
      <c r="O338" t="n">
        <v>0</v>
      </c>
      <c r="P338" t="n">
        <v>0</v>
      </c>
      <c r="Q338" t="n">
        <v>0</v>
      </c>
      <c r="R338" s="2" t="inlineStr"/>
    </row>
    <row r="339" ht="15" customHeight="1">
      <c r="A339" t="inlineStr">
        <is>
          <t>A 56636-2020</t>
        </is>
      </c>
      <c r="B339" s="1" t="n">
        <v>44137</v>
      </c>
      <c r="C339" s="1" t="n">
        <v>45791</v>
      </c>
      <c r="D339" t="inlineStr">
        <is>
          <t>JÄMTLANDS LÄN</t>
        </is>
      </c>
      <c r="E339" t="inlineStr">
        <is>
          <t>ÖSTERSUND</t>
        </is>
      </c>
      <c r="F339" t="inlineStr">
        <is>
          <t>Övriga Aktiebolag</t>
        </is>
      </c>
      <c r="G339" t="n">
        <v>16.2</v>
      </c>
      <c r="H339" t="n">
        <v>0</v>
      </c>
      <c r="I339" t="n">
        <v>0</v>
      </c>
      <c r="J339" t="n">
        <v>0</v>
      </c>
      <c r="K339" t="n">
        <v>0</v>
      </c>
      <c r="L339" t="n">
        <v>0</v>
      </c>
      <c r="M339" t="n">
        <v>0</v>
      </c>
      <c r="N339" t="n">
        <v>0</v>
      </c>
      <c r="O339" t="n">
        <v>0</v>
      </c>
      <c r="P339" t="n">
        <v>0</v>
      </c>
      <c r="Q339" t="n">
        <v>0</v>
      </c>
      <c r="R339" s="2" t="inlineStr"/>
    </row>
    <row r="340" ht="15" customHeight="1">
      <c r="A340" t="inlineStr">
        <is>
          <t>A 56642-2020</t>
        </is>
      </c>
      <c r="B340" s="1" t="n">
        <v>44137</v>
      </c>
      <c r="C340" s="1" t="n">
        <v>45791</v>
      </c>
      <c r="D340" t="inlineStr">
        <is>
          <t>JÄMTLANDS LÄN</t>
        </is>
      </c>
      <c r="E340" t="inlineStr">
        <is>
          <t>ÖSTERSUND</t>
        </is>
      </c>
      <c r="F340" t="inlineStr">
        <is>
          <t>Övriga Aktiebolag</t>
        </is>
      </c>
      <c r="G340" t="n">
        <v>6</v>
      </c>
      <c r="H340" t="n">
        <v>0</v>
      </c>
      <c r="I340" t="n">
        <v>0</v>
      </c>
      <c r="J340" t="n">
        <v>0</v>
      </c>
      <c r="K340" t="n">
        <v>0</v>
      </c>
      <c r="L340" t="n">
        <v>0</v>
      </c>
      <c r="M340" t="n">
        <v>0</v>
      </c>
      <c r="N340" t="n">
        <v>0</v>
      </c>
      <c r="O340" t="n">
        <v>0</v>
      </c>
      <c r="P340" t="n">
        <v>0</v>
      </c>
      <c r="Q340" t="n">
        <v>0</v>
      </c>
      <c r="R340" s="2" t="inlineStr"/>
    </row>
    <row r="341" ht="15" customHeight="1">
      <c r="A341" t="inlineStr">
        <is>
          <t>A 57616-2020</t>
        </is>
      </c>
      <c r="B341" s="1" t="n">
        <v>44140</v>
      </c>
      <c r="C341" s="1" t="n">
        <v>45791</v>
      </c>
      <c r="D341" t="inlineStr">
        <is>
          <t>JÄMTLANDS LÄN</t>
        </is>
      </c>
      <c r="E341" t="inlineStr">
        <is>
          <t>ÖSTERSUND</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57624-2020</t>
        </is>
      </c>
      <c r="B342" s="1" t="n">
        <v>44140</v>
      </c>
      <c r="C342" s="1" t="n">
        <v>45791</v>
      </c>
      <c r="D342" t="inlineStr">
        <is>
          <t>JÄMTLANDS LÄN</t>
        </is>
      </c>
      <c r="E342" t="inlineStr">
        <is>
          <t>ÖSTERSUND</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57791-2020</t>
        </is>
      </c>
      <c r="B343" s="1" t="n">
        <v>44141</v>
      </c>
      <c r="C343" s="1" t="n">
        <v>45791</v>
      </c>
      <c r="D343" t="inlineStr">
        <is>
          <t>JÄMTLANDS LÄN</t>
        </is>
      </c>
      <c r="E343" t="inlineStr">
        <is>
          <t>ÖSTERSUND</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57771-2020</t>
        </is>
      </c>
      <c r="B344" s="1" t="n">
        <v>44141</v>
      </c>
      <c r="C344" s="1" t="n">
        <v>45791</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60050-2020</t>
        </is>
      </c>
      <c r="B345" s="1" t="n">
        <v>44151</v>
      </c>
      <c r="C345" s="1" t="n">
        <v>45791</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60126-2020</t>
        </is>
      </c>
      <c r="B346" s="1" t="n">
        <v>44152</v>
      </c>
      <c r="C346" s="1" t="n">
        <v>45791</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63171-2020</t>
        </is>
      </c>
      <c r="B347" s="1" t="n">
        <v>44162</v>
      </c>
      <c r="C347" s="1" t="n">
        <v>45791</v>
      </c>
      <c r="D347" t="inlineStr">
        <is>
          <t>JÄMTLANDS LÄN</t>
        </is>
      </c>
      <c r="E347" t="inlineStr">
        <is>
          <t>ÖSTERSUND</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65410-2020</t>
        </is>
      </c>
      <c r="B348" s="1" t="n">
        <v>44173</v>
      </c>
      <c r="C348" s="1" t="n">
        <v>45791</v>
      </c>
      <c r="D348" t="inlineStr">
        <is>
          <t>JÄMTLANDS LÄN</t>
        </is>
      </c>
      <c r="E348" t="inlineStr">
        <is>
          <t>ÖSTERSUND</t>
        </is>
      </c>
      <c r="F348" t="inlineStr">
        <is>
          <t>Kommuner</t>
        </is>
      </c>
      <c r="G348" t="n">
        <v>0.8</v>
      </c>
      <c r="H348" t="n">
        <v>0</v>
      </c>
      <c r="I348" t="n">
        <v>0</v>
      </c>
      <c r="J348" t="n">
        <v>0</v>
      </c>
      <c r="K348" t="n">
        <v>0</v>
      </c>
      <c r="L348" t="n">
        <v>0</v>
      </c>
      <c r="M348" t="n">
        <v>0</v>
      </c>
      <c r="N348" t="n">
        <v>0</v>
      </c>
      <c r="O348" t="n">
        <v>0</v>
      </c>
      <c r="P348" t="n">
        <v>0</v>
      </c>
      <c r="Q348" t="n">
        <v>0</v>
      </c>
      <c r="R348" s="2" t="inlineStr"/>
    </row>
    <row r="349" ht="15" customHeight="1">
      <c r="A349" t="inlineStr">
        <is>
          <t>A 66269-2020</t>
        </is>
      </c>
      <c r="B349" s="1" t="n">
        <v>44174</v>
      </c>
      <c r="C349" s="1" t="n">
        <v>45791</v>
      </c>
      <c r="D349" t="inlineStr">
        <is>
          <t>JÄMTLANDS LÄN</t>
        </is>
      </c>
      <c r="E349" t="inlineStr">
        <is>
          <t>ÖSTERSUND</t>
        </is>
      </c>
      <c r="F349" t="inlineStr">
        <is>
          <t>Övriga statliga verk och myndigheter</t>
        </is>
      </c>
      <c r="G349" t="n">
        <v>10</v>
      </c>
      <c r="H349" t="n">
        <v>0</v>
      </c>
      <c r="I349" t="n">
        <v>0</v>
      </c>
      <c r="J349" t="n">
        <v>0</v>
      </c>
      <c r="K349" t="n">
        <v>0</v>
      </c>
      <c r="L349" t="n">
        <v>0</v>
      </c>
      <c r="M349" t="n">
        <v>0</v>
      </c>
      <c r="N349" t="n">
        <v>0</v>
      </c>
      <c r="O349" t="n">
        <v>0</v>
      </c>
      <c r="P349" t="n">
        <v>0</v>
      </c>
      <c r="Q349" t="n">
        <v>0</v>
      </c>
      <c r="R349" s="2" t="inlineStr"/>
    </row>
    <row r="350" ht="15" customHeight="1">
      <c r="A350" t="inlineStr">
        <is>
          <t>A 66288-2020</t>
        </is>
      </c>
      <c r="B350" s="1" t="n">
        <v>44174</v>
      </c>
      <c r="C350" s="1" t="n">
        <v>45791</v>
      </c>
      <c r="D350" t="inlineStr">
        <is>
          <t>JÄMTLANDS LÄN</t>
        </is>
      </c>
      <c r="E350" t="inlineStr">
        <is>
          <t>ÖSTERSUND</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66286-2020</t>
        </is>
      </c>
      <c r="B351" s="1" t="n">
        <v>44174</v>
      </c>
      <c r="C351" s="1" t="n">
        <v>45791</v>
      </c>
      <c r="D351" t="inlineStr">
        <is>
          <t>JÄMTLANDS LÄN</t>
        </is>
      </c>
      <c r="E351" t="inlineStr">
        <is>
          <t>ÖSTERSUND</t>
        </is>
      </c>
      <c r="F351" t="inlineStr">
        <is>
          <t>Övriga statliga verk och myndigheter</t>
        </is>
      </c>
      <c r="G351" t="n">
        <v>1.1</v>
      </c>
      <c r="H351" t="n">
        <v>0</v>
      </c>
      <c r="I351" t="n">
        <v>0</v>
      </c>
      <c r="J351" t="n">
        <v>0</v>
      </c>
      <c r="K351" t="n">
        <v>0</v>
      </c>
      <c r="L351" t="n">
        <v>0</v>
      </c>
      <c r="M351" t="n">
        <v>0</v>
      </c>
      <c r="N351" t="n">
        <v>0</v>
      </c>
      <c r="O351" t="n">
        <v>0</v>
      </c>
      <c r="P351" t="n">
        <v>0</v>
      </c>
      <c r="Q351" t="n">
        <v>0</v>
      </c>
      <c r="R351" s="2" t="inlineStr"/>
    </row>
    <row r="352" ht="15" customHeight="1">
      <c r="A352" t="inlineStr">
        <is>
          <t>A 67646-2020</t>
        </is>
      </c>
      <c r="B352" s="1" t="n">
        <v>44180</v>
      </c>
      <c r="C352" s="1" t="n">
        <v>45791</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67643-2020</t>
        </is>
      </c>
      <c r="B353" s="1" t="n">
        <v>44180</v>
      </c>
      <c r="C353" s="1" t="n">
        <v>45791</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68408-2020</t>
        </is>
      </c>
      <c r="B354" s="1" t="n">
        <v>44186</v>
      </c>
      <c r="C354" s="1" t="n">
        <v>45791</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68937-2020</t>
        </is>
      </c>
      <c r="B355" s="1" t="n">
        <v>44187</v>
      </c>
      <c r="C355" s="1" t="n">
        <v>45791</v>
      </c>
      <c r="D355" t="inlineStr">
        <is>
          <t>JÄMTLANDS LÄN</t>
        </is>
      </c>
      <c r="E355" t="inlineStr">
        <is>
          <t>ÖSTERSUND</t>
        </is>
      </c>
      <c r="G355" t="n">
        <v>4.7</v>
      </c>
      <c r="H355" t="n">
        <v>0</v>
      </c>
      <c r="I355" t="n">
        <v>0</v>
      </c>
      <c r="J355" t="n">
        <v>0</v>
      </c>
      <c r="K355" t="n">
        <v>0</v>
      </c>
      <c r="L355" t="n">
        <v>0</v>
      </c>
      <c r="M355" t="n">
        <v>0</v>
      </c>
      <c r="N355" t="n">
        <v>0</v>
      </c>
      <c r="O355" t="n">
        <v>0</v>
      </c>
      <c r="P355" t="n">
        <v>0</v>
      </c>
      <c r="Q355" t="n">
        <v>0</v>
      </c>
      <c r="R355" s="2" t="inlineStr"/>
    </row>
    <row r="356" ht="15" customHeight="1">
      <c r="A356" t="inlineStr">
        <is>
          <t>A 126-2021</t>
        </is>
      </c>
      <c r="B356" s="1" t="n">
        <v>44200</v>
      </c>
      <c r="C356" s="1" t="n">
        <v>45791</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501-2021</t>
        </is>
      </c>
      <c r="B357" s="1" t="n">
        <v>44200</v>
      </c>
      <c r="C357" s="1" t="n">
        <v>45791</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1322-2021</t>
        </is>
      </c>
      <c r="B358" s="1" t="n">
        <v>44208</v>
      </c>
      <c r="C358" s="1" t="n">
        <v>45791</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2686-2021</t>
        </is>
      </c>
      <c r="B359" s="1" t="n">
        <v>44214</v>
      </c>
      <c r="C359" s="1" t="n">
        <v>45791</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5460-2021</t>
        </is>
      </c>
      <c r="B360" s="1" t="n">
        <v>44229</v>
      </c>
      <c r="C360" s="1" t="n">
        <v>45791</v>
      </c>
      <c r="D360" t="inlineStr">
        <is>
          <t>JÄMTLANDS LÄN</t>
        </is>
      </c>
      <c r="E360" t="inlineStr">
        <is>
          <t>ÖSTERSUND</t>
        </is>
      </c>
      <c r="G360" t="n">
        <v>14.2</v>
      </c>
      <c r="H360" t="n">
        <v>0</v>
      </c>
      <c r="I360" t="n">
        <v>0</v>
      </c>
      <c r="J360" t="n">
        <v>0</v>
      </c>
      <c r="K360" t="n">
        <v>0</v>
      </c>
      <c r="L360" t="n">
        <v>0</v>
      </c>
      <c r="M360" t="n">
        <v>0</v>
      </c>
      <c r="N360" t="n">
        <v>0</v>
      </c>
      <c r="O360" t="n">
        <v>0</v>
      </c>
      <c r="P360" t="n">
        <v>0</v>
      </c>
      <c r="Q360" t="n">
        <v>0</v>
      </c>
      <c r="R360" s="2" t="inlineStr"/>
    </row>
    <row r="361" ht="15" customHeight="1">
      <c r="A361" t="inlineStr">
        <is>
          <t>A 6578-2021</t>
        </is>
      </c>
      <c r="B361" s="1" t="n">
        <v>44236</v>
      </c>
      <c r="C361" s="1" t="n">
        <v>45791</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8396-2021</t>
        </is>
      </c>
      <c r="B362" s="1" t="n">
        <v>44238</v>
      </c>
      <c r="C362" s="1" t="n">
        <v>45791</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10590-2021</t>
        </is>
      </c>
      <c r="B363" s="1" t="n">
        <v>44258</v>
      </c>
      <c r="C363" s="1" t="n">
        <v>45791</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10911-2021</t>
        </is>
      </c>
      <c r="B364" s="1" t="n">
        <v>44259</v>
      </c>
      <c r="C364" s="1" t="n">
        <v>45791</v>
      </c>
      <c r="D364" t="inlineStr">
        <is>
          <t>JÄMTLANDS LÄN</t>
        </is>
      </c>
      <c r="E364" t="inlineStr">
        <is>
          <t>ÖSTERSUND</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10834-2021</t>
        </is>
      </c>
      <c r="B365" s="1" t="n">
        <v>44259</v>
      </c>
      <c r="C365" s="1" t="n">
        <v>45791</v>
      </c>
      <c r="D365" t="inlineStr">
        <is>
          <t>JÄMTLANDS LÄN</t>
        </is>
      </c>
      <c r="E365" t="inlineStr">
        <is>
          <t>ÖSTERSUND</t>
        </is>
      </c>
      <c r="G365" t="n">
        <v>12.2</v>
      </c>
      <c r="H365" t="n">
        <v>0</v>
      </c>
      <c r="I365" t="n">
        <v>0</v>
      </c>
      <c r="J365" t="n">
        <v>0</v>
      </c>
      <c r="K365" t="n">
        <v>0</v>
      </c>
      <c r="L365" t="n">
        <v>0</v>
      </c>
      <c r="M365" t="n">
        <v>0</v>
      </c>
      <c r="N365" t="n">
        <v>0</v>
      </c>
      <c r="O365" t="n">
        <v>0</v>
      </c>
      <c r="P365" t="n">
        <v>0</v>
      </c>
      <c r="Q365" t="n">
        <v>0</v>
      </c>
      <c r="R365" s="2" t="inlineStr"/>
    </row>
    <row r="366" ht="15" customHeight="1">
      <c r="A366" t="inlineStr">
        <is>
          <t>A 12710-2021</t>
        </is>
      </c>
      <c r="B366" s="1" t="n">
        <v>44270</v>
      </c>
      <c r="C366" s="1" t="n">
        <v>45791</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12705-2021</t>
        </is>
      </c>
      <c r="B367" s="1" t="n">
        <v>44270</v>
      </c>
      <c r="C367" s="1" t="n">
        <v>45791</v>
      </c>
      <c r="D367" t="inlineStr">
        <is>
          <t>JÄMTLANDS LÄN</t>
        </is>
      </c>
      <c r="E367" t="inlineStr">
        <is>
          <t>ÖSTERSUND</t>
        </is>
      </c>
      <c r="G367" t="n">
        <v>3.5</v>
      </c>
      <c r="H367" t="n">
        <v>0</v>
      </c>
      <c r="I367" t="n">
        <v>0</v>
      </c>
      <c r="J367" t="n">
        <v>0</v>
      </c>
      <c r="K367" t="n">
        <v>0</v>
      </c>
      <c r="L367" t="n">
        <v>0</v>
      </c>
      <c r="M367" t="n">
        <v>0</v>
      </c>
      <c r="N367" t="n">
        <v>0</v>
      </c>
      <c r="O367" t="n">
        <v>0</v>
      </c>
      <c r="P367" t="n">
        <v>0</v>
      </c>
      <c r="Q367" t="n">
        <v>0</v>
      </c>
      <c r="R367" s="2" t="inlineStr"/>
    </row>
    <row r="368" ht="15" customHeight="1">
      <c r="A368" t="inlineStr">
        <is>
          <t>A 14155-2021</t>
        </is>
      </c>
      <c r="B368" s="1" t="n">
        <v>44278</v>
      </c>
      <c r="C368" s="1" t="n">
        <v>45791</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15659-2021</t>
        </is>
      </c>
      <c r="B369" s="1" t="n">
        <v>44298</v>
      </c>
      <c r="C369" s="1" t="n">
        <v>45791</v>
      </c>
      <c r="D369" t="inlineStr">
        <is>
          <t>JÄMTLANDS LÄN</t>
        </is>
      </c>
      <c r="E369" t="inlineStr">
        <is>
          <t>ÖSTERSUND</t>
        </is>
      </c>
      <c r="G369" t="n">
        <v>13.3</v>
      </c>
      <c r="H369" t="n">
        <v>0</v>
      </c>
      <c r="I369" t="n">
        <v>0</v>
      </c>
      <c r="J369" t="n">
        <v>0</v>
      </c>
      <c r="K369" t="n">
        <v>0</v>
      </c>
      <c r="L369" t="n">
        <v>0</v>
      </c>
      <c r="M369" t="n">
        <v>0</v>
      </c>
      <c r="N369" t="n">
        <v>0</v>
      </c>
      <c r="O369" t="n">
        <v>0</v>
      </c>
      <c r="P369" t="n">
        <v>0</v>
      </c>
      <c r="Q369" t="n">
        <v>0</v>
      </c>
      <c r="R369" s="2" t="inlineStr"/>
    </row>
    <row r="370" ht="15" customHeight="1">
      <c r="A370" t="inlineStr">
        <is>
          <t>A 17362-2021</t>
        </is>
      </c>
      <c r="B370" s="1" t="n">
        <v>44298</v>
      </c>
      <c r="C370" s="1" t="n">
        <v>45791</v>
      </c>
      <c r="D370" t="inlineStr">
        <is>
          <t>JÄMTLANDS LÄN</t>
        </is>
      </c>
      <c r="E370" t="inlineStr">
        <is>
          <t>ÖSTERSUND</t>
        </is>
      </c>
      <c r="G370" t="n">
        <v>3.7</v>
      </c>
      <c r="H370" t="n">
        <v>0</v>
      </c>
      <c r="I370" t="n">
        <v>0</v>
      </c>
      <c r="J370" t="n">
        <v>0</v>
      </c>
      <c r="K370" t="n">
        <v>0</v>
      </c>
      <c r="L370" t="n">
        <v>0</v>
      </c>
      <c r="M370" t="n">
        <v>0</v>
      </c>
      <c r="N370" t="n">
        <v>0</v>
      </c>
      <c r="O370" t="n">
        <v>0</v>
      </c>
      <c r="P370" t="n">
        <v>0</v>
      </c>
      <c r="Q370" t="n">
        <v>0</v>
      </c>
      <c r="R370" s="2" t="inlineStr"/>
    </row>
    <row r="371" ht="15" customHeight="1">
      <c r="A371" t="inlineStr">
        <is>
          <t>A 17596-2021</t>
        </is>
      </c>
      <c r="B371" s="1" t="n">
        <v>44299</v>
      </c>
      <c r="C371" s="1" t="n">
        <v>45791</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19541-2021</t>
        </is>
      </c>
      <c r="B372" s="1" t="n">
        <v>44312</v>
      </c>
      <c r="C372" s="1" t="n">
        <v>45791</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20290-2021</t>
        </is>
      </c>
      <c r="B373" s="1" t="n">
        <v>44314</v>
      </c>
      <c r="C373" s="1" t="n">
        <v>45791</v>
      </c>
      <c r="D373" t="inlineStr">
        <is>
          <t>JÄMTLANDS LÄN</t>
        </is>
      </c>
      <c r="E373" t="inlineStr">
        <is>
          <t>ÖSTERSUND</t>
        </is>
      </c>
      <c r="F373" t="inlineStr">
        <is>
          <t>SCA</t>
        </is>
      </c>
      <c r="G373" t="n">
        <v>8.1</v>
      </c>
      <c r="H373" t="n">
        <v>0</v>
      </c>
      <c r="I373" t="n">
        <v>0</v>
      </c>
      <c r="J373" t="n">
        <v>0</v>
      </c>
      <c r="K373" t="n">
        <v>0</v>
      </c>
      <c r="L373" t="n">
        <v>0</v>
      </c>
      <c r="M373" t="n">
        <v>0</v>
      </c>
      <c r="N373" t="n">
        <v>0</v>
      </c>
      <c r="O373" t="n">
        <v>0</v>
      </c>
      <c r="P373" t="n">
        <v>0</v>
      </c>
      <c r="Q373" t="n">
        <v>0</v>
      </c>
      <c r="R373" s="2" t="inlineStr"/>
    </row>
    <row r="374" ht="15" customHeight="1">
      <c r="A374" t="inlineStr">
        <is>
          <t>A 20620-2021</t>
        </is>
      </c>
      <c r="B374" s="1" t="n">
        <v>44316</v>
      </c>
      <c r="C374" s="1" t="n">
        <v>45791</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21306-2021</t>
        </is>
      </c>
      <c r="B375" s="1" t="n">
        <v>44320</v>
      </c>
      <c r="C375" s="1" t="n">
        <v>45791</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21849-2021</t>
        </is>
      </c>
      <c r="B376" s="1" t="n">
        <v>44322</v>
      </c>
      <c r="C376" s="1" t="n">
        <v>45791</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22126-2021</t>
        </is>
      </c>
      <c r="B377" s="1" t="n">
        <v>44323</v>
      </c>
      <c r="C377" s="1" t="n">
        <v>45791</v>
      </c>
      <c r="D377" t="inlineStr">
        <is>
          <t>JÄMTLANDS LÄN</t>
        </is>
      </c>
      <c r="E377" t="inlineStr">
        <is>
          <t>ÖSTERSUND</t>
        </is>
      </c>
      <c r="G377" t="n">
        <v>1.4</v>
      </c>
      <c r="H377" t="n">
        <v>0</v>
      </c>
      <c r="I377" t="n">
        <v>0</v>
      </c>
      <c r="J377" t="n">
        <v>0</v>
      </c>
      <c r="K377" t="n">
        <v>0</v>
      </c>
      <c r="L377" t="n">
        <v>0</v>
      </c>
      <c r="M377" t="n">
        <v>0</v>
      </c>
      <c r="N377" t="n">
        <v>0</v>
      </c>
      <c r="O377" t="n">
        <v>0</v>
      </c>
      <c r="P377" t="n">
        <v>0</v>
      </c>
      <c r="Q377" t="n">
        <v>0</v>
      </c>
      <c r="R377" s="2" t="inlineStr"/>
    </row>
    <row r="378" ht="15" customHeight="1">
      <c r="A378" t="inlineStr">
        <is>
          <t>A 23187-2021</t>
        </is>
      </c>
      <c r="B378" s="1" t="n">
        <v>44328</v>
      </c>
      <c r="C378" s="1" t="n">
        <v>45791</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23895-2021</t>
        </is>
      </c>
      <c r="B379" s="1" t="n">
        <v>44335</v>
      </c>
      <c r="C379" s="1" t="n">
        <v>45791</v>
      </c>
      <c r="D379" t="inlineStr">
        <is>
          <t>JÄMTLANDS LÄN</t>
        </is>
      </c>
      <c r="E379" t="inlineStr">
        <is>
          <t>ÖSTERSUND</t>
        </is>
      </c>
      <c r="G379" t="n">
        <v>0.6</v>
      </c>
      <c r="H379" t="n">
        <v>0</v>
      </c>
      <c r="I379" t="n">
        <v>0</v>
      </c>
      <c r="J379" t="n">
        <v>0</v>
      </c>
      <c r="K379" t="n">
        <v>0</v>
      </c>
      <c r="L379" t="n">
        <v>0</v>
      </c>
      <c r="M379" t="n">
        <v>0</v>
      </c>
      <c r="N379" t="n">
        <v>0</v>
      </c>
      <c r="O379" t="n">
        <v>0</v>
      </c>
      <c r="P379" t="n">
        <v>0</v>
      </c>
      <c r="Q379" t="n">
        <v>0</v>
      </c>
      <c r="R379" s="2" t="inlineStr"/>
    </row>
    <row r="380" ht="15" customHeight="1">
      <c r="A380" t="inlineStr">
        <is>
          <t>A 24312-2021</t>
        </is>
      </c>
      <c r="B380" s="1" t="n">
        <v>44336</v>
      </c>
      <c r="C380" s="1" t="n">
        <v>45791</v>
      </c>
      <c r="D380" t="inlineStr">
        <is>
          <t>JÄMTLANDS LÄN</t>
        </is>
      </c>
      <c r="E380" t="inlineStr">
        <is>
          <t>ÖSTERSUND</t>
        </is>
      </c>
      <c r="G380" t="n">
        <v>10.6</v>
      </c>
      <c r="H380" t="n">
        <v>0</v>
      </c>
      <c r="I380" t="n">
        <v>0</v>
      </c>
      <c r="J380" t="n">
        <v>0</v>
      </c>
      <c r="K380" t="n">
        <v>0</v>
      </c>
      <c r="L380" t="n">
        <v>0</v>
      </c>
      <c r="M380" t="n">
        <v>0</v>
      </c>
      <c r="N380" t="n">
        <v>0</v>
      </c>
      <c r="O380" t="n">
        <v>0</v>
      </c>
      <c r="P380" t="n">
        <v>0</v>
      </c>
      <c r="Q380" t="n">
        <v>0</v>
      </c>
      <c r="R380" s="2" t="inlineStr"/>
    </row>
    <row r="381" ht="15" customHeight="1">
      <c r="A381" t="inlineStr">
        <is>
          <t>A 24706-2021</t>
        </is>
      </c>
      <c r="B381" s="1" t="n">
        <v>44340</v>
      </c>
      <c r="C381" s="1" t="n">
        <v>45791</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24721-2021</t>
        </is>
      </c>
      <c r="B382" s="1" t="n">
        <v>44340</v>
      </c>
      <c r="C382" s="1" t="n">
        <v>45791</v>
      </c>
      <c r="D382" t="inlineStr">
        <is>
          <t>JÄMTLANDS LÄN</t>
        </is>
      </c>
      <c r="E382" t="inlineStr">
        <is>
          <t>ÖSTERSUND</t>
        </is>
      </c>
      <c r="G382" t="n">
        <v>2.7</v>
      </c>
      <c r="H382" t="n">
        <v>0</v>
      </c>
      <c r="I382" t="n">
        <v>0</v>
      </c>
      <c r="J382" t="n">
        <v>0</v>
      </c>
      <c r="K382" t="n">
        <v>0</v>
      </c>
      <c r="L382" t="n">
        <v>0</v>
      </c>
      <c r="M382" t="n">
        <v>0</v>
      </c>
      <c r="N382" t="n">
        <v>0</v>
      </c>
      <c r="O382" t="n">
        <v>0</v>
      </c>
      <c r="P382" t="n">
        <v>0</v>
      </c>
      <c r="Q382" t="n">
        <v>0</v>
      </c>
      <c r="R382" s="2" t="inlineStr"/>
    </row>
    <row r="383" ht="15" customHeight="1">
      <c r="A383" t="inlineStr">
        <is>
          <t>A 26254-2021</t>
        </is>
      </c>
      <c r="B383" s="1" t="n">
        <v>44347</v>
      </c>
      <c r="C383" s="1" t="n">
        <v>45791</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26259-2021</t>
        </is>
      </c>
      <c r="B384" s="1" t="n">
        <v>44347</v>
      </c>
      <c r="C384" s="1" t="n">
        <v>45791</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27061-2021</t>
        </is>
      </c>
      <c r="B385" s="1" t="n">
        <v>44349</v>
      </c>
      <c r="C385" s="1" t="n">
        <v>45791</v>
      </c>
      <c r="D385" t="inlineStr">
        <is>
          <t>JÄMTLANDS LÄN</t>
        </is>
      </c>
      <c r="E385" t="inlineStr">
        <is>
          <t>ÖSTERSUND</t>
        </is>
      </c>
      <c r="G385" t="n">
        <v>3.2</v>
      </c>
      <c r="H385" t="n">
        <v>0</v>
      </c>
      <c r="I385" t="n">
        <v>0</v>
      </c>
      <c r="J385" t="n">
        <v>0</v>
      </c>
      <c r="K385" t="n">
        <v>0</v>
      </c>
      <c r="L385" t="n">
        <v>0</v>
      </c>
      <c r="M385" t="n">
        <v>0</v>
      </c>
      <c r="N385" t="n">
        <v>0</v>
      </c>
      <c r="O385" t="n">
        <v>0</v>
      </c>
      <c r="P385" t="n">
        <v>0</v>
      </c>
      <c r="Q385" t="n">
        <v>0</v>
      </c>
      <c r="R385" s="2" t="inlineStr"/>
    </row>
    <row r="386" ht="15" customHeight="1">
      <c r="A386" t="inlineStr">
        <is>
          <t>A 27004-2021</t>
        </is>
      </c>
      <c r="B386" s="1" t="n">
        <v>44349</v>
      </c>
      <c r="C386" s="1" t="n">
        <v>45791</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29582-2021</t>
        </is>
      </c>
      <c r="B387" s="1" t="n">
        <v>44362</v>
      </c>
      <c r="C387" s="1" t="n">
        <v>45791</v>
      </c>
      <c r="D387" t="inlineStr">
        <is>
          <t>JÄMTLANDS LÄN</t>
        </is>
      </c>
      <c r="E387" t="inlineStr">
        <is>
          <t>ÖSTERSUND</t>
        </is>
      </c>
      <c r="G387" t="n">
        <v>31.5</v>
      </c>
      <c r="H387" t="n">
        <v>0</v>
      </c>
      <c r="I387" t="n">
        <v>0</v>
      </c>
      <c r="J387" t="n">
        <v>0</v>
      </c>
      <c r="K387" t="n">
        <v>0</v>
      </c>
      <c r="L387" t="n">
        <v>0</v>
      </c>
      <c r="M387" t="n">
        <v>0</v>
      </c>
      <c r="N387" t="n">
        <v>0</v>
      </c>
      <c r="O387" t="n">
        <v>0</v>
      </c>
      <c r="P387" t="n">
        <v>0</v>
      </c>
      <c r="Q387" t="n">
        <v>0</v>
      </c>
      <c r="R387" s="2" t="inlineStr"/>
    </row>
    <row r="388" ht="15" customHeight="1">
      <c r="A388" t="inlineStr">
        <is>
          <t>A 29707-2021</t>
        </is>
      </c>
      <c r="B388" s="1" t="n">
        <v>44362</v>
      </c>
      <c r="C388" s="1" t="n">
        <v>45791</v>
      </c>
      <c r="D388" t="inlineStr">
        <is>
          <t>JÄMTLANDS LÄN</t>
        </is>
      </c>
      <c r="E388" t="inlineStr">
        <is>
          <t>ÖSTERSUND</t>
        </is>
      </c>
      <c r="G388" t="n">
        <v>4</v>
      </c>
      <c r="H388" t="n">
        <v>0</v>
      </c>
      <c r="I388" t="n">
        <v>0</v>
      </c>
      <c r="J388" t="n">
        <v>0</v>
      </c>
      <c r="K388" t="n">
        <v>0</v>
      </c>
      <c r="L388" t="n">
        <v>0</v>
      </c>
      <c r="M388" t="n">
        <v>0</v>
      </c>
      <c r="N388" t="n">
        <v>0</v>
      </c>
      <c r="O388" t="n">
        <v>0</v>
      </c>
      <c r="P388" t="n">
        <v>0</v>
      </c>
      <c r="Q388" t="n">
        <v>0</v>
      </c>
      <c r="R388" s="2" t="inlineStr"/>
    </row>
    <row r="389" ht="15" customHeight="1">
      <c r="A389" t="inlineStr">
        <is>
          <t>A 31040-2021</t>
        </is>
      </c>
      <c r="B389" s="1" t="n">
        <v>44368</v>
      </c>
      <c r="C389" s="1" t="n">
        <v>45791</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32994-2021</t>
        </is>
      </c>
      <c r="B390" s="1" t="n">
        <v>44375</v>
      </c>
      <c r="C390" s="1" t="n">
        <v>45791</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33004-2021</t>
        </is>
      </c>
      <c r="B391" s="1" t="n">
        <v>44375</v>
      </c>
      <c r="C391" s="1" t="n">
        <v>45791</v>
      </c>
      <c r="D391" t="inlineStr">
        <is>
          <t>JÄMTLANDS LÄN</t>
        </is>
      </c>
      <c r="E391" t="inlineStr">
        <is>
          <t>ÖSTERSUND</t>
        </is>
      </c>
      <c r="G391" t="n">
        <v>0.6</v>
      </c>
      <c r="H391" t="n">
        <v>0</v>
      </c>
      <c r="I391" t="n">
        <v>0</v>
      </c>
      <c r="J391" t="n">
        <v>0</v>
      </c>
      <c r="K391" t="n">
        <v>0</v>
      </c>
      <c r="L391" t="n">
        <v>0</v>
      </c>
      <c r="M391" t="n">
        <v>0</v>
      </c>
      <c r="N391" t="n">
        <v>0</v>
      </c>
      <c r="O391" t="n">
        <v>0</v>
      </c>
      <c r="P391" t="n">
        <v>0</v>
      </c>
      <c r="Q391" t="n">
        <v>0</v>
      </c>
      <c r="R391" s="2" t="inlineStr"/>
    </row>
    <row r="392" ht="15" customHeight="1">
      <c r="A392" t="inlineStr">
        <is>
          <t>A 32998-2021</t>
        </is>
      </c>
      <c r="B392" s="1" t="n">
        <v>44375</v>
      </c>
      <c r="C392" s="1" t="n">
        <v>45791</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32986-2021</t>
        </is>
      </c>
      <c r="B393" s="1" t="n">
        <v>44375</v>
      </c>
      <c r="C393" s="1" t="n">
        <v>45791</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33002-2021</t>
        </is>
      </c>
      <c r="B394" s="1" t="n">
        <v>44375</v>
      </c>
      <c r="C394" s="1" t="n">
        <v>45791</v>
      </c>
      <c r="D394" t="inlineStr">
        <is>
          <t>JÄMTLANDS LÄN</t>
        </is>
      </c>
      <c r="E394" t="inlineStr">
        <is>
          <t>ÖSTERSUND</t>
        </is>
      </c>
      <c r="G394" t="n">
        <v>0.2</v>
      </c>
      <c r="H394" t="n">
        <v>0</v>
      </c>
      <c r="I394" t="n">
        <v>0</v>
      </c>
      <c r="J394" t="n">
        <v>0</v>
      </c>
      <c r="K394" t="n">
        <v>0</v>
      </c>
      <c r="L394" t="n">
        <v>0</v>
      </c>
      <c r="M394" t="n">
        <v>0</v>
      </c>
      <c r="N394" t="n">
        <v>0</v>
      </c>
      <c r="O394" t="n">
        <v>0</v>
      </c>
      <c r="P394" t="n">
        <v>0</v>
      </c>
      <c r="Q394" t="n">
        <v>0</v>
      </c>
      <c r="R394" s="2" t="inlineStr"/>
    </row>
    <row r="395" ht="15" customHeight="1">
      <c r="A395" t="inlineStr">
        <is>
          <t>A 32990-2021</t>
        </is>
      </c>
      <c r="B395" s="1" t="n">
        <v>44375</v>
      </c>
      <c r="C395" s="1" t="n">
        <v>45791</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33831-2021</t>
        </is>
      </c>
      <c r="B396" s="1" t="n">
        <v>44378</v>
      </c>
      <c r="C396" s="1" t="n">
        <v>45791</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35032-2021</t>
        </is>
      </c>
      <c r="B397" s="1" t="n">
        <v>44383</v>
      </c>
      <c r="C397" s="1" t="n">
        <v>45791</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35755-2021</t>
        </is>
      </c>
      <c r="B398" s="1" t="n">
        <v>44385</v>
      </c>
      <c r="C398" s="1" t="n">
        <v>45791</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38142-2021</t>
        </is>
      </c>
      <c r="B399" s="1" t="n">
        <v>44405</v>
      </c>
      <c r="C399" s="1" t="n">
        <v>45791</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38647-2021</t>
        </is>
      </c>
      <c r="B400" s="1" t="n">
        <v>44410</v>
      </c>
      <c r="C400" s="1" t="n">
        <v>45791</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38644-2021</t>
        </is>
      </c>
      <c r="B401" s="1" t="n">
        <v>44410</v>
      </c>
      <c r="C401" s="1" t="n">
        <v>45791</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39735-2021</t>
        </is>
      </c>
      <c r="B402" s="1" t="n">
        <v>44414</v>
      </c>
      <c r="C402" s="1" t="n">
        <v>45791</v>
      </c>
      <c r="D402" t="inlineStr">
        <is>
          <t>JÄMTLANDS LÄN</t>
        </is>
      </c>
      <c r="E402" t="inlineStr">
        <is>
          <t>ÖSTERSUND</t>
        </is>
      </c>
      <c r="G402" t="n">
        <v>4.5</v>
      </c>
      <c r="H402" t="n">
        <v>0</v>
      </c>
      <c r="I402" t="n">
        <v>0</v>
      </c>
      <c r="J402" t="n">
        <v>0</v>
      </c>
      <c r="K402" t="n">
        <v>0</v>
      </c>
      <c r="L402" t="n">
        <v>0</v>
      </c>
      <c r="M402" t="n">
        <v>0</v>
      </c>
      <c r="N402" t="n">
        <v>0</v>
      </c>
      <c r="O402" t="n">
        <v>0</v>
      </c>
      <c r="P402" t="n">
        <v>0</v>
      </c>
      <c r="Q402" t="n">
        <v>0</v>
      </c>
      <c r="R402" s="2" t="inlineStr"/>
    </row>
    <row r="403" ht="15" customHeight="1">
      <c r="A403" t="inlineStr">
        <is>
          <t>A 40038-2021</t>
        </is>
      </c>
      <c r="B403" s="1" t="n">
        <v>44418</v>
      </c>
      <c r="C403" s="1" t="n">
        <v>45791</v>
      </c>
      <c r="D403" t="inlineStr">
        <is>
          <t>JÄMTLANDS LÄN</t>
        </is>
      </c>
      <c r="E403" t="inlineStr">
        <is>
          <t>ÖSTERSUND</t>
        </is>
      </c>
      <c r="G403" t="n">
        <v>7</v>
      </c>
      <c r="H403" t="n">
        <v>0</v>
      </c>
      <c r="I403" t="n">
        <v>0</v>
      </c>
      <c r="J403" t="n">
        <v>0</v>
      </c>
      <c r="K403" t="n">
        <v>0</v>
      </c>
      <c r="L403" t="n">
        <v>0</v>
      </c>
      <c r="M403" t="n">
        <v>0</v>
      </c>
      <c r="N403" t="n">
        <v>0</v>
      </c>
      <c r="O403" t="n">
        <v>0</v>
      </c>
      <c r="P403" t="n">
        <v>0</v>
      </c>
      <c r="Q403" t="n">
        <v>0</v>
      </c>
      <c r="R403" s="2" t="inlineStr"/>
    </row>
    <row r="404" ht="15" customHeight="1">
      <c r="A404" t="inlineStr">
        <is>
          <t>A 41802-2021</t>
        </is>
      </c>
      <c r="B404" s="1" t="n">
        <v>44425</v>
      </c>
      <c r="C404" s="1" t="n">
        <v>45791</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42469-2021</t>
        </is>
      </c>
      <c r="B405" s="1" t="n">
        <v>44427</v>
      </c>
      <c r="C405" s="1" t="n">
        <v>45791</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42793-2021</t>
        </is>
      </c>
      <c r="B406" s="1" t="n">
        <v>44428</v>
      </c>
      <c r="C406" s="1" t="n">
        <v>45791</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42832-2021</t>
        </is>
      </c>
      <c r="B407" s="1" t="n">
        <v>44430</v>
      </c>
      <c r="C407" s="1" t="n">
        <v>45791</v>
      </c>
      <c r="D407" t="inlineStr">
        <is>
          <t>JÄMTLANDS LÄN</t>
        </is>
      </c>
      <c r="E407" t="inlineStr">
        <is>
          <t>ÖSTERSUND</t>
        </is>
      </c>
      <c r="G407" t="n">
        <v>9</v>
      </c>
      <c r="H407" t="n">
        <v>0</v>
      </c>
      <c r="I407" t="n">
        <v>0</v>
      </c>
      <c r="J407" t="n">
        <v>0</v>
      </c>
      <c r="K407" t="n">
        <v>0</v>
      </c>
      <c r="L407" t="n">
        <v>0</v>
      </c>
      <c r="M407" t="n">
        <v>0</v>
      </c>
      <c r="N407" t="n">
        <v>0</v>
      </c>
      <c r="O407" t="n">
        <v>0</v>
      </c>
      <c r="P407" t="n">
        <v>0</v>
      </c>
      <c r="Q407" t="n">
        <v>0</v>
      </c>
      <c r="R407" s="2" t="inlineStr"/>
    </row>
    <row r="408" ht="15" customHeight="1">
      <c r="A408" t="inlineStr">
        <is>
          <t>A 43310-2021</t>
        </is>
      </c>
      <c r="B408" s="1" t="n">
        <v>44432</v>
      </c>
      <c r="C408" s="1" t="n">
        <v>45791</v>
      </c>
      <c r="D408" t="inlineStr">
        <is>
          <t>JÄMTLANDS LÄN</t>
        </is>
      </c>
      <c r="E408" t="inlineStr">
        <is>
          <t>ÖSTERSUND</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44013-2021</t>
        </is>
      </c>
      <c r="B409" s="1" t="n">
        <v>44434</v>
      </c>
      <c r="C409" s="1" t="n">
        <v>45791</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44051-2021</t>
        </is>
      </c>
      <c r="B410" s="1" t="n">
        <v>44434</v>
      </c>
      <c r="C410" s="1" t="n">
        <v>45791</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44267-2021</t>
        </is>
      </c>
      <c r="B411" s="1" t="n">
        <v>44434</v>
      </c>
      <c r="C411" s="1" t="n">
        <v>45791</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46002-2021</t>
        </is>
      </c>
      <c r="B412" s="1" t="n">
        <v>44441</v>
      </c>
      <c r="C412" s="1" t="n">
        <v>45791</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46004-2021</t>
        </is>
      </c>
      <c r="B413" s="1" t="n">
        <v>44441</v>
      </c>
      <c r="C413" s="1" t="n">
        <v>45791</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46111-2021</t>
        </is>
      </c>
      <c r="B414" s="1" t="n">
        <v>44441</v>
      </c>
      <c r="C414" s="1" t="n">
        <v>45791</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46139-2021</t>
        </is>
      </c>
      <c r="B415" s="1" t="n">
        <v>44441</v>
      </c>
      <c r="C415" s="1" t="n">
        <v>45791</v>
      </c>
      <c r="D415" t="inlineStr">
        <is>
          <t>JÄMTLANDS LÄN</t>
        </is>
      </c>
      <c r="E415" t="inlineStr">
        <is>
          <t>ÖSTERSUND</t>
        </is>
      </c>
      <c r="G415" t="n">
        <v>12.8</v>
      </c>
      <c r="H415" t="n">
        <v>0</v>
      </c>
      <c r="I415" t="n">
        <v>0</v>
      </c>
      <c r="J415" t="n">
        <v>0</v>
      </c>
      <c r="K415" t="n">
        <v>0</v>
      </c>
      <c r="L415" t="n">
        <v>0</v>
      </c>
      <c r="M415" t="n">
        <v>0</v>
      </c>
      <c r="N415" t="n">
        <v>0</v>
      </c>
      <c r="O415" t="n">
        <v>0</v>
      </c>
      <c r="P415" t="n">
        <v>0</v>
      </c>
      <c r="Q415" t="n">
        <v>0</v>
      </c>
      <c r="R415" s="2" t="inlineStr"/>
    </row>
    <row r="416" ht="15" customHeight="1">
      <c r="A416" t="inlineStr">
        <is>
          <t>A 48947-2021</t>
        </is>
      </c>
      <c r="B416" s="1" t="n">
        <v>44453</v>
      </c>
      <c r="C416" s="1" t="n">
        <v>45791</v>
      </c>
      <c r="D416" t="inlineStr">
        <is>
          <t>JÄMTLANDS LÄN</t>
        </is>
      </c>
      <c r="E416" t="inlineStr">
        <is>
          <t>ÖSTERSUND</t>
        </is>
      </c>
      <c r="G416" t="n">
        <v>22.3</v>
      </c>
      <c r="H416" t="n">
        <v>0</v>
      </c>
      <c r="I416" t="n">
        <v>0</v>
      </c>
      <c r="J416" t="n">
        <v>0</v>
      </c>
      <c r="K416" t="n">
        <v>0</v>
      </c>
      <c r="L416" t="n">
        <v>0</v>
      </c>
      <c r="M416" t="n">
        <v>0</v>
      </c>
      <c r="N416" t="n">
        <v>0</v>
      </c>
      <c r="O416" t="n">
        <v>0</v>
      </c>
      <c r="P416" t="n">
        <v>0</v>
      </c>
      <c r="Q416" t="n">
        <v>0</v>
      </c>
      <c r="R416" s="2" t="inlineStr"/>
    </row>
    <row r="417" ht="15" customHeight="1">
      <c r="A417" t="inlineStr">
        <is>
          <t>A 52913-2021</t>
        </is>
      </c>
      <c r="B417" s="1" t="n">
        <v>44466</v>
      </c>
      <c r="C417" s="1" t="n">
        <v>45791</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55302-2021</t>
        </is>
      </c>
      <c r="B418" s="1" t="n">
        <v>44475</v>
      </c>
      <c r="C418" s="1" t="n">
        <v>45791</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61631-2021</t>
        </is>
      </c>
      <c r="B419" s="1" t="n">
        <v>44501</v>
      </c>
      <c r="C419" s="1" t="n">
        <v>45791</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64092-2021</t>
        </is>
      </c>
      <c r="B420" s="1" t="n">
        <v>44510</v>
      </c>
      <c r="C420" s="1" t="n">
        <v>45791</v>
      </c>
      <c r="D420" t="inlineStr">
        <is>
          <t>JÄMTLANDS LÄN</t>
        </is>
      </c>
      <c r="E420" t="inlineStr">
        <is>
          <t>ÖSTERSUND</t>
        </is>
      </c>
      <c r="G420" t="n">
        <v>5.6</v>
      </c>
      <c r="H420" t="n">
        <v>0</v>
      </c>
      <c r="I420" t="n">
        <v>0</v>
      </c>
      <c r="J420" t="n">
        <v>0</v>
      </c>
      <c r="K420" t="n">
        <v>0</v>
      </c>
      <c r="L420" t="n">
        <v>0</v>
      </c>
      <c r="M420" t="n">
        <v>0</v>
      </c>
      <c r="N420" t="n">
        <v>0</v>
      </c>
      <c r="O420" t="n">
        <v>0</v>
      </c>
      <c r="P420" t="n">
        <v>0</v>
      </c>
      <c r="Q420" t="n">
        <v>0</v>
      </c>
      <c r="R420" s="2" t="inlineStr"/>
    </row>
    <row r="421" ht="15" customHeight="1">
      <c r="A421" t="inlineStr">
        <is>
          <t>A 64645-2021</t>
        </is>
      </c>
      <c r="B421" s="1" t="n">
        <v>44511</v>
      </c>
      <c r="C421" s="1" t="n">
        <v>45791</v>
      </c>
      <c r="D421" t="inlineStr">
        <is>
          <t>JÄMTLANDS LÄN</t>
        </is>
      </c>
      <c r="E421" t="inlineStr">
        <is>
          <t>ÖSTERSUND</t>
        </is>
      </c>
      <c r="G421" t="n">
        <v>3.2</v>
      </c>
      <c r="H421" t="n">
        <v>0</v>
      </c>
      <c r="I421" t="n">
        <v>0</v>
      </c>
      <c r="J421" t="n">
        <v>0</v>
      </c>
      <c r="K421" t="n">
        <v>0</v>
      </c>
      <c r="L421" t="n">
        <v>0</v>
      </c>
      <c r="M421" t="n">
        <v>0</v>
      </c>
      <c r="N421" t="n">
        <v>0</v>
      </c>
      <c r="O421" t="n">
        <v>0</v>
      </c>
      <c r="P421" t="n">
        <v>0</v>
      </c>
      <c r="Q421" t="n">
        <v>0</v>
      </c>
      <c r="R421" s="2" t="inlineStr"/>
    </row>
    <row r="422" ht="15" customHeight="1">
      <c r="A422" t="inlineStr">
        <is>
          <t>A 65428-2021</t>
        </is>
      </c>
      <c r="B422" s="1" t="n">
        <v>44515</v>
      </c>
      <c r="C422" s="1" t="n">
        <v>45791</v>
      </c>
      <c r="D422" t="inlineStr">
        <is>
          <t>JÄMTLANDS LÄN</t>
        </is>
      </c>
      <c r="E422" t="inlineStr">
        <is>
          <t>ÖSTERSUND</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65866-2021</t>
        </is>
      </c>
      <c r="B423" s="1" t="n">
        <v>44516</v>
      </c>
      <c r="C423" s="1" t="n">
        <v>45791</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65991-2021</t>
        </is>
      </c>
      <c r="B424" s="1" t="n">
        <v>44517</v>
      </c>
      <c r="C424" s="1" t="n">
        <v>45791</v>
      </c>
      <c r="D424" t="inlineStr">
        <is>
          <t>JÄMTLANDS LÄN</t>
        </is>
      </c>
      <c r="E424" t="inlineStr">
        <is>
          <t>ÖSTERSUND</t>
        </is>
      </c>
      <c r="G424" t="n">
        <v>4.3</v>
      </c>
      <c r="H424" t="n">
        <v>0</v>
      </c>
      <c r="I424" t="n">
        <v>0</v>
      </c>
      <c r="J424" t="n">
        <v>0</v>
      </c>
      <c r="K424" t="n">
        <v>0</v>
      </c>
      <c r="L424" t="n">
        <v>0</v>
      </c>
      <c r="M424" t="n">
        <v>0</v>
      </c>
      <c r="N424" t="n">
        <v>0</v>
      </c>
      <c r="O424" t="n">
        <v>0</v>
      </c>
      <c r="P424" t="n">
        <v>0</v>
      </c>
      <c r="Q424" t="n">
        <v>0</v>
      </c>
      <c r="R424" s="2" t="inlineStr"/>
    </row>
    <row r="425" ht="15" customHeight="1">
      <c r="A425" t="inlineStr">
        <is>
          <t>A 66940-2021</t>
        </is>
      </c>
      <c r="B425" s="1" t="n">
        <v>44522</v>
      </c>
      <c r="C425" s="1" t="n">
        <v>45791</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67695-2021</t>
        </is>
      </c>
      <c r="B426" s="1" t="n">
        <v>44524</v>
      </c>
      <c r="C426" s="1" t="n">
        <v>45791</v>
      </c>
      <c r="D426" t="inlineStr">
        <is>
          <t>JÄMTLANDS LÄN</t>
        </is>
      </c>
      <c r="E426" t="inlineStr">
        <is>
          <t>ÖSTERSUND</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67694-2021</t>
        </is>
      </c>
      <c r="B427" s="1" t="n">
        <v>44524</v>
      </c>
      <c r="C427" s="1" t="n">
        <v>45791</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69190-2021</t>
        </is>
      </c>
      <c r="B428" s="1" t="n">
        <v>44529</v>
      </c>
      <c r="C428" s="1" t="n">
        <v>45791</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70256-2021</t>
        </is>
      </c>
      <c r="B429" s="1" t="n">
        <v>44533</v>
      </c>
      <c r="C429" s="1" t="n">
        <v>45791</v>
      </c>
      <c r="D429" t="inlineStr">
        <is>
          <t>JÄMTLANDS LÄN</t>
        </is>
      </c>
      <c r="E429" t="inlineStr">
        <is>
          <t>ÖSTERSUND</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70678-2021</t>
        </is>
      </c>
      <c r="B430" s="1" t="n">
        <v>44537</v>
      </c>
      <c r="C430" s="1" t="n">
        <v>45791</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70816-2021</t>
        </is>
      </c>
      <c r="B431" s="1" t="n">
        <v>44537</v>
      </c>
      <c r="C431" s="1" t="n">
        <v>45791</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71823-2021</t>
        </is>
      </c>
      <c r="B432" s="1" t="n">
        <v>44539</v>
      </c>
      <c r="C432" s="1" t="n">
        <v>45791</v>
      </c>
      <c r="D432" t="inlineStr">
        <is>
          <t>JÄMTLANDS LÄN</t>
        </is>
      </c>
      <c r="E432" t="inlineStr">
        <is>
          <t>ÖSTERSUND</t>
        </is>
      </c>
      <c r="G432" t="n">
        <v>10.5</v>
      </c>
      <c r="H432" t="n">
        <v>0</v>
      </c>
      <c r="I432" t="n">
        <v>0</v>
      </c>
      <c r="J432" t="n">
        <v>0</v>
      </c>
      <c r="K432" t="n">
        <v>0</v>
      </c>
      <c r="L432" t="n">
        <v>0</v>
      </c>
      <c r="M432" t="n">
        <v>0</v>
      </c>
      <c r="N432" t="n">
        <v>0</v>
      </c>
      <c r="O432" t="n">
        <v>0</v>
      </c>
      <c r="P432" t="n">
        <v>0</v>
      </c>
      <c r="Q432" t="n">
        <v>0</v>
      </c>
      <c r="R432" s="2" t="inlineStr"/>
    </row>
    <row r="433" ht="15" customHeight="1">
      <c r="A433" t="inlineStr">
        <is>
          <t>A 72089-2021</t>
        </is>
      </c>
      <c r="B433" s="1" t="n">
        <v>44540</v>
      </c>
      <c r="C433" s="1" t="n">
        <v>45791</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72041-2021</t>
        </is>
      </c>
      <c r="B434" s="1" t="n">
        <v>44540</v>
      </c>
      <c r="C434" s="1" t="n">
        <v>45791</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72258-2021</t>
        </is>
      </c>
      <c r="B435" s="1" t="n">
        <v>44540</v>
      </c>
      <c r="C435" s="1" t="n">
        <v>45791</v>
      </c>
      <c r="D435" t="inlineStr">
        <is>
          <t>JÄMTLANDS LÄN</t>
        </is>
      </c>
      <c r="E435" t="inlineStr">
        <is>
          <t>ÖSTERSUND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72061-2021</t>
        </is>
      </c>
      <c r="B436" s="1" t="n">
        <v>44540</v>
      </c>
      <c r="C436" s="1" t="n">
        <v>45791</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71956-2021</t>
        </is>
      </c>
      <c r="B437" s="1" t="n">
        <v>44544</v>
      </c>
      <c r="C437" s="1" t="n">
        <v>45791</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72938-2021</t>
        </is>
      </c>
      <c r="B438" s="1" t="n">
        <v>44547</v>
      </c>
      <c r="C438" s="1" t="n">
        <v>45791</v>
      </c>
      <c r="D438" t="inlineStr">
        <is>
          <t>JÄMTLANDS LÄN</t>
        </is>
      </c>
      <c r="E438" t="inlineStr">
        <is>
          <t>ÖSTERSUND</t>
        </is>
      </c>
      <c r="G438" t="n">
        <v>4.5</v>
      </c>
      <c r="H438" t="n">
        <v>0</v>
      </c>
      <c r="I438" t="n">
        <v>0</v>
      </c>
      <c r="J438" t="n">
        <v>0</v>
      </c>
      <c r="K438" t="n">
        <v>0</v>
      </c>
      <c r="L438" t="n">
        <v>0</v>
      </c>
      <c r="M438" t="n">
        <v>0</v>
      </c>
      <c r="N438" t="n">
        <v>0</v>
      </c>
      <c r="O438" t="n">
        <v>0</v>
      </c>
      <c r="P438" t="n">
        <v>0</v>
      </c>
      <c r="Q438" t="n">
        <v>0</v>
      </c>
      <c r="R438" s="2" t="inlineStr"/>
    </row>
    <row r="439" ht="15" customHeight="1">
      <c r="A439" t="inlineStr">
        <is>
          <t>A 73078-2021</t>
        </is>
      </c>
      <c r="B439" s="1" t="n">
        <v>44550</v>
      </c>
      <c r="C439" s="1" t="n">
        <v>45791</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73066-2021</t>
        </is>
      </c>
      <c r="B440" s="1" t="n">
        <v>44550</v>
      </c>
      <c r="C440" s="1" t="n">
        <v>45791</v>
      </c>
      <c r="D440" t="inlineStr">
        <is>
          <t>JÄMTLANDS LÄN</t>
        </is>
      </c>
      <c r="E440" t="inlineStr">
        <is>
          <t>ÖSTERSUND</t>
        </is>
      </c>
      <c r="G440" t="n">
        <v>2.9</v>
      </c>
      <c r="H440" t="n">
        <v>0</v>
      </c>
      <c r="I440" t="n">
        <v>0</v>
      </c>
      <c r="J440" t="n">
        <v>0</v>
      </c>
      <c r="K440" t="n">
        <v>0</v>
      </c>
      <c r="L440" t="n">
        <v>0</v>
      </c>
      <c r="M440" t="n">
        <v>0</v>
      </c>
      <c r="N440" t="n">
        <v>0</v>
      </c>
      <c r="O440" t="n">
        <v>0</v>
      </c>
      <c r="P440" t="n">
        <v>0</v>
      </c>
      <c r="Q440" t="n">
        <v>0</v>
      </c>
      <c r="R440" s="2" t="inlineStr"/>
    </row>
    <row r="441" ht="15" customHeight="1">
      <c r="A441" t="inlineStr">
        <is>
          <t>A 73875-2021</t>
        </is>
      </c>
      <c r="B441" s="1" t="n">
        <v>44553</v>
      </c>
      <c r="C441" s="1" t="n">
        <v>45791</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73870-2021</t>
        </is>
      </c>
      <c r="B442" s="1" t="n">
        <v>44553</v>
      </c>
      <c r="C442" s="1" t="n">
        <v>45791</v>
      </c>
      <c r="D442" t="inlineStr">
        <is>
          <t>JÄMTLANDS LÄN</t>
        </is>
      </c>
      <c r="E442" t="inlineStr">
        <is>
          <t>ÖSTERSUND</t>
        </is>
      </c>
      <c r="G442" t="n">
        <v>5.3</v>
      </c>
      <c r="H442" t="n">
        <v>0</v>
      </c>
      <c r="I442" t="n">
        <v>0</v>
      </c>
      <c r="J442" t="n">
        <v>0</v>
      </c>
      <c r="K442" t="n">
        <v>0</v>
      </c>
      <c r="L442" t="n">
        <v>0</v>
      </c>
      <c r="M442" t="n">
        <v>0</v>
      </c>
      <c r="N442" t="n">
        <v>0</v>
      </c>
      <c r="O442" t="n">
        <v>0</v>
      </c>
      <c r="P442" t="n">
        <v>0</v>
      </c>
      <c r="Q442" t="n">
        <v>0</v>
      </c>
      <c r="R442" s="2" t="inlineStr"/>
    </row>
    <row r="443" ht="15" customHeight="1">
      <c r="A443" t="inlineStr">
        <is>
          <t>A 154-2022</t>
        </is>
      </c>
      <c r="B443" s="1" t="n">
        <v>44561</v>
      </c>
      <c r="C443" s="1" t="n">
        <v>45791</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231-2022</t>
        </is>
      </c>
      <c r="B444" s="1" t="n">
        <v>44564</v>
      </c>
      <c r="C444" s="1" t="n">
        <v>45791</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681-2022</t>
        </is>
      </c>
      <c r="B445" s="1" t="n">
        <v>44566</v>
      </c>
      <c r="C445" s="1" t="n">
        <v>45791</v>
      </c>
      <c r="D445" t="inlineStr">
        <is>
          <t>JÄMTLANDS LÄN</t>
        </is>
      </c>
      <c r="E445" t="inlineStr">
        <is>
          <t>ÖSTERSUND</t>
        </is>
      </c>
      <c r="G445" t="n">
        <v>2.3</v>
      </c>
      <c r="H445" t="n">
        <v>0</v>
      </c>
      <c r="I445" t="n">
        <v>0</v>
      </c>
      <c r="J445" t="n">
        <v>0</v>
      </c>
      <c r="K445" t="n">
        <v>0</v>
      </c>
      <c r="L445" t="n">
        <v>0</v>
      </c>
      <c r="M445" t="n">
        <v>0</v>
      </c>
      <c r="N445" t="n">
        <v>0</v>
      </c>
      <c r="O445" t="n">
        <v>0</v>
      </c>
      <c r="P445" t="n">
        <v>0</v>
      </c>
      <c r="Q445" t="n">
        <v>0</v>
      </c>
      <c r="R445" s="2" t="inlineStr"/>
    </row>
    <row r="446" ht="15" customHeight="1">
      <c r="A446" t="inlineStr">
        <is>
          <t>A 695-2022</t>
        </is>
      </c>
      <c r="B446" s="1" t="n">
        <v>44566</v>
      </c>
      <c r="C446" s="1" t="n">
        <v>45791</v>
      </c>
      <c r="D446" t="inlineStr">
        <is>
          <t>JÄMTLANDS LÄN</t>
        </is>
      </c>
      <c r="E446" t="inlineStr">
        <is>
          <t>ÖSTERSUND</t>
        </is>
      </c>
      <c r="G446" t="n">
        <v>14.9</v>
      </c>
      <c r="H446" t="n">
        <v>0</v>
      </c>
      <c r="I446" t="n">
        <v>0</v>
      </c>
      <c r="J446" t="n">
        <v>0</v>
      </c>
      <c r="K446" t="n">
        <v>0</v>
      </c>
      <c r="L446" t="n">
        <v>0</v>
      </c>
      <c r="M446" t="n">
        <v>0</v>
      </c>
      <c r="N446" t="n">
        <v>0</v>
      </c>
      <c r="O446" t="n">
        <v>0</v>
      </c>
      <c r="P446" t="n">
        <v>0</v>
      </c>
      <c r="Q446" t="n">
        <v>0</v>
      </c>
      <c r="R446" s="2" t="inlineStr"/>
    </row>
    <row r="447" ht="15" customHeight="1">
      <c r="A447" t="inlineStr">
        <is>
          <t>A 2431-2022</t>
        </is>
      </c>
      <c r="B447" s="1" t="n">
        <v>44579</v>
      </c>
      <c r="C447" s="1" t="n">
        <v>45791</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2763-2022</t>
        </is>
      </c>
      <c r="B448" s="1" t="n">
        <v>44580</v>
      </c>
      <c r="C448" s="1" t="n">
        <v>45791</v>
      </c>
      <c r="D448" t="inlineStr">
        <is>
          <t>JÄMTLANDS LÄN</t>
        </is>
      </c>
      <c r="E448" t="inlineStr">
        <is>
          <t>ÖSTERSUND</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2880-2022</t>
        </is>
      </c>
      <c r="B449" s="1" t="n">
        <v>44581</v>
      </c>
      <c r="C449" s="1" t="n">
        <v>45791</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3016-2022</t>
        </is>
      </c>
      <c r="B450" s="1" t="n">
        <v>44581</v>
      </c>
      <c r="C450" s="1" t="n">
        <v>45791</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5145-2022</t>
        </is>
      </c>
      <c r="B451" s="1" t="n">
        <v>44594</v>
      </c>
      <c r="C451" s="1" t="n">
        <v>45791</v>
      </c>
      <c r="D451" t="inlineStr">
        <is>
          <t>JÄMTLANDS LÄN</t>
        </is>
      </c>
      <c r="E451" t="inlineStr">
        <is>
          <t>ÖSTERSUND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5670-2022</t>
        </is>
      </c>
      <c r="B452" s="1" t="n">
        <v>44595</v>
      </c>
      <c r="C452" s="1" t="n">
        <v>45791</v>
      </c>
      <c r="D452" t="inlineStr">
        <is>
          <t>JÄMTLANDS LÄN</t>
        </is>
      </c>
      <c r="E452" t="inlineStr">
        <is>
          <t>ÖSTERSUND</t>
        </is>
      </c>
      <c r="G452" t="n">
        <v>2.7</v>
      </c>
      <c r="H452" t="n">
        <v>0</v>
      </c>
      <c r="I452" t="n">
        <v>0</v>
      </c>
      <c r="J452" t="n">
        <v>0</v>
      </c>
      <c r="K452" t="n">
        <v>0</v>
      </c>
      <c r="L452" t="n">
        <v>0</v>
      </c>
      <c r="M452" t="n">
        <v>0</v>
      </c>
      <c r="N452" t="n">
        <v>0</v>
      </c>
      <c r="O452" t="n">
        <v>0</v>
      </c>
      <c r="P452" t="n">
        <v>0</v>
      </c>
      <c r="Q452" t="n">
        <v>0</v>
      </c>
      <c r="R452" s="2" t="inlineStr"/>
    </row>
    <row r="453" ht="15" customHeight="1">
      <c r="A453" t="inlineStr">
        <is>
          <t>A 6013-2022</t>
        </is>
      </c>
      <c r="B453" s="1" t="n">
        <v>44599</v>
      </c>
      <c r="C453" s="1" t="n">
        <v>45791</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6458-2022</t>
        </is>
      </c>
      <c r="B454" s="1" t="n">
        <v>44601</v>
      </c>
      <c r="C454" s="1" t="n">
        <v>45791</v>
      </c>
      <c r="D454" t="inlineStr">
        <is>
          <t>JÄMTLANDS LÄN</t>
        </is>
      </c>
      <c r="E454" t="inlineStr">
        <is>
          <t>ÖSTERSUND</t>
        </is>
      </c>
      <c r="G454" t="n">
        <v>3.1</v>
      </c>
      <c r="H454" t="n">
        <v>0</v>
      </c>
      <c r="I454" t="n">
        <v>0</v>
      </c>
      <c r="J454" t="n">
        <v>0</v>
      </c>
      <c r="K454" t="n">
        <v>0</v>
      </c>
      <c r="L454" t="n">
        <v>0</v>
      </c>
      <c r="M454" t="n">
        <v>0</v>
      </c>
      <c r="N454" t="n">
        <v>0</v>
      </c>
      <c r="O454" t="n">
        <v>0</v>
      </c>
      <c r="P454" t="n">
        <v>0</v>
      </c>
      <c r="Q454" t="n">
        <v>0</v>
      </c>
      <c r="R454" s="2" t="inlineStr"/>
    </row>
    <row r="455" ht="15" customHeight="1">
      <c r="A455" t="inlineStr">
        <is>
          <t>A 7573-2022</t>
        </is>
      </c>
      <c r="B455" s="1" t="n">
        <v>44607</v>
      </c>
      <c r="C455" s="1" t="n">
        <v>45791</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8027-2022</t>
        </is>
      </c>
      <c r="B456" s="1" t="n">
        <v>44609</v>
      </c>
      <c r="C456" s="1" t="n">
        <v>45791</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8227-2022</t>
        </is>
      </c>
      <c r="B457" s="1" t="n">
        <v>44609</v>
      </c>
      <c r="C457" s="1" t="n">
        <v>45791</v>
      </c>
      <c r="D457" t="inlineStr">
        <is>
          <t>JÄMTLANDS LÄN</t>
        </is>
      </c>
      <c r="E457" t="inlineStr">
        <is>
          <t>ÖSTERSUND</t>
        </is>
      </c>
      <c r="G457" t="n">
        <v>6.6</v>
      </c>
      <c r="H457" t="n">
        <v>0</v>
      </c>
      <c r="I457" t="n">
        <v>0</v>
      </c>
      <c r="J457" t="n">
        <v>0</v>
      </c>
      <c r="K457" t="n">
        <v>0</v>
      </c>
      <c r="L457" t="n">
        <v>0</v>
      </c>
      <c r="M457" t="n">
        <v>0</v>
      </c>
      <c r="N457" t="n">
        <v>0</v>
      </c>
      <c r="O457" t="n">
        <v>0</v>
      </c>
      <c r="P457" t="n">
        <v>0</v>
      </c>
      <c r="Q457" t="n">
        <v>0</v>
      </c>
      <c r="R457" s="2" t="inlineStr"/>
    </row>
    <row r="458" ht="15" customHeight="1">
      <c r="A458" t="inlineStr">
        <is>
          <t>A 8647-2022</t>
        </is>
      </c>
      <c r="B458" s="1" t="n">
        <v>44613</v>
      </c>
      <c r="C458" s="1" t="n">
        <v>45791</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8972-2022</t>
        </is>
      </c>
      <c r="B459" s="1" t="n">
        <v>44614</v>
      </c>
      <c r="C459" s="1" t="n">
        <v>45791</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11740-2022</t>
        </is>
      </c>
      <c r="B460" s="1" t="n">
        <v>44634</v>
      </c>
      <c r="C460" s="1" t="n">
        <v>45791</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11933-2022</t>
        </is>
      </c>
      <c r="B461" s="1" t="n">
        <v>44635</v>
      </c>
      <c r="C461" s="1" t="n">
        <v>45791</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12301-2022</t>
        </is>
      </c>
      <c r="B462" s="1" t="n">
        <v>44637</v>
      </c>
      <c r="C462" s="1" t="n">
        <v>45791</v>
      </c>
      <c r="D462" t="inlineStr">
        <is>
          <t>JÄMTLANDS LÄN</t>
        </is>
      </c>
      <c r="E462" t="inlineStr">
        <is>
          <t>ÖSTERSUND</t>
        </is>
      </c>
      <c r="G462" t="n">
        <v>5.8</v>
      </c>
      <c r="H462" t="n">
        <v>0</v>
      </c>
      <c r="I462" t="n">
        <v>0</v>
      </c>
      <c r="J462" t="n">
        <v>0</v>
      </c>
      <c r="K462" t="n">
        <v>0</v>
      </c>
      <c r="L462" t="n">
        <v>0</v>
      </c>
      <c r="M462" t="n">
        <v>0</v>
      </c>
      <c r="N462" t="n">
        <v>0</v>
      </c>
      <c r="O462" t="n">
        <v>0</v>
      </c>
      <c r="P462" t="n">
        <v>0</v>
      </c>
      <c r="Q462" t="n">
        <v>0</v>
      </c>
      <c r="R462" s="2" t="inlineStr"/>
    </row>
    <row r="463" ht="15" customHeight="1">
      <c r="A463" t="inlineStr">
        <is>
          <t>A 12285-2022</t>
        </is>
      </c>
      <c r="B463" s="1" t="n">
        <v>44637</v>
      </c>
      <c r="C463" s="1" t="n">
        <v>45791</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12946-2022</t>
        </is>
      </c>
      <c r="B464" s="1" t="n">
        <v>44642</v>
      </c>
      <c r="C464" s="1" t="n">
        <v>45791</v>
      </c>
      <c r="D464" t="inlineStr">
        <is>
          <t>JÄMTLANDS LÄN</t>
        </is>
      </c>
      <c r="E464" t="inlineStr">
        <is>
          <t>ÖSTERSUND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13024-2022</t>
        </is>
      </c>
      <c r="B465" s="1" t="n">
        <v>44643</v>
      </c>
      <c r="C465" s="1" t="n">
        <v>45791</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14653-2022</t>
        </is>
      </c>
      <c r="B466" s="1" t="n">
        <v>44655</v>
      </c>
      <c r="C466" s="1" t="n">
        <v>45791</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14657-2022</t>
        </is>
      </c>
      <c r="B467" s="1" t="n">
        <v>44655</v>
      </c>
      <c r="C467" s="1" t="n">
        <v>45791</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14658-2022</t>
        </is>
      </c>
      <c r="B468" s="1" t="n">
        <v>44655</v>
      </c>
      <c r="C468" s="1" t="n">
        <v>45791</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16025-2022</t>
        </is>
      </c>
      <c r="B469" s="1" t="n">
        <v>44665</v>
      </c>
      <c r="C469" s="1" t="n">
        <v>45791</v>
      </c>
      <c r="D469" t="inlineStr">
        <is>
          <t>JÄMTLANDS LÄN</t>
        </is>
      </c>
      <c r="E469" t="inlineStr">
        <is>
          <t>ÖSTERSUND</t>
        </is>
      </c>
      <c r="G469" t="n">
        <v>6</v>
      </c>
      <c r="H469" t="n">
        <v>0</v>
      </c>
      <c r="I469" t="n">
        <v>0</v>
      </c>
      <c r="J469" t="n">
        <v>0</v>
      </c>
      <c r="K469" t="n">
        <v>0</v>
      </c>
      <c r="L469" t="n">
        <v>0</v>
      </c>
      <c r="M469" t="n">
        <v>0</v>
      </c>
      <c r="N469" t="n">
        <v>0</v>
      </c>
      <c r="O469" t="n">
        <v>0</v>
      </c>
      <c r="P469" t="n">
        <v>0</v>
      </c>
      <c r="Q469" t="n">
        <v>0</v>
      </c>
      <c r="R469" s="2" t="inlineStr"/>
    </row>
    <row r="470" ht="15" customHeight="1">
      <c r="A470" t="inlineStr">
        <is>
          <t>A 16034-2022</t>
        </is>
      </c>
      <c r="B470" s="1" t="n">
        <v>44665</v>
      </c>
      <c r="C470" s="1" t="n">
        <v>45791</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17574-2022</t>
        </is>
      </c>
      <c r="B471" s="1" t="n">
        <v>44680</v>
      </c>
      <c r="C471" s="1" t="n">
        <v>45791</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17732-2022</t>
        </is>
      </c>
      <c r="B472" s="1" t="n">
        <v>44681</v>
      </c>
      <c r="C472" s="1" t="n">
        <v>45791</v>
      </c>
      <c r="D472" t="inlineStr">
        <is>
          <t>JÄMTLANDS LÄN</t>
        </is>
      </c>
      <c r="E472" t="inlineStr">
        <is>
          <t>ÖSTERSUND</t>
        </is>
      </c>
      <c r="G472" t="n">
        <v>5.4</v>
      </c>
      <c r="H472" t="n">
        <v>0</v>
      </c>
      <c r="I472" t="n">
        <v>0</v>
      </c>
      <c r="J472" t="n">
        <v>0</v>
      </c>
      <c r="K472" t="n">
        <v>0</v>
      </c>
      <c r="L472" t="n">
        <v>0</v>
      </c>
      <c r="M472" t="n">
        <v>0</v>
      </c>
      <c r="N472" t="n">
        <v>0</v>
      </c>
      <c r="O472" t="n">
        <v>0</v>
      </c>
      <c r="P472" t="n">
        <v>0</v>
      </c>
      <c r="Q472" t="n">
        <v>0</v>
      </c>
      <c r="R472" s="2" t="inlineStr"/>
    </row>
    <row r="473" ht="15" customHeight="1">
      <c r="A473" t="inlineStr">
        <is>
          <t>A 17734-2022</t>
        </is>
      </c>
      <c r="B473" s="1" t="n">
        <v>44680</v>
      </c>
      <c r="C473" s="1" t="n">
        <v>45791</v>
      </c>
      <c r="D473" t="inlineStr">
        <is>
          <t>JÄMTLANDS LÄN</t>
        </is>
      </c>
      <c r="E473" t="inlineStr">
        <is>
          <t>ÖSTERSUND</t>
        </is>
      </c>
      <c r="G473" t="n">
        <v>26.4</v>
      </c>
      <c r="H473" t="n">
        <v>0</v>
      </c>
      <c r="I473" t="n">
        <v>0</v>
      </c>
      <c r="J473" t="n">
        <v>0</v>
      </c>
      <c r="K473" t="n">
        <v>0</v>
      </c>
      <c r="L473" t="n">
        <v>0</v>
      </c>
      <c r="M473" t="n">
        <v>0</v>
      </c>
      <c r="N473" t="n">
        <v>0</v>
      </c>
      <c r="O473" t="n">
        <v>0</v>
      </c>
      <c r="P473" t="n">
        <v>0</v>
      </c>
      <c r="Q473" t="n">
        <v>0</v>
      </c>
      <c r="R473" s="2" t="inlineStr"/>
    </row>
    <row r="474" ht="15" customHeight="1">
      <c r="A474" t="inlineStr">
        <is>
          <t>A 20960-2022</t>
        </is>
      </c>
      <c r="B474" s="1" t="n">
        <v>44702</v>
      </c>
      <c r="C474" s="1" t="n">
        <v>45791</v>
      </c>
      <c r="D474" t="inlineStr">
        <is>
          <t>JÄMTLANDS LÄN</t>
        </is>
      </c>
      <c r="E474" t="inlineStr">
        <is>
          <t>ÖSTERSUND</t>
        </is>
      </c>
      <c r="G474" t="n">
        <v>3.6</v>
      </c>
      <c r="H474" t="n">
        <v>0</v>
      </c>
      <c r="I474" t="n">
        <v>0</v>
      </c>
      <c r="J474" t="n">
        <v>0</v>
      </c>
      <c r="K474" t="n">
        <v>0</v>
      </c>
      <c r="L474" t="n">
        <v>0</v>
      </c>
      <c r="M474" t="n">
        <v>0</v>
      </c>
      <c r="N474" t="n">
        <v>0</v>
      </c>
      <c r="O474" t="n">
        <v>0</v>
      </c>
      <c r="P474" t="n">
        <v>0</v>
      </c>
      <c r="Q474" t="n">
        <v>0</v>
      </c>
      <c r="R474" s="2" t="inlineStr"/>
    </row>
    <row r="475" ht="15" customHeight="1">
      <c r="A475" t="inlineStr">
        <is>
          <t>A 20983-2022</t>
        </is>
      </c>
      <c r="B475" s="1" t="n">
        <v>44703</v>
      </c>
      <c r="C475" s="1" t="n">
        <v>45791</v>
      </c>
      <c r="D475" t="inlineStr">
        <is>
          <t>JÄMTLANDS LÄN</t>
        </is>
      </c>
      <c r="E475" t="inlineStr">
        <is>
          <t>ÖSTERSUND</t>
        </is>
      </c>
      <c r="G475" t="n">
        <v>2.2</v>
      </c>
      <c r="H475" t="n">
        <v>0</v>
      </c>
      <c r="I475" t="n">
        <v>0</v>
      </c>
      <c r="J475" t="n">
        <v>0</v>
      </c>
      <c r="K475" t="n">
        <v>0</v>
      </c>
      <c r="L475" t="n">
        <v>0</v>
      </c>
      <c r="M475" t="n">
        <v>0</v>
      </c>
      <c r="N475" t="n">
        <v>0</v>
      </c>
      <c r="O475" t="n">
        <v>0</v>
      </c>
      <c r="P475" t="n">
        <v>0</v>
      </c>
      <c r="Q475" t="n">
        <v>0</v>
      </c>
      <c r="R475" s="2" t="inlineStr"/>
    </row>
    <row r="476" ht="15" customHeight="1">
      <c r="A476" t="inlineStr">
        <is>
          <t>A 21211-2022</t>
        </is>
      </c>
      <c r="B476" s="1" t="n">
        <v>44705</v>
      </c>
      <c r="C476" s="1" t="n">
        <v>45791</v>
      </c>
      <c r="D476" t="inlineStr">
        <is>
          <t>JÄMTLANDS LÄN</t>
        </is>
      </c>
      <c r="E476" t="inlineStr">
        <is>
          <t>ÖSTERSUND</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21495-2022</t>
        </is>
      </c>
      <c r="B477" s="1" t="n">
        <v>44706</v>
      </c>
      <c r="C477" s="1" t="n">
        <v>45791</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22083-2022</t>
        </is>
      </c>
      <c r="B478" s="1" t="n">
        <v>44711</v>
      </c>
      <c r="C478" s="1" t="n">
        <v>45791</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22085-2022</t>
        </is>
      </c>
      <c r="B479" s="1" t="n">
        <v>44711</v>
      </c>
      <c r="C479" s="1" t="n">
        <v>45791</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22084-2022</t>
        </is>
      </c>
      <c r="B480" s="1" t="n">
        <v>44711</v>
      </c>
      <c r="C480" s="1" t="n">
        <v>45791</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44712</v>
      </c>
      <c r="C481" s="1" t="n">
        <v>45791</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23555-2022</t>
        </is>
      </c>
      <c r="B482" s="1" t="n">
        <v>44721</v>
      </c>
      <c r="C482" s="1" t="n">
        <v>45791</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23563-2022</t>
        </is>
      </c>
      <c r="B483" s="1" t="n">
        <v>44721</v>
      </c>
      <c r="C483" s="1" t="n">
        <v>45791</v>
      </c>
      <c r="D483" t="inlineStr">
        <is>
          <t>JÄMTLANDS LÄN</t>
        </is>
      </c>
      <c r="E483" t="inlineStr">
        <is>
          <t>ÖSTERSUND</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23551-2022</t>
        </is>
      </c>
      <c r="B484" s="1" t="n">
        <v>44721</v>
      </c>
      <c r="C484" s="1" t="n">
        <v>45791</v>
      </c>
      <c r="D484" t="inlineStr">
        <is>
          <t>JÄMTLANDS LÄN</t>
        </is>
      </c>
      <c r="E484" t="inlineStr">
        <is>
          <t>ÖSTERSUND</t>
        </is>
      </c>
      <c r="G484" t="n">
        <v>0.3</v>
      </c>
      <c r="H484" t="n">
        <v>0</v>
      </c>
      <c r="I484" t="n">
        <v>0</v>
      </c>
      <c r="J484" t="n">
        <v>0</v>
      </c>
      <c r="K484" t="n">
        <v>0</v>
      </c>
      <c r="L484" t="n">
        <v>0</v>
      </c>
      <c r="M484" t="n">
        <v>0</v>
      </c>
      <c r="N484" t="n">
        <v>0</v>
      </c>
      <c r="O484" t="n">
        <v>0</v>
      </c>
      <c r="P484" t="n">
        <v>0</v>
      </c>
      <c r="Q484" t="n">
        <v>0</v>
      </c>
      <c r="R484" s="2" t="inlineStr"/>
    </row>
    <row r="485" ht="15" customHeight="1">
      <c r="A485" t="inlineStr">
        <is>
          <t>A 23992-2022</t>
        </is>
      </c>
      <c r="B485" s="1" t="n">
        <v>44722</v>
      </c>
      <c r="C485" s="1" t="n">
        <v>45791</v>
      </c>
      <c r="D485" t="inlineStr">
        <is>
          <t>JÄMTLANDS LÄN</t>
        </is>
      </c>
      <c r="E485" t="inlineStr">
        <is>
          <t>ÖSTERSUND</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23993-2022</t>
        </is>
      </c>
      <c r="B486" s="1" t="n">
        <v>44723</v>
      </c>
      <c r="C486" s="1" t="n">
        <v>45791</v>
      </c>
      <c r="D486" t="inlineStr">
        <is>
          <t>JÄMTLANDS LÄN</t>
        </is>
      </c>
      <c r="E486" t="inlineStr">
        <is>
          <t>ÖSTERSUND</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26321-2022</t>
        </is>
      </c>
      <c r="B487" s="1" t="n">
        <v>44735</v>
      </c>
      <c r="C487" s="1" t="n">
        <v>45791</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26731-2022</t>
        </is>
      </c>
      <c r="B488" s="1" t="n">
        <v>44740</v>
      </c>
      <c r="C488" s="1" t="n">
        <v>45791</v>
      </c>
      <c r="D488" t="inlineStr">
        <is>
          <t>JÄMTLANDS LÄN</t>
        </is>
      </c>
      <c r="E488" t="inlineStr">
        <is>
          <t>ÖSTERSUND</t>
        </is>
      </c>
      <c r="G488" t="n">
        <v>3.1</v>
      </c>
      <c r="H488" t="n">
        <v>0</v>
      </c>
      <c r="I488" t="n">
        <v>0</v>
      </c>
      <c r="J488" t="n">
        <v>0</v>
      </c>
      <c r="K488" t="n">
        <v>0</v>
      </c>
      <c r="L488" t="n">
        <v>0</v>
      </c>
      <c r="M488" t="n">
        <v>0</v>
      </c>
      <c r="N488" t="n">
        <v>0</v>
      </c>
      <c r="O488" t="n">
        <v>0</v>
      </c>
      <c r="P488" t="n">
        <v>0</v>
      </c>
      <c r="Q488" t="n">
        <v>0</v>
      </c>
      <c r="R488" s="2" t="inlineStr"/>
    </row>
    <row r="489" ht="15" customHeight="1">
      <c r="A489" t="inlineStr">
        <is>
          <t>A 27343-2022</t>
        </is>
      </c>
      <c r="B489" s="1" t="n">
        <v>44742</v>
      </c>
      <c r="C489" s="1" t="n">
        <v>45791</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27582-2022</t>
        </is>
      </c>
      <c r="B490" s="1" t="n">
        <v>44743</v>
      </c>
      <c r="C490" s="1" t="n">
        <v>45791</v>
      </c>
      <c r="D490" t="inlineStr">
        <is>
          <t>JÄMTLANDS LÄN</t>
        </is>
      </c>
      <c r="E490" t="inlineStr">
        <is>
          <t>ÖSTERSUND</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27575-2022</t>
        </is>
      </c>
      <c r="B491" s="1" t="n">
        <v>44742</v>
      </c>
      <c r="C491" s="1" t="n">
        <v>45791</v>
      </c>
      <c r="D491" t="inlineStr">
        <is>
          <t>JÄMTLANDS LÄN</t>
        </is>
      </c>
      <c r="E491" t="inlineStr">
        <is>
          <t>ÖSTERSUND</t>
        </is>
      </c>
      <c r="F491" t="inlineStr">
        <is>
          <t>SCA</t>
        </is>
      </c>
      <c r="G491" t="n">
        <v>2.4</v>
      </c>
      <c r="H491" t="n">
        <v>0</v>
      </c>
      <c r="I491" t="n">
        <v>0</v>
      </c>
      <c r="J491" t="n">
        <v>0</v>
      </c>
      <c r="K491" t="n">
        <v>0</v>
      </c>
      <c r="L491" t="n">
        <v>0</v>
      </c>
      <c r="M491" t="n">
        <v>0</v>
      </c>
      <c r="N491" t="n">
        <v>0</v>
      </c>
      <c r="O491" t="n">
        <v>0</v>
      </c>
      <c r="P491" t="n">
        <v>0</v>
      </c>
      <c r="Q491" t="n">
        <v>0</v>
      </c>
      <c r="R491" s="2" t="inlineStr"/>
      <c r="U491">
        <f>HYPERLINK("https://klasma.github.io/Logging_2380/knärot/A 27575-2022 karta knärot.png", "A 27575-2022")</f>
        <v/>
      </c>
      <c r="V491">
        <f>HYPERLINK("https://klasma.github.io/Logging_2380/klagomål/A 27575-2022 FSC-klagomål.docx", "A 27575-2022")</f>
        <v/>
      </c>
      <c r="W491">
        <f>HYPERLINK("https://klasma.github.io/Logging_2380/klagomålsmail/A 27575-2022 FSC-klagomål mail.docx", "A 27575-2022")</f>
        <v/>
      </c>
      <c r="X491">
        <f>HYPERLINK("https://klasma.github.io/Logging_2380/tillsyn/A 27575-2022 tillsynsbegäran.docx", "A 27575-2022")</f>
        <v/>
      </c>
      <c r="Y491">
        <f>HYPERLINK("https://klasma.github.io/Logging_2380/tillsynsmail/A 27575-2022 tillsynsbegäran mail.docx", "A 27575-2022")</f>
        <v/>
      </c>
    </row>
    <row r="492" ht="15" customHeight="1">
      <c r="A492" t="inlineStr">
        <is>
          <t>A 27581-2022</t>
        </is>
      </c>
      <c r="B492" s="1" t="n">
        <v>44742</v>
      </c>
      <c r="C492" s="1" t="n">
        <v>45791</v>
      </c>
      <c r="D492" t="inlineStr">
        <is>
          <t>JÄMTLANDS LÄN</t>
        </is>
      </c>
      <c r="E492" t="inlineStr">
        <is>
          <t>ÖSTERSUND</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27780-2022</t>
        </is>
      </c>
      <c r="B493" s="1" t="n">
        <v>44743</v>
      </c>
      <c r="C493" s="1" t="n">
        <v>45791</v>
      </c>
      <c r="D493" t="inlineStr">
        <is>
          <t>JÄMTLANDS LÄN</t>
        </is>
      </c>
      <c r="E493" t="inlineStr">
        <is>
          <t>ÖSTERSUND</t>
        </is>
      </c>
      <c r="G493" t="n">
        <v>2.2</v>
      </c>
      <c r="H493" t="n">
        <v>0</v>
      </c>
      <c r="I493" t="n">
        <v>0</v>
      </c>
      <c r="J493" t="n">
        <v>0</v>
      </c>
      <c r="K493" t="n">
        <v>0</v>
      </c>
      <c r="L493" t="n">
        <v>0</v>
      </c>
      <c r="M493" t="n">
        <v>0</v>
      </c>
      <c r="N493" t="n">
        <v>0</v>
      </c>
      <c r="O493" t="n">
        <v>0</v>
      </c>
      <c r="P493" t="n">
        <v>0</v>
      </c>
      <c r="Q493" t="n">
        <v>0</v>
      </c>
      <c r="R493" s="2" t="inlineStr"/>
    </row>
    <row r="494" ht="15" customHeight="1">
      <c r="A494" t="inlineStr">
        <is>
          <t>A 29094-2022</t>
        </is>
      </c>
      <c r="B494" s="1" t="n">
        <v>44750</v>
      </c>
      <c r="C494" s="1" t="n">
        <v>45791</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29128-2022</t>
        </is>
      </c>
      <c r="B495" s="1" t="n">
        <v>44750</v>
      </c>
      <c r="C495" s="1" t="n">
        <v>45791</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29829-2022</t>
        </is>
      </c>
      <c r="B496" s="1" t="n">
        <v>44755</v>
      </c>
      <c r="C496" s="1" t="n">
        <v>45791</v>
      </c>
      <c r="D496" t="inlineStr">
        <is>
          <t>JÄMTLANDS LÄN</t>
        </is>
      </c>
      <c r="E496" t="inlineStr">
        <is>
          <t>ÖSTERSUND</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29828-2022</t>
        </is>
      </c>
      <c r="B497" s="1" t="n">
        <v>44755</v>
      </c>
      <c r="C497" s="1" t="n">
        <v>45791</v>
      </c>
      <c r="D497" t="inlineStr">
        <is>
          <t>JÄMTLANDS LÄN</t>
        </is>
      </c>
      <c r="E497" t="inlineStr">
        <is>
          <t>ÖSTERSUND</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30217-2022</t>
        </is>
      </c>
      <c r="B498" s="1" t="n">
        <v>44758</v>
      </c>
      <c r="C498" s="1" t="n">
        <v>45791</v>
      </c>
      <c r="D498" t="inlineStr">
        <is>
          <t>JÄMTLANDS LÄN</t>
        </is>
      </c>
      <c r="E498" t="inlineStr">
        <is>
          <t>ÖSTERSUND</t>
        </is>
      </c>
      <c r="G498" t="n">
        <v>2.9</v>
      </c>
      <c r="H498" t="n">
        <v>0</v>
      </c>
      <c r="I498" t="n">
        <v>0</v>
      </c>
      <c r="J498" t="n">
        <v>0</v>
      </c>
      <c r="K498" t="n">
        <v>0</v>
      </c>
      <c r="L498" t="n">
        <v>0</v>
      </c>
      <c r="M498" t="n">
        <v>0</v>
      </c>
      <c r="N498" t="n">
        <v>0</v>
      </c>
      <c r="O498" t="n">
        <v>0</v>
      </c>
      <c r="P498" t="n">
        <v>0</v>
      </c>
      <c r="Q498" t="n">
        <v>0</v>
      </c>
      <c r="R498" s="2" t="inlineStr"/>
    </row>
    <row r="499" ht="15" customHeight="1">
      <c r="A499" t="inlineStr">
        <is>
          <t>A 33804-2022</t>
        </is>
      </c>
      <c r="B499" s="1" t="n">
        <v>44790</v>
      </c>
      <c r="C499" s="1" t="n">
        <v>45791</v>
      </c>
      <c r="D499" t="inlineStr">
        <is>
          <t>JÄMTLANDS LÄN</t>
        </is>
      </c>
      <c r="E499" t="inlineStr">
        <is>
          <t>ÖSTERSUND</t>
        </is>
      </c>
      <c r="G499" t="n">
        <v>1.8</v>
      </c>
      <c r="H499" t="n">
        <v>0</v>
      </c>
      <c r="I499" t="n">
        <v>0</v>
      </c>
      <c r="J499" t="n">
        <v>0</v>
      </c>
      <c r="K499" t="n">
        <v>0</v>
      </c>
      <c r="L499" t="n">
        <v>0</v>
      </c>
      <c r="M499" t="n">
        <v>0</v>
      </c>
      <c r="N499" t="n">
        <v>0</v>
      </c>
      <c r="O499" t="n">
        <v>0</v>
      </c>
      <c r="P499" t="n">
        <v>0</v>
      </c>
      <c r="Q499" t="n">
        <v>0</v>
      </c>
      <c r="R499" s="2" t="inlineStr"/>
    </row>
    <row r="500" ht="15" customHeight="1">
      <c r="A500" t="inlineStr">
        <is>
          <t>A 33808-2022</t>
        </is>
      </c>
      <c r="B500" s="1" t="n">
        <v>44790</v>
      </c>
      <c r="C500" s="1" t="n">
        <v>45791</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33813-2022</t>
        </is>
      </c>
      <c r="B501" s="1" t="n">
        <v>44790</v>
      </c>
      <c r="C501" s="1" t="n">
        <v>45791</v>
      </c>
      <c r="D501" t="inlineStr">
        <is>
          <t>JÄMTLANDS LÄN</t>
        </is>
      </c>
      <c r="E501" t="inlineStr">
        <is>
          <t>ÖSTERSUND</t>
        </is>
      </c>
      <c r="G501" t="n">
        <v>7.9</v>
      </c>
      <c r="H501" t="n">
        <v>0</v>
      </c>
      <c r="I501" t="n">
        <v>0</v>
      </c>
      <c r="J501" t="n">
        <v>0</v>
      </c>
      <c r="K501" t="n">
        <v>0</v>
      </c>
      <c r="L501" t="n">
        <v>0</v>
      </c>
      <c r="M501" t="n">
        <v>0</v>
      </c>
      <c r="N501" t="n">
        <v>0</v>
      </c>
      <c r="O501" t="n">
        <v>0</v>
      </c>
      <c r="P501" t="n">
        <v>0</v>
      </c>
      <c r="Q501" t="n">
        <v>0</v>
      </c>
      <c r="R501" s="2" t="inlineStr"/>
    </row>
    <row r="502" ht="15" customHeight="1">
      <c r="A502" t="inlineStr">
        <is>
          <t>A 33786-2022</t>
        </is>
      </c>
      <c r="B502" s="1" t="n">
        <v>44790</v>
      </c>
      <c r="C502" s="1" t="n">
        <v>45791</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33801-2022</t>
        </is>
      </c>
      <c r="B503" s="1" t="n">
        <v>44790</v>
      </c>
      <c r="C503" s="1" t="n">
        <v>45791</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35556-2022</t>
        </is>
      </c>
      <c r="B504" s="1" t="n">
        <v>44799</v>
      </c>
      <c r="C504" s="1" t="n">
        <v>45791</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39828-2022</t>
        </is>
      </c>
      <c r="B505" s="1" t="n">
        <v>44817</v>
      </c>
      <c r="C505" s="1" t="n">
        <v>45791</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39928-2022</t>
        </is>
      </c>
      <c r="B506" s="1" t="n">
        <v>44819</v>
      </c>
      <c r="C506" s="1" t="n">
        <v>45791</v>
      </c>
      <c r="D506" t="inlineStr">
        <is>
          <t>JÄMTLANDS LÄN</t>
        </is>
      </c>
      <c r="E506" t="inlineStr">
        <is>
          <t>ÖSTERSUND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40885-2022</t>
        </is>
      </c>
      <c r="B507" s="1" t="n">
        <v>44820</v>
      </c>
      <c r="C507" s="1" t="n">
        <v>45791</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43511-2022</t>
        </is>
      </c>
      <c r="B508" s="1" t="n">
        <v>44837</v>
      </c>
      <c r="C508" s="1" t="n">
        <v>45791</v>
      </c>
      <c r="D508" t="inlineStr">
        <is>
          <t>JÄMTLANDS LÄN</t>
        </is>
      </c>
      <c r="E508" t="inlineStr">
        <is>
          <t>ÖSTERSUND</t>
        </is>
      </c>
      <c r="G508" t="n">
        <v>3.7</v>
      </c>
      <c r="H508" t="n">
        <v>0</v>
      </c>
      <c r="I508" t="n">
        <v>0</v>
      </c>
      <c r="J508" t="n">
        <v>0</v>
      </c>
      <c r="K508" t="n">
        <v>0</v>
      </c>
      <c r="L508" t="n">
        <v>0</v>
      </c>
      <c r="M508" t="n">
        <v>0</v>
      </c>
      <c r="N508" t="n">
        <v>0</v>
      </c>
      <c r="O508" t="n">
        <v>0</v>
      </c>
      <c r="P508" t="n">
        <v>0</v>
      </c>
      <c r="Q508" t="n">
        <v>0</v>
      </c>
      <c r="R508" s="2" t="inlineStr"/>
    </row>
    <row r="509" ht="15" customHeight="1">
      <c r="A509" t="inlineStr">
        <is>
          <t>A 43951-2022</t>
        </is>
      </c>
      <c r="B509" s="1" t="n">
        <v>44838</v>
      </c>
      <c r="C509" s="1" t="n">
        <v>45791</v>
      </c>
      <c r="D509" t="inlineStr">
        <is>
          <t>JÄMTLANDS LÄN</t>
        </is>
      </c>
      <c r="E509" t="inlineStr">
        <is>
          <t>ÖSTERSUND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44909-2022</t>
        </is>
      </c>
      <c r="B510" s="1" t="n">
        <v>44840</v>
      </c>
      <c r="C510" s="1" t="n">
        <v>45791</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45004-2022</t>
        </is>
      </c>
      <c r="B511" s="1" t="n">
        <v>44840</v>
      </c>
      <c r="C511" s="1" t="n">
        <v>45791</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45654-2022</t>
        </is>
      </c>
      <c r="B512" s="1" t="n">
        <v>44845</v>
      </c>
      <c r="C512" s="1" t="n">
        <v>45791</v>
      </c>
      <c r="D512" t="inlineStr">
        <is>
          <t>JÄMTLANDS LÄN</t>
        </is>
      </c>
      <c r="E512" t="inlineStr">
        <is>
          <t>ÖSTERSUND</t>
        </is>
      </c>
      <c r="G512" t="n">
        <v>0.4</v>
      </c>
      <c r="H512" t="n">
        <v>0</v>
      </c>
      <c r="I512" t="n">
        <v>0</v>
      </c>
      <c r="J512" t="n">
        <v>0</v>
      </c>
      <c r="K512" t="n">
        <v>0</v>
      </c>
      <c r="L512" t="n">
        <v>0</v>
      </c>
      <c r="M512" t="n">
        <v>0</v>
      </c>
      <c r="N512" t="n">
        <v>0</v>
      </c>
      <c r="O512" t="n">
        <v>0</v>
      </c>
      <c r="P512" t="n">
        <v>0</v>
      </c>
      <c r="Q512" t="n">
        <v>0</v>
      </c>
      <c r="R512" s="2" t="inlineStr"/>
    </row>
    <row r="513" ht="15" customHeight="1">
      <c r="A513" t="inlineStr">
        <is>
          <t>A 46913-2022</t>
        </is>
      </c>
      <c r="B513" s="1" t="n">
        <v>44851</v>
      </c>
      <c r="C513" s="1" t="n">
        <v>45791</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47296-2022</t>
        </is>
      </c>
      <c r="B514" s="1" t="n">
        <v>44853</v>
      </c>
      <c r="C514" s="1" t="n">
        <v>45791</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47294-2022</t>
        </is>
      </c>
      <c r="B515" s="1" t="n">
        <v>44852</v>
      </c>
      <c r="C515" s="1" t="n">
        <v>45791</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47295-2022</t>
        </is>
      </c>
      <c r="B516" s="1" t="n">
        <v>44852</v>
      </c>
      <c r="C516" s="1" t="n">
        <v>45791</v>
      </c>
      <c r="D516" t="inlineStr">
        <is>
          <t>JÄMTLANDS LÄN</t>
        </is>
      </c>
      <c r="E516" t="inlineStr">
        <is>
          <t>ÖSTERSUND</t>
        </is>
      </c>
      <c r="G516" t="n">
        <v>1.1</v>
      </c>
      <c r="H516" t="n">
        <v>0</v>
      </c>
      <c r="I516" t="n">
        <v>0</v>
      </c>
      <c r="J516" t="n">
        <v>0</v>
      </c>
      <c r="K516" t="n">
        <v>0</v>
      </c>
      <c r="L516" t="n">
        <v>0</v>
      </c>
      <c r="M516" t="n">
        <v>0</v>
      </c>
      <c r="N516" t="n">
        <v>0</v>
      </c>
      <c r="O516" t="n">
        <v>0</v>
      </c>
      <c r="P516" t="n">
        <v>0</v>
      </c>
      <c r="Q516" t="n">
        <v>0</v>
      </c>
      <c r="R516" s="2" t="inlineStr"/>
    </row>
    <row r="517" ht="15" customHeight="1">
      <c r="A517" t="inlineStr">
        <is>
          <t>A 49389-2022</t>
        </is>
      </c>
      <c r="B517" s="1" t="n">
        <v>44861</v>
      </c>
      <c r="C517" s="1" t="n">
        <v>45791</v>
      </c>
      <c r="D517" t="inlineStr">
        <is>
          <t>JÄMTLANDS LÄN</t>
        </is>
      </c>
      <c r="E517" t="inlineStr">
        <is>
          <t>ÖSTERSUND</t>
        </is>
      </c>
      <c r="F517" t="inlineStr">
        <is>
          <t>Övriga Aktiebolag</t>
        </is>
      </c>
      <c r="G517" t="n">
        <v>19.2</v>
      </c>
      <c r="H517" t="n">
        <v>0</v>
      </c>
      <c r="I517" t="n">
        <v>0</v>
      </c>
      <c r="J517" t="n">
        <v>0</v>
      </c>
      <c r="K517" t="n">
        <v>0</v>
      </c>
      <c r="L517" t="n">
        <v>0</v>
      </c>
      <c r="M517" t="n">
        <v>0</v>
      </c>
      <c r="N517" t="n">
        <v>0</v>
      </c>
      <c r="O517" t="n">
        <v>0</v>
      </c>
      <c r="P517" t="n">
        <v>0</v>
      </c>
      <c r="Q517" t="n">
        <v>0</v>
      </c>
      <c r="R517" s="2" t="inlineStr"/>
    </row>
    <row r="518" ht="15" customHeight="1">
      <c r="A518" t="inlineStr">
        <is>
          <t>A 50932-2022</t>
        </is>
      </c>
      <c r="B518" s="1" t="n">
        <v>44867</v>
      </c>
      <c r="C518" s="1" t="n">
        <v>45791</v>
      </c>
      <c r="D518" t="inlineStr">
        <is>
          <t>JÄMTLANDS LÄN</t>
        </is>
      </c>
      <c r="E518" t="inlineStr">
        <is>
          <t>ÖSTERSUND</t>
        </is>
      </c>
      <c r="F518" t="inlineStr">
        <is>
          <t>Övriga Aktiebolag</t>
        </is>
      </c>
      <c r="G518" t="n">
        <v>3.9</v>
      </c>
      <c r="H518" t="n">
        <v>0</v>
      </c>
      <c r="I518" t="n">
        <v>0</v>
      </c>
      <c r="J518" t="n">
        <v>0</v>
      </c>
      <c r="K518" t="n">
        <v>0</v>
      </c>
      <c r="L518" t="n">
        <v>0</v>
      </c>
      <c r="M518" t="n">
        <v>0</v>
      </c>
      <c r="N518" t="n">
        <v>0</v>
      </c>
      <c r="O518" t="n">
        <v>0</v>
      </c>
      <c r="P518" t="n">
        <v>0</v>
      </c>
      <c r="Q518" t="n">
        <v>0</v>
      </c>
      <c r="R518" s="2" t="inlineStr"/>
    </row>
    <row r="519" ht="15" customHeight="1">
      <c r="A519" t="inlineStr">
        <is>
          <t>A 51164-2022</t>
        </is>
      </c>
      <c r="B519" s="1" t="n">
        <v>44868</v>
      </c>
      <c r="C519" s="1" t="n">
        <v>45791</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52155-2022</t>
        </is>
      </c>
      <c r="B520" s="1" t="n">
        <v>44873</v>
      </c>
      <c r="C520" s="1" t="n">
        <v>45791</v>
      </c>
      <c r="D520" t="inlineStr">
        <is>
          <t>JÄMTLANDS LÄN</t>
        </is>
      </c>
      <c r="E520" t="inlineStr">
        <is>
          <t>ÖSTERSUND</t>
        </is>
      </c>
      <c r="F520" t="inlineStr">
        <is>
          <t>Övriga Aktiebolag</t>
        </is>
      </c>
      <c r="G520" t="n">
        <v>3.4</v>
      </c>
      <c r="H520" t="n">
        <v>0</v>
      </c>
      <c r="I520" t="n">
        <v>0</v>
      </c>
      <c r="J520" t="n">
        <v>0</v>
      </c>
      <c r="K520" t="n">
        <v>0</v>
      </c>
      <c r="L520" t="n">
        <v>0</v>
      </c>
      <c r="M520" t="n">
        <v>0</v>
      </c>
      <c r="N520" t="n">
        <v>0</v>
      </c>
      <c r="O520" t="n">
        <v>0</v>
      </c>
      <c r="P520" t="n">
        <v>0</v>
      </c>
      <c r="Q520" t="n">
        <v>0</v>
      </c>
      <c r="R520" s="2" t="inlineStr"/>
    </row>
    <row r="521" ht="15" customHeight="1">
      <c r="A521" t="inlineStr">
        <is>
          <t>A 52898-2022</t>
        </is>
      </c>
      <c r="B521" s="1" t="n">
        <v>44875</v>
      </c>
      <c r="C521" s="1" t="n">
        <v>45791</v>
      </c>
      <c r="D521" t="inlineStr">
        <is>
          <t>JÄMTLANDS LÄN</t>
        </is>
      </c>
      <c r="E521" t="inlineStr">
        <is>
          <t>ÖSTERSUND</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53802-2022</t>
        </is>
      </c>
      <c r="B522" s="1" t="n">
        <v>44875</v>
      </c>
      <c r="C522" s="1" t="n">
        <v>45791</v>
      </c>
      <c r="D522" t="inlineStr">
        <is>
          <t>JÄMTLANDS LÄN</t>
        </is>
      </c>
      <c r="E522" t="inlineStr">
        <is>
          <t>ÖSTERSUND</t>
        </is>
      </c>
      <c r="G522" t="n">
        <v>0.2</v>
      </c>
      <c r="H522" t="n">
        <v>0</v>
      </c>
      <c r="I522" t="n">
        <v>0</v>
      </c>
      <c r="J522" t="n">
        <v>0</v>
      </c>
      <c r="K522" t="n">
        <v>0</v>
      </c>
      <c r="L522" t="n">
        <v>0</v>
      </c>
      <c r="M522" t="n">
        <v>0</v>
      </c>
      <c r="N522" t="n">
        <v>0</v>
      </c>
      <c r="O522" t="n">
        <v>0</v>
      </c>
      <c r="P522" t="n">
        <v>0</v>
      </c>
      <c r="Q522" t="n">
        <v>0</v>
      </c>
      <c r="R522" s="2" t="inlineStr"/>
    </row>
    <row r="523" ht="15" customHeight="1">
      <c r="A523" t="inlineStr">
        <is>
          <t>A 53764-2022</t>
        </is>
      </c>
      <c r="B523" s="1" t="n">
        <v>44875</v>
      </c>
      <c r="C523" s="1" t="n">
        <v>45791</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53807-2022</t>
        </is>
      </c>
      <c r="B524" s="1" t="n">
        <v>44875</v>
      </c>
      <c r="C524" s="1" t="n">
        <v>45791</v>
      </c>
      <c r="D524" t="inlineStr">
        <is>
          <t>JÄMTLANDS LÄN</t>
        </is>
      </c>
      <c r="E524" t="inlineStr">
        <is>
          <t>ÖSTERSUND</t>
        </is>
      </c>
      <c r="G524" t="n">
        <v>1</v>
      </c>
      <c r="H524" t="n">
        <v>0</v>
      </c>
      <c r="I524" t="n">
        <v>0</v>
      </c>
      <c r="J524" t="n">
        <v>0</v>
      </c>
      <c r="K524" t="n">
        <v>0</v>
      </c>
      <c r="L524" t="n">
        <v>0</v>
      </c>
      <c r="M524" t="n">
        <v>0</v>
      </c>
      <c r="N524" t="n">
        <v>0</v>
      </c>
      <c r="O524" t="n">
        <v>0</v>
      </c>
      <c r="P524" t="n">
        <v>0</v>
      </c>
      <c r="Q524" t="n">
        <v>0</v>
      </c>
      <c r="R524" s="2" t="inlineStr"/>
    </row>
    <row r="525" ht="15" customHeight="1">
      <c r="A525" t="inlineStr">
        <is>
          <t>A 53453-2022</t>
        </is>
      </c>
      <c r="B525" s="1" t="n">
        <v>44879</v>
      </c>
      <c r="C525" s="1" t="n">
        <v>45791</v>
      </c>
      <c r="D525" t="inlineStr">
        <is>
          <t>JÄMTLANDS LÄN</t>
        </is>
      </c>
      <c r="E525" t="inlineStr">
        <is>
          <t>ÖSTERSUND</t>
        </is>
      </c>
      <c r="G525" t="n">
        <v>22.2</v>
      </c>
      <c r="H525" t="n">
        <v>0</v>
      </c>
      <c r="I525" t="n">
        <v>0</v>
      </c>
      <c r="J525" t="n">
        <v>0</v>
      </c>
      <c r="K525" t="n">
        <v>0</v>
      </c>
      <c r="L525" t="n">
        <v>0</v>
      </c>
      <c r="M525" t="n">
        <v>0</v>
      </c>
      <c r="N525" t="n">
        <v>0</v>
      </c>
      <c r="O525" t="n">
        <v>0</v>
      </c>
      <c r="P525" t="n">
        <v>0</v>
      </c>
      <c r="Q525" t="n">
        <v>0</v>
      </c>
      <c r="R525" s="2" t="inlineStr"/>
    </row>
    <row r="526" ht="15" customHeight="1">
      <c r="A526" t="inlineStr">
        <is>
          <t>A 53556-2022</t>
        </is>
      </c>
      <c r="B526" s="1" t="n">
        <v>44879</v>
      </c>
      <c r="C526" s="1" t="n">
        <v>45791</v>
      </c>
      <c r="D526" t="inlineStr">
        <is>
          <t>JÄMTLANDS LÄN</t>
        </is>
      </c>
      <c r="E526" t="inlineStr">
        <is>
          <t>ÖSTERSUND</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53714-2022</t>
        </is>
      </c>
      <c r="B527" s="1" t="n">
        <v>44880</v>
      </c>
      <c r="C527" s="1" t="n">
        <v>45791</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54712-2022</t>
        </is>
      </c>
      <c r="B528" s="1" t="n">
        <v>44883</v>
      </c>
      <c r="C528" s="1" t="n">
        <v>45791</v>
      </c>
      <c r="D528" t="inlineStr">
        <is>
          <t>JÄMTLANDS LÄN</t>
        </is>
      </c>
      <c r="E528" t="inlineStr">
        <is>
          <t>ÖSTERSUND</t>
        </is>
      </c>
      <c r="F528" t="inlineStr">
        <is>
          <t>Övriga Aktiebolag</t>
        </is>
      </c>
      <c r="G528" t="n">
        <v>1.3</v>
      </c>
      <c r="H528" t="n">
        <v>0</v>
      </c>
      <c r="I528" t="n">
        <v>0</v>
      </c>
      <c r="J528" t="n">
        <v>0</v>
      </c>
      <c r="K528" t="n">
        <v>0</v>
      </c>
      <c r="L528" t="n">
        <v>0</v>
      </c>
      <c r="M528" t="n">
        <v>0</v>
      </c>
      <c r="N528" t="n">
        <v>0</v>
      </c>
      <c r="O528" t="n">
        <v>0</v>
      </c>
      <c r="P528" t="n">
        <v>0</v>
      </c>
      <c r="Q528" t="n">
        <v>0</v>
      </c>
      <c r="R528" s="2" t="inlineStr"/>
    </row>
    <row r="529" ht="15" customHeight="1">
      <c r="A529" t="inlineStr">
        <is>
          <t>A 54663-2022</t>
        </is>
      </c>
      <c r="B529" s="1" t="n">
        <v>44883</v>
      </c>
      <c r="C529" s="1" t="n">
        <v>45791</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55102-2022</t>
        </is>
      </c>
      <c r="B530" s="1" t="n">
        <v>44886</v>
      </c>
      <c r="C530" s="1" t="n">
        <v>45791</v>
      </c>
      <c r="D530" t="inlineStr">
        <is>
          <t>JÄMTLANDS LÄN</t>
        </is>
      </c>
      <c r="E530" t="inlineStr">
        <is>
          <t>ÖSTERSUND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55008-2022</t>
        </is>
      </c>
      <c r="B531" s="1" t="n">
        <v>44886</v>
      </c>
      <c r="C531" s="1" t="n">
        <v>45791</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55105-2022</t>
        </is>
      </c>
      <c r="B532" s="1" t="n">
        <v>44886</v>
      </c>
      <c r="C532" s="1" t="n">
        <v>45791</v>
      </c>
      <c r="D532" t="inlineStr">
        <is>
          <t>JÄMTLANDS LÄN</t>
        </is>
      </c>
      <c r="E532" t="inlineStr">
        <is>
          <t>ÖSTERSUND</t>
        </is>
      </c>
      <c r="F532" t="inlineStr">
        <is>
          <t>Övriga Aktiebolag</t>
        </is>
      </c>
      <c r="G532" t="n">
        <v>2.4</v>
      </c>
      <c r="H532" t="n">
        <v>0</v>
      </c>
      <c r="I532" t="n">
        <v>0</v>
      </c>
      <c r="J532" t="n">
        <v>0</v>
      </c>
      <c r="K532" t="n">
        <v>0</v>
      </c>
      <c r="L532" t="n">
        <v>0</v>
      </c>
      <c r="M532" t="n">
        <v>0</v>
      </c>
      <c r="N532" t="n">
        <v>0</v>
      </c>
      <c r="O532" t="n">
        <v>0</v>
      </c>
      <c r="P532" t="n">
        <v>0</v>
      </c>
      <c r="Q532" t="n">
        <v>0</v>
      </c>
      <c r="R532" s="2" t="inlineStr"/>
      <c r="U532">
        <f>HYPERLINK("https://klasma.github.io/Logging_2380/knärot/A 55105-2022 karta knärot.png", "A 55105-2022")</f>
        <v/>
      </c>
      <c r="V532">
        <f>HYPERLINK("https://klasma.github.io/Logging_2380/klagomål/A 55105-2022 FSC-klagomål.docx", "A 55105-2022")</f>
        <v/>
      </c>
      <c r="W532">
        <f>HYPERLINK("https://klasma.github.io/Logging_2380/klagomålsmail/A 55105-2022 FSC-klagomål mail.docx", "A 55105-2022")</f>
        <v/>
      </c>
      <c r="X532">
        <f>HYPERLINK("https://klasma.github.io/Logging_2380/tillsyn/A 55105-2022 tillsynsbegäran.docx", "A 55105-2022")</f>
        <v/>
      </c>
      <c r="Y532">
        <f>HYPERLINK("https://klasma.github.io/Logging_2380/tillsynsmail/A 55105-2022 tillsynsbegäran mail.docx", "A 55105-2022")</f>
        <v/>
      </c>
    </row>
    <row r="533" ht="15" customHeight="1">
      <c r="A533" t="inlineStr">
        <is>
          <t>A 55371-2022</t>
        </is>
      </c>
      <c r="B533" s="1" t="n">
        <v>44887</v>
      </c>
      <c r="C533" s="1" t="n">
        <v>45791</v>
      </c>
      <c r="D533" t="inlineStr">
        <is>
          <t>JÄMTLANDS LÄN</t>
        </is>
      </c>
      <c r="E533" t="inlineStr">
        <is>
          <t>ÖSTERSUND</t>
        </is>
      </c>
      <c r="F533" t="inlineStr">
        <is>
          <t>Övriga Aktiebolag</t>
        </is>
      </c>
      <c r="G533" t="n">
        <v>15.4</v>
      </c>
      <c r="H533" t="n">
        <v>0</v>
      </c>
      <c r="I533" t="n">
        <v>0</v>
      </c>
      <c r="J533" t="n">
        <v>0</v>
      </c>
      <c r="K533" t="n">
        <v>0</v>
      </c>
      <c r="L533" t="n">
        <v>0</v>
      </c>
      <c r="M533" t="n">
        <v>0</v>
      </c>
      <c r="N533" t="n">
        <v>0</v>
      </c>
      <c r="O533" t="n">
        <v>0</v>
      </c>
      <c r="P533" t="n">
        <v>0</v>
      </c>
      <c r="Q533" t="n">
        <v>0</v>
      </c>
      <c r="R533" s="2" t="inlineStr"/>
    </row>
    <row r="534" ht="15" customHeight="1">
      <c r="A534" t="inlineStr">
        <is>
          <t>A 55448-2022</t>
        </is>
      </c>
      <c r="B534" s="1" t="n">
        <v>44887</v>
      </c>
      <c r="C534" s="1" t="n">
        <v>45791</v>
      </c>
      <c r="D534" t="inlineStr">
        <is>
          <t>JÄMTLANDS LÄN</t>
        </is>
      </c>
      <c r="E534" t="inlineStr">
        <is>
          <t>ÖSTERSUND</t>
        </is>
      </c>
      <c r="G534" t="n">
        <v>5.2</v>
      </c>
      <c r="H534" t="n">
        <v>0</v>
      </c>
      <c r="I534" t="n">
        <v>0</v>
      </c>
      <c r="J534" t="n">
        <v>0</v>
      </c>
      <c r="K534" t="n">
        <v>0</v>
      </c>
      <c r="L534" t="n">
        <v>0</v>
      </c>
      <c r="M534" t="n">
        <v>0</v>
      </c>
      <c r="N534" t="n">
        <v>0</v>
      </c>
      <c r="O534" t="n">
        <v>0</v>
      </c>
      <c r="P534" t="n">
        <v>0</v>
      </c>
      <c r="Q534" t="n">
        <v>0</v>
      </c>
      <c r="R534" s="2" t="inlineStr"/>
    </row>
    <row r="535" ht="15" customHeight="1">
      <c r="A535" t="inlineStr">
        <is>
          <t>A 56067-2022</t>
        </is>
      </c>
      <c r="B535" s="1" t="n">
        <v>44889</v>
      </c>
      <c r="C535" s="1" t="n">
        <v>45791</v>
      </c>
      <c r="D535" t="inlineStr">
        <is>
          <t>JÄMTLANDS LÄN</t>
        </is>
      </c>
      <c r="E535" t="inlineStr">
        <is>
          <t>ÖSTERSUND</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56148-2022</t>
        </is>
      </c>
      <c r="B536" s="1" t="n">
        <v>44889</v>
      </c>
      <c r="C536" s="1" t="n">
        <v>45791</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56111-2022</t>
        </is>
      </c>
      <c r="B537" s="1" t="n">
        <v>44889</v>
      </c>
      <c r="C537" s="1" t="n">
        <v>45791</v>
      </c>
      <c r="D537" t="inlineStr">
        <is>
          <t>JÄMTLANDS LÄN</t>
        </is>
      </c>
      <c r="E537" t="inlineStr">
        <is>
          <t>ÖSTERSUND</t>
        </is>
      </c>
      <c r="G537" t="n">
        <v>2.5</v>
      </c>
      <c r="H537" t="n">
        <v>0</v>
      </c>
      <c r="I537" t="n">
        <v>0</v>
      </c>
      <c r="J537" t="n">
        <v>0</v>
      </c>
      <c r="K537" t="n">
        <v>0</v>
      </c>
      <c r="L537" t="n">
        <v>0</v>
      </c>
      <c r="M537" t="n">
        <v>0</v>
      </c>
      <c r="N537" t="n">
        <v>0</v>
      </c>
      <c r="O537" t="n">
        <v>0</v>
      </c>
      <c r="P537" t="n">
        <v>0</v>
      </c>
      <c r="Q537" t="n">
        <v>0</v>
      </c>
      <c r="R537" s="2" t="inlineStr"/>
    </row>
    <row r="538" ht="15" customHeight="1">
      <c r="A538" t="inlineStr">
        <is>
          <t>A 57009-2022</t>
        </is>
      </c>
      <c r="B538" s="1" t="n">
        <v>44894</v>
      </c>
      <c r="C538" s="1" t="n">
        <v>45791</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59266-2022</t>
        </is>
      </c>
      <c r="B539" s="1" t="n">
        <v>44904</v>
      </c>
      <c r="C539" s="1" t="n">
        <v>45791</v>
      </c>
      <c r="D539" t="inlineStr">
        <is>
          <t>JÄMTLANDS LÄN</t>
        </is>
      </c>
      <c r="E539" t="inlineStr">
        <is>
          <t>ÖSTERSUND</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59648-2022</t>
        </is>
      </c>
      <c r="B540" s="1" t="n">
        <v>44907</v>
      </c>
      <c r="C540" s="1" t="n">
        <v>45791</v>
      </c>
      <c r="D540" t="inlineStr">
        <is>
          <t>JÄMTLANDS LÄN</t>
        </is>
      </c>
      <c r="E540" t="inlineStr">
        <is>
          <t>ÖSTERSUND</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59649-2022</t>
        </is>
      </c>
      <c r="B541" s="1" t="n">
        <v>44908</v>
      </c>
      <c r="C541" s="1" t="n">
        <v>45791</v>
      </c>
      <c r="D541" t="inlineStr">
        <is>
          <t>JÄMTLANDS LÄN</t>
        </is>
      </c>
      <c r="E541" t="inlineStr">
        <is>
          <t>ÖSTERSUND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60174-2022</t>
        </is>
      </c>
      <c r="B542" s="1" t="n">
        <v>44910</v>
      </c>
      <c r="C542" s="1" t="n">
        <v>45791</v>
      </c>
      <c r="D542" t="inlineStr">
        <is>
          <t>JÄMTLANDS LÄN</t>
        </is>
      </c>
      <c r="E542" t="inlineStr">
        <is>
          <t>ÖSTERSUND</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61256-2022</t>
        </is>
      </c>
      <c r="B543" s="1" t="n">
        <v>44909</v>
      </c>
      <c r="C543" s="1" t="n">
        <v>45791</v>
      </c>
      <c r="D543" t="inlineStr">
        <is>
          <t>JÄMTLANDS LÄN</t>
        </is>
      </c>
      <c r="E543" t="inlineStr">
        <is>
          <t>ÖSTERSUND</t>
        </is>
      </c>
      <c r="G543" t="n">
        <v>3.9</v>
      </c>
      <c r="H543" t="n">
        <v>0</v>
      </c>
      <c r="I543" t="n">
        <v>0</v>
      </c>
      <c r="J543" t="n">
        <v>0</v>
      </c>
      <c r="K543" t="n">
        <v>0</v>
      </c>
      <c r="L543" t="n">
        <v>0</v>
      </c>
      <c r="M543" t="n">
        <v>0</v>
      </c>
      <c r="N543" t="n">
        <v>0</v>
      </c>
      <c r="O543" t="n">
        <v>0</v>
      </c>
      <c r="P543" t="n">
        <v>0</v>
      </c>
      <c r="Q543" t="n">
        <v>0</v>
      </c>
      <c r="R543" s="2" t="inlineStr"/>
    </row>
    <row r="544" ht="15" customHeight="1">
      <c r="A544" t="inlineStr">
        <is>
          <t>A 60430-2022</t>
        </is>
      </c>
      <c r="B544" s="1" t="n">
        <v>44911</v>
      </c>
      <c r="C544" s="1" t="n">
        <v>45791</v>
      </c>
      <c r="D544" t="inlineStr">
        <is>
          <t>JÄMTLANDS LÄN</t>
        </is>
      </c>
      <c r="E544" t="inlineStr">
        <is>
          <t>ÖSTERSUND</t>
        </is>
      </c>
      <c r="F544" t="inlineStr">
        <is>
          <t>Övriga Aktiebolag</t>
        </is>
      </c>
      <c r="G544" t="n">
        <v>24.2</v>
      </c>
      <c r="H544" t="n">
        <v>0</v>
      </c>
      <c r="I544" t="n">
        <v>0</v>
      </c>
      <c r="J544" t="n">
        <v>0</v>
      </c>
      <c r="K544" t="n">
        <v>0</v>
      </c>
      <c r="L544" t="n">
        <v>0</v>
      </c>
      <c r="M544" t="n">
        <v>0</v>
      </c>
      <c r="N544" t="n">
        <v>0</v>
      </c>
      <c r="O544" t="n">
        <v>0</v>
      </c>
      <c r="P544" t="n">
        <v>0</v>
      </c>
      <c r="Q544" t="n">
        <v>0</v>
      </c>
      <c r="R544" s="2" t="inlineStr"/>
    </row>
    <row r="545" ht="15" customHeight="1">
      <c r="A545" t="inlineStr">
        <is>
          <t>A 60575-2022</t>
        </is>
      </c>
      <c r="B545" s="1" t="n">
        <v>44911</v>
      </c>
      <c r="C545" s="1" t="n">
        <v>45791</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60674-2022</t>
        </is>
      </c>
      <c r="B546" s="1" t="n">
        <v>44911</v>
      </c>
      <c r="C546" s="1" t="n">
        <v>45791</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60677-2022</t>
        </is>
      </c>
      <c r="B547" s="1" t="n">
        <v>44911</v>
      </c>
      <c r="C547" s="1" t="n">
        <v>45791</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60681-2022</t>
        </is>
      </c>
      <c r="B548" s="1" t="n">
        <v>44911</v>
      </c>
      <c r="C548" s="1" t="n">
        <v>45791</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60678-2022</t>
        </is>
      </c>
      <c r="B549" s="1" t="n">
        <v>44911</v>
      </c>
      <c r="C549" s="1" t="n">
        <v>45791</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60560-2022</t>
        </is>
      </c>
      <c r="B550" s="1" t="n">
        <v>44911</v>
      </c>
      <c r="C550" s="1" t="n">
        <v>45791</v>
      </c>
      <c r="D550" t="inlineStr">
        <is>
          <t>JÄMTLANDS LÄN</t>
        </is>
      </c>
      <c r="E550" t="inlineStr">
        <is>
          <t>ÖSTERSUND</t>
        </is>
      </c>
      <c r="G550" t="n">
        <v>0.9</v>
      </c>
      <c r="H550" t="n">
        <v>0</v>
      </c>
      <c r="I550" t="n">
        <v>0</v>
      </c>
      <c r="J550" t="n">
        <v>0</v>
      </c>
      <c r="K550" t="n">
        <v>0</v>
      </c>
      <c r="L550" t="n">
        <v>0</v>
      </c>
      <c r="M550" t="n">
        <v>0</v>
      </c>
      <c r="N550" t="n">
        <v>0</v>
      </c>
      <c r="O550" t="n">
        <v>0</v>
      </c>
      <c r="P550" t="n">
        <v>0</v>
      </c>
      <c r="Q550" t="n">
        <v>0</v>
      </c>
      <c r="R550" s="2" t="inlineStr"/>
    </row>
    <row r="551" ht="15" customHeight="1">
      <c r="A551" t="inlineStr">
        <is>
          <t>A 60676-2022</t>
        </is>
      </c>
      <c r="B551" s="1" t="n">
        <v>44911</v>
      </c>
      <c r="C551" s="1" t="n">
        <v>45791</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60680-2022</t>
        </is>
      </c>
      <c r="B552" s="1" t="n">
        <v>44911</v>
      </c>
      <c r="C552" s="1" t="n">
        <v>45791</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60623-2022</t>
        </is>
      </c>
      <c r="B553" s="1" t="n">
        <v>44911</v>
      </c>
      <c r="C553" s="1" t="n">
        <v>45791</v>
      </c>
      <c r="D553" t="inlineStr">
        <is>
          <t>JÄMTLANDS LÄN</t>
        </is>
      </c>
      <c r="E553" t="inlineStr">
        <is>
          <t>ÖSTERSUND</t>
        </is>
      </c>
      <c r="G553" t="n">
        <v>10.9</v>
      </c>
      <c r="H553" t="n">
        <v>0</v>
      </c>
      <c r="I553" t="n">
        <v>0</v>
      </c>
      <c r="J553" t="n">
        <v>0</v>
      </c>
      <c r="K553" t="n">
        <v>0</v>
      </c>
      <c r="L553" t="n">
        <v>0</v>
      </c>
      <c r="M553" t="n">
        <v>0</v>
      </c>
      <c r="N553" t="n">
        <v>0</v>
      </c>
      <c r="O553" t="n">
        <v>0</v>
      </c>
      <c r="P553" t="n">
        <v>0</v>
      </c>
      <c r="Q553" t="n">
        <v>0</v>
      </c>
      <c r="R553" s="2" t="inlineStr"/>
    </row>
    <row r="554" ht="15" customHeight="1">
      <c r="A554" t="inlineStr">
        <is>
          <t>A 60675-2022</t>
        </is>
      </c>
      <c r="B554" s="1" t="n">
        <v>44911</v>
      </c>
      <c r="C554" s="1" t="n">
        <v>45791</v>
      </c>
      <c r="D554" t="inlineStr">
        <is>
          <t>JÄMTLANDS LÄN</t>
        </is>
      </c>
      <c r="E554" t="inlineStr">
        <is>
          <t>ÖSTERSUND</t>
        </is>
      </c>
      <c r="G554" t="n">
        <v>4.3</v>
      </c>
      <c r="H554" t="n">
        <v>0</v>
      </c>
      <c r="I554" t="n">
        <v>0</v>
      </c>
      <c r="J554" t="n">
        <v>0</v>
      </c>
      <c r="K554" t="n">
        <v>0</v>
      </c>
      <c r="L554" t="n">
        <v>0</v>
      </c>
      <c r="M554" t="n">
        <v>0</v>
      </c>
      <c r="N554" t="n">
        <v>0</v>
      </c>
      <c r="O554" t="n">
        <v>0</v>
      </c>
      <c r="P554" t="n">
        <v>0</v>
      </c>
      <c r="Q554" t="n">
        <v>0</v>
      </c>
      <c r="R554" s="2" t="inlineStr"/>
    </row>
    <row r="555" ht="15" customHeight="1">
      <c r="A555" t="inlineStr">
        <is>
          <t>A 60679-2022</t>
        </is>
      </c>
      <c r="B555" s="1" t="n">
        <v>44911</v>
      </c>
      <c r="C555" s="1" t="n">
        <v>45791</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60767-2022</t>
        </is>
      </c>
      <c r="B556" s="1" t="n">
        <v>44914</v>
      </c>
      <c r="C556" s="1" t="n">
        <v>45791</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61653-2022</t>
        </is>
      </c>
      <c r="B557" s="1" t="n">
        <v>44916</v>
      </c>
      <c r="C557" s="1" t="n">
        <v>45791</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62040-2022</t>
        </is>
      </c>
      <c r="B558" s="1" t="n">
        <v>44918</v>
      </c>
      <c r="C558" s="1" t="n">
        <v>45791</v>
      </c>
      <c r="D558" t="inlineStr">
        <is>
          <t>JÄMTLANDS LÄN</t>
        </is>
      </c>
      <c r="E558" t="inlineStr">
        <is>
          <t>ÖSTERSUND</t>
        </is>
      </c>
      <c r="G558" t="n">
        <v>2.6</v>
      </c>
      <c r="H558" t="n">
        <v>0</v>
      </c>
      <c r="I558" t="n">
        <v>0</v>
      </c>
      <c r="J558" t="n">
        <v>0</v>
      </c>
      <c r="K558" t="n">
        <v>0</v>
      </c>
      <c r="L558" t="n">
        <v>0</v>
      </c>
      <c r="M558" t="n">
        <v>0</v>
      </c>
      <c r="N558" t="n">
        <v>0</v>
      </c>
      <c r="O558" t="n">
        <v>0</v>
      </c>
      <c r="P558" t="n">
        <v>0</v>
      </c>
      <c r="Q558" t="n">
        <v>0</v>
      </c>
      <c r="R558" s="2" t="inlineStr"/>
    </row>
    <row r="559" ht="15" customHeight="1">
      <c r="A559" t="inlineStr">
        <is>
          <t>A 62043-2022</t>
        </is>
      </c>
      <c r="B559" s="1" t="n">
        <v>44918</v>
      </c>
      <c r="C559" s="1" t="n">
        <v>45791</v>
      </c>
      <c r="D559" t="inlineStr">
        <is>
          <t>JÄMTLANDS LÄN</t>
        </is>
      </c>
      <c r="E559" t="inlineStr">
        <is>
          <t>ÖSTERSUND</t>
        </is>
      </c>
      <c r="G559" t="n">
        <v>5.2</v>
      </c>
      <c r="H559" t="n">
        <v>0</v>
      </c>
      <c r="I559" t="n">
        <v>0</v>
      </c>
      <c r="J559" t="n">
        <v>0</v>
      </c>
      <c r="K559" t="n">
        <v>0</v>
      </c>
      <c r="L559" t="n">
        <v>0</v>
      </c>
      <c r="M559" t="n">
        <v>0</v>
      </c>
      <c r="N559" t="n">
        <v>0</v>
      </c>
      <c r="O559" t="n">
        <v>0</v>
      </c>
      <c r="P559" t="n">
        <v>0</v>
      </c>
      <c r="Q559" t="n">
        <v>0</v>
      </c>
      <c r="R559" s="2" t="inlineStr"/>
    </row>
    <row r="560" ht="15" customHeight="1">
      <c r="A560" t="inlineStr">
        <is>
          <t>A 62227-2022</t>
        </is>
      </c>
      <c r="B560" s="1" t="n">
        <v>44922</v>
      </c>
      <c r="C560" s="1" t="n">
        <v>45791</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62225-2022</t>
        </is>
      </c>
      <c r="B561" s="1" t="n">
        <v>44922</v>
      </c>
      <c r="C561" s="1" t="n">
        <v>45791</v>
      </c>
      <c r="D561" t="inlineStr">
        <is>
          <t>JÄMTLANDS LÄN</t>
        </is>
      </c>
      <c r="E561" t="inlineStr">
        <is>
          <t>ÖSTERSUND</t>
        </is>
      </c>
      <c r="G561" t="n">
        <v>1</v>
      </c>
      <c r="H561" t="n">
        <v>0</v>
      </c>
      <c r="I561" t="n">
        <v>0</v>
      </c>
      <c r="J561" t="n">
        <v>0</v>
      </c>
      <c r="K561" t="n">
        <v>0</v>
      </c>
      <c r="L561" t="n">
        <v>0</v>
      </c>
      <c r="M561" t="n">
        <v>0</v>
      </c>
      <c r="N561" t="n">
        <v>0</v>
      </c>
      <c r="O561" t="n">
        <v>0</v>
      </c>
      <c r="P561" t="n">
        <v>0</v>
      </c>
      <c r="Q561" t="n">
        <v>0</v>
      </c>
      <c r="R561" s="2" t="inlineStr"/>
    </row>
    <row r="562" ht="15" customHeight="1">
      <c r="A562" t="inlineStr">
        <is>
          <t>A 62222-2022</t>
        </is>
      </c>
      <c r="B562" s="1" t="n">
        <v>44922</v>
      </c>
      <c r="C562" s="1" t="n">
        <v>45791</v>
      </c>
      <c r="D562" t="inlineStr">
        <is>
          <t>JÄMTLANDS LÄN</t>
        </is>
      </c>
      <c r="E562" t="inlineStr">
        <is>
          <t>ÖSTERSUND</t>
        </is>
      </c>
      <c r="G562" t="n">
        <v>4.1</v>
      </c>
      <c r="H562" t="n">
        <v>0</v>
      </c>
      <c r="I562" t="n">
        <v>0</v>
      </c>
      <c r="J562" t="n">
        <v>0</v>
      </c>
      <c r="K562" t="n">
        <v>0</v>
      </c>
      <c r="L562" t="n">
        <v>0</v>
      </c>
      <c r="M562" t="n">
        <v>0</v>
      </c>
      <c r="N562" t="n">
        <v>0</v>
      </c>
      <c r="O562" t="n">
        <v>0</v>
      </c>
      <c r="P562" t="n">
        <v>0</v>
      </c>
      <c r="Q562" t="n">
        <v>0</v>
      </c>
      <c r="R562" s="2" t="inlineStr"/>
    </row>
    <row r="563" ht="15" customHeight="1">
      <c r="A563" t="inlineStr">
        <is>
          <t>A 296-2023</t>
        </is>
      </c>
      <c r="B563" s="1" t="n">
        <v>44922</v>
      </c>
      <c r="C563" s="1" t="n">
        <v>45791</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12-2023</t>
        </is>
      </c>
      <c r="B564" s="1" t="n">
        <v>44927</v>
      </c>
      <c r="C564" s="1" t="n">
        <v>45791</v>
      </c>
      <c r="D564" t="inlineStr">
        <is>
          <t>JÄMTLANDS LÄN</t>
        </is>
      </c>
      <c r="E564" t="inlineStr">
        <is>
          <t>ÖSTERSUND</t>
        </is>
      </c>
      <c r="G564" t="n">
        <v>4.7</v>
      </c>
      <c r="H564" t="n">
        <v>0</v>
      </c>
      <c r="I564" t="n">
        <v>0</v>
      </c>
      <c r="J564" t="n">
        <v>0</v>
      </c>
      <c r="K564" t="n">
        <v>0</v>
      </c>
      <c r="L564" t="n">
        <v>0</v>
      </c>
      <c r="M564" t="n">
        <v>0</v>
      </c>
      <c r="N564" t="n">
        <v>0</v>
      </c>
      <c r="O564" t="n">
        <v>0</v>
      </c>
      <c r="P564" t="n">
        <v>0</v>
      </c>
      <c r="Q564" t="n">
        <v>0</v>
      </c>
      <c r="R564" s="2" t="inlineStr"/>
    </row>
    <row r="565" ht="15" customHeight="1">
      <c r="A565" t="inlineStr">
        <is>
          <t>A 257-2023</t>
        </is>
      </c>
      <c r="B565" s="1" t="n">
        <v>44928</v>
      </c>
      <c r="C565" s="1" t="n">
        <v>45791</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55-2023</t>
        </is>
      </c>
      <c r="B566" s="1" t="n">
        <v>44928</v>
      </c>
      <c r="C566" s="1" t="n">
        <v>45791</v>
      </c>
      <c r="D566" t="inlineStr">
        <is>
          <t>JÄMTLANDS LÄN</t>
        </is>
      </c>
      <c r="E566" t="inlineStr">
        <is>
          <t>ÖSTERSUND</t>
        </is>
      </c>
      <c r="G566" t="n">
        <v>4</v>
      </c>
      <c r="H566" t="n">
        <v>0</v>
      </c>
      <c r="I566" t="n">
        <v>0</v>
      </c>
      <c r="J566" t="n">
        <v>0</v>
      </c>
      <c r="K566" t="n">
        <v>0</v>
      </c>
      <c r="L566" t="n">
        <v>0</v>
      </c>
      <c r="M566" t="n">
        <v>0</v>
      </c>
      <c r="N566" t="n">
        <v>0</v>
      </c>
      <c r="O566" t="n">
        <v>0</v>
      </c>
      <c r="P566" t="n">
        <v>0</v>
      </c>
      <c r="Q566" t="n">
        <v>0</v>
      </c>
      <c r="R566" s="2" t="inlineStr"/>
    </row>
    <row r="567" ht="15" customHeight="1">
      <c r="A567" t="inlineStr">
        <is>
          <t>A 1234-2023</t>
        </is>
      </c>
      <c r="B567" s="1" t="n">
        <v>44936</v>
      </c>
      <c r="C567" s="1" t="n">
        <v>45791</v>
      </c>
      <c r="D567" t="inlineStr">
        <is>
          <t>JÄMTLANDS LÄN</t>
        </is>
      </c>
      <c r="E567" t="inlineStr">
        <is>
          <t>ÖSTERSUND</t>
        </is>
      </c>
      <c r="G567" t="n">
        <v>2.3</v>
      </c>
      <c r="H567" t="n">
        <v>0</v>
      </c>
      <c r="I567" t="n">
        <v>0</v>
      </c>
      <c r="J567" t="n">
        <v>0</v>
      </c>
      <c r="K567" t="n">
        <v>0</v>
      </c>
      <c r="L567" t="n">
        <v>0</v>
      </c>
      <c r="M567" t="n">
        <v>0</v>
      </c>
      <c r="N567" t="n">
        <v>0</v>
      </c>
      <c r="O567" t="n">
        <v>0</v>
      </c>
      <c r="P567" t="n">
        <v>0</v>
      </c>
      <c r="Q567" t="n">
        <v>0</v>
      </c>
      <c r="R567" s="2" t="inlineStr"/>
    </row>
    <row r="568" ht="15" customHeight="1">
      <c r="A568" t="inlineStr">
        <is>
          <t>A 1893-2023</t>
        </is>
      </c>
      <c r="B568" s="1" t="n">
        <v>44937</v>
      </c>
      <c r="C568" s="1" t="n">
        <v>45791</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2420-2023</t>
        </is>
      </c>
      <c r="B569" s="1" t="n">
        <v>44943</v>
      </c>
      <c r="C569" s="1" t="n">
        <v>45791</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3339-2023</t>
        </is>
      </c>
      <c r="B570" s="1" t="n">
        <v>44949</v>
      </c>
      <c r="C570" s="1" t="n">
        <v>45791</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3749-2023</t>
        </is>
      </c>
      <c r="B571" s="1" t="n">
        <v>44949</v>
      </c>
      <c r="C571" s="1" t="n">
        <v>45791</v>
      </c>
      <c r="D571" t="inlineStr">
        <is>
          <t>JÄMTLANDS LÄN</t>
        </is>
      </c>
      <c r="E571" t="inlineStr">
        <is>
          <t>ÖSTERSUND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3949-2023</t>
        </is>
      </c>
      <c r="B572" s="1" t="n">
        <v>44950</v>
      </c>
      <c r="C572" s="1" t="n">
        <v>45791</v>
      </c>
      <c r="D572" t="inlineStr">
        <is>
          <t>JÄMTLANDS LÄN</t>
        </is>
      </c>
      <c r="E572" t="inlineStr">
        <is>
          <t>ÖSTERSUND</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4134-2023</t>
        </is>
      </c>
      <c r="B573" s="1" t="n">
        <v>44952</v>
      </c>
      <c r="C573" s="1" t="n">
        <v>45791</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4135-2023</t>
        </is>
      </c>
      <c r="B574" s="1" t="n">
        <v>44952</v>
      </c>
      <c r="C574" s="1" t="n">
        <v>45791</v>
      </c>
      <c r="D574" t="inlineStr">
        <is>
          <t>JÄMTLANDS LÄN</t>
        </is>
      </c>
      <c r="E574" t="inlineStr">
        <is>
          <t>ÖSTERSUND</t>
        </is>
      </c>
      <c r="G574" t="n">
        <v>1.3</v>
      </c>
      <c r="H574" t="n">
        <v>0</v>
      </c>
      <c r="I574" t="n">
        <v>0</v>
      </c>
      <c r="J574" t="n">
        <v>0</v>
      </c>
      <c r="K574" t="n">
        <v>0</v>
      </c>
      <c r="L574" t="n">
        <v>0</v>
      </c>
      <c r="M574" t="n">
        <v>0</v>
      </c>
      <c r="N574" t="n">
        <v>0</v>
      </c>
      <c r="O574" t="n">
        <v>0</v>
      </c>
      <c r="P574" t="n">
        <v>0</v>
      </c>
      <c r="Q574" t="n">
        <v>0</v>
      </c>
      <c r="R574" s="2" t="inlineStr"/>
    </row>
    <row r="575" ht="15" customHeight="1">
      <c r="A575" t="inlineStr">
        <is>
          <t>A 4136-2023</t>
        </is>
      </c>
      <c r="B575" s="1" t="n">
        <v>44952</v>
      </c>
      <c r="C575" s="1" t="n">
        <v>45791</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4345-2023</t>
        </is>
      </c>
      <c r="B576" s="1" t="n">
        <v>44954</v>
      </c>
      <c r="C576" s="1" t="n">
        <v>45791</v>
      </c>
      <c r="D576" t="inlineStr">
        <is>
          <t>JÄMTLANDS LÄN</t>
        </is>
      </c>
      <c r="E576" t="inlineStr">
        <is>
          <t>ÖSTERSUND</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5197-2023</t>
        </is>
      </c>
      <c r="B577" s="1" t="n">
        <v>44953</v>
      </c>
      <c r="C577" s="1" t="n">
        <v>45791</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4872-2023</t>
        </is>
      </c>
      <c r="B578" s="1" t="n">
        <v>44957</v>
      </c>
      <c r="C578" s="1" t="n">
        <v>45791</v>
      </c>
      <c r="D578" t="inlineStr">
        <is>
          <t>JÄMTLANDS LÄN</t>
        </is>
      </c>
      <c r="E578" t="inlineStr">
        <is>
          <t>ÖSTERSUND</t>
        </is>
      </c>
      <c r="G578" t="n">
        <v>10.7</v>
      </c>
      <c r="H578" t="n">
        <v>0</v>
      </c>
      <c r="I578" t="n">
        <v>0</v>
      </c>
      <c r="J578" t="n">
        <v>0</v>
      </c>
      <c r="K578" t="n">
        <v>0</v>
      </c>
      <c r="L578" t="n">
        <v>0</v>
      </c>
      <c r="M578" t="n">
        <v>0</v>
      </c>
      <c r="N578" t="n">
        <v>0</v>
      </c>
      <c r="O578" t="n">
        <v>0</v>
      </c>
      <c r="P578" t="n">
        <v>0</v>
      </c>
      <c r="Q578" t="n">
        <v>0</v>
      </c>
      <c r="R578" s="2" t="inlineStr"/>
    </row>
    <row r="579" ht="15" customHeight="1">
      <c r="A579" t="inlineStr">
        <is>
          <t>A 5951-2023</t>
        </is>
      </c>
      <c r="B579" s="1" t="n">
        <v>44963</v>
      </c>
      <c r="C579" s="1" t="n">
        <v>45791</v>
      </c>
      <c r="D579" t="inlineStr">
        <is>
          <t>JÄMTLANDS LÄN</t>
        </is>
      </c>
      <c r="E579" t="inlineStr">
        <is>
          <t>ÖSTERSUND</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5950-2023</t>
        </is>
      </c>
      <c r="B580" s="1" t="n">
        <v>44963</v>
      </c>
      <c r="C580" s="1" t="n">
        <v>45791</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6341-2023</t>
        </is>
      </c>
      <c r="B581" s="1" t="n">
        <v>44965</v>
      </c>
      <c r="C581" s="1" t="n">
        <v>45791</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7327-2023</t>
        </is>
      </c>
      <c r="B582" s="1" t="n">
        <v>44971</v>
      </c>
      <c r="C582" s="1" t="n">
        <v>45791</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7983-2023</t>
        </is>
      </c>
      <c r="B583" s="1" t="n">
        <v>44970</v>
      </c>
      <c r="C583" s="1" t="n">
        <v>45791</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8223-2023</t>
        </is>
      </c>
      <c r="B584" s="1" t="n">
        <v>44971</v>
      </c>
      <c r="C584" s="1" t="n">
        <v>45791</v>
      </c>
      <c r="D584" t="inlineStr">
        <is>
          <t>JÄMTLANDS LÄN</t>
        </is>
      </c>
      <c r="E584" t="inlineStr">
        <is>
          <t>ÖSTERSUND</t>
        </is>
      </c>
      <c r="G584" t="n">
        <v>7.6</v>
      </c>
      <c r="H584" t="n">
        <v>0</v>
      </c>
      <c r="I584" t="n">
        <v>0</v>
      </c>
      <c r="J584" t="n">
        <v>0</v>
      </c>
      <c r="K584" t="n">
        <v>0</v>
      </c>
      <c r="L584" t="n">
        <v>0</v>
      </c>
      <c r="M584" t="n">
        <v>0</v>
      </c>
      <c r="N584" t="n">
        <v>0</v>
      </c>
      <c r="O584" t="n">
        <v>0</v>
      </c>
      <c r="P584" t="n">
        <v>0</v>
      </c>
      <c r="Q584" t="n">
        <v>0</v>
      </c>
      <c r="R584" s="2" t="inlineStr"/>
    </row>
    <row r="585" ht="15" customHeight="1">
      <c r="A585" t="inlineStr">
        <is>
          <t>A 8423-2023</t>
        </is>
      </c>
      <c r="B585" s="1" t="n">
        <v>44977</v>
      </c>
      <c r="C585" s="1" t="n">
        <v>45791</v>
      </c>
      <c r="D585" t="inlineStr">
        <is>
          <t>JÄMTLANDS LÄN</t>
        </is>
      </c>
      <c r="E585" t="inlineStr">
        <is>
          <t>ÖSTERSUND</t>
        </is>
      </c>
      <c r="F585" t="inlineStr">
        <is>
          <t>Övriga Aktiebolag</t>
        </is>
      </c>
      <c r="G585" t="n">
        <v>53.1</v>
      </c>
      <c r="H585" t="n">
        <v>0</v>
      </c>
      <c r="I585" t="n">
        <v>0</v>
      </c>
      <c r="J585" t="n">
        <v>0</v>
      </c>
      <c r="K585" t="n">
        <v>0</v>
      </c>
      <c r="L585" t="n">
        <v>0</v>
      </c>
      <c r="M585" t="n">
        <v>0</v>
      </c>
      <c r="N585" t="n">
        <v>0</v>
      </c>
      <c r="O585" t="n">
        <v>0</v>
      </c>
      <c r="P585" t="n">
        <v>0</v>
      </c>
      <c r="Q585" t="n">
        <v>0</v>
      </c>
      <c r="R585" s="2" t="inlineStr"/>
    </row>
    <row r="586" ht="15" customHeight="1">
      <c r="A586" t="inlineStr">
        <is>
          <t>A 8675-2023</t>
        </is>
      </c>
      <c r="B586" s="1" t="n">
        <v>44978</v>
      </c>
      <c r="C586" s="1" t="n">
        <v>45791</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10306-2023</t>
        </is>
      </c>
      <c r="B587" s="1" t="n">
        <v>44986</v>
      </c>
      <c r="C587" s="1" t="n">
        <v>45791</v>
      </c>
      <c r="D587" t="inlineStr">
        <is>
          <t>JÄMTLANDS LÄN</t>
        </is>
      </c>
      <c r="E587" t="inlineStr">
        <is>
          <t>ÖSTERSUND</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10308-2023</t>
        </is>
      </c>
      <c r="B588" s="1" t="n">
        <v>44986</v>
      </c>
      <c r="C588" s="1" t="n">
        <v>45791</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10307-2023</t>
        </is>
      </c>
      <c r="B589" s="1" t="n">
        <v>44986</v>
      </c>
      <c r="C589" s="1" t="n">
        <v>45791</v>
      </c>
      <c r="D589" t="inlineStr">
        <is>
          <t>JÄMTLANDS LÄN</t>
        </is>
      </c>
      <c r="E589" t="inlineStr">
        <is>
          <t>ÖSTERSUND</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10315-2023</t>
        </is>
      </c>
      <c r="B590" s="1" t="n">
        <v>44986</v>
      </c>
      <c r="C590" s="1" t="n">
        <v>45791</v>
      </c>
      <c r="D590" t="inlineStr">
        <is>
          <t>JÄMTLANDS LÄN</t>
        </is>
      </c>
      <c r="E590" t="inlineStr">
        <is>
          <t>ÖSTERSUND</t>
        </is>
      </c>
      <c r="F590" t="inlineStr">
        <is>
          <t>SCA</t>
        </is>
      </c>
      <c r="G590" t="n">
        <v>6.7</v>
      </c>
      <c r="H590" t="n">
        <v>0</v>
      </c>
      <c r="I590" t="n">
        <v>0</v>
      </c>
      <c r="J590" t="n">
        <v>0</v>
      </c>
      <c r="K590" t="n">
        <v>0</v>
      </c>
      <c r="L590" t="n">
        <v>0</v>
      </c>
      <c r="M590" t="n">
        <v>0</v>
      </c>
      <c r="N590" t="n">
        <v>0</v>
      </c>
      <c r="O590" t="n">
        <v>0</v>
      </c>
      <c r="P590" t="n">
        <v>0</v>
      </c>
      <c r="Q590" t="n">
        <v>0</v>
      </c>
      <c r="R590" s="2" t="inlineStr"/>
    </row>
    <row r="591" ht="15" customHeight="1">
      <c r="A591" t="inlineStr">
        <is>
          <t>A 10305-2023</t>
        </is>
      </c>
      <c r="B591" s="1" t="n">
        <v>44986</v>
      </c>
      <c r="C591" s="1" t="n">
        <v>45791</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11356-2023</t>
        </is>
      </c>
      <c r="B592" s="1" t="n">
        <v>44993</v>
      </c>
      <c r="C592" s="1" t="n">
        <v>45791</v>
      </c>
      <c r="D592" t="inlineStr">
        <is>
          <t>JÄMTLANDS LÄN</t>
        </is>
      </c>
      <c r="E592" t="inlineStr">
        <is>
          <t>ÖSTERSUND</t>
        </is>
      </c>
      <c r="G592" t="n">
        <v>8.1</v>
      </c>
      <c r="H592" t="n">
        <v>0</v>
      </c>
      <c r="I592" t="n">
        <v>0</v>
      </c>
      <c r="J592" t="n">
        <v>0</v>
      </c>
      <c r="K592" t="n">
        <v>0</v>
      </c>
      <c r="L592" t="n">
        <v>0</v>
      </c>
      <c r="M592" t="n">
        <v>0</v>
      </c>
      <c r="N592" t="n">
        <v>0</v>
      </c>
      <c r="O592" t="n">
        <v>0</v>
      </c>
      <c r="P592" t="n">
        <v>0</v>
      </c>
      <c r="Q592" t="n">
        <v>0</v>
      </c>
      <c r="R592" s="2" t="inlineStr"/>
    </row>
    <row r="593" ht="15" customHeight="1">
      <c r="A593" t="inlineStr">
        <is>
          <t>A 12821-2023</t>
        </is>
      </c>
      <c r="B593" s="1" t="n">
        <v>45000</v>
      </c>
      <c r="C593" s="1" t="n">
        <v>45791</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45791</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13148-2023</t>
        </is>
      </c>
      <c r="B595" s="1" t="n">
        <v>45002</v>
      </c>
      <c r="C595" s="1" t="n">
        <v>45791</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13152-2023</t>
        </is>
      </c>
      <c r="B596" s="1" t="n">
        <v>45002</v>
      </c>
      <c r="C596" s="1" t="n">
        <v>45791</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13282-2023</t>
        </is>
      </c>
      <c r="B597" s="1" t="n">
        <v>45004</v>
      </c>
      <c r="C597" s="1" t="n">
        <v>45791</v>
      </c>
      <c r="D597" t="inlineStr">
        <is>
          <t>JÄMTLANDS LÄN</t>
        </is>
      </c>
      <c r="E597" t="inlineStr">
        <is>
          <t>ÖSTERSUND</t>
        </is>
      </c>
      <c r="G597" t="n">
        <v>28.5</v>
      </c>
      <c r="H597" t="n">
        <v>0</v>
      </c>
      <c r="I597" t="n">
        <v>0</v>
      </c>
      <c r="J597" t="n">
        <v>0</v>
      </c>
      <c r="K597" t="n">
        <v>0</v>
      </c>
      <c r="L597" t="n">
        <v>0</v>
      </c>
      <c r="M597" t="n">
        <v>0</v>
      </c>
      <c r="N597" t="n">
        <v>0</v>
      </c>
      <c r="O597" t="n">
        <v>0</v>
      </c>
      <c r="P597" t="n">
        <v>0</v>
      </c>
      <c r="Q597" t="n">
        <v>0</v>
      </c>
      <c r="R597" s="2" t="inlineStr"/>
    </row>
    <row r="598" ht="15" customHeight="1">
      <c r="A598" t="inlineStr">
        <is>
          <t>A 13921-2023</t>
        </is>
      </c>
      <c r="B598" s="1" t="n">
        <v>45008</v>
      </c>
      <c r="C598" s="1" t="n">
        <v>45791</v>
      </c>
      <c r="D598" t="inlineStr">
        <is>
          <t>JÄMTLANDS LÄN</t>
        </is>
      </c>
      <c r="E598" t="inlineStr">
        <is>
          <t>ÖSTERSUND</t>
        </is>
      </c>
      <c r="G598" t="n">
        <v>0.3</v>
      </c>
      <c r="H598" t="n">
        <v>0</v>
      </c>
      <c r="I598" t="n">
        <v>0</v>
      </c>
      <c r="J598" t="n">
        <v>0</v>
      </c>
      <c r="K598" t="n">
        <v>0</v>
      </c>
      <c r="L598" t="n">
        <v>0</v>
      </c>
      <c r="M598" t="n">
        <v>0</v>
      </c>
      <c r="N598" t="n">
        <v>0</v>
      </c>
      <c r="O598" t="n">
        <v>0</v>
      </c>
      <c r="P598" t="n">
        <v>0</v>
      </c>
      <c r="Q598" t="n">
        <v>0</v>
      </c>
      <c r="R598" s="2" t="inlineStr"/>
    </row>
    <row r="599" ht="15" customHeight="1">
      <c r="A599" t="inlineStr">
        <is>
          <t>A 14520-2023</t>
        </is>
      </c>
      <c r="B599" s="1" t="n">
        <v>45012</v>
      </c>
      <c r="C599" s="1" t="n">
        <v>45791</v>
      </c>
      <c r="D599" t="inlineStr">
        <is>
          <t>JÄMTLANDS LÄN</t>
        </is>
      </c>
      <c r="E599" t="inlineStr">
        <is>
          <t>ÖSTERSUND</t>
        </is>
      </c>
      <c r="G599" t="n">
        <v>1.4</v>
      </c>
      <c r="H599" t="n">
        <v>0</v>
      </c>
      <c r="I599" t="n">
        <v>0</v>
      </c>
      <c r="J599" t="n">
        <v>0</v>
      </c>
      <c r="K599" t="n">
        <v>0</v>
      </c>
      <c r="L599" t="n">
        <v>0</v>
      </c>
      <c r="M599" t="n">
        <v>0</v>
      </c>
      <c r="N599" t="n">
        <v>0</v>
      </c>
      <c r="O599" t="n">
        <v>0</v>
      </c>
      <c r="P599" t="n">
        <v>0</v>
      </c>
      <c r="Q599" t="n">
        <v>0</v>
      </c>
      <c r="R599" s="2" t="inlineStr"/>
    </row>
    <row r="600" ht="15" customHeight="1">
      <c r="A600" t="inlineStr">
        <is>
          <t>A 14523-2023</t>
        </is>
      </c>
      <c r="B600" s="1" t="n">
        <v>45012</v>
      </c>
      <c r="C600" s="1" t="n">
        <v>45791</v>
      </c>
      <c r="D600" t="inlineStr">
        <is>
          <t>JÄMTLANDS LÄN</t>
        </is>
      </c>
      <c r="E600" t="inlineStr">
        <is>
          <t>ÖSTERSUND</t>
        </is>
      </c>
      <c r="G600" t="n">
        <v>4.5</v>
      </c>
      <c r="H600" t="n">
        <v>0</v>
      </c>
      <c r="I600" t="n">
        <v>0</v>
      </c>
      <c r="J600" t="n">
        <v>0</v>
      </c>
      <c r="K600" t="n">
        <v>0</v>
      </c>
      <c r="L600" t="n">
        <v>0</v>
      </c>
      <c r="M600" t="n">
        <v>0</v>
      </c>
      <c r="N600" t="n">
        <v>0</v>
      </c>
      <c r="O600" t="n">
        <v>0</v>
      </c>
      <c r="P600" t="n">
        <v>0</v>
      </c>
      <c r="Q600" t="n">
        <v>0</v>
      </c>
      <c r="R600" s="2" t="inlineStr"/>
    </row>
    <row r="601" ht="15" customHeight="1">
      <c r="A601" t="inlineStr">
        <is>
          <t>A 14521-2023</t>
        </is>
      </c>
      <c r="B601" s="1" t="n">
        <v>45013</v>
      </c>
      <c r="C601" s="1" t="n">
        <v>45791</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14518-2023</t>
        </is>
      </c>
      <c r="B602" s="1" t="n">
        <v>45012</v>
      </c>
      <c r="C602" s="1" t="n">
        <v>45791</v>
      </c>
      <c r="D602" t="inlineStr">
        <is>
          <t>JÄMTLANDS LÄN</t>
        </is>
      </c>
      <c r="E602" t="inlineStr">
        <is>
          <t>ÖSTERSUND</t>
        </is>
      </c>
      <c r="G602" t="n">
        <v>14.4</v>
      </c>
      <c r="H602" t="n">
        <v>0</v>
      </c>
      <c r="I602" t="n">
        <v>0</v>
      </c>
      <c r="J602" t="n">
        <v>0</v>
      </c>
      <c r="K602" t="n">
        <v>0</v>
      </c>
      <c r="L602" t="n">
        <v>0</v>
      </c>
      <c r="M602" t="n">
        <v>0</v>
      </c>
      <c r="N602" t="n">
        <v>0</v>
      </c>
      <c r="O602" t="n">
        <v>0</v>
      </c>
      <c r="P602" t="n">
        <v>0</v>
      </c>
      <c r="Q602" t="n">
        <v>0</v>
      </c>
      <c r="R602" s="2" t="inlineStr"/>
    </row>
    <row r="603" ht="15" customHeight="1">
      <c r="A603" t="inlineStr">
        <is>
          <t>A 15984-2023</t>
        </is>
      </c>
      <c r="B603" s="1" t="n">
        <v>45022</v>
      </c>
      <c r="C603" s="1" t="n">
        <v>45791</v>
      </c>
      <c r="D603" t="inlineStr">
        <is>
          <t>JÄMTLANDS LÄN</t>
        </is>
      </c>
      <c r="E603" t="inlineStr">
        <is>
          <t>ÖSTERSUND</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16666-2023</t>
        </is>
      </c>
      <c r="B604" s="1" t="n">
        <v>45028</v>
      </c>
      <c r="C604" s="1" t="n">
        <v>45791</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16682-2023</t>
        </is>
      </c>
      <c r="B605" s="1" t="n">
        <v>45028</v>
      </c>
      <c r="C605" s="1" t="n">
        <v>45791</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17225-2023</t>
        </is>
      </c>
      <c r="B606" s="1" t="n">
        <v>45035</v>
      </c>
      <c r="C606" s="1" t="n">
        <v>45791</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19573-2023</t>
        </is>
      </c>
      <c r="B607" s="1" t="n">
        <v>45049</v>
      </c>
      <c r="C607" s="1" t="n">
        <v>45791</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19750-2023</t>
        </is>
      </c>
      <c r="B608" s="1" t="n">
        <v>45050</v>
      </c>
      <c r="C608" s="1" t="n">
        <v>45791</v>
      </c>
      <c r="D608" t="inlineStr">
        <is>
          <t>JÄMTLANDS LÄN</t>
        </is>
      </c>
      <c r="E608" t="inlineStr">
        <is>
          <t>ÖSTERSUND</t>
        </is>
      </c>
      <c r="G608" t="n">
        <v>3.2</v>
      </c>
      <c r="H608" t="n">
        <v>0</v>
      </c>
      <c r="I608" t="n">
        <v>0</v>
      </c>
      <c r="J608" t="n">
        <v>0</v>
      </c>
      <c r="K608" t="n">
        <v>0</v>
      </c>
      <c r="L608" t="n">
        <v>0</v>
      </c>
      <c r="M608" t="n">
        <v>0</v>
      </c>
      <c r="N608" t="n">
        <v>0</v>
      </c>
      <c r="O608" t="n">
        <v>0</v>
      </c>
      <c r="P608" t="n">
        <v>0</v>
      </c>
      <c r="Q608" t="n">
        <v>0</v>
      </c>
      <c r="R608" s="2" t="inlineStr"/>
    </row>
    <row r="609" ht="15" customHeight="1">
      <c r="A609" t="inlineStr">
        <is>
          <t>A 20606-2023</t>
        </is>
      </c>
      <c r="B609" s="1" t="n">
        <v>45057</v>
      </c>
      <c r="C609" s="1" t="n">
        <v>45791</v>
      </c>
      <c r="D609" t="inlineStr">
        <is>
          <t>JÄMTLANDS LÄN</t>
        </is>
      </c>
      <c r="E609" t="inlineStr">
        <is>
          <t>ÖSTERSUND</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20634-2023</t>
        </is>
      </c>
      <c r="B610" s="1" t="n">
        <v>45058</v>
      </c>
      <c r="C610" s="1" t="n">
        <v>45791</v>
      </c>
      <c r="D610" t="inlineStr">
        <is>
          <t>JÄMTLANDS LÄN</t>
        </is>
      </c>
      <c r="E610" t="inlineStr">
        <is>
          <t>ÖSTERSUND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20588-2023</t>
        </is>
      </c>
      <c r="B611" s="1" t="n">
        <v>45057</v>
      </c>
      <c r="C611" s="1" t="n">
        <v>45791</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20635-2023</t>
        </is>
      </c>
      <c r="B612" s="1" t="n">
        <v>45058</v>
      </c>
      <c r="C612" s="1" t="n">
        <v>45791</v>
      </c>
      <c r="D612" t="inlineStr">
        <is>
          <t>JÄMTLANDS LÄN</t>
        </is>
      </c>
      <c r="E612" t="inlineStr">
        <is>
          <t>ÖSTERSUND</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20633-2023</t>
        </is>
      </c>
      <c r="B613" s="1" t="n">
        <v>45058</v>
      </c>
      <c r="C613" s="1" t="n">
        <v>45791</v>
      </c>
      <c r="D613" t="inlineStr">
        <is>
          <t>JÄMTLANDS LÄN</t>
        </is>
      </c>
      <c r="E613" t="inlineStr">
        <is>
          <t>ÖSTERSUND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20636-2023</t>
        </is>
      </c>
      <c r="B614" s="1" t="n">
        <v>45058</v>
      </c>
      <c r="C614" s="1" t="n">
        <v>45791</v>
      </c>
      <c r="D614" t="inlineStr">
        <is>
          <t>JÄMTLANDS LÄN</t>
        </is>
      </c>
      <c r="E614" t="inlineStr">
        <is>
          <t>ÖSTERSUND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24515-2023</t>
        </is>
      </c>
      <c r="B615" s="1" t="n">
        <v>45077</v>
      </c>
      <c r="C615" s="1" t="n">
        <v>45791</v>
      </c>
      <c r="D615" t="inlineStr">
        <is>
          <t>JÄMTLANDS LÄN</t>
        </is>
      </c>
      <c r="E615" t="inlineStr">
        <is>
          <t>ÖSTERSUND</t>
        </is>
      </c>
      <c r="G615" t="n">
        <v>27.8</v>
      </c>
      <c r="H615" t="n">
        <v>0</v>
      </c>
      <c r="I615" t="n">
        <v>0</v>
      </c>
      <c r="J615" t="n">
        <v>0</v>
      </c>
      <c r="K615" t="n">
        <v>0</v>
      </c>
      <c r="L615" t="n">
        <v>0</v>
      </c>
      <c r="M615" t="n">
        <v>0</v>
      </c>
      <c r="N615" t="n">
        <v>0</v>
      </c>
      <c r="O615" t="n">
        <v>0</v>
      </c>
      <c r="P615" t="n">
        <v>0</v>
      </c>
      <c r="Q615" t="n">
        <v>0</v>
      </c>
      <c r="R615" s="2" t="inlineStr"/>
    </row>
    <row r="616" ht="15" customHeight="1">
      <c r="A616" t="inlineStr">
        <is>
          <t>A 24396-2023</t>
        </is>
      </c>
      <c r="B616" s="1" t="n">
        <v>45082</v>
      </c>
      <c r="C616" s="1" t="n">
        <v>45791</v>
      </c>
      <c r="D616" t="inlineStr">
        <is>
          <t>JÄMTLANDS LÄN</t>
        </is>
      </c>
      <c r="E616" t="inlineStr">
        <is>
          <t>ÖSTERSUND</t>
        </is>
      </c>
      <c r="F616" t="inlineStr">
        <is>
          <t>Kyrkan</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25727-2023</t>
        </is>
      </c>
      <c r="B617" s="1" t="n">
        <v>45084</v>
      </c>
      <c r="C617" s="1" t="n">
        <v>45791</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25866-2023</t>
        </is>
      </c>
      <c r="B618" s="1" t="n">
        <v>45084</v>
      </c>
      <c r="C618" s="1" t="n">
        <v>45791</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25496-2023</t>
        </is>
      </c>
      <c r="B619" s="1" t="n">
        <v>45089</v>
      </c>
      <c r="C619" s="1" t="n">
        <v>45791</v>
      </c>
      <c r="D619" t="inlineStr">
        <is>
          <t>JÄMTLANDS LÄN</t>
        </is>
      </c>
      <c r="E619" t="inlineStr">
        <is>
          <t>ÖSTERSUND</t>
        </is>
      </c>
      <c r="F619" t="inlineStr">
        <is>
          <t>Kyrkan</t>
        </is>
      </c>
      <c r="G619" t="n">
        <v>5.7</v>
      </c>
      <c r="H619" t="n">
        <v>0</v>
      </c>
      <c r="I619" t="n">
        <v>0</v>
      </c>
      <c r="J619" t="n">
        <v>0</v>
      </c>
      <c r="K619" t="n">
        <v>0</v>
      </c>
      <c r="L619" t="n">
        <v>0</v>
      </c>
      <c r="M619" t="n">
        <v>0</v>
      </c>
      <c r="N619" t="n">
        <v>0</v>
      </c>
      <c r="O619" t="n">
        <v>0</v>
      </c>
      <c r="P619" t="n">
        <v>0</v>
      </c>
      <c r="Q619" t="n">
        <v>0</v>
      </c>
      <c r="R619" s="2" t="inlineStr"/>
    </row>
    <row r="620" ht="15" customHeight="1">
      <c r="A620" t="inlineStr">
        <is>
          <t>A 25535-2023</t>
        </is>
      </c>
      <c r="B620" s="1" t="n">
        <v>45089</v>
      </c>
      <c r="C620" s="1" t="n">
        <v>45791</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25514-2023</t>
        </is>
      </c>
      <c r="B621" s="1" t="n">
        <v>45089</v>
      </c>
      <c r="C621" s="1" t="n">
        <v>45791</v>
      </c>
      <c r="D621" t="inlineStr">
        <is>
          <t>JÄMTLANDS LÄN</t>
        </is>
      </c>
      <c r="E621" t="inlineStr">
        <is>
          <t>ÖSTERSUND</t>
        </is>
      </c>
      <c r="F621" t="inlineStr">
        <is>
          <t>Kyrkan</t>
        </is>
      </c>
      <c r="G621" t="n">
        <v>6.7</v>
      </c>
      <c r="H621" t="n">
        <v>0</v>
      </c>
      <c r="I621" t="n">
        <v>0</v>
      </c>
      <c r="J621" t="n">
        <v>0</v>
      </c>
      <c r="K621" t="n">
        <v>0</v>
      </c>
      <c r="L621" t="n">
        <v>0</v>
      </c>
      <c r="M621" t="n">
        <v>0</v>
      </c>
      <c r="N621" t="n">
        <v>0</v>
      </c>
      <c r="O621" t="n">
        <v>0</v>
      </c>
      <c r="P621" t="n">
        <v>0</v>
      </c>
      <c r="Q621" t="n">
        <v>0</v>
      </c>
      <c r="R621" s="2" t="inlineStr"/>
    </row>
    <row r="622" ht="15" customHeight="1">
      <c r="A622" t="inlineStr">
        <is>
          <t>A 26565-2023</t>
        </is>
      </c>
      <c r="B622" s="1" t="n">
        <v>45089</v>
      </c>
      <c r="C622" s="1" t="n">
        <v>45791</v>
      </c>
      <c r="D622" t="inlineStr">
        <is>
          <t>JÄMTLANDS LÄN</t>
        </is>
      </c>
      <c r="E622" t="inlineStr">
        <is>
          <t>ÖSTERSUND</t>
        </is>
      </c>
      <c r="G622" t="n">
        <v>5.2</v>
      </c>
      <c r="H622" t="n">
        <v>0</v>
      </c>
      <c r="I622" t="n">
        <v>0</v>
      </c>
      <c r="J622" t="n">
        <v>0</v>
      </c>
      <c r="K622" t="n">
        <v>0</v>
      </c>
      <c r="L622" t="n">
        <v>0</v>
      </c>
      <c r="M622" t="n">
        <v>0</v>
      </c>
      <c r="N622" t="n">
        <v>0</v>
      </c>
      <c r="O622" t="n">
        <v>0</v>
      </c>
      <c r="P622" t="n">
        <v>0</v>
      </c>
      <c r="Q622" t="n">
        <v>0</v>
      </c>
      <c r="R622" s="2" t="inlineStr"/>
    </row>
    <row r="623" ht="15" customHeight="1">
      <c r="A623" t="inlineStr">
        <is>
          <t>A 26521-2023</t>
        </is>
      </c>
      <c r="B623" s="1" t="n">
        <v>45089</v>
      </c>
      <c r="C623" s="1" t="n">
        <v>45791</v>
      </c>
      <c r="D623" t="inlineStr">
        <is>
          <t>JÄMTLANDS LÄN</t>
        </is>
      </c>
      <c r="E623" t="inlineStr">
        <is>
          <t>ÖSTERSUND</t>
        </is>
      </c>
      <c r="G623" t="n">
        <v>11.7</v>
      </c>
      <c r="H623" t="n">
        <v>0</v>
      </c>
      <c r="I623" t="n">
        <v>0</v>
      </c>
      <c r="J623" t="n">
        <v>0</v>
      </c>
      <c r="K623" t="n">
        <v>0</v>
      </c>
      <c r="L623" t="n">
        <v>0</v>
      </c>
      <c r="M623" t="n">
        <v>0</v>
      </c>
      <c r="N623" t="n">
        <v>0</v>
      </c>
      <c r="O623" t="n">
        <v>0</v>
      </c>
      <c r="P623" t="n">
        <v>0</v>
      </c>
      <c r="Q623" t="n">
        <v>0</v>
      </c>
      <c r="R623" s="2" t="inlineStr"/>
    </row>
    <row r="624" ht="15" customHeight="1">
      <c r="A624" t="inlineStr">
        <is>
          <t>A 25789-2023</t>
        </is>
      </c>
      <c r="B624" s="1" t="n">
        <v>45090</v>
      </c>
      <c r="C624" s="1" t="n">
        <v>45791</v>
      </c>
      <c r="D624" t="inlineStr">
        <is>
          <t>JÄMTLANDS LÄN</t>
        </is>
      </c>
      <c r="E624" t="inlineStr">
        <is>
          <t>ÖSTERSUND</t>
        </is>
      </c>
      <c r="G624" t="n">
        <v>3.1</v>
      </c>
      <c r="H624" t="n">
        <v>0</v>
      </c>
      <c r="I624" t="n">
        <v>0</v>
      </c>
      <c r="J624" t="n">
        <v>0</v>
      </c>
      <c r="K624" t="n">
        <v>0</v>
      </c>
      <c r="L624" t="n">
        <v>0</v>
      </c>
      <c r="M624" t="n">
        <v>0</v>
      </c>
      <c r="N624" t="n">
        <v>0</v>
      </c>
      <c r="O624" t="n">
        <v>0</v>
      </c>
      <c r="P624" t="n">
        <v>0</v>
      </c>
      <c r="Q624" t="n">
        <v>0</v>
      </c>
      <c r="R624" s="2" t="inlineStr"/>
    </row>
    <row r="625" ht="15" customHeight="1">
      <c r="A625" t="inlineStr">
        <is>
          <t>A 26012-2023</t>
        </is>
      </c>
      <c r="B625" s="1" t="n">
        <v>45091</v>
      </c>
      <c r="C625" s="1" t="n">
        <v>45791</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27294-2023</t>
        </is>
      </c>
      <c r="B626" s="1" t="n">
        <v>45092</v>
      </c>
      <c r="C626" s="1" t="n">
        <v>45791</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27004-2023</t>
        </is>
      </c>
      <c r="B627" s="1" t="n">
        <v>45094</v>
      </c>
      <c r="C627" s="1" t="n">
        <v>45791</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27124-2023</t>
        </is>
      </c>
      <c r="B628" s="1" t="n">
        <v>45096</v>
      </c>
      <c r="C628" s="1" t="n">
        <v>45791</v>
      </c>
      <c r="D628" t="inlineStr">
        <is>
          <t>JÄMTLANDS LÄN</t>
        </is>
      </c>
      <c r="E628" t="inlineStr">
        <is>
          <t>ÖSTERSUND</t>
        </is>
      </c>
      <c r="G628" t="n">
        <v>1.9</v>
      </c>
      <c r="H628" t="n">
        <v>0</v>
      </c>
      <c r="I628" t="n">
        <v>0</v>
      </c>
      <c r="J628" t="n">
        <v>0</v>
      </c>
      <c r="K628" t="n">
        <v>0</v>
      </c>
      <c r="L628" t="n">
        <v>0</v>
      </c>
      <c r="M628" t="n">
        <v>0</v>
      </c>
      <c r="N628" t="n">
        <v>0</v>
      </c>
      <c r="O628" t="n">
        <v>0</v>
      </c>
      <c r="P628" t="n">
        <v>0</v>
      </c>
      <c r="Q628" t="n">
        <v>0</v>
      </c>
      <c r="R628" s="2" t="inlineStr"/>
    </row>
    <row r="629" ht="15" customHeight="1">
      <c r="A629" t="inlineStr">
        <is>
          <t>A 27118-2023</t>
        </is>
      </c>
      <c r="B629" s="1" t="n">
        <v>45096</v>
      </c>
      <c r="C629" s="1" t="n">
        <v>45791</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27130-2023</t>
        </is>
      </c>
      <c r="B630" s="1" t="n">
        <v>45096</v>
      </c>
      <c r="C630" s="1" t="n">
        <v>45791</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29548-2023</t>
        </is>
      </c>
      <c r="B631" s="1" t="n">
        <v>45098</v>
      </c>
      <c r="C631" s="1" t="n">
        <v>45791</v>
      </c>
      <c r="D631" t="inlineStr">
        <is>
          <t>JÄMTLANDS LÄN</t>
        </is>
      </c>
      <c r="E631" t="inlineStr">
        <is>
          <t>ÖSTERSUND</t>
        </is>
      </c>
      <c r="G631" t="n">
        <v>3</v>
      </c>
      <c r="H631" t="n">
        <v>0</v>
      </c>
      <c r="I631" t="n">
        <v>0</v>
      </c>
      <c r="J631" t="n">
        <v>0</v>
      </c>
      <c r="K631" t="n">
        <v>0</v>
      </c>
      <c r="L631" t="n">
        <v>0</v>
      </c>
      <c r="M631" t="n">
        <v>0</v>
      </c>
      <c r="N631" t="n">
        <v>0</v>
      </c>
      <c r="O631" t="n">
        <v>0</v>
      </c>
      <c r="P631" t="n">
        <v>0</v>
      </c>
      <c r="Q631" t="n">
        <v>0</v>
      </c>
      <c r="R631" s="2" t="inlineStr"/>
    </row>
    <row r="632" ht="15" customHeight="1">
      <c r="A632" t="inlineStr">
        <is>
          <t>A 30244-2023</t>
        </is>
      </c>
      <c r="B632" s="1" t="n">
        <v>45099</v>
      </c>
      <c r="C632" s="1" t="n">
        <v>45791</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30262-2023</t>
        </is>
      </c>
      <c r="B633" s="1" t="n">
        <v>45099</v>
      </c>
      <c r="C633" s="1" t="n">
        <v>45791</v>
      </c>
      <c r="D633" t="inlineStr">
        <is>
          <t>JÄMTLANDS LÄN</t>
        </is>
      </c>
      <c r="E633" t="inlineStr">
        <is>
          <t>ÖSTERSUND</t>
        </is>
      </c>
      <c r="G633" t="n">
        <v>5.2</v>
      </c>
      <c r="H633" t="n">
        <v>0</v>
      </c>
      <c r="I633" t="n">
        <v>0</v>
      </c>
      <c r="J633" t="n">
        <v>0</v>
      </c>
      <c r="K633" t="n">
        <v>0</v>
      </c>
      <c r="L633" t="n">
        <v>0</v>
      </c>
      <c r="M633" t="n">
        <v>0</v>
      </c>
      <c r="N633" t="n">
        <v>0</v>
      </c>
      <c r="O633" t="n">
        <v>0</v>
      </c>
      <c r="P633" t="n">
        <v>0</v>
      </c>
      <c r="Q633" t="n">
        <v>0</v>
      </c>
      <c r="R633" s="2" t="inlineStr"/>
    </row>
    <row r="634" ht="15" customHeight="1">
      <c r="A634" t="inlineStr">
        <is>
          <t>A 30255-2023</t>
        </is>
      </c>
      <c r="B634" s="1" t="n">
        <v>45099</v>
      </c>
      <c r="C634" s="1" t="n">
        <v>45791</v>
      </c>
      <c r="D634" t="inlineStr">
        <is>
          <t>JÄMTLANDS LÄN</t>
        </is>
      </c>
      <c r="E634" t="inlineStr">
        <is>
          <t>ÖSTERSUND</t>
        </is>
      </c>
      <c r="G634" t="n">
        <v>20.2</v>
      </c>
      <c r="H634" t="n">
        <v>0</v>
      </c>
      <c r="I634" t="n">
        <v>0</v>
      </c>
      <c r="J634" t="n">
        <v>0</v>
      </c>
      <c r="K634" t="n">
        <v>0</v>
      </c>
      <c r="L634" t="n">
        <v>0</v>
      </c>
      <c r="M634" t="n">
        <v>0</v>
      </c>
      <c r="N634" t="n">
        <v>0</v>
      </c>
      <c r="O634" t="n">
        <v>0</v>
      </c>
      <c r="P634" t="n">
        <v>0</v>
      </c>
      <c r="Q634" t="n">
        <v>0</v>
      </c>
      <c r="R634" s="2" t="inlineStr"/>
    </row>
    <row r="635" ht="15" customHeight="1">
      <c r="A635" t="inlineStr">
        <is>
          <t>A 30264-2023</t>
        </is>
      </c>
      <c r="B635" s="1" t="n">
        <v>45099</v>
      </c>
      <c r="C635" s="1" t="n">
        <v>45791</v>
      </c>
      <c r="D635" t="inlineStr">
        <is>
          <t>JÄMTLANDS LÄN</t>
        </is>
      </c>
      <c r="E635" t="inlineStr">
        <is>
          <t>ÖSTERSUND</t>
        </is>
      </c>
      <c r="G635" t="n">
        <v>10</v>
      </c>
      <c r="H635" t="n">
        <v>0</v>
      </c>
      <c r="I635" t="n">
        <v>0</v>
      </c>
      <c r="J635" t="n">
        <v>0</v>
      </c>
      <c r="K635" t="n">
        <v>0</v>
      </c>
      <c r="L635" t="n">
        <v>0</v>
      </c>
      <c r="M635" t="n">
        <v>0</v>
      </c>
      <c r="N635" t="n">
        <v>0</v>
      </c>
      <c r="O635" t="n">
        <v>0</v>
      </c>
      <c r="P635" t="n">
        <v>0</v>
      </c>
      <c r="Q635" t="n">
        <v>0</v>
      </c>
      <c r="R635" s="2" t="inlineStr"/>
    </row>
    <row r="636" ht="15" customHeight="1">
      <c r="A636" t="inlineStr">
        <is>
          <t>A 30206-2023</t>
        </is>
      </c>
      <c r="B636" s="1" t="n">
        <v>45099</v>
      </c>
      <c r="C636" s="1" t="n">
        <v>45791</v>
      </c>
      <c r="D636" t="inlineStr">
        <is>
          <t>JÄMTLANDS LÄN</t>
        </is>
      </c>
      <c r="E636" t="inlineStr">
        <is>
          <t>ÖSTERSUND</t>
        </is>
      </c>
      <c r="G636" t="n">
        <v>3.9</v>
      </c>
      <c r="H636" t="n">
        <v>0</v>
      </c>
      <c r="I636" t="n">
        <v>0</v>
      </c>
      <c r="J636" t="n">
        <v>0</v>
      </c>
      <c r="K636" t="n">
        <v>0</v>
      </c>
      <c r="L636" t="n">
        <v>0</v>
      </c>
      <c r="M636" t="n">
        <v>0</v>
      </c>
      <c r="N636" t="n">
        <v>0</v>
      </c>
      <c r="O636" t="n">
        <v>0</v>
      </c>
      <c r="P636" t="n">
        <v>0</v>
      </c>
      <c r="Q636" t="n">
        <v>0</v>
      </c>
      <c r="R636" s="2" t="inlineStr"/>
    </row>
    <row r="637" ht="15" customHeight="1">
      <c r="A637" t="inlineStr">
        <is>
          <t>A 30236-2023</t>
        </is>
      </c>
      <c r="B637" s="1" t="n">
        <v>45099</v>
      </c>
      <c r="C637" s="1" t="n">
        <v>45791</v>
      </c>
      <c r="D637" t="inlineStr">
        <is>
          <t>JÄMTLANDS LÄN</t>
        </is>
      </c>
      <c r="E637" t="inlineStr">
        <is>
          <t>ÖSTERSUND</t>
        </is>
      </c>
      <c r="G637" t="n">
        <v>3.5</v>
      </c>
      <c r="H637" t="n">
        <v>0</v>
      </c>
      <c r="I637" t="n">
        <v>0</v>
      </c>
      <c r="J637" t="n">
        <v>0</v>
      </c>
      <c r="K637" t="n">
        <v>0</v>
      </c>
      <c r="L637" t="n">
        <v>0</v>
      </c>
      <c r="M637" t="n">
        <v>0</v>
      </c>
      <c r="N637" t="n">
        <v>0</v>
      </c>
      <c r="O637" t="n">
        <v>0</v>
      </c>
      <c r="P637" t="n">
        <v>0</v>
      </c>
      <c r="Q637" t="n">
        <v>0</v>
      </c>
      <c r="R637" s="2" t="inlineStr"/>
    </row>
    <row r="638" ht="15" customHeight="1">
      <c r="A638" t="inlineStr">
        <is>
          <t>A 28747-2023</t>
        </is>
      </c>
      <c r="B638" s="1" t="n">
        <v>45103</v>
      </c>
      <c r="C638" s="1" t="n">
        <v>45791</v>
      </c>
      <c r="D638" t="inlineStr">
        <is>
          <t>JÄMTLANDS LÄN</t>
        </is>
      </c>
      <c r="E638" t="inlineStr">
        <is>
          <t>ÖSTERSUND</t>
        </is>
      </c>
      <c r="F638" t="inlineStr">
        <is>
          <t>SCA</t>
        </is>
      </c>
      <c r="G638" t="n">
        <v>8</v>
      </c>
      <c r="H638" t="n">
        <v>0</v>
      </c>
      <c r="I638" t="n">
        <v>0</v>
      </c>
      <c r="J638" t="n">
        <v>0</v>
      </c>
      <c r="K638" t="n">
        <v>0</v>
      </c>
      <c r="L638" t="n">
        <v>0</v>
      </c>
      <c r="M638" t="n">
        <v>0</v>
      </c>
      <c r="N638" t="n">
        <v>0</v>
      </c>
      <c r="O638" t="n">
        <v>0</v>
      </c>
      <c r="P638" t="n">
        <v>0</v>
      </c>
      <c r="Q638" t="n">
        <v>0</v>
      </c>
      <c r="R638" s="2" t="inlineStr"/>
    </row>
    <row r="639" ht="15" customHeight="1">
      <c r="A639" t="inlineStr">
        <is>
          <t>A 31870-2023</t>
        </is>
      </c>
      <c r="B639" s="1" t="n">
        <v>45106</v>
      </c>
      <c r="C639" s="1" t="n">
        <v>45791</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29703-2023</t>
        </is>
      </c>
      <c r="B640" s="1" t="n">
        <v>45107</v>
      </c>
      <c r="C640" s="1" t="n">
        <v>45791</v>
      </c>
      <c r="D640" t="inlineStr">
        <is>
          <t>JÄMTLANDS LÄN</t>
        </is>
      </c>
      <c r="E640" t="inlineStr">
        <is>
          <t>ÖSTERSUND</t>
        </is>
      </c>
      <c r="G640" t="n">
        <v>0.3</v>
      </c>
      <c r="H640" t="n">
        <v>0</v>
      </c>
      <c r="I640" t="n">
        <v>0</v>
      </c>
      <c r="J640" t="n">
        <v>0</v>
      </c>
      <c r="K640" t="n">
        <v>0</v>
      </c>
      <c r="L640" t="n">
        <v>0</v>
      </c>
      <c r="M640" t="n">
        <v>0</v>
      </c>
      <c r="N640" t="n">
        <v>0</v>
      </c>
      <c r="O640" t="n">
        <v>0</v>
      </c>
      <c r="P640" t="n">
        <v>0</v>
      </c>
      <c r="Q640" t="n">
        <v>0</v>
      </c>
      <c r="R640" s="2" t="inlineStr"/>
    </row>
    <row r="641" ht="15" customHeight="1">
      <c r="A641" t="inlineStr">
        <is>
          <t>A 29682-2023</t>
        </is>
      </c>
      <c r="B641" s="1" t="n">
        <v>45107</v>
      </c>
      <c r="C641" s="1" t="n">
        <v>45791</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30602-2023</t>
        </is>
      </c>
      <c r="B642" s="1" t="n">
        <v>45112</v>
      </c>
      <c r="C642" s="1" t="n">
        <v>45791</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31551-2023</t>
        </is>
      </c>
      <c r="B643" s="1" t="n">
        <v>45117</v>
      </c>
      <c r="C643" s="1" t="n">
        <v>45791</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31600-2023</t>
        </is>
      </c>
      <c r="B644" s="1" t="n">
        <v>45117</v>
      </c>
      <c r="C644" s="1" t="n">
        <v>45791</v>
      </c>
      <c r="D644" t="inlineStr">
        <is>
          <t>JÄMTLANDS LÄN</t>
        </is>
      </c>
      <c r="E644" t="inlineStr">
        <is>
          <t>ÖSTERSUND</t>
        </is>
      </c>
      <c r="F644" t="inlineStr">
        <is>
          <t>Övriga Aktiebolag</t>
        </is>
      </c>
      <c r="G644" t="n">
        <v>2.7</v>
      </c>
      <c r="H644" t="n">
        <v>0</v>
      </c>
      <c r="I644" t="n">
        <v>0</v>
      </c>
      <c r="J644" t="n">
        <v>0</v>
      </c>
      <c r="K644" t="n">
        <v>0</v>
      </c>
      <c r="L644" t="n">
        <v>0</v>
      </c>
      <c r="M644" t="n">
        <v>0</v>
      </c>
      <c r="N644" t="n">
        <v>0</v>
      </c>
      <c r="O644" t="n">
        <v>0</v>
      </c>
      <c r="P644" t="n">
        <v>0</v>
      </c>
      <c r="Q644" t="n">
        <v>0</v>
      </c>
      <c r="R644" s="2" t="inlineStr"/>
    </row>
    <row r="645" ht="15" customHeight="1">
      <c r="A645" t="inlineStr">
        <is>
          <t>A 31549-2023</t>
        </is>
      </c>
      <c r="B645" s="1" t="n">
        <v>45117</v>
      </c>
      <c r="C645" s="1" t="n">
        <v>45791</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33501-2023</t>
        </is>
      </c>
      <c r="B646" s="1" t="n">
        <v>45118</v>
      </c>
      <c r="C646" s="1" t="n">
        <v>45791</v>
      </c>
      <c r="D646" t="inlineStr">
        <is>
          <t>JÄMTLANDS LÄN</t>
        </is>
      </c>
      <c r="E646" t="inlineStr">
        <is>
          <t>ÖSTERSUND</t>
        </is>
      </c>
      <c r="G646" t="n">
        <v>5.8</v>
      </c>
      <c r="H646" t="n">
        <v>0</v>
      </c>
      <c r="I646" t="n">
        <v>0</v>
      </c>
      <c r="J646" t="n">
        <v>0</v>
      </c>
      <c r="K646" t="n">
        <v>0</v>
      </c>
      <c r="L646" t="n">
        <v>0</v>
      </c>
      <c r="M646" t="n">
        <v>0</v>
      </c>
      <c r="N646" t="n">
        <v>0</v>
      </c>
      <c r="O646" t="n">
        <v>0</v>
      </c>
      <c r="P646" t="n">
        <v>0</v>
      </c>
      <c r="Q646" t="n">
        <v>0</v>
      </c>
      <c r="R646" s="2" t="inlineStr"/>
    </row>
    <row r="647" ht="15" customHeight="1">
      <c r="A647" t="inlineStr">
        <is>
          <t>A 33502-2023</t>
        </is>
      </c>
      <c r="B647" s="1" t="n">
        <v>45118</v>
      </c>
      <c r="C647" s="1" t="n">
        <v>45791</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32568-2023</t>
        </is>
      </c>
      <c r="B648" s="1" t="n">
        <v>45121</v>
      </c>
      <c r="C648" s="1" t="n">
        <v>45791</v>
      </c>
      <c r="D648" t="inlineStr">
        <is>
          <t>JÄMTLANDS LÄN</t>
        </is>
      </c>
      <c r="E648" t="inlineStr">
        <is>
          <t>ÖSTERSUND</t>
        </is>
      </c>
      <c r="G648" t="n">
        <v>14.9</v>
      </c>
      <c r="H648" t="n">
        <v>0</v>
      </c>
      <c r="I648" t="n">
        <v>0</v>
      </c>
      <c r="J648" t="n">
        <v>0</v>
      </c>
      <c r="K648" t="n">
        <v>0</v>
      </c>
      <c r="L648" t="n">
        <v>0</v>
      </c>
      <c r="M648" t="n">
        <v>0</v>
      </c>
      <c r="N648" t="n">
        <v>0</v>
      </c>
      <c r="O648" t="n">
        <v>0</v>
      </c>
      <c r="P648" t="n">
        <v>0</v>
      </c>
      <c r="Q648" t="n">
        <v>0</v>
      </c>
      <c r="R648" s="2" t="inlineStr"/>
    </row>
    <row r="649" ht="15" customHeight="1">
      <c r="A649" t="inlineStr">
        <is>
          <t>A 34052-2023</t>
        </is>
      </c>
      <c r="B649" s="1" t="n">
        <v>45125</v>
      </c>
      <c r="C649" s="1" t="n">
        <v>45791</v>
      </c>
      <c r="D649" t="inlineStr">
        <is>
          <t>JÄMTLANDS LÄN</t>
        </is>
      </c>
      <c r="E649" t="inlineStr">
        <is>
          <t>ÖSTERSUND</t>
        </is>
      </c>
      <c r="G649" t="n">
        <v>4</v>
      </c>
      <c r="H649" t="n">
        <v>0</v>
      </c>
      <c r="I649" t="n">
        <v>0</v>
      </c>
      <c r="J649" t="n">
        <v>0</v>
      </c>
      <c r="K649" t="n">
        <v>0</v>
      </c>
      <c r="L649" t="n">
        <v>0</v>
      </c>
      <c r="M649" t="n">
        <v>0</v>
      </c>
      <c r="N649" t="n">
        <v>0</v>
      </c>
      <c r="O649" t="n">
        <v>0</v>
      </c>
      <c r="P649" t="n">
        <v>0</v>
      </c>
      <c r="Q649" t="n">
        <v>0</v>
      </c>
      <c r="R649" s="2" t="inlineStr"/>
    </row>
    <row r="650" ht="15" customHeight="1">
      <c r="A650" t="inlineStr">
        <is>
          <t>A 33875-2023</t>
        </is>
      </c>
      <c r="B650" s="1" t="n">
        <v>45134</v>
      </c>
      <c r="C650" s="1" t="n">
        <v>45791</v>
      </c>
      <c r="D650" t="inlineStr">
        <is>
          <t>JÄMTLANDS LÄN</t>
        </is>
      </c>
      <c r="E650" t="inlineStr">
        <is>
          <t>ÖSTERSUND</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34482-2023</t>
        </is>
      </c>
      <c r="B651" s="1" t="n">
        <v>45140</v>
      </c>
      <c r="C651" s="1" t="n">
        <v>45791</v>
      </c>
      <c r="D651" t="inlineStr">
        <is>
          <t>JÄMTLANDS LÄN</t>
        </is>
      </c>
      <c r="E651" t="inlineStr">
        <is>
          <t>ÖSTERSUND</t>
        </is>
      </c>
      <c r="F651" t="inlineStr">
        <is>
          <t>SCA</t>
        </is>
      </c>
      <c r="G651" t="n">
        <v>50</v>
      </c>
      <c r="H651" t="n">
        <v>0</v>
      </c>
      <c r="I651" t="n">
        <v>0</v>
      </c>
      <c r="J651" t="n">
        <v>0</v>
      </c>
      <c r="K651" t="n">
        <v>0</v>
      </c>
      <c r="L651" t="n">
        <v>0</v>
      </c>
      <c r="M651" t="n">
        <v>0</v>
      </c>
      <c r="N651" t="n">
        <v>0</v>
      </c>
      <c r="O651" t="n">
        <v>0</v>
      </c>
      <c r="P651" t="n">
        <v>0</v>
      </c>
      <c r="Q651" t="n">
        <v>0</v>
      </c>
      <c r="R651" s="2" t="inlineStr"/>
    </row>
    <row r="652" ht="15" customHeight="1">
      <c r="A652" t="inlineStr">
        <is>
          <t>A 34688-2023</t>
        </is>
      </c>
      <c r="B652" s="1" t="n">
        <v>45141</v>
      </c>
      <c r="C652" s="1" t="n">
        <v>45791</v>
      </c>
      <c r="D652" t="inlineStr">
        <is>
          <t>JÄMTLANDS LÄN</t>
        </is>
      </c>
      <c r="E652" t="inlineStr">
        <is>
          <t>ÖSTERSUND</t>
        </is>
      </c>
      <c r="G652" t="n">
        <v>7.4</v>
      </c>
      <c r="H652" t="n">
        <v>0</v>
      </c>
      <c r="I652" t="n">
        <v>0</v>
      </c>
      <c r="J652" t="n">
        <v>0</v>
      </c>
      <c r="K652" t="n">
        <v>0</v>
      </c>
      <c r="L652" t="n">
        <v>0</v>
      </c>
      <c r="M652" t="n">
        <v>0</v>
      </c>
      <c r="N652" t="n">
        <v>0</v>
      </c>
      <c r="O652" t="n">
        <v>0</v>
      </c>
      <c r="P652" t="n">
        <v>0</v>
      </c>
      <c r="Q652" t="n">
        <v>0</v>
      </c>
      <c r="R652" s="2" t="inlineStr"/>
    </row>
    <row r="653" ht="15" customHeight="1">
      <c r="A653" t="inlineStr">
        <is>
          <t>A 36406-2023</t>
        </is>
      </c>
      <c r="B653" s="1" t="n">
        <v>45149</v>
      </c>
      <c r="C653" s="1" t="n">
        <v>45791</v>
      </c>
      <c r="D653" t="inlineStr">
        <is>
          <t>JÄMTLANDS LÄN</t>
        </is>
      </c>
      <c r="E653" t="inlineStr">
        <is>
          <t>ÖSTERSUND</t>
        </is>
      </c>
      <c r="G653" t="n">
        <v>2.4</v>
      </c>
      <c r="H653" t="n">
        <v>0</v>
      </c>
      <c r="I653" t="n">
        <v>0</v>
      </c>
      <c r="J653" t="n">
        <v>0</v>
      </c>
      <c r="K653" t="n">
        <v>0</v>
      </c>
      <c r="L653" t="n">
        <v>0</v>
      </c>
      <c r="M653" t="n">
        <v>0</v>
      </c>
      <c r="N653" t="n">
        <v>0</v>
      </c>
      <c r="O653" t="n">
        <v>0</v>
      </c>
      <c r="P653" t="n">
        <v>0</v>
      </c>
      <c r="Q653" t="n">
        <v>0</v>
      </c>
      <c r="R653" s="2" t="inlineStr"/>
    </row>
    <row r="654" ht="15" customHeight="1">
      <c r="A654" t="inlineStr">
        <is>
          <t>A 37140-2023</t>
        </is>
      </c>
      <c r="B654" s="1" t="n">
        <v>45154</v>
      </c>
      <c r="C654" s="1" t="n">
        <v>45791</v>
      </c>
      <c r="D654" t="inlineStr">
        <is>
          <t>JÄMTLANDS LÄN</t>
        </is>
      </c>
      <c r="E654" t="inlineStr">
        <is>
          <t>ÖSTERSUND</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37597-2023</t>
        </is>
      </c>
      <c r="B655" s="1" t="n">
        <v>45159</v>
      </c>
      <c r="C655" s="1" t="n">
        <v>45791</v>
      </c>
      <c r="D655" t="inlineStr">
        <is>
          <t>JÄMTLANDS LÄN</t>
        </is>
      </c>
      <c r="E655" t="inlineStr">
        <is>
          <t>ÖSTERSUND</t>
        </is>
      </c>
      <c r="G655" t="n">
        <v>4.7</v>
      </c>
      <c r="H655" t="n">
        <v>0</v>
      </c>
      <c r="I655" t="n">
        <v>0</v>
      </c>
      <c r="J655" t="n">
        <v>0</v>
      </c>
      <c r="K655" t="n">
        <v>0</v>
      </c>
      <c r="L655" t="n">
        <v>0</v>
      </c>
      <c r="M655" t="n">
        <v>0</v>
      </c>
      <c r="N655" t="n">
        <v>0</v>
      </c>
      <c r="O655" t="n">
        <v>0</v>
      </c>
      <c r="P655" t="n">
        <v>0</v>
      </c>
      <c r="Q655" t="n">
        <v>0</v>
      </c>
      <c r="R655" s="2" t="inlineStr"/>
    </row>
    <row r="656" ht="15" customHeight="1">
      <c r="A656" t="inlineStr">
        <is>
          <t>A 37645-2023</t>
        </is>
      </c>
      <c r="B656" s="1" t="n">
        <v>45159</v>
      </c>
      <c r="C656" s="1" t="n">
        <v>45791</v>
      </c>
      <c r="D656" t="inlineStr">
        <is>
          <t>JÄMTLANDS LÄN</t>
        </is>
      </c>
      <c r="E656" t="inlineStr">
        <is>
          <t>ÖSTERSUND</t>
        </is>
      </c>
      <c r="F656" t="inlineStr">
        <is>
          <t>Övriga Aktiebolag</t>
        </is>
      </c>
      <c r="G656" t="n">
        <v>3.5</v>
      </c>
      <c r="H656" t="n">
        <v>0</v>
      </c>
      <c r="I656" t="n">
        <v>0</v>
      </c>
      <c r="J656" t="n">
        <v>0</v>
      </c>
      <c r="K656" t="n">
        <v>0</v>
      </c>
      <c r="L656" t="n">
        <v>0</v>
      </c>
      <c r="M656" t="n">
        <v>0</v>
      </c>
      <c r="N656" t="n">
        <v>0</v>
      </c>
      <c r="O656" t="n">
        <v>0</v>
      </c>
      <c r="P656" t="n">
        <v>0</v>
      </c>
      <c r="Q656" t="n">
        <v>0</v>
      </c>
      <c r="R656" s="2" t="inlineStr"/>
    </row>
    <row r="657" ht="15" customHeight="1">
      <c r="A657" t="inlineStr">
        <is>
          <t>A 38335-2023</t>
        </is>
      </c>
      <c r="B657" s="1" t="n">
        <v>45161</v>
      </c>
      <c r="C657" s="1" t="n">
        <v>45791</v>
      </c>
      <c r="D657" t="inlineStr">
        <is>
          <t>JÄMTLANDS LÄN</t>
        </is>
      </c>
      <c r="E657" t="inlineStr">
        <is>
          <t>ÖSTERSUND</t>
        </is>
      </c>
      <c r="G657" t="n">
        <v>15.1</v>
      </c>
      <c r="H657" t="n">
        <v>0</v>
      </c>
      <c r="I657" t="n">
        <v>0</v>
      </c>
      <c r="J657" t="n">
        <v>0</v>
      </c>
      <c r="K657" t="n">
        <v>0</v>
      </c>
      <c r="L657" t="n">
        <v>0</v>
      </c>
      <c r="M657" t="n">
        <v>0</v>
      </c>
      <c r="N657" t="n">
        <v>0</v>
      </c>
      <c r="O657" t="n">
        <v>0</v>
      </c>
      <c r="P657" t="n">
        <v>0</v>
      </c>
      <c r="Q657" t="n">
        <v>0</v>
      </c>
      <c r="R657" s="2" t="inlineStr"/>
    </row>
    <row r="658" ht="15" customHeight="1">
      <c r="A658" t="inlineStr">
        <is>
          <t>A 38713-2023</t>
        </is>
      </c>
      <c r="B658" s="1" t="n">
        <v>45163</v>
      </c>
      <c r="C658" s="1" t="n">
        <v>45791</v>
      </c>
      <c r="D658" t="inlineStr">
        <is>
          <t>JÄMTLANDS LÄN</t>
        </is>
      </c>
      <c r="E658" t="inlineStr">
        <is>
          <t>ÖSTERSUND</t>
        </is>
      </c>
      <c r="G658" t="n">
        <v>6</v>
      </c>
      <c r="H658" t="n">
        <v>0</v>
      </c>
      <c r="I658" t="n">
        <v>0</v>
      </c>
      <c r="J658" t="n">
        <v>0</v>
      </c>
      <c r="K658" t="n">
        <v>0</v>
      </c>
      <c r="L658" t="n">
        <v>0</v>
      </c>
      <c r="M658" t="n">
        <v>0</v>
      </c>
      <c r="N658" t="n">
        <v>0</v>
      </c>
      <c r="O658" t="n">
        <v>0</v>
      </c>
      <c r="P658" t="n">
        <v>0</v>
      </c>
      <c r="Q658" t="n">
        <v>0</v>
      </c>
      <c r="R658" s="2" t="inlineStr"/>
    </row>
    <row r="659" ht="15" customHeight="1">
      <c r="A659" t="inlineStr">
        <is>
          <t>A 39494-2023</t>
        </is>
      </c>
      <c r="B659" s="1" t="n">
        <v>45166</v>
      </c>
      <c r="C659" s="1" t="n">
        <v>45791</v>
      </c>
      <c r="D659" t="inlineStr">
        <is>
          <t>JÄMTLANDS LÄN</t>
        </is>
      </c>
      <c r="E659" t="inlineStr">
        <is>
          <t>ÖSTERSUND</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39493-2023</t>
        </is>
      </c>
      <c r="B660" s="1" t="n">
        <v>45167</v>
      </c>
      <c r="C660" s="1" t="n">
        <v>45791</v>
      </c>
      <c r="D660" t="inlineStr">
        <is>
          <t>JÄMTLANDS LÄN</t>
        </is>
      </c>
      <c r="E660" t="inlineStr">
        <is>
          <t>ÖSTERSUND</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39647-2023</t>
        </is>
      </c>
      <c r="B661" s="1" t="n">
        <v>45167</v>
      </c>
      <c r="C661" s="1" t="n">
        <v>45791</v>
      </c>
      <c r="D661" t="inlineStr">
        <is>
          <t>JÄMTLANDS LÄN</t>
        </is>
      </c>
      <c r="E661" t="inlineStr">
        <is>
          <t>ÖSTERSUND</t>
        </is>
      </c>
      <c r="G661" t="n">
        <v>1</v>
      </c>
      <c r="H661" t="n">
        <v>0</v>
      </c>
      <c r="I661" t="n">
        <v>0</v>
      </c>
      <c r="J661" t="n">
        <v>0</v>
      </c>
      <c r="K661" t="n">
        <v>0</v>
      </c>
      <c r="L661" t="n">
        <v>0</v>
      </c>
      <c r="M661" t="n">
        <v>0</v>
      </c>
      <c r="N661" t="n">
        <v>0</v>
      </c>
      <c r="O661" t="n">
        <v>0</v>
      </c>
      <c r="P661" t="n">
        <v>0</v>
      </c>
      <c r="Q661" t="n">
        <v>0</v>
      </c>
      <c r="R661" s="2" t="inlineStr"/>
    </row>
    <row r="662" ht="15" customHeight="1">
      <c r="A662" t="inlineStr">
        <is>
          <t>A 39652-2023</t>
        </is>
      </c>
      <c r="B662" s="1" t="n">
        <v>45167</v>
      </c>
      <c r="C662" s="1" t="n">
        <v>45791</v>
      </c>
      <c r="D662" t="inlineStr">
        <is>
          <t>JÄMTLANDS LÄN</t>
        </is>
      </c>
      <c r="E662" t="inlineStr">
        <is>
          <t>ÖSTERSUND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39805-2023</t>
        </is>
      </c>
      <c r="B663" s="1" t="n">
        <v>45168</v>
      </c>
      <c r="C663" s="1" t="n">
        <v>45791</v>
      </c>
      <c r="D663" t="inlineStr">
        <is>
          <t>JÄMTLANDS LÄN</t>
        </is>
      </c>
      <c r="E663" t="inlineStr">
        <is>
          <t>ÖSTERSUND</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40423-2023</t>
        </is>
      </c>
      <c r="B664" s="1" t="n">
        <v>45169</v>
      </c>
      <c r="C664" s="1" t="n">
        <v>45791</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40422-2023</t>
        </is>
      </c>
      <c r="B665" s="1" t="n">
        <v>45170</v>
      </c>
      <c r="C665" s="1" t="n">
        <v>45791</v>
      </c>
      <c r="D665" t="inlineStr">
        <is>
          <t>JÄMTLANDS LÄN</t>
        </is>
      </c>
      <c r="E665" t="inlineStr">
        <is>
          <t>ÖSTERSUND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40792-2023</t>
        </is>
      </c>
      <c r="B666" s="1" t="n">
        <v>45170</v>
      </c>
      <c r="C666" s="1" t="n">
        <v>45791</v>
      </c>
      <c r="D666" t="inlineStr">
        <is>
          <t>JÄMTLANDS LÄN</t>
        </is>
      </c>
      <c r="E666" t="inlineStr">
        <is>
          <t>ÖSTERSUND</t>
        </is>
      </c>
      <c r="G666" t="n">
        <v>22.4</v>
      </c>
      <c r="H666" t="n">
        <v>0</v>
      </c>
      <c r="I666" t="n">
        <v>0</v>
      </c>
      <c r="J666" t="n">
        <v>0</v>
      </c>
      <c r="K666" t="n">
        <v>0</v>
      </c>
      <c r="L666" t="n">
        <v>0</v>
      </c>
      <c r="M666" t="n">
        <v>0</v>
      </c>
      <c r="N666" t="n">
        <v>0</v>
      </c>
      <c r="O666" t="n">
        <v>0</v>
      </c>
      <c r="P666" t="n">
        <v>0</v>
      </c>
      <c r="Q666" t="n">
        <v>0</v>
      </c>
      <c r="R666" s="2" t="inlineStr"/>
    </row>
    <row r="667" ht="15" customHeight="1">
      <c r="A667" t="inlineStr">
        <is>
          <t>A 40772-2023</t>
        </is>
      </c>
      <c r="B667" s="1" t="n">
        <v>45171</v>
      </c>
      <c r="C667" s="1" t="n">
        <v>45791</v>
      </c>
      <c r="D667" t="inlineStr">
        <is>
          <t>JÄMTLANDS LÄN</t>
        </is>
      </c>
      <c r="E667" t="inlineStr">
        <is>
          <t>ÖSTERSUND</t>
        </is>
      </c>
      <c r="F667" t="inlineStr">
        <is>
          <t>SCA</t>
        </is>
      </c>
      <c r="G667" t="n">
        <v>17.6</v>
      </c>
      <c r="H667" t="n">
        <v>0</v>
      </c>
      <c r="I667" t="n">
        <v>0</v>
      </c>
      <c r="J667" t="n">
        <v>0</v>
      </c>
      <c r="K667" t="n">
        <v>0</v>
      </c>
      <c r="L667" t="n">
        <v>0</v>
      </c>
      <c r="M667" t="n">
        <v>0</v>
      </c>
      <c r="N667" t="n">
        <v>0</v>
      </c>
      <c r="O667" t="n">
        <v>0</v>
      </c>
      <c r="P667" t="n">
        <v>0</v>
      </c>
      <c r="Q667" t="n">
        <v>0</v>
      </c>
      <c r="R667" s="2" t="inlineStr"/>
    </row>
    <row r="668" ht="15" customHeight="1">
      <c r="A668" t="inlineStr">
        <is>
          <t>A 41224-2023</t>
        </is>
      </c>
      <c r="B668" s="1" t="n">
        <v>45174</v>
      </c>
      <c r="C668" s="1" t="n">
        <v>45791</v>
      </c>
      <c r="D668" t="inlineStr">
        <is>
          <t>JÄMTLANDS LÄN</t>
        </is>
      </c>
      <c r="E668" t="inlineStr">
        <is>
          <t>ÖSTERSUND</t>
        </is>
      </c>
      <c r="G668" t="n">
        <v>13.3</v>
      </c>
      <c r="H668" t="n">
        <v>0</v>
      </c>
      <c r="I668" t="n">
        <v>0</v>
      </c>
      <c r="J668" t="n">
        <v>0</v>
      </c>
      <c r="K668" t="n">
        <v>0</v>
      </c>
      <c r="L668" t="n">
        <v>0</v>
      </c>
      <c r="M668" t="n">
        <v>0</v>
      </c>
      <c r="N668" t="n">
        <v>0</v>
      </c>
      <c r="O668" t="n">
        <v>0</v>
      </c>
      <c r="P668" t="n">
        <v>0</v>
      </c>
      <c r="Q668" t="n">
        <v>0</v>
      </c>
      <c r="R668" s="2" t="inlineStr"/>
    </row>
    <row r="669" ht="15" customHeight="1">
      <c r="A669" t="inlineStr">
        <is>
          <t>A 41649-2023</t>
        </is>
      </c>
      <c r="B669" s="1" t="n">
        <v>45176</v>
      </c>
      <c r="C669" s="1" t="n">
        <v>45791</v>
      </c>
      <c r="D669" t="inlineStr">
        <is>
          <t>JÄMTLANDS LÄN</t>
        </is>
      </c>
      <c r="E669" t="inlineStr">
        <is>
          <t>ÖSTERSUND</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41919-2023</t>
        </is>
      </c>
      <c r="B670" s="1" t="n">
        <v>45177</v>
      </c>
      <c r="C670" s="1" t="n">
        <v>45791</v>
      </c>
      <c r="D670" t="inlineStr">
        <is>
          <t>JÄMTLANDS LÄN</t>
        </is>
      </c>
      <c r="E670" t="inlineStr">
        <is>
          <t>ÖSTERSUND</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41918-2023</t>
        </is>
      </c>
      <c r="B671" s="1" t="n">
        <v>45177</v>
      </c>
      <c r="C671" s="1" t="n">
        <v>45791</v>
      </c>
      <c r="D671" t="inlineStr">
        <is>
          <t>JÄMTLANDS LÄN</t>
        </is>
      </c>
      <c r="E671" t="inlineStr">
        <is>
          <t>ÖSTERSUND</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41900-2023</t>
        </is>
      </c>
      <c r="B672" s="1" t="n">
        <v>45176</v>
      </c>
      <c r="C672" s="1" t="n">
        <v>45791</v>
      </c>
      <c r="D672" t="inlineStr">
        <is>
          <t>JÄMTLANDS LÄN</t>
        </is>
      </c>
      <c r="E672" t="inlineStr">
        <is>
          <t>ÖSTERSUND</t>
        </is>
      </c>
      <c r="G672" t="n">
        <v>24.4</v>
      </c>
      <c r="H672" t="n">
        <v>0</v>
      </c>
      <c r="I672" t="n">
        <v>0</v>
      </c>
      <c r="J672" t="n">
        <v>0</v>
      </c>
      <c r="K672" t="n">
        <v>0</v>
      </c>
      <c r="L672" t="n">
        <v>0</v>
      </c>
      <c r="M672" t="n">
        <v>0</v>
      </c>
      <c r="N672" t="n">
        <v>0</v>
      </c>
      <c r="O672" t="n">
        <v>0</v>
      </c>
      <c r="P672" t="n">
        <v>0</v>
      </c>
      <c r="Q672" t="n">
        <v>0</v>
      </c>
      <c r="R672" s="2" t="inlineStr"/>
    </row>
    <row r="673" ht="15" customHeight="1">
      <c r="A673" t="inlineStr">
        <is>
          <t>A 42151-2023</t>
        </is>
      </c>
      <c r="B673" s="1" t="n">
        <v>45178</v>
      </c>
      <c r="C673" s="1" t="n">
        <v>45791</v>
      </c>
      <c r="D673" t="inlineStr">
        <is>
          <t>JÄMTLANDS LÄN</t>
        </is>
      </c>
      <c r="E673" t="inlineStr">
        <is>
          <t>ÖSTERSUND</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43557-2023</t>
        </is>
      </c>
      <c r="B674" s="1" t="n">
        <v>45181</v>
      </c>
      <c r="C674" s="1" t="n">
        <v>45791</v>
      </c>
      <c r="D674" t="inlineStr">
        <is>
          <t>JÄMTLANDS LÄN</t>
        </is>
      </c>
      <c r="E674" t="inlineStr">
        <is>
          <t>ÖSTERSUND</t>
        </is>
      </c>
      <c r="G674" t="n">
        <v>0.9</v>
      </c>
      <c r="H674" t="n">
        <v>0</v>
      </c>
      <c r="I674" t="n">
        <v>0</v>
      </c>
      <c r="J674" t="n">
        <v>0</v>
      </c>
      <c r="K674" t="n">
        <v>0</v>
      </c>
      <c r="L674" t="n">
        <v>0</v>
      </c>
      <c r="M674" t="n">
        <v>0</v>
      </c>
      <c r="N674" t="n">
        <v>0</v>
      </c>
      <c r="O674" t="n">
        <v>0</v>
      </c>
      <c r="P674" t="n">
        <v>0</v>
      </c>
      <c r="Q674" t="n">
        <v>0</v>
      </c>
      <c r="R674" s="2" t="inlineStr"/>
    </row>
    <row r="675" ht="15" customHeight="1">
      <c r="A675" t="inlineStr">
        <is>
          <t>A 42664-2023</t>
        </is>
      </c>
      <c r="B675" s="1" t="n">
        <v>45181</v>
      </c>
      <c r="C675" s="1" t="n">
        <v>45791</v>
      </c>
      <c r="D675" t="inlineStr">
        <is>
          <t>JÄMTLANDS LÄN</t>
        </is>
      </c>
      <c r="E675" t="inlineStr">
        <is>
          <t>ÖSTERSUND</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42679-2023</t>
        </is>
      </c>
      <c r="B676" s="1" t="n">
        <v>45181</v>
      </c>
      <c r="C676" s="1" t="n">
        <v>45791</v>
      </c>
      <c r="D676" t="inlineStr">
        <is>
          <t>JÄMTLANDS LÄN</t>
        </is>
      </c>
      <c r="E676" t="inlineStr">
        <is>
          <t>ÖSTERSUND</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43740-2023</t>
        </is>
      </c>
      <c r="B677" s="1" t="n">
        <v>45182</v>
      </c>
      <c r="C677" s="1" t="n">
        <v>45791</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43135-2023</t>
        </is>
      </c>
      <c r="B678" s="1" t="n">
        <v>45183</v>
      </c>
      <c r="C678" s="1" t="n">
        <v>45791</v>
      </c>
      <c r="D678" t="inlineStr">
        <is>
          <t>JÄMTLANDS LÄN</t>
        </is>
      </c>
      <c r="E678" t="inlineStr">
        <is>
          <t>ÖSTERSUND</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43252-2023</t>
        </is>
      </c>
      <c r="B679" s="1" t="n">
        <v>45183</v>
      </c>
      <c r="C679" s="1" t="n">
        <v>45791</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44327-2023</t>
        </is>
      </c>
      <c r="B680" s="1" t="n">
        <v>45188</v>
      </c>
      <c r="C680" s="1" t="n">
        <v>45791</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44359-2023</t>
        </is>
      </c>
      <c r="B681" s="1" t="n">
        <v>45188</v>
      </c>
      <c r="C681" s="1" t="n">
        <v>45791</v>
      </c>
      <c r="D681" t="inlineStr">
        <is>
          <t>JÄMTLANDS LÄN</t>
        </is>
      </c>
      <c r="E681" t="inlineStr">
        <is>
          <t>ÖSTERSUND</t>
        </is>
      </c>
      <c r="G681" t="n">
        <v>8.1</v>
      </c>
      <c r="H681" t="n">
        <v>0</v>
      </c>
      <c r="I681" t="n">
        <v>0</v>
      </c>
      <c r="J681" t="n">
        <v>0</v>
      </c>
      <c r="K681" t="n">
        <v>0</v>
      </c>
      <c r="L681" t="n">
        <v>0</v>
      </c>
      <c r="M681" t="n">
        <v>0</v>
      </c>
      <c r="N681" t="n">
        <v>0</v>
      </c>
      <c r="O681" t="n">
        <v>0</v>
      </c>
      <c r="P681" t="n">
        <v>0</v>
      </c>
      <c r="Q681" t="n">
        <v>0</v>
      </c>
      <c r="R681" s="2" t="inlineStr"/>
    </row>
    <row r="682" ht="15" customHeight="1">
      <c r="A682" t="inlineStr">
        <is>
          <t>A 45980-2023</t>
        </is>
      </c>
      <c r="B682" s="1" t="n">
        <v>45189</v>
      </c>
      <c r="C682" s="1" t="n">
        <v>45791</v>
      </c>
      <c r="D682" t="inlineStr">
        <is>
          <t>JÄMTLANDS LÄN</t>
        </is>
      </c>
      <c r="E682" t="inlineStr">
        <is>
          <t>ÖSTERSUND</t>
        </is>
      </c>
      <c r="G682" t="n">
        <v>0.5</v>
      </c>
      <c r="H682" t="n">
        <v>0</v>
      </c>
      <c r="I682" t="n">
        <v>0</v>
      </c>
      <c r="J682" t="n">
        <v>0</v>
      </c>
      <c r="K682" t="n">
        <v>0</v>
      </c>
      <c r="L682" t="n">
        <v>0</v>
      </c>
      <c r="M682" t="n">
        <v>0</v>
      </c>
      <c r="N682" t="n">
        <v>0</v>
      </c>
      <c r="O682" t="n">
        <v>0</v>
      </c>
      <c r="P682" t="n">
        <v>0</v>
      </c>
      <c r="Q682" t="n">
        <v>0</v>
      </c>
      <c r="R682" s="2" t="inlineStr"/>
    </row>
    <row r="683" ht="15" customHeight="1">
      <c r="A683" t="inlineStr">
        <is>
          <t>A 44719-2023</t>
        </is>
      </c>
      <c r="B683" s="1" t="n">
        <v>45190</v>
      </c>
      <c r="C683" s="1" t="n">
        <v>45791</v>
      </c>
      <c r="D683" t="inlineStr">
        <is>
          <t>JÄMTLANDS LÄN</t>
        </is>
      </c>
      <c r="E683" t="inlineStr">
        <is>
          <t>ÖSTERSUND</t>
        </is>
      </c>
      <c r="G683" t="n">
        <v>17.5</v>
      </c>
      <c r="H683" t="n">
        <v>0</v>
      </c>
      <c r="I683" t="n">
        <v>0</v>
      </c>
      <c r="J683" t="n">
        <v>0</v>
      </c>
      <c r="K683" t="n">
        <v>0</v>
      </c>
      <c r="L683" t="n">
        <v>0</v>
      </c>
      <c r="M683" t="n">
        <v>0</v>
      </c>
      <c r="N683" t="n">
        <v>0</v>
      </c>
      <c r="O683" t="n">
        <v>0</v>
      </c>
      <c r="P683" t="n">
        <v>0</v>
      </c>
      <c r="Q683" t="n">
        <v>0</v>
      </c>
      <c r="R683" s="2" t="inlineStr"/>
    </row>
    <row r="684" ht="15" customHeight="1">
      <c r="A684" t="inlineStr">
        <is>
          <t>A 44798-2023</t>
        </is>
      </c>
      <c r="B684" s="1" t="n">
        <v>45190</v>
      </c>
      <c r="C684" s="1" t="n">
        <v>45791</v>
      </c>
      <c r="D684" t="inlineStr">
        <is>
          <t>JÄMTLANDS LÄN</t>
        </is>
      </c>
      <c r="E684" t="inlineStr">
        <is>
          <t>ÖSTERSUND</t>
        </is>
      </c>
      <c r="G684" t="n">
        <v>1.1</v>
      </c>
      <c r="H684" t="n">
        <v>0</v>
      </c>
      <c r="I684" t="n">
        <v>0</v>
      </c>
      <c r="J684" t="n">
        <v>0</v>
      </c>
      <c r="K684" t="n">
        <v>0</v>
      </c>
      <c r="L684" t="n">
        <v>0</v>
      </c>
      <c r="M684" t="n">
        <v>0</v>
      </c>
      <c r="N684" t="n">
        <v>0</v>
      </c>
      <c r="O684" t="n">
        <v>0</v>
      </c>
      <c r="P684" t="n">
        <v>0</v>
      </c>
      <c r="Q684" t="n">
        <v>0</v>
      </c>
      <c r="R684" s="2" t="inlineStr"/>
    </row>
    <row r="685" ht="15" customHeight="1">
      <c r="A685" t="inlineStr">
        <is>
          <t>A 46375-2023</t>
        </is>
      </c>
      <c r="B685" s="1" t="n">
        <v>45197</v>
      </c>
      <c r="C685" s="1" t="n">
        <v>45791</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46763-2023</t>
        </is>
      </c>
      <c r="B686" s="1" t="n">
        <v>45198</v>
      </c>
      <c r="C686" s="1" t="n">
        <v>45791</v>
      </c>
      <c r="D686" t="inlineStr">
        <is>
          <t>JÄMTLANDS LÄN</t>
        </is>
      </c>
      <c r="E686" t="inlineStr">
        <is>
          <t>ÖSTERSUND</t>
        </is>
      </c>
      <c r="F686" t="inlineStr">
        <is>
          <t>Sveaskog</t>
        </is>
      </c>
      <c r="G686" t="n">
        <v>13.3</v>
      </c>
      <c r="H686" t="n">
        <v>0</v>
      </c>
      <c r="I686" t="n">
        <v>0</v>
      </c>
      <c r="J686" t="n">
        <v>0</v>
      </c>
      <c r="K686" t="n">
        <v>0</v>
      </c>
      <c r="L686" t="n">
        <v>0</v>
      </c>
      <c r="M686" t="n">
        <v>0</v>
      </c>
      <c r="N686" t="n">
        <v>0</v>
      </c>
      <c r="O686" t="n">
        <v>0</v>
      </c>
      <c r="P686" t="n">
        <v>0</v>
      </c>
      <c r="Q686" t="n">
        <v>0</v>
      </c>
      <c r="R686" s="2" t="inlineStr"/>
    </row>
    <row r="687" ht="15" customHeight="1">
      <c r="A687" t="inlineStr">
        <is>
          <t>A 46748-2023</t>
        </is>
      </c>
      <c r="B687" s="1" t="n">
        <v>45198</v>
      </c>
      <c r="C687" s="1" t="n">
        <v>45791</v>
      </c>
      <c r="D687" t="inlineStr">
        <is>
          <t>JÄMTLANDS LÄN</t>
        </is>
      </c>
      <c r="E687" t="inlineStr">
        <is>
          <t>ÖSTERSUND</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47086-2023</t>
        </is>
      </c>
      <c r="B688" s="1" t="n">
        <v>45201</v>
      </c>
      <c r="C688" s="1" t="n">
        <v>45791</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47252-2023</t>
        </is>
      </c>
      <c r="B689" s="1" t="n">
        <v>45202</v>
      </c>
      <c r="C689" s="1" t="n">
        <v>45791</v>
      </c>
      <c r="D689" t="inlineStr">
        <is>
          <t>JÄMTLANDS LÄN</t>
        </is>
      </c>
      <c r="E689" t="inlineStr">
        <is>
          <t>ÖSTERSUND</t>
        </is>
      </c>
      <c r="G689" t="n">
        <v>1.3</v>
      </c>
      <c r="H689" t="n">
        <v>0</v>
      </c>
      <c r="I689" t="n">
        <v>0</v>
      </c>
      <c r="J689" t="n">
        <v>0</v>
      </c>
      <c r="K689" t="n">
        <v>0</v>
      </c>
      <c r="L689" t="n">
        <v>0</v>
      </c>
      <c r="M689" t="n">
        <v>0</v>
      </c>
      <c r="N689" t="n">
        <v>0</v>
      </c>
      <c r="O689" t="n">
        <v>0</v>
      </c>
      <c r="P689" t="n">
        <v>0</v>
      </c>
      <c r="Q689" t="n">
        <v>0</v>
      </c>
      <c r="R689" s="2" t="inlineStr"/>
    </row>
    <row r="690" ht="15" customHeight="1">
      <c r="A690" t="inlineStr">
        <is>
          <t>A 47727-2023</t>
        </is>
      </c>
      <c r="B690" s="1" t="n">
        <v>45203</v>
      </c>
      <c r="C690" s="1" t="n">
        <v>45791</v>
      </c>
      <c r="D690" t="inlineStr">
        <is>
          <t>JÄMTLANDS LÄN</t>
        </is>
      </c>
      <c r="E690" t="inlineStr">
        <is>
          <t>ÖSTERSUND</t>
        </is>
      </c>
      <c r="G690" t="n">
        <v>2.6</v>
      </c>
      <c r="H690" t="n">
        <v>0</v>
      </c>
      <c r="I690" t="n">
        <v>0</v>
      </c>
      <c r="J690" t="n">
        <v>0</v>
      </c>
      <c r="K690" t="n">
        <v>0</v>
      </c>
      <c r="L690" t="n">
        <v>0</v>
      </c>
      <c r="M690" t="n">
        <v>0</v>
      </c>
      <c r="N690" t="n">
        <v>0</v>
      </c>
      <c r="O690" t="n">
        <v>0</v>
      </c>
      <c r="P690" t="n">
        <v>0</v>
      </c>
      <c r="Q690" t="n">
        <v>0</v>
      </c>
      <c r="R690" s="2" t="inlineStr"/>
    </row>
    <row r="691" ht="15" customHeight="1">
      <c r="A691" t="inlineStr">
        <is>
          <t>A 48374-2023</t>
        </is>
      </c>
      <c r="B691" s="1" t="n">
        <v>45205</v>
      </c>
      <c r="C691" s="1" t="n">
        <v>45791</v>
      </c>
      <c r="D691" t="inlineStr">
        <is>
          <t>JÄMTLANDS LÄN</t>
        </is>
      </c>
      <c r="E691" t="inlineStr">
        <is>
          <t>ÖSTERSUND</t>
        </is>
      </c>
      <c r="G691" t="n">
        <v>5.6</v>
      </c>
      <c r="H691" t="n">
        <v>0</v>
      </c>
      <c r="I691" t="n">
        <v>0</v>
      </c>
      <c r="J691" t="n">
        <v>0</v>
      </c>
      <c r="K691" t="n">
        <v>0</v>
      </c>
      <c r="L691" t="n">
        <v>0</v>
      </c>
      <c r="M691" t="n">
        <v>0</v>
      </c>
      <c r="N691" t="n">
        <v>0</v>
      </c>
      <c r="O691" t="n">
        <v>0</v>
      </c>
      <c r="P691" t="n">
        <v>0</v>
      </c>
      <c r="Q691" t="n">
        <v>0</v>
      </c>
      <c r="R691" s="2" t="inlineStr"/>
    </row>
    <row r="692" ht="15" customHeight="1">
      <c r="A692" t="inlineStr">
        <is>
          <t>A 50753-2023</t>
        </is>
      </c>
      <c r="B692" s="1" t="n">
        <v>45210</v>
      </c>
      <c r="C692" s="1" t="n">
        <v>45791</v>
      </c>
      <c r="D692" t="inlineStr">
        <is>
          <t>JÄMTLANDS LÄN</t>
        </is>
      </c>
      <c r="E692" t="inlineStr">
        <is>
          <t>ÖSTERSUND</t>
        </is>
      </c>
      <c r="G692" t="n">
        <v>29.3</v>
      </c>
      <c r="H692" t="n">
        <v>0</v>
      </c>
      <c r="I692" t="n">
        <v>0</v>
      </c>
      <c r="J692" t="n">
        <v>0</v>
      </c>
      <c r="K692" t="n">
        <v>0</v>
      </c>
      <c r="L692" t="n">
        <v>0</v>
      </c>
      <c r="M692" t="n">
        <v>0</v>
      </c>
      <c r="N692" t="n">
        <v>0</v>
      </c>
      <c r="O692" t="n">
        <v>0</v>
      </c>
      <c r="P692" t="n">
        <v>0</v>
      </c>
      <c r="Q692" t="n">
        <v>0</v>
      </c>
      <c r="R692" s="2" t="inlineStr"/>
    </row>
    <row r="693" ht="15" customHeight="1">
      <c r="A693" t="inlineStr">
        <is>
          <t>A 50953-2023</t>
        </is>
      </c>
      <c r="B693" s="1" t="n">
        <v>45211</v>
      </c>
      <c r="C693" s="1" t="n">
        <v>45791</v>
      </c>
      <c r="D693" t="inlineStr">
        <is>
          <t>JÄMTLANDS LÄN</t>
        </is>
      </c>
      <c r="E693" t="inlineStr">
        <is>
          <t>ÖSTERSUND</t>
        </is>
      </c>
      <c r="G693" t="n">
        <v>2.2</v>
      </c>
      <c r="H693" t="n">
        <v>0</v>
      </c>
      <c r="I693" t="n">
        <v>0</v>
      </c>
      <c r="J693" t="n">
        <v>0</v>
      </c>
      <c r="K693" t="n">
        <v>0</v>
      </c>
      <c r="L693" t="n">
        <v>0</v>
      </c>
      <c r="M693" t="n">
        <v>0</v>
      </c>
      <c r="N693" t="n">
        <v>0</v>
      </c>
      <c r="O693" t="n">
        <v>0</v>
      </c>
      <c r="P693" t="n">
        <v>0</v>
      </c>
      <c r="Q693" t="n">
        <v>0</v>
      </c>
      <c r="R693" s="2" t="inlineStr"/>
    </row>
    <row r="694" ht="15" customHeight="1">
      <c r="A694" t="inlineStr">
        <is>
          <t>A 51701-2023</t>
        </is>
      </c>
      <c r="B694" s="1" t="n">
        <v>45215</v>
      </c>
      <c r="C694" s="1" t="n">
        <v>45791</v>
      </c>
      <c r="D694" t="inlineStr">
        <is>
          <t>JÄMTLANDS LÄN</t>
        </is>
      </c>
      <c r="E694" t="inlineStr">
        <is>
          <t>ÖSTERSUND</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52209-2023</t>
        </is>
      </c>
      <c r="B695" s="1" t="n">
        <v>45217</v>
      </c>
      <c r="C695" s="1" t="n">
        <v>45791</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50965-2023</t>
        </is>
      </c>
      <c r="B696" s="1" t="n">
        <v>45218</v>
      </c>
      <c r="C696" s="1" t="n">
        <v>45791</v>
      </c>
      <c r="D696" t="inlineStr">
        <is>
          <t>JÄMTLANDS LÄN</t>
        </is>
      </c>
      <c r="E696" t="inlineStr">
        <is>
          <t>ÖSTERSUND</t>
        </is>
      </c>
      <c r="G696" t="n">
        <v>3.5</v>
      </c>
      <c r="H696" t="n">
        <v>0</v>
      </c>
      <c r="I696" t="n">
        <v>0</v>
      </c>
      <c r="J696" t="n">
        <v>0</v>
      </c>
      <c r="K696" t="n">
        <v>0</v>
      </c>
      <c r="L696" t="n">
        <v>0</v>
      </c>
      <c r="M696" t="n">
        <v>0</v>
      </c>
      <c r="N696" t="n">
        <v>0</v>
      </c>
      <c r="O696" t="n">
        <v>0</v>
      </c>
      <c r="P696" t="n">
        <v>0</v>
      </c>
      <c r="Q696" t="n">
        <v>0</v>
      </c>
      <c r="R696" s="2" t="inlineStr"/>
    </row>
    <row r="697" ht="15" customHeight="1">
      <c r="A697" t="inlineStr">
        <is>
          <t>A 51480-2023</t>
        </is>
      </c>
      <c r="B697" s="1" t="n">
        <v>45222</v>
      </c>
      <c r="C697" s="1" t="n">
        <v>45791</v>
      </c>
      <c r="D697" t="inlineStr">
        <is>
          <t>JÄMTLANDS LÄN</t>
        </is>
      </c>
      <c r="E697" t="inlineStr">
        <is>
          <t>ÖSTERSUND</t>
        </is>
      </c>
      <c r="G697" t="n">
        <v>1.3</v>
      </c>
      <c r="H697" t="n">
        <v>0</v>
      </c>
      <c r="I697" t="n">
        <v>0</v>
      </c>
      <c r="J697" t="n">
        <v>0</v>
      </c>
      <c r="K697" t="n">
        <v>0</v>
      </c>
      <c r="L697" t="n">
        <v>0</v>
      </c>
      <c r="M697" t="n">
        <v>0</v>
      </c>
      <c r="N697" t="n">
        <v>0</v>
      </c>
      <c r="O697" t="n">
        <v>0</v>
      </c>
      <c r="P697" t="n">
        <v>0</v>
      </c>
      <c r="Q697" t="n">
        <v>0</v>
      </c>
      <c r="R697" s="2" t="inlineStr"/>
    </row>
    <row r="698" ht="15" customHeight="1">
      <c r="A698" t="inlineStr">
        <is>
          <t>A 51482-2023</t>
        </is>
      </c>
      <c r="B698" s="1" t="n">
        <v>45222</v>
      </c>
      <c r="C698" s="1" t="n">
        <v>45791</v>
      </c>
      <c r="D698" t="inlineStr">
        <is>
          <t>JÄMTLANDS LÄN</t>
        </is>
      </c>
      <c r="E698" t="inlineStr">
        <is>
          <t>ÖSTERSUND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51481-2023</t>
        </is>
      </c>
      <c r="B699" s="1" t="n">
        <v>45222</v>
      </c>
      <c r="C699" s="1" t="n">
        <v>45791</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51479-2023</t>
        </is>
      </c>
      <c r="B700" s="1" t="n">
        <v>45222</v>
      </c>
      <c r="C700" s="1" t="n">
        <v>45791</v>
      </c>
      <c r="D700" t="inlineStr">
        <is>
          <t>JÄMTLANDS LÄN</t>
        </is>
      </c>
      <c r="E700" t="inlineStr">
        <is>
          <t>ÖSTERSUND</t>
        </is>
      </c>
      <c r="G700" t="n">
        <v>1.9</v>
      </c>
      <c r="H700" t="n">
        <v>0</v>
      </c>
      <c r="I700" t="n">
        <v>0</v>
      </c>
      <c r="J700" t="n">
        <v>0</v>
      </c>
      <c r="K700" t="n">
        <v>0</v>
      </c>
      <c r="L700" t="n">
        <v>0</v>
      </c>
      <c r="M700" t="n">
        <v>0</v>
      </c>
      <c r="N700" t="n">
        <v>0</v>
      </c>
      <c r="O700" t="n">
        <v>0</v>
      </c>
      <c r="P700" t="n">
        <v>0</v>
      </c>
      <c r="Q700" t="n">
        <v>0</v>
      </c>
      <c r="R700" s="2" t="inlineStr"/>
    </row>
    <row r="701" ht="15" customHeight="1">
      <c r="A701" t="inlineStr">
        <is>
          <t>A 53152-2023</t>
        </is>
      </c>
      <c r="B701" s="1" t="n">
        <v>45222</v>
      </c>
      <c r="C701" s="1" t="n">
        <v>45791</v>
      </c>
      <c r="D701" t="inlineStr">
        <is>
          <t>JÄMTLANDS LÄN</t>
        </is>
      </c>
      <c r="E701" t="inlineStr">
        <is>
          <t>ÖSTERSUND</t>
        </is>
      </c>
      <c r="G701" t="n">
        <v>1</v>
      </c>
      <c r="H701" t="n">
        <v>0</v>
      </c>
      <c r="I701" t="n">
        <v>0</v>
      </c>
      <c r="J701" t="n">
        <v>0</v>
      </c>
      <c r="K701" t="n">
        <v>0</v>
      </c>
      <c r="L701" t="n">
        <v>0</v>
      </c>
      <c r="M701" t="n">
        <v>0</v>
      </c>
      <c r="N701" t="n">
        <v>0</v>
      </c>
      <c r="O701" t="n">
        <v>0</v>
      </c>
      <c r="P701" t="n">
        <v>0</v>
      </c>
      <c r="Q701" t="n">
        <v>0</v>
      </c>
      <c r="R701" s="2" t="inlineStr"/>
    </row>
    <row r="702" ht="15" customHeight="1">
      <c r="A702" t="inlineStr">
        <is>
          <t>A 51818-2023</t>
        </is>
      </c>
      <c r="B702" s="1" t="n">
        <v>45223</v>
      </c>
      <c r="C702" s="1" t="n">
        <v>45791</v>
      </c>
      <c r="D702" t="inlineStr">
        <is>
          <t>JÄMTLANDS LÄN</t>
        </is>
      </c>
      <c r="E702" t="inlineStr">
        <is>
          <t>ÖSTERSUND</t>
        </is>
      </c>
      <c r="G702" t="n">
        <v>4.7</v>
      </c>
      <c r="H702" t="n">
        <v>0</v>
      </c>
      <c r="I702" t="n">
        <v>0</v>
      </c>
      <c r="J702" t="n">
        <v>0</v>
      </c>
      <c r="K702" t="n">
        <v>0</v>
      </c>
      <c r="L702" t="n">
        <v>0</v>
      </c>
      <c r="M702" t="n">
        <v>0</v>
      </c>
      <c r="N702" t="n">
        <v>0</v>
      </c>
      <c r="O702" t="n">
        <v>0</v>
      </c>
      <c r="P702" t="n">
        <v>0</v>
      </c>
      <c r="Q702" t="n">
        <v>0</v>
      </c>
      <c r="R702" s="2" t="inlineStr"/>
    </row>
    <row r="703" ht="15" customHeight="1">
      <c r="A703" t="inlineStr">
        <is>
          <t>A 51913-2023</t>
        </is>
      </c>
      <c r="B703" s="1" t="n">
        <v>45223</v>
      </c>
      <c r="C703" s="1" t="n">
        <v>45791</v>
      </c>
      <c r="D703" t="inlineStr">
        <is>
          <t>JÄMTLANDS LÄN</t>
        </is>
      </c>
      <c r="E703" t="inlineStr">
        <is>
          <t>ÖSTERSUND</t>
        </is>
      </c>
      <c r="F703" t="inlineStr">
        <is>
          <t>Övriga Aktiebolag</t>
        </is>
      </c>
      <c r="G703" t="n">
        <v>3.4</v>
      </c>
      <c r="H703" t="n">
        <v>0</v>
      </c>
      <c r="I703" t="n">
        <v>0</v>
      </c>
      <c r="J703" t="n">
        <v>0</v>
      </c>
      <c r="K703" t="n">
        <v>0</v>
      </c>
      <c r="L703" t="n">
        <v>0</v>
      </c>
      <c r="M703" t="n">
        <v>0</v>
      </c>
      <c r="N703" t="n">
        <v>0</v>
      </c>
      <c r="O703" t="n">
        <v>0</v>
      </c>
      <c r="P703" t="n">
        <v>0</v>
      </c>
      <c r="Q703" t="n">
        <v>0</v>
      </c>
      <c r="R703" s="2" t="inlineStr"/>
    </row>
    <row r="704" ht="15" customHeight="1">
      <c r="A704" t="inlineStr">
        <is>
          <t>A 51942-2023</t>
        </is>
      </c>
      <c r="B704" s="1" t="n">
        <v>45223</v>
      </c>
      <c r="C704" s="1" t="n">
        <v>45791</v>
      </c>
      <c r="D704" t="inlineStr">
        <is>
          <t>JÄMTLANDS LÄN</t>
        </is>
      </c>
      <c r="E704" t="inlineStr">
        <is>
          <t>ÖSTERSUND</t>
        </is>
      </c>
      <c r="F704" t="inlineStr">
        <is>
          <t>Övriga Aktiebolag</t>
        </is>
      </c>
      <c r="G704" t="n">
        <v>0.6</v>
      </c>
      <c r="H704" t="n">
        <v>0</v>
      </c>
      <c r="I704" t="n">
        <v>0</v>
      </c>
      <c r="J704" t="n">
        <v>0</v>
      </c>
      <c r="K704" t="n">
        <v>0</v>
      </c>
      <c r="L704" t="n">
        <v>0</v>
      </c>
      <c r="M704" t="n">
        <v>0</v>
      </c>
      <c r="N704" t="n">
        <v>0</v>
      </c>
      <c r="O704" t="n">
        <v>0</v>
      </c>
      <c r="P704" t="n">
        <v>0</v>
      </c>
      <c r="Q704" t="n">
        <v>0</v>
      </c>
      <c r="R704" s="2" t="inlineStr"/>
    </row>
    <row r="705" ht="15" customHeight="1">
      <c r="A705" t="inlineStr">
        <is>
          <t>A 52128-2023</t>
        </is>
      </c>
      <c r="B705" s="1" t="n">
        <v>45223</v>
      </c>
      <c r="C705" s="1" t="n">
        <v>45791</v>
      </c>
      <c r="D705" t="inlineStr">
        <is>
          <t>JÄMTLANDS LÄN</t>
        </is>
      </c>
      <c r="E705" t="inlineStr">
        <is>
          <t>ÖSTERSUND</t>
        </is>
      </c>
      <c r="F705" t="inlineStr">
        <is>
          <t>SCA</t>
        </is>
      </c>
      <c r="G705" t="n">
        <v>11.9</v>
      </c>
      <c r="H705" t="n">
        <v>0</v>
      </c>
      <c r="I705" t="n">
        <v>0</v>
      </c>
      <c r="J705" t="n">
        <v>0</v>
      </c>
      <c r="K705" t="n">
        <v>0</v>
      </c>
      <c r="L705" t="n">
        <v>0</v>
      </c>
      <c r="M705" t="n">
        <v>0</v>
      </c>
      <c r="N705" t="n">
        <v>0</v>
      </c>
      <c r="O705" t="n">
        <v>0</v>
      </c>
      <c r="P705" t="n">
        <v>0</v>
      </c>
      <c r="Q705" t="n">
        <v>0</v>
      </c>
      <c r="R705" s="2" t="inlineStr"/>
    </row>
    <row r="706" ht="15" customHeight="1">
      <c r="A706" t="inlineStr">
        <is>
          <t>A 51936-2023</t>
        </is>
      </c>
      <c r="B706" s="1" t="n">
        <v>45223</v>
      </c>
      <c r="C706" s="1" t="n">
        <v>45791</v>
      </c>
      <c r="D706" t="inlineStr">
        <is>
          <t>JÄMTLANDS LÄN</t>
        </is>
      </c>
      <c r="E706" t="inlineStr">
        <is>
          <t>ÖSTERSUND</t>
        </is>
      </c>
      <c r="G706" t="n">
        <v>8.4</v>
      </c>
      <c r="H706" t="n">
        <v>0</v>
      </c>
      <c r="I706" t="n">
        <v>0</v>
      </c>
      <c r="J706" t="n">
        <v>0</v>
      </c>
      <c r="K706" t="n">
        <v>0</v>
      </c>
      <c r="L706" t="n">
        <v>0</v>
      </c>
      <c r="M706" t="n">
        <v>0</v>
      </c>
      <c r="N706" t="n">
        <v>0</v>
      </c>
      <c r="O706" t="n">
        <v>0</v>
      </c>
      <c r="P706" t="n">
        <v>0</v>
      </c>
      <c r="Q706" t="n">
        <v>0</v>
      </c>
      <c r="R706" s="2" t="inlineStr"/>
    </row>
    <row r="707" ht="15" customHeight="1">
      <c r="A707" t="inlineStr">
        <is>
          <t>A 51941-2023</t>
        </is>
      </c>
      <c r="B707" s="1" t="n">
        <v>45223</v>
      </c>
      <c r="C707" s="1" t="n">
        <v>45791</v>
      </c>
      <c r="D707" t="inlineStr">
        <is>
          <t>JÄMTLANDS LÄN</t>
        </is>
      </c>
      <c r="E707" t="inlineStr">
        <is>
          <t>ÖSTERSUND</t>
        </is>
      </c>
      <c r="G707" t="n">
        <v>4.6</v>
      </c>
      <c r="H707" t="n">
        <v>0</v>
      </c>
      <c r="I707" t="n">
        <v>0</v>
      </c>
      <c r="J707" t="n">
        <v>0</v>
      </c>
      <c r="K707" t="n">
        <v>0</v>
      </c>
      <c r="L707" t="n">
        <v>0</v>
      </c>
      <c r="M707" t="n">
        <v>0</v>
      </c>
      <c r="N707" t="n">
        <v>0</v>
      </c>
      <c r="O707" t="n">
        <v>0</v>
      </c>
      <c r="P707" t="n">
        <v>0</v>
      </c>
      <c r="Q707" t="n">
        <v>0</v>
      </c>
      <c r="R707" s="2" t="inlineStr"/>
    </row>
    <row r="708" ht="15" customHeight="1">
      <c r="A708" t="inlineStr">
        <is>
          <t>A 53378-2023</t>
        </is>
      </c>
      <c r="B708" s="1" t="n">
        <v>45223</v>
      </c>
      <c r="C708" s="1" t="n">
        <v>45791</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53380-2023</t>
        </is>
      </c>
      <c r="B709" s="1" t="n">
        <v>45223</v>
      </c>
      <c r="C709" s="1" t="n">
        <v>45791</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52553-2023</t>
        </is>
      </c>
      <c r="B710" s="1" t="n">
        <v>45225</v>
      </c>
      <c r="C710" s="1" t="n">
        <v>45791</v>
      </c>
      <c r="D710" t="inlineStr">
        <is>
          <t>JÄMTLANDS LÄN</t>
        </is>
      </c>
      <c r="E710" t="inlineStr">
        <is>
          <t>ÖSTERSUND</t>
        </is>
      </c>
      <c r="G710" t="n">
        <v>19.9</v>
      </c>
      <c r="H710" t="n">
        <v>0</v>
      </c>
      <c r="I710" t="n">
        <v>0</v>
      </c>
      <c r="J710" t="n">
        <v>0</v>
      </c>
      <c r="K710" t="n">
        <v>0</v>
      </c>
      <c r="L710" t="n">
        <v>0</v>
      </c>
      <c r="M710" t="n">
        <v>0</v>
      </c>
      <c r="N710" t="n">
        <v>0</v>
      </c>
      <c r="O710" t="n">
        <v>0</v>
      </c>
      <c r="P710" t="n">
        <v>0</v>
      </c>
      <c r="Q710" t="n">
        <v>0</v>
      </c>
      <c r="R710" s="2" t="inlineStr"/>
    </row>
    <row r="711" ht="15" customHeight="1">
      <c r="A711" t="inlineStr">
        <is>
          <t>A 55235-2023</t>
        </is>
      </c>
      <c r="B711" s="1" t="n">
        <v>45231</v>
      </c>
      <c r="C711" s="1" t="n">
        <v>45791</v>
      </c>
      <c r="D711" t="inlineStr">
        <is>
          <t>JÄMTLANDS LÄN</t>
        </is>
      </c>
      <c r="E711" t="inlineStr">
        <is>
          <t>ÖSTERSUND</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55251-2023</t>
        </is>
      </c>
      <c r="B712" s="1" t="n">
        <v>45231</v>
      </c>
      <c r="C712" s="1" t="n">
        <v>45791</v>
      </c>
      <c r="D712" t="inlineStr">
        <is>
          <t>JÄMTLANDS LÄN</t>
        </is>
      </c>
      <c r="E712" t="inlineStr">
        <is>
          <t>ÖSTERSUND</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55400-2023</t>
        </is>
      </c>
      <c r="B713" s="1" t="n">
        <v>45231</v>
      </c>
      <c r="C713" s="1" t="n">
        <v>45791</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54131-2023</t>
        </is>
      </c>
      <c r="B714" s="1" t="n">
        <v>45232</v>
      </c>
      <c r="C714" s="1" t="n">
        <v>45791</v>
      </c>
      <c r="D714" t="inlineStr">
        <is>
          <t>JÄMTLANDS LÄN</t>
        </is>
      </c>
      <c r="E714" t="inlineStr">
        <is>
          <t>ÖSTERSUND</t>
        </is>
      </c>
      <c r="G714" t="n">
        <v>5.5</v>
      </c>
      <c r="H714" t="n">
        <v>0</v>
      </c>
      <c r="I714" t="n">
        <v>0</v>
      </c>
      <c r="J714" t="n">
        <v>0</v>
      </c>
      <c r="K714" t="n">
        <v>0</v>
      </c>
      <c r="L714" t="n">
        <v>0</v>
      </c>
      <c r="M714" t="n">
        <v>0</v>
      </c>
      <c r="N714" t="n">
        <v>0</v>
      </c>
      <c r="O714" t="n">
        <v>0</v>
      </c>
      <c r="P714" t="n">
        <v>0</v>
      </c>
      <c r="Q714" t="n">
        <v>0</v>
      </c>
      <c r="R714" s="2" t="inlineStr"/>
    </row>
    <row r="715" ht="15" customHeight="1">
      <c r="A715" t="inlineStr">
        <is>
          <t>A 54608-2023</t>
        </is>
      </c>
      <c r="B715" s="1" t="n">
        <v>45233</v>
      </c>
      <c r="C715" s="1" t="n">
        <v>45791</v>
      </c>
      <c r="D715" t="inlineStr">
        <is>
          <t>JÄMTLANDS LÄN</t>
        </is>
      </c>
      <c r="E715" t="inlineStr">
        <is>
          <t>ÖSTERSUND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55996-2023</t>
        </is>
      </c>
      <c r="B716" s="1" t="n">
        <v>45233</v>
      </c>
      <c r="C716" s="1" t="n">
        <v>45791</v>
      </c>
      <c r="D716" t="inlineStr">
        <is>
          <t>JÄMTLANDS LÄN</t>
        </is>
      </c>
      <c r="E716" t="inlineStr">
        <is>
          <t>ÖSTERSUND</t>
        </is>
      </c>
      <c r="G716" t="n">
        <v>2.4</v>
      </c>
      <c r="H716" t="n">
        <v>0</v>
      </c>
      <c r="I716" t="n">
        <v>0</v>
      </c>
      <c r="J716" t="n">
        <v>0</v>
      </c>
      <c r="K716" t="n">
        <v>0</v>
      </c>
      <c r="L716" t="n">
        <v>0</v>
      </c>
      <c r="M716" t="n">
        <v>0</v>
      </c>
      <c r="N716" t="n">
        <v>0</v>
      </c>
      <c r="O716" t="n">
        <v>0</v>
      </c>
      <c r="P716" t="n">
        <v>0</v>
      </c>
      <c r="Q716" t="n">
        <v>0</v>
      </c>
      <c r="R716" s="2" t="inlineStr"/>
    </row>
    <row r="717" ht="15" customHeight="1">
      <c r="A717" t="inlineStr">
        <is>
          <t>A 56043-2023</t>
        </is>
      </c>
      <c r="B717" s="1" t="n">
        <v>45233</v>
      </c>
      <c r="C717" s="1" t="n">
        <v>45791</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54576-2023</t>
        </is>
      </c>
      <c r="B718" s="1" t="n">
        <v>45233</v>
      </c>
      <c r="C718" s="1" t="n">
        <v>45791</v>
      </c>
      <c r="D718" t="inlineStr">
        <is>
          <t>JÄMTLANDS LÄN</t>
        </is>
      </c>
      <c r="E718" t="inlineStr">
        <is>
          <t>ÖSTERSUND</t>
        </is>
      </c>
      <c r="F718" t="inlineStr">
        <is>
          <t>Övriga Aktiebolag</t>
        </is>
      </c>
      <c r="G718" t="n">
        <v>7.3</v>
      </c>
      <c r="H718" t="n">
        <v>0</v>
      </c>
      <c r="I718" t="n">
        <v>0</v>
      </c>
      <c r="J718" t="n">
        <v>0</v>
      </c>
      <c r="K718" t="n">
        <v>0</v>
      </c>
      <c r="L718" t="n">
        <v>0</v>
      </c>
      <c r="M718" t="n">
        <v>0</v>
      </c>
      <c r="N718" t="n">
        <v>0</v>
      </c>
      <c r="O718" t="n">
        <v>0</v>
      </c>
      <c r="P718" t="n">
        <v>0</v>
      </c>
      <c r="Q718" t="n">
        <v>0</v>
      </c>
      <c r="R718" s="2" t="inlineStr"/>
    </row>
    <row r="719" ht="15" customHeight="1">
      <c r="A719" t="inlineStr">
        <is>
          <t>A 54762-2023</t>
        </is>
      </c>
      <c r="B719" s="1" t="n">
        <v>45236</v>
      </c>
      <c r="C719" s="1" t="n">
        <v>45791</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54883-2023</t>
        </is>
      </c>
      <c r="B720" s="1" t="n">
        <v>45236</v>
      </c>
      <c r="C720" s="1" t="n">
        <v>45791</v>
      </c>
      <c r="D720" t="inlineStr">
        <is>
          <t>JÄMTLANDS LÄN</t>
        </is>
      </c>
      <c r="E720" t="inlineStr">
        <is>
          <t>ÖSTERSUND</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54973-2023</t>
        </is>
      </c>
      <c r="B721" s="1" t="n">
        <v>45236</v>
      </c>
      <c r="C721" s="1" t="n">
        <v>45791</v>
      </c>
      <c r="D721" t="inlineStr">
        <is>
          <t>JÄMTLANDS LÄN</t>
        </is>
      </c>
      <c r="E721" t="inlineStr">
        <is>
          <t>ÖSTERSUND</t>
        </is>
      </c>
      <c r="G721" t="n">
        <v>15.4</v>
      </c>
      <c r="H721" t="n">
        <v>0</v>
      </c>
      <c r="I721" t="n">
        <v>0</v>
      </c>
      <c r="J721" t="n">
        <v>0</v>
      </c>
      <c r="K721" t="n">
        <v>0</v>
      </c>
      <c r="L721" t="n">
        <v>0</v>
      </c>
      <c r="M721" t="n">
        <v>0</v>
      </c>
      <c r="N721" t="n">
        <v>0</v>
      </c>
      <c r="O721" t="n">
        <v>0</v>
      </c>
      <c r="P721" t="n">
        <v>0</v>
      </c>
      <c r="Q721" t="n">
        <v>0</v>
      </c>
      <c r="R721" s="2" t="inlineStr"/>
    </row>
    <row r="722" ht="15" customHeight="1">
      <c r="A722" t="inlineStr">
        <is>
          <t>A 55140-2023</t>
        </is>
      </c>
      <c r="B722" s="1" t="n">
        <v>45237</v>
      </c>
      <c r="C722" s="1" t="n">
        <v>45791</v>
      </c>
      <c r="D722" t="inlineStr">
        <is>
          <t>JÄMTLANDS LÄN</t>
        </is>
      </c>
      <c r="E722" t="inlineStr">
        <is>
          <t>ÖSTERSUND</t>
        </is>
      </c>
      <c r="G722" t="n">
        <v>1.8</v>
      </c>
      <c r="H722" t="n">
        <v>0</v>
      </c>
      <c r="I722" t="n">
        <v>0</v>
      </c>
      <c r="J722" t="n">
        <v>0</v>
      </c>
      <c r="K722" t="n">
        <v>0</v>
      </c>
      <c r="L722" t="n">
        <v>0</v>
      </c>
      <c r="M722" t="n">
        <v>0</v>
      </c>
      <c r="N722" t="n">
        <v>0</v>
      </c>
      <c r="O722" t="n">
        <v>0</v>
      </c>
      <c r="P722" t="n">
        <v>0</v>
      </c>
      <c r="Q722" t="n">
        <v>0</v>
      </c>
      <c r="R722" s="2" t="inlineStr"/>
    </row>
    <row r="723" ht="15" customHeight="1">
      <c r="A723" t="inlineStr">
        <is>
          <t>A 55237-2023</t>
        </is>
      </c>
      <c r="B723" s="1" t="n">
        <v>45237</v>
      </c>
      <c r="C723" s="1" t="n">
        <v>45791</v>
      </c>
      <c r="D723" t="inlineStr">
        <is>
          <t>JÄMTLANDS LÄN</t>
        </is>
      </c>
      <c r="E723" t="inlineStr">
        <is>
          <t>ÖSTERSUND</t>
        </is>
      </c>
      <c r="G723" t="n">
        <v>2.7</v>
      </c>
      <c r="H723" t="n">
        <v>0</v>
      </c>
      <c r="I723" t="n">
        <v>0</v>
      </c>
      <c r="J723" t="n">
        <v>0</v>
      </c>
      <c r="K723" t="n">
        <v>0</v>
      </c>
      <c r="L723" t="n">
        <v>0</v>
      </c>
      <c r="M723" t="n">
        <v>0</v>
      </c>
      <c r="N723" t="n">
        <v>0</v>
      </c>
      <c r="O723" t="n">
        <v>0</v>
      </c>
      <c r="P723" t="n">
        <v>0</v>
      </c>
      <c r="Q723" t="n">
        <v>0</v>
      </c>
      <c r="R723" s="2" t="inlineStr"/>
    </row>
    <row r="724" ht="15" customHeight="1">
      <c r="A724" t="inlineStr">
        <is>
          <t>A 55233-2023</t>
        </is>
      </c>
      <c r="B724" s="1" t="n">
        <v>45237</v>
      </c>
      <c r="C724" s="1" t="n">
        <v>45791</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56440-2023</t>
        </is>
      </c>
      <c r="B725" s="1" t="n">
        <v>45237</v>
      </c>
      <c r="C725" s="1" t="n">
        <v>45791</v>
      </c>
      <c r="D725" t="inlineStr">
        <is>
          <t>JÄMTLANDS LÄN</t>
        </is>
      </c>
      <c r="E725" t="inlineStr">
        <is>
          <t>ÖSTERSUND</t>
        </is>
      </c>
      <c r="G725" t="n">
        <v>10.2</v>
      </c>
      <c r="H725" t="n">
        <v>0</v>
      </c>
      <c r="I725" t="n">
        <v>0</v>
      </c>
      <c r="J725" t="n">
        <v>0</v>
      </c>
      <c r="K725" t="n">
        <v>0</v>
      </c>
      <c r="L725" t="n">
        <v>0</v>
      </c>
      <c r="M725" t="n">
        <v>0</v>
      </c>
      <c r="N725" t="n">
        <v>0</v>
      </c>
      <c r="O725" t="n">
        <v>0</v>
      </c>
      <c r="P725" t="n">
        <v>0</v>
      </c>
      <c r="Q725" t="n">
        <v>0</v>
      </c>
      <c r="R725" s="2" t="inlineStr"/>
    </row>
    <row r="726" ht="15" customHeight="1">
      <c r="A726" t="inlineStr">
        <is>
          <t>A 55666-2023</t>
        </is>
      </c>
      <c r="B726" s="1" t="n">
        <v>45239</v>
      </c>
      <c r="C726" s="1" t="n">
        <v>45791</v>
      </c>
      <c r="D726" t="inlineStr">
        <is>
          <t>JÄMTLANDS LÄN</t>
        </is>
      </c>
      <c r="E726" t="inlineStr">
        <is>
          <t>ÖSTERSUND</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56597-2023</t>
        </is>
      </c>
      <c r="B727" s="1" t="n">
        <v>45238</v>
      </c>
      <c r="C727" s="1" t="n">
        <v>45791</v>
      </c>
      <c r="D727" t="inlineStr">
        <is>
          <t>JÄMTLANDS LÄN</t>
        </is>
      </c>
      <c r="E727" t="inlineStr">
        <is>
          <t>ÖSTERSUND</t>
        </is>
      </c>
      <c r="G727" t="n">
        <v>5.1</v>
      </c>
      <c r="H727" t="n">
        <v>0</v>
      </c>
      <c r="I727" t="n">
        <v>0</v>
      </c>
      <c r="J727" t="n">
        <v>0</v>
      </c>
      <c r="K727" t="n">
        <v>0</v>
      </c>
      <c r="L727" t="n">
        <v>0</v>
      </c>
      <c r="M727" t="n">
        <v>0</v>
      </c>
      <c r="N727" t="n">
        <v>0</v>
      </c>
      <c r="O727" t="n">
        <v>0</v>
      </c>
      <c r="P727" t="n">
        <v>0</v>
      </c>
      <c r="Q727" t="n">
        <v>0</v>
      </c>
      <c r="R727" s="2" t="inlineStr"/>
    </row>
    <row r="728" ht="15" customHeight="1">
      <c r="A728" t="inlineStr">
        <is>
          <t>A 55678-2023</t>
        </is>
      </c>
      <c r="B728" s="1" t="n">
        <v>45239</v>
      </c>
      <c r="C728" s="1" t="n">
        <v>45791</v>
      </c>
      <c r="D728" t="inlineStr">
        <is>
          <t>JÄMTLANDS LÄN</t>
        </is>
      </c>
      <c r="E728" t="inlineStr">
        <is>
          <t>ÖSTERSUND</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55785-2023</t>
        </is>
      </c>
      <c r="B729" s="1" t="n">
        <v>45239</v>
      </c>
      <c r="C729" s="1" t="n">
        <v>45791</v>
      </c>
      <c r="D729" t="inlineStr">
        <is>
          <t>JÄMTLANDS LÄN</t>
        </is>
      </c>
      <c r="E729" t="inlineStr">
        <is>
          <t>ÖSTERSUND</t>
        </is>
      </c>
      <c r="F729" t="inlineStr">
        <is>
          <t>Övriga Aktiebolag</t>
        </is>
      </c>
      <c r="G729" t="n">
        <v>16.4</v>
      </c>
      <c r="H729" t="n">
        <v>0</v>
      </c>
      <c r="I729" t="n">
        <v>0</v>
      </c>
      <c r="J729" t="n">
        <v>0</v>
      </c>
      <c r="K729" t="n">
        <v>0</v>
      </c>
      <c r="L729" t="n">
        <v>0</v>
      </c>
      <c r="M729" t="n">
        <v>0</v>
      </c>
      <c r="N729" t="n">
        <v>0</v>
      </c>
      <c r="O729" t="n">
        <v>0</v>
      </c>
      <c r="P729" t="n">
        <v>0</v>
      </c>
      <c r="Q729" t="n">
        <v>0</v>
      </c>
      <c r="R729" s="2" t="inlineStr"/>
    </row>
    <row r="730" ht="15" customHeight="1">
      <c r="A730" t="inlineStr">
        <is>
          <t>A 55827-2023</t>
        </is>
      </c>
      <c r="B730" s="1" t="n">
        <v>45239</v>
      </c>
      <c r="C730" s="1" t="n">
        <v>45791</v>
      </c>
      <c r="D730" t="inlineStr">
        <is>
          <t>JÄMTLANDS LÄN</t>
        </is>
      </c>
      <c r="E730" t="inlineStr">
        <is>
          <t>ÖSTERSUND</t>
        </is>
      </c>
      <c r="F730" t="inlineStr">
        <is>
          <t>Övriga Aktiebolag</t>
        </is>
      </c>
      <c r="G730" t="n">
        <v>9.1</v>
      </c>
      <c r="H730" t="n">
        <v>0</v>
      </c>
      <c r="I730" t="n">
        <v>0</v>
      </c>
      <c r="J730" t="n">
        <v>0</v>
      </c>
      <c r="K730" t="n">
        <v>0</v>
      </c>
      <c r="L730" t="n">
        <v>0</v>
      </c>
      <c r="M730" t="n">
        <v>0</v>
      </c>
      <c r="N730" t="n">
        <v>0</v>
      </c>
      <c r="O730" t="n">
        <v>0</v>
      </c>
      <c r="P730" t="n">
        <v>0</v>
      </c>
      <c r="Q730" t="n">
        <v>0</v>
      </c>
      <c r="R730" s="2" t="inlineStr"/>
    </row>
    <row r="731" ht="15" customHeight="1">
      <c r="A731" t="inlineStr">
        <is>
          <t>A 56465-2023</t>
        </is>
      </c>
      <c r="B731" s="1" t="n">
        <v>45243</v>
      </c>
      <c r="C731" s="1" t="n">
        <v>45791</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56478-2023</t>
        </is>
      </c>
      <c r="B732" s="1" t="n">
        <v>45243</v>
      </c>
      <c r="C732" s="1" t="n">
        <v>45791</v>
      </c>
      <c r="D732" t="inlineStr">
        <is>
          <t>JÄMTLANDS LÄN</t>
        </is>
      </c>
      <c r="E732" t="inlineStr">
        <is>
          <t>ÖSTERSUND</t>
        </is>
      </c>
      <c r="F732" t="inlineStr">
        <is>
          <t>Övriga Aktiebolag</t>
        </is>
      </c>
      <c r="G732" t="n">
        <v>1.1</v>
      </c>
      <c r="H732" t="n">
        <v>0</v>
      </c>
      <c r="I732" t="n">
        <v>0</v>
      </c>
      <c r="J732" t="n">
        <v>0</v>
      </c>
      <c r="K732" t="n">
        <v>0</v>
      </c>
      <c r="L732" t="n">
        <v>0</v>
      </c>
      <c r="M732" t="n">
        <v>0</v>
      </c>
      <c r="N732" t="n">
        <v>0</v>
      </c>
      <c r="O732" t="n">
        <v>0</v>
      </c>
      <c r="P732" t="n">
        <v>0</v>
      </c>
      <c r="Q732" t="n">
        <v>0</v>
      </c>
      <c r="R732" s="2" t="inlineStr"/>
    </row>
    <row r="733" ht="15" customHeight="1">
      <c r="A733" t="inlineStr">
        <is>
          <t>A 57863-2023</t>
        </is>
      </c>
      <c r="B733" s="1" t="n">
        <v>45244</v>
      </c>
      <c r="C733" s="1" t="n">
        <v>45791</v>
      </c>
      <c r="D733" t="inlineStr">
        <is>
          <t>JÄMTLANDS LÄN</t>
        </is>
      </c>
      <c r="E733" t="inlineStr">
        <is>
          <t>ÖSTERSUND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57398-2023</t>
        </is>
      </c>
      <c r="B734" s="1" t="n">
        <v>45245</v>
      </c>
      <c r="C734" s="1" t="n">
        <v>45791</v>
      </c>
      <c r="D734" t="inlineStr">
        <is>
          <t>JÄMTLANDS LÄN</t>
        </is>
      </c>
      <c r="E734" t="inlineStr">
        <is>
          <t>ÖSTERSUND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58809-2023</t>
        </is>
      </c>
      <c r="B735" s="1" t="n">
        <v>45247</v>
      </c>
      <c r="C735" s="1" t="n">
        <v>45791</v>
      </c>
      <c r="D735" t="inlineStr">
        <is>
          <t>JÄMTLANDS LÄN</t>
        </is>
      </c>
      <c r="E735" t="inlineStr">
        <is>
          <t>ÖSTERSUND</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58818-2023</t>
        </is>
      </c>
      <c r="B736" s="1" t="n">
        <v>45247</v>
      </c>
      <c r="C736" s="1" t="n">
        <v>45791</v>
      </c>
      <c r="D736" t="inlineStr">
        <is>
          <t>JÄMTLANDS LÄN</t>
        </is>
      </c>
      <c r="E736" t="inlineStr">
        <is>
          <t>ÖSTERSUND</t>
        </is>
      </c>
      <c r="G736" t="n">
        <v>6.7</v>
      </c>
      <c r="H736" t="n">
        <v>0</v>
      </c>
      <c r="I736" t="n">
        <v>0</v>
      </c>
      <c r="J736" t="n">
        <v>0</v>
      </c>
      <c r="K736" t="n">
        <v>0</v>
      </c>
      <c r="L736" t="n">
        <v>0</v>
      </c>
      <c r="M736" t="n">
        <v>0</v>
      </c>
      <c r="N736" t="n">
        <v>0</v>
      </c>
      <c r="O736" t="n">
        <v>0</v>
      </c>
      <c r="P736" t="n">
        <v>0</v>
      </c>
      <c r="Q736" t="n">
        <v>0</v>
      </c>
      <c r="R736" s="2" t="inlineStr"/>
    </row>
    <row r="737" ht="15" customHeight="1">
      <c r="A737" t="inlineStr">
        <is>
          <t>A 57839-2023</t>
        </is>
      </c>
      <c r="B737" s="1" t="n">
        <v>45247</v>
      </c>
      <c r="C737" s="1" t="n">
        <v>45791</v>
      </c>
      <c r="D737" t="inlineStr">
        <is>
          <t>JÄMTLANDS LÄN</t>
        </is>
      </c>
      <c r="E737" t="inlineStr">
        <is>
          <t>ÖSTERSUND</t>
        </is>
      </c>
      <c r="G737" t="n">
        <v>6.1</v>
      </c>
      <c r="H737" t="n">
        <v>0</v>
      </c>
      <c r="I737" t="n">
        <v>0</v>
      </c>
      <c r="J737" t="n">
        <v>0</v>
      </c>
      <c r="K737" t="n">
        <v>0</v>
      </c>
      <c r="L737" t="n">
        <v>0</v>
      </c>
      <c r="M737" t="n">
        <v>0</v>
      </c>
      <c r="N737" t="n">
        <v>0</v>
      </c>
      <c r="O737" t="n">
        <v>0</v>
      </c>
      <c r="P737" t="n">
        <v>0</v>
      </c>
      <c r="Q737" t="n">
        <v>0</v>
      </c>
      <c r="R737" s="2" t="inlineStr"/>
    </row>
    <row r="738" ht="15" customHeight="1">
      <c r="A738" t="inlineStr">
        <is>
          <t>A 59021-2023</t>
        </is>
      </c>
      <c r="B738" s="1" t="n">
        <v>45250</v>
      </c>
      <c r="C738" s="1" t="n">
        <v>45791</v>
      </c>
      <c r="D738" t="inlineStr">
        <is>
          <t>JÄMTLANDS LÄN</t>
        </is>
      </c>
      <c r="E738" t="inlineStr">
        <is>
          <t>ÖSTERSUND</t>
        </is>
      </c>
      <c r="G738" t="n">
        <v>7</v>
      </c>
      <c r="H738" t="n">
        <v>0</v>
      </c>
      <c r="I738" t="n">
        <v>0</v>
      </c>
      <c r="J738" t="n">
        <v>0</v>
      </c>
      <c r="K738" t="n">
        <v>0</v>
      </c>
      <c r="L738" t="n">
        <v>0</v>
      </c>
      <c r="M738" t="n">
        <v>0</v>
      </c>
      <c r="N738" t="n">
        <v>0</v>
      </c>
      <c r="O738" t="n">
        <v>0</v>
      </c>
      <c r="P738" t="n">
        <v>0</v>
      </c>
      <c r="Q738" t="n">
        <v>0</v>
      </c>
      <c r="R738" s="2" t="inlineStr"/>
    </row>
    <row r="739" ht="15" customHeight="1">
      <c r="A739" t="inlineStr">
        <is>
          <t>A 59094-2023</t>
        </is>
      </c>
      <c r="B739" s="1" t="n">
        <v>45253</v>
      </c>
      <c r="C739" s="1" t="n">
        <v>45791</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59095-2023</t>
        </is>
      </c>
      <c r="B740" s="1" t="n">
        <v>45253</v>
      </c>
      <c r="C740" s="1" t="n">
        <v>45791</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59611-2023</t>
        </is>
      </c>
      <c r="B741" s="1" t="n">
        <v>45254</v>
      </c>
      <c r="C741" s="1" t="n">
        <v>45791</v>
      </c>
      <c r="D741" t="inlineStr">
        <is>
          <t>JÄMTLANDS LÄN</t>
        </is>
      </c>
      <c r="E741" t="inlineStr">
        <is>
          <t>ÖSTERSUND</t>
        </is>
      </c>
      <c r="G741" t="n">
        <v>1.5</v>
      </c>
      <c r="H741" t="n">
        <v>0</v>
      </c>
      <c r="I741" t="n">
        <v>0</v>
      </c>
      <c r="J741" t="n">
        <v>0</v>
      </c>
      <c r="K741" t="n">
        <v>0</v>
      </c>
      <c r="L741" t="n">
        <v>0</v>
      </c>
      <c r="M741" t="n">
        <v>0</v>
      </c>
      <c r="N741" t="n">
        <v>0</v>
      </c>
      <c r="O741" t="n">
        <v>0</v>
      </c>
      <c r="P741" t="n">
        <v>0</v>
      </c>
      <c r="Q741" t="n">
        <v>0</v>
      </c>
      <c r="R741" s="2" t="inlineStr"/>
    </row>
    <row r="742" ht="15" customHeight="1">
      <c r="A742" t="inlineStr">
        <is>
          <t>A 59953-2023</t>
        </is>
      </c>
      <c r="B742" s="1" t="n">
        <v>45254</v>
      </c>
      <c r="C742" s="1" t="n">
        <v>45791</v>
      </c>
      <c r="D742" t="inlineStr">
        <is>
          <t>JÄMTLANDS LÄN</t>
        </is>
      </c>
      <c r="E742" t="inlineStr">
        <is>
          <t>ÖSTERSUND</t>
        </is>
      </c>
      <c r="G742" t="n">
        <v>4.6</v>
      </c>
      <c r="H742" t="n">
        <v>0</v>
      </c>
      <c r="I742" t="n">
        <v>0</v>
      </c>
      <c r="J742" t="n">
        <v>0</v>
      </c>
      <c r="K742" t="n">
        <v>0</v>
      </c>
      <c r="L742" t="n">
        <v>0</v>
      </c>
      <c r="M742" t="n">
        <v>0</v>
      </c>
      <c r="N742" t="n">
        <v>0</v>
      </c>
      <c r="O742" t="n">
        <v>0</v>
      </c>
      <c r="P742" t="n">
        <v>0</v>
      </c>
      <c r="Q742" t="n">
        <v>0</v>
      </c>
      <c r="R742" s="2" t="inlineStr"/>
    </row>
    <row r="743" ht="15" customHeight="1">
      <c r="A743" t="inlineStr">
        <is>
          <t>A 59694-2023</t>
        </is>
      </c>
      <c r="B743" s="1" t="n">
        <v>45256</v>
      </c>
      <c r="C743" s="1" t="n">
        <v>45791</v>
      </c>
      <c r="D743" t="inlineStr">
        <is>
          <t>JÄMTLANDS LÄN</t>
        </is>
      </c>
      <c r="E743" t="inlineStr">
        <is>
          <t>ÖSTERSUND</t>
        </is>
      </c>
      <c r="G743" t="n">
        <v>4.1</v>
      </c>
      <c r="H743" t="n">
        <v>0</v>
      </c>
      <c r="I743" t="n">
        <v>0</v>
      </c>
      <c r="J743" t="n">
        <v>0</v>
      </c>
      <c r="K743" t="n">
        <v>0</v>
      </c>
      <c r="L743" t="n">
        <v>0</v>
      </c>
      <c r="M743" t="n">
        <v>0</v>
      </c>
      <c r="N743" t="n">
        <v>0</v>
      </c>
      <c r="O743" t="n">
        <v>0</v>
      </c>
      <c r="P743" t="n">
        <v>0</v>
      </c>
      <c r="Q743" t="n">
        <v>0</v>
      </c>
      <c r="R743" s="2" t="inlineStr"/>
    </row>
    <row r="744" ht="15" customHeight="1">
      <c r="A744" t="inlineStr">
        <is>
          <t>A 59813-2023</t>
        </is>
      </c>
      <c r="B744" s="1" t="n">
        <v>45257</v>
      </c>
      <c r="C744" s="1" t="n">
        <v>45791</v>
      </c>
      <c r="D744" t="inlineStr">
        <is>
          <t>JÄMTLANDS LÄN</t>
        </is>
      </c>
      <c r="E744" t="inlineStr">
        <is>
          <t>ÖSTERSUND</t>
        </is>
      </c>
      <c r="G744" t="n">
        <v>3.8</v>
      </c>
      <c r="H744" t="n">
        <v>0</v>
      </c>
      <c r="I744" t="n">
        <v>0</v>
      </c>
      <c r="J744" t="n">
        <v>0</v>
      </c>
      <c r="K744" t="n">
        <v>0</v>
      </c>
      <c r="L744" t="n">
        <v>0</v>
      </c>
      <c r="M744" t="n">
        <v>0</v>
      </c>
      <c r="N744" t="n">
        <v>0</v>
      </c>
      <c r="O744" t="n">
        <v>0</v>
      </c>
      <c r="P744" t="n">
        <v>0</v>
      </c>
      <c r="Q744" t="n">
        <v>0</v>
      </c>
      <c r="R744" s="2" t="inlineStr"/>
    </row>
    <row r="745" ht="15" customHeight="1">
      <c r="A745" t="inlineStr">
        <is>
          <t>A 60029-2023</t>
        </is>
      </c>
      <c r="B745" s="1" t="n">
        <v>45258</v>
      </c>
      <c r="C745" s="1" t="n">
        <v>45791</v>
      </c>
      <c r="D745" t="inlineStr">
        <is>
          <t>JÄMTLANDS LÄN</t>
        </is>
      </c>
      <c r="E745" t="inlineStr">
        <is>
          <t>ÖSTERSUND</t>
        </is>
      </c>
      <c r="G745" t="n">
        <v>1.8</v>
      </c>
      <c r="H745" t="n">
        <v>0</v>
      </c>
      <c r="I745" t="n">
        <v>0</v>
      </c>
      <c r="J745" t="n">
        <v>0</v>
      </c>
      <c r="K745" t="n">
        <v>0</v>
      </c>
      <c r="L745" t="n">
        <v>0</v>
      </c>
      <c r="M745" t="n">
        <v>0</v>
      </c>
      <c r="N745" t="n">
        <v>0</v>
      </c>
      <c r="O745" t="n">
        <v>0</v>
      </c>
      <c r="P745" t="n">
        <v>0</v>
      </c>
      <c r="Q745" t="n">
        <v>0</v>
      </c>
      <c r="R745" s="2" t="inlineStr"/>
    </row>
    <row r="746" ht="15" customHeight="1">
      <c r="A746" t="inlineStr">
        <is>
          <t>A 60477-2023</t>
        </is>
      </c>
      <c r="B746" s="1" t="n">
        <v>45258</v>
      </c>
      <c r="C746" s="1" t="n">
        <v>45791</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60794-2023</t>
        </is>
      </c>
      <c r="B747" s="1" t="n">
        <v>45260</v>
      </c>
      <c r="C747" s="1" t="n">
        <v>45791</v>
      </c>
      <c r="D747" t="inlineStr">
        <is>
          <t>JÄMTLANDS LÄN</t>
        </is>
      </c>
      <c r="E747" t="inlineStr">
        <is>
          <t>ÖSTERSUND</t>
        </is>
      </c>
      <c r="G747" t="n">
        <v>3.6</v>
      </c>
      <c r="H747" t="n">
        <v>0</v>
      </c>
      <c r="I747" t="n">
        <v>0</v>
      </c>
      <c r="J747" t="n">
        <v>0</v>
      </c>
      <c r="K747" t="n">
        <v>0</v>
      </c>
      <c r="L747" t="n">
        <v>0</v>
      </c>
      <c r="M747" t="n">
        <v>0</v>
      </c>
      <c r="N747" t="n">
        <v>0</v>
      </c>
      <c r="O747" t="n">
        <v>0</v>
      </c>
      <c r="P747" t="n">
        <v>0</v>
      </c>
      <c r="Q747" t="n">
        <v>0</v>
      </c>
      <c r="R747" s="2" t="inlineStr"/>
    </row>
    <row r="748" ht="15" customHeight="1">
      <c r="A748" t="inlineStr">
        <is>
          <t>A 60780-2023</t>
        </is>
      </c>
      <c r="B748" s="1" t="n">
        <v>45260</v>
      </c>
      <c r="C748" s="1" t="n">
        <v>45791</v>
      </c>
      <c r="D748" t="inlineStr">
        <is>
          <t>JÄMTLANDS LÄN</t>
        </is>
      </c>
      <c r="E748" t="inlineStr">
        <is>
          <t>ÖSTERSUND</t>
        </is>
      </c>
      <c r="G748" t="n">
        <v>3.7</v>
      </c>
      <c r="H748" t="n">
        <v>0</v>
      </c>
      <c r="I748" t="n">
        <v>0</v>
      </c>
      <c r="J748" t="n">
        <v>0</v>
      </c>
      <c r="K748" t="n">
        <v>0</v>
      </c>
      <c r="L748" t="n">
        <v>0</v>
      </c>
      <c r="M748" t="n">
        <v>0</v>
      </c>
      <c r="N748" t="n">
        <v>0</v>
      </c>
      <c r="O748" t="n">
        <v>0</v>
      </c>
      <c r="P748" t="n">
        <v>0</v>
      </c>
      <c r="Q748" t="n">
        <v>0</v>
      </c>
      <c r="R748" s="2" t="inlineStr"/>
    </row>
    <row r="749" ht="15" customHeight="1">
      <c r="A749" t="inlineStr">
        <is>
          <t>A 61135-2023</t>
        </is>
      </c>
      <c r="B749" s="1" t="n">
        <v>45261</v>
      </c>
      <c r="C749" s="1" t="n">
        <v>45791</v>
      </c>
      <c r="D749" t="inlineStr">
        <is>
          <t>JÄMTLANDS LÄN</t>
        </is>
      </c>
      <c r="E749" t="inlineStr">
        <is>
          <t>ÖSTERSUND</t>
        </is>
      </c>
      <c r="G749" t="n">
        <v>7.3</v>
      </c>
      <c r="H749" t="n">
        <v>0</v>
      </c>
      <c r="I749" t="n">
        <v>0</v>
      </c>
      <c r="J749" t="n">
        <v>0</v>
      </c>
      <c r="K749" t="n">
        <v>0</v>
      </c>
      <c r="L749" t="n">
        <v>0</v>
      </c>
      <c r="M749" t="n">
        <v>0</v>
      </c>
      <c r="N749" t="n">
        <v>0</v>
      </c>
      <c r="O749" t="n">
        <v>0</v>
      </c>
      <c r="P749" t="n">
        <v>0</v>
      </c>
      <c r="Q749" t="n">
        <v>0</v>
      </c>
      <c r="R749" s="2" t="inlineStr"/>
    </row>
    <row r="750" ht="15" customHeight="1">
      <c r="A750" t="inlineStr">
        <is>
          <t>A 61535-2023</t>
        </is>
      </c>
      <c r="B750" s="1" t="n">
        <v>45261</v>
      </c>
      <c r="C750" s="1" t="n">
        <v>45791</v>
      </c>
      <c r="D750" t="inlineStr">
        <is>
          <t>JÄMTLANDS LÄN</t>
        </is>
      </c>
      <c r="E750" t="inlineStr">
        <is>
          <t>ÖSTERSUND</t>
        </is>
      </c>
      <c r="F750" t="inlineStr">
        <is>
          <t>Övriga statliga verk och myndigheter</t>
        </is>
      </c>
      <c r="G750" t="n">
        <v>2.6</v>
      </c>
      <c r="H750" t="n">
        <v>0</v>
      </c>
      <c r="I750" t="n">
        <v>0</v>
      </c>
      <c r="J750" t="n">
        <v>0</v>
      </c>
      <c r="K750" t="n">
        <v>0</v>
      </c>
      <c r="L750" t="n">
        <v>0</v>
      </c>
      <c r="M750" t="n">
        <v>0</v>
      </c>
      <c r="N750" t="n">
        <v>0</v>
      </c>
      <c r="O750" t="n">
        <v>0</v>
      </c>
      <c r="P750" t="n">
        <v>0</v>
      </c>
      <c r="Q750" t="n">
        <v>0</v>
      </c>
      <c r="R750" s="2" t="inlineStr"/>
    </row>
    <row r="751" ht="15" customHeight="1">
      <c r="A751" t="inlineStr">
        <is>
          <t>A 61530-2023</t>
        </is>
      </c>
      <c r="B751" s="1" t="n">
        <v>45261</v>
      </c>
      <c r="C751" s="1" t="n">
        <v>45791</v>
      </c>
      <c r="D751" t="inlineStr">
        <is>
          <t>JÄMTLANDS LÄN</t>
        </is>
      </c>
      <c r="E751" t="inlineStr">
        <is>
          <t>ÖSTERSUND</t>
        </is>
      </c>
      <c r="F751" t="inlineStr">
        <is>
          <t>Övriga statliga verk och myndigheter</t>
        </is>
      </c>
      <c r="G751" t="n">
        <v>1</v>
      </c>
      <c r="H751" t="n">
        <v>0</v>
      </c>
      <c r="I751" t="n">
        <v>0</v>
      </c>
      <c r="J751" t="n">
        <v>0</v>
      </c>
      <c r="K751" t="n">
        <v>0</v>
      </c>
      <c r="L751" t="n">
        <v>0</v>
      </c>
      <c r="M751" t="n">
        <v>0</v>
      </c>
      <c r="N751" t="n">
        <v>0</v>
      </c>
      <c r="O751" t="n">
        <v>0</v>
      </c>
      <c r="P751" t="n">
        <v>0</v>
      </c>
      <c r="Q751" t="n">
        <v>0</v>
      </c>
      <c r="R751" s="2" t="inlineStr"/>
    </row>
    <row r="752" ht="15" customHeight="1">
      <c r="A752" t="inlineStr">
        <is>
          <t>A 61635-2023</t>
        </is>
      </c>
      <c r="B752" s="1" t="n">
        <v>45261</v>
      </c>
      <c r="C752" s="1" t="n">
        <v>45791</v>
      </c>
      <c r="D752" t="inlineStr">
        <is>
          <t>JÄMTLANDS LÄN</t>
        </is>
      </c>
      <c r="E752" t="inlineStr">
        <is>
          <t>ÖSTERSUND</t>
        </is>
      </c>
      <c r="G752" t="n">
        <v>2.2</v>
      </c>
      <c r="H752" t="n">
        <v>0</v>
      </c>
      <c r="I752" t="n">
        <v>0</v>
      </c>
      <c r="J752" t="n">
        <v>0</v>
      </c>
      <c r="K752" t="n">
        <v>0</v>
      </c>
      <c r="L752" t="n">
        <v>0</v>
      </c>
      <c r="M752" t="n">
        <v>0</v>
      </c>
      <c r="N752" t="n">
        <v>0</v>
      </c>
      <c r="O752" t="n">
        <v>0</v>
      </c>
      <c r="P752" t="n">
        <v>0</v>
      </c>
      <c r="Q752" t="n">
        <v>0</v>
      </c>
      <c r="R752" s="2" t="inlineStr"/>
    </row>
    <row r="753" ht="15" customHeight="1">
      <c r="A753" t="inlineStr">
        <is>
          <t>A 61506-2023</t>
        </is>
      </c>
      <c r="B753" s="1" t="n">
        <v>45264</v>
      </c>
      <c r="C753" s="1" t="n">
        <v>45791</v>
      </c>
      <c r="D753" t="inlineStr">
        <is>
          <t>JÄMTLANDS LÄN</t>
        </is>
      </c>
      <c r="E753" t="inlineStr">
        <is>
          <t>ÖSTERSUND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61499-2023</t>
        </is>
      </c>
      <c r="B754" s="1" t="n">
        <v>45264</v>
      </c>
      <c r="C754" s="1" t="n">
        <v>45791</v>
      </c>
      <c r="D754" t="inlineStr">
        <is>
          <t>JÄMTLANDS LÄN</t>
        </is>
      </c>
      <c r="E754" t="inlineStr">
        <is>
          <t>ÖSTERSUND</t>
        </is>
      </c>
      <c r="F754" t="inlineStr">
        <is>
          <t>SCA</t>
        </is>
      </c>
      <c r="G754" t="n">
        <v>7</v>
      </c>
      <c r="H754" t="n">
        <v>0</v>
      </c>
      <c r="I754" t="n">
        <v>0</v>
      </c>
      <c r="J754" t="n">
        <v>0</v>
      </c>
      <c r="K754" t="n">
        <v>0</v>
      </c>
      <c r="L754" t="n">
        <v>0</v>
      </c>
      <c r="M754" t="n">
        <v>0</v>
      </c>
      <c r="N754" t="n">
        <v>0</v>
      </c>
      <c r="O754" t="n">
        <v>0</v>
      </c>
      <c r="P754" t="n">
        <v>0</v>
      </c>
      <c r="Q754" t="n">
        <v>0</v>
      </c>
      <c r="R754" s="2" t="inlineStr"/>
    </row>
    <row r="755" ht="15" customHeight="1">
      <c r="A755" t="inlineStr">
        <is>
          <t>A 62052-2023</t>
        </is>
      </c>
      <c r="B755" s="1" t="n">
        <v>45265</v>
      </c>
      <c r="C755" s="1" t="n">
        <v>45791</v>
      </c>
      <c r="D755" t="inlineStr">
        <is>
          <t>JÄMTLANDS LÄN</t>
        </is>
      </c>
      <c r="E755" t="inlineStr">
        <is>
          <t>ÖSTERSUND</t>
        </is>
      </c>
      <c r="G755" t="n">
        <v>3.3</v>
      </c>
      <c r="H755" t="n">
        <v>0</v>
      </c>
      <c r="I755" t="n">
        <v>0</v>
      </c>
      <c r="J755" t="n">
        <v>0</v>
      </c>
      <c r="K755" t="n">
        <v>0</v>
      </c>
      <c r="L755" t="n">
        <v>0</v>
      </c>
      <c r="M755" t="n">
        <v>0</v>
      </c>
      <c r="N755" t="n">
        <v>0</v>
      </c>
      <c r="O755" t="n">
        <v>0</v>
      </c>
      <c r="P755" t="n">
        <v>0</v>
      </c>
      <c r="Q755" t="n">
        <v>0</v>
      </c>
      <c r="R755" s="2" t="inlineStr"/>
    </row>
    <row r="756" ht="15" customHeight="1">
      <c r="A756" t="inlineStr">
        <is>
          <t>A 61791-2023</t>
        </is>
      </c>
      <c r="B756" s="1" t="n">
        <v>45265</v>
      </c>
      <c r="C756" s="1" t="n">
        <v>45791</v>
      </c>
      <c r="D756" t="inlineStr">
        <is>
          <t>JÄMTLANDS LÄN</t>
        </is>
      </c>
      <c r="E756" t="inlineStr">
        <is>
          <t>ÖSTERSUND</t>
        </is>
      </c>
      <c r="F756" t="inlineStr">
        <is>
          <t>SCA</t>
        </is>
      </c>
      <c r="G756" t="n">
        <v>11.4</v>
      </c>
      <c r="H756" t="n">
        <v>0</v>
      </c>
      <c r="I756" t="n">
        <v>0</v>
      </c>
      <c r="J756" t="n">
        <v>0</v>
      </c>
      <c r="K756" t="n">
        <v>0</v>
      </c>
      <c r="L756" t="n">
        <v>0</v>
      </c>
      <c r="M756" t="n">
        <v>0</v>
      </c>
      <c r="N756" t="n">
        <v>0</v>
      </c>
      <c r="O756" t="n">
        <v>0</v>
      </c>
      <c r="P756" t="n">
        <v>0</v>
      </c>
      <c r="Q756" t="n">
        <v>0</v>
      </c>
      <c r="R756" s="2" t="inlineStr"/>
    </row>
    <row r="757" ht="15" customHeight="1">
      <c r="A757" t="inlineStr">
        <is>
          <t>A 62835-2023</t>
        </is>
      </c>
      <c r="B757" s="1" t="n">
        <v>45271</v>
      </c>
      <c r="C757" s="1" t="n">
        <v>45791</v>
      </c>
      <c r="D757" t="inlineStr">
        <is>
          <t>JÄMTLANDS LÄN</t>
        </is>
      </c>
      <c r="E757" t="inlineStr">
        <is>
          <t>ÖSTERSUND</t>
        </is>
      </c>
      <c r="F757" t="inlineStr">
        <is>
          <t>SCA</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62834-2023</t>
        </is>
      </c>
      <c r="B758" s="1" t="n">
        <v>45271</v>
      </c>
      <c r="C758" s="1" t="n">
        <v>45791</v>
      </c>
      <c r="D758" t="inlineStr">
        <is>
          <t>JÄMTLANDS LÄN</t>
        </is>
      </c>
      <c r="E758" t="inlineStr">
        <is>
          <t>ÖSTERSUND</t>
        </is>
      </c>
      <c r="F758" t="inlineStr">
        <is>
          <t>SCA</t>
        </is>
      </c>
      <c r="G758" t="n">
        <v>12.2</v>
      </c>
      <c r="H758" t="n">
        <v>0</v>
      </c>
      <c r="I758" t="n">
        <v>0</v>
      </c>
      <c r="J758" t="n">
        <v>0</v>
      </c>
      <c r="K758" t="n">
        <v>0</v>
      </c>
      <c r="L758" t="n">
        <v>0</v>
      </c>
      <c r="M758" t="n">
        <v>0</v>
      </c>
      <c r="N758" t="n">
        <v>0</v>
      </c>
      <c r="O758" t="n">
        <v>0</v>
      </c>
      <c r="P758" t="n">
        <v>0</v>
      </c>
      <c r="Q758" t="n">
        <v>0</v>
      </c>
      <c r="R758" s="2" t="inlineStr"/>
    </row>
    <row r="759" ht="15" customHeight="1">
      <c r="A759" t="inlineStr">
        <is>
          <t>A 63086-2023</t>
        </is>
      </c>
      <c r="B759" s="1" t="n">
        <v>45272</v>
      </c>
      <c r="C759" s="1" t="n">
        <v>45791</v>
      </c>
      <c r="D759" t="inlineStr">
        <is>
          <t>JÄMTLANDS LÄN</t>
        </is>
      </c>
      <c r="E759" t="inlineStr">
        <is>
          <t>ÖSTERSUND</t>
        </is>
      </c>
      <c r="F759" t="inlineStr">
        <is>
          <t>Övriga statliga verk och myndigheter</t>
        </is>
      </c>
      <c r="G759" t="n">
        <v>2.9</v>
      </c>
      <c r="H759" t="n">
        <v>0</v>
      </c>
      <c r="I759" t="n">
        <v>0</v>
      </c>
      <c r="J759" t="n">
        <v>0</v>
      </c>
      <c r="K759" t="n">
        <v>0</v>
      </c>
      <c r="L759" t="n">
        <v>0</v>
      </c>
      <c r="M759" t="n">
        <v>0</v>
      </c>
      <c r="N759" t="n">
        <v>0</v>
      </c>
      <c r="O759" t="n">
        <v>0</v>
      </c>
      <c r="P759" t="n">
        <v>0</v>
      </c>
      <c r="Q759" t="n">
        <v>0</v>
      </c>
      <c r="R759" s="2" t="inlineStr"/>
    </row>
    <row r="760" ht="15" customHeight="1">
      <c r="A760" t="inlineStr">
        <is>
          <t>A 63101-2023</t>
        </is>
      </c>
      <c r="B760" s="1" t="n">
        <v>45273</v>
      </c>
      <c r="C760" s="1" t="n">
        <v>45791</v>
      </c>
      <c r="D760" t="inlineStr">
        <is>
          <t>JÄMTLANDS LÄN</t>
        </is>
      </c>
      <c r="E760" t="inlineStr">
        <is>
          <t>ÖSTERSUND</t>
        </is>
      </c>
      <c r="G760" t="n">
        <v>2.1</v>
      </c>
      <c r="H760" t="n">
        <v>0</v>
      </c>
      <c r="I760" t="n">
        <v>0</v>
      </c>
      <c r="J760" t="n">
        <v>0</v>
      </c>
      <c r="K760" t="n">
        <v>0</v>
      </c>
      <c r="L760" t="n">
        <v>0</v>
      </c>
      <c r="M760" t="n">
        <v>0</v>
      </c>
      <c r="N760" t="n">
        <v>0</v>
      </c>
      <c r="O760" t="n">
        <v>0</v>
      </c>
      <c r="P760" t="n">
        <v>0</v>
      </c>
      <c r="Q760" t="n">
        <v>0</v>
      </c>
      <c r="R760" s="2" t="inlineStr"/>
    </row>
    <row r="761" ht="15" customHeight="1">
      <c r="A761" t="inlineStr">
        <is>
          <t>A 63099-2023</t>
        </is>
      </c>
      <c r="B761" s="1" t="n">
        <v>45273</v>
      </c>
      <c r="C761" s="1" t="n">
        <v>45791</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63320-2023</t>
        </is>
      </c>
      <c r="B762" s="1" t="n">
        <v>45273</v>
      </c>
      <c r="C762" s="1" t="n">
        <v>45791</v>
      </c>
      <c r="D762" t="inlineStr">
        <is>
          <t>JÄMTLANDS LÄN</t>
        </is>
      </c>
      <c r="E762" t="inlineStr">
        <is>
          <t>ÖSTERSUND</t>
        </is>
      </c>
      <c r="G762" t="n">
        <v>11.3</v>
      </c>
      <c r="H762" t="n">
        <v>0</v>
      </c>
      <c r="I762" t="n">
        <v>0</v>
      </c>
      <c r="J762" t="n">
        <v>0</v>
      </c>
      <c r="K762" t="n">
        <v>0</v>
      </c>
      <c r="L762" t="n">
        <v>0</v>
      </c>
      <c r="M762" t="n">
        <v>0</v>
      </c>
      <c r="N762" t="n">
        <v>0</v>
      </c>
      <c r="O762" t="n">
        <v>0</v>
      </c>
      <c r="P762" t="n">
        <v>0</v>
      </c>
      <c r="Q762" t="n">
        <v>0</v>
      </c>
      <c r="R762" s="2" t="inlineStr"/>
    </row>
    <row r="763" ht="15" customHeight="1">
      <c r="A763" t="inlineStr">
        <is>
          <t>A 63739-2023</t>
        </is>
      </c>
      <c r="B763" s="1" t="n">
        <v>45277</v>
      </c>
      <c r="C763" s="1" t="n">
        <v>45791</v>
      </c>
      <c r="D763" t="inlineStr">
        <is>
          <t>JÄMTLANDS LÄN</t>
        </is>
      </c>
      <c r="E763" t="inlineStr">
        <is>
          <t>ÖSTERSUND</t>
        </is>
      </c>
      <c r="G763" t="n">
        <v>5.1</v>
      </c>
      <c r="H763" t="n">
        <v>0</v>
      </c>
      <c r="I763" t="n">
        <v>0</v>
      </c>
      <c r="J763" t="n">
        <v>0</v>
      </c>
      <c r="K763" t="n">
        <v>0</v>
      </c>
      <c r="L763" t="n">
        <v>0</v>
      </c>
      <c r="M763" t="n">
        <v>0</v>
      </c>
      <c r="N763" t="n">
        <v>0</v>
      </c>
      <c r="O763" t="n">
        <v>0</v>
      </c>
      <c r="P763" t="n">
        <v>0</v>
      </c>
      <c r="Q763" t="n">
        <v>0</v>
      </c>
      <c r="R763" s="2" t="inlineStr"/>
    </row>
    <row r="764" ht="15" customHeight="1">
      <c r="A764" t="inlineStr">
        <is>
          <t>A 63740-2023</t>
        </is>
      </c>
      <c r="B764" s="1" t="n">
        <v>45277</v>
      </c>
      <c r="C764" s="1" t="n">
        <v>45791</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64233-2023</t>
        </is>
      </c>
      <c r="B765" s="1" t="n">
        <v>45279</v>
      </c>
      <c r="C765" s="1" t="n">
        <v>45791</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64267-2023</t>
        </is>
      </c>
      <c r="B766" s="1" t="n">
        <v>45279</v>
      </c>
      <c r="C766" s="1" t="n">
        <v>45791</v>
      </c>
      <c r="D766" t="inlineStr">
        <is>
          <t>JÄMTLANDS LÄN</t>
        </is>
      </c>
      <c r="E766" t="inlineStr">
        <is>
          <t>ÖSTERSUND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64314-2023</t>
        </is>
      </c>
      <c r="B767" s="1" t="n">
        <v>45280</v>
      </c>
      <c r="C767" s="1" t="n">
        <v>45791</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64309-2023</t>
        </is>
      </c>
      <c r="B768" s="1" t="n">
        <v>45280</v>
      </c>
      <c r="C768" s="1" t="n">
        <v>45791</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64811-2023</t>
        </is>
      </c>
      <c r="B769" s="1" t="n">
        <v>45281</v>
      </c>
      <c r="C769" s="1" t="n">
        <v>45791</v>
      </c>
      <c r="D769" t="inlineStr">
        <is>
          <t>JÄMTLANDS LÄN</t>
        </is>
      </c>
      <c r="E769" t="inlineStr">
        <is>
          <t>ÖSTERSUND</t>
        </is>
      </c>
      <c r="G769" t="n">
        <v>7.6</v>
      </c>
      <c r="H769" t="n">
        <v>0</v>
      </c>
      <c r="I769" t="n">
        <v>0</v>
      </c>
      <c r="J769" t="n">
        <v>0</v>
      </c>
      <c r="K769" t="n">
        <v>0</v>
      </c>
      <c r="L769" t="n">
        <v>0</v>
      </c>
      <c r="M769" t="n">
        <v>0</v>
      </c>
      <c r="N769" t="n">
        <v>0</v>
      </c>
      <c r="O769" t="n">
        <v>0</v>
      </c>
      <c r="P769" t="n">
        <v>0</v>
      </c>
      <c r="Q769" t="n">
        <v>0</v>
      </c>
      <c r="R769" s="2" t="inlineStr"/>
    </row>
    <row r="770" ht="15" customHeight="1">
      <c r="A770" t="inlineStr">
        <is>
          <t>A 64954-2023</t>
        </is>
      </c>
      <c r="B770" s="1" t="n">
        <v>45282</v>
      </c>
      <c r="C770" s="1" t="n">
        <v>45791</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64953-2023</t>
        </is>
      </c>
      <c r="B771" s="1" t="n">
        <v>45282</v>
      </c>
      <c r="C771" s="1" t="n">
        <v>45791</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440-2024</t>
        </is>
      </c>
      <c r="B772" s="1" t="n">
        <v>45296</v>
      </c>
      <c r="C772" s="1" t="n">
        <v>45791</v>
      </c>
      <c r="D772" t="inlineStr">
        <is>
          <t>JÄMTLANDS LÄN</t>
        </is>
      </c>
      <c r="E772" t="inlineStr">
        <is>
          <t>ÖSTERSUND</t>
        </is>
      </c>
      <c r="F772" t="inlineStr">
        <is>
          <t>Kommuner</t>
        </is>
      </c>
      <c r="G772" t="n">
        <v>10.1</v>
      </c>
      <c r="H772" t="n">
        <v>0</v>
      </c>
      <c r="I772" t="n">
        <v>0</v>
      </c>
      <c r="J772" t="n">
        <v>0</v>
      </c>
      <c r="K772" t="n">
        <v>0</v>
      </c>
      <c r="L772" t="n">
        <v>0</v>
      </c>
      <c r="M772" t="n">
        <v>0</v>
      </c>
      <c r="N772" t="n">
        <v>0</v>
      </c>
      <c r="O772" t="n">
        <v>0</v>
      </c>
      <c r="P772" t="n">
        <v>0</v>
      </c>
      <c r="Q772" t="n">
        <v>0</v>
      </c>
      <c r="R772" s="2" t="inlineStr"/>
    </row>
    <row r="773" ht="15" customHeight="1">
      <c r="A773" t="inlineStr">
        <is>
          <t>A 484-2024</t>
        </is>
      </c>
      <c r="B773" s="1" t="n">
        <v>45298</v>
      </c>
      <c r="C773" s="1" t="n">
        <v>45791</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485-2024</t>
        </is>
      </c>
      <c r="B774" s="1" t="n">
        <v>45298</v>
      </c>
      <c r="C774" s="1" t="n">
        <v>45791</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846-2024</t>
        </is>
      </c>
      <c r="B775" s="1" t="n">
        <v>45300</v>
      </c>
      <c r="C775" s="1" t="n">
        <v>45791</v>
      </c>
      <c r="D775" t="inlineStr">
        <is>
          <t>JÄMTLANDS LÄN</t>
        </is>
      </c>
      <c r="E775" t="inlineStr">
        <is>
          <t>ÖSTERSUND</t>
        </is>
      </c>
      <c r="G775" t="n">
        <v>2.8</v>
      </c>
      <c r="H775" t="n">
        <v>0</v>
      </c>
      <c r="I775" t="n">
        <v>0</v>
      </c>
      <c r="J775" t="n">
        <v>0</v>
      </c>
      <c r="K775" t="n">
        <v>0</v>
      </c>
      <c r="L775" t="n">
        <v>0</v>
      </c>
      <c r="M775" t="n">
        <v>0</v>
      </c>
      <c r="N775" t="n">
        <v>0</v>
      </c>
      <c r="O775" t="n">
        <v>0</v>
      </c>
      <c r="P775" t="n">
        <v>0</v>
      </c>
      <c r="Q775" t="n">
        <v>0</v>
      </c>
      <c r="R775" s="2" t="inlineStr"/>
    </row>
    <row r="776" ht="15" customHeight="1">
      <c r="A776" t="inlineStr">
        <is>
          <t>A 748-2024</t>
        </is>
      </c>
      <c r="B776" s="1" t="n">
        <v>45300</v>
      </c>
      <c r="C776" s="1" t="n">
        <v>45791</v>
      </c>
      <c r="D776" t="inlineStr">
        <is>
          <t>JÄMTLANDS LÄN</t>
        </is>
      </c>
      <c r="E776" t="inlineStr">
        <is>
          <t>ÖSTERSUND</t>
        </is>
      </c>
      <c r="G776" t="n">
        <v>3.3</v>
      </c>
      <c r="H776" t="n">
        <v>0</v>
      </c>
      <c r="I776" t="n">
        <v>0</v>
      </c>
      <c r="J776" t="n">
        <v>0</v>
      </c>
      <c r="K776" t="n">
        <v>0</v>
      </c>
      <c r="L776" t="n">
        <v>0</v>
      </c>
      <c r="M776" t="n">
        <v>0</v>
      </c>
      <c r="N776" t="n">
        <v>0</v>
      </c>
      <c r="O776" t="n">
        <v>0</v>
      </c>
      <c r="P776" t="n">
        <v>0</v>
      </c>
      <c r="Q776" t="n">
        <v>0</v>
      </c>
      <c r="R776" s="2" t="inlineStr"/>
    </row>
    <row r="777" ht="15" customHeight="1">
      <c r="A777" t="inlineStr">
        <is>
          <t>A 1159-2024</t>
        </is>
      </c>
      <c r="B777" s="1" t="n">
        <v>45302</v>
      </c>
      <c r="C777" s="1" t="n">
        <v>45791</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1669-2024</t>
        </is>
      </c>
      <c r="B778" s="1" t="n">
        <v>45306</v>
      </c>
      <c r="C778" s="1" t="n">
        <v>45791</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1670-2024</t>
        </is>
      </c>
      <c r="B779" s="1" t="n">
        <v>45306</v>
      </c>
      <c r="C779" s="1" t="n">
        <v>45791</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1873-2024</t>
        </is>
      </c>
      <c r="B780" s="1" t="n">
        <v>45307</v>
      </c>
      <c r="C780" s="1" t="n">
        <v>45791</v>
      </c>
      <c r="D780" t="inlineStr">
        <is>
          <t>JÄMTLANDS LÄN</t>
        </is>
      </c>
      <c r="E780" t="inlineStr">
        <is>
          <t>ÖSTERSUND</t>
        </is>
      </c>
      <c r="G780" t="n">
        <v>4.3</v>
      </c>
      <c r="H780" t="n">
        <v>0</v>
      </c>
      <c r="I780" t="n">
        <v>0</v>
      </c>
      <c r="J780" t="n">
        <v>0</v>
      </c>
      <c r="K780" t="n">
        <v>0</v>
      </c>
      <c r="L780" t="n">
        <v>0</v>
      </c>
      <c r="M780" t="n">
        <v>0</v>
      </c>
      <c r="N780" t="n">
        <v>0</v>
      </c>
      <c r="O780" t="n">
        <v>0</v>
      </c>
      <c r="P780" t="n">
        <v>0</v>
      </c>
      <c r="Q780" t="n">
        <v>0</v>
      </c>
      <c r="R780" s="2" t="inlineStr"/>
    </row>
    <row r="781" ht="15" customHeight="1">
      <c r="A781" t="inlineStr">
        <is>
          <t>A 2228-2024</t>
        </is>
      </c>
      <c r="B781" s="1" t="n">
        <v>45309</v>
      </c>
      <c r="C781" s="1" t="n">
        <v>45791</v>
      </c>
      <c r="D781" t="inlineStr">
        <is>
          <t>JÄMTLANDS LÄN</t>
        </is>
      </c>
      <c r="E781" t="inlineStr">
        <is>
          <t>ÖSTERSUND</t>
        </is>
      </c>
      <c r="G781" t="n">
        <v>2.5</v>
      </c>
      <c r="H781" t="n">
        <v>0</v>
      </c>
      <c r="I781" t="n">
        <v>0</v>
      </c>
      <c r="J781" t="n">
        <v>0</v>
      </c>
      <c r="K781" t="n">
        <v>0</v>
      </c>
      <c r="L781" t="n">
        <v>0</v>
      </c>
      <c r="M781" t="n">
        <v>0</v>
      </c>
      <c r="N781" t="n">
        <v>0</v>
      </c>
      <c r="O781" t="n">
        <v>0</v>
      </c>
      <c r="P781" t="n">
        <v>0</v>
      </c>
      <c r="Q781" t="n">
        <v>0</v>
      </c>
      <c r="R781" s="2" t="inlineStr"/>
    </row>
    <row r="782" ht="15" customHeight="1">
      <c r="A782" t="inlineStr">
        <is>
          <t>A 2615-2024</t>
        </is>
      </c>
      <c r="B782" s="1" t="n">
        <v>45313</v>
      </c>
      <c r="C782" s="1" t="n">
        <v>45791</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2627-2024</t>
        </is>
      </c>
      <c r="B783" s="1" t="n">
        <v>45313</v>
      </c>
      <c r="C783" s="1" t="n">
        <v>45791</v>
      </c>
      <c r="D783" t="inlineStr">
        <is>
          <t>JÄMTLANDS LÄN</t>
        </is>
      </c>
      <c r="E783" t="inlineStr">
        <is>
          <t>ÖSTERSUND</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2756-2024</t>
        </is>
      </c>
      <c r="B784" s="1" t="n">
        <v>45314</v>
      </c>
      <c r="C784" s="1" t="n">
        <v>45791</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2984-2024</t>
        </is>
      </c>
      <c r="B785" s="1" t="n">
        <v>45315</v>
      </c>
      <c r="C785" s="1" t="n">
        <v>45791</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2978-2024</t>
        </is>
      </c>
      <c r="B786" s="1" t="n">
        <v>45315</v>
      </c>
      <c r="C786" s="1" t="n">
        <v>45791</v>
      </c>
      <c r="D786" t="inlineStr">
        <is>
          <t>JÄMTLANDS LÄN</t>
        </is>
      </c>
      <c r="E786" t="inlineStr">
        <is>
          <t>ÖSTERSUND</t>
        </is>
      </c>
      <c r="G786" t="n">
        <v>1.7</v>
      </c>
      <c r="H786" t="n">
        <v>0</v>
      </c>
      <c r="I786" t="n">
        <v>0</v>
      </c>
      <c r="J786" t="n">
        <v>0</v>
      </c>
      <c r="K786" t="n">
        <v>0</v>
      </c>
      <c r="L786" t="n">
        <v>0</v>
      </c>
      <c r="M786" t="n">
        <v>0</v>
      </c>
      <c r="N786" t="n">
        <v>0</v>
      </c>
      <c r="O786" t="n">
        <v>0</v>
      </c>
      <c r="P786" t="n">
        <v>0</v>
      </c>
      <c r="Q786" t="n">
        <v>0</v>
      </c>
      <c r="R786" s="2" t="inlineStr"/>
    </row>
    <row r="787" ht="15" customHeight="1">
      <c r="A787" t="inlineStr">
        <is>
          <t>A 3186-2024</t>
        </is>
      </c>
      <c r="B787" s="1" t="n">
        <v>45316</v>
      </c>
      <c r="C787" s="1" t="n">
        <v>45791</v>
      </c>
      <c r="D787" t="inlineStr">
        <is>
          <t>JÄMTLANDS LÄN</t>
        </is>
      </c>
      <c r="E787" t="inlineStr">
        <is>
          <t>ÖSTERSUND</t>
        </is>
      </c>
      <c r="G787" t="n">
        <v>5.1</v>
      </c>
      <c r="H787" t="n">
        <v>0</v>
      </c>
      <c r="I787" t="n">
        <v>0</v>
      </c>
      <c r="J787" t="n">
        <v>0</v>
      </c>
      <c r="K787" t="n">
        <v>0</v>
      </c>
      <c r="L787" t="n">
        <v>0</v>
      </c>
      <c r="M787" t="n">
        <v>0</v>
      </c>
      <c r="N787" t="n">
        <v>0</v>
      </c>
      <c r="O787" t="n">
        <v>0</v>
      </c>
      <c r="P787" t="n">
        <v>0</v>
      </c>
      <c r="Q787" t="n">
        <v>0</v>
      </c>
      <c r="R787" s="2" t="inlineStr"/>
    </row>
    <row r="788" ht="15" customHeight="1">
      <c r="A788" t="inlineStr">
        <is>
          <t>A 3230-2024</t>
        </is>
      </c>
      <c r="B788" s="1" t="n">
        <v>45316</v>
      </c>
      <c r="C788" s="1" t="n">
        <v>45791</v>
      </c>
      <c r="D788" t="inlineStr">
        <is>
          <t>JÄMTLANDS LÄN</t>
        </is>
      </c>
      <c r="E788" t="inlineStr">
        <is>
          <t>ÖSTERSUND</t>
        </is>
      </c>
      <c r="G788" t="n">
        <v>4.4</v>
      </c>
      <c r="H788" t="n">
        <v>0</v>
      </c>
      <c r="I788" t="n">
        <v>0</v>
      </c>
      <c r="J788" t="n">
        <v>0</v>
      </c>
      <c r="K788" t="n">
        <v>0</v>
      </c>
      <c r="L788" t="n">
        <v>0</v>
      </c>
      <c r="M788" t="n">
        <v>0</v>
      </c>
      <c r="N788" t="n">
        <v>0</v>
      </c>
      <c r="O788" t="n">
        <v>0</v>
      </c>
      <c r="P788" t="n">
        <v>0</v>
      </c>
      <c r="Q788" t="n">
        <v>0</v>
      </c>
      <c r="R788" s="2" t="inlineStr"/>
    </row>
    <row r="789" ht="15" customHeight="1">
      <c r="A789" t="inlineStr">
        <is>
          <t>A 3270-2024</t>
        </is>
      </c>
      <c r="B789" s="1" t="n">
        <v>45316</v>
      </c>
      <c r="C789" s="1" t="n">
        <v>45791</v>
      </c>
      <c r="D789" t="inlineStr">
        <is>
          <t>JÄMTLANDS LÄN</t>
        </is>
      </c>
      <c r="E789" t="inlineStr">
        <is>
          <t>ÖSTERSUND</t>
        </is>
      </c>
      <c r="G789" t="n">
        <v>7.5</v>
      </c>
      <c r="H789" t="n">
        <v>0</v>
      </c>
      <c r="I789" t="n">
        <v>0</v>
      </c>
      <c r="J789" t="n">
        <v>0</v>
      </c>
      <c r="K789" t="n">
        <v>0</v>
      </c>
      <c r="L789" t="n">
        <v>0</v>
      </c>
      <c r="M789" t="n">
        <v>0</v>
      </c>
      <c r="N789" t="n">
        <v>0</v>
      </c>
      <c r="O789" t="n">
        <v>0</v>
      </c>
      <c r="P789" t="n">
        <v>0</v>
      </c>
      <c r="Q789" t="n">
        <v>0</v>
      </c>
      <c r="R789" s="2" t="inlineStr"/>
    </row>
    <row r="790" ht="15" customHeight="1">
      <c r="A790" t="inlineStr">
        <is>
          <t>A 3610-2024</t>
        </is>
      </c>
      <c r="B790" s="1" t="n">
        <v>45320</v>
      </c>
      <c r="C790" s="1" t="n">
        <v>45791</v>
      </c>
      <c r="D790" t="inlineStr">
        <is>
          <t>JÄMTLANDS LÄN</t>
        </is>
      </c>
      <c r="E790" t="inlineStr">
        <is>
          <t>ÖSTERSUND</t>
        </is>
      </c>
      <c r="G790" t="n">
        <v>6.2</v>
      </c>
      <c r="H790" t="n">
        <v>0</v>
      </c>
      <c r="I790" t="n">
        <v>0</v>
      </c>
      <c r="J790" t="n">
        <v>0</v>
      </c>
      <c r="K790" t="n">
        <v>0</v>
      </c>
      <c r="L790" t="n">
        <v>0</v>
      </c>
      <c r="M790" t="n">
        <v>0</v>
      </c>
      <c r="N790" t="n">
        <v>0</v>
      </c>
      <c r="O790" t="n">
        <v>0</v>
      </c>
      <c r="P790" t="n">
        <v>0</v>
      </c>
      <c r="Q790" t="n">
        <v>0</v>
      </c>
      <c r="R790" s="2" t="inlineStr"/>
    </row>
    <row r="791" ht="15" customHeight="1">
      <c r="A791" t="inlineStr">
        <is>
          <t>A 3844-2024</t>
        </is>
      </c>
      <c r="B791" s="1" t="n">
        <v>45321</v>
      </c>
      <c r="C791" s="1" t="n">
        <v>45791</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4176-2024</t>
        </is>
      </c>
      <c r="B792" s="1" t="n">
        <v>45323</v>
      </c>
      <c r="C792" s="1" t="n">
        <v>45791</v>
      </c>
      <c r="D792" t="inlineStr">
        <is>
          <t>JÄMTLANDS LÄN</t>
        </is>
      </c>
      <c r="E792" t="inlineStr">
        <is>
          <t>ÖSTERSUND</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4350-2024</t>
        </is>
      </c>
      <c r="B793" s="1" t="n">
        <v>45324</v>
      </c>
      <c r="C793" s="1" t="n">
        <v>45791</v>
      </c>
      <c r="D793" t="inlineStr">
        <is>
          <t>JÄMTLANDS LÄN</t>
        </is>
      </c>
      <c r="E793" t="inlineStr">
        <is>
          <t>ÖSTERSUND</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4707-2024</t>
        </is>
      </c>
      <c r="B794" s="1" t="n">
        <v>45328</v>
      </c>
      <c r="C794" s="1" t="n">
        <v>45791</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5455-2024</t>
        </is>
      </c>
      <c r="B795" s="1" t="n">
        <v>45331</v>
      </c>
      <c r="C795" s="1" t="n">
        <v>45791</v>
      </c>
      <c r="D795" t="inlineStr">
        <is>
          <t>JÄMTLANDS LÄN</t>
        </is>
      </c>
      <c r="E795" t="inlineStr">
        <is>
          <t>ÖSTERSUND</t>
        </is>
      </c>
      <c r="G795" t="n">
        <v>4.8</v>
      </c>
      <c r="H795" t="n">
        <v>0</v>
      </c>
      <c r="I795" t="n">
        <v>0</v>
      </c>
      <c r="J795" t="n">
        <v>0</v>
      </c>
      <c r="K795" t="n">
        <v>0</v>
      </c>
      <c r="L795" t="n">
        <v>0</v>
      </c>
      <c r="M795" t="n">
        <v>0</v>
      </c>
      <c r="N795" t="n">
        <v>0</v>
      </c>
      <c r="O795" t="n">
        <v>0</v>
      </c>
      <c r="P795" t="n">
        <v>0</v>
      </c>
      <c r="Q795" t="n">
        <v>0</v>
      </c>
      <c r="R795" s="2" t="inlineStr"/>
    </row>
    <row r="796" ht="15" customHeight="1">
      <c r="A796" t="inlineStr">
        <is>
          <t>A 5920-2024</t>
        </is>
      </c>
      <c r="B796" s="1" t="n">
        <v>45335</v>
      </c>
      <c r="C796" s="1" t="n">
        <v>45791</v>
      </c>
      <c r="D796" t="inlineStr">
        <is>
          <t>JÄMTLANDS LÄN</t>
        </is>
      </c>
      <c r="E796" t="inlineStr">
        <is>
          <t>ÖSTERSUND</t>
        </is>
      </c>
      <c r="F796" t="inlineStr">
        <is>
          <t>SCA</t>
        </is>
      </c>
      <c r="G796" t="n">
        <v>17.8</v>
      </c>
      <c r="H796" t="n">
        <v>0</v>
      </c>
      <c r="I796" t="n">
        <v>0</v>
      </c>
      <c r="J796" t="n">
        <v>0</v>
      </c>
      <c r="K796" t="n">
        <v>0</v>
      </c>
      <c r="L796" t="n">
        <v>0</v>
      </c>
      <c r="M796" t="n">
        <v>0</v>
      </c>
      <c r="N796" t="n">
        <v>0</v>
      </c>
      <c r="O796" t="n">
        <v>0</v>
      </c>
      <c r="P796" t="n">
        <v>0</v>
      </c>
      <c r="Q796" t="n">
        <v>0</v>
      </c>
      <c r="R796" s="2" t="inlineStr"/>
    </row>
    <row r="797" ht="15" customHeight="1">
      <c r="A797" t="inlineStr">
        <is>
          <t>A 6048-2024</t>
        </is>
      </c>
      <c r="B797" s="1" t="n">
        <v>45336</v>
      </c>
      <c r="C797" s="1" t="n">
        <v>45791</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6056-2024</t>
        </is>
      </c>
      <c r="B798" s="1" t="n">
        <v>45336</v>
      </c>
      <c r="C798" s="1" t="n">
        <v>45791</v>
      </c>
      <c r="D798" t="inlineStr">
        <is>
          <t>JÄMTLANDS LÄN</t>
        </is>
      </c>
      <c r="E798" t="inlineStr">
        <is>
          <t>ÖSTERSUND</t>
        </is>
      </c>
      <c r="G798" t="n">
        <v>3.9</v>
      </c>
      <c r="H798" t="n">
        <v>0</v>
      </c>
      <c r="I798" t="n">
        <v>0</v>
      </c>
      <c r="J798" t="n">
        <v>0</v>
      </c>
      <c r="K798" t="n">
        <v>0</v>
      </c>
      <c r="L798" t="n">
        <v>0</v>
      </c>
      <c r="M798" t="n">
        <v>0</v>
      </c>
      <c r="N798" t="n">
        <v>0</v>
      </c>
      <c r="O798" t="n">
        <v>0</v>
      </c>
      <c r="P798" t="n">
        <v>0</v>
      </c>
      <c r="Q798" t="n">
        <v>0</v>
      </c>
      <c r="R798" s="2" t="inlineStr"/>
    </row>
    <row r="799" ht="15" customHeight="1">
      <c r="A799" t="inlineStr">
        <is>
          <t>A 6053-2024</t>
        </is>
      </c>
      <c r="B799" s="1" t="n">
        <v>45336</v>
      </c>
      <c r="C799" s="1" t="n">
        <v>45791</v>
      </c>
      <c r="D799" t="inlineStr">
        <is>
          <t>JÄMTLANDS LÄN</t>
        </is>
      </c>
      <c r="E799" t="inlineStr">
        <is>
          <t>ÖSTERSUND</t>
        </is>
      </c>
      <c r="G799" t="n">
        <v>1.4</v>
      </c>
      <c r="H799" t="n">
        <v>0</v>
      </c>
      <c r="I799" t="n">
        <v>0</v>
      </c>
      <c r="J799" t="n">
        <v>0</v>
      </c>
      <c r="K799" t="n">
        <v>0</v>
      </c>
      <c r="L799" t="n">
        <v>0</v>
      </c>
      <c r="M799" t="n">
        <v>0</v>
      </c>
      <c r="N799" t="n">
        <v>0</v>
      </c>
      <c r="O799" t="n">
        <v>0</v>
      </c>
      <c r="P799" t="n">
        <v>0</v>
      </c>
      <c r="Q799" t="n">
        <v>0</v>
      </c>
      <c r="R799" s="2" t="inlineStr"/>
    </row>
    <row r="800" ht="15" customHeight="1">
      <c r="A800" t="inlineStr">
        <is>
          <t>A 6351-2024</t>
        </is>
      </c>
      <c r="B800" s="1" t="n">
        <v>45338</v>
      </c>
      <c r="C800" s="1" t="n">
        <v>45791</v>
      </c>
      <c r="D800" t="inlineStr">
        <is>
          <t>JÄMTLANDS LÄN</t>
        </is>
      </c>
      <c r="E800" t="inlineStr">
        <is>
          <t>ÖSTERSUND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6353-2024</t>
        </is>
      </c>
      <c r="B801" s="1" t="n">
        <v>45338</v>
      </c>
      <c r="C801" s="1" t="n">
        <v>45791</v>
      </c>
      <c r="D801" t="inlineStr">
        <is>
          <t>JÄMTLANDS LÄN</t>
        </is>
      </c>
      <c r="E801" t="inlineStr">
        <is>
          <t>ÖSTERSUND</t>
        </is>
      </c>
      <c r="G801" t="n">
        <v>1.9</v>
      </c>
      <c r="H801" t="n">
        <v>0</v>
      </c>
      <c r="I801" t="n">
        <v>0</v>
      </c>
      <c r="J801" t="n">
        <v>0</v>
      </c>
      <c r="K801" t="n">
        <v>0</v>
      </c>
      <c r="L801" t="n">
        <v>0</v>
      </c>
      <c r="M801" t="n">
        <v>0</v>
      </c>
      <c r="N801" t="n">
        <v>0</v>
      </c>
      <c r="O801" t="n">
        <v>0</v>
      </c>
      <c r="P801" t="n">
        <v>0</v>
      </c>
      <c r="Q801" t="n">
        <v>0</v>
      </c>
      <c r="R801" s="2" t="inlineStr"/>
    </row>
    <row r="802" ht="15" customHeight="1">
      <c r="A802" t="inlineStr">
        <is>
          <t>A 6376-2024</t>
        </is>
      </c>
      <c r="B802" s="1" t="n">
        <v>45338</v>
      </c>
      <c r="C802" s="1" t="n">
        <v>45791</v>
      </c>
      <c r="D802" t="inlineStr">
        <is>
          <t>JÄMTLANDS LÄN</t>
        </is>
      </c>
      <c r="E802" t="inlineStr">
        <is>
          <t>ÖSTERSUND</t>
        </is>
      </c>
      <c r="G802" t="n">
        <v>4.6</v>
      </c>
      <c r="H802" t="n">
        <v>0</v>
      </c>
      <c r="I802" t="n">
        <v>0</v>
      </c>
      <c r="J802" t="n">
        <v>0</v>
      </c>
      <c r="K802" t="n">
        <v>0</v>
      </c>
      <c r="L802" t="n">
        <v>0</v>
      </c>
      <c r="M802" t="n">
        <v>0</v>
      </c>
      <c r="N802" t="n">
        <v>0</v>
      </c>
      <c r="O802" t="n">
        <v>0</v>
      </c>
      <c r="P802" t="n">
        <v>0</v>
      </c>
      <c r="Q802" t="n">
        <v>0</v>
      </c>
      <c r="R802" s="2" t="inlineStr"/>
    </row>
    <row r="803" ht="15" customHeight="1">
      <c r="A803" t="inlineStr">
        <is>
          <t>A 6402-2024</t>
        </is>
      </c>
      <c r="B803" s="1" t="n">
        <v>45338</v>
      </c>
      <c r="C803" s="1" t="n">
        <v>45791</v>
      </c>
      <c r="D803" t="inlineStr">
        <is>
          <t>JÄMTLANDS LÄN</t>
        </is>
      </c>
      <c r="E803" t="inlineStr">
        <is>
          <t>ÖSTERSUND</t>
        </is>
      </c>
      <c r="G803" t="n">
        <v>4.4</v>
      </c>
      <c r="H803" t="n">
        <v>0</v>
      </c>
      <c r="I803" t="n">
        <v>0</v>
      </c>
      <c r="J803" t="n">
        <v>0</v>
      </c>
      <c r="K803" t="n">
        <v>0</v>
      </c>
      <c r="L803" t="n">
        <v>0</v>
      </c>
      <c r="M803" t="n">
        <v>0</v>
      </c>
      <c r="N803" t="n">
        <v>0</v>
      </c>
      <c r="O803" t="n">
        <v>0</v>
      </c>
      <c r="P803" t="n">
        <v>0</v>
      </c>
      <c r="Q803" t="n">
        <v>0</v>
      </c>
      <c r="R803" s="2" t="inlineStr"/>
    </row>
    <row r="804" ht="15" customHeight="1">
      <c r="A804" t="inlineStr">
        <is>
          <t>A 6481-2024</t>
        </is>
      </c>
      <c r="B804" s="1" t="n">
        <v>45338</v>
      </c>
      <c r="C804" s="1" t="n">
        <v>45791</v>
      </c>
      <c r="D804" t="inlineStr">
        <is>
          <t>JÄMTLANDS LÄN</t>
        </is>
      </c>
      <c r="E804" t="inlineStr">
        <is>
          <t>ÖSTERSUND</t>
        </is>
      </c>
      <c r="F804" t="inlineStr">
        <is>
          <t>SCA</t>
        </is>
      </c>
      <c r="G804" t="n">
        <v>21.3</v>
      </c>
      <c r="H804" t="n">
        <v>0</v>
      </c>
      <c r="I804" t="n">
        <v>0</v>
      </c>
      <c r="J804" t="n">
        <v>0</v>
      </c>
      <c r="K804" t="n">
        <v>0</v>
      </c>
      <c r="L804" t="n">
        <v>0</v>
      </c>
      <c r="M804" t="n">
        <v>0</v>
      </c>
      <c r="N804" t="n">
        <v>0</v>
      </c>
      <c r="O804" t="n">
        <v>0</v>
      </c>
      <c r="P804" t="n">
        <v>0</v>
      </c>
      <c r="Q804" t="n">
        <v>0</v>
      </c>
      <c r="R804" s="2" t="inlineStr"/>
    </row>
    <row r="805" ht="15" customHeight="1">
      <c r="A805" t="inlineStr">
        <is>
          <t>A 6877-2024</t>
        </is>
      </c>
      <c r="B805" s="1" t="n">
        <v>45342</v>
      </c>
      <c r="C805" s="1" t="n">
        <v>45791</v>
      </c>
      <c r="D805" t="inlineStr">
        <is>
          <t>JÄMTLANDS LÄN</t>
        </is>
      </c>
      <c r="E805" t="inlineStr">
        <is>
          <t>ÖSTERSUND</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7233-2024</t>
        </is>
      </c>
      <c r="B806" s="1" t="n">
        <v>45344</v>
      </c>
      <c r="C806" s="1" t="n">
        <v>45791</v>
      </c>
      <c r="D806" t="inlineStr">
        <is>
          <t>JÄMTLANDS LÄN</t>
        </is>
      </c>
      <c r="E806" t="inlineStr">
        <is>
          <t>ÖSTERSUND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7224-2024</t>
        </is>
      </c>
      <c r="B807" s="1" t="n">
        <v>45344</v>
      </c>
      <c r="C807" s="1" t="n">
        <v>45791</v>
      </c>
      <c r="D807" t="inlineStr">
        <is>
          <t>JÄMTLANDS LÄN</t>
        </is>
      </c>
      <c r="E807" t="inlineStr">
        <is>
          <t>ÖSTERSUND</t>
        </is>
      </c>
      <c r="G807" t="n">
        <v>2.9</v>
      </c>
      <c r="H807" t="n">
        <v>0</v>
      </c>
      <c r="I807" t="n">
        <v>0</v>
      </c>
      <c r="J807" t="n">
        <v>0</v>
      </c>
      <c r="K807" t="n">
        <v>0</v>
      </c>
      <c r="L807" t="n">
        <v>0</v>
      </c>
      <c r="M807" t="n">
        <v>0</v>
      </c>
      <c r="N807" t="n">
        <v>0</v>
      </c>
      <c r="O807" t="n">
        <v>0</v>
      </c>
      <c r="P807" t="n">
        <v>0</v>
      </c>
      <c r="Q807" t="n">
        <v>0</v>
      </c>
      <c r="R807" s="2" t="inlineStr"/>
    </row>
    <row r="808" ht="15" customHeight="1">
      <c r="A808" t="inlineStr">
        <is>
          <t>A 7228-2024</t>
        </is>
      </c>
      <c r="B808" s="1" t="n">
        <v>45344</v>
      </c>
      <c r="C808" s="1" t="n">
        <v>45791</v>
      </c>
      <c r="D808" t="inlineStr">
        <is>
          <t>JÄMTLANDS LÄN</t>
        </is>
      </c>
      <c r="E808" t="inlineStr">
        <is>
          <t>ÖSTERSUND</t>
        </is>
      </c>
      <c r="G808" t="n">
        <v>3</v>
      </c>
      <c r="H808" t="n">
        <v>0</v>
      </c>
      <c r="I808" t="n">
        <v>0</v>
      </c>
      <c r="J808" t="n">
        <v>0</v>
      </c>
      <c r="K808" t="n">
        <v>0</v>
      </c>
      <c r="L808" t="n">
        <v>0</v>
      </c>
      <c r="M808" t="n">
        <v>0</v>
      </c>
      <c r="N808" t="n">
        <v>0</v>
      </c>
      <c r="O808" t="n">
        <v>0</v>
      </c>
      <c r="P808" t="n">
        <v>0</v>
      </c>
      <c r="Q808" t="n">
        <v>0</v>
      </c>
      <c r="R808" s="2" t="inlineStr"/>
    </row>
    <row r="809" ht="15" customHeight="1">
      <c r="A809" t="inlineStr">
        <is>
          <t>A 7484-2024</t>
        </is>
      </c>
      <c r="B809" s="1" t="n">
        <v>45346</v>
      </c>
      <c r="C809" s="1" t="n">
        <v>45791</v>
      </c>
      <c r="D809" t="inlineStr">
        <is>
          <t>JÄMTLANDS LÄN</t>
        </is>
      </c>
      <c r="E809" t="inlineStr">
        <is>
          <t>ÖSTERSUND</t>
        </is>
      </c>
      <c r="G809" t="n">
        <v>5.4</v>
      </c>
      <c r="H809" t="n">
        <v>0</v>
      </c>
      <c r="I809" t="n">
        <v>0</v>
      </c>
      <c r="J809" t="n">
        <v>0</v>
      </c>
      <c r="K809" t="n">
        <v>0</v>
      </c>
      <c r="L809" t="n">
        <v>0</v>
      </c>
      <c r="M809" t="n">
        <v>0</v>
      </c>
      <c r="N809" t="n">
        <v>0</v>
      </c>
      <c r="O809" t="n">
        <v>0</v>
      </c>
      <c r="P809" t="n">
        <v>0</v>
      </c>
      <c r="Q809" t="n">
        <v>0</v>
      </c>
      <c r="R809" s="2" t="inlineStr"/>
    </row>
    <row r="810" ht="15" customHeight="1">
      <c r="A810" t="inlineStr">
        <is>
          <t>A 8166-2024</t>
        </is>
      </c>
      <c r="B810" s="1" t="n">
        <v>45349</v>
      </c>
      <c r="C810" s="1" t="n">
        <v>45791</v>
      </c>
      <c r="D810" t="inlineStr">
        <is>
          <t>JÄMTLANDS LÄN</t>
        </is>
      </c>
      <c r="E810" t="inlineStr">
        <is>
          <t>ÖSTERSUND</t>
        </is>
      </c>
      <c r="G810" t="n">
        <v>2.7</v>
      </c>
      <c r="H810" t="n">
        <v>0</v>
      </c>
      <c r="I810" t="n">
        <v>0</v>
      </c>
      <c r="J810" t="n">
        <v>0</v>
      </c>
      <c r="K810" t="n">
        <v>0</v>
      </c>
      <c r="L810" t="n">
        <v>0</v>
      </c>
      <c r="M810" t="n">
        <v>0</v>
      </c>
      <c r="N810" t="n">
        <v>0</v>
      </c>
      <c r="O810" t="n">
        <v>0</v>
      </c>
      <c r="P810" t="n">
        <v>0</v>
      </c>
      <c r="Q810" t="n">
        <v>0</v>
      </c>
      <c r="R810" s="2" t="inlineStr"/>
    </row>
    <row r="811" ht="15" customHeight="1">
      <c r="A811" t="inlineStr">
        <is>
          <t>A 9109-2024</t>
        </is>
      </c>
      <c r="B811" s="1" t="n">
        <v>45358</v>
      </c>
      <c r="C811" s="1" t="n">
        <v>45791</v>
      </c>
      <c r="D811" t="inlineStr">
        <is>
          <t>JÄMTLANDS LÄN</t>
        </is>
      </c>
      <c r="E811" t="inlineStr">
        <is>
          <t>ÖSTERSUND</t>
        </is>
      </c>
      <c r="G811" t="n">
        <v>17.1</v>
      </c>
      <c r="H811" t="n">
        <v>0</v>
      </c>
      <c r="I811" t="n">
        <v>0</v>
      </c>
      <c r="J811" t="n">
        <v>0</v>
      </c>
      <c r="K811" t="n">
        <v>0</v>
      </c>
      <c r="L811" t="n">
        <v>0</v>
      </c>
      <c r="M811" t="n">
        <v>0</v>
      </c>
      <c r="N811" t="n">
        <v>0</v>
      </c>
      <c r="O811" t="n">
        <v>0</v>
      </c>
      <c r="P811" t="n">
        <v>0</v>
      </c>
      <c r="Q811" t="n">
        <v>0</v>
      </c>
      <c r="R811" s="2" t="inlineStr"/>
    </row>
    <row r="812" ht="15" customHeight="1">
      <c r="A812" t="inlineStr">
        <is>
          <t>A 9151-2024</t>
        </is>
      </c>
      <c r="B812" s="1" t="n">
        <v>45358</v>
      </c>
      <c r="C812" s="1" t="n">
        <v>45791</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9859-2024</t>
        </is>
      </c>
      <c r="B813" s="1" t="n">
        <v>45363</v>
      </c>
      <c r="C813" s="1" t="n">
        <v>45791</v>
      </c>
      <c r="D813" t="inlineStr">
        <is>
          <t>JÄMTLANDS LÄN</t>
        </is>
      </c>
      <c r="E813" t="inlineStr">
        <is>
          <t>ÖSTERSUND</t>
        </is>
      </c>
      <c r="G813" t="n">
        <v>5.5</v>
      </c>
      <c r="H813" t="n">
        <v>0</v>
      </c>
      <c r="I813" t="n">
        <v>0</v>
      </c>
      <c r="J813" t="n">
        <v>0</v>
      </c>
      <c r="K813" t="n">
        <v>0</v>
      </c>
      <c r="L813" t="n">
        <v>0</v>
      </c>
      <c r="M813" t="n">
        <v>0</v>
      </c>
      <c r="N813" t="n">
        <v>0</v>
      </c>
      <c r="O813" t="n">
        <v>0</v>
      </c>
      <c r="P813" t="n">
        <v>0</v>
      </c>
      <c r="Q813" t="n">
        <v>0</v>
      </c>
      <c r="R813" s="2" t="inlineStr"/>
    </row>
    <row r="814" ht="15" customHeight="1">
      <c r="A814" t="inlineStr">
        <is>
          <t>A 10064-2024</t>
        </is>
      </c>
      <c r="B814" s="1" t="n">
        <v>45364</v>
      </c>
      <c r="C814" s="1" t="n">
        <v>45791</v>
      </c>
      <c r="D814" t="inlineStr">
        <is>
          <t>JÄMTLANDS LÄN</t>
        </is>
      </c>
      <c r="E814" t="inlineStr">
        <is>
          <t>ÖSTERSUND</t>
        </is>
      </c>
      <c r="G814" t="n">
        <v>13.9</v>
      </c>
      <c r="H814" t="n">
        <v>0</v>
      </c>
      <c r="I814" t="n">
        <v>0</v>
      </c>
      <c r="J814" t="n">
        <v>0</v>
      </c>
      <c r="K814" t="n">
        <v>0</v>
      </c>
      <c r="L814" t="n">
        <v>0</v>
      </c>
      <c r="M814" t="n">
        <v>0</v>
      </c>
      <c r="N814" t="n">
        <v>0</v>
      </c>
      <c r="O814" t="n">
        <v>0</v>
      </c>
      <c r="P814" t="n">
        <v>0</v>
      </c>
      <c r="Q814" t="n">
        <v>0</v>
      </c>
      <c r="R814" s="2" t="inlineStr"/>
    </row>
    <row r="815" ht="15" customHeight="1">
      <c r="A815" t="inlineStr">
        <is>
          <t>A 10619-2024</t>
        </is>
      </c>
      <c r="B815" s="1" t="n">
        <v>45367</v>
      </c>
      <c r="C815" s="1" t="n">
        <v>45791</v>
      </c>
      <c r="D815" t="inlineStr">
        <is>
          <t>JÄMTLANDS LÄN</t>
        </is>
      </c>
      <c r="E815" t="inlineStr">
        <is>
          <t>ÖSTERSUND</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11052-2024</t>
        </is>
      </c>
      <c r="B816" s="1" t="n">
        <v>45370</v>
      </c>
      <c r="C816" s="1" t="n">
        <v>45791</v>
      </c>
      <c r="D816" t="inlineStr">
        <is>
          <t>JÄMTLANDS LÄN</t>
        </is>
      </c>
      <c r="E816" t="inlineStr">
        <is>
          <t>ÖSTERSUND</t>
        </is>
      </c>
      <c r="G816" t="n">
        <v>2.3</v>
      </c>
      <c r="H816" t="n">
        <v>0</v>
      </c>
      <c r="I816" t="n">
        <v>0</v>
      </c>
      <c r="J816" t="n">
        <v>0</v>
      </c>
      <c r="K816" t="n">
        <v>0</v>
      </c>
      <c r="L816" t="n">
        <v>0</v>
      </c>
      <c r="M816" t="n">
        <v>0</v>
      </c>
      <c r="N816" t="n">
        <v>0</v>
      </c>
      <c r="O816" t="n">
        <v>0</v>
      </c>
      <c r="P816" t="n">
        <v>0</v>
      </c>
      <c r="Q816" t="n">
        <v>0</v>
      </c>
      <c r="R816" s="2" t="inlineStr"/>
    </row>
    <row r="817" ht="15" customHeight="1">
      <c r="A817" t="inlineStr">
        <is>
          <t>A 11768-2024</t>
        </is>
      </c>
      <c r="B817" s="1" t="n">
        <v>45373</v>
      </c>
      <c r="C817" s="1" t="n">
        <v>45791</v>
      </c>
      <c r="D817" t="inlineStr">
        <is>
          <t>JÄMTLANDS LÄN</t>
        </is>
      </c>
      <c r="E817" t="inlineStr">
        <is>
          <t>ÖSTERSUND</t>
        </is>
      </c>
      <c r="F817" t="inlineStr">
        <is>
          <t>SCA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11877-2024</t>
        </is>
      </c>
      <c r="B818" s="1" t="n">
        <v>45376</v>
      </c>
      <c r="C818" s="1" t="n">
        <v>45791</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11931-2024</t>
        </is>
      </c>
      <c r="B819" s="1" t="n">
        <v>45376</v>
      </c>
      <c r="C819" s="1" t="n">
        <v>45791</v>
      </c>
      <c r="D819" t="inlineStr">
        <is>
          <t>JÄMTLANDS LÄN</t>
        </is>
      </c>
      <c r="E819" t="inlineStr">
        <is>
          <t>ÖSTERSUND</t>
        </is>
      </c>
      <c r="G819" t="n">
        <v>1.6</v>
      </c>
      <c r="H819" t="n">
        <v>0</v>
      </c>
      <c r="I819" t="n">
        <v>0</v>
      </c>
      <c r="J819" t="n">
        <v>0</v>
      </c>
      <c r="K819" t="n">
        <v>0</v>
      </c>
      <c r="L819" t="n">
        <v>0</v>
      </c>
      <c r="M819" t="n">
        <v>0</v>
      </c>
      <c r="N819" t="n">
        <v>0</v>
      </c>
      <c r="O819" t="n">
        <v>0</v>
      </c>
      <c r="P819" t="n">
        <v>0</v>
      </c>
      <c r="Q819" t="n">
        <v>0</v>
      </c>
      <c r="R819" s="2" t="inlineStr"/>
    </row>
    <row r="820" ht="15" customHeight="1">
      <c r="A820" t="inlineStr">
        <is>
          <t>A 14142-2024</t>
        </is>
      </c>
      <c r="B820" s="1" t="n">
        <v>45392</v>
      </c>
      <c r="C820" s="1" t="n">
        <v>45791</v>
      </c>
      <c r="D820" t="inlineStr">
        <is>
          <t>JÄMTLANDS LÄN</t>
        </is>
      </c>
      <c r="E820" t="inlineStr">
        <is>
          <t>ÖSTERSUND</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16068-2024</t>
        </is>
      </c>
      <c r="B821" s="1" t="n">
        <v>45406</v>
      </c>
      <c r="C821" s="1" t="n">
        <v>45791</v>
      </c>
      <c r="D821" t="inlineStr">
        <is>
          <t>JÄMTLANDS LÄN</t>
        </is>
      </c>
      <c r="E821" t="inlineStr">
        <is>
          <t>ÖSTERSUND</t>
        </is>
      </c>
      <c r="F821" t="inlineStr">
        <is>
          <t>SCA</t>
        </is>
      </c>
      <c r="G821" t="n">
        <v>35.6</v>
      </c>
      <c r="H821" t="n">
        <v>0</v>
      </c>
      <c r="I821" t="n">
        <v>0</v>
      </c>
      <c r="J821" t="n">
        <v>0</v>
      </c>
      <c r="K821" t="n">
        <v>0</v>
      </c>
      <c r="L821" t="n">
        <v>0</v>
      </c>
      <c r="M821" t="n">
        <v>0</v>
      </c>
      <c r="N821" t="n">
        <v>0</v>
      </c>
      <c r="O821" t="n">
        <v>0</v>
      </c>
      <c r="P821" t="n">
        <v>0</v>
      </c>
      <c r="Q821" t="n">
        <v>0</v>
      </c>
      <c r="R821" s="2" t="inlineStr"/>
    </row>
    <row r="822" ht="15" customHeight="1">
      <c r="A822" t="inlineStr">
        <is>
          <t>A 16065-2024</t>
        </is>
      </c>
      <c r="B822" s="1" t="n">
        <v>45406</v>
      </c>
      <c r="C822" s="1" t="n">
        <v>45791</v>
      </c>
      <c r="D822" t="inlineStr">
        <is>
          <t>JÄMTLANDS LÄN</t>
        </is>
      </c>
      <c r="E822" t="inlineStr">
        <is>
          <t>ÖSTERSUND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16459-2024</t>
        </is>
      </c>
      <c r="B823" s="1" t="n">
        <v>45407</v>
      </c>
      <c r="C823" s="1" t="n">
        <v>45791</v>
      </c>
      <c r="D823" t="inlineStr">
        <is>
          <t>JÄMTLANDS LÄN</t>
        </is>
      </c>
      <c r="E823" t="inlineStr">
        <is>
          <t>ÖSTERSUND</t>
        </is>
      </c>
      <c r="G823" t="n">
        <v>24</v>
      </c>
      <c r="H823" t="n">
        <v>0</v>
      </c>
      <c r="I823" t="n">
        <v>0</v>
      </c>
      <c r="J823" t="n">
        <v>0</v>
      </c>
      <c r="K823" t="n">
        <v>0</v>
      </c>
      <c r="L823" t="n">
        <v>0</v>
      </c>
      <c r="M823" t="n">
        <v>0</v>
      </c>
      <c r="N823" t="n">
        <v>0</v>
      </c>
      <c r="O823" t="n">
        <v>0</v>
      </c>
      <c r="P823" t="n">
        <v>0</v>
      </c>
      <c r="Q823" t="n">
        <v>0</v>
      </c>
      <c r="R823" s="2" t="inlineStr"/>
    </row>
    <row r="824" ht="15" customHeight="1">
      <c r="A824" t="inlineStr">
        <is>
          <t>A 16689-2024</t>
        </is>
      </c>
      <c r="B824" s="1" t="n">
        <v>45408</v>
      </c>
      <c r="C824" s="1" t="n">
        <v>45791</v>
      </c>
      <c r="D824" t="inlineStr">
        <is>
          <t>JÄMTLANDS LÄN</t>
        </is>
      </c>
      <c r="E824" t="inlineStr">
        <is>
          <t>ÖSTERSUND</t>
        </is>
      </c>
      <c r="G824" t="n">
        <v>0.6</v>
      </c>
      <c r="H824" t="n">
        <v>0</v>
      </c>
      <c r="I824" t="n">
        <v>0</v>
      </c>
      <c r="J824" t="n">
        <v>0</v>
      </c>
      <c r="K824" t="n">
        <v>0</v>
      </c>
      <c r="L824" t="n">
        <v>0</v>
      </c>
      <c r="M824" t="n">
        <v>0</v>
      </c>
      <c r="N824" t="n">
        <v>0</v>
      </c>
      <c r="O824" t="n">
        <v>0</v>
      </c>
      <c r="P824" t="n">
        <v>0</v>
      </c>
      <c r="Q824" t="n">
        <v>0</v>
      </c>
      <c r="R824" s="2" t="inlineStr"/>
    </row>
    <row r="825" ht="15" customHeight="1">
      <c r="A825" t="inlineStr">
        <is>
          <t>A 17188-2024</t>
        </is>
      </c>
      <c r="B825" s="1" t="n">
        <v>45413</v>
      </c>
      <c r="C825" s="1" t="n">
        <v>45791</v>
      </c>
      <c r="D825" t="inlineStr">
        <is>
          <t>JÄMTLANDS LÄN</t>
        </is>
      </c>
      <c r="E825" t="inlineStr">
        <is>
          <t>ÖSTERSUND</t>
        </is>
      </c>
      <c r="F825" t="inlineStr">
        <is>
          <t>SCA</t>
        </is>
      </c>
      <c r="G825" t="n">
        <v>14.6</v>
      </c>
      <c r="H825" t="n">
        <v>0</v>
      </c>
      <c r="I825" t="n">
        <v>0</v>
      </c>
      <c r="J825" t="n">
        <v>0</v>
      </c>
      <c r="K825" t="n">
        <v>0</v>
      </c>
      <c r="L825" t="n">
        <v>0</v>
      </c>
      <c r="M825" t="n">
        <v>0</v>
      </c>
      <c r="N825" t="n">
        <v>0</v>
      </c>
      <c r="O825" t="n">
        <v>0</v>
      </c>
      <c r="P825" t="n">
        <v>0</v>
      </c>
      <c r="Q825" t="n">
        <v>0</v>
      </c>
      <c r="R825" s="2" t="inlineStr"/>
    </row>
    <row r="826" ht="15" customHeight="1">
      <c r="A826" t="inlineStr">
        <is>
          <t>A 17062-2024</t>
        </is>
      </c>
      <c r="B826" s="1" t="n">
        <v>45412</v>
      </c>
      <c r="C826" s="1" t="n">
        <v>45791</v>
      </c>
      <c r="D826" t="inlineStr">
        <is>
          <t>JÄMTLANDS LÄN</t>
        </is>
      </c>
      <c r="E826" t="inlineStr">
        <is>
          <t>ÖSTERSUND</t>
        </is>
      </c>
      <c r="G826" t="n">
        <v>8</v>
      </c>
      <c r="H826" t="n">
        <v>0</v>
      </c>
      <c r="I826" t="n">
        <v>0</v>
      </c>
      <c r="J826" t="n">
        <v>0</v>
      </c>
      <c r="K826" t="n">
        <v>0</v>
      </c>
      <c r="L826" t="n">
        <v>0</v>
      </c>
      <c r="M826" t="n">
        <v>0</v>
      </c>
      <c r="N826" t="n">
        <v>0</v>
      </c>
      <c r="O826" t="n">
        <v>0</v>
      </c>
      <c r="P826" t="n">
        <v>0</v>
      </c>
      <c r="Q826" t="n">
        <v>0</v>
      </c>
      <c r="R826" s="2" t="inlineStr"/>
    </row>
    <row r="827" ht="15" customHeight="1">
      <c r="A827" t="inlineStr">
        <is>
          <t>A 17066-2024</t>
        </is>
      </c>
      <c r="B827" s="1" t="n">
        <v>45412</v>
      </c>
      <c r="C827" s="1" t="n">
        <v>45791</v>
      </c>
      <c r="D827" t="inlineStr">
        <is>
          <t>JÄMTLANDS LÄN</t>
        </is>
      </c>
      <c r="E827" t="inlineStr">
        <is>
          <t>ÖSTERSUND</t>
        </is>
      </c>
      <c r="G827" t="n">
        <v>4.2</v>
      </c>
      <c r="H827" t="n">
        <v>0</v>
      </c>
      <c r="I827" t="n">
        <v>0</v>
      </c>
      <c r="J827" t="n">
        <v>0</v>
      </c>
      <c r="K827" t="n">
        <v>0</v>
      </c>
      <c r="L827" t="n">
        <v>0</v>
      </c>
      <c r="M827" t="n">
        <v>0</v>
      </c>
      <c r="N827" t="n">
        <v>0</v>
      </c>
      <c r="O827" t="n">
        <v>0</v>
      </c>
      <c r="P827" t="n">
        <v>0</v>
      </c>
      <c r="Q827" t="n">
        <v>0</v>
      </c>
      <c r="R827" s="2" t="inlineStr"/>
    </row>
    <row r="828" ht="15" customHeight="1">
      <c r="A828" t="inlineStr">
        <is>
          <t>A 17547-2024</t>
        </is>
      </c>
      <c r="B828" s="1" t="n">
        <v>45415</v>
      </c>
      <c r="C828" s="1" t="n">
        <v>45791</v>
      </c>
      <c r="D828" t="inlineStr">
        <is>
          <t>JÄMTLANDS LÄN</t>
        </is>
      </c>
      <c r="E828" t="inlineStr">
        <is>
          <t>ÖSTERSUND</t>
        </is>
      </c>
      <c r="G828" t="n">
        <v>2.1</v>
      </c>
      <c r="H828" t="n">
        <v>0</v>
      </c>
      <c r="I828" t="n">
        <v>0</v>
      </c>
      <c r="J828" t="n">
        <v>0</v>
      </c>
      <c r="K828" t="n">
        <v>0</v>
      </c>
      <c r="L828" t="n">
        <v>0</v>
      </c>
      <c r="M828" t="n">
        <v>0</v>
      </c>
      <c r="N828" t="n">
        <v>0</v>
      </c>
      <c r="O828" t="n">
        <v>0</v>
      </c>
      <c r="P828" t="n">
        <v>0</v>
      </c>
      <c r="Q828" t="n">
        <v>0</v>
      </c>
      <c r="R828" s="2" t="inlineStr"/>
    </row>
    <row r="829" ht="15" customHeight="1">
      <c r="A829" t="inlineStr">
        <is>
          <t>A 17760-2024</t>
        </is>
      </c>
      <c r="B829" s="1" t="n">
        <v>45418</v>
      </c>
      <c r="C829" s="1" t="n">
        <v>45791</v>
      </c>
      <c r="D829" t="inlineStr">
        <is>
          <t>JÄMTLANDS LÄN</t>
        </is>
      </c>
      <c r="E829" t="inlineStr">
        <is>
          <t>ÖSTERSUND</t>
        </is>
      </c>
      <c r="G829" t="n">
        <v>1.6</v>
      </c>
      <c r="H829" t="n">
        <v>0</v>
      </c>
      <c r="I829" t="n">
        <v>0</v>
      </c>
      <c r="J829" t="n">
        <v>0</v>
      </c>
      <c r="K829" t="n">
        <v>0</v>
      </c>
      <c r="L829" t="n">
        <v>0</v>
      </c>
      <c r="M829" t="n">
        <v>0</v>
      </c>
      <c r="N829" t="n">
        <v>0</v>
      </c>
      <c r="O829" t="n">
        <v>0</v>
      </c>
      <c r="P829" t="n">
        <v>0</v>
      </c>
      <c r="Q829" t="n">
        <v>0</v>
      </c>
      <c r="R829" s="2" t="inlineStr"/>
    </row>
    <row r="830" ht="15" customHeight="1">
      <c r="A830" t="inlineStr">
        <is>
          <t>A 17709-2024</t>
        </is>
      </c>
      <c r="B830" s="1" t="n">
        <v>45418</v>
      </c>
      <c r="C830" s="1" t="n">
        <v>45791</v>
      </c>
      <c r="D830" t="inlineStr">
        <is>
          <t>JÄMTLANDS LÄN</t>
        </is>
      </c>
      <c r="E830" t="inlineStr">
        <is>
          <t>ÖSTERSUND</t>
        </is>
      </c>
      <c r="G830" t="n">
        <v>2.9</v>
      </c>
      <c r="H830" t="n">
        <v>0</v>
      </c>
      <c r="I830" t="n">
        <v>0</v>
      </c>
      <c r="J830" t="n">
        <v>0</v>
      </c>
      <c r="K830" t="n">
        <v>0</v>
      </c>
      <c r="L830" t="n">
        <v>0</v>
      </c>
      <c r="M830" t="n">
        <v>0</v>
      </c>
      <c r="N830" t="n">
        <v>0</v>
      </c>
      <c r="O830" t="n">
        <v>0</v>
      </c>
      <c r="P830" t="n">
        <v>0</v>
      </c>
      <c r="Q830" t="n">
        <v>0</v>
      </c>
      <c r="R830" s="2" t="inlineStr"/>
    </row>
    <row r="831" ht="15" customHeight="1">
      <c r="A831" t="inlineStr">
        <is>
          <t>A 18627-2024</t>
        </is>
      </c>
      <c r="B831" s="1" t="n">
        <v>45426</v>
      </c>
      <c r="C831" s="1" t="n">
        <v>45791</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18643-2024</t>
        </is>
      </c>
      <c r="B832" s="1" t="n">
        <v>45426</v>
      </c>
      <c r="C832" s="1" t="n">
        <v>45791</v>
      </c>
      <c r="D832" t="inlineStr">
        <is>
          <t>JÄMTLANDS LÄN</t>
        </is>
      </c>
      <c r="E832" t="inlineStr">
        <is>
          <t>ÖSTERSUND</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18624-2024</t>
        </is>
      </c>
      <c r="B833" s="1" t="n">
        <v>45426</v>
      </c>
      <c r="C833" s="1" t="n">
        <v>45791</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19112-2024</t>
        </is>
      </c>
      <c r="B834" s="1" t="n">
        <v>45427</v>
      </c>
      <c r="C834" s="1" t="n">
        <v>45791</v>
      </c>
      <c r="D834" t="inlineStr">
        <is>
          <t>JÄMTLANDS LÄN</t>
        </is>
      </c>
      <c r="E834" t="inlineStr">
        <is>
          <t>ÖSTERSUND</t>
        </is>
      </c>
      <c r="G834" t="n">
        <v>3.6</v>
      </c>
      <c r="H834" t="n">
        <v>0</v>
      </c>
      <c r="I834" t="n">
        <v>0</v>
      </c>
      <c r="J834" t="n">
        <v>0</v>
      </c>
      <c r="K834" t="n">
        <v>0</v>
      </c>
      <c r="L834" t="n">
        <v>0</v>
      </c>
      <c r="M834" t="n">
        <v>0</v>
      </c>
      <c r="N834" t="n">
        <v>0</v>
      </c>
      <c r="O834" t="n">
        <v>0</v>
      </c>
      <c r="P834" t="n">
        <v>0</v>
      </c>
      <c r="Q834" t="n">
        <v>0</v>
      </c>
      <c r="R834" s="2" t="inlineStr"/>
    </row>
    <row r="835" ht="15" customHeight="1">
      <c r="A835" t="inlineStr">
        <is>
          <t>A 19037-2024</t>
        </is>
      </c>
      <c r="B835" s="1" t="n">
        <v>45427</v>
      </c>
      <c r="C835" s="1" t="n">
        <v>45791</v>
      </c>
      <c r="D835" t="inlineStr">
        <is>
          <t>JÄMTLANDS LÄN</t>
        </is>
      </c>
      <c r="E835" t="inlineStr">
        <is>
          <t>ÖSTERSUND</t>
        </is>
      </c>
      <c r="G835" t="n">
        <v>2</v>
      </c>
      <c r="H835" t="n">
        <v>0</v>
      </c>
      <c r="I835" t="n">
        <v>0</v>
      </c>
      <c r="J835" t="n">
        <v>0</v>
      </c>
      <c r="K835" t="n">
        <v>0</v>
      </c>
      <c r="L835" t="n">
        <v>0</v>
      </c>
      <c r="M835" t="n">
        <v>0</v>
      </c>
      <c r="N835" t="n">
        <v>0</v>
      </c>
      <c r="O835" t="n">
        <v>0</v>
      </c>
      <c r="P835" t="n">
        <v>0</v>
      </c>
      <c r="Q835" t="n">
        <v>0</v>
      </c>
      <c r="R835" s="2" t="inlineStr"/>
    </row>
    <row r="836" ht="15" customHeight="1">
      <c r="A836" t="inlineStr">
        <is>
          <t>A 19138-2024</t>
        </is>
      </c>
      <c r="B836" s="1" t="n">
        <v>45428</v>
      </c>
      <c r="C836" s="1" t="n">
        <v>45791</v>
      </c>
      <c r="D836" t="inlineStr">
        <is>
          <t>JÄMTLANDS LÄN</t>
        </is>
      </c>
      <c r="E836" t="inlineStr">
        <is>
          <t>ÖSTERSUND</t>
        </is>
      </c>
      <c r="G836" t="n">
        <v>13.6</v>
      </c>
      <c r="H836" t="n">
        <v>0</v>
      </c>
      <c r="I836" t="n">
        <v>0</v>
      </c>
      <c r="J836" t="n">
        <v>0</v>
      </c>
      <c r="K836" t="n">
        <v>0</v>
      </c>
      <c r="L836" t="n">
        <v>0</v>
      </c>
      <c r="M836" t="n">
        <v>0</v>
      </c>
      <c r="N836" t="n">
        <v>0</v>
      </c>
      <c r="O836" t="n">
        <v>0</v>
      </c>
      <c r="P836" t="n">
        <v>0</v>
      </c>
      <c r="Q836" t="n">
        <v>0</v>
      </c>
      <c r="R836" s="2" t="inlineStr"/>
    </row>
    <row r="837" ht="15" customHeight="1">
      <c r="A837" t="inlineStr">
        <is>
          <t>A 19233-2024</t>
        </is>
      </c>
      <c r="B837" s="1" t="n">
        <v>45428</v>
      </c>
      <c r="C837" s="1" t="n">
        <v>45791</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19408-2024</t>
        </is>
      </c>
      <c r="B838" s="1" t="n">
        <v>45428</v>
      </c>
      <c r="C838" s="1" t="n">
        <v>45791</v>
      </c>
      <c r="D838" t="inlineStr">
        <is>
          <t>JÄMTLANDS LÄN</t>
        </is>
      </c>
      <c r="E838" t="inlineStr">
        <is>
          <t>ÖSTERSUND</t>
        </is>
      </c>
      <c r="G838" t="n">
        <v>11.1</v>
      </c>
      <c r="H838" t="n">
        <v>0</v>
      </c>
      <c r="I838" t="n">
        <v>0</v>
      </c>
      <c r="J838" t="n">
        <v>0</v>
      </c>
      <c r="K838" t="n">
        <v>0</v>
      </c>
      <c r="L838" t="n">
        <v>0</v>
      </c>
      <c r="M838" t="n">
        <v>0</v>
      </c>
      <c r="N838" t="n">
        <v>0</v>
      </c>
      <c r="O838" t="n">
        <v>0</v>
      </c>
      <c r="P838" t="n">
        <v>0</v>
      </c>
      <c r="Q838" t="n">
        <v>0</v>
      </c>
      <c r="R838" s="2" t="inlineStr"/>
    </row>
    <row r="839" ht="15" customHeight="1">
      <c r="A839" t="inlineStr">
        <is>
          <t>A 19323-2024</t>
        </is>
      </c>
      <c r="B839" s="1" t="n">
        <v>45429</v>
      </c>
      <c r="C839" s="1" t="n">
        <v>45791</v>
      </c>
      <c r="D839" t="inlineStr">
        <is>
          <t>JÄMTLANDS LÄN</t>
        </is>
      </c>
      <c r="E839" t="inlineStr">
        <is>
          <t>ÖSTERSUND</t>
        </is>
      </c>
      <c r="F839" t="inlineStr">
        <is>
          <t>Kommuner</t>
        </is>
      </c>
      <c r="G839" t="n">
        <v>0.2</v>
      </c>
      <c r="H839" t="n">
        <v>0</v>
      </c>
      <c r="I839" t="n">
        <v>0</v>
      </c>
      <c r="J839" t="n">
        <v>0</v>
      </c>
      <c r="K839" t="n">
        <v>0</v>
      </c>
      <c r="L839" t="n">
        <v>0</v>
      </c>
      <c r="M839" t="n">
        <v>0</v>
      </c>
      <c r="N839" t="n">
        <v>0</v>
      </c>
      <c r="O839" t="n">
        <v>0</v>
      </c>
      <c r="P839" t="n">
        <v>0</v>
      </c>
      <c r="Q839" t="n">
        <v>0</v>
      </c>
      <c r="R839" s="2" t="inlineStr"/>
    </row>
    <row r="840" ht="15" customHeight="1">
      <c r="A840" t="inlineStr">
        <is>
          <t>A 19566-2024</t>
        </is>
      </c>
      <c r="B840" s="1" t="n">
        <v>45430</v>
      </c>
      <c r="C840" s="1" t="n">
        <v>45791</v>
      </c>
      <c r="D840" t="inlineStr">
        <is>
          <t>JÄMTLANDS LÄN</t>
        </is>
      </c>
      <c r="E840" t="inlineStr">
        <is>
          <t>ÖSTERSUND</t>
        </is>
      </c>
      <c r="G840" t="n">
        <v>0</v>
      </c>
      <c r="H840" t="n">
        <v>0</v>
      </c>
      <c r="I840" t="n">
        <v>0</v>
      </c>
      <c r="J840" t="n">
        <v>0</v>
      </c>
      <c r="K840" t="n">
        <v>0</v>
      </c>
      <c r="L840" t="n">
        <v>0</v>
      </c>
      <c r="M840" t="n">
        <v>0</v>
      </c>
      <c r="N840" t="n">
        <v>0</v>
      </c>
      <c r="O840" t="n">
        <v>0</v>
      </c>
      <c r="P840" t="n">
        <v>0</v>
      </c>
      <c r="Q840" t="n">
        <v>0</v>
      </c>
      <c r="R840" s="2" t="inlineStr"/>
    </row>
    <row r="841" ht="15" customHeight="1">
      <c r="A841" t="inlineStr">
        <is>
          <t>A 19570-2024</t>
        </is>
      </c>
      <c r="B841" s="1" t="n">
        <v>45430</v>
      </c>
      <c r="C841" s="1" t="n">
        <v>45791</v>
      </c>
      <c r="D841" t="inlineStr">
        <is>
          <t>JÄMTLANDS LÄN</t>
        </is>
      </c>
      <c r="E841" t="inlineStr">
        <is>
          <t>ÖSTERSUND</t>
        </is>
      </c>
      <c r="G841" t="n">
        <v>0.8</v>
      </c>
      <c r="H841" t="n">
        <v>0</v>
      </c>
      <c r="I841" t="n">
        <v>0</v>
      </c>
      <c r="J841" t="n">
        <v>0</v>
      </c>
      <c r="K841" t="n">
        <v>0</v>
      </c>
      <c r="L841" t="n">
        <v>0</v>
      </c>
      <c r="M841" t="n">
        <v>0</v>
      </c>
      <c r="N841" t="n">
        <v>0</v>
      </c>
      <c r="O841" t="n">
        <v>0</v>
      </c>
      <c r="P841" t="n">
        <v>0</v>
      </c>
      <c r="Q841" t="n">
        <v>0</v>
      </c>
      <c r="R841" s="2" t="inlineStr"/>
    </row>
    <row r="842" ht="15" customHeight="1">
      <c r="A842" t="inlineStr">
        <is>
          <t>A 19725-2024</t>
        </is>
      </c>
      <c r="B842" s="1" t="n">
        <v>45432</v>
      </c>
      <c r="C842" s="1" t="n">
        <v>45791</v>
      </c>
      <c r="D842" t="inlineStr">
        <is>
          <t>JÄMTLANDS LÄN</t>
        </is>
      </c>
      <c r="E842" t="inlineStr">
        <is>
          <t>ÖSTERSUND</t>
        </is>
      </c>
      <c r="G842" t="n">
        <v>7.2</v>
      </c>
      <c r="H842" t="n">
        <v>0</v>
      </c>
      <c r="I842" t="n">
        <v>0</v>
      </c>
      <c r="J842" t="n">
        <v>0</v>
      </c>
      <c r="K842" t="n">
        <v>0</v>
      </c>
      <c r="L842" t="n">
        <v>0</v>
      </c>
      <c r="M842" t="n">
        <v>0</v>
      </c>
      <c r="N842" t="n">
        <v>0</v>
      </c>
      <c r="O842" t="n">
        <v>0</v>
      </c>
      <c r="P842" t="n">
        <v>0</v>
      </c>
      <c r="Q842" t="n">
        <v>0</v>
      </c>
      <c r="R842" s="2" t="inlineStr"/>
    </row>
    <row r="843" ht="15" customHeight="1">
      <c r="A843" t="inlineStr">
        <is>
          <t>A 20068-2024</t>
        </is>
      </c>
      <c r="B843" s="1" t="n">
        <v>45434</v>
      </c>
      <c r="C843" s="1" t="n">
        <v>45791</v>
      </c>
      <c r="D843" t="inlineStr">
        <is>
          <t>JÄMTLANDS LÄN</t>
        </is>
      </c>
      <c r="E843" t="inlineStr">
        <is>
          <t>ÖSTERSUND</t>
        </is>
      </c>
      <c r="G843" t="n">
        <v>10.2</v>
      </c>
      <c r="H843" t="n">
        <v>0</v>
      </c>
      <c r="I843" t="n">
        <v>0</v>
      </c>
      <c r="J843" t="n">
        <v>0</v>
      </c>
      <c r="K843" t="n">
        <v>0</v>
      </c>
      <c r="L843" t="n">
        <v>0</v>
      </c>
      <c r="M843" t="n">
        <v>0</v>
      </c>
      <c r="N843" t="n">
        <v>0</v>
      </c>
      <c r="O843" t="n">
        <v>0</v>
      </c>
      <c r="P843" t="n">
        <v>0</v>
      </c>
      <c r="Q843" t="n">
        <v>0</v>
      </c>
      <c r="R843" s="2" t="inlineStr"/>
    </row>
    <row r="844" ht="15" customHeight="1">
      <c r="A844" t="inlineStr">
        <is>
          <t>A 20400-2024</t>
        </is>
      </c>
      <c r="B844" s="1" t="n">
        <v>45435</v>
      </c>
      <c r="C844" s="1" t="n">
        <v>45791</v>
      </c>
      <c r="D844" t="inlineStr">
        <is>
          <t>JÄMTLANDS LÄN</t>
        </is>
      </c>
      <c r="E844" t="inlineStr">
        <is>
          <t>ÖSTERSUND</t>
        </is>
      </c>
      <c r="G844" t="n">
        <v>0.9</v>
      </c>
      <c r="H844" t="n">
        <v>0</v>
      </c>
      <c r="I844" t="n">
        <v>0</v>
      </c>
      <c r="J844" t="n">
        <v>0</v>
      </c>
      <c r="K844" t="n">
        <v>0</v>
      </c>
      <c r="L844" t="n">
        <v>0</v>
      </c>
      <c r="M844" t="n">
        <v>0</v>
      </c>
      <c r="N844" t="n">
        <v>0</v>
      </c>
      <c r="O844" t="n">
        <v>0</v>
      </c>
      <c r="P844" t="n">
        <v>0</v>
      </c>
      <c r="Q844" t="n">
        <v>0</v>
      </c>
      <c r="R844" s="2" t="inlineStr"/>
    </row>
    <row r="845" ht="15" customHeight="1">
      <c r="A845" t="inlineStr">
        <is>
          <t>A 20632-2024</t>
        </is>
      </c>
      <c r="B845" s="1" t="n">
        <v>45436</v>
      </c>
      <c r="C845" s="1" t="n">
        <v>45791</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20629-2024</t>
        </is>
      </c>
      <c r="B846" s="1" t="n">
        <v>45436</v>
      </c>
      <c r="C846" s="1" t="n">
        <v>45791</v>
      </c>
      <c r="D846" t="inlineStr">
        <is>
          <t>JÄMTLANDS LÄN</t>
        </is>
      </c>
      <c r="E846" t="inlineStr">
        <is>
          <t>ÖSTERSUND</t>
        </is>
      </c>
      <c r="G846" t="n">
        <v>2.3</v>
      </c>
      <c r="H846" t="n">
        <v>0</v>
      </c>
      <c r="I846" t="n">
        <v>0</v>
      </c>
      <c r="J846" t="n">
        <v>0</v>
      </c>
      <c r="K846" t="n">
        <v>0</v>
      </c>
      <c r="L846" t="n">
        <v>0</v>
      </c>
      <c r="M846" t="n">
        <v>0</v>
      </c>
      <c r="N846" t="n">
        <v>0</v>
      </c>
      <c r="O846" t="n">
        <v>0</v>
      </c>
      <c r="P846" t="n">
        <v>0</v>
      </c>
      <c r="Q846" t="n">
        <v>0</v>
      </c>
      <c r="R846" s="2" t="inlineStr"/>
    </row>
    <row r="847" ht="15" customHeight="1">
      <c r="A847" t="inlineStr">
        <is>
          <t>A 20736-2024</t>
        </is>
      </c>
      <c r="B847" s="1" t="n">
        <v>45436</v>
      </c>
      <c r="C847" s="1" t="n">
        <v>45791</v>
      </c>
      <c r="D847" t="inlineStr">
        <is>
          <t>JÄMTLANDS LÄN</t>
        </is>
      </c>
      <c r="E847" t="inlineStr">
        <is>
          <t>ÖSTERSUND</t>
        </is>
      </c>
      <c r="G847" t="n">
        <v>5.3</v>
      </c>
      <c r="H847" t="n">
        <v>0</v>
      </c>
      <c r="I847" t="n">
        <v>0</v>
      </c>
      <c r="J847" t="n">
        <v>0</v>
      </c>
      <c r="K847" t="n">
        <v>0</v>
      </c>
      <c r="L847" t="n">
        <v>0</v>
      </c>
      <c r="M847" t="n">
        <v>0</v>
      </c>
      <c r="N847" t="n">
        <v>0</v>
      </c>
      <c r="O847" t="n">
        <v>0</v>
      </c>
      <c r="P847" t="n">
        <v>0</v>
      </c>
      <c r="Q847" t="n">
        <v>0</v>
      </c>
      <c r="R847" s="2" t="inlineStr"/>
    </row>
    <row r="848" ht="15" customHeight="1">
      <c r="A848" t="inlineStr">
        <is>
          <t>A 21094-2024</t>
        </is>
      </c>
      <c r="B848" s="1" t="n">
        <v>45440</v>
      </c>
      <c r="C848" s="1" t="n">
        <v>45791</v>
      </c>
      <c r="D848" t="inlineStr">
        <is>
          <t>JÄMTLANDS LÄN</t>
        </is>
      </c>
      <c r="E848" t="inlineStr">
        <is>
          <t>ÖSTERSUND</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21093-2024</t>
        </is>
      </c>
      <c r="B849" s="1" t="n">
        <v>45440</v>
      </c>
      <c r="C849" s="1" t="n">
        <v>45791</v>
      </c>
      <c r="D849" t="inlineStr">
        <is>
          <t>JÄMTLANDS LÄN</t>
        </is>
      </c>
      <c r="E849" t="inlineStr">
        <is>
          <t>ÖSTERSUND</t>
        </is>
      </c>
      <c r="F849" t="inlineStr">
        <is>
          <t>SCA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21373-2024</t>
        </is>
      </c>
      <c r="B850" s="1" t="n">
        <v>45441</v>
      </c>
      <c r="C850" s="1" t="n">
        <v>45791</v>
      </c>
      <c r="D850" t="inlineStr">
        <is>
          <t>JÄMTLANDS LÄN</t>
        </is>
      </c>
      <c r="E850" t="inlineStr">
        <is>
          <t>ÖSTERSUND</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21822-2024</t>
        </is>
      </c>
      <c r="B851" s="1" t="n">
        <v>45442</v>
      </c>
      <c r="C851" s="1" t="n">
        <v>45791</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21667-2024</t>
        </is>
      </c>
      <c r="B852" s="1" t="n">
        <v>45442</v>
      </c>
      <c r="C852" s="1" t="n">
        <v>45791</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22123-2024</t>
        </is>
      </c>
      <c r="B853" s="1" t="n">
        <v>45444</v>
      </c>
      <c r="C853" s="1" t="n">
        <v>45791</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22478-2024</t>
        </is>
      </c>
      <c r="B854" s="1" t="n">
        <v>45447</v>
      </c>
      <c r="C854" s="1" t="n">
        <v>45791</v>
      </c>
      <c r="D854" t="inlineStr">
        <is>
          <t>JÄMTLANDS LÄN</t>
        </is>
      </c>
      <c r="E854" t="inlineStr">
        <is>
          <t>ÖSTERSUND</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23124-2024</t>
        </is>
      </c>
      <c r="B855" s="1" t="n">
        <v>45450</v>
      </c>
      <c r="C855" s="1" t="n">
        <v>45791</v>
      </c>
      <c r="D855" t="inlineStr">
        <is>
          <t>JÄMTLANDS LÄN</t>
        </is>
      </c>
      <c r="E855" t="inlineStr">
        <is>
          <t>ÖSTERSUND</t>
        </is>
      </c>
      <c r="G855" t="n">
        <v>5.8</v>
      </c>
      <c r="H855" t="n">
        <v>0</v>
      </c>
      <c r="I855" t="n">
        <v>0</v>
      </c>
      <c r="J855" t="n">
        <v>0</v>
      </c>
      <c r="K855" t="n">
        <v>0</v>
      </c>
      <c r="L855" t="n">
        <v>0</v>
      </c>
      <c r="M855" t="n">
        <v>0</v>
      </c>
      <c r="N855" t="n">
        <v>0</v>
      </c>
      <c r="O855" t="n">
        <v>0</v>
      </c>
      <c r="P855" t="n">
        <v>0</v>
      </c>
      <c r="Q855" t="n">
        <v>0</v>
      </c>
      <c r="R855" s="2" t="inlineStr"/>
    </row>
    <row r="856" ht="15" customHeight="1">
      <c r="A856" t="inlineStr">
        <is>
          <t>A 23191-2024</t>
        </is>
      </c>
      <c r="B856" s="1" t="n">
        <v>45450</v>
      </c>
      <c r="C856" s="1" t="n">
        <v>45791</v>
      </c>
      <c r="D856" t="inlineStr">
        <is>
          <t>JÄMTLANDS LÄN</t>
        </is>
      </c>
      <c r="E856" t="inlineStr">
        <is>
          <t>ÖSTERSUND</t>
        </is>
      </c>
      <c r="G856" t="n">
        <v>7</v>
      </c>
      <c r="H856" t="n">
        <v>0</v>
      </c>
      <c r="I856" t="n">
        <v>0</v>
      </c>
      <c r="J856" t="n">
        <v>0</v>
      </c>
      <c r="K856" t="n">
        <v>0</v>
      </c>
      <c r="L856" t="n">
        <v>0</v>
      </c>
      <c r="M856" t="n">
        <v>0</v>
      </c>
      <c r="N856" t="n">
        <v>0</v>
      </c>
      <c r="O856" t="n">
        <v>0</v>
      </c>
      <c r="P856" t="n">
        <v>0</v>
      </c>
      <c r="Q856" t="n">
        <v>0</v>
      </c>
      <c r="R856" s="2" t="inlineStr"/>
    </row>
    <row r="857" ht="15" customHeight="1">
      <c r="A857" t="inlineStr">
        <is>
          <t>A 23492-2024</t>
        </is>
      </c>
      <c r="B857" s="1" t="n">
        <v>45453</v>
      </c>
      <c r="C857" s="1" t="n">
        <v>45791</v>
      </c>
      <c r="D857" t="inlineStr">
        <is>
          <t>JÄMTLANDS LÄN</t>
        </is>
      </c>
      <c r="E857" t="inlineStr">
        <is>
          <t>ÖSTERSUND</t>
        </is>
      </c>
      <c r="G857" t="n">
        <v>9.1</v>
      </c>
      <c r="H857" t="n">
        <v>0</v>
      </c>
      <c r="I857" t="n">
        <v>0</v>
      </c>
      <c r="J857" t="n">
        <v>0</v>
      </c>
      <c r="K857" t="n">
        <v>0</v>
      </c>
      <c r="L857" t="n">
        <v>0</v>
      </c>
      <c r="M857" t="n">
        <v>0</v>
      </c>
      <c r="N857" t="n">
        <v>0</v>
      </c>
      <c r="O857" t="n">
        <v>0</v>
      </c>
      <c r="P857" t="n">
        <v>0</v>
      </c>
      <c r="Q857" t="n">
        <v>0</v>
      </c>
      <c r="R857" s="2" t="inlineStr"/>
    </row>
    <row r="858" ht="15" customHeight="1">
      <c r="A858" t="inlineStr">
        <is>
          <t>A 24246-2024</t>
        </is>
      </c>
      <c r="B858" s="1" t="n">
        <v>45457</v>
      </c>
      <c r="C858" s="1" t="n">
        <v>45791</v>
      </c>
      <c r="D858" t="inlineStr">
        <is>
          <t>JÄMTLANDS LÄN</t>
        </is>
      </c>
      <c r="E858" t="inlineStr">
        <is>
          <t>ÖSTERSUND</t>
        </is>
      </c>
      <c r="G858" t="n">
        <v>5.3</v>
      </c>
      <c r="H858" t="n">
        <v>0</v>
      </c>
      <c r="I858" t="n">
        <v>0</v>
      </c>
      <c r="J858" t="n">
        <v>0</v>
      </c>
      <c r="K858" t="n">
        <v>0</v>
      </c>
      <c r="L858" t="n">
        <v>0</v>
      </c>
      <c r="M858" t="n">
        <v>0</v>
      </c>
      <c r="N858" t="n">
        <v>0</v>
      </c>
      <c r="O858" t="n">
        <v>0</v>
      </c>
      <c r="P858" t="n">
        <v>0</v>
      </c>
      <c r="Q858" t="n">
        <v>0</v>
      </c>
      <c r="R858" s="2" t="inlineStr"/>
    </row>
    <row r="859" ht="15" customHeight="1">
      <c r="A859" t="inlineStr">
        <is>
          <t>A 24781-2024</t>
        </is>
      </c>
      <c r="B859" s="1" t="n">
        <v>45460</v>
      </c>
      <c r="C859" s="1" t="n">
        <v>45791</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24786-2024</t>
        </is>
      </c>
      <c r="B860" s="1" t="n">
        <v>45460</v>
      </c>
      <c r="C860" s="1" t="n">
        <v>45791</v>
      </c>
      <c r="D860" t="inlineStr">
        <is>
          <t>JÄMTLANDS LÄN</t>
        </is>
      </c>
      <c r="E860" t="inlineStr">
        <is>
          <t>ÖSTERSUND</t>
        </is>
      </c>
      <c r="G860" t="n">
        <v>0.1</v>
      </c>
      <c r="H860" t="n">
        <v>0</v>
      </c>
      <c r="I860" t="n">
        <v>0</v>
      </c>
      <c r="J860" t="n">
        <v>0</v>
      </c>
      <c r="K860" t="n">
        <v>0</v>
      </c>
      <c r="L860" t="n">
        <v>0</v>
      </c>
      <c r="M860" t="n">
        <v>0</v>
      </c>
      <c r="N860" t="n">
        <v>0</v>
      </c>
      <c r="O860" t="n">
        <v>0</v>
      </c>
      <c r="P860" t="n">
        <v>0</v>
      </c>
      <c r="Q860" t="n">
        <v>0</v>
      </c>
      <c r="R860" s="2" t="inlineStr"/>
    </row>
    <row r="861" ht="15" customHeight="1">
      <c r="A861" t="inlineStr">
        <is>
          <t>A 24605-2024</t>
        </is>
      </c>
      <c r="B861" s="1" t="n">
        <v>45460</v>
      </c>
      <c r="C861" s="1" t="n">
        <v>45791</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25388-2024</t>
        </is>
      </c>
      <c r="B862" s="1" t="n">
        <v>45463</v>
      </c>
      <c r="C862" s="1" t="n">
        <v>45791</v>
      </c>
      <c r="D862" t="inlineStr">
        <is>
          <t>JÄMTLANDS LÄN</t>
        </is>
      </c>
      <c r="E862" t="inlineStr">
        <is>
          <t>ÖSTERSUND</t>
        </is>
      </c>
      <c r="G862" t="n">
        <v>2.7</v>
      </c>
      <c r="H862" t="n">
        <v>0</v>
      </c>
      <c r="I862" t="n">
        <v>0</v>
      </c>
      <c r="J862" t="n">
        <v>0</v>
      </c>
      <c r="K862" t="n">
        <v>0</v>
      </c>
      <c r="L862" t="n">
        <v>0</v>
      </c>
      <c r="M862" t="n">
        <v>0</v>
      </c>
      <c r="N862" t="n">
        <v>0</v>
      </c>
      <c r="O862" t="n">
        <v>0</v>
      </c>
      <c r="P862" t="n">
        <v>0</v>
      </c>
      <c r="Q862" t="n">
        <v>0</v>
      </c>
      <c r="R862" s="2" t="inlineStr"/>
    </row>
    <row r="863" ht="15" customHeight="1">
      <c r="A863" t="inlineStr">
        <is>
          <t>A 25385-2024</t>
        </is>
      </c>
      <c r="B863" s="1" t="n">
        <v>45463</v>
      </c>
      <c r="C863" s="1" t="n">
        <v>45791</v>
      </c>
      <c r="D863" t="inlineStr">
        <is>
          <t>JÄMTLANDS LÄN</t>
        </is>
      </c>
      <c r="E863" t="inlineStr">
        <is>
          <t>ÖSTERSUND</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25187-2024</t>
        </is>
      </c>
      <c r="B864" s="1" t="n">
        <v>45462</v>
      </c>
      <c r="C864" s="1" t="n">
        <v>45791</v>
      </c>
      <c r="D864" t="inlineStr">
        <is>
          <t>JÄMTLANDS LÄN</t>
        </is>
      </c>
      <c r="E864" t="inlineStr">
        <is>
          <t>ÖSTERSUND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26202-2024</t>
        </is>
      </c>
      <c r="B865" s="1" t="n">
        <v>45468</v>
      </c>
      <c r="C865" s="1" t="n">
        <v>45791</v>
      </c>
      <c r="D865" t="inlineStr">
        <is>
          <t>JÄMTLANDS LÄN</t>
        </is>
      </c>
      <c r="E865" t="inlineStr">
        <is>
          <t>ÖSTERSUND</t>
        </is>
      </c>
      <c r="G865" t="n">
        <v>6.7</v>
      </c>
      <c r="H865" t="n">
        <v>0</v>
      </c>
      <c r="I865" t="n">
        <v>0</v>
      </c>
      <c r="J865" t="n">
        <v>0</v>
      </c>
      <c r="K865" t="n">
        <v>0</v>
      </c>
      <c r="L865" t="n">
        <v>0</v>
      </c>
      <c r="M865" t="n">
        <v>0</v>
      </c>
      <c r="N865" t="n">
        <v>0</v>
      </c>
      <c r="O865" t="n">
        <v>0</v>
      </c>
      <c r="P865" t="n">
        <v>0</v>
      </c>
      <c r="Q865" t="n">
        <v>0</v>
      </c>
      <c r="R865" s="2" t="inlineStr"/>
    </row>
    <row r="866" ht="15" customHeight="1">
      <c r="A866" t="inlineStr">
        <is>
          <t>A 27906-2024</t>
        </is>
      </c>
      <c r="B866" s="1" t="n">
        <v>45476</v>
      </c>
      <c r="C866" s="1" t="n">
        <v>45791</v>
      </c>
      <c r="D866" t="inlineStr">
        <is>
          <t>JÄMTLANDS LÄN</t>
        </is>
      </c>
      <c r="E866" t="inlineStr">
        <is>
          <t>ÖSTERSUND</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27689-2024</t>
        </is>
      </c>
      <c r="B867" s="1" t="n">
        <v>45475</v>
      </c>
      <c r="C867" s="1" t="n">
        <v>45791</v>
      </c>
      <c r="D867" t="inlineStr">
        <is>
          <t>JÄMTLANDS LÄN</t>
        </is>
      </c>
      <c r="E867" t="inlineStr">
        <is>
          <t>ÖSTERSUND</t>
        </is>
      </c>
      <c r="G867" t="n">
        <v>0.6</v>
      </c>
      <c r="H867" t="n">
        <v>0</v>
      </c>
      <c r="I867" t="n">
        <v>0</v>
      </c>
      <c r="J867" t="n">
        <v>0</v>
      </c>
      <c r="K867" t="n">
        <v>0</v>
      </c>
      <c r="L867" t="n">
        <v>0</v>
      </c>
      <c r="M867" t="n">
        <v>0</v>
      </c>
      <c r="N867" t="n">
        <v>0</v>
      </c>
      <c r="O867" t="n">
        <v>0</v>
      </c>
      <c r="P867" t="n">
        <v>0</v>
      </c>
      <c r="Q867" t="n">
        <v>0</v>
      </c>
      <c r="R867" s="2" t="inlineStr"/>
    </row>
    <row r="868" ht="15" customHeight="1">
      <c r="A868" t="inlineStr">
        <is>
          <t>A 27764-2024</t>
        </is>
      </c>
      <c r="B868" s="1" t="n">
        <v>45475</v>
      </c>
      <c r="C868" s="1" t="n">
        <v>45791</v>
      </c>
      <c r="D868" t="inlineStr">
        <is>
          <t>JÄMTLANDS LÄN</t>
        </is>
      </c>
      <c r="E868" t="inlineStr">
        <is>
          <t>ÖSTERSUND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27779-2024</t>
        </is>
      </c>
      <c r="B869" s="1" t="n">
        <v>45475</v>
      </c>
      <c r="C869" s="1" t="n">
        <v>45791</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28277-2024</t>
        </is>
      </c>
      <c r="B870" s="1" t="n">
        <v>45477</v>
      </c>
      <c r="C870" s="1" t="n">
        <v>45791</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28179-2024</t>
        </is>
      </c>
      <c r="B871" s="1" t="n">
        <v>45477</v>
      </c>
      <c r="C871" s="1" t="n">
        <v>45791</v>
      </c>
      <c r="D871" t="inlineStr">
        <is>
          <t>JÄMTLANDS LÄN</t>
        </is>
      </c>
      <c r="E871" t="inlineStr">
        <is>
          <t>ÖSTERSUND</t>
        </is>
      </c>
      <c r="G871" t="n">
        <v>2.2</v>
      </c>
      <c r="H871" t="n">
        <v>0</v>
      </c>
      <c r="I871" t="n">
        <v>0</v>
      </c>
      <c r="J871" t="n">
        <v>0</v>
      </c>
      <c r="K871" t="n">
        <v>0</v>
      </c>
      <c r="L871" t="n">
        <v>0</v>
      </c>
      <c r="M871" t="n">
        <v>0</v>
      </c>
      <c r="N871" t="n">
        <v>0</v>
      </c>
      <c r="O871" t="n">
        <v>0</v>
      </c>
      <c r="P871" t="n">
        <v>0</v>
      </c>
      <c r="Q871" t="n">
        <v>0</v>
      </c>
      <c r="R871" s="2" t="inlineStr"/>
    </row>
    <row r="872" ht="15" customHeight="1">
      <c r="A872" t="inlineStr">
        <is>
          <t>A 28180-2024</t>
        </is>
      </c>
      <c r="B872" s="1" t="n">
        <v>45477</v>
      </c>
      <c r="C872" s="1" t="n">
        <v>45791</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28181-2024</t>
        </is>
      </c>
      <c r="B873" s="1" t="n">
        <v>45477</v>
      </c>
      <c r="C873" s="1" t="n">
        <v>45791</v>
      </c>
      <c r="D873" t="inlineStr">
        <is>
          <t>JÄMTLANDS LÄN</t>
        </is>
      </c>
      <c r="E873" t="inlineStr">
        <is>
          <t>ÖSTERSUND</t>
        </is>
      </c>
      <c r="G873" t="n">
        <v>0.7</v>
      </c>
      <c r="H873" t="n">
        <v>0</v>
      </c>
      <c r="I873" t="n">
        <v>0</v>
      </c>
      <c r="J873" t="n">
        <v>0</v>
      </c>
      <c r="K873" t="n">
        <v>0</v>
      </c>
      <c r="L873" t="n">
        <v>0</v>
      </c>
      <c r="M873" t="n">
        <v>0</v>
      </c>
      <c r="N873" t="n">
        <v>0</v>
      </c>
      <c r="O873" t="n">
        <v>0</v>
      </c>
      <c r="P873" t="n">
        <v>0</v>
      </c>
      <c r="Q873" t="n">
        <v>0</v>
      </c>
      <c r="R873" s="2" t="inlineStr"/>
    </row>
    <row r="874" ht="15" customHeight="1">
      <c r="A874" t="inlineStr">
        <is>
          <t>A 28543-2024</t>
        </is>
      </c>
      <c r="B874" s="1" t="n">
        <v>45478</v>
      </c>
      <c r="C874" s="1" t="n">
        <v>45791</v>
      </c>
      <c r="D874" t="inlineStr">
        <is>
          <t>JÄMTLANDS LÄN</t>
        </is>
      </c>
      <c r="E874" t="inlineStr">
        <is>
          <t>ÖSTERSUND</t>
        </is>
      </c>
      <c r="G874" t="n">
        <v>5.6</v>
      </c>
      <c r="H874" t="n">
        <v>0</v>
      </c>
      <c r="I874" t="n">
        <v>0</v>
      </c>
      <c r="J874" t="n">
        <v>0</v>
      </c>
      <c r="K874" t="n">
        <v>0</v>
      </c>
      <c r="L874" t="n">
        <v>0</v>
      </c>
      <c r="M874" t="n">
        <v>0</v>
      </c>
      <c r="N874" t="n">
        <v>0</v>
      </c>
      <c r="O874" t="n">
        <v>0</v>
      </c>
      <c r="P874" t="n">
        <v>0</v>
      </c>
      <c r="Q874" t="n">
        <v>0</v>
      </c>
      <c r="R874" s="2" t="inlineStr"/>
    </row>
    <row r="875" ht="15" customHeight="1">
      <c r="A875" t="inlineStr">
        <is>
          <t>A 29496-2024</t>
        </is>
      </c>
      <c r="B875" s="1" t="n">
        <v>45484</v>
      </c>
      <c r="C875" s="1" t="n">
        <v>45791</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30539-2024</t>
        </is>
      </c>
      <c r="B876" s="1" t="n">
        <v>45492</v>
      </c>
      <c r="C876" s="1" t="n">
        <v>45791</v>
      </c>
      <c r="D876" t="inlineStr">
        <is>
          <t>JÄMTLANDS LÄN</t>
        </is>
      </c>
      <c r="E876" t="inlineStr">
        <is>
          <t>ÖSTERSUND</t>
        </is>
      </c>
      <c r="G876" t="n">
        <v>4.9</v>
      </c>
      <c r="H876" t="n">
        <v>0</v>
      </c>
      <c r="I876" t="n">
        <v>0</v>
      </c>
      <c r="J876" t="n">
        <v>0</v>
      </c>
      <c r="K876" t="n">
        <v>0</v>
      </c>
      <c r="L876" t="n">
        <v>0</v>
      </c>
      <c r="M876" t="n">
        <v>0</v>
      </c>
      <c r="N876" t="n">
        <v>0</v>
      </c>
      <c r="O876" t="n">
        <v>0</v>
      </c>
      <c r="P876" t="n">
        <v>0</v>
      </c>
      <c r="Q876" t="n">
        <v>0</v>
      </c>
      <c r="R876" s="2" t="inlineStr"/>
    </row>
    <row r="877" ht="15" customHeight="1">
      <c r="A877" t="inlineStr">
        <is>
          <t>A 30821-2024</t>
        </is>
      </c>
      <c r="B877" s="1" t="n">
        <v>45497</v>
      </c>
      <c r="C877" s="1" t="n">
        <v>45791</v>
      </c>
      <c r="D877" t="inlineStr">
        <is>
          <t>JÄMTLANDS LÄN</t>
        </is>
      </c>
      <c r="E877" t="inlineStr">
        <is>
          <t>ÖSTERSUND</t>
        </is>
      </c>
      <c r="G877" t="n">
        <v>3.4</v>
      </c>
      <c r="H877" t="n">
        <v>0</v>
      </c>
      <c r="I877" t="n">
        <v>0</v>
      </c>
      <c r="J877" t="n">
        <v>0</v>
      </c>
      <c r="K877" t="n">
        <v>0</v>
      </c>
      <c r="L877" t="n">
        <v>0</v>
      </c>
      <c r="M877" t="n">
        <v>0</v>
      </c>
      <c r="N877" t="n">
        <v>0</v>
      </c>
      <c r="O877" t="n">
        <v>0</v>
      </c>
      <c r="P877" t="n">
        <v>0</v>
      </c>
      <c r="Q877" t="n">
        <v>0</v>
      </c>
      <c r="R877" s="2" t="inlineStr"/>
    </row>
    <row r="878" ht="15" customHeight="1">
      <c r="A878" t="inlineStr">
        <is>
          <t>A 31464-2024</t>
        </is>
      </c>
      <c r="B878" s="1" t="n">
        <v>45506</v>
      </c>
      <c r="C878" s="1" t="n">
        <v>45791</v>
      </c>
      <c r="D878" t="inlineStr">
        <is>
          <t>JÄMTLANDS LÄN</t>
        </is>
      </c>
      <c r="E878" t="inlineStr">
        <is>
          <t>ÖSTERSUND</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31446-2024</t>
        </is>
      </c>
      <c r="B879" s="1" t="n">
        <v>45506</v>
      </c>
      <c r="C879" s="1" t="n">
        <v>45791</v>
      </c>
      <c r="D879" t="inlineStr">
        <is>
          <t>JÄMTLANDS LÄN</t>
        </is>
      </c>
      <c r="E879" t="inlineStr">
        <is>
          <t>ÖSTERSUND</t>
        </is>
      </c>
      <c r="G879" t="n">
        <v>5.5</v>
      </c>
      <c r="H879" t="n">
        <v>0</v>
      </c>
      <c r="I879" t="n">
        <v>0</v>
      </c>
      <c r="J879" t="n">
        <v>0</v>
      </c>
      <c r="K879" t="n">
        <v>0</v>
      </c>
      <c r="L879" t="n">
        <v>0</v>
      </c>
      <c r="M879" t="n">
        <v>0</v>
      </c>
      <c r="N879" t="n">
        <v>0</v>
      </c>
      <c r="O879" t="n">
        <v>0</v>
      </c>
      <c r="P879" t="n">
        <v>0</v>
      </c>
      <c r="Q879" t="n">
        <v>0</v>
      </c>
      <c r="R879" s="2" t="inlineStr"/>
    </row>
    <row r="880" ht="15" customHeight="1">
      <c r="A880" t="inlineStr">
        <is>
          <t>A 31445-2024</t>
        </is>
      </c>
      <c r="B880" s="1" t="n">
        <v>45506</v>
      </c>
      <c r="C880" s="1" t="n">
        <v>45791</v>
      </c>
      <c r="D880" t="inlineStr">
        <is>
          <t>JÄMTLANDS LÄN</t>
        </is>
      </c>
      <c r="E880" t="inlineStr">
        <is>
          <t>ÖSTERSUND</t>
        </is>
      </c>
      <c r="G880" t="n">
        <v>0.8</v>
      </c>
      <c r="H880" t="n">
        <v>0</v>
      </c>
      <c r="I880" t="n">
        <v>0</v>
      </c>
      <c r="J880" t="n">
        <v>0</v>
      </c>
      <c r="K880" t="n">
        <v>0</v>
      </c>
      <c r="L880" t="n">
        <v>0</v>
      </c>
      <c r="M880" t="n">
        <v>0</v>
      </c>
      <c r="N880" t="n">
        <v>0</v>
      </c>
      <c r="O880" t="n">
        <v>0</v>
      </c>
      <c r="P880" t="n">
        <v>0</v>
      </c>
      <c r="Q880" t="n">
        <v>0</v>
      </c>
      <c r="R880" s="2" t="inlineStr"/>
    </row>
    <row r="881" ht="15" customHeight="1">
      <c r="A881" t="inlineStr">
        <is>
          <t>A 32224-2024</t>
        </is>
      </c>
      <c r="B881" s="1" t="n">
        <v>45512</v>
      </c>
      <c r="C881" s="1" t="n">
        <v>45791</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32225-2024</t>
        </is>
      </c>
      <c r="B882" s="1" t="n">
        <v>45512</v>
      </c>
      <c r="C882" s="1" t="n">
        <v>45791</v>
      </c>
      <c r="D882" t="inlineStr">
        <is>
          <t>JÄMTLANDS LÄN</t>
        </is>
      </c>
      <c r="E882" t="inlineStr">
        <is>
          <t>ÖSTERSUND</t>
        </is>
      </c>
      <c r="G882" t="n">
        <v>2</v>
      </c>
      <c r="H882" t="n">
        <v>0</v>
      </c>
      <c r="I882" t="n">
        <v>0</v>
      </c>
      <c r="J882" t="n">
        <v>0</v>
      </c>
      <c r="K882" t="n">
        <v>0</v>
      </c>
      <c r="L882" t="n">
        <v>0</v>
      </c>
      <c r="M882" t="n">
        <v>0</v>
      </c>
      <c r="N882" t="n">
        <v>0</v>
      </c>
      <c r="O882" t="n">
        <v>0</v>
      </c>
      <c r="P882" t="n">
        <v>0</v>
      </c>
      <c r="Q882" t="n">
        <v>0</v>
      </c>
      <c r="R882" s="2" t="inlineStr"/>
    </row>
    <row r="883" ht="15" customHeight="1">
      <c r="A883" t="inlineStr">
        <is>
          <t>A 33091-2024</t>
        </is>
      </c>
      <c r="B883" s="1" t="n">
        <v>45517</v>
      </c>
      <c r="C883" s="1" t="n">
        <v>45791</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33015-2024</t>
        </is>
      </c>
      <c r="B884" s="1" t="n">
        <v>45517</v>
      </c>
      <c r="C884" s="1" t="n">
        <v>45791</v>
      </c>
      <c r="D884" t="inlineStr">
        <is>
          <t>JÄMTLANDS LÄN</t>
        </is>
      </c>
      <c r="E884" t="inlineStr">
        <is>
          <t>ÖSTERSUND</t>
        </is>
      </c>
      <c r="G884" t="n">
        <v>2.6</v>
      </c>
      <c r="H884" t="n">
        <v>0</v>
      </c>
      <c r="I884" t="n">
        <v>0</v>
      </c>
      <c r="J884" t="n">
        <v>0</v>
      </c>
      <c r="K884" t="n">
        <v>0</v>
      </c>
      <c r="L884" t="n">
        <v>0</v>
      </c>
      <c r="M884" t="n">
        <v>0</v>
      </c>
      <c r="N884" t="n">
        <v>0</v>
      </c>
      <c r="O884" t="n">
        <v>0</v>
      </c>
      <c r="P884" t="n">
        <v>0</v>
      </c>
      <c r="Q884" t="n">
        <v>0</v>
      </c>
      <c r="R884" s="2" t="inlineStr"/>
    </row>
    <row r="885" ht="15" customHeight="1">
      <c r="A885" t="inlineStr">
        <is>
          <t>A 33621-2024</t>
        </is>
      </c>
      <c r="B885" s="1" t="n">
        <v>45520</v>
      </c>
      <c r="C885" s="1" t="n">
        <v>45791</v>
      </c>
      <c r="D885" t="inlineStr">
        <is>
          <t>JÄMTLANDS LÄN</t>
        </is>
      </c>
      <c r="E885" t="inlineStr">
        <is>
          <t>ÖSTERSUND</t>
        </is>
      </c>
      <c r="G885" t="n">
        <v>2.1</v>
      </c>
      <c r="H885" t="n">
        <v>0</v>
      </c>
      <c r="I885" t="n">
        <v>0</v>
      </c>
      <c r="J885" t="n">
        <v>0</v>
      </c>
      <c r="K885" t="n">
        <v>0</v>
      </c>
      <c r="L885" t="n">
        <v>0</v>
      </c>
      <c r="M885" t="n">
        <v>0</v>
      </c>
      <c r="N885" t="n">
        <v>0</v>
      </c>
      <c r="O885" t="n">
        <v>0</v>
      </c>
      <c r="P885" t="n">
        <v>0</v>
      </c>
      <c r="Q885" t="n">
        <v>0</v>
      </c>
      <c r="R885" s="2" t="inlineStr"/>
    </row>
    <row r="886" ht="15" customHeight="1">
      <c r="A886" t="inlineStr">
        <is>
          <t>A 33779-2024</t>
        </is>
      </c>
      <c r="B886" s="1" t="n">
        <v>45520</v>
      </c>
      <c r="C886" s="1" t="n">
        <v>45791</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34112-2024</t>
        </is>
      </c>
      <c r="B887" s="1" t="n">
        <v>45524</v>
      </c>
      <c r="C887" s="1" t="n">
        <v>45791</v>
      </c>
      <c r="D887" t="inlineStr">
        <is>
          <t>JÄMTLANDS LÄN</t>
        </is>
      </c>
      <c r="E887" t="inlineStr">
        <is>
          <t>ÖSTERSUND</t>
        </is>
      </c>
      <c r="G887" t="n">
        <v>1.2</v>
      </c>
      <c r="H887" t="n">
        <v>0</v>
      </c>
      <c r="I887" t="n">
        <v>0</v>
      </c>
      <c r="J887" t="n">
        <v>0</v>
      </c>
      <c r="K887" t="n">
        <v>0</v>
      </c>
      <c r="L887" t="n">
        <v>0</v>
      </c>
      <c r="M887" t="n">
        <v>0</v>
      </c>
      <c r="N887" t="n">
        <v>0</v>
      </c>
      <c r="O887" t="n">
        <v>0</v>
      </c>
      <c r="P887" t="n">
        <v>0</v>
      </c>
      <c r="Q887" t="n">
        <v>0</v>
      </c>
      <c r="R887" s="2" t="inlineStr"/>
    </row>
    <row r="888" ht="15" customHeight="1">
      <c r="A888" t="inlineStr">
        <is>
          <t>A 34118-2024</t>
        </is>
      </c>
      <c r="B888" s="1" t="n">
        <v>45524</v>
      </c>
      <c r="C888" s="1" t="n">
        <v>45791</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34470-2024</t>
        </is>
      </c>
      <c r="B889" s="1" t="n">
        <v>45525</v>
      </c>
      <c r="C889" s="1" t="n">
        <v>45791</v>
      </c>
      <c r="D889" t="inlineStr">
        <is>
          <t>JÄMTLANDS LÄN</t>
        </is>
      </c>
      <c r="E889" t="inlineStr">
        <is>
          <t>ÖSTERSUND</t>
        </is>
      </c>
      <c r="G889" t="n">
        <v>7.6</v>
      </c>
      <c r="H889" t="n">
        <v>0</v>
      </c>
      <c r="I889" t="n">
        <v>0</v>
      </c>
      <c r="J889" t="n">
        <v>0</v>
      </c>
      <c r="K889" t="n">
        <v>0</v>
      </c>
      <c r="L889" t="n">
        <v>0</v>
      </c>
      <c r="M889" t="n">
        <v>0</v>
      </c>
      <c r="N889" t="n">
        <v>0</v>
      </c>
      <c r="O889" t="n">
        <v>0</v>
      </c>
      <c r="P889" t="n">
        <v>0</v>
      </c>
      <c r="Q889" t="n">
        <v>0</v>
      </c>
      <c r="R889" s="2" t="inlineStr"/>
    </row>
    <row r="890" ht="15" customHeight="1">
      <c r="A890" t="inlineStr">
        <is>
          <t>A 34507-2024</t>
        </is>
      </c>
      <c r="B890" s="1" t="n">
        <v>45525</v>
      </c>
      <c r="C890" s="1" t="n">
        <v>45791</v>
      </c>
      <c r="D890" t="inlineStr">
        <is>
          <t>JÄMTLANDS LÄN</t>
        </is>
      </c>
      <c r="E890" t="inlineStr">
        <is>
          <t>ÖSTERSUND</t>
        </is>
      </c>
      <c r="G890" t="n">
        <v>0.6</v>
      </c>
      <c r="H890" t="n">
        <v>0</v>
      </c>
      <c r="I890" t="n">
        <v>0</v>
      </c>
      <c r="J890" t="n">
        <v>0</v>
      </c>
      <c r="K890" t="n">
        <v>0</v>
      </c>
      <c r="L890" t="n">
        <v>0</v>
      </c>
      <c r="M890" t="n">
        <v>0</v>
      </c>
      <c r="N890" t="n">
        <v>0</v>
      </c>
      <c r="O890" t="n">
        <v>0</v>
      </c>
      <c r="P890" t="n">
        <v>0</v>
      </c>
      <c r="Q890" t="n">
        <v>0</v>
      </c>
      <c r="R890" s="2" t="inlineStr"/>
    </row>
    <row r="891" ht="15" customHeight="1">
      <c r="A891" t="inlineStr">
        <is>
          <t>A 35984-2024</t>
        </is>
      </c>
      <c r="B891" s="1" t="n">
        <v>45533</v>
      </c>
      <c r="C891" s="1" t="n">
        <v>45791</v>
      </c>
      <c r="D891" t="inlineStr">
        <is>
          <t>JÄMTLANDS LÄN</t>
        </is>
      </c>
      <c r="E891" t="inlineStr">
        <is>
          <t>ÖSTERSUND</t>
        </is>
      </c>
      <c r="G891" t="n">
        <v>2.9</v>
      </c>
      <c r="H891" t="n">
        <v>0</v>
      </c>
      <c r="I891" t="n">
        <v>0</v>
      </c>
      <c r="J891" t="n">
        <v>0</v>
      </c>
      <c r="K891" t="n">
        <v>0</v>
      </c>
      <c r="L891" t="n">
        <v>0</v>
      </c>
      <c r="M891" t="n">
        <v>0</v>
      </c>
      <c r="N891" t="n">
        <v>0</v>
      </c>
      <c r="O891" t="n">
        <v>0</v>
      </c>
      <c r="P891" t="n">
        <v>0</v>
      </c>
      <c r="Q891" t="n">
        <v>0</v>
      </c>
      <c r="R891" s="2" t="inlineStr"/>
    </row>
    <row r="892" ht="15" customHeight="1">
      <c r="A892" t="inlineStr">
        <is>
          <t>A 36465-2024</t>
        </is>
      </c>
      <c r="B892" s="1" t="n">
        <v>45537</v>
      </c>
      <c r="C892" s="1" t="n">
        <v>45791</v>
      </c>
      <c r="D892" t="inlineStr">
        <is>
          <t>JÄMTLANDS LÄN</t>
        </is>
      </c>
      <c r="E892" t="inlineStr">
        <is>
          <t>ÖSTERSUND</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36469-2024</t>
        </is>
      </c>
      <c r="B893" s="1" t="n">
        <v>45537</v>
      </c>
      <c r="C893" s="1" t="n">
        <v>45791</v>
      </c>
      <c r="D893" t="inlineStr">
        <is>
          <t>JÄMTLANDS LÄN</t>
        </is>
      </c>
      <c r="E893" t="inlineStr">
        <is>
          <t>ÖSTERSUND</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37270-2024</t>
        </is>
      </c>
      <c r="B894" s="1" t="n">
        <v>45540</v>
      </c>
      <c r="C894" s="1" t="n">
        <v>45791</v>
      </c>
      <c r="D894" t="inlineStr">
        <is>
          <t>JÄMTLANDS LÄN</t>
        </is>
      </c>
      <c r="E894" t="inlineStr">
        <is>
          <t>ÖSTERSUND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37685-2024</t>
        </is>
      </c>
      <c r="B895" s="1" t="n">
        <v>45541</v>
      </c>
      <c r="C895" s="1" t="n">
        <v>45791</v>
      </c>
      <c r="D895" t="inlineStr">
        <is>
          <t>JÄMTLANDS LÄN</t>
        </is>
      </c>
      <c r="E895" t="inlineStr">
        <is>
          <t>ÖSTERSUND</t>
        </is>
      </c>
      <c r="F895" t="inlineStr">
        <is>
          <t>SCA</t>
        </is>
      </c>
      <c r="G895" t="n">
        <v>11.2</v>
      </c>
      <c r="H895" t="n">
        <v>0</v>
      </c>
      <c r="I895" t="n">
        <v>0</v>
      </c>
      <c r="J895" t="n">
        <v>0</v>
      </c>
      <c r="K895" t="n">
        <v>0</v>
      </c>
      <c r="L895" t="n">
        <v>0</v>
      </c>
      <c r="M895" t="n">
        <v>0</v>
      </c>
      <c r="N895" t="n">
        <v>0</v>
      </c>
      <c r="O895" t="n">
        <v>0</v>
      </c>
      <c r="P895" t="n">
        <v>0</v>
      </c>
      <c r="Q895" t="n">
        <v>0</v>
      </c>
      <c r="R895" s="2" t="inlineStr"/>
    </row>
    <row r="896" ht="15" customHeight="1">
      <c r="A896" t="inlineStr">
        <is>
          <t>A 38926-2024</t>
        </is>
      </c>
      <c r="B896" s="1" t="n">
        <v>45547</v>
      </c>
      <c r="C896" s="1" t="n">
        <v>45791</v>
      </c>
      <c r="D896" t="inlineStr">
        <is>
          <t>JÄMTLANDS LÄN</t>
        </is>
      </c>
      <c r="E896" t="inlineStr">
        <is>
          <t>ÖSTERSUND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38920-2024</t>
        </is>
      </c>
      <c r="B897" s="1" t="n">
        <v>45547</v>
      </c>
      <c r="C897" s="1" t="n">
        <v>45791</v>
      </c>
      <c r="D897" t="inlineStr">
        <is>
          <t>JÄMTLANDS LÄN</t>
        </is>
      </c>
      <c r="E897" t="inlineStr">
        <is>
          <t>ÖSTERSUND</t>
        </is>
      </c>
      <c r="G897" t="n">
        <v>1.9</v>
      </c>
      <c r="H897" t="n">
        <v>0</v>
      </c>
      <c r="I897" t="n">
        <v>0</v>
      </c>
      <c r="J897" t="n">
        <v>0</v>
      </c>
      <c r="K897" t="n">
        <v>0</v>
      </c>
      <c r="L897" t="n">
        <v>0</v>
      </c>
      <c r="M897" t="n">
        <v>0</v>
      </c>
      <c r="N897" t="n">
        <v>0</v>
      </c>
      <c r="O897" t="n">
        <v>0</v>
      </c>
      <c r="P897" t="n">
        <v>0</v>
      </c>
      <c r="Q897" t="n">
        <v>0</v>
      </c>
      <c r="R897" s="2" t="inlineStr"/>
    </row>
    <row r="898" ht="15" customHeight="1">
      <c r="A898" t="inlineStr">
        <is>
          <t>A 38924-2024</t>
        </is>
      </c>
      <c r="B898" s="1" t="n">
        <v>45547</v>
      </c>
      <c r="C898" s="1" t="n">
        <v>45791</v>
      </c>
      <c r="D898" t="inlineStr">
        <is>
          <t>JÄMTLANDS LÄN</t>
        </is>
      </c>
      <c r="E898" t="inlineStr">
        <is>
          <t>ÖSTERSUND</t>
        </is>
      </c>
      <c r="G898" t="n">
        <v>3.5</v>
      </c>
      <c r="H898" t="n">
        <v>0</v>
      </c>
      <c r="I898" t="n">
        <v>0</v>
      </c>
      <c r="J898" t="n">
        <v>0</v>
      </c>
      <c r="K898" t="n">
        <v>0</v>
      </c>
      <c r="L898" t="n">
        <v>0</v>
      </c>
      <c r="M898" t="n">
        <v>0</v>
      </c>
      <c r="N898" t="n">
        <v>0</v>
      </c>
      <c r="O898" t="n">
        <v>0</v>
      </c>
      <c r="P898" t="n">
        <v>0</v>
      </c>
      <c r="Q898" t="n">
        <v>0</v>
      </c>
      <c r="R898" s="2" t="inlineStr"/>
    </row>
    <row r="899" ht="15" customHeight="1">
      <c r="A899" t="inlineStr">
        <is>
          <t>A 39065-2024</t>
        </is>
      </c>
      <c r="B899" s="1" t="n">
        <v>45548</v>
      </c>
      <c r="C899" s="1" t="n">
        <v>45791</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39510-2024</t>
        </is>
      </c>
      <c r="B900" s="1" t="n">
        <v>45551</v>
      </c>
      <c r="C900" s="1" t="n">
        <v>45791</v>
      </c>
      <c r="D900" t="inlineStr">
        <is>
          <t>JÄMTLANDS LÄN</t>
        </is>
      </c>
      <c r="E900" t="inlineStr">
        <is>
          <t>ÖSTERSUND</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39509-2024</t>
        </is>
      </c>
      <c r="B901" s="1" t="n">
        <v>45551</v>
      </c>
      <c r="C901" s="1" t="n">
        <v>45791</v>
      </c>
      <c r="D901" t="inlineStr">
        <is>
          <t>JÄMTLANDS LÄN</t>
        </is>
      </c>
      <c r="E901" t="inlineStr">
        <is>
          <t>ÖSTERSUND</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39915-2024</t>
        </is>
      </c>
      <c r="B902" s="1" t="n">
        <v>45553</v>
      </c>
      <c r="C902" s="1" t="n">
        <v>45791</v>
      </c>
      <c r="D902" t="inlineStr">
        <is>
          <t>JÄMTLANDS LÄN</t>
        </is>
      </c>
      <c r="E902" t="inlineStr">
        <is>
          <t>ÖSTERSUND</t>
        </is>
      </c>
      <c r="G902" t="n">
        <v>1.3</v>
      </c>
      <c r="H902" t="n">
        <v>0</v>
      </c>
      <c r="I902" t="n">
        <v>0</v>
      </c>
      <c r="J902" t="n">
        <v>0</v>
      </c>
      <c r="K902" t="n">
        <v>0</v>
      </c>
      <c r="L902" t="n">
        <v>0</v>
      </c>
      <c r="M902" t="n">
        <v>0</v>
      </c>
      <c r="N902" t="n">
        <v>0</v>
      </c>
      <c r="O902" t="n">
        <v>0</v>
      </c>
      <c r="P902" t="n">
        <v>0</v>
      </c>
      <c r="Q902" t="n">
        <v>0</v>
      </c>
      <c r="R902" s="2" t="inlineStr"/>
    </row>
    <row r="903" ht="15" customHeight="1">
      <c r="A903" t="inlineStr">
        <is>
          <t>A 39975-2024</t>
        </is>
      </c>
      <c r="B903" s="1" t="n">
        <v>45553</v>
      </c>
      <c r="C903" s="1" t="n">
        <v>45791</v>
      </c>
      <c r="D903" t="inlineStr">
        <is>
          <t>JÄMTLANDS LÄN</t>
        </is>
      </c>
      <c r="E903" t="inlineStr">
        <is>
          <t>ÖSTERSUND</t>
        </is>
      </c>
      <c r="G903" t="n">
        <v>3.8</v>
      </c>
      <c r="H903" t="n">
        <v>0</v>
      </c>
      <c r="I903" t="n">
        <v>0</v>
      </c>
      <c r="J903" t="n">
        <v>0</v>
      </c>
      <c r="K903" t="n">
        <v>0</v>
      </c>
      <c r="L903" t="n">
        <v>0</v>
      </c>
      <c r="M903" t="n">
        <v>0</v>
      </c>
      <c r="N903" t="n">
        <v>0</v>
      </c>
      <c r="O903" t="n">
        <v>0</v>
      </c>
      <c r="P903" t="n">
        <v>0</v>
      </c>
      <c r="Q903" t="n">
        <v>0</v>
      </c>
      <c r="R903" s="2" t="inlineStr"/>
    </row>
    <row r="904" ht="15" customHeight="1">
      <c r="A904" t="inlineStr">
        <is>
          <t>A 40672-2024</t>
        </is>
      </c>
      <c r="B904" s="1" t="n">
        <v>45557</v>
      </c>
      <c r="C904" s="1" t="n">
        <v>45791</v>
      </c>
      <c r="D904" t="inlineStr">
        <is>
          <t>JÄMTLANDS LÄN</t>
        </is>
      </c>
      <c r="E904" t="inlineStr">
        <is>
          <t>ÖSTERSUND</t>
        </is>
      </c>
      <c r="G904" t="n">
        <v>5.2</v>
      </c>
      <c r="H904" t="n">
        <v>0</v>
      </c>
      <c r="I904" t="n">
        <v>0</v>
      </c>
      <c r="J904" t="n">
        <v>0</v>
      </c>
      <c r="K904" t="n">
        <v>0</v>
      </c>
      <c r="L904" t="n">
        <v>0</v>
      </c>
      <c r="M904" t="n">
        <v>0</v>
      </c>
      <c r="N904" t="n">
        <v>0</v>
      </c>
      <c r="O904" t="n">
        <v>0</v>
      </c>
      <c r="P904" t="n">
        <v>0</v>
      </c>
      <c r="Q904" t="n">
        <v>0</v>
      </c>
      <c r="R904" s="2" t="inlineStr"/>
    </row>
    <row r="905" ht="15" customHeight="1">
      <c r="A905" t="inlineStr">
        <is>
          <t>A 40983-2024</t>
        </is>
      </c>
      <c r="B905" s="1" t="n">
        <v>45558</v>
      </c>
      <c r="C905" s="1" t="n">
        <v>45791</v>
      </c>
      <c r="D905" t="inlineStr">
        <is>
          <t>JÄMTLANDS LÄN</t>
        </is>
      </c>
      <c r="E905" t="inlineStr">
        <is>
          <t>ÖSTERSUND</t>
        </is>
      </c>
      <c r="F905" t="inlineStr">
        <is>
          <t>SCA</t>
        </is>
      </c>
      <c r="G905" t="n">
        <v>10.6</v>
      </c>
      <c r="H905" t="n">
        <v>0</v>
      </c>
      <c r="I905" t="n">
        <v>0</v>
      </c>
      <c r="J905" t="n">
        <v>0</v>
      </c>
      <c r="K905" t="n">
        <v>0</v>
      </c>
      <c r="L905" t="n">
        <v>0</v>
      </c>
      <c r="M905" t="n">
        <v>0</v>
      </c>
      <c r="N905" t="n">
        <v>0</v>
      </c>
      <c r="O905" t="n">
        <v>0</v>
      </c>
      <c r="P905" t="n">
        <v>0</v>
      </c>
      <c r="Q905" t="n">
        <v>0</v>
      </c>
      <c r="R905" s="2" t="inlineStr"/>
    </row>
    <row r="906" ht="15" customHeight="1">
      <c r="A906" t="inlineStr">
        <is>
          <t>A 41280-2024</t>
        </is>
      </c>
      <c r="B906" s="1" t="n">
        <v>45559</v>
      </c>
      <c r="C906" s="1" t="n">
        <v>45791</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41483-2024</t>
        </is>
      </c>
      <c r="B907" s="1" t="n">
        <v>45560</v>
      </c>
      <c r="C907" s="1" t="n">
        <v>45791</v>
      </c>
      <c r="D907" t="inlineStr">
        <is>
          <t>JÄMTLANDS LÄN</t>
        </is>
      </c>
      <c r="E907" t="inlineStr">
        <is>
          <t>ÖSTERSUND</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41780-2024</t>
        </is>
      </c>
      <c r="B908" s="1" t="n">
        <v>45561</v>
      </c>
      <c r="C908" s="1" t="n">
        <v>45791</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42550-2024</t>
        </is>
      </c>
      <c r="B909" s="1" t="n">
        <v>45565</v>
      </c>
      <c r="C909" s="1" t="n">
        <v>45791</v>
      </c>
      <c r="D909" t="inlineStr">
        <is>
          <t>JÄMTLANDS LÄN</t>
        </is>
      </c>
      <c r="E909" t="inlineStr">
        <is>
          <t>ÖSTERSUND</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42547-2024</t>
        </is>
      </c>
      <c r="B910" s="1" t="n">
        <v>45565</v>
      </c>
      <c r="C910" s="1" t="n">
        <v>45791</v>
      </c>
      <c r="D910" t="inlineStr">
        <is>
          <t>JÄMTLANDS LÄN</t>
        </is>
      </c>
      <c r="E910" t="inlineStr">
        <is>
          <t>ÖSTERSUND</t>
        </is>
      </c>
      <c r="F910" t="inlineStr">
        <is>
          <t>Övriga Aktiebolag</t>
        </is>
      </c>
      <c r="G910" t="n">
        <v>7.1</v>
      </c>
      <c r="H910" t="n">
        <v>0</v>
      </c>
      <c r="I910" t="n">
        <v>0</v>
      </c>
      <c r="J910" t="n">
        <v>0</v>
      </c>
      <c r="K910" t="n">
        <v>0</v>
      </c>
      <c r="L910" t="n">
        <v>0</v>
      </c>
      <c r="M910" t="n">
        <v>0</v>
      </c>
      <c r="N910" t="n">
        <v>0</v>
      </c>
      <c r="O910" t="n">
        <v>0</v>
      </c>
      <c r="P910" t="n">
        <v>0</v>
      </c>
      <c r="Q910" t="n">
        <v>0</v>
      </c>
      <c r="R910" s="2" t="inlineStr"/>
    </row>
    <row r="911" ht="15" customHeight="1">
      <c r="A911" t="inlineStr">
        <is>
          <t>A 43082-2024</t>
        </is>
      </c>
      <c r="B911" s="1" t="n">
        <v>45567</v>
      </c>
      <c r="C911" s="1" t="n">
        <v>45791</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43118-2024</t>
        </is>
      </c>
      <c r="B912" s="1" t="n">
        <v>45567</v>
      </c>
      <c r="C912" s="1" t="n">
        <v>45791</v>
      </c>
      <c r="D912" t="inlineStr">
        <is>
          <t>JÄMTLANDS LÄN</t>
        </is>
      </c>
      <c r="E912" t="inlineStr">
        <is>
          <t>ÖSTERSUND</t>
        </is>
      </c>
      <c r="G912" t="n">
        <v>5.1</v>
      </c>
      <c r="H912" t="n">
        <v>0</v>
      </c>
      <c r="I912" t="n">
        <v>0</v>
      </c>
      <c r="J912" t="n">
        <v>0</v>
      </c>
      <c r="K912" t="n">
        <v>0</v>
      </c>
      <c r="L912" t="n">
        <v>0</v>
      </c>
      <c r="M912" t="n">
        <v>0</v>
      </c>
      <c r="N912" t="n">
        <v>0</v>
      </c>
      <c r="O912" t="n">
        <v>0</v>
      </c>
      <c r="P912" t="n">
        <v>0</v>
      </c>
      <c r="Q912" t="n">
        <v>0</v>
      </c>
      <c r="R912" s="2" t="inlineStr"/>
    </row>
    <row r="913" ht="15" customHeight="1">
      <c r="A913" t="inlineStr">
        <is>
          <t>A 43016-2024</t>
        </is>
      </c>
      <c r="B913" s="1" t="n">
        <v>45567</v>
      </c>
      <c r="C913" s="1" t="n">
        <v>45791</v>
      </c>
      <c r="D913" t="inlineStr">
        <is>
          <t>JÄMTLANDS LÄN</t>
        </is>
      </c>
      <c r="E913" t="inlineStr">
        <is>
          <t>ÖSTERSUND</t>
        </is>
      </c>
      <c r="G913" t="n">
        <v>5.3</v>
      </c>
      <c r="H913" t="n">
        <v>0</v>
      </c>
      <c r="I913" t="n">
        <v>0</v>
      </c>
      <c r="J913" t="n">
        <v>0</v>
      </c>
      <c r="K913" t="n">
        <v>0</v>
      </c>
      <c r="L913" t="n">
        <v>0</v>
      </c>
      <c r="M913" t="n">
        <v>0</v>
      </c>
      <c r="N913" t="n">
        <v>0</v>
      </c>
      <c r="O913" t="n">
        <v>0</v>
      </c>
      <c r="P913" t="n">
        <v>0</v>
      </c>
      <c r="Q913" t="n">
        <v>0</v>
      </c>
      <c r="R913" s="2" t="inlineStr"/>
    </row>
    <row r="914" ht="15" customHeight="1">
      <c r="A914" t="inlineStr">
        <is>
          <t>A 43148-2024</t>
        </is>
      </c>
      <c r="B914" s="1" t="n">
        <v>45567</v>
      </c>
      <c r="C914" s="1" t="n">
        <v>45791</v>
      </c>
      <c r="D914" t="inlineStr">
        <is>
          <t>JÄMTLANDS LÄN</t>
        </is>
      </c>
      <c r="E914" t="inlineStr">
        <is>
          <t>ÖSTERSUND</t>
        </is>
      </c>
      <c r="G914" t="n">
        <v>3</v>
      </c>
      <c r="H914" t="n">
        <v>0</v>
      </c>
      <c r="I914" t="n">
        <v>0</v>
      </c>
      <c r="J914" t="n">
        <v>0</v>
      </c>
      <c r="K914" t="n">
        <v>0</v>
      </c>
      <c r="L914" t="n">
        <v>0</v>
      </c>
      <c r="M914" t="n">
        <v>0</v>
      </c>
      <c r="N914" t="n">
        <v>0</v>
      </c>
      <c r="O914" t="n">
        <v>0</v>
      </c>
      <c r="P914" t="n">
        <v>0</v>
      </c>
      <c r="Q914" t="n">
        <v>0</v>
      </c>
      <c r="R914" s="2" t="inlineStr"/>
    </row>
    <row r="915" ht="15" customHeight="1">
      <c r="A915" t="inlineStr">
        <is>
          <t>A 43557-2024</t>
        </is>
      </c>
      <c r="B915" s="1" t="n">
        <v>45569</v>
      </c>
      <c r="C915" s="1" t="n">
        <v>45791</v>
      </c>
      <c r="D915" t="inlineStr">
        <is>
          <t>JÄMTLANDS LÄN</t>
        </is>
      </c>
      <c r="E915" t="inlineStr">
        <is>
          <t>ÖSTERSUND</t>
        </is>
      </c>
      <c r="G915" t="n">
        <v>3.6</v>
      </c>
      <c r="H915" t="n">
        <v>0</v>
      </c>
      <c r="I915" t="n">
        <v>0</v>
      </c>
      <c r="J915" t="n">
        <v>0</v>
      </c>
      <c r="K915" t="n">
        <v>0</v>
      </c>
      <c r="L915" t="n">
        <v>0</v>
      </c>
      <c r="M915" t="n">
        <v>0</v>
      </c>
      <c r="N915" t="n">
        <v>0</v>
      </c>
      <c r="O915" t="n">
        <v>0</v>
      </c>
      <c r="P915" t="n">
        <v>0</v>
      </c>
      <c r="Q915" t="n">
        <v>0</v>
      </c>
      <c r="R915" s="2" t="inlineStr"/>
    </row>
    <row r="916" ht="15" customHeight="1">
      <c r="A916" t="inlineStr">
        <is>
          <t>A 43560-2024</t>
        </is>
      </c>
      <c r="B916" s="1" t="n">
        <v>45569</v>
      </c>
      <c r="C916" s="1" t="n">
        <v>45791</v>
      </c>
      <c r="D916" t="inlineStr">
        <is>
          <t>JÄMTLANDS LÄN</t>
        </is>
      </c>
      <c r="E916" t="inlineStr">
        <is>
          <t>ÖSTERSUND</t>
        </is>
      </c>
      <c r="G916" t="n">
        <v>2.7</v>
      </c>
      <c r="H916" t="n">
        <v>0</v>
      </c>
      <c r="I916" t="n">
        <v>0</v>
      </c>
      <c r="J916" t="n">
        <v>0</v>
      </c>
      <c r="K916" t="n">
        <v>0</v>
      </c>
      <c r="L916" t="n">
        <v>0</v>
      </c>
      <c r="M916" t="n">
        <v>0</v>
      </c>
      <c r="N916" t="n">
        <v>0</v>
      </c>
      <c r="O916" t="n">
        <v>0</v>
      </c>
      <c r="P916" t="n">
        <v>0</v>
      </c>
      <c r="Q916" t="n">
        <v>0</v>
      </c>
      <c r="R916" s="2" t="inlineStr"/>
    </row>
    <row r="917" ht="15" customHeight="1">
      <c r="A917" t="inlineStr">
        <is>
          <t>A 44048-2024</t>
        </is>
      </c>
      <c r="B917" s="1" t="n">
        <v>45572</v>
      </c>
      <c r="C917" s="1" t="n">
        <v>45791</v>
      </c>
      <c r="D917" t="inlineStr">
        <is>
          <t>JÄMTLANDS LÄN</t>
        </is>
      </c>
      <c r="E917" t="inlineStr">
        <is>
          <t>ÖSTERSUND</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44489-2024</t>
        </is>
      </c>
      <c r="B918" s="1" t="n">
        <v>45574</v>
      </c>
      <c r="C918" s="1" t="n">
        <v>45791</v>
      </c>
      <c r="D918" t="inlineStr">
        <is>
          <t>JÄMTLANDS LÄN</t>
        </is>
      </c>
      <c r="E918" t="inlineStr">
        <is>
          <t>ÖSTERSUND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44707-2024</t>
        </is>
      </c>
      <c r="B919" s="1" t="n">
        <v>45574</v>
      </c>
      <c r="C919" s="1" t="n">
        <v>45791</v>
      </c>
      <c r="D919" t="inlineStr">
        <is>
          <t>JÄMTLANDS LÄN</t>
        </is>
      </c>
      <c r="E919" t="inlineStr">
        <is>
          <t>ÖSTERSUND</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45341-2024</t>
        </is>
      </c>
      <c r="B920" s="1" t="n">
        <v>45576</v>
      </c>
      <c r="C920" s="1" t="n">
        <v>45791</v>
      </c>
      <c r="D920" t="inlineStr">
        <is>
          <t>JÄMTLANDS LÄN</t>
        </is>
      </c>
      <c r="E920" t="inlineStr">
        <is>
          <t>ÖSTERSUND</t>
        </is>
      </c>
      <c r="G920" t="n">
        <v>5.9</v>
      </c>
      <c r="H920" t="n">
        <v>0</v>
      </c>
      <c r="I920" t="n">
        <v>0</v>
      </c>
      <c r="J920" t="n">
        <v>0</v>
      </c>
      <c r="K920" t="n">
        <v>0</v>
      </c>
      <c r="L920" t="n">
        <v>0</v>
      </c>
      <c r="M920" t="n">
        <v>0</v>
      </c>
      <c r="N920" t="n">
        <v>0</v>
      </c>
      <c r="O920" t="n">
        <v>0</v>
      </c>
      <c r="P920" t="n">
        <v>0</v>
      </c>
      <c r="Q920" t="n">
        <v>0</v>
      </c>
      <c r="R920" s="2" t="inlineStr"/>
    </row>
    <row r="921" ht="15" customHeight="1">
      <c r="A921" t="inlineStr">
        <is>
          <t>A 45338-2024</t>
        </is>
      </c>
      <c r="B921" s="1" t="n">
        <v>45576</v>
      </c>
      <c r="C921" s="1" t="n">
        <v>45791</v>
      </c>
      <c r="D921" t="inlineStr">
        <is>
          <t>JÄMTLANDS LÄN</t>
        </is>
      </c>
      <c r="E921" t="inlineStr">
        <is>
          <t>ÖSTERSUND</t>
        </is>
      </c>
      <c r="G921" t="n">
        <v>1.4</v>
      </c>
      <c r="H921" t="n">
        <v>0</v>
      </c>
      <c r="I921" t="n">
        <v>0</v>
      </c>
      <c r="J921" t="n">
        <v>0</v>
      </c>
      <c r="K921" t="n">
        <v>0</v>
      </c>
      <c r="L921" t="n">
        <v>0</v>
      </c>
      <c r="M921" t="n">
        <v>0</v>
      </c>
      <c r="N921" t="n">
        <v>0</v>
      </c>
      <c r="O921" t="n">
        <v>0</v>
      </c>
      <c r="P921" t="n">
        <v>0</v>
      </c>
      <c r="Q921" t="n">
        <v>0</v>
      </c>
      <c r="R921" s="2" t="inlineStr"/>
    </row>
    <row r="922" ht="15" customHeight="1">
      <c r="A922" t="inlineStr">
        <is>
          <t>A 45340-2024</t>
        </is>
      </c>
      <c r="B922" s="1" t="n">
        <v>45576</v>
      </c>
      <c r="C922" s="1" t="n">
        <v>45791</v>
      </c>
      <c r="D922" t="inlineStr">
        <is>
          <t>JÄMTLANDS LÄN</t>
        </is>
      </c>
      <c r="E922" t="inlineStr">
        <is>
          <t>ÖSTERSUND</t>
        </is>
      </c>
      <c r="G922" t="n">
        <v>1.6</v>
      </c>
      <c r="H922" t="n">
        <v>0</v>
      </c>
      <c r="I922" t="n">
        <v>0</v>
      </c>
      <c r="J922" t="n">
        <v>0</v>
      </c>
      <c r="K922" t="n">
        <v>0</v>
      </c>
      <c r="L922" t="n">
        <v>0</v>
      </c>
      <c r="M922" t="n">
        <v>0</v>
      </c>
      <c r="N922" t="n">
        <v>0</v>
      </c>
      <c r="O922" t="n">
        <v>0</v>
      </c>
      <c r="P922" t="n">
        <v>0</v>
      </c>
      <c r="Q922" t="n">
        <v>0</v>
      </c>
      <c r="R922" s="2" t="inlineStr"/>
    </row>
    <row r="923" ht="15" customHeight="1">
      <c r="A923" t="inlineStr">
        <is>
          <t>A 45610-2024</t>
        </is>
      </c>
      <c r="B923" s="1" t="n">
        <v>45579</v>
      </c>
      <c r="C923" s="1" t="n">
        <v>45791</v>
      </c>
      <c r="D923" t="inlineStr">
        <is>
          <t>JÄMTLANDS LÄN</t>
        </is>
      </c>
      <c r="E923" t="inlineStr">
        <is>
          <t>ÖSTERSUND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45742-2024</t>
        </is>
      </c>
      <c r="B924" s="1" t="n">
        <v>45579</v>
      </c>
      <c r="C924" s="1" t="n">
        <v>45791</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45895-2024</t>
        </is>
      </c>
      <c r="B925" s="1" t="n">
        <v>45580</v>
      </c>
      <c r="C925" s="1" t="n">
        <v>45791</v>
      </c>
      <c r="D925" t="inlineStr">
        <is>
          <t>JÄMTLANDS LÄN</t>
        </is>
      </c>
      <c r="E925" t="inlineStr">
        <is>
          <t>ÖSTERSUND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45856-2024</t>
        </is>
      </c>
      <c r="B926" s="1" t="n">
        <v>45580</v>
      </c>
      <c r="C926" s="1" t="n">
        <v>45791</v>
      </c>
      <c r="D926" t="inlineStr">
        <is>
          <t>JÄMTLANDS LÄN</t>
        </is>
      </c>
      <c r="E926" t="inlineStr">
        <is>
          <t>ÖSTERSUND</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46732-2024</t>
        </is>
      </c>
      <c r="B927" s="1" t="n">
        <v>45583</v>
      </c>
      <c r="C927" s="1" t="n">
        <v>45791</v>
      </c>
      <c r="D927" t="inlineStr">
        <is>
          <t>JÄMTLANDS LÄN</t>
        </is>
      </c>
      <c r="E927" t="inlineStr">
        <is>
          <t>ÖSTERSUND</t>
        </is>
      </c>
      <c r="G927" t="n">
        <v>3.3</v>
      </c>
      <c r="H927" t="n">
        <v>0</v>
      </c>
      <c r="I927" t="n">
        <v>0</v>
      </c>
      <c r="J927" t="n">
        <v>0</v>
      </c>
      <c r="K927" t="n">
        <v>0</v>
      </c>
      <c r="L927" t="n">
        <v>0</v>
      </c>
      <c r="M927" t="n">
        <v>0</v>
      </c>
      <c r="N927" t="n">
        <v>0</v>
      </c>
      <c r="O927" t="n">
        <v>0</v>
      </c>
      <c r="P927" t="n">
        <v>0</v>
      </c>
      <c r="Q927" t="n">
        <v>0</v>
      </c>
      <c r="R927" s="2" t="inlineStr"/>
    </row>
    <row r="928" ht="15" customHeight="1">
      <c r="A928" t="inlineStr">
        <is>
          <t>A 47245-2024</t>
        </is>
      </c>
      <c r="B928" s="1" t="n">
        <v>45586</v>
      </c>
      <c r="C928" s="1" t="n">
        <v>45791</v>
      </c>
      <c r="D928" t="inlineStr">
        <is>
          <t>JÄMTLANDS LÄN</t>
        </is>
      </c>
      <c r="E928" t="inlineStr">
        <is>
          <t>ÖSTERSUND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47022-2024</t>
        </is>
      </c>
      <c r="B929" s="1" t="n">
        <v>45586</v>
      </c>
      <c r="C929" s="1" t="n">
        <v>45791</v>
      </c>
      <c r="D929" t="inlineStr">
        <is>
          <t>JÄMTLANDS LÄN</t>
        </is>
      </c>
      <c r="E929" t="inlineStr">
        <is>
          <t>ÖSTERSUND</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47357-2024</t>
        </is>
      </c>
      <c r="B930" s="1" t="n">
        <v>45587</v>
      </c>
      <c r="C930" s="1" t="n">
        <v>45791</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47804-2024</t>
        </is>
      </c>
      <c r="B931" s="1" t="n">
        <v>45588</v>
      </c>
      <c r="C931" s="1" t="n">
        <v>45791</v>
      </c>
      <c r="D931" t="inlineStr">
        <is>
          <t>JÄMTLANDS LÄN</t>
        </is>
      </c>
      <c r="E931" t="inlineStr">
        <is>
          <t>ÖSTERSUND</t>
        </is>
      </c>
      <c r="F931" t="inlineStr">
        <is>
          <t>SCA</t>
        </is>
      </c>
      <c r="G931" t="n">
        <v>7.3</v>
      </c>
      <c r="H931" t="n">
        <v>0</v>
      </c>
      <c r="I931" t="n">
        <v>0</v>
      </c>
      <c r="J931" t="n">
        <v>0</v>
      </c>
      <c r="K931" t="n">
        <v>0</v>
      </c>
      <c r="L931" t="n">
        <v>0</v>
      </c>
      <c r="M931" t="n">
        <v>0</v>
      </c>
      <c r="N931" t="n">
        <v>0</v>
      </c>
      <c r="O931" t="n">
        <v>0</v>
      </c>
      <c r="P931" t="n">
        <v>0</v>
      </c>
      <c r="Q931" t="n">
        <v>0</v>
      </c>
      <c r="R931" s="2" t="inlineStr"/>
    </row>
    <row r="932" ht="15" customHeight="1">
      <c r="A932" t="inlineStr">
        <is>
          <t>A 47630-2024</t>
        </is>
      </c>
      <c r="B932" s="1" t="n">
        <v>45588</v>
      </c>
      <c r="C932" s="1" t="n">
        <v>45791</v>
      </c>
      <c r="D932" t="inlineStr">
        <is>
          <t>JÄMTLANDS LÄN</t>
        </is>
      </c>
      <c r="E932" t="inlineStr">
        <is>
          <t>ÖSTERSUND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47628-2024</t>
        </is>
      </c>
      <c r="B933" s="1" t="n">
        <v>45588</v>
      </c>
      <c r="C933" s="1" t="n">
        <v>45791</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47789-2024</t>
        </is>
      </c>
      <c r="B934" s="1" t="n">
        <v>45588</v>
      </c>
      <c r="C934" s="1" t="n">
        <v>45791</v>
      </c>
      <c r="D934" t="inlineStr">
        <is>
          <t>JÄMTLANDS LÄN</t>
        </is>
      </c>
      <c r="E934" t="inlineStr">
        <is>
          <t>ÖSTERSUND</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47805-2024</t>
        </is>
      </c>
      <c r="B935" s="1" t="n">
        <v>45588</v>
      </c>
      <c r="C935" s="1" t="n">
        <v>45791</v>
      </c>
      <c r="D935" t="inlineStr">
        <is>
          <t>JÄMTLANDS LÄN</t>
        </is>
      </c>
      <c r="E935" t="inlineStr">
        <is>
          <t>ÖSTERSUND</t>
        </is>
      </c>
      <c r="G935" t="n">
        <v>7.4</v>
      </c>
      <c r="H935" t="n">
        <v>0</v>
      </c>
      <c r="I935" t="n">
        <v>0</v>
      </c>
      <c r="J935" t="n">
        <v>0</v>
      </c>
      <c r="K935" t="n">
        <v>0</v>
      </c>
      <c r="L935" t="n">
        <v>0</v>
      </c>
      <c r="M935" t="n">
        <v>0</v>
      </c>
      <c r="N935" t="n">
        <v>0</v>
      </c>
      <c r="O935" t="n">
        <v>0</v>
      </c>
      <c r="P935" t="n">
        <v>0</v>
      </c>
      <c r="Q935" t="n">
        <v>0</v>
      </c>
      <c r="R935" s="2" t="inlineStr"/>
    </row>
    <row r="936" ht="15" customHeight="1">
      <c r="A936" t="inlineStr">
        <is>
          <t>A 47627-2024</t>
        </is>
      </c>
      <c r="B936" s="1" t="n">
        <v>45588</v>
      </c>
      <c r="C936" s="1" t="n">
        <v>45791</v>
      </c>
      <c r="D936" t="inlineStr">
        <is>
          <t>JÄMTLANDS LÄN</t>
        </is>
      </c>
      <c r="E936" t="inlineStr">
        <is>
          <t>ÖSTERSUND</t>
        </is>
      </c>
      <c r="G936" t="n">
        <v>0.8</v>
      </c>
      <c r="H936" t="n">
        <v>0</v>
      </c>
      <c r="I936" t="n">
        <v>0</v>
      </c>
      <c r="J936" t="n">
        <v>0</v>
      </c>
      <c r="K936" t="n">
        <v>0</v>
      </c>
      <c r="L936" t="n">
        <v>0</v>
      </c>
      <c r="M936" t="n">
        <v>0</v>
      </c>
      <c r="N936" t="n">
        <v>0</v>
      </c>
      <c r="O936" t="n">
        <v>0</v>
      </c>
      <c r="P936" t="n">
        <v>0</v>
      </c>
      <c r="Q936" t="n">
        <v>0</v>
      </c>
      <c r="R936" s="2" t="inlineStr"/>
    </row>
    <row r="937" ht="15" customHeight="1">
      <c r="A937" t="inlineStr">
        <is>
          <t>A 48131-2024</t>
        </is>
      </c>
      <c r="B937" s="1" t="n">
        <v>45589</v>
      </c>
      <c r="C937" s="1" t="n">
        <v>45791</v>
      </c>
      <c r="D937" t="inlineStr">
        <is>
          <t>JÄMTLANDS LÄN</t>
        </is>
      </c>
      <c r="E937" t="inlineStr">
        <is>
          <t>ÖSTERSUND</t>
        </is>
      </c>
      <c r="G937" t="n">
        <v>2.6</v>
      </c>
      <c r="H937" t="n">
        <v>0</v>
      </c>
      <c r="I937" t="n">
        <v>0</v>
      </c>
      <c r="J937" t="n">
        <v>0</v>
      </c>
      <c r="K937" t="n">
        <v>0</v>
      </c>
      <c r="L937" t="n">
        <v>0</v>
      </c>
      <c r="M937" t="n">
        <v>0</v>
      </c>
      <c r="N937" t="n">
        <v>0</v>
      </c>
      <c r="O937" t="n">
        <v>0</v>
      </c>
      <c r="P937" t="n">
        <v>0</v>
      </c>
      <c r="Q937" t="n">
        <v>0</v>
      </c>
      <c r="R937" s="2" t="inlineStr"/>
    </row>
    <row r="938" ht="15" customHeight="1">
      <c r="A938" t="inlineStr">
        <is>
          <t>A 48106-2024</t>
        </is>
      </c>
      <c r="B938" s="1" t="n">
        <v>45589</v>
      </c>
      <c r="C938" s="1" t="n">
        <v>45791</v>
      </c>
      <c r="D938" t="inlineStr">
        <is>
          <t>JÄMTLANDS LÄN</t>
        </is>
      </c>
      <c r="E938" t="inlineStr">
        <is>
          <t>ÖSTERSUND</t>
        </is>
      </c>
      <c r="G938" t="n">
        <v>3.5</v>
      </c>
      <c r="H938" t="n">
        <v>0</v>
      </c>
      <c r="I938" t="n">
        <v>0</v>
      </c>
      <c r="J938" t="n">
        <v>0</v>
      </c>
      <c r="K938" t="n">
        <v>0</v>
      </c>
      <c r="L938" t="n">
        <v>0</v>
      </c>
      <c r="M938" t="n">
        <v>0</v>
      </c>
      <c r="N938" t="n">
        <v>0</v>
      </c>
      <c r="O938" t="n">
        <v>0</v>
      </c>
      <c r="P938" t="n">
        <v>0</v>
      </c>
      <c r="Q938" t="n">
        <v>0</v>
      </c>
      <c r="R938" s="2" t="inlineStr"/>
    </row>
    <row r="939" ht="15" customHeight="1">
      <c r="A939" t="inlineStr">
        <is>
          <t>A 48421-2024</t>
        </is>
      </c>
      <c r="B939" s="1" t="n">
        <v>45590</v>
      </c>
      <c r="C939" s="1" t="n">
        <v>45791</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48422-2024</t>
        </is>
      </c>
      <c r="B940" s="1" t="n">
        <v>45590</v>
      </c>
      <c r="C940" s="1" t="n">
        <v>45791</v>
      </c>
      <c r="D940" t="inlineStr">
        <is>
          <t>JÄMTLANDS LÄN</t>
        </is>
      </c>
      <c r="E940" t="inlineStr">
        <is>
          <t>ÖSTERSUND</t>
        </is>
      </c>
      <c r="G940" t="n">
        <v>14.6</v>
      </c>
      <c r="H940" t="n">
        <v>0</v>
      </c>
      <c r="I940" t="n">
        <v>0</v>
      </c>
      <c r="J940" t="n">
        <v>0</v>
      </c>
      <c r="K940" t="n">
        <v>0</v>
      </c>
      <c r="L940" t="n">
        <v>0</v>
      </c>
      <c r="M940" t="n">
        <v>0</v>
      </c>
      <c r="N940" t="n">
        <v>0</v>
      </c>
      <c r="O940" t="n">
        <v>0</v>
      </c>
      <c r="P940" t="n">
        <v>0</v>
      </c>
      <c r="Q940" t="n">
        <v>0</v>
      </c>
      <c r="R940" s="2" t="inlineStr"/>
    </row>
    <row r="941" ht="15" customHeight="1">
      <c r="A941" t="inlineStr">
        <is>
          <t>A 48696-2024</t>
        </is>
      </c>
      <c r="B941" s="1" t="n">
        <v>45593</v>
      </c>
      <c r="C941" s="1" t="n">
        <v>45791</v>
      </c>
      <c r="D941" t="inlineStr">
        <is>
          <t>JÄMTLANDS LÄN</t>
        </is>
      </c>
      <c r="E941" t="inlineStr">
        <is>
          <t>ÖSTERSUND</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48737-2024</t>
        </is>
      </c>
      <c r="B942" s="1" t="n">
        <v>45593</v>
      </c>
      <c r="C942" s="1" t="n">
        <v>45791</v>
      </c>
      <c r="D942" t="inlineStr">
        <is>
          <t>JÄMTLANDS LÄN</t>
        </is>
      </c>
      <c r="E942" t="inlineStr">
        <is>
          <t>ÖSTERSUND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49192-2024</t>
        </is>
      </c>
      <c r="B943" s="1" t="n">
        <v>45595</v>
      </c>
      <c r="C943" s="1" t="n">
        <v>45791</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49240-2024</t>
        </is>
      </c>
      <c r="B944" s="1" t="n">
        <v>45595</v>
      </c>
      <c r="C944" s="1" t="n">
        <v>45791</v>
      </c>
      <c r="D944" t="inlineStr">
        <is>
          <t>JÄMTLANDS LÄN</t>
        </is>
      </c>
      <c r="E944" t="inlineStr">
        <is>
          <t>ÖSTERSUND</t>
        </is>
      </c>
      <c r="G944" t="n">
        <v>5.1</v>
      </c>
      <c r="H944" t="n">
        <v>0</v>
      </c>
      <c r="I944" t="n">
        <v>0</v>
      </c>
      <c r="J944" t="n">
        <v>0</v>
      </c>
      <c r="K944" t="n">
        <v>0</v>
      </c>
      <c r="L944" t="n">
        <v>0</v>
      </c>
      <c r="M944" t="n">
        <v>0</v>
      </c>
      <c r="N944" t="n">
        <v>0</v>
      </c>
      <c r="O944" t="n">
        <v>0</v>
      </c>
      <c r="P944" t="n">
        <v>0</v>
      </c>
      <c r="Q944" t="n">
        <v>0</v>
      </c>
      <c r="R944" s="2" t="inlineStr"/>
    </row>
    <row r="945" ht="15" customHeight="1">
      <c r="A945" t="inlineStr">
        <is>
          <t>A 49546-2024</t>
        </is>
      </c>
      <c r="B945" s="1" t="n">
        <v>45596</v>
      </c>
      <c r="C945" s="1" t="n">
        <v>45791</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49592-2024</t>
        </is>
      </c>
      <c r="B946" s="1" t="n">
        <v>45596</v>
      </c>
      <c r="C946" s="1" t="n">
        <v>45791</v>
      </c>
      <c r="D946" t="inlineStr">
        <is>
          <t>JÄMTLANDS LÄN</t>
        </is>
      </c>
      <c r="E946" t="inlineStr">
        <is>
          <t>ÖSTERSUND</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49788-2024</t>
        </is>
      </c>
      <c r="B947" s="1" t="n">
        <v>45597</v>
      </c>
      <c r="C947" s="1" t="n">
        <v>45791</v>
      </c>
      <c r="D947" t="inlineStr">
        <is>
          <t>JÄMTLANDS LÄN</t>
        </is>
      </c>
      <c r="E947" t="inlineStr">
        <is>
          <t>ÖSTERSUND</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50088-2024</t>
        </is>
      </c>
      <c r="B948" s="1" t="n">
        <v>45600</v>
      </c>
      <c r="C948" s="1" t="n">
        <v>45791</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50218-2024</t>
        </is>
      </c>
      <c r="B949" s="1" t="n">
        <v>45600</v>
      </c>
      <c r="C949" s="1" t="n">
        <v>45791</v>
      </c>
      <c r="D949" t="inlineStr">
        <is>
          <t>JÄMTLANDS LÄN</t>
        </is>
      </c>
      <c r="E949" t="inlineStr">
        <is>
          <t>ÖSTERSUND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50560-2024</t>
        </is>
      </c>
      <c r="B950" s="1" t="n">
        <v>45601</v>
      </c>
      <c r="C950" s="1" t="n">
        <v>45791</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50860-2024</t>
        </is>
      </c>
      <c r="B951" s="1" t="n">
        <v>45602</v>
      </c>
      <c r="C951" s="1" t="n">
        <v>45791</v>
      </c>
      <c r="D951" t="inlineStr">
        <is>
          <t>JÄMTLANDS LÄN</t>
        </is>
      </c>
      <c r="E951" t="inlineStr">
        <is>
          <t>ÖSTERSUND</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50861-2024</t>
        </is>
      </c>
      <c r="B952" s="1" t="n">
        <v>45602</v>
      </c>
      <c r="C952" s="1" t="n">
        <v>45791</v>
      </c>
      <c r="D952" t="inlineStr">
        <is>
          <t>JÄMTLANDS LÄN</t>
        </is>
      </c>
      <c r="E952" t="inlineStr">
        <is>
          <t>ÖSTERSUND</t>
        </is>
      </c>
      <c r="G952" t="n">
        <v>5</v>
      </c>
      <c r="H952" t="n">
        <v>0</v>
      </c>
      <c r="I952" t="n">
        <v>0</v>
      </c>
      <c r="J952" t="n">
        <v>0</v>
      </c>
      <c r="K952" t="n">
        <v>0</v>
      </c>
      <c r="L952" t="n">
        <v>0</v>
      </c>
      <c r="M952" t="n">
        <v>0</v>
      </c>
      <c r="N952" t="n">
        <v>0</v>
      </c>
      <c r="O952" t="n">
        <v>0</v>
      </c>
      <c r="P952" t="n">
        <v>0</v>
      </c>
      <c r="Q952" t="n">
        <v>0</v>
      </c>
      <c r="R952" s="2" t="inlineStr"/>
    </row>
    <row r="953" ht="15" customHeight="1">
      <c r="A953" t="inlineStr">
        <is>
          <t>A 50971-2024</t>
        </is>
      </c>
      <c r="B953" s="1" t="n">
        <v>45603</v>
      </c>
      <c r="C953" s="1" t="n">
        <v>45791</v>
      </c>
      <c r="D953" t="inlineStr">
        <is>
          <t>JÄMTLANDS LÄN</t>
        </is>
      </c>
      <c r="E953" t="inlineStr">
        <is>
          <t>ÖSTERSUND</t>
        </is>
      </c>
      <c r="G953" t="n">
        <v>3.2</v>
      </c>
      <c r="H953" t="n">
        <v>0</v>
      </c>
      <c r="I953" t="n">
        <v>0</v>
      </c>
      <c r="J953" t="n">
        <v>0</v>
      </c>
      <c r="K953" t="n">
        <v>0</v>
      </c>
      <c r="L953" t="n">
        <v>0</v>
      </c>
      <c r="M953" t="n">
        <v>0</v>
      </c>
      <c r="N953" t="n">
        <v>0</v>
      </c>
      <c r="O953" t="n">
        <v>0</v>
      </c>
      <c r="P953" t="n">
        <v>0</v>
      </c>
      <c r="Q953" t="n">
        <v>0</v>
      </c>
      <c r="R953" s="2" t="inlineStr"/>
    </row>
    <row r="954" ht="15" customHeight="1">
      <c r="A954" t="inlineStr">
        <is>
          <t>A 51379-2024</t>
        </is>
      </c>
      <c r="B954" s="1" t="n">
        <v>45604</v>
      </c>
      <c r="C954" s="1" t="n">
        <v>45791</v>
      </c>
      <c r="D954" t="inlineStr">
        <is>
          <t>JÄMTLANDS LÄN</t>
        </is>
      </c>
      <c r="E954" t="inlineStr">
        <is>
          <t>ÖSTERSUND</t>
        </is>
      </c>
      <c r="G954" t="n">
        <v>2</v>
      </c>
      <c r="H954" t="n">
        <v>0</v>
      </c>
      <c r="I954" t="n">
        <v>0</v>
      </c>
      <c r="J954" t="n">
        <v>0</v>
      </c>
      <c r="K954" t="n">
        <v>0</v>
      </c>
      <c r="L954" t="n">
        <v>0</v>
      </c>
      <c r="M954" t="n">
        <v>0</v>
      </c>
      <c r="N954" t="n">
        <v>0</v>
      </c>
      <c r="O954" t="n">
        <v>0</v>
      </c>
      <c r="P954" t="n">
        <v>0</v>
      </c>
      <c r="Q954" t="n">
        <v>0</v>
      </c>
      <c r="R954" s="2" t="inlineStr"/>
    </row>
    <row r="955" ht="15" customHeight="1">
      <c r="A955" t="inlineStr">
        <is>
          <t>A 51856-2024</t>
        </is>
      </c>
      <c r="B955" s="1" t="n">
        <v>45607</v>
      </c>
      <c r="C955" s="1" t="n">
        <v>45791</v>
      </c>
      <c r="D955" t="inlineStr">
        <is>
          <t>JÄMTLANDS LÄN</t>
        </is>
      </c>
      <c r="E955" t="inlineStr">
        <is>
          <t>ÖSTERSUND</t>
        </is>
      </c>
      <c r="G955" t="n">
        <v>13.5</v>
      </c>
      <c r="H955" t="n">
        <v>0</v>
      </c>
      <c r="I955" t="n">
        <v>0</v>
      </c>
      <c r="J955" t="n">
        <v>0</v>
      </c>
      <c r="K955" t="n">
        <v>0</v>
      </c>
      <c r="L955" t="n">
        <v>0</v>
      </c>
      <c r="M955" t="n">
        <v>0</v>
      </c>
      <c r="N955" t="n">
        <v>0</v>
      </c>
      <c r="O955" t="n">
        <v>0</v>
      </c>
      <c r="P955" t="n">
        <v>0</v>
      </c>
      <c r="Q955" t="n">
        <v>0</v>
      </c>
      <c r="R955" s="2" t="inlineStr"/>
    </row>
    <row r="956" ht="15" customHeight="1">
      <c r="A956" t="inlineStr">
        <is>
          <t>A 51865-2024</t>
        </is>
      </c>
      <c r="B956" s="1" t="n">
        <v>45607</v>
      </c>
      <c r="C956" s="1" t="n">
        <v>45791</v>
      </c>
      <c r="D956" t="inlineStr">
        <is>
          <t>JÄMTLANDS LÄN</t>
        </is>
      </c>
      <c r="E956" t="inlineStr">
        <is>
          <t>ÖSTERSUND</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51818-2024</t>
        </is>
      </c>
      <c r="B957" s="1" t="n">
        <v>45607</v>
      </c>
      <c r="C957" s="1" t="n">
        <v>45791</v>
      </c>
      <c r="D957" t="inlineStr">
        <is>
          <t>JÄMTLANDS LÄN</t>
        </is>
      </c>
      <c r="E957" t="inlineStr">
        <is>
          <t>ÖSTERSUND</t>
        </is>
      </c>
      <c r="G957" t="n">
        <v>4.6</v>
      </c>
      <c r="H957" t="n">
        <v>0</v>
      </c>
      <c r="I957" t="n">
        <v>0</v>
      </c>
      <c r="J957" t="n">
        <v>0</v>
      </c>
      <c r="K957" t="n">
        <v>0</v>
      </c>
      <c r="L957" t="n">
        <v>0</v>
      </c>
      <c r="M957" t="n">
        <v>0</v>
      </c>
      <c r="N957" t="n">
        <v>0</v>
      </c>
      <c r="O957" t="n">
        <v>0</v>
      </c>
      <c r="P957" t="n">
        <v>0</v>
      </c>
      <c r="Q957" t="n">
        <v>0</v>
      </c>
      <c r="R957" s="2" t="inlineStr"/>
    </row>
    <row r="958" ht="15" customHeight="1">
      <c r="A958" t="inlineStr">
        <is>
          <t>A 51826-2024</t>
        </is>
      </c>
      <c r="B958" s="1" t="n">
        <v>45607</v>
      </c>
      <c r="C958" s="1" t="n">
        <v>45791</v>
      </c>
      <c r="D958" t="inlineStr">
        <is>
          <t>JÄMTLANDS LÄN</t>
        </is>
      </c>
      <c r="E958" t="inlineStr">
        <is>
          <t>ÖSTERSUND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52405-2024</t>
        </is>
      </c>
      <c r="B959" s="1" t="n">
        <v>45609</v>
      </c>
      <c r="C959" s="1" t="n">
        <v>45791</v>
      </c>
      <c r="D959" t="inlineStr">
        <is>
          <t>JÄMTLANDS LÄN</t>
        </is>
      </c>
      <c r="E959" t="inlineStr">
        <is>
          <t>ÖSTERSUND</t>
        </is>
      </c>
      <c r="G959" t="n">
        <v>4.3</v>
      </c>
      <c r="H959" t="n">
        <v>0</v>
      </c>
      <c r="I959" t="n">
        <v>0</v>
      </c>
      <c r="J959" t="n">
        <v>0</v>
      </c>
      <c r="K959" t="n">
        <v>0</v>
      </c>
      <c r="L959" t="n">
        <v>0</v>
      </c>
      <c r="M959" t="n">
        <v>0</v>
      </c>
      <c r="N959" t="n">
        <v>0</v>
      </c>
      <c r="O959" t="n">
        <v>0</v>
      </c>
      <c r="P959" t="n">
        <v>0</v>
      </c>
      <c r="Q959" t="n">
        <v>0</v>
      </c>
      <c r="R959" s="2" t="inlineStr"/>
    </row>
    <row r="960" ht="15" customHeight="1">
      <c r="A960" t="inlineStr">
        <is>
          <t>A 52480-2024</t>
        </is>
      </c>
      <c r="B960" s="1" t="n">
        <v>45609</v>
      </c>
      <c r="C960" s="1" t="n">
        <v>45791</v>
      </c>
      <c r="D960" t="inlineStr">
        <is>
          <t>JÄMTLANDS LÄN</t>
        </is>
      </c>
      <c r="E960" t="inlineStr">
        <is>
          <t>ÖSTERSUND</t>
        </is>
      </c>
      <c r="G960" t="n">
        <v>20.2</v>
      </c>
      <c r="H960" t="n">
        <v>0</v>
      </c>
      <c r="I960" t="n">
        <v>0</v>
      </c>
      <c r="J960" t="n">
        <v>0</v>
      </c>
      <c r="K960" t="n">
        <v>0</v>
      </c>
      <c r="L960" t="n">
        <v>0</v>
      </c>
      <c r="M960" t="n">
        <v>0</v>
      </c>
      <c r="N960" t="n">
        <v>0</v>
      </c>
      <c r="O960" t="n">
        <v>0</v>
      </c>
      <c r="P960" t="n">
        <v>0</v>
      </c>
      <c r="Q960" t="n">
        <v>0</v>
      </c>
      <c r="R960" s="2" t="inlineStr"/>
    </row>
    <row r="961" ht="15" customHeight="1">
      <c r="A961" t="inlineStr">
        <is>
          <t>A 52483-2024</t>
        </is>
      </c>
      <c r="B961" s="1" t="n">
        <v>45609</v>
      </c>
      <c r="C961" s="1" t="n">
        <v>45791</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52481-2024</t>
        </is>
      </c>
      <c r="B962" s="1" t="n">
        <v>45609</v>
      </c>
      <c r="C962" s="1" t="n">
        <v>45791</v>
      </c>
      <c r="D962" t="inlineStr">
        <is>
          <t>JÄMTLANDS LÄN</t>
        </is>
      </c>
      <c r="E962" t="inlineStr">
        <is>
          <t>ÖSTERSUND</t>
        </is>
      </c>
      <c r="G962" t="n">
        <v>1.9</v>
      </c>
      <c r="H962" t="n">
        <v>0</v>
      </c>
      <c r="I962" t="n">
        <v>0</v>
      </c>
      <c r="J962" t="n">
        <v>0</v>
      </c>
      <c r="K962" t="n">
        <v>0</v>
      </c>
      <c r="L962" t="n">
        <v>0</v>
      </c>
      <c r="M962" t="n">
        <v>0</v>
      </c>
      <c r="N962" t="n">
        <v>0</v>
      </c>
      <c r="O962" t="n">
        <v>0</v>
      </c>
      <c r="P962" t="n">
        <v>0</v>
      </c>
      <c r="Q962" t="n">
        <v>0</v>
      </c>
      <c r="R962" s="2" t="inlineStr"/>
    </row>
    <row r="963" ht="15" customHeight="1">
      <c r="A963" t="inlineStr">
        <is>
          <t>A 52482-2024</t>
        </is>
      </c>
      <c r="B963" s="1" t="n">
        <v>45609</v>
      </c>
      <c r="C963" s="1" t="n">
        <v>45791</v>
      </c>
      <c r="D963" t="inlineStr">
        <is>
          <t>JÄMTLANDS LÄN</t>
        </is>
      </c>
      <c r="E963" t="inlineStr">
        <is>
          <t>ÖSTERSUND</t>
        </is>
      </c>
      <c r="G963" t="n">
        <v>7.3</v>
      </c>
      <c r="H963" t="n">
        <v>0</v>
      </c>
      <c r="I963" t="n">
        <v>0</v>
      </c>
      <c r="J963" t="n">
        <v>0</v>
      </c>
      <c r="K963" t="n">
        <v>0</v>
      </c>
      <c r="L963" t="n">
        <v>0</v>
      </c>
      <c r="M963" t="n">
        <v>0</v>
      </c>
      <c r="N963" t="n">
        <v>0</v>
      </c>
      <c r="O963" t="n">
        <v>0</v>
      </c>
      <c r="P963" t="n">
        <v>0</v>
      </c>
      <c r="Q963" t="n">
        <v>0</v>
      </c>
      <c r="R963" s="2" t="inlineStr"/>
    </row>
    <row r="964" ht="15" customHeight="1">
      <c r="A964" t="inlineStr">
        <is>
          <t>A 52854-2024</t>
        </is>
      </c>
      <c r="B964" s="1" t="n">
        <v>45610</v>
      </c>
      <c r="C964" s="1" t="n">
        <v>45791</v>
      </c>
      <c r="D964" t="inlineStr">
        <is>
          <t>JÄMTLANDS LÄN</t>
        </is>
      </c>
      <c r="E964" t="inlineStr">
        <is>
          <t>ÖSTERSUND</t>
        </is>
      </c>
      <c r="G964" t="n">
        <v>2.5</v>
      </c>
      <c r="H964" t="n">
        <v>0</v>
      </c>
      <c r="I964" t="n">
        <v>0</v>
      </c>
      <c r="J964" t="n">
        <v>0</v>
      </c>
      <c r="K964" t="n">
        <v>0</v>
      </c>
      <c r="L964" t="n">
        <v>0</v>
      </c>
      <c r="M964" t="n">
        <v>0</v>
      </c>
      <c r="N964" t="n">
        <v>0</v>
      </c>
      <c r="O964" t="n">
        <v>0</v>
      </c>
      <c r="P964" t="n">
        <v>0</v>
      </c>
      <c r="Q964" t="n">
        <v>0</v>
      </c>
      <c r="R964" s="2" t="inlineStr"/>
    </row>
    <row r="965" ht="15" customHeight="1">
      <c r="A965" t="inlineStr">
        <is>
          <t>A 53060-2024</t>
        </is>
      </c>
      <c r="B965" s="1" t="n">
        <v>45611</v>
      </c>
      <c r="C965" s="1" t="n">
        <v>45791</v>
      </c>
      <c r="D965" t="inlineStr">
        <is>
          <t>JÄMTLANDS LÄN</t>
        </is>
      </c>
      <c r="E965" t="inlineStr">
        <is>
          <t>ÖSTERSUND</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53176-2024</t>
        </is>
      </c>
      <c r="B966" s="1" t="n">
        <v>45611</v>
      </c>
      <c r="C966" s="1" t="n">
        <v>45791</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53130-2024</t>
        </is>
      </c>
      <c r="B967" s="1" t="n">
        <v>45611</v>
      </c>
      <c r="C967" s="1" t="n">
        <v>45791</v>
      </c>
      <c r="D967" t="inlineStr">
        <is>
          <t>JÄMTLANDS LÄN</t>
        </is>
      </c>
      <c r="E967" t="inlineStr">
        <is>
          <t>ÖSTERSUND</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53516-2024</t>
        </is>
      </c>
      <c r="B968" s="1" t="n">
        <v>45614</v>
      </c>
      <c r="C968" s="1" t="n">
        <v>45791</v>
      </c>
      <c r="D968" t="inlineStr">
        <is>
          <t>JÄMTLANDS LÄN</t>
        </is>
      </c>
      <c r="E968" t="inlineStr">
        <is>
          <t>ÖSTERSUND</t>
        </is>
      </c>
      <c r="G968" t="n">
        <v>4.5</v>
      </c>
      <c r="H968" t="n">
        <v>0</v>
      </c>
      <c r="I968" t="n">
        <v>0</v>
      </c>
      <c r="J968" t="n">
        <v>0</v>
      </c>
      <c r="K968" t="n">
        <v>0</v>
      </c>
      <c r="L968" t="n">
        <v>0</v>
      </c>
      <c r="M968" t="n">
        <v>0</v>
      </c>
      <c r="N968" t="n">
        <v>0</v>
      </c>
      <c r="O968" t="n">
        <v>0</v>
      </c>
      <c r="P968" t="n">
        <v>0</v>
      </c>
      <c r="Q968" t="n">
        <v>0</v>
      </c>
      <c r="R968" s="2" t="inlineStr"/>
    </row>
    <row r="969" ht="15" customHeight="1">
      <c r="A969" t="inlineStr">
        <is>
          <t>A 53520-2024</t>
        </is>
      </c>
      <c r="B969" s="1" t="n">
        <v>45614</v>
      </c>
      <c r="C969" s="1" t="n">
        <v>45791</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53536-2024</t>
        </is>
      </c>
      <c r="B970" s="1" t="n">
        <v>45614</v>
      </c>
      <c r="C970" s="1" t="n">
        <v>45791</v>
      </c>
      <c r="D970" t="inlineStr">
        <is>
          <t>JÄMTLANDS LÄN</t>
        </is>
      </c>
      <c r="E970" t="inlineStr">
        <is>
          <t>ÖSTERSUND</t>
        </is>
      </c>
      <c r="G970" t="n">
        <v>4.1</v>
      </c>
      <c r="H970" t="n">
        <v>0</v>
      </c>
      <c r="I970" t="n">
        <v>0</v>
      </c>
      <c r="J970" t="n">
        <v>0</v>
      </c>
      <c r="K970" t="n">
        <v>0</v>
      </c>
      <c r="L970" t="n">
        <v>0</v>
      </c>
      <c r="M970" t="n">
        <v>0</v>
      </c>
      <c r="N970" t="n">
        <v>0</v>
      </c>
      <c r="O970" t="n">
        <v>0</v>
      </c>
      <c r="P970" t="n">
        <v>0</v>
      </c>
      <c r="Q970" t="n">
        <v>0</v>
      </c>
      <c r="R970" s="2" t="inlineStr"/>
    </row>
    <row r="971" ht="15" customHeight="1">
      <c r="A971" t="inlineStr">
        <is>
          <t>A 53745-2024</t>
        </is>
      </c>
      <c r="B971" s="1" t="n">
        <v>45615</v>
      </c>
      <c r="C971" s="1" t="n">
        <v>45791</v>
      </c>
      <c r="D971" t="inlineStr">
        <is>
          <t>JÄMTLANDS LÄN</t>
        </is>
      </c>
      <c r="E971" t="inlineStr">
        <is>
          <t>ÖSTERSUND</t>
        </is>
      </c>
      <c r="G971" t="n">
        <v>2.3</v>
      </c>
      <c r="H971" t="n">
        <v>0</v>
      </c>
      <c r="I971" t="n">
        <v>0</v>
      </c>
      <c r="J971" t="n">
        <v>0</v>
      </c>
      <c r="K971" t="n">
        <v>0</v>
      </c>
      <c r="L971" t="n">
        <v>0</v>
      </c>
      <c r="M971" t="n">
        <v>0</v>
      </c>
      <c r="N971" t="n">
        <v>0</v>
      </c>
      <c r="O971" t="n">
        <v>0</v>
      </c>
      <c r="P971" t="n">
        <v>0</v>
      </c>
      <c r="Q971" t="n">
        <v>0</v>
      </c>
      <c r="R971" s="2" t="inlineStr"/>
    </row>
    <row r="972" ht="15" customHeight="1">
      <c r="A972" t="inlineStr">
        <is>
          <t>A 53864-2024</t>
        </is>
      </c>
      <c r="B972" s="1" t="n">
        <v>45615</v>
      </c>
      <c r="C972" s="1" t="n">
        <v>45791</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53660-2024</t>
        </is>
      </c>
      <c r="B973" s="1" t="n">
        <v>45615</v>
      </c>
      <c r="C973" s="1" t="n">
        <v>45791</v>
      </c>
      <c r="D973" t="inlineStr">
        <is>
          <t>JÄMTLANDS LÄN</t>
        </is>
      </c>
      <c r="E973" t="inlineStr">
        <is>
          <t>ÖSTERSUND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54237-2024</t>
        </is>
      </c>
      <c r="B974" s="1" t="n">
        <v>45616</v>
      </c>
      <c r="C974" s="1" t="n">
        <v>45791</v>
      </c>
      <c r="D974" t="inlineStr">
        <is>
          <t>JÄMTLANDS LÄN</t>
        </is>
      </c>
      <c r="E974" t="inlineStr">
        <is>
          <t>ÖSTERSUND</t>
        </is>
      </c>
      <c r="F974" t="inlineStr">
        <is>
          <t>SCA</t>
        </is>
      </c>
      <c r="G974" t="n">
        <v>8.9</v>
      </c>
      <c r="H974" t="n">
        <v>0</v>
      </c>
      <c r="I974" t="n">
        <v>0</v>
      </c>
      <c r="J974" t="n">
        <v>0</v>
      </c>
      <c r="K974" t="n">
        <v>0</v>
      </c>
      <c r="L974" t="n">
        <v>0</v>
      </c>
      <c r="M974" t="n">
        <v>0</v>
      </c>
      <c r="N974" t="n">
        <v>0</v>
      </c>
      <c r="O974" t="n">
        <v>0</v>
      </c>
      <c r="P974" t="n">
        <v>0</v>
      </c>
      <c r="Q974" t="n">
        <v>0</v>
      </c>
      <c r="R974" s="2" t="inlineStr"/>
    </row>
    <row r="975" ht="15" customHeight="1">
      <c r="A975" t="inlineStr">
        <is>
          <t>A 54317-2024</t>
        </is>
      </c>
      <c r="B975" s="1" t="n">
        <v>45617</v>
      </c>
      <c r="C975" s="1" t="n">
        <v>45791</v>
      </c>
      <c r="D975" t="inlineStr">
        <is>
          <t>JÄMTLANDS LÄN</t>
        </is>
      </c>
      <c r="E975" t="inlineStr">
        <is>
          <t>ÖSTERSUND</t>
        </is>
      </c>
      <c r="G975" t="n">
        <v>4.3</v>
      </c>
      <c r="H975" t="n">
        <v>0</v>
      </c>
      <c r="I975" t="n">
        <v>0</v>
      </c>
      <c r="J975" t="n">
        <v>0</v>
      </c>
      <c r="K975" t="n">
        <v>0</v>
      </c>
      <c r="L975" t="n">
        <v>0</v>
      </c>
      <c r="M975" t="n">
        <v>0</v>
      </c>
      <c r="N975" t="n">
        <v>0</v>
      </c>
      <c r="O975" t="n">
        <v>0</v>
      </c>
      <c r="P975" t="n">
        <v>0</v>
      </c>
      <c r="Q975" t="n">
        <v>0</v>
      </c>
      <c r="R975" s="2" t="inlineStr"/>
    </row>
    <row r="976" ht="15" customHeight="1">
      <c r="A976" t="inlineStr">
        <is>
          <t>A 54359-2024</t>
        </is>
      </c>
      <c r="B976" s="1" t="n">
        <v>45617</v>
      </c>
      <c r="C976" s="1" t="n">
        <v>45791</v>
      </c>
      <c r="D976" t="inlineStr">
        <is>
          <t>JÄMTLANDS LÄN</t>
        </is>
      </c>
      <c r="E976" t="inlineStr">
        <is>
          <t>ÖSTERSUND</t>
        </is>
      </c>
      <c r="G976" t="n">
        <v>3.2</v>
      </c>
      <c r="H976" t="n">
        <v>0</v>
      </c>
      <c r="I976" t="n">
        <v>0</v>
      </c>
      <c r="J976" t="n">
        <v>0</v>
      </c>
      <c r="K976" t="n">
        <v>0</v>
      </c>
      <c r="L976" t="n">
        <v>0</v>
      </c>
      <c r="M976" t="n">
        <v>0</v>
      </c>
      <c r="N976" t="n">
        <v>0</v>
      </c>
      <c r="O976" t="n">
        <v>0</v>
      </c>
      <c r="P976" t="n">
        <v>0</v>
      </c>
      <c r="Q976" t="n">
        <v>0</v>
      </c>
      <c r="R976" s="2" t="inlineStr"/>
    </row>
    <row r="977" ht="15" customHeight="1">
      <c r="A977" t="inlineStr">
        <is>
          <t>A 54587-2024</t>
        </is>
      </c>
      <c r="B977" s="1" t="n">
        <v>45617</v>
      </c>
      <c r="C977" s="1" t="n">
        <v>45791</v>
      </c>
      <c r="D977" t="inlineStr">
        <is>
          <t>JÄMTLANDS LÄN</t>
        </is>
      </c>
      <c r="E977" t="inlineStr">
        <is>
          <t>ÖSTERSUND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54913-2024</t>
        </is>
      </c>
      <c r="B978" s="1" t="n">
        <v>45618</v>
      </c>
      <c r="C978" s="1" t="n">
        <v>45791</v>
      </c>
      <c r="D978" t="inlineStr">
        <is>
          <t>JÄMTLANDS LÄN</t>
        </is>
      </c>
      <c r="E978" t="inlineStr">
        <is>
          <t>ÖSTERSUND</t>
        </is>
      </c>
      <c r="G978" t="n">
        <v>4.7</v>
      </c>
      <c r="H978" t="n">
        <v>0</v>
      </c>
      <c r="I978" t="n">
        <v>0</v>
      </c>
      <c r="J978" t="n">
        <v>0</v>
      </c>
      <c r="K978" t="n">
        <v>0</v>
      </c>
      <c r="L978" t="n">
        <v>0</v>
      </c>
      <c r="M978" t="n">
        <v>0</v>
      </c>
      <c r="N978" t="n">
        <v>0</v>
      </c>
      <c r="O978" t="n">
        <v>0</v>
      </c>
      <c r="P978" t="n">
        <v>0</v>
      </c>
      <c r="Q978" t="n">
        <v>0</v>
      </c>
      <c r="R978" s="2" t="inlineStr"/>
    </row>
    <row r="979" ht="15" customHeight="1">
      <c r="A979" t="inlineStr">
        <is>
          <t>A 55064-2024</t>
        </is>
      </c>
      <c r="B979" s="1" t="n">
        <v>45621</v>
      </c>
      <c r="C979" s="1" t="n">
        <v>45791</v>
      </c>
      <c r="D979" t="inlineStr">
        <is>
          <t>JÄMTLANDS LÄN</t>
        </is>
      </c>
      <c r="E979" t="inlineStr">
        <is>
          <t>ÖSTERSUND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55002-2024</t>
        </is>
      </c>
      <c r="B980" s="1" t="n">
        <v>45621</v>
      </c>
      <c r="C980" s="1" t="n">
        <v>45791</v>
      </c>
      <c r="D980" t="inlineStr">
        <is>
          <t>JÄMTLANDS LÄN</t>
        </is>
      </c>
      <c r="E980" t="inlineStr">
        <is>
          <t>ÖSTERSUND</t>
        </is>
      </c>
      <c r="F980" t="inlineStr">
        <is>
          <t>Övriga Aktiebolag</t>
        </is>
      </c>
      <c r="G980" t="n">
        <v>0.3</v>
      </c>
      <c r="H980" t="n">
        <v>0</v>
      </c>
      <c r="I980" t="n">
        <v>0</v>
      </c>
      <c r="J980" t="n">
        <v>0</v>
      </c>
      <c r="K980" t="n">
        <v>0</v>
      </c>
      <c r="L980" t="n">
        <v>0</v>
      </c>
      <c r="M980" t="n">
        <v>0</v>
      </c>
      <c r="N980" t="n">
        <v>0</v>
      </c>
      <c r="O980" t="n">
        <v>0</v>
      </c>
      <c r="P980" t="n">
        <v>0</v>
      </c>
      <c r="Q980" t="n">
        <v>0</v>
      </c>
      <c r="R980" s="2" t="inlineStr"/>
    </row>
    <row r="981" ht="15" customHeight="1">
      <c r="A981" t="inlineStr">
        <is>
          <t>A 55294-2024</t>
        </is>
      </c>
      <c r="B981" s="1" t="n">
        <v>45621</v>
      </c>
      <c r="C981" s="1" t="n">
        <v>45791</v>
      </c>
      <c r="D981" t="inlineStr">
        <is>
          <t>JÄMTLANDS LÄN</t>
        </is>
      </c>
      <c r="E981" t="inlineStr">
        <is>
          <t>ÖSTERSUND</t>
        </is>
      </c>
      <c r="G981" t="n">
        <v>3</v>
      </c>
      <c r="H981" t="n">
        <v>0</v>
      </c>
      <c r="I981" t="n">
        <v>0</v>
      </c>
      <c r="J981" t="n">
        <v>0</v>
      </c>
      <c r="K981" t="n">
        <v>0</v>
      </c>
      <c r="L981" t="n">
        <v>0</v>
      </c>
      <c r="M981" t="n">
        <v>0</v>
      </c>
      <c r="N981" t="n">
        <v>0</v>
      </c>
      <c r="O981" t="n">
        <v>0</v>
      </c>
      <c r="P981" t="n">
        <v>0</v>
      </c>
      <c r="Q981" t="n">
        <v>0</v>
      </c>
      <c r="R981" s="2" t="inlineStr"/>
    </row>
    <row r="982" ht="15" customHeight="1">
      <c r="A982" t="inlineStr">
        <is>
          <t>A 55302-2024</t>
        </is>
      </c>
      <c r="B982" s="1" t="n">
        <v>45621</v>
      </c>
      <c r="C982" s="1" t="n">
        <v>45791</v>
      </c>
      <c r="D982" t="inlineStr">
        <is>
          <t>JÄMTLANDS LÄN</t>
        </is>
      </c>
      <c r="E982" t="inlineStr">
        <is>
          <t>ÖSTERSUND</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55319-2024</t>
        </is>
      </c>
      <c r="B983" s="1" t="n">
        <v>45621</v>
      </c>
      <c r="C983" s="1" t="n">
        <v>45791</v>
      </c>
      <c r="D983" t="inlineStr">
        <is>
          <t>JÄMTLANDS LÄN</t>
        </is>
      </c>
      <c r="E983" t="inlineStr">
        <is>
          <t>ÖSTERSUND</t>
        </is>
      </c>
      <c r="G983" t="n">
        <v>7.1</v>
      </c>
      <c r="H983" t="n">
        <v>0</v>
      </c>
      <c r="I983" t="n">
        <v>0</v>
      </c>
      <c r="J983" t="n">
        <v>0</v>
      </c>
      <c r="K983" t="n">
        <v>0</v>
      </c>
      <c r="L983" t="n">
        <v>0</v>
      </c>
      <c r="M983" t="n">
        <v>0</v>
      </c>
      <c r="N983" t="n">
        <v>0</v>
      </c>
      <c r="O983" t="n">
        <v>0</v>
      </c>
      <c r="P983" t="n">
        <v>0</v>
      </c>
      <c r="Q983" t="n">
        <v>0</v>
      </c>
      <c r="R983" s="2" t="inlineStr"/>
    </row>
    <row r="984" ht="15" customHeight="1">
      <c r="A984" t="inlineStr">
        <is>
          <t>A 55323-2024</t>
        </is>
      </c>
      <c r="B984" s="1" t="n">
        <v>45621</v>
      </c>
      <c r="C984" s="1" t="n">
        <v>45791</v>
      </c>
      <c r="D984" t="inlineStr">
        <is>
          <t>JÄMTLANDS LÄN</t>
        </is>
      </c>
      <c r="E984" t="inlineStr">
        <is>
          <t>ÖSTERSUND</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55061-2024</t>
        </is>
      </c>
      <c r="B985" s="1" t="n">
        <v>45621</v>
      </c>
      <c r="C985" s="1" t="n">
        <v>45791</v>
      </c>
      <c r="D985" t="inlineStr">
        <is>
          <t>JÄMTLANDS LÄN</t>
        </is>
      </c>
      <c r="E985" t="inlineStr">
        <is>
          <t>ÖSTERSUND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55365-2024</t>
        </is>
      </c>
      <c r="B986" s="1" t="n">
        <v>45621</v>
      </c>
      <c r="C986" s="1" t="n">
        <v>45791</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55572-2024</t>
        </is>
      </c>
      <c r="B987" s="1" t="n">
        <v>45622</v>
      </c>
      <c r="C987" s="1" t="n">
        <v>45791</v>
      </c>
      <c r="D987" t="inlineStr">
        <is>
          <t>JÄMTLANDS LÄN</t>
        </is>
      </c>
      <c r="E987" t="inlineStr">
        <is>
          <t>ÖSTERSUND</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55600-2024</t>
        </is>
      </c>
      <c r="B988" s="1" t="n">
        <v>45622</v>
      </c>
      <c r="C988" s="1" t="n">
        <v>45791</v>
      </c>
      <c r="D988" t="inlineStr">
        <is>
          <t>JÄMTLANDS LÄN</t>
        </is>
      </c>
      <c r="E988" t="inlineStr">
        <is>
          <t>ÖSTERSUND</t>
        </is>
      </c>
      <c r="G988" t="n">
        <v>6.5</v>
      </c>
      <c r="H988" t="n">
        <v>0</v>
      </c>
      <c r="I988" t="n">
        <v>0</v>
      </c>
      <c r="J988" t="n">
        <v>0</v>
      </c>
      <c r="K988" t="n">
        <v>0</v>
      </c>
      <c r="L988" t="n">
        <v>0</v>
      </c>
      <c r="M988" t="n">
        <v>0</v>
      </c>
      <c r="N988" t="n">
        <v>0</v>
      </c>
      <c r="O988" t="n">
        <v>0</v>
      </c>
      <c r="P988" t="n">
        <v>0</v>
      </c>
      <c r="Q988" t="n">
        <v>0</v>
      </c>
      <c r="R988" s="2" t="inlineStr"/>
    </row>
    <row r="989" ht="15" customHeight="1">
      <c r="A989" t="inlineStr">
        <is>
          <t>A 55700-2024</t>
        </is>
      </c>
      <c r="B989" s="1" t="n">
        <v>45622</v>
      </c>
      <c r="C989" s="1" t="n">
        <v>45791</v>
      </c>
      <c r="D989" t="inlineStr">
        <is>
          <t>JÄMTLANDS LÄN</t>
        </is>
      </c>
      <c r="E989" t="inlineStr">
        <is>
          <t>ÖSTERSUND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56649-2024</t>
        </is>
      </c>
      <c r="B990" s="1" t="n">
        <v>45625</v>
      </c>
      <c r="C990" s="1" t="n">
        <v>45791</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56646-2024</t>
        </is>
      </c>
      <c r="B991" s="1" t="n">
        <v>45625</v>
      </c>
      <c r="C991" s="1" t="n">
        <v>45791</v>
      </c>
      <c r="D991" t="inlineStr">
        <is>
          <t>JÄMTLANDS LÄN</t>
        </is>
      </c>
      <c r="E991" t="inlineStr">
        <is>
          <t>ÖSTERSUND</t>
        </is>
      </c>
      <c r="G991" t="n">
        <v>18.9</v>
      </c>
      <c r="H991" t="n">
        <v>0</v>
      </c>
      <c r="I991" t="n">
        <v>0</v>
      </c>
      <c r="J991" t="n">
        <v>0</v>
      </c>
      <c r="K991" t="n">
        <v>0</v>
      </c>
      <c r="L991" t="n">
        <v>0</v>
      </c>
      <c r="M991" t="n">
        <v>0</v>
      </c>
      <c r="N991" t="n">
        <v>0</v>
      </c>
      <c r="O991" t="n">
        <v>0</v>
      </c>
      <c r="P991" t="n">
        <v>0</v>
      </c>
      <c r="Q991" t="n">
        <v>0</v>
      </c>
      <c r="R991" s="2" t="inlineStr"/>
    </row>
    <row r="992" ht="15" customHeight="1">
      <c r="A992" t="inlineStr">
        <is>
          <t>A 56847-2024</t>
        </is>
      </c>
      <c r="B992" s="1" t="n">
        <v>45628</v>
      </c>
      <c r="C992" s="1" t="n">
        <v>45791</v>
      </c>
      <c r="D992" t="inlineStr">
        <is>
          <t>JÄMTLANDS LÄN</t>
        </is>
      </c>
      <c r="E992" t="inlineStr">
        <is>
          <t>ÖSTERSUND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57702-2024</t>
        </is>
      </c>
      <c r="B993" s="1" t="n">
        <v>45628</v>
      </c>
      <c r="C993" s="1" t="n">
        <v>45791</v>
      </c>
      <c r="D993" t="inlineStr">
        <is>
          <t>JÄMTLANDS LÄN</t>
        </is>
      </c>
      <c r="E993" t="inlineStr">
        <is>
          <t>ÖSTERSUND</t>
        </is>
      </c>
      <c r="G993" t="n">
        <v>2.3</v>
      </c>
      <c r="H993" t="n">
        <v>0</v>
      </c>
      <c r="I993" t="n">
        <v>0</v>
      </c>
      <c r="J993" t="n">
        <v>0</v>
      </c>
      <c r="K993" t="n">
        <v>0</v>
      </c>
      <c r="L993" t="n">
        <v>0</v>
      </c>
      <c r="M993" t="n">
        <v>0</v>
      </c>
      <c r="N993" t="n">
        <v>0</v>
      </c>
      <c r="O993" t="n">
        <v>0</v>
      </c>
      <c r="P993" t="n">
        <v>0</v>
      </c>
      <c r="Q993" t="n">
        <v>0</v>
      </c>
      <c r="R993" s="2" t="inlineStr"/>
    </row>
    <row r="994" ht="15" customHeight="1">
      <c r="A994" t="inlineStr">
        <is>
          <t>A 57397-2024</t>
        </is>
      </c>
      <c r="B994" s="1" t="n">
        <v>45629</v>
      </c>
      <c r="C994" s="1" t="n">
        <v>45791</v>
      </c>
      <c r="D994" t="inlineStr">
        <is>
          <t>JÄMTLANDS LÄN</t>
        </is>
      </c>
      <c r="E994" t="inlineStr">
        <is>
          <t>ÖSTERSUND</t>
        </is>
      </c>
      <c r="G994" t="n">
        <v>3.8</v>
      </c>
      <c r="H994" t="n">
        <v>0</v>
      </c>
      <c r="I994" t="n">
        <v>0</v>
      </c>
      <c r="J994" t="n">
        <v>0</v>
      </c>
      <c r="K994" t="n">
        <v>0</v>
      </c>
      <c r="L994" t="n">
        <v>0</v>
      </c>
      <c r="M994" t="n">
        <v>0</v>
      </c>
      <c r="N994" t="n">
        <v>0</v>
      </c>
      <c r="O994" t="n">
        <v>0</v>
      </c>
      <c r="P994" t="n">
        <v>0</v>
      </c>
      <c r="Q994" t="n">
        <v>0</v>
      </c>
      <c r="R994" s="2" t="inlineStr"/>
    </row>
    <row r="995" ht="15" customHeight="1">
      <c r="A995" t="inlineStr">
        <is>
          <t>A 57589-2024</t>
        </is>
      </c>
      <c r="B995" s="1" t="n">
        <v>45630</v>
      </c>
      <c r="C995" s="1" t="n">
        <v>45791</v>
      </c>
      <c r="D995" t="inlineStr">
        <is>
          <t>JÄMTLANDS LÄN</t>
        </is>
      </c>
      <c r="E995" t="inlineStr">
        <is>
          <t>ÖSTERSUND</t>
        </is>
      </c>
      <c r="G995" t="n">
        <v>1.8</v>
      </c>
      <c r="H995" t="n">
        <v>0</v>
      </c>
      <c r="I995" t="n">
        <v>0</v>
      </c>
      <c r="J995" t="n">
        <v>0</v>
      </c>
      <c r="K995" t="n">
        <v>0</v>
      </c>
      <c r="L995" t="n">
        <v>0</v>
      </c>
      <c r="M995" t="n">
        <v>0</v>
      </c>
      <c r="N995" t="n">
        <v>0</v>
      </c>
      <c r="O995" t="n">
        <v>0</v>
      </c>
      <c r="P995" t="n">
        <v>0</v>
      </c>
      <c r="Q995" t="n">
        <v>0</v>
      </c>
      <c r="R995" s="2" t="inlineStr"/>
    </row>
    <row r="996" ht="15" customHeight="1">
      <c r="A996" t="inlineStr">
        <is>
          <t>A 57706-2024</t>
        </is>
      </c>
      <c r="B996" s="1" t="n">
        <v>45630</v>
      </c>
      <c r="C996" s="1" t="n">
        <v>45791</v>
      </c>
      <c r="D996" t="inlineStr">
        <is>
          <t>JÄMTLANDS LÄN</t>
        </is>
      </c>
      <c r="E996" t="inlineStr">
        <is>
          <t>ÖSTERSUND</t>
        </is>
      </c>
      <c r="G996" t="n">
        <v>13.2</v>
      </c>
      <c r="H996" t="n">
        <v>0</v>
      </c>
      <c r="I996" t="n">
        <v>0</v>
      </c>
      <c r="J996" t="n">
        <v>0</v>
      </c>
      <c r="K996" t="n">
        <v>0</v>
      </c>
      <c r="L996" t="n">
        <v>0</v>
      </c>
      <c r="M996" t="n">
        <v>0</v>
      </c>
      <c r="N996" t="n">
        <v>0</v>
      </c>
      <c r="O996" t="n">
        <v>0</v>
      </c>
      <c r="P996" t="n">
        <v>0</v>
      </c>
      <c r="Q996" t="n">
        <v>0</v>
      </c>
      <c r="R996" s="2" t="inlineStr"/>
    </row>
    <row r="997" ht="15" customHeight="1">
      <c r="A997" t="inlineStr">
        <is>
          <t>A 57556-2024</t>
        </is>
      </c>
      <c r="B997" s="1" t="n">
        <v>45630</v>
      </c>
      <c r="C997" s="1" t="n">
        <v>45791</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57547-2024</t>
        </is>
      </c>
      <c r="B998" s="1" t="n">
        <v>45630</v>
      </c>
      <c r="C998" s="1" t="n">
        <v>45791</v>
      </c>
      <c r="D998" t="inlineStr">
        <is>
          <t>JÄMTLANDS LÄN</t>
        </is>
      </c>
      <c r="E998" t="inlineStr">
        <is>
          <t>ÖSTERSUND</t>
        </is>
      </c>
      <c r="G998" t="n">
        <v>16.8</v>
      </c>
      <c r="H998" t="n">
        <v>0</v>
      </c>
      <c r="I998" t="n">
        <v>0</v>
      </c>
      <c r="J998" t="n">
        <v>0</v>
      </c>
      <c r="K998" t="n">
        <v>0</v>
      </c>
      <c r="L998" t="n">
        <v>0</v>
      </c>
      <c r="M998" t="n">
        <v>0</v>
      </c>
      <c r="N998" t="n">
        <v>0</v>
      </c>
      <c r="O998" t="n">
        <v>0</v>
      </c>
      <c r="P998" t="n">
        <v>0</v>
      </c>
      <c r="Q998" t="n">
        <v>0</v>
      </c>
      <c r="R998" s="2" t="inlineStr"/>
    </row>
    <row r="999" ht="15" customHeight="1">
      <c r="A999" t="inlineStr">
        <is>
          <t>A 57917-2024</t>
        </is>
      </c>
      <c r="B999" s="1" t="n">
        <v>45630</v>
      </c>
      <c r="C999" s="1" t="n">
        <v>45791</v>
      </c>
      <c r="D999" t="inlineStr">
        <is>
          <t>JÄMTLANDS LÄN</t>
        </is>
      </c>
      <c r="E999" t="inlineStr">
        <is>
          <t>ÖSTERSUND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58286-2024</t>
        </is>
      </c>
      <c r="B1000" s="1" t="n">
        <v>45632</v>
      </c>
      <c r="C1000" s="1" t="n">
        <v>45791</v>
      </c>
      <c r="D1000" t="inlineStr">
        <is>
          <t>JÄMTLANDS LÄN</t>
        </is>
      </c>
      <c r="E1000" t="inlineStr">
        <is>
          <t>ÖSTERSUND</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58364-2024</t>
        </is>
      </c>
      <c r="B1001" s="1" t="n">
        <v>45632</v>
      </c>
      <c r="C1001" s="1" t="n">
        <v>45791</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58407-2024</t>
        </is>
      </c>
      <c r="B1002" s="1" t="n">
        <v>45634</v>
      </c>
      <c r="C1002" s="1" t="n">
        <v>45791</v>
      </c>
      <c r="D1002" t="inlineStr">
        <is>
          <t>JÄMTLANDS LÄN</t>
        </is>
      </c>
      <c r="E1002" t="inlineStr">
        <is>
          <t>ÖSTERSUND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58406-2024</t>
        </is>
      </c>
      <c r="B1003" s="1" t="n">
        <v>45634</v>
      </c>
      <c r="C1003" s="1" t="n">
        <v>45791</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58952-2024</t>
        </is>
      </c>
      <c r="B1004" s="1" t="n">
        <v>45636</v>
      </c>
      <c r="C1004" s="1" t="n">
        <v>45791</v>
      </c>
      <c r="D1004" t="inlineStr">
        <is>
          <t>JÄMTLANDS LÄN</t>
        </is>
      </c>
      <c r="E1004" t="inlineStr">
        <is>
          <t>ÖSTERSUND</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59107-2024</t>
        </is>
      </c>
      <c r="B1005" s="1" t="n">
        <v>45637</v>
      </c>
      <c r="C1005" s="1" t="n">
        <v>45791</v>
      </c>
      <c r="D1005" t="inlineStr">
        <is>
          <t>JÄMTLANDS LÄN</t>
        </is>
      </c>
      <c r="E1005" t="inlineStr">
        <is>
          <t>ÖSTERSUND</t>
        </is>
      </c>
      <c r="F1005" t="inlineStr">
        <is>
          <t>SCA</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59487-2024</t>
        </is>
      </c>
      <c r="B1006" s="1" t="n">
        <v>45638</v>
      </c>
      <c r="C1006" s="1" t="n">
        <v>45791</v>
      </c>
      <c r="D1006" t="inlineStr">
        <is>
          <t>JÄMTLANDS LÄN</t>
        </is>
      </c>
      <c r="E1006" t="inlineStr">
        <is>
          <t>ÖSTERSUND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59574-2024</t>
        </is>
      </c>
      <c r="B1007" s="1" t="n">
        <v>45638</v>
      </c>
      <c r="C1007" s="1" t="n">
        <v>45791</v>
      </c>
      <c r="D1007" t="inlineStr">
        <is>
          <t>JÄMTLANDS LÄN</t>
        </is>
      </c>
      <c r="E1007" t="inlineStr">
        <is>
          <t>ÖSTERSUND</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59691-2024</t>
        </is>
      </c>
      <c r="B1008" s="1" t="n">
        <v>45639</v>
      </c>
      <c r="C1008" s="1" t="n">
        <v>45791</v>
      </c>
      <c r="D1008" t="inlineStr">
        <is>
          <t>JÄMTLANDS LÄN</t>
        </is>
      </c>
      <c r="E1008" t="inlineStr">
        <is>
          <t>ÖSTERSUND</t>
        </is>
      </c>
      <c r="F1008" t="inlineStr">
        <is>
          <t>SCA</t>
        </is>
      </c>
      <c r="G1008" t="n">
        <v>15.9</v>
      </c>
      <c r="H1008" t="n">
        <v>0</v>
      </c>
      <c r="I1008" t="n">
        <v>0</v>
      </c>
      <c r="J1008" t="n">
        <v>0</v>
      </c>
      <c r="K1008" t="n">
        <v>0</v>
      </c>
      <c r="L1008" t="n">
        <v>0</v>
      </c>
      <c r="M1008" t="n">
        <v>0</v>
      </c>
      <c r="N1008" t="n">
        <v>0</v>
      </c>
      <c r="O1008" t="n">
        <v>0</v>
      </c>
      <c r="P1008" t="n">
        <v>0</v>
      </c>
      <c r="Q1008" t="n">
        <v>0</v>
      </c>
      <c r="R1008" s="2" t="inlineStr"/>
    </row>
    <row r="1009" ht="15" customHeight="1">
      <c r="A1009" t="inlineStr">
        <is>
          <t>A 60499-2024</t>
        </is>
      </c>
      <c r="B1009" s="1" t="n">
        <v>45642</v>
      </c>
      <c r="C1009" s="1" t="n">
        <v>45791</v>
      </c>
      <c r="D1009" t="inlineStr">
        <is>
          <t>JÄMTLANDS LÄN</t>
        </is>
      </c>
      <c r="E1009" t="inlineStr">
        <is>
          <t>ÖSTERSUND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60088-2024</t>
        </is>
      </c>
      <c r="B1010" s="1" t="n">
        <v>45642</v>
      </c>
      <c r="C1010" s="1" t="n">
        <v>45791</v>
      </c>
      <c r="D1010" t="inlineStr">
        <is>
          <t>JÄMTLANDS LÄN</t>
        </is>
      </c>
      <c r="E1010" t="inlineStr">
        <is>
          <t>ÖSTERSUND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60349-2024</t>
        </is>
      </c>
      <c r="B1011" s="1" t="n">
        <v>45643</v>
      </c>
      <c r="C1011" s="1" t="n">
        <v>45791</v>
      </c>
      <c r="D1011" t="inlineStr">
        <is>
          <t>JÄMTLANDS LÄN</t>
        </is>
      </c>
      <c r="E1011" t="inlineStr">
        <is>
          <t>ÖSTERSUND</t>
        </is>
      </c>
      <c r="F1011" t="inlineStr">
        <is>
          <t>Sveaskog</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60836-2024</t>
        </is>
      </c>
      <c r="B1012" s="1" t="n">
        <v>45644</v>
      </c>
      <c r="C1012" s="1" t="n">
        <v>45791</v>
      </c>
      <c r="D1012" t="inlineStr">
        <is>
          <t>JÄMTLANDS LÄN</t>
        </is>
      </c>
      <c r="E1012" t="inlineStr">
        <is>
          <t>ÖSTERSUND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61002-2024</t>
        </is>
      </c>
      <c r="B1013" s="1" t="n">
        <v>45645</v>
      </c>
      <c r="C1013" s="1" t="n">
        <v>45791</v>
      </c>
      <c r="D1013" t="inlineStr">
        <is>
          <t>JÄMTLANDS LÄN</t>
        </is>
      </c>
      <c r="E1013" t="inlineStr">
        <is>
          <t>ÖSTERSUND</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61040-2024</t>
        </is>
      </c>
      <c r="B1014" s="1" t="n">
        <v>45645</v>
      </c>
      <c r="C1014" s="1" t="n">
        <v>45791</v>
      </c>
      <c r="D1014" t="inlineStr">
        <is>
          <t>JÄMTLANDS LÄN</t>
        </is>
      </c>
      <c r="E1014" t="inlineStr">
        <is>
          <t>ÖSTERSUND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61332-2024</t>
        </is>
      </c>
      <c r="B1015" s="1" t="n">
        <v>45646</v>
      </c>
      <c r="C1015" s="1" t="n">
        <v>45791</v>
      </c>
      <c r="D1015" t="inlineStr">
        <is>
          <t>JÄMTLANDS LÄN</t>
        </is>
      </c>
      <c r="E1015" t="inlineStr">
        <is>
          <t>ÖSTERSUND</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61349-2024</t>
        </is>
      </c>
      <c r="B1016" s="1" t="n">
        <v>45646</v>
      </c>
      <c r="C1016" s="1" t="n">
        <v>45791</v>
      </c>
      <c r="D1016" t="inlineStr">
        <is>
          <t>JÄMTLANDS LÄN</t>
        </is>
      </c>
      <c r="E1016" t="inlineStr">
        <is>
          <t>ÖSTERSUND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61451-2024</t>
        </is>
      </c>
      <c r="B1017" s="1" t="n">
        <v>45646</v>
      </c>
      <c r="C1017" s="1" t="n">
        <v>45791</v>
      </c>
      <c r="D1017" t="inlineStr">
        <is>
          <t>JÄMTLANDS LÄN</t>
        </is>
      </c>
      <c r="E1017" t="inlineStr">
        <is>
          <t>ÖSTERSUND</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61449-2024</t>
        </is>
      </c>
      <c r="B1018" s="1" t="n">
        <v>45646</v>
      </c>
      <c r="C1018" s="1" t="n">
        <v>45791</v>
      </c>
      <c r="D1018" t="inlineStr">
        <is>
          <t>JÄMTLANDS LÄN</t>
        </is>
      </c>
      <c r="E1018" t="inlineStr">
        <is>
          <t>ÖSTERSUND</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61376-2024</t>
        </is>
      </c>
      <c r="B1019" s="1" t="n">
        <v>45646</v>
      </c>
      <c r="C1019" s="1" t="n">
        <v>45791</v>
      </c>
      <c r="D1019" t="inlineStr">
        <is>
          <t>JÄMTLANDS LÄN</t>
        </is>
      </c>
      <c r="E1019" t="inlineStr">
        <is>
          <t>ÖSTERSUND</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61450-2024</t>
        </is>
      </c>
      <c r="B1020" s="1" t="n">
        <v>45646</v>
      </c>
      <c r="C1020" s="1" t="n">
        <v>45791</v>
      </c>
      <c r="D1020" t="inlineStr">
        <is>
          <t>JÄMTLANDS LÄN</t>
        </is>
      </c>
      <c r="E1020" t="inlineStr">
        <is>
          <t>ÖSTERSUND</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62111-2024</t>
        </is>
      </c>
      <c r="B1021" s="1" t="n">
        <v>45656</v>
      </c>
      <c r="C1021" s="1" t="n">
        <v>45791</v>
      </c>
      <c r="D1021" t="inlineStr">
        <is>
          <t>JÄMTLANDS LÄN</t>
        </is>
      </c>
      <c r="E1021" t="inlineStr">
        <is>
          <t>ÖSTERSUND</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79-2025</t>
        </is>
      </c>
      <c r="B1022" s="1" t="n">
        <v>45659</v>
      </c>
      <c r="C1022" s="1" t="n">
        <v>45791</v>
      </c>
      <c r="D1022" t="inlineStr">
        <is>
          <t>JÄMTLANDS LÄN</t>
        </is>
      </c>
      <c r="E1022" t="inlineStr">
        <is>
          <t>ÖSTERSUND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207-2025</t>
        </is>
      </c>
      <c r="B1023" s="1" t="n">
        <v>45660</v>
      </c>
      <c r="C1023" s="1" t="n">
        <v>45791</v>
      </c>
      <c r="D1023" t="inlineStr">
        <is>
          <t>JÄMTLANDS LÄN</t>
        </is>
      </c>
      <c r="E1023" t="inlineStr">
        <is>
          <t>ÖSTERSUND</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582-2025</t>
        </is>
      </c>
      <c r="B1024" s="1" t="n">
        <v>45664</v>
      </c>
      <c r="C1024" s="1" t="n">
        <v>45791</v>
      </c>
      <c r="D1024" t="inlineStr">
        <is>
          <t>JÄMTLANDS LÄN</t>
        </is>
      </c>
      <c r="E1024" t="inlineStr">
        <is>
          <t>ÖSTERSUND</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1179-2025</t>
        </is>
      </c>
      <c r="B1025" s="1" t="n">
        <v>45667</v>
      </c>
      <c r="C1025" s="1" t="n">
        <v>45791</v>
      </c>
      <c r="D1025" t="inlineStr">
        <is>
          <t>JÄMTLANDS LÄN</t>
        </is>
      </c>
      <c r="E1025" t="inlineStr">
        <is>
          <t>ÖSTERSUND</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1211-2025</t>
        </is>
      </c>
      <c r="B1026" s="1" t="n">
        <v>45667</v>
      </c>
      <c r="C1026" s="1" t="n">
        <v>45791</v>
      </c>
      <c r="D1026" t="inlineStr">
        <is>
          <t>JÄMTLANDS LÄN</t>
        </is>
      </c>
      <c r="E1026" t="inlineStr">
        <is>
          <t>ÖSTERSUND</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1255-2025</t>
        </is>
      </c>
      <c r="B1027" s="1" t="n">
        <v>45667</v>
      </c>
      <c r="C1027" s="1" t="n">
        <v>45791</v>
      </c>
      <c r="D1027" t="inlineStr">
        <is>
          <t>JÄMTLANDS LÄN</t>
        </is>
      </c>
      <c r="E1027" t="inlineStr">
        <is>
          <t>ÖSTERSUND</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1762-2025</t>
        </is>
      </c>
      <c r="B1028" s="1" t="n">
        <v>45671</v>
      </c>
      <c r="C1028" s="1" t="n">
        <v>45791</v>
      </c>
      <c r="D1028" t="inlineStr">
        <is>
          <t>JÄMTLANDS LÄN</t>
        </is>
      </c>
      <c r="E1028" t="inlineStr">
        <is>
          <t>ÖSTERSUND</t>
        </is>
      </c>
      <c r="F1028" t="inlineStr">
        <is>
          <t>SCA</t>
        </is>
      </c>
      <c r="G1028" t="n">
        <v>51.9</v>
      </c>
      <c r="H1028" t="n">
        <v>0</v>
      </c>
      <c r="I1028" t="n">
        <v>0</v>
      </c>
      <c r="J1028" t="n">
        <v>0</v>
      </c>
      <c r="K1028" t="n">
        <v>0</v>
      </c>
      <c r="L1028" t="n">
        <v>0</v>
      </c>
      <c r="M1028" t="n">
        <v>0</v>
      </c>
      <c r="N1028" t="n">
        <v>0</v>
      </c>
      <c r="O1028" t="n">
        <v>0</v>
      </c>
      <c r="P1028" t="n">
        <v>0</v>
      </c>
      <c r="Q1028" t="n">
        <v>0</v>
      </c>
      <c r="R1028" s="2" t="inlineStr"/>
    </row>
    <row r="1029" ht="15" customHeight="1">
      <c r="A1029" t="inlineStr">
        <is>
          <t>A 2730-2025</t>
        </is>
      </c>
      <c r="B1029" s="1" t="n">
        <v>45677</v>
      </c>
      <c r="C1029" s="1" t="n">
        <v>45791</v>
      </c>
      <c r="D1029" t="inlineStr">
        <is>
          <t>JÄMTLANDS LÄN</t>
        </is>
      </c>
      <c r="E1029" t="inlineStr">
        <is>
          <t>ÖSTERSUND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2747-2025</t>
        </is>
      </c>
      <c r="B1030" s="1" t="n">
        <v>45677</v>
      </c>
      <c r="C1030" s="1" t="n">
        <v>45791</v>
      </c>
      <c r="D1030" t="inlineStr">
        <is>
          <t>JÄMTLANDS LÄN</t>
        </is>
      </c>
      <c r="E1030" t="inlineStr">
        <is>
          <t>ÖSTERSUND</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2753-2025</t>
        </is>
      </c>
      <c r="B1031" s="1" t="n">
        <v>45677</v>
      </c>
      <c r="C1031" s="1" t="n">
        <v>45791</v>
      </c>
      <c r="D1031" t="inlineStr">
        <is>
          <t>JÄMTLANDS LÄN</t>
        </is>
      </c>
      <c r="E1031" t="inlineStr">
        <is>
          <t>ÖSTERSUND</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2706-2025</t>
        </is>
      </c>
      <c r="B1032" s="1" t="n">
        <v>45677</v>
      </c>
      <c r="C1032" s="1" t="n">
        <v>45791</v>
      </c>
      <c r="D1032" t="inlineStr">
        <is>
          <t>JÄMTLANDS LÄN</t>
        </is>
      </c>
      <c r="E1032" t="inlineStr">
        <is>
          <t>ÖSTERSUND</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3122-2025</t>
        </is>
      </c>
      <c r="B1033" s="1" t="n">
        <v>45678</v>
      </c>
      <c r="C1033" s="1" t="n">
        <v>45791</v>
      </c>
      <c r="D1033" t="inlineStr">
        <is>
          <t>JÄMTLANDS LÄN</t>
        </is>
      </c>
      <c r="E1033" t="inlineStr">
        <is>
          <t>ÖSTERSUND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3053-2025</t>
        </is>
      </c>
      <c r="B1034" s="1" t="n">
        <v>45678</v>
      </c>
      <c r="C1034" s="1" t="n">
        <v>45791</v>
      </c>
      <c r="D1034" t="inlineStr">
        <is>
          <t>JÄMTLANDS LÄN</t>
        </is>
      </c>
      <c r="E1034" t="inlineStr">
        <is>
          <t>ÖSTERSUND</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3255-2025</t>
        </is>
      </c>
      <c r="B1035" s="1" t="n">
        <v>45679</v>
      </c>
      <c r="C1035" s="1" t="n">
        <v>45791</v>
      </c>
      <c r="D1035" t="inlineStr">
        <is>
          <t>JÄMTLANDS LÄN</t>
        </is>
      </c>
      <c r="E1035" t="inlineStr">
        <is>
          <t>ÖSTERSUND</t>
        </is>
      </c>
      <c r="F1035" t="inlineStr">
        <is>
          <t>SCA</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3204-2025</t>
        </is>
      </c>
      <c r="B1036" s="1" t="n">
        <v>45679</v>
      </c>
      <c r="C1036" s="1" t="n">
        <v>45791</v>
      </c>
      <c r="D1036" t="inlineStr">
        <is>
          <t>JÄMTLANDS LÄN</t>
        </is>
      </c>
      <c r="E1036" t="inlineStr">
        <is>
          <t>ÖSTERSUND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3265-2025</t>
        </is>
      </c>
      <c r="B1037" s="1" t="n">
        <v>45679</v>
      </c>
      <c r="C1037" s="1" t="n">
        <v>45791</v>
      </c>
      <c r="D1037" t="inlineStr">
        <is>
          <t>JÄMTLANDS LÄN</t>
        </is>
      </c>
      <c r="E1037" t="inlineStr">
        <is>
          <t>ÖSTERSUND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3615-2025</t>
        </is>
      </c>
      <c r="B1038" s="1" t="n">
        <v>45681</v>
      </c>
      <c r="C1038" s="1" t="n">
        <v>45791</v>
      </c>
      <c r="D1038" t="inlineStr">
        <is>
          <t>JÄMTLANDS LÄN</t>
        </is>
      </c>
      <c r="E1038" t="inlineStr">
        <is>
          <t>ÖSTERSUND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3651-2025</t>
        </is>
      </c>
      <c r="B1039" s="1" t="n">
        <v>45681</v>
      </c>
      <c r="C1039" s="1" t="n">
        <v>45791</v>
      </c>
      <c r="D1039" t="inlineStr">
        <is>
          <t>JÄMTLANDS LÄN</t>
        </is>
      </c>
      <c r="E1039" t="inlineStr">
        <is>
          <t>ÖSTERSUND</t>
        </is>
      </c>
      <c r="F1039" t="inlineStr">
        <is>
          <t>SCA</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3664-2025</t>
        </is>
      </c>
      <c r="B1040" s="1" t="n">
        <v>45681</v>
      </c>
      <c r="C1040" s="1" t="n">
        <v>45791</v>
      </c>
      <c r="D1040" t="inlineStr">
        <is>
          <t>JÄMTLANDS LÄN</t>
        </is>
      </c>
      <c r="E1040" t="inlineStr">
        <is>
          <t>ÖSTERSUND</t>
        </is>
      </c>
      <c r="F1040" t="inlineStr">
        <is>
          <t>SCA</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4063-2025</t>
        </is>
      </c>
      <c r="B1041" s="1" t="n">
        <v>45684</v>
      </c>
      <c r="C1041" s="1" t="n">
        <v>45791</v>
      </c>
      <c r="D1041" t="inlineStr">
        <is>
          <t>JÄMTLANDS LÄN</t>
        </is>
      </c>
      <c r="E1041" t="inlineStr">
        <is>
          <t>ÖSTERSUND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3914-2025</t>
        </is>
      </c>
      <c r="B1042" s="1" t="n">
        <v>45684</v>
      </c>
      <c r="C1042" s="1" t="n">
        <v>45791</v>
      </c>
      <c r="D1042" t="inlineStr">
        <is>
          <t>JÄMTLANDS LÄN</t>
        </is>
      </c>
      <c r="E1042" t="inlineStr">
        <is>
          <t>ÖSTERSUND</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3985-2025</t>
        </is>
      </c>
      <c r="B1043" s="1" t="n">
        <v>45684</v>
      </c>
      <c r="C1043" s="1" t="n">
        <v>45791</v>
      </c>
      <c r="D1043" t="inlineStr">
        <is>
          <t>JÄMTLANDS LÄN</t>
        </is>
      </c>
      <c r="E1043" t="inlineStr">
        <is>
          <t>ÖSTERSUND</t>
        </is>
      </c>
      <c r="F1043" t="inlineStr">
        <is>
          <t>SCA</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3997-2025</t>
        </is>
      </c>
      <c r="B1044" s="1" t="n">
        <v>45684</v>
      </c>
      <c r="C1044" s="1" t="n">
        <v>45791</v>
      </c>
      <c r="D1044" t="inlineStr">
        <is>
          <t>JÄMTLANDS LÄN</t>
        </is>
      </c>
      <c r="E1044" t="inlineStr">
        <is>
          <t>ÖSTERSUND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4143-2025</t>
        </is>
      </c>
      <c r="B1045" s="1" t="n">
        <v>45685</v>
      </c>
      <c r="C1045" s="1" t="n">
        <v>45791</v>
      </c>
      <c r="D1045" t="inlineStr">
        <is>
          <t>JÄMTLANDS LÄN</t>
        </is>
      </c>
      <c r="E1045" t="inlineStr">
        <is>
          <t>ÖSTERSUND</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4311-2025</t>
        </is>
      </c>
      <c r="B1046" s="1" t="n">
        <v>45685</v>
      </c>
      <c r="C1046" s="1" t="n">
        <v>45791</v>
      </c>
      <c r="D1046" t="inlineStr">
        <is>
          <t>JÄMTLANDS LÄN</t>
        </is>
      </c>
      <c r="E1046" t="inlineStr">
        <is>
          <t>ÖSTERSUND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4500-2025</t>
        </is>
      </c>
      <c r="B1047" s="1" t="n">
        <v>45686</v>
      </c>
      <c r="C1047" s="1" t="n">
        <v>45791</v>
      </c>
      <c r="D1047" t="inlineStr">
        <is>
          <t>JÄMTLANDS LÄN</t>
        </is>
      </c>
      <c r="E1047" t="inlineStr">
        <is>
          <t>ÖSTERSUND</t>
        </is>
      </c>
      <c r="G1047" t="n">
        <v>28.4</v>
      </c>
      <c r="H1047" t="n">
        <v>0</v>
      </c>
      <c r="I1047" t="n">
        <v>0</v>
      </c>
      <c r="J1047" t="n">
        <v>0</v>
      </c>
      <c r="K1047" t="n">
        <v>0</v>
      </c>
      <c r="L1047" t="n">
        <v>0</v>
      </c>
      <c r="M1047" t="n">
        <v>0</v>
      </c>
      <c r="N1047" t="n">
        <v>0</v>
      </c>
      <c r="O1047" t="n">
        <v>0</v>
      </c>
      <c r="P1047" t="n">
        <v>0</v>
      </c>
      <c r="Q1047" t="n">
        <v>0</v>
      </c>
      <c r="R1047" s="2" t="inlineStr"/>
    </row>
    <row r="1048" ht="15" customHeight="1">
      <c r="A1048" t="inlineStr">
        <is>
          <t>A 4480-2025</t>
        </is>
      </c>
      <c r="B1048" s="1" t="n">
        <v>45686</v>
      </c>
      <c r="C1048" s="1" t="n">
        <v>45791</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4491-2025</t>
        </is>
      </c>
      <c r="B1049" s="1" t="n">
        <v>45686</v>
      </c>
      <c r="C1049" s="1" t="n">
        <v>45791</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4520-2025</t>
        </is>
      </c>
      <c r="B1050" s="1" t="n">
        <v>45686</v>
      </c>
      <c r="C1050" s="1" t="n">
        <v>45791</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4522-2025</t>
        </is>
      </c>
      <c r="B1051" s="1" t="n">
        <v>45686</v>
      </c>
      <c r="C1051" s="1" t="n">
        <v>45791</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4384-2025</t>
        </is>
      </c>
      <c r="B1052" s="1" t="n">
        <v>45686</v>
      </c>
      <c r="C1052" s="1" t="n">
        <v>45791</v>
      </c>
      <c r="D1052" t="inlineStr">
        <is>
          <t>JÄMTLANDS LÄN</t>
        </is>
      </c>
      <c r="E1052" t="inlineStr">
        <is>
          <t>ÖSTERSUND</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4523-2025</t>
        </is>
      </c>
      <c r="B1053" s="1" t="n">
        <v>45686</v>
      </c>
      <c r="C1053" s="1" t="n">
        <v>45791</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4521-2025</t>
        </is>
      </c>
      <c r="B1054" s="1" t="n">
        <v>45686</v>
      </c>
      <c r="C1054" s="1" t="n">
        <v>45791</v>
      </c>
      <c r="D1054" t="inlineStr">
        <is>
          <t>JÄMTLANDS LÄN</t>
        </is>
      </c>
      <c r="E1054" t="inlineStr">
        <is>
          <t>ÖSTERSUND</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4892-2025</t>
        </is>
      </c>
      <c r="B1055" s="1" t="n">
        <v>45688</v>
      </c>
      <c r="C1055" s="1" t="n">
        <v>45791</v>
      </c>
      <c r="D1055" t="inlineStr">
        <is>
          <t>JÄMTLANDS LÄN</t>
        </is>
      </c>
      <c r="E1055" t="inlineStr">
        <is>
          <t>ÖSTERSUND</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4901-2025</t>
        </is>
      </c>
      <c r="B1056" s="1" t="n">
        <v>45688</v>
      </c>
      <c r="C1056" s="1" t="n">
        <v>45791</v>
      </c>
      <c r="D1056" t="inlineStr">
        <is>
          <t>JÄMTLANDS LÄN</t>
        </is>
      </c>
      <c r="E1056" t="inlineStr">
        <is>
          <t>ÖSTERSUND</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4936-2025</t>
        </is>
      </c>
      <c r="B1057" s="1" t="n">
        <v>45688</v>
      </c>
      <c r="C1057" s="1" t="n">
        <v>45791</v>
      </c>
      <c r="D1057" t="inlineStr">
        <is>
          <t>JÄMTLANDS LÄN</t>
        </is>
      </c>
      <c r="E1057" t="inlineStr">
        <is>
          <t>ÖSTERSUND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4864-2025</t>
        </is>
      </c>
      <c r="B1058" s="1" t="n">
        <v>45688</v>
      </c>
      <c r="C1058" s="1" t="n">
        <v>45791</v>
      </c>
      <c r="D1058" t="inlineStr">
        <is>
          <t>JÄMTLANDS LÄN</t>
        </is>
      </c>
      <c r="E1058" t="inlineStr">
        <is>
          <t>ÖSTERSUND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4966-2025</t>
        </is>
      </c>
      <c r="B1059" s="1" t="n">
        <v>45690</v>
      </c>
      <c r="C1059" s="1" t="n">
        <v>45791</v>
      </c>
      <c r="D1059" t="inlineStr">
        <is>
          <t>JÄMTLANDS LÄN</t>
        </is>
      </c>
      <c r="E1059" t="inlineStr">
        <is>
          <t>ÖSTERSUND</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5140-2025</t>
        </is>
      </c>
      <c r="B1060" s="1" t="n">
        <v>45691</v>
      </c>
      <c r="C1060" s="1" t="n">
        <v>45791</v>
      </c>
      <c r="D1060" t="inlineStr">
        <is>
          <t>JÄMTLANDS LÄN</t>
        </is>
      </c>
      <c r="E1060" t="inlineStr">
        <is>
          <t>ÖSTERSUND</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5138-2025</t>
        </is>
      </c>
      <c r="B1061" s="1" t="n">
        <v>45691</v>
      </c>
      <c r="C1061" s="1" t="n">
        <v>45791</v>
      </c>
      <c r="D1061" t="inlineStr">
        <is>
          <t>JÄMTLANDS LÄN</t>
        </is>
      </c>
      <c r="E1061" t="inlineStr">
        <is>
          <t>ÖSTERSUND</t>
        </is>
      </c>
      <c r="F1061" t="inlineStr">
        <is>
          <t>Övriga Aktiebolag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5135-2025</t>
        </is>
      </c>
      <c r="B1062" s="1" t="n">
        <v>45691</v>
      </c>
      <c r="C1062" s="1" t="n">
        <v>45791</v>
      </c>
      <c r="D1062" t="inlineStr">
        <is>
          <t>JÄMTLANDS LÄN</t>
        </is>
      </c>
      <c r="E1062" t="inlineStr">
        <is>
          <t>ÖSTERSUND</t>
        </is>
      </c>
      <c r="F1062" t="inlineStr">
        <is>
          <t>Övriga Aktiebolag</t>
        </is>
      </c>
      <c r="G1062" t="n">
        <v>126.9</v>
      </c>
      <c r="H1062" t="n">
        <v>0</v>
      </c>
      <c r="I1062" t="n">
        <v>0</v>
      </c>
      <c r="J1062" t="n">
        <v>0</v>
      </c>
      <c r="K1062" t="n">
        <v>0</v>
      </c>
      <c r="L1062" t="n">
        <v>0</v>
      </c>
      <c r="M1062" t="n">
        <v>0</v>
      </c>
      <c r="N1062" t="n">
        <v>0</v>
      </c>
      <c r="O1062" t="n">
        <v>0</v>
      </c>
      <c r="P1062" t="n">
        <v>0</v>
      </c>
      <c r="Q1062" t="n">
        <v>0</v>
      </c>
      <c r="R1062" s="2" t="inlineStr"/>
    </row>
    <row r="1063" ht="15" customHeight="1">
      <c r="A1063" t="inlineStr">
        <is>
          <t>A 5025-2025</t>
        </is>
      </c>
      <c r="B1063" s="1" t="n">
        <v>45691</v>
      </c>
      <c r="C1063" s="1" t="n">
        <v>45791</v>
      </c>
      <c r="D1063" t="inlineStr">
        <is>
          <t>JÄMTLANDS LÄN</t>
        </is>
      </c>
      <c r="E1063" t="inlineStr">
        <is>
          <t>ÖSTERSUND</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5024-2025</t>
        </is>
      </c>
      <c r="B1064" s="1" t="n">
        <v>45691</v>
      </c>
      <c r="C1064" s="1" t="n">
        <v>45791</v>
      </c>
      <c r="D1064" t="inlineStr">
        <is>
          <t>JÄMTLANDS LÄN</t>
        </is>
      </c>
      <c r="E1064" t="inlineStr">
        <is>
          <t>ÖSTERSUND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5341-2025</t>
        </is>
      </c>
      <c r="B1065" s="1" t="n">
        <v>45692</v>
      </c>
      <c r="C1065" s="1" t="n">
        <v>45791</v>
      </c>
      <c r="D1065" t="inlineStr">
        <is>
          <t>JÄMTLANDS LÄN</t>
        </is>
      </c>
      <c r="E1065" t="inlineStr">
        <is>
          <t>ÖSTERSUND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5564-2025</t>
        </is>
      </c>
      <c r="B1066" s="1" t="n">
        <v>45693</v>
      </c>
      <c r="C1066" s="1" t="n">
        <v>45791</v>
      </c>
      <c r="D1066" t="inlineStr">
        <is>
          <t>JÄMTLANDS LÄN</t>
        </is>
      </c>
      <c r="E1066" t="inlineStr">
        <is>
          <t>ÖSTERSUND</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5544-2025</t>
        </is>
      </c>
      <c r="B1067" s="1" t="n">
        <v>45693</v>
      </c>
      <c r="C1067" s="1" t="n">
        <v>45791</v>
      </c>
      <c r="D1067" t="inlineStr">
        <is>
          <t>JÄMTLANDS LÄN</t>
        </is>
      </c>
      <c r="E1067" t="inlineStr">
        <is>
          <t>ÖSTERSUND</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5553-2025</t>
        </is>
      </c>
      <c r="B1068" s="1" t="n">
        <v>45693</v>
      </c>
      <c r="C1068" s="1" t="n">
        <v>45791</v>
      </c>
      <c r="D1068" t="inlineStr">
        <is>
          <t>JÄMTLANDS LÄN</t>
        </is>
      </c>
      <c r="E1068" t="inlineStr">
        <is>
          <t>ÖSTERSUND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5549-2025</t>
        </is>
      </c>
      <c r="B1069" s="1" t="n">
        <v>45693</v>
      </c>
      <c r="C1069" s="1" t="n">
        <v>45791</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6067-2025</t>
        </is>
      </c>
      <c r="B1070" s="1" t="n">
        <v>45696</v>
      </c>
      <c r="C1070" s="1" t="n">
        <v>45791</v>
      </c>
      <c r="D1070" t="inlineStr">
        <is>
          <t>JÄMTLANDS LÄN</t>
        </is>
      </c>
      <c r="E1070" t="inlineStr">
        <is>
          <t>ÖSTERSUND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7030-2025</t>
        </is>
      </c>
      <c r="B1071" s="1" t="n">
        <v>45701</v>
      </c>
      <c r="C1071" s="1" t="n">
        <v>45791</v>
      </c>
      <c r="D1071" t="inlineStr">
        <is>
          <t>JÄMTLANDS LÄN</t>
        </is>
      </c>
      <c r="E1071" t="inlineStr">
        <is>
          <t>ÖSTERSUND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7005-2025</t>
        </is>
      </c>
      <c r="B1072" s="1" t="n">
        <v>45701</v>
      </c>
      <c r="C1072" s="1" t="n">
        <v>45791</v>
      </c>
      <c r="D1072" t="inlineStr">
        <is>
          <t>JÄMTLANDS LÄN</t>
        </is>
      </c>
      <c r="E1072" t="inlineStr">
        <is>
          <t>ÖSTERSUND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7022-2025</t>
        </is>
      </c>
      <c r="B1073" s="1" t="n">
        <v>45701</v>
      </c>
      <c r="C1073" s="1" t="n">
        <v>45791</v>
      </c>
      <c r="D1073" t="inlineStr">
        <is>
          <t>JÄMTLANDS LÄN</t>
        </is>
      </c>
      <c r="E1073" t="inlineStr">
        <is>
          <t>ÖSTERSUND</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7300-2025</t>
        </is>
      </c>
      <c r="B1074" s="1" t="n">
        <v>45702</v>
      </c>
      <c r="C1074" s="1" t="n">
        <v>45791</v>
      </c>
      <c r="D1074" t="inlineStr">
        <is>
          <t>JÄMTLANDS LÄN</t>
        </is>
      </c>
      <c r="E1074" t="inlineStr">
        <is>
          <t>ÖSTERSUND</t>
        </is>
      </c>
      <c r="F1074" t="inlineStr">
        <is>
          <t>SCA</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7233-2025</t>
        </is>
      </c>
      <c r="B1075" s="1" t="n">
        <v>45702</v>
      </c>
      <c r="C1075" s="1" t="n">
        <v>45791</v>
      </c>
      <c r="D1075" t="inlineStr">
        <is>
          <t>JÄMTLANDS LÄN</t>
        </is>
      </c>
      <c r="E1075" t="inlineStr">
        <is>
          <t>ÖSTERSUND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7289-2025</t>
        </is>
      </c>
      <c r="B1076" s="1" t="n">
        <v>45702</v>
      </c>
      <c r="C1076" s="1" t="n">
        <v>45791</v>
      </c>
      <c r="D1076" t="inlineStr">
        <is>
          <t>JÄMTLANDS LÄN</t>
        </is>
      </c>
      <c r="E1076" t="inlineStr">
        <is>
          <t>ÖSTERSUND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7549-2025</t>
        </is>
      </c>
      <c r="B1077" s="1" t="n">
        <v>45705</v>
      </c>
      <c r="C1077" s="1" t="n">
        <v>45791</v>
      </c>
      <c r="D1077" t="inlineStr">
        <is>
          <t>JÄMTLANDS LÄN</t>
        </is>
      </c>
      <c r="E1077" t="inlineStr">
        <is>
          <t>ÖSTERSUND</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7940-2025</t>
        </is>
      </c>
      <c r="B1078" s="1" t="n">
        <v>45707</v>
      </c>
      <c r="C1078" s="1" t="n">
        <v>45791</v>
      </c>
      <c r="D1078" t="inlineStr">
        <is>
          <t>JÄMTLANDS LÄN</t>
        </is>
      </c>
      <c r="E1078" t="inlineStr">
        <is>
          <t>ÖSTERSUND</t>
        </is>
      </c>
      <c r="F1078" t="inlineStr">
        <is>
          <t>Övriga Aktiebolag</t>
        </is>
      </c>
      <c r="G1078" t="n">
        <v>48.1</v>
      </c>
      <c r="H1078" t="n">
        <v>0</v>
      </c>
      <c r="I1078" t="n">
        <v>0</v>
      </c>
      <c r="J1078" t="n">
        <v>0</v>
      </c>
      <c r="K1078" t="n">
        <v>0</v>
      </c>
      <c r="L1078" t="n">
        <v>0</v>
      </c>
      <c r="M1078" t="n">
        <v>0</v>
      </c>
      <c r="N1078" t="n">
        <v>0</v>
      </c>
      <c r="O1078" t="n">
        <v>0</v>
      </c>
      <c r="P1078" t="n">
        <v>0</v>
      </c>
      <c r="Q1078" t="n">
        <v>0</v>
      </c>
      <c r="R1078" s="2" t="inlineStr"/>
    </row>
    <row r="1079" ht="15" customHeight="1">
      <c r="A1079" t="inlineStr">
        <is>
          <t>A 7956-2025</t>
        </is>
      </c>
      <c r="B1079" s="1" t="n">
        <v>45707</v>
      </c>
      <c r="C1079" s="1" t="n">
        <v>45791</v>
      </c>
      <c r="D1079" t="inlineStr">
        <is>
          <t>JÄMTLANDS LÄN</t>
        </is>
      </c>
      <c r="E1079" t="inlineStr">
        <is>
          <t>ÖSTERSUND</t>
        </is>
      </c>
      <c r="F1079" t="inlineStr">
        <is>
          <t>Övriga Aktiebolag</t>
        </is>
      </c>
      <c r="G1079" t="n">
        <v>111.2</v>
      </c>
      <c r="H1079" t="n">
        <v>0</v>
      </c>
      <c r="I1079" t="n">
        <v>0</v>
      </c>
      <c r="J1079" t="n">
        <v>0</v>
      </c>
      <c r="K1079" t="n">
        <v>0</v>
      </c>
      <c r="L1079" t="n">
        <v>0</v>
      </c>
      <c r="M1079" t="n">
        <v>0</v>
      </c>
      <c r="N1079" t="n">
        <v>0</v>
      </c>
      <c r="O1079" t="n">
        <v>0</v>
      </c>
      <c r="P1079" t="n">
        <v>0</v>
      </c>
      <c r="Q1079" t="n">
        <v>0</v>
      </c>
      <c r="R1079" s="2" t="inlineStr"/>
    </row>
    <row r="1080" ht="15" customHeight="1">
      <c r="A1080" t="inlineStr">
        <is>
          <t>A 8003-2025</t>
        </is>
      </c>
      <c r="B1080" s="1" t="n">
        <v>45707</v>
      </c>
      <c r="C1080" s="1" t="n">
        <v>45791</v>
      </c>
      <c r="D1080" t="inlineStr">
        <is>
          <t>JÄMTLANDS LÄN</t>
        </is>
      </c>
      <c r="E1080" t="inlineStr">
        <is>
          <t>ÖSTERSUND</t>
        </is>
      </c>
      <c r="F1080" t="inlineStr">
        <is>
          <t>Övriga Aktiebolag</t>
        </is>
      </c>
      <c r="G1080" t="n">
        <v>35.1</v>
      </c>
      <c r="H1080" t="n">
        <v>0</v>
      </c>
      <c r="I1080" t="n">
        <v>0</v>
      </c>
      <c r="J1080" t="n">
        <v>0</v>
      </c>
      <c r="K1080" t="n">
        <v>0</v>
      </c>
      <c r="L1080" t="n">
        <v>0</v>
      </c>
      <c r="M1080" t="n">
        <v>0</v>
      </c>
      <c r="N1080" t="n">
        <v>0</v>
      </c>
      <c r="O1080" t="n">
        <v>0</v>
      </c>
      <c r="P1080" t="n">
        <v>0</v>
      </c>
      <c r="Q1080" t="n">
        <v>0</v>
      </c>
      <c r="R1080" s="2" t="inlineStr"/>
    </row>
    <row r="1081" ht="15" customHeight="1">
      <c r="A1081" t="inlineStr">
        <is>
          <t>A 8028-2025</t>
        </is>
      </c>
      <c r="B1081" s="1" t="n">
        <v>45707</v>
      </c>
      <c r="C1081" s="1" t="n">
        <v>45791</v>
      </c>
      <c r="D1081" t="inlineStr">
        <is>
          <t>JÄMTLANDS LÄN</t>
        </is>
      </c>
      <c r="E1081" t="inlineStr">
        <is>
          <t>ÖSTERSUND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7938-2025</t>
        </is>
      </c>
      <c r="B1082" s="1" t="n">
        <v>45707</v>
      </c>
      <c r="C1082" s="1" t="n">
        <v>45791</v>
      </c>
      <c r="D1082" t="inlineStr">
        <is>
          <t>JÄMTLANDS LÄN</t>
        </is>
      </c>
      <c r="E1082" t="inlineStr">
        <is>
          <t>ÖSTERSUND</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7953-2025</t>
        </is>
      </c>
      <c r="B1083" s="1" t="n">
        <v>45707</v>
      </c>
      <c r="C1083" s="1" t="n">
        <v>45791</v>
      </c>
      <c r="D1083" t="inlineStr">
        <is>
          <t>JÄMTLANDS LÄN</t>
        </is>
      </c>
      <c r="E1083" t="inlineStr">
        <is>
          <t>ÖSTERSUND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7949-2025</t>
        </is>
      </c>
      <c r="B1084" s="1" t="n">
        <v>45707</v>
      </c>
      <c r="C1084" s="1" t="n">
        <v>45791</v>
      </c>
      <c r="D1084" t="inlineStr">
        <is>
          <t>JÄMTLANDS LÄN</t>
        </is>
      </c>
      <c r="E1084" t="inlineStr">
        <is>
          <t>ÖSTERSUND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7941-2025</t>
        </is>
      </c>
      <c r="B1085" s="1" t="n">
        <v>45707</v>
      </c>
      <c r="C1085" s="1" t="n">
        <v>45791</v>
      </c>
      <c r="D1085" t="inlineStr">
        <is>
          <t>JÄMTLANDS LÄN</t>
        </is>
      </c>
      <c r="E1085" t="inlineStr">
        <is>
          <t>ÖSTERSUND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7911-2025</t>
        </is>
      </c>
      <c r="B1086" s="1" t="n">
        <v>45707</v>
      </c>
      <c r="C1086" s="1" t="n">
        <v>45791</v>
      </c>
      <c r="D1086" t="inlineStr">
        <is>
          <t>JÄMTLANDS LÄN</t>
        </is>
      </c>
      <c r="E1086" t="inlineStr">
        <is>
          <t>ÖSTERSUND</t>
        </is>
      </c>
      <c r="F1086" t="inlineStr">
        <is>
          <t>SCA</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7936-2025</t>
        </is>
      </c>
      <c r="B1087" s="1" t="n">
        <v>45707</v>
      </c>
      <c r="C1087" s="1" t="n">
        <v>45791</v>
      </c>
      <c r="D1087" t="inlineStr">
        <is>
          <t>JÄMTLANDS LÄN</t>
        </is>
      </c>
      <c r="E1087" t="inlineStr">
        <is>
          <t>ÖSTERSUND</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8216-2025</t>
        </is>
      </c>
      <c r="B1088" s="1" t="n">
        <v>45708</v>
      </c>
      <c r="C1088" s="1" t="n">
        <v>45791</v>
      </c>
      <c r="D1088" t="inlineStr">
        <is>
          <t>JÄMTLANDS LÄN</t>
        </is>
      </c>
      <c r="E1088" t="inlineStr">
        <is>
          <t>ÖSTERSUND</t>
        </is>
      </c>
      <c r="F1088" t="inlineStr">
        <is>
          <t>Övriga Aktiebolag</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8261-2025</t>
        </is>
      </c>
      <c r="B1089" s="1" t="n">
        <v>45708</v>
      </c>
      <c r="C1089" s="1" t="n">
        <v>45791</v>
      </c>
      <c r="D1089" t="inlineStr">
        <is>
          <t>JÄMTLANDS LÄN</t>
        </is>
      </c>
      <c r="E1089" t="inlineStr">
        <is>
          <t>ÖSTERSUND</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8401-2025</t>
        </is>
      </c>
      <c r="B1090" s="1" t="n">
        <v>45709</v>
      </c>
      <c r="C1090" s="1" t="n">
        <v>45791</v>
      </c>
      <c r="D1090" t="inlineStr">
        <is>
          <t>JÄMTLANDS LÄN</t>
        </is>
      </c>
      <c r="E1090" t="inlineStr">
        <is>
          <t>ÖSTERSUND</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8389-2025</t>
        </is>
      </c>
      <c r="B1091" s="1" t="n">
        <v>45709</v>
      </c>
      <c r="C1091" s="1" t="n">
        <v>45791</v>
      </c>
      <c r="D1091" t="inlineStr">
        <is>
          <t>JÄMTLANDS LÄN</t>
        </is>
      </c>
      <c r="E1091" t="inlineStr">
        <is>
          <t>ÖSTERSUND</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9246-2025</t>
        </is>
      </c>
      <c r="B1092" s="1" t="n">
        <v>45714</v>
      </c>
      <c r="C1092" s="1" t="n">
        <v>45791</v>
      </c>
      <c r="D1092" t="inlineStr">
        <is>
          <t>JÄMTLANDS LÄN</t>
        </is>
      </c>
      <c r="E1092" t="inlineStr">
        <is>
          <t>ÖSTERSUND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9552-2025</t>
        </is>
      </c>
      <c r="B1093" s="1" t="n">
        <v>45715</v>
      </c>
      <c r="C1093" s="1" t="n">
        <v>45791</v>
      </c>
      <c r="D1093" t="inlineStr">
        <is>
          <t>JÄMTLANDS LÄN</t>
        </is>
      </c>
      <c r="E1093" t="inlineStr">
        <is>
          <t>ÖSTERSUND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9744-2025</t>
        </is>
      </c>
      <c r="B1094" s="1" t="n">
        <v>45716</v>
      </c>
      <c r="C1094" s="1" t="n">
        <v>45791</v>
      </c>
      <c r="D1094" t="inlineStr">
        <is>
          <t>JÄMTLANDS LÄN</t>
        </is>
      </c>
      <c r="E1094" t="inlineStr">
        <is>
          <t>ÖSTERSUND</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9971-2025</t>
        </is>
      </c>
      <c r="B1095" s="1" t="n">
        <v>45719</v>
      </c>
      <c r="C1095" s="1" t="n">
        <v>45791</v>
      </c>
      <c r="D1095" t="inlineStr">
        <is>
          <t>JÄMTLANDS LÄN</t>
        </is>
      </c>
      <c r="E1095" t="inlineStr">
        <is>
          <t>ÖSTERSUND</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10116-2025</t>
        </is>
      </c>
      <c r="B1096" s="1" t="n">
        <v>45719</v>
      </c>
      <c r="C1096" s="1" t="n">
        <v>45791</v>
      </c>
      <c r="D1096" t="inlineStr">
        <is>
          <t>JÄMTLANDS LÄN</t>
        </is>
      </c>
      <c r="E1096" t="inlineStr">
        <is>
          <t>ÖSTERSUND</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10266-2025</t>
        </is>
      </c>
      <c r="B1097" s="1" t="n">
        <v>45720</v>
      </c>
      <c r="C1097" s="1" t="n">
        <v>45791</v>
      </c>
      <c r="D1097" t="inlineStr">
        <is>
          <t>JÄMTLANDS LÄN</t>
        </is>
      </c>
      <c r="E1097" t="inlineStr">
        <is>
          <t>ÖSTERSUND</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10267-2025</t>
        </is>
      </c>
      <c r="B1098" s="1" t="n">
        <v>45720</v>
      </c>
      <c r="C1098" s="1" t="n">
        <v>45791</v>
      </c>
      <c r="D1098" t="inlineStr">
        <is>
          <t>JÄMTLANDS LÄN</t>
        </is>
      </c>
      <c r="E1098" t="inlineStr">
        <is>
          <t>ÖSTERSUND</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10530-2025</t>
        </is>
      </c>
      <c r="B1099" s="1" t="n">
        <v>45721</v>
      </c>
      <c r="C1099" s="1" t="n">
        <v>45791</v>
      </c>
      <c r="D1099" t="inlineStr">
        <is>
          <t>JÄMTLANDS LÄN</t>
        </is>
      </c>
      <c r="E1099" t="inlineStr">
        <is>
          <t>ÖSTERSUND</t>
        </is>
      </c>
      <c r="F1099" t="inlineStr">
        <is>
          <t>SCA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10493-2025</t>
        </is>
      </c>
      <c r="B1100" s="1" t="n">
        <v>45721</v>
      </c>
      <c r="C1100" s="1" t="n">
        <v>45791</v>
      </c>
      <c r="D1100" t="inlineStr">
        <is>
          <t>JÄMTLANDS LÄN</t>
        </is>
      </c>
      <c r="E1100" t="inlineStr">
        <is>
          <t>ÖSTERSUND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10756-2025</t>
        </is>
      </c>
      <c r="B1101" s="1" t="n">
        <v>45722</v>
      </c>
      <c r="C1101" s="1" t="n">
        <v>45791</v>
      </c>
      <c r="D1101" t="inlineStr">
        <is>
          <t>JÄMTLANDS LÄN</t>
        </is>
      </c>
      <c r="E1101" t="inlineStr">
        <is>
          <t>ÖSTERSUND</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11181-2025</t>
        </is>
      </c>
      <c r="B1102" s="1" t="n">
        <v>45725</v>
      </c>
      <c r="C1102" s="1" t="n">
        <v>45791</v>
      </c>
      <c r="D1102" t="inlineStr">
        <is>
          <t>JÄMTLANDS LÄN</t>
        </is>
      </c>
      <c r="E1102" t="inlineStr">
        <is>
          <t>ÖSTERSUND</t>
        </is>
      </c>
      <c r="G1102" t="n">
        <v>15.4</v>
      </c>
      <c r="H1102" t="n">
        <v>0</v>
      </c>
      <c r="I1102" t="n">
        <v>0</v>
      </c>
      <c r="J1102" t="n">
        <v>0</v>
      </c>
      <c r="K1102" t="n">
        <v>0</v>
      </c>
      <c r="L1102" t="n">
        <v>0</v>
      </c>
      <c r="M1102" t="n">
        <v>0</v>
      </c>
      <c r="N1102" t="n">
        <v>0</v>
      </c>
      <c r="O1102" t="n">
        <v>0</v>
      </c>
      <c r="P1102" t="n">
        <v>0</v>
      </c>
      <c r="Q1102" t="n">
        <v>0</v>
      </c>
      <c r="R1102" s="2" t="inlineStr"/>
    </row>
    <row r="1103" ht="15" customHeight="1">
      <c r="A1103" t="inlineStr">
        <is>
          <t>A 11182-2025</t>
        </is>
      </c>
      <c r="B1103" s="1" t="n">
        <v>45725</v>
      </c>
      <c r="C1103" s="1" t="n">
        <v>45791</v>
      </c>
      <c r="D1103" t="inlineStr">
        <is>
          <t>JÄMTLANDS LÄN</t>
        </is>
      </c>
      <c r="E1103" t="inlineStr">
        <is>
          <t>ÖSTERSUND</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12102-2025</t>
        </is>
      </c>
      <c r="B1104" s="1" t="n">
        <v>45729</v>
      </c>
      <c r="C1104" s="1" t="n">
        <v>45791</v>
      </c>
      <c r="D1104" t="inlineStr">
        <is>
          <t>JÄMTLANDS LÄN</t>
        </is>
      </c>
      <c r="E1104" t="inlineStr">
        <is>
          <t>ÖSTERSUND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12509-2025</t>
        </is>
      </c>
      <c r="B1105" s="1" t="n">
        <v>45730</v>
      </c>
      <c r="C1105" s="1" t="n">
        <v>45791</v>
      </c>
      <c r="D1105" t="inlineStr">
        <is>
          <t>JÄMTLANDS LÄN</t>
        </is>
      </c>
      <c r="E1105" t="inlineStr">
        <is>
          <t>ÖSTERSUND</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12352-2025</t>
        </is>
      </c>
      <c r="B1106" s="1" t="n">
        <v>45730</v>
      </c>
      <c r="C1106" s="1" t="n">
        <v>45791</v>
      </c>
      <c r="D1106" t="inlineStr">
        <is>
          <t>JÄMTLANDS LÄN</t>
        </is>
      </c>
      <c r="E1106" t="inlineStr">
        <is>
          <t>ÖSTERSUND</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12429-2025</t>
        </is>
      </c>
      <c r="B1107" s="1" t="n">
        <v>45730</v>
      </c>
      <c r="C1107" s="1" t="n">
        <v>45791</v>
      </c>
      <c r="D1107" t="inlineStr">
        <is>
          <t>JÄMTLANDS LÄN</t>
        </is>
      </c>
      <c r="E1107" t="inlineStr">
        <is>
          <t>ÖSTERSUND</t>
        </is>
      </c>
      <c r="F1107" t="inlineStr">
        <is>
          <t>Övriga Aktiebolag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12492-2025</t>
        </is>
      </c>
      <c r="B1108" s="1" t="n">
        <v>45730</v>
      </c>
      <c r="C1108" s="1" t="n">
        <v>45791</v>
      </c>
      <c r="D1108" t="inlineStr">
        <is>
          <t>JÄMTLANDS LÄN</t>
        </is>
      </c>
      <c r="E1108" t="inlineStr">
        <is>
          <t>ÖSTERSUND</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12998-2025</t>
        </is>
      </c>
      <c r="B1109" s="1" t="n">
        <v>45734</v>
      </c>
      <c r="C1109" s="1" t="n">
        <v>45791</v>
      </c>
      <c r="D1109" t="inlineStr">
        <is>
          <t>JÄMTLANDS LÄN</t>
        </is>
      </c>
      <c r="E1109" t="inlineStr">
        <is>
          <t>ÖSTERSUND</t>
        </is>
      </c>
      <c r="F1109" t="inlineStr">
        <is>
          <t>SCA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13651-2025</t>
        </is>
      </c>
      <c r="B1110" s="1" t="n">
        <v>45736</v>
      </c>
      <c r="C1110" s="1" t="n">
        <v>45791</v>
      </c>
      <c r="D1110" t="inlineStr">
        <is>
          <t>JÄMTLANDS LÄN</t>
        </is>
      </c>
      <c r="E1110" t="inlineStr">
        <is>
          <t>ÖSTERSUND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13655-2025</t>
        </is>
      </c>
      <c r="B1111" s="1" t="n">
        <v>45736</v>
      </c>
      <c r="C1111" s="1" t="n">
        <v>45791</v>
      </c>
      <c r="D1111" t="inlineStr">
        <is>
          <t>JÄMTLANDS LÄN</t>
        </is>
      </c>
      <c r="E1111" t="inlineStr">
        <is>
          <t>ÖSTERSUND</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13738-2025</t>
        </is>
      </c>
      <c r="B1112" s="1" t="n">
        <v>45737</v>
      </c>
      <c r="C1112" s="1" t="n">
        <v>45791</v>
      </c>
      <c r="D1112" t="inlineStr">
        <is>
          <t>JÄMTLANDS LÄN</t>
        </is>
      </c>
      <c r="E1112" t="inlineStr">
        <is>
          <t>ÖSTERSUND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14182-2025</t>
        </is>
      </c>
      <c r="B1113" s="1" t="n">
        <v>45740</v>
      </c>
      <c r="C1113" s="1" t="n">
        <v>45791</v>
      </c>
      <c r="D1113" t="inlineStr">
        <is>
          <t>JÄMTLANDS LÄN</t>
        </is>
      </c>
      <c r="E1113" t="inlineStr">
        <is>
          <t>ÖSTERSUND</t>
        </is>
      </c>
      <c r="F1113" t="inlineStr">
        <is>
          <t>Övriga Aktiebolag</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14118-2025</t>
        </is>
      </c>
      <c r="B1114" s="1" t="n">
        <v>45740</v>
      </c>
      <c r="C1114" s="1" t="n">
        <v>45791</v>
      </c>
      <c r="D1114" t="inlineStr">
        <is>
          <t>JÄMTLANDS LÄN</t>
        </is>
      </c>
      <c r="E1114" t="inlineStr">
        <is>
          <t>ÖSTERSUND</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14263-2025</t>
        </is>
      </c>
      <c r="B1115" s="1" t="n">
        <v>45740</v>
      </c>
      <c r="C1115" s="1" t="n">
        <v>45791</v>
      </c>
      <c r="D1115" t="inlineStr">
        <is>
          <t>JÄMTLANDS LÄN</t>
        </is>
      </c>
      <c r="E1115" t="inlineStr">
        <is>
          <t>ÖSTERSUND</t>
        </is>
      </c>
      <c r="F1115" t="inlineStr">
        <is>
          <t>Övriga Aktiebolag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14514-2025</t>
        </is>
      </c>
      <c r="B1116" s="1" t="n">
        <v>45741</v>
      </c>
      <c r="C1116" s="1" t="n">
        <v>45791</v>
      </c>
      <c r="D1116" t="inlineStr">
        <is>
          <t>JÄMTLANDS LÄN</t>
        </is>
      </c>
      <c r="E1116" t="inlineStr">
        <is>
          <t>ÖSTERSUND</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14529-2025</t>
        </is>
      </c>
      <c r="B1117" s="1" t="n">
        <v>45741</v>
      </c>
      <c r="C1117" s="1" t="n">
        <v>45791</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14542-2025</t>
        </is>
      </c>
      <c r="B1118" s="1" t="n">
        <v>45741</v>
      </c>
      <c r="C1118" s="1" t="n">
        <v>45791</v>
      </c>
      <c r="D1118" t="inlineStr">
        <is>
          <t>JÄMTLANDS LÄN</t>
        </is>
      </c>
      <c r="E1118" t="inlineStr">
        <is>
          <t>ÖSTERSUND</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14662-2025</t>
        </is>
      </c>
      <c r="B1119" s="1" t="n">
        <v>45742</v>
      </c>
      <c r="C1119" s="1" t="n">
        <v>45791</v>
      </c>
      <c r="D1119" t="inlineStr">
        <is>
          <t>JÄMTLANDS LÄN</t>
        </is>
      </c>
      <c r="E1119" t="inlineStr">
        <is>
          <t>ÖSTERSUND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14946-2025</t>
        </is>
      </c>
      <c r="B1120" s="1" t="n">
        <v>45743</v>
      </c>
      <c r="C1120" s="1" t="n">
        <v>45791</v>
      </c>
      <c r="D1120" t="inlineStr">
        <is>
          <t>JÄMTLANDS LÄN</t>
        </is>
      </c>
      <c r="E1120" t="inlineStr">
        <is>
          <t>ÖSTERSUND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14947-2025</t>
        </is>
      </c>
      <c r="B1121" s="1" t="n">
        <v>45743</v>
      </c>
      <c r="C1121" s="1" t="n">
        <v>45791</v>
      </c>
      <c r="D1121" t="inlineStr">
        <is>
          <t>JÄMTLANDS LÄN</t>
        </is>
      </c>
      <c r="E1121" t="inlineStr">
        <is>
          <t>ÖSTERSUND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14848-2025</t>
        </is>
      </c>
      <c r="B1122" s="1" t="n">
        <v>45743</v>
      </c>
      <c r="C1122" s="1" t="n">
        <v>45791</v>
      </c>
      <c r="D1122" t="inlineStr">
        <is>
          <t>JÄMTLANDS LÄN</t>
        </is>
      </c>
      <c r="E1122" t="inlineStr">
        <is>
          <t>ÖSTERSUND</t>
        </is>
      </c>
      <c r="G1122" t="n">
        <v>12.1</v>
      </c>
      <c r="H1122" t="n">
        <v>0</v>
      </c>
      <c r="I1122" t="n">
        <v>0</v>
      </c>
      <c r="J1122" t="n">
        <v>0</v>
      </c>
      <c r="K1122" t="n">
        <v>0</v>
      </c>
      <c r="L1122" t="n">
        <v>0</v>
      </c>
      <c r="M1122" t="n">
        <v>0</v>
      </c>
      <c r="N1122" t="n">
        <v>0</v>
      </c>
      <c r="O1122" t="n">
        <v>0</v>
      </c>
      <c r="P1122" t="n">
        <v>0</v>
      </c>
      <c r="Q1122" t="n">
        <v>0</v>
      </c>
      <c r="R1122" s="2" t="inlineStr"/>
    </row>
    <row r="1123" ht="15" customHeight="1">
      <c r="A1123" t="inlineStr">
        <is>
          <t>A 14831-2025</t>
        </is>
      </c>
      <c r="B1123" s="1" t="n">
        <v>45743</v>
      </c>
      <c r="C1123" s="1" t="n">
        <v>45791</v>
      </c>
      <c r="D1123" t="inlineStr">
        <is>
          <t>JÄMTLANDS LÄN</t>
        </is>
      </c>
      <c r="E1123" t="inlineStr">
        <is>
          <t>ÖSTERSUND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14867-2025</t>
        </is>
      </c>
      <c r="B1124" s="1" t="n">
        <v>45743</v>
      </c>
      <c r="C1124" s="1" t="n">
        <v>45791</v>
      </c>
      <c r="D1124" t="inlineStr">
        <is>
          <t>JÄMTLANDS LÄN</t>
        </is>
      </c>
      <c r="E1124" t="inlineStr">
        <is>
          <t>ÖSTERSUND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15196-2025</t>
        </is>
      </c>
      <c r="B1125" s="1" t="n">
        <v>45744</v>
      </c>
      <c r="C1125" s="1" t="n">
        <v>45791</v>
      </c>
      <c r="D1125" t="inlineStr">
        <is>
          <t>JÄMTLANDS LÄN</t>
        </is>
      </c>
      <c r="E1125" t="inlineStr">
        <is>
          <t>ÖSTERSUND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45791</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45791</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15694-2025</t>
        </is>
      </c>
      <c r="B1128" s="1" t="n">
        <v>45748</v>
      </c>
      <c r="C1128" s="1" t="n">
        <v>45791</v>
      </c>
      <c r="D1128" t="inlineStr">
        <is>
          <t>JÄMTLANDS LÄN</t>
        </is>
      </c>
      <c r="E1128" t="inlineStr">
        <is>
          <t>ÖSTERSUND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15651-2025</t>
        </is>
      </c>
      <c r="B1129" s="1" t="n">
        <v>45748</v>
      </c>
      <c r="C1129" s="1" t="n">
        <v>45791</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45791</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45791</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45791</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45791</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45791</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45791</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45791</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45791</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45791</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45791</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16725-2025</t>
        </is>
      </c>
      <c r="B1140" s="1" t="n">
        <v>45754</v>
      </c>
      <c r="C1140" s="1" t="n">
        <v>45791</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45791</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45791</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17948-2025</t>
        </is>
      </c>
      <c r="B1143" s="1" t="n">
        <v>45760</v>
      </c>
      <c r="C1143" s="1" t="n">
        <v>45791</v>
      </c>
      <c r="D1143" t="inlineStr">
        <is>
          <t>JÄMTLANDS LÄN</t>
        </is>
      </c>
      <c r="E1143" t="inlineStr">
        <is>
          <t>ÖSTERSUND</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17947-2025</t>
        </is>
      </c>
      <c r="B1144" s="1" t="n">
        <v>45760</v>
      </c>
      <c r="C1144" s="1" t="n">
        <v>45791</v>
      </c>
      <c r="D1144" t="inlineStr">
        <is>
          <t>JÄMTLANDS LÄN</t>
        </is>
      </c>
      <c r="E1144" t="inlineStr">
        <is>
          <t>ÖSTERSUND</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45791</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18577-2025</t>
        </is>
      </c>
      <c r="B1146" s="1" t="n">
        <v>45763</v>
      </c>
      <c r="C1146" s="1" t="n">
        <v>45791</v>
      </c>
      <c r="D1146" t="inlineStr">
        <is>
          <t>JÄMTLANDS LÄN</t>
        </is>
      </c>
      <c r="E1146" t="inlineStr">
        <is>
          <t>ÖSTERSUND</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18578-2025</t>
        </is>
      </c>
      <c r="B1147" s="1" t="n">
        <v>45763</v>
      </c>
      <c r="C1147" s="1" t="n">
        <v>45791</v>
      </c>
      <c r="D1147" t="inlineStr">
        <is>
          <t>JÄMTLANDS LÄN</t>
        </is>
      </c>
      <c r="E1147" t="inlineStr">
        <is>
          <t>ÖSTERSUND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18897-2025</t>
        </is>
      </c>
      <c r="B1148" s="1" t="n">
        <v>45764</v>
      </c>
      <c r="C1148" s="1" t="n">
        <v>45791</v>
      </c>
      <c r="D1148" t="inlineStr">
        <is>
          <t>JÄMTLANDS LÄN</t>
        </is>
      </c>
      <c r="E1148" t="inlineStr">
        <is>
          <t>ÖSTERSUND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19581-2025</t>
        </is>
      </c>
      <c r="B1149" s="1" t="n">
        <v>45770</v>
      </c>
      <c r="C1149" s="1" t="n">
        <v>45791</v>
      </c>
      <c r="D1149" t="inlineStr">
        <is>
          <t>JÄMTLANDS LÄN</t>
        </is>
      </c>
      <c r="E1149" t="inlineStr">
        <is>
          <t>ÖSTERSUND</t>
        </is>
      </c>
      <c r="G1149" t="n">
        <v>17.2</v>
      </c>
      <c r="H1149" t="n">
        <v>0</v>
      </c>
      <c r="I1149" t="n">
        <v>0</v>
      </c>
      <c r="J1149" t="n">
        <v>0</v>
      </c>
      <c r="K1149" t="n">
        <v>0</v>
      </c>
      <c r="L1149" t="n">
        <v>0</v>
      </c>
      <c r="M1149" t="n">
        <v>0</v>
      </c>
      <c r="N1149" t="n">
        <v>0</v>
      </c>
      <c r="O1149" t="n">
        <v>0</v>
      </c>
      <c r="P1149" t="n">
        <v>0</v>
      </c>
      <c r="Q1149" t="n">
        <v>0</v>
      </c>
      <c r="R1149" s="2" t="inlineStr"/>
    </row>
    <row r="1150" ht="15" customHeight="1">
      <c r="A1150" t="inlineStr">
        <is>
          <t>A 19664-2025</t>
        </is>
      </c>
      <c r="B1150" s="1" t="n">
        <v>45770</v>
      </c>
      <c r="C1150" s="1" t="n">
        <v>45791</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19961-2025</t>
        </is>
      </c>
      <c r="B1151" s="1" t="n">
        <v>45771</v>
      </c>
      <c r="C1151" s="1" t="n">
        <v>45791</v>
      </c>
      <c r="D1151" t="inlineStr">
        <is>
          <t>JÄMTLANDS LÄN</t>
        </is>
      </c>
      <c r="E1151" t="inlineStr">
        <is>
          <t>ÖSTERSUND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19783-2025</t>
        </is>
      </c>
      <c r="B1152" s="1" t="n">
        <v>45771</v>
      </c>
      <c r="C1152" s="1" t="n">
        <v>45791</v>
      </c>
      <c r="D1152" t="inlineStr">
        <is>
          <t>JÄMTLANDS LÄN</t>
        </is>
      </c>
      <c r="E1152" t="inlineStr">
        <is>
          <t>ÖSTERSUND</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20674-2025</t>
        </is>
      </c>
      <c r="B1153" s="1" t="n">
        <v>45776</v>
      </c>
      <c r="C1153" s="1" t="n">
        <v>45791</v>
      </c>
      <c r="D1153" t="inlineStr">
        <is>
          <t>JÄMTLANDS LÄN</t>
        </is>
      </c>
      <c r="E1153" t="inlineStr">
        <is>
          <t>ÖSTERSUND</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20691-2025</t>
        </is>
      </c>
      <c r="B1154" s="1" t="n">
        <v>45776</v>
      </c>
      <c r="C1154" s="1" t="n">
        <v>45791</v>
      </c>
      <c r="D1154" t="inlineStr">
        <is>
          <t>JÄMTLANDS LÄN</t>
        </is>
      </c>
      <c r="E1154" t="inlineStr">
        <is>
          <t>ÖSTERSUND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21060-2025</t>
        </is>
      </c>
      <c r="B1155" s="1" t="n">
        <v>45777</v>
      </c>
      <c r="C1155" s="1" t="n">
        <v>45791</v>
      </c>
      <c r="D1155" t="inlineStr">
        <is>
          <t>JÄMTLANDS LÄN</t>
        </is>
      </c>
      <c r="E1155" t="inlineStr">
        <is>
          <t>ÖSTERSUND</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21094-2025</t>
        </is>
      </c>
      <c r="B1156" s="1" t="n">
        <v>45777</v>
      </c>
      <c r="C1156" s="1" t="n">
        <v>45791</v>
      </c>
      <c r="D1156" t="inlineStr">
        <is>
          <t>JÄMTLANDS LÄN</t>
        </is>
      </c>
      <c r="E1156" t="inlineStr">
        <is>
          <t>ÖSTERSUND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21236-2025</t>
        </is>
      </c>
      <c r="B1157" s="1" t="n">
        <v>45779</v>
      </c>
      <c r="C1157" s="1" t="n">
        <v>45791</v>
      </c>
      <c r="D1157" t="inlineStr">
        <is>
          <t>JÄMTLANDS LÄN</t>
        </is>
      </c>
      <c r="E1157" t="inlineStr">
        <is>
          <t>ÖSTERSUND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21237-2025</t>
        </is>
      </c>
      <c r="B1158" s="1" t="n">
        <v>45779</v>
      </c>
      <c r="C1158" s="1" t="n">
        <v>45791</v>
      </c>
      <c r="D1158" t="inlineStr">
        <is>
          <t>JÄMTLANDS LÄN</t>
        </is>
      </c>
      <c r="E1158" t="inlineStr">
        <is>
          <t>ÖSTERSUND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21232-2025</t>
        </is>
      </c>
      <c r="B1159" s="1" t="n">
        <v>45779</v>
      </c>
      <c r="C1159" s="1" t="n">
        <v>45791</v>
      </c>
      <c r="D1159" t="inlineStr">
        <is>
          <t>JÄMTLANDS LÄN</t>
        </is>
      </c>
      <c r="E1159" t="inlineStr">
        <is>
          <t>ÖSTERSUND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21704-2025</t>
        </is>
      </c>
      <c r="B1160" s="1" t="n">
        <v>45783</v>
      </c>
      <c r="C1160" s="1" t="n">
        <v>45791</v>
      </c>
      <c r="D1160" t="inlineStr">
        <is>
          <t>JÄMTLANDS LÄN</t>
        </is>
      </c>
      <c r="E1160" t="inlineStr">
        <is>
          <t>ÖSTERSUND</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22384-2025</t>
        </is>
      </c>
      <c r="B1161" s="1" t="n">
        <v>45786</v>
      </c>
      <c r="C1161" s="1" t="n">
        <v>45791</v>
      </c>
      <c r="D1161" t="inlineStr">
        <is>
          <t>JÄMTLANDS LÄN</t>
        </is>
      </c>
      <c r="E1161" t="inlineStr">
        <is>
          <t>ÖSTERSUND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22822-2025</t>
        </is>
      </c>
      <c r="B1162" s="1" t="n">
        <v>45789</v>
      </c>
      <c r="C1162" s="1" t="n">
        <v>45791</v>
      </c>
      <c r="D1162" t="inlineStr">
        <is>
          <t>JÄMTLANDS LÄN</t>
        </is>
      </c>
      <c r="E1162" t="inlineStr">
        <is>
          <t>ÖSTERSUND</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22713-2025</t>
        </is>
      </c>
      <c r="B1163" s="1" t="n">
        <v>45789</v>
      </c>
      <c r="C1163" s="1" t="n">
        <v>45791</v>
      </c>
      <c r="D1163" t="inlineStr">
        <is>
          <t>JÄMTLANDS LÄN</t>
        </is>
      </c>
      <c r="E1163" t="inlineStr">
        <is>
          <t>ÖSTERSUND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22612-2025</t>
        </is>
      </c>
      <c r="B1164" s="1" t="n">
        <v>45789</v>
      </c>
      <c r="C1164" s="1" t="n">
        <v>45791</v>
      </c>
      <c r="D1164" t="inlineStr">
        <is>
          <t>JÄMTLANDS LÄN</t>
        </is>
      </c>
      <c r="E1164" t="inlineStr">
        <is>
          <t>ÖSTERSUND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22823-2025</t>
        </is>
      </c>
      <c r="B1165" s="1" t="n">
        <v>45789</v>
      </c>
      <c r="C1165" s="1" t="n">
        <v>45791</v>
      </c>
      <c r="D1165" t="inlineStr">
        <is>
          <t>JÄMTLANDS LÄN</t>
        </is>
      </c>
      <c r="E1165" t="inlineStr">
        <is>
          <t>ÖSTERSUND</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22952-2025</t>
        </is>
      </c>
      <c r="B1166" s="1" t="n">
        <v>45790</v>
      </c>
      <c r="C1166" s="1" t="n">
        <v>45791</v>
      </c>
      <c r="D1166" t="inlineStr">
        <is>
          <t>JÄMTLANDS LÄN</t>
        </is>
      </c>
      <c r="E1166" t="inlineStr">
        <is>
          <t>ÖSTERSUND</t>
        </is>
      </c>
      <c r="F1166" t="inlineStr">
        <is>
          <t>SCA</t>
        </is>
      </c>
      <c r="G1166" t="n">
        <v>4.6</v>
      </c>
      <c r="H1166" t="n">
        <v>0</v>
      </c>
      <c r="I1166" t="n">
        <v>0</v>
      </c>
      <c r="J1166" t="n">
        <v>0</v>
      </c>
      <c r="K1166" t="n">
        <v>0</v>
      </c>
      <c r="L1166" t="n">
        <v>0</v>
      </c>
      <c r="M1166" t="n">
        <v>0</v>
      </c>
      <c r="N1166" t="n">
        <v>0</v>
      </c>
      <c r="O1166" t="n">
        <v>0</v>
      </c>
      <c r="P1166" t="n">
        <v>0</v>
      </c>
      <c r="Q1166" t="n">
        <v>0</v>
      </c>
      <c r="R1166" s="2" t="inlineStr"/>
      <c r="U1166">
        <f>HYPERLINK("https://klasma.github.io/Logging_232380/knärot/A 22952-2025 karta knärot.png", "A 22952-2025")</f>
        <v/>
      </c>
      <c r="V1166">
        <f>HYPERLINK("https://klasma.github.io/Logging_232380/klagomål/A 22952-2025 FSC-klagomål.docx", "A 22952-2025")</f>
        <v/>
      </c>
      <c r="W1166">
        <f>HYPERLINK("https://klasma.github.io/Logging_232380/klagomålsmail/A 22952-2025 FSC-klagomål mail.docx", "A 22952-2025")</f>
        <v/>
      </c>
      <c r="X1166">
        <f>HYPERLINK("https://klasma.github.io/Logging_232380/tillsyn/A 22952-2025 tillsynsbegäran.docx", "A 22952-2025")</f>
        <v/>
      </c>
      <c r="Y1166">
        <f>HYPERLINK("https://klasma.github.io/Logging_232380/tillsynsmail/A 22952-2025 tillsynsbegäran mail.docx", "A 22952-2025")</f>
        <v/>
      </c>
    </row>
    <row r="1167">
      <c r="A1167" t="inlineStr">
        <is>
          <t>A 22920-2025</t>
        </is>
      </c>
      <c r="B1167" s="1" t="n">
        <v>45790</v>
      </c>
      <c r="C1167" s="1" t="n">
        <v>45791</v>
      </c>
      <c r="D1167" t="inlineStr">
        <is>
          <t>JÄMTLANDS LÄN</t>
        </is>
      </c>
      <c r="E1167" t="inlineStr">
        <is>
          <t>ÖSTERSUND</t>
        </is>
      </c>
      <c r="G1167" t="n">
        <v>0.4</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2025-05-14T17:34:49Z</dcterms:created>
  <dcterms:modified xmlns:dcterms="http://purl.org/dc/terms/" xmlns:xsi="http://www.w3.org/2001/XMLSchema-instance" xsi:type="dcterms:W3CDTF">2025-05-14T17:34:50Z</dcterms:modified>
</cp:coreProperties>
</file>