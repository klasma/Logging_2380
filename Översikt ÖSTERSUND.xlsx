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45579</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45579</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45579</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45579</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45579</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45579</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45579</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45579</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45579</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45579</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45579</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45579</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45579</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45579</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45579</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45579</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45579</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45579</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45579</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45579</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45579</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45579</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45579</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45579</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45579</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45579</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45579</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45579</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45579</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45579</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45579</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45579</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45579</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45579</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45579</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45579</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45579</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45579</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45579</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45579</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45579</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45579</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45579</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45579</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45579</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45579</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45579</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45579</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45579</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45579</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45579</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45579</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45579</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45579</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45579</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45579</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45579</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45579</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45579</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45579</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45579</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45579</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45579</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45579</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45579</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45579</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45579</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45579</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45579</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45579</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45579</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45579</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45579</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45579</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45579</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45579</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45579</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45579</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45579</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45579</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45579</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45579</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45579</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45579</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45579</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45579</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45579</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45579</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45579</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45579</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45579</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45579</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45579</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45579</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45579</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45579</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45579</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45579</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45579</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45579</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45579</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45579</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45579</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30941-2019</t>
        </is>
      </c>
      <c r="B108" s="1" t="n">
        <v>43636</v>
      </c>
      <c r="C108" s="1" t="n">
        <v>45579</v>
      </c>
      <c r="D108" t="inlineStr">
        <is>
          <t>JÄMTLANDS LÄN</t>
        </is>
      </c>
      <c r="E108" t="inlineStr">
        <is>
          <t>ÖSTERSUND</t>
        </is>
      </c>
      <c r="F108" t="inlineStr">
        <is>
          <t>SCA</t>
        </is>
      </c>
      <c r="G108" t="n">
        <v>1.9</v>
      </c>
      <c r="H108" t="n">
        <v>1</v>
      </c>
      <c r="I108" t="n">
        <v>1</v>
      </c>
      <c r="J108" t="n">
        <v>0</v>
      </c>
      <c r="K108" t="n">
        <v>0</v>
      </c>
      <c r="L108" t="n">
        <v>0</v>
      </c>
      <c r="M108" t="n">
        <v>0</v>
      </c>
      <c r="N108" t="n">
        <v>0</v>
      </c>
      <c r="O108" t="n">
        <v>0</v>
      </c>
      <c r="P108" t="n">
        <v>0</v>
      </c>
      <c r="Q108" t="n">
        <v>1</v>
      </c>
      <c r="R108" s="2" t="inlineStr">
        <is>
          <t>Tvåblad</t>
        </is>
      </c>
      <c r="S108">
        <f>HYPERLINK("https://klasma.github.io/Logging_2380/artfynd/A 30941-2019 artfynd.xlsx", "A 30941-2019")</f>
        <v/>
      </c>
      <c r="T108">
        <f>HYPERLINK("https://klasma.github.io/Logging_2380/kartor/A 30941-2019 karta.png", "A 30941-2019")</f>
        <v/>
      </c>
      <c r="V108">
        <f>HYPERLINK("https://klasma.github.io/Logging_2380/klagomål/A 30941-2019 FSC-klagomål.docx", "A 30941-2019")</f>
        <v/>
      </c>
      <c r="W108">
        <f>HYPERLINK("https://klasma.github.io/Logging_2380/klagomålsmail/A 30941-2019 FSC-klagomål mail.docx", "A 30941-2019")</f>
        <v/>
      </c>
      <c r="X108">
        <f>HYPERLINK("https://klasma.github.io/Logging_2380/tillsyn/A 30941-2019 tillsynsbegäran.docx", "A 30941-2019")</f>
        <v/>
      </c>
      <c r="Y108">
        <f>HYPERLINK("https://klasma.github.io/Logging_2380/tillsynsmail/A 30941-2019 tillsynsbegäran mail.docx", "A 30941-2019")</f>
        <v/>
      </c>
    </row>
    <row r="109" ht="15" customHeight="1">
      <c r="A109" t="inlineStr">
        <is>
          <t>A 57757-2019</t>
        </is>
      </c>
      <c r="B109" s="1" t="n">
        <v>43768</v>
      </c>
      <c r="C109" s="1" t="n">
        <v>45579</v>
      </c>
      <c r="D109" t="inlineStr">
        <is>
          <t>JÄMTLANDS LÄN</t>
        </is>
      </c>
      <c r="E109" t="inlineStr">
        <is>
          <t>ÖSTERSUND</t>
        </is>
      </c>
      <c r="G109" t="n">
        <v>1.3</v>
      </c>
      <c r="H109" t="n">
        <v>1</v>
      </c>
      <c r="I109" t="n">
        <v>0</v>
      </c>
      <c r="J109" t="n">
        <v>0</v>
      </c>
      <c r="K109" t="n">
        <v>0</v>
      </c>
      <c r="L109" t="n">
        <v>0</v>
      </c>
      <c r="M109" t="n">
        <v>0</v>
      </c>
      <c r="N109" t="n">
        <v>0</v>
      </c>
      <c r="O109" t="n">
        <v>0</v>
      </c>
      <c r="P109" t="n">
        <v>0</v>
      </c>
      <c r="Q109" t="n">
        <v>1</v>
      </c>
      <c r="R109" s="2" t="inlineStr">
        <is>
          <t>Revlummer</t>
        </is>
      </c>
      <c r="S109">
        <f>HYPERLINK("https://klasma.github.io/Logging_2380/artfynd/A 57757-2019 artfynd.xlsx", "A 57757-2019")</f>
        <v/>
      </c>
      <c r="T109">
        <f>HYPERLINK("https://klasma.github.io/Logging_2380/kartor/A 57757-2019 karta.png", "A 57757-2019")</f>
        <v/>
      </c>
      <c r="V109">
        <f>HYPERLINK("https://klasma.github.io/Logging_2380/klagomål/A 57757-2019 FSC-klagomål.docx", "A 57757-2019")</f>
        <v/>
      </c>
      <c r="W109">
        <f>HYPERLINK("https://klasma.github.io/Logging_2380/klagomålsmail/A 57757-2019 FSC-klagomål mail.docx", "A 57757-2019")</f>
        <v/>
      </c>
      <c r="X109">
        <f>HYPERLINK("https://klasma.github.io/Logging_2380/tillsyn/A 57757-2019 tillsynsbegäran.docx", "A 57757-2019")</f>
        <v/>
      </c>
      <c r="Y109">
        <f>HYPERLINK("https://klasma.github.io/Logging_2380/tillsynsmail/A 57757-2019 tillsynsbegäran mail.docx", "A 57757-2019")</f>
        <v/>
      </c>
    </row>
    <row r="110" ht="15" customHeight="1">
      <c r="A110" t="inlineStr">
        <is>
          <t>A 61628-2019</t>
        </is>
      </c>
      <c r="B110" s="1" t="n">
        <v>43784</v>
      </c>
      <c r="C110" s="1" t="n">
        <v>45579</v>
      </c>
      <c r="D110" t="inlineStr">
        <is>
          <t>JÄMTLANDS LÄN</t>
        </is>
      </c>
      <c r="E110" t="inlineStr">
        <is>
          <t>ÖSTERSUND</t>
        </is>
      </c>
      <c r="G110" t="n">
        <v>5.6</v>
      </c>
      <c r="H110" t="n">
        <v>0</v>
      </c>
      <c r="I110" t="n">
        <v>1</v>
      </c>
      <c r="J110" t="n">
        <v>0</v>
      </c>
      <c r="K110" t="n">
        <v>0</v>
      </c>
      <c r="L110" t="n">
        <v>0</v>
      </c>
      <c r="M110" t="n">
        <v>0</v>
      </c>
      <c r="N110" t="n">
        <v>0</v>
      </c>
      <c r="O110" t="n">
        <v>0</v>
      </c>
      <c r="P110" t="n">
        <v>0</v>
      </c>
      <c r="Q110" t="n">
        <v>1</v>
      </c>
      <c r="R110" s="2" t="inlineStr">
        <is>
          <t>Tibast</t>
        </is>
      </c>
      <c r="S110">
        <f>HYPERLINK("https://klasma.github.io/Logging_2380/artfynd/A 61628-2019 artfynd.xlsx", "A 61628-2019")</f>
        <v/>
      </c>
      <c r="T110">
        <f>HYPERLINK("https://klasma.github.io/Logging_2380/kartor/A 61628-2019 karta.png", "A 61628-2019")</f>
        <v/>
      </c>
      <c r="V110">
        <f>HYPERLINK("https://klasma.github.io/Logging_2380/klagomål/A 61628-2019 FSC-klagomål.docx", "A 61628-2019")</f>
        <v/>
      </c>
      <c r="W110">
        <f>HYPERLINK("https://klasma.github.io/Logging_2380/klagomålsmail/A 61628-2019 FSC-klagomål mail.docx", "A 61628-2019")</f>
        <v/>
      </c>
      <c r="X110">
        <f>HYPERLINK("https://klasma.github.io/Logging_2380/tillsyn/A 61628-2019 tillsynsbegäran.docx", "A 61628-2019")</f>
        <v/>
      </c>
      <c r="Y110">
        <f>HYPERLINK("https://klasma.github.io/Logging_2380/tillsynsmail/A 61628-2019 tillsynsbegäran mail.docx", "A 61628-2019")</f>
        <v/>
      </c>
    </row>
    <row r="111" ht="15" customHeight="1">
      <c r="A111" t="inlineStr">
        <is>
          <t>A 11561-2020</t>
        </is>
      </c>
      <c r="B111" s="1" t="n">
        <v>43893</v>
      </c>
      <c r="C111" s="1" t="n">
        <v>45579</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Revlummer</t>
        </is>
      </c>
      <c r="S111">
        <f>HYPERLINK("https://klasma.github.io/Logging_2380/artfynd/A 11561-2020 artfynd.xlsx", "A 11561-2020")</f>
        <v/>
      </c>
      <c r="T111">
        <f>HYPERLINK("https://klasma.github.io/Logging_2380/kartor/A 11561-2020 karta.png", "A 11561-2020")</f>
        <v/>
      </c>
      <c r="V111">
        <f>HYPERLINK("https://klasma.github.io/Logging_2380/klagomål/A 11561-2020 FSC-klagomål.docx", "A 11561-2020")</f>
        <v/>
      </c>
      <c r="W111">
        <f>HYPERLINK("https://klasma.github.io/Logging_2380/klagomålsmail/A 11561-2020 FSC-klagomål mail.docx", "A 11561-2020")</f>
        <v/>
      </c>
      <c r="X111">
        <f>HYPERLINK("https://klasma.github.io/Logging_2380/tillsyn/A 11561-2020 tillsynsbegäran.docx", "A 11561-2020")</f>
        <v/>
      </c>
      <c r="Y111">
        <f>HYPERLINK("https://klasma.github.io/Logging_2380/tillsynsmail/A 11561-2020 tillsynsbegäran mail.docx", "A 11561-2020")</f>
        <v/>
      </c>
    </row>
    <row r="112" ht="15" customHeight="1">
      <c r="A112" t="inlineStr">
        <is>
          <t>A 35980-2020</t>
        </is>
      </c>
      <c r="B112" s="1" t="n">
        <v>44047</v>
      </c>
      <c r="C112" s="1" t="n">
        <v>45579</v>
      </c>
      <c r="D112" t="inlineStr">
        <is>
          <t>JÄMTLANDS LÄN</t>
        </is>
      </c>
      <c r="E112" t="inlineStr">
        <is>
          <t>ÖSTERSUND</t>
        </is>
      </c>
      <c r="G112" t="n">
        <v>0.7</v>
      </c>
      <c r="H112" t="n">
        <v>0</v>
      </c>
      <c r="I112" t="n">
        <v>0</v>
      </c>
      <c r="J112" t="n">
        <v>1</v>
      </c>
      <c r="K112" t="n">
        <v>0</v>
      </c>
      <c r="L112" t="n">
        <v>0</v>
      </c>
      <c r="M112" t="n">
        <v>0</v>
      </c>
      <c r="N112" t="n">
        <v>0</v>
      </c>
      <c r="O112" t="n">
        <v>1</v>
      </c>
      <c r="P112" t="n">
        <v>0</v>
      </c>
      <c r="Q112" t="n">
        <v>1</v>
      </c>
      <c r="R112" s="2" t="inlineStr">
        <is>
          <t>Slåtterfibbla</t>
        </is>
      </c>
      <c r="S112">
        <f>HYPERLINK("https://klasma.github.io/Logging_2380/artfynd/A 35980-2020 artfynd.xlsx", "A 35980-2020")</f>
        <v/>
      </c>
      <c r="T112">
        <f>HYPERLINK("https://klasma.github.io/Logging_2380/kartor/A 35980-2020 karta.png", "A 35980-2020")</f>
        <v/>
      </c>
      <c r="U112">
        <f>HYPERLINK("https://klasma.github.io/Logging_2380/knärot/A 35980-2020 karta knärot.png", "A 35980-2020")</f>
        <v/>
      </c>
      <c r="V112">
        <f>HYPERLINK("https://klasma.github.io/Logging_2380/klagomål/A 35980-2020 FSC-klagomål.docx", "A 35980-2020")</f>
        <v/>
      </c>
      <c r="W112">
        <f>HYPERLINK("https://klasma.github.io/Logging_2380/klagomålsmail/A 35980-2020 FSC-klagomål mail.docx", "A 35980-2020")</f>
        <v/>
      </c>
      <c r="X112">
        <f>HYPERLINK("https://klasma.github.io/Logging_2380/tillsyn/A 35980-2020 tillsynsbegäran.docx", "A 35980-2020")</f>
        <v/>
      </c>
      <c r="Y112">
        <f>HYPERLINK("https://klasma.github.io/Logging_2380/tillsynsmail/A 35980-2020 tillsynsbegäran mail.docx", "A 35980-2020")</f>
        <v/>
      </c>
    </row>
    <row r="113" ht="15" customHeight="1">
      <c r="A113" t="inlineStr">
        <is>
          <t>A 63775-2020</t>
        </is>
      </c>
      <c r="B113" s="1" t="n">
        <v>44165</v>
      </c>
      <c r="C113" s="1" t="n">
        <v>45579</v>
      </c>
      <c r="D113" t="inlineStr">
        <is>
          <t>JÄMTLANDS LÄN</t>
        </is>
      </c>
      <c r="E113" t="inlineStr">
        <is>
          <t>ÖSTERSUND</t>
        </is>
      </c>
      <c r="G113" t="n">
        <v>6.2</v>
      </c>
      <c r="H113" t="n">
        <v>1</v>
      </c>
      <c r="I113" t="n">
        <v>0</v>
      </c>
      <c r="J113" t="n">
        <v>0</v>
      </c>
      <c r="K113" t="n">
        <v>0</v>
      </c>
      <c r="L113" t="n">
        <v>0</v>
      </c>
      <c r="M113" t="n">
        <v>0</v>
      </c>
      <c r="N113" t="n">
        <v>0</v>
      </c>
      <c r="O113" t="n">
        <v>0</v>
      </c>
      <c r="P113" t="n">
        <v>0</v>
      </c>
      <c r="Q113" t="n">
        <v>1</v>
      </c>
      <c r="R113" s="2" t="inlineStr">
        <is>
          <t>Fläcknycklar</t>
        </is>
      </c>
      <c r="S113">
        <f>HYPERLINK("https://klasma.github.io/Logging_2380/artfynd/A 63775-2020 artfynd.xlsx", "A 63775-2020")</f>
        <v/>
      </c>
      <c r="T113">
        <f>HYPERLINK("https://klasma.github.io/Logging_2380/kartor/A 63775-2020 karta.png", "A 63775-2020")</f>
        <v/>
      </c>
      <c r="V113">
        <f>HYPERLINK("https://klasma.github.io/Logging_2380/klagomål/A 63775-2020 FSC-klagomål.docx", "A 63775-2020")</f>
        <v/>
      </c>
      <c r="W113">
        <f>HYPERLINK("https://klasma.github.io/Logging_2380/klagomålsmail/A 63775-2020 FSC-klagomål mail.docx", "A 63775-2020")</f>
        <v/>
      </c>
      <c r="X113">
        <f>HYPERLINK("https://klasma.github.io/Logging_2380/tillsyn/A 63775-2020 tillsynsbegäran.docx", "A 63775-2020")</f>
        <v/>
      </c>
      <c r="Y113">
        <f>HYPERLINK("https://klasma.github.io/Logging_2380/tillsynsmail/A 63775-2020 tillsynsbegäran mail.docx", "A 63775-2020")</f>
        <v/>
      </c>
    </row>
    <row r="114" ht="15" customHeight="1">
      <c r="A114" t="inlineStr">
        <is>
          <t>A 13362-2021</t>
        </is>
      </c>
      <c r="B114" s="1" t="n">
        <v>44272</v>
      </c>
      <c r="C114" s="1" t="n">
        <v>45579</v>
      </c>
      <c r="D114" t="inlineStr">
        <is>
          <t>JÄMTLANDS LÄN</t>
        </is>
      </c>
      <c r="E114" t="inlineStr">
        <is>
          <t>ÖSTERSUND</t>
        </is>
      </c>
      <c r="G114" t="n">
        <v>0.8</v>
      </c>
      <c r="H114" t="n">
        <v>1</v>
      </c>
      <c r="I114" t="n">
        <v>0</v>
      </c>
      <c r="J114" t="n">
        <v>0</v>
      </c>
      <c r="K114" t="n">
        <v>0</v>
      </c>
      <c r="L114" t="n">
        <v>0</v>
      </c>
      <c r="M114" t="n">
        <v>0</v>
      </c>
      <c r="N114" t="n">
        <v>0</v>
      </c>
      <c r="O114" t="n">
        <v>0</v>
      </c>
      <c r="P114" t="n">
        <v>0</v>
      </c>
      <c r="Q114" t="n">
        <v>1</v>
      </c>
      <c r="R114" s="2" t="inlineStr">
        <is>
          <t>Blåsippa</t>
        </is>
      </c>
      <c r="S114">
        <f>HYPERLINK("https://klasma.github.io/Logging_2380/artfynd/A 13362-2021 artfynd.xlsx", "A 13362-2021")</f>
        <v/>
      </c>
      <c r="T114">
        <f>HYPERLINK("https://klasma.github.io/Logging_2380/kartor/A 13362-2021 karta.png", "A 13362-2021")</f>
        <v/>
      </c>
      <c r="V114">
        <f>HYPERLINK("https://klasma.github.io/Logging_2380/klagomål/A 13362-2021 FSC-klagomål.docx", "A 13362-2021")</f>
        <v/>
      </c>
      <c r="W114">
        <f>HYPERLINK("https://klasma.github.io/Logging_2380/klagomålsmail/A 13362-2021 FSC-klagomål mail.docx", "A 13362-2021")</f>
        <v/>
      </c>
      <c r="X114">
        <f>HYPERLINK("https://klasma.github.io/Logging_2380/tillsyn/A 13362-2021 tillsynsbegäran.docx", "A 13362-2021")</f>
        <v/>
      </c>
      <c r="Y114">
        <f>HYPERLINK("https://klasma.github.io/Logging_2380/tillsynsmail/A 13362-2021 tillsynsbegäran mail.docx", "A 13362-2021")</f>
        <v/>
      </c>
    </row>
    <row r="115" ht="15" customHeight="1">
      <c r="A115" t="inlineStr">
        <is>
          <t>A 17217-2021</t>
        </is>
      </c>
      <c r="B115" s="1" t="n">
        <v>44298</v>
      </c>
      <c r="C115" s="1" t="n">
        <v>45579</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25839-2021</t>
        </is>
      </c>
      <c r="B116" s="1" t="n">
        <v>44343</v>
      </c>
      <c r="C116" s="1" t="n">
        <v>45579</v>
      </c>
      <c r="D116" t="inlineStr">
        <is>
          <t>JÄMTLANDS LÄN</t>
        </is>
      </c>
      <c r="E116" t="inlineStr">
        <is>
          <t>ÖSTERSUND</t>
        </is>
      </c>
      <c r="G116" t="n">
        <v>13</v>
      </c>
      <c r="H116" t="n">
        <v>1</v>
      </c>
      <c r="I116" t="n">
        <v>0</v>
      </c>
      <c r="J116" t="n">
        <v>0</v>
      </c>
      <c r="K116" t="n">
        <v>0</v>
      </c>
      <c r="L116" t="n">
        <v>1</v>
      </c>
      <c r="M116" t="n">
        <v>0</v>
      </c>
      <c r="N116" t="n">
        <v>0</v>
      </c>
      <c r="O116" t="n">
        <v>1</v>
      </c>
      <c r="P116" t="n">
        <v>1</v>
      </c>
      <c r="Q116" t="n">
        <v>1</v>
      </c>
      <c r="R116" s="2" t="inlineStr">
        <is>
          <t>Violett guldvinge</t>
        </is>
      </c>
      <c r="S116">
        <f>HYPERLINK("https://klasma.github.io/Logging_2380/artfynd/A 25839-2021 artfynd.xlsx", "A 25839-2021")</f>
        <v/>
      </c>
      <c r="T116">
        <f>HYPERLINK("https://klasma.github.io/Logging_2380/kartor/A 25839-2021 karta.png", "A 25839-2021")</f>
        <v/>
      </c>
      <c r="V116">
        <f>HYPERLINK("https://klasma.github.io/Logging_2380/klagomål/A 25839-2021 FSC-klagomål.docx", "A 25839-2021")</f>
        <v/>
      </c>
      <c r="W116">
        <f>HYPERLINK("https://klasma.github.io/Logging_2380/klagomålsmail/A 25839-2021 FSC-klagomål mail.docx", "A 25839-2021")</f>
        <v/>
      </c>
      <c r="X116">
        <f>HYPERLINK("https://klasma.github.io/Logging_2380/tillsyn/A 25839-2021 tillsynsbegäran.docx", "A 25839-2021")</f>
        <v/>
      </c>
      <c r="Y116">
        <f>HYPERLINK("https://klasma.github.io/Logging_2380/tillsynsmail/A 25839-2021 tillsynsbegäran mail.docx", "A 25839-2021")</f>
        <v/>
      </c>
    </row>
    <row r="117" ht="15" customHeight="1">
      <c r="A117" t="inlineStr">
        <is>
          <t>A 31328-2021</t>
        </is>
      </c>
      <c r="B117" s="1" t="n">
        <v>44368</v>
      </c>
      <c r="C117" s="1" t="n">
        <v>45579</v>
      </c>
      <c r="D117" t="inlineStr">
        <is>
          <t>JÄMTLANDS LÄN</t>
        </is>
      </c>
      <c r="E117" t="inlineStr">
        <is>
          <t>ÖSTERSUND</t>
        </is>
      </c>
      <c r="G117" t="n">
        <v>6.3</v>
      </c>
      <c r="H117" t="n">
        <v>1</v>
      </c>
      <c r="I117" t="n">
        <v>0</v>
      </c>
      <c r="J117" t="n">
        <v>0</v>
      </c>
      <c r="K117" t="n">
        <v>0</v>
      </c>
      <c r="L117" t="n">
        <v>0</v>
      </c>
      <c r="M117" t="n">
        <v>0</v>
      </c>
      <c r="N117" t="n">
        <v>0</v>
      </c>
      <c r="O117" t="n">
        <v>0</v>
      </c>
      <c r="P117" t="n">
        <v>0</v>
      </c>
      <c r="Q117" t="n">
        <v>1</v>
      </c>
      <c r="R117" s="2" t="inlineStr">
        <is>
          <t>Fläcknycklar</t>
        </is>
      </c>
      <c r="S117">
        <f>HYPERLINK("https://klasma.github.io/Logging_2380/artfynd/A 31328-2021 artfynd.xlsx", "A 31328-2021")</f>
        <v/>
      </c>
      <c r="T117">
        <f>HYPERLINK("https://klasma.github.io/Logging_2380/kartor/A 31328-2021 karta.png", "A 31328-2021")</f>
        <v/>
      </c>
      <c r="V117">
        <f>HYPERLINK("https://klasma.github.io/Logging_2380/klagomål/A 31328-2021 FSC-klagomål.docx", "A 31328-2021")</f>
        <v/>
      </c>
      <c r="W117">
        <f>HYPERLINK("https://klasma.github.io/Logging_2380/klagomålsmail/A 31328-2021 FSC-klagomål mail.docx", "A 31328-2021")</f>
        <v/>
      </c>
      <c r="X117">
        <f>HYPERLINK("https://klasma.github.io/Logging_2380/tillsyn/A 31328-2021 tillsynsbegäran.docx", "A 31328-2021")</f>
        <v/>
      </c>
      <c r="Y117">
        <f>HYPERLINK("https://klasma.github.io/Logging_2380/tillsynsmail/A 31328-2021 tillsynsbegäran mail.docx", "A 31328-2021")</f>
        <v/>
      </c>
    </row>
    <row r="118" ht="15" customHeight="1">
      <c r="A118" t="inlineStr">
        <is>
          <t>A 33137-2021</t>
        </is>
      </c>
      <c r="B118" s="1" t="n">
        <v>44376</v>
      </c>
      <c r="C118" s="1" t="n">
        <v>45579</v>
      </c>
      <c r="D118" t="inlineStr">
        <is>
          <t>JÄMTLANDS LÄN</t>
        </is>
      </c>
      <c r="E118" t="inlineStr">
        <is>
          <t>ÖSTERSUND</t>
        </is>
      </c>
      <c r="F118" t="inlineStr">
        <is>
          <t>Kommuner</t>
        </is>
      </c>
      <c r="G118" t="n">
        <v>3.7</v>
      </c>
      <c r="H118" t="n">
        <v>1</v>
      </c>
      <c r="I118" t="n">
        <v>1</v>
      </c>
      <c r="J118" t="n">
        <v>0</v>
      </c>
      <c r="K118" t="n">
        <v>0</v>
      </c>
      <c r="L118" t="n">
        <v>0</v>
      </c>
      <c r="M118" t="n">
        <v>0</v>
      </c>
      <c r="N118" t="n">
        <v>0</v>
      </c>
      <c r="O118" t="n">
        <v>0</v>
      </c>
      <c r="P118" t="n">
        <v>0</v>
      </c>
      <c r="Q118" t="n">
        <v>1</v>
      </c>
      <c r="R118" s="2" t="inlineStr">
        <is>
          <t>Guckusko</t>
        </is>
      </c>
      <c r="S118">
        <f>HYPERLINK("https://klasma.github.io/Logging_2380/artfynd/A 33137-2021 artfynd.xlsx", "A 33137-2021")</f>
        <v/>
      </c>
      <c r="T118">
        <f>HYPERLINK("https://klasma.github.io/Logging_2380/kartor/A 33137-2021 karta.png", "A 33137-2021")</f>
        <v/>
      </c>
      <c r="V118">
        <f>HYPERLINK("https://klasma.github.io/Logging_2380/klagomål/A 33137-2021 FSC-klagomål.docx", "A 33137-2021")</f>
        <v/>
      </c>
      <c r="W118">
        <f>HYPERLINK("https://klasma.github.io/Logging_2380/klagomålsmail/A 33137-2021 FSC-klagomål mail.docx", "A 33137-2021")</f>
        <v/>
      </c>
      <c r="X118">
        <f>HYPERLINK("https://klasma.github.io/Logging_2380/tillsyn/A 33137-2021 tillsynsbegäran.docx", "A 33137-2021")</f>
        <v/>
      </c>
      <c r="Y118">
        <f>HYPERLINK("https://klasma.github.io/Logging_2380/tillsynsmail/A 33137-2021 tillsynsbegäran mail.docx", "A 33137-2021")</f>
        <v/>
      </c>
    </row>
    <row r="119" ht="15" customHeight="1">
      <c r="A119" t="inlineStr">
        <is>
          <t>A 46163-2021</t>
        </is>
      </c>
      <c r="B119" s="1" t="n">
        <v>44441</v>
      </c>
      <c r="C119" s="1" t="n">
        <v>45579</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55821-2021</t>
        </is>
      </c>
      <c r="B120" s="1" t="n">
        <v>44476</v>
      </c>
      <c r="C120" s="1" t="n">
        <v>45579</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59433-2021</t>
        </is>
      </c>
      <c r="B121" s="1" t="n">
        <v>44491</v>
      </c>
      <c r="C121" s="1" t="n">
        <v>45579</v>
      </c>
      <c r="D121" t="inlineStr">
        <is>
          <t>JÄMTLANDS LÄN</t>
        </is>
      </c>
      <c r="E121" t="inlineStr">
        <is>
          <t>ÖSTERSUND</t>
        </is>
      </c>
      <c r="F121" t="inlineStr">
        <is>
          <t>Övriga statliga verk och myndigheter</t>
        </is>
      </c>
      <c r="G121" t="n">
        <v>1.6</v>
      </c>
      <c r="H121" t="n">
        <v>0</v>
      </c>
      <c r="I121" t="n">
        <v>0</v>
      </c>
      <c r="J121" t="n">
        <v>1</v>
      </c>
      <c r="K121" t="n">
        <v>0</v>
      </c>
      <c r="L121" t="n">
        <v>0</v>
      </c>
      <c r="M121" t="n">
        <v>0</v>
      </c>
      <c r="N121" t="n">
        <v>0</v>
      </c>
      <c r="O121" t="n">
        <v>1</v>
      </c>
      <c r="P121" t="n">
        <v>0</v>
      </c>
      <c r="Q121" t="n">
        <v>1</v>
      </c>
      <c r="R121" s="2" t="inlineStr">
        <is>
          <t>Brunpudrad nållav</t>
        </is>
      </c>
      <c r="S121">
        <f>HYPERLINK("https://klasma.github.io/Logging_2380/artfynd/A 59433-2021 artfynd.xlsx", "A 59433-2021")</f>
        <v/>
      </c>
      <c r="T121">
        <f>HYPERLINK("https://klasma.github.io/Logging_2380/kartor/A 59433-2021 karta.png", "A 59433-2021")</f>
        <v/>
      </c>
      <c r="V121">
        <f>HYPERLINK("https://klasma.github.io/Logging_2380/klagomål/A 59433-2021 FSC-klagomål.docx", "A 59433-2021")</f>
        <v/>
      </c>
      <c r="W121">
        <f>HYPERLINK("https://klasma.github.io/Logging_2380/klagomålsmail/A 59433-2021 FSC-klagomål mail.docx", "A 59433-2021")</f>
        <v/>
      </c>
      <c r="X121">
        <f>HYPERLINK("https://klasma.github.io/Logging_2380/tillsyn/A 59433-2021 tillsynsbegäran.docx", "A 59433-2021")</f>
        <v/>
      </c>
      <c r="Y121">
        <f>HYPERLINK("https://klasma.github.io/Logging_2380/tillsynsmail/A 59433-2021 tillsynsbegäran mail.docx", "A 59433-2021")</f>
        <v/>
      </c>
    </row>
    <row r="122" ht="15" customHeight="1">
      <c r="A122" t="inlineStr">
        <is>
          <t>A 9739-2022</t>
        </is>
      </c>
      <c r="B122" s="1" t="n">
        <v>44617</v>
      </c>
      <c r="C122" s="1" t="n">
        <v>45579</v>
      </c>
      <c r="D122" t="inlineStr">
        <is>
          <t>JÄMTLANDS LÄN</t>
        </is>
      </c>
      <c r="E122" t="inlineStr">
        <is>
          <t>ÖSTERSUND</t>
        </is>
      </c>
      <c r="F122" t="inlineStr">
        <is>
          <t>SCA</t>
        </is>
      </c>
      <c r="G122" t="n">
        <v>13.5</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9739-2022 artfynd.xlsx", "A 9739-2022")</f>
        <v/>
      </c>
      <c r="T122">
        <f>HYPERLINK("https://klasma.github.io/Logging_2380/kartor/A 9739-2022 karta.png", "A 9739-2022")</f>
        <v/>
      </c>
      <c r="V122">
        <f>HYPERLINK("https://klasma.github.io/Logging_2380/klagomål/A 9739-2022 FSC-klagomål.docx", "A 9739-2022")</f>
        <v/>
      </c>
      <c r="W122">
        <f>HYPERLINK("https://klasma.github.io/Logging_2380/klagomålsmail/A 9739-2022 FSC-klagomål mail.docx", "A 9739-2022")</f>
        <v/>
      </c>
      <c r="X122">
        <f>HYPERLINK("https://klasma.github.io/Logging_2380/tillsyn/A 9739-2022 tillsynsbegäran.docx", "A 9739-2022")</f>
        <v/>
      </c>
      <c r="Y122">
        <f>HYPERLINK("https://klasma.github.io/Logging_2380/tillsynsmail/A 9739-2022 tillsynsbegäran mail.docx", "A 9739-2022")</f>
        <v/>
      </c>
    </row>
    <row r="123" ht="15" customHeight="1">
      <c r="A123" t="inlineStr">
        <is>
          <t>A 10336-2022</t>
        </is>
      </c>
      <c r="B123" s="1" t="n">
        <v>44623</v>
      </c>
      <c r="C123" s="1" t="n">
        <v>45579</v>
      </c>
      <c r="D123" t="inlineStr">
        <is>
          <t>JÄMTLANDS LÄN</t>
        </is>
      </c>
      <c r="E123" t="inlineStr">
        <is>
          <t>ÖSTERSUND</t>
        </is>
      </c>
      <c r="G123" t="n">
        <v>0.9</v>
      </c>
      <c r="H123" t="n">
        <v>0</v>
      </c>
      <c r="I123" t="n">
        <v>1</v>
      </c>
      <c r="J123" t="n">
        <v>0</v>
      </c>
      <c r="K123" t="n">
        <v>0</v>
      </c>
      <c r="L123" t="n">
        <v>0</v>
      </c>
      <c r="M123" t="n">
        <v>0</v>
      </c>
      <c r="N123" t="n">
        <v>0</v>
      </c>
      <c r="O123" t="n">
        <v>0</v>
      </c>
      <c r="P123" t="n">
        <v>0</v>
      </c>
      <c r="Q123" t="n">
        <v>1</v>
      </c>
      <c r="R123" s="2" t="inlineStr">
        <is>
          <t>Underviol</t>
        </is>
      </c>
      <c r="S123">
        <f>HYPERLINK("https://klasma.github.io/Logging_2380/artfynd/A 10336-2022 artfynd.xlsx", "A 10336-2022")</f>
        <v/>
      </c>
      <c r="T123">
        <f>HYPERLINK("https://klasma.github.io/Logging_2380/kartor/A 10336-2022 karta.png", "A 10336-2022")</f>
        <v/>
      </c>
      <c r="V123">
        <f>HYPERLINK("https://klasma.github.io/Logging_2380/klagomål/A 10336-2022 FSC-klagomål.docx", "A 10336-2022")</f>
        <v/>
      </c>
      <c r="W123">
        <f>HYPERLINK("https://klasma.github.io/Logging_2380/klagomålsmail/A 10336-2022 FSC-klagomål mail.docx", "A 10336-2022")</f>
        <v/>
      </c>
      <c r="X123">
        <f>HYPERLINK("https://klasma.github.io/Logging_2380/tillsyn/A 10336-2022 tillsynsbegäran.docx", "A 10336-2022")</f>
        <v/>
      </c>
      <c r="Y123">
        <f>HYPERLINK("https://klasma.github.io/Logging_2380/tillsynsmail/A 10336-2022 tillsynsbegäran mail.docx", "A 10336-2022")</f>
        <v/>
      </c>
    </row>
    <row r="124" ht="15" customHeight="1">
      <c r="A124" t="inlineStr">
        <is>
          <t>A 19798-2022</t>
        </is>
      </c>
      <c r="B124" s="1" t="n">
        <v>44694</v>
      </c>
      <c r="C124" s="1" t="n">
        <v>45579</v>
      </c>
      <c r="D124" t="inlineStr">
        <is>
          <t>JÄMTLANDS LÄN</t>
        </is>
      </c>
      <c r="E124" t="inlineStr">
        <is>
          <t>ÖSTERSUND</t>
        </is>
      </c>
      <c r="F124" t="inlineStr">
        <is>
          <t>SCA</t>
        </is>
      </c>
      <c r="G124" t="n">
        <v>1</v>
      </c>
      <c r="H124" t="n">
        <v>1</v>
      </c>
      <c r="I124" t="n">
        <v>1</v>
      </c>
      <c r="J124" t="n">
        <v>0</v>
      </c>
      <c r="K124" t="n">
        <v>0</v>
      </c>
      <c r="L124" t="n">
        <v>0</v>
      </c>
      <c r="M124" t="n">
        <v>0</v>
      </c>
      <c r="N124" t="n">
        <v>0</v>
      </c>
      <c r="O124" t="n">
        <v>0</v>
      </c>
      <c r="P124" t="n">
        <v>0</v>
      </c>
      <c r="Q124" t="n">
        <v>1</v>
      </c>
      <c r="R124" s="2" t="inlineStr">
        <is>
          <t>Guckusko</t>
        </is>
      </c>
      <c r="S124">
        <f>HYPERLINK("https://klasma.github.io/Logging_2380/artfynd/A 19798-2022 artfynd.xlsx", "A 19798-2022")</f>
        <v/>
      </c>
      <c r="T124">
        <f>HYPERLINK("https://klasma.github.io/Logging_2380/kartor/A 19798-2022 karta.png", "A 19798-2022")</f>
        <v/>
      </c>
      <c r="V124">
        <f>HYPERLINK("https://klasma.github.io/Logging_2380/klagomål/A 19798-2022 FSC-klagomål.docx", "A 19798-2022")</f>
        <v/>
      </c>
      <c r="W124">
        <f>HYPERLINK("https://klasma.github.io/Logging_2380/klagomålsmail/A 19798-2022 FSC-klagomål mail.docx", "A 19798-2022")</f>
        <v/>
      </c>
      <c r="X124">
        <f>HYPERLINK("https://klasma.github.io/Logging_2380/tillsyn/A 19798-2022 tillsynsbegäran.docx", "A 19798-2022")</f>
        <v/>
      </c>
      <c r="Y124">
        <f>HYPERLINK("https://klasma.github.io/Logging_2380/tillsynsmail/A 19798-2022 tillsynsbegäran mail.docx", "A 19798-2022")</f>
        <v/>
      </c>
    </row>
    <row r="125" ht="15" customHeight="1">
      <c r="A125" t="inlineStr">
        <is>
          <t>A 27578-2022</t>
        </is>
      </c>
      <c r="B125" s="1" t="n">
        <v>44742</v>
      </c>
      <c r="C125" s="1" t="n">
        <v>45579</v>
      </c>
      <c r="D125" t="inlineStr">
        <is>
          <t>JÄMTLANDS LÄN</t>
        </is>
      </c>
      <c r="E125" t="inlineStr">
        <is>
          <t>ÖSTERSUND</t>
        </is>
      </c>
      <c r="F125" t="inlineStr">
        <is>
          <t>SCA</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HYPERLINK("https://klasma.github.io/Logging_2380/artfynd/A 27578-2022 artfynd.xlsx", "A 27578-2022")</f>
        <v/>
      </c>
      <c r="T125">
        <f>HYPERLINK("https://klasma.github.io/Logging_2380/kartor/A 27578-2022 karta.png", "A 27578-2022")</f>
        <v/>
      </c>
      <c r="V125">
        <f>HYPERLINK("https://klasma.github.io/Logging_2380/klagomål/A 27578-2022 FSC-klagomål.docx", "A 27578-2022")</f>
        <v/>
      </c>
      <c r="W125">
        <f>HYPERLINK("https://klasma.github.io/Logging_2380/klagomålsmail/A 27578-2022 FSC-klagomål mail.docx", "A 27578-2022")</f>
        <v/>
      </c>
      <c r="X125">
        <f>HYPERLINK("https://klasma.github.io/Logging_2380/tillsyn/A 27578-2022 tillsynsbegäran.docx", "A 27578-2022")</f>
        <v/>
      </c>
      <c r="Y125">
        <f>HYPERLINK("https://klasma.github.io/Logging_2380/tillsynsmail/A 27578-2022 tillsynsbegäran mail.docx", "A 27578-2022")</f>
        <v/>
      </c>
    </row>
    <row r="126" ht="15" customHeight="1">
      <c r="A126" t="inlineStr">
        <is>
          <t>A 27576-2022</t>
        </is>
      </c>
      <c r="B126" s="1" t="n">
        <v>44742</v>
      </c>
      <c r="C126" s="1" t="n">
        <v>45579</v>
      </c>
      <c r="D126" t="inlineStr">
        <is>
          <t>JÄMTLANDS LÄN</t>
        </is>
      </c>
      <c r="E126" t="inlineStr">
        <is>
          <t>ÖSTERSUND</t>
        </is>
      </c>
      <c r="F126" t="inlineStr">
        <is>
          <t>SCA</t>
        </is>
      </c>
      <c r="G126" t="n">
        <v>0.6</v>
      </c>
      <c r="H126" t="n">
        <v>0</v>
      </c>
      <c r="I126" t="n">
        <v>0</v>
      </c>
      <c r="J126" t="n">
        <v>1</v>
      </c>
      <c r="K126" t="n">
        <v>0</v>
      </c>
      <c r="L126" t="n">
        <v>0</v>
      </c>
      <c r="M126" t="n">
        <v>0</v>
      </c>
      <c r="N126" t="n">
        <v>0</v>
      </c>
      <c r="O126" t="n">
        <v>1</v>
      </c>
      <c r="P126" t="n">
        <v>0</v>
      </c>
      <c r="Q126" t="n">
        <v>1</v>
      </c>
      <c r="R126" s="2" t="inlineStr">
        <is>
          <t>Ullticka</t>
        </is>
      </c>
      <c r="S126">
        <f>HYPERLINK("https://klasma.github.io/Logging_2380/artfynd/A 27576-2022 artfynd.xlsx", "A 27576-2022")</f>
        <v/>
      </c>
      <c r="T126">
        <f>HYPERLINK("https://klasma.github.io/Logging_2380/kartor/A 27576-2022 karta.png", "A 27576-2022")</f>
        <v/>
      </c>
      <c r="U126">
        <f>HYPERLINK("https://klasma.github.io/Logging_2380/knärot/A 27576-2022 karta knärot.png", "A 27576-2022")</f>
        <v/>
      </c>
      <c r="V126">
        <f>HYPERLINK("https://klasma.github.io/Logging_2380/klagomål/A 27576-2022 FSC-klagomål.docx", "A 27576-2022")</f>
        <v/>
      </c>
      <c r="W126">
        <f>HYPERLINK("https://klasma.github.io/Logging_2380/klagomålsmail/A 27576-2022 FSC-klagomål mail.docx", "A 27576-2022")</f>
        <v/>
      </c>
      <c r="X126">
        <f>HYPERLINK("https://klasma.github.io/Logging_2380/tillsyn/A 27576-2022 tillsynsbegäran.docx", "A 27576-2022")</f>
        <v/>
      </c>
      <c r="Y126">
        <f>HYPERLINK("https://klasma.github.io/Logging_2380/tillsynsmail/A 27576-2022 tillsynsbegäran mail.docx", "A 27576-2022")</f>
        <v/>
      </c>
    </row>
    <row r="127" ht="15" customHeight="1">
      <c r="A127" t="inlineStr">
        <is>
          <t>A 33267-2022</t>
        </is>
      </c>
      <c r="B127" s="1" t="n">
        <v>44785</v>
      </c>
      <c r="C127" s="1" t="n">
        <v>45579</v>
      </c>
      <c r="D127" t="inlineStr">
        <is>
          <t>JÄMTLANDS LÄN</t>
        </is>
      </c>
      <c r="E127" t="inlineStr">
        <is>
          <t>ÖSTERSUND</t>
        </is>
      </c>
      <c r="G127" t="n">
        <v>0.9</v>
      </c>
      <c r="H127" t="n">
        <v>1</v>
      </c>
      <c r="I127" t="n">
        <v>0</v>
      </c>
      <c r="J127" t="n">
        <v>1</v>
      </c>
      <c r="K127" t="n">
        <v>0</v>
      </c>
      <c r="L127" t="n">
        <v>0</v>
      </c>
      <c r="M127" t="n">
        <v>0</v>
      </c>
      <c r="N127" t="n">
        <v>0</v>
      </c>
      <c r="O127" t="n">
        <v>1</v>
      </c>
      <c r="P127" t="n">
        <v>0</v>
      </c>
      <c r="Q127" t="n">
        <v>1</v>
      </c>
      <c r="R127" s="2" t="inlineStr">
        <is>
          <t>Talltita</t>
        </is>
      </c>
      <c r="S127">
        <f>HYPERLINK("https://klasma.github.io/Logging_2380/artfynd/A 33267-2022 artfynd.xlsx", "A 33267-2022")</f>
        <v/>
      </c>
      <c r="T127">
        <f>HYPERLINK("https://klasma.github.io/Logging_2380/kartor/A 33267-2022 karta.png", "A 33267-2022")</f>
        <v/>
      </c>
      <c r="V127">
        <f>HYPERLINK("https://klasma.github.io/Logging_2380/klagomål/A 33267-2022 FSC-klagomål.docx", "A 33267-2022")</f>
        <v/>
      </c>
      <c r="W127">
        <f>HYPERLINK("https://klasma.github.io/Logging_2380/klagomålsmail/A 33267-2022 FSC-klagomål mail.docx", "A 33267-2022")</f>
        <v/>
      </c>
      <c r="X127">
        <f>HYPERLINK("https://klasma.github.io/Logging_2380/tillsyn/A 33267-2022 tillsynsbegäran.docx", "A 33267-2022")</f>
        <v/>
      </c>
      <c r="Y127">
        <f>HYPERLINK("https://klasma.github.io/Logging_2380/tillsynsmail/A 33267-2022 tillsynsbegäran mail.docx", "A 33267-2022")</f>
        <v/>
      </c>
      <c r="Z127">
        <f>HYPERLINK("https://klasma.github.io/Logging_2380/fåglar/A 33267-2022 prioriterade fågelarter.docx", "A 33267-2022")</f>
        <v/>
      </c>
    </row>
    <row r="128" ht="15" customHeight="1">
      <c r="A128" t="inlineStr">
        <is>
          <t>A 43947-2022</t>
        </is>
      </c>
      <c r="B128" s="1" t="n">
        <v>44838</v>
      </c>
      <c r="C128" s="1" t="n">
        <v>45579</v>
      </c>
      <c r="D128" t="inlineStr">
        <is>
          <t>JÄMTLANDS LÄN</t>
        </is>
      </c>
      <c r="E128" t="inlineStr">
        <is>
          <t>ÖSTERSUND</t>
        </is>
      </c>
      <c r="F128" t="inlineStr">
        <is>
          <t>Övriga Aktiebolag</t>
        </is>
      </c>
      <c r="G128" t="n">
        <v>15.7</v>
      </c>
      <c r="H128" t="n">
        <v>0</v>
      </c>
      <c r="I128" t="n">
        <v>0</v>
      </c>
      <c r="J128" t="n">
        <v>0</v>
      </c>
      <c r="K128" t="n">
        <v>1</v>
      </c>
      <c r="L128" t="n">
        <v>0</v>
      </c>
      <c r="M128" t="n">
        <v>0</v>
      </c>
      <c r="N128" t="n">
        <v>0</v>
      </c>
      <c r="O128" t="n">
        <v>1</v>
      </c>
      <c r="P128" t="n">
        <v>1</v>
      </c>
      <c r="Q128" t="n">
        <v>1</v>
      </c>
      <c r="R128" s="2" t="inlineStr">
        <is>
          <t>Sprickporing</t>
        </is>
      </c>
      <c r="S128">
        <f>HYPERLINK("https://klasma.github.io/Logging_2380/artfynd/A 43947-2022 artfynd.xlsx", "A 43947-2022")</f>
        <v/>
      </c>
      <c r="T128">
        <f>HYPERLINK("https://klasma.github.io/Logging_2380/kartor/A 43947-2022 karta.png", "A 43947-2022")</f>
        <v/>
      </c>
      <c r="V128">
        <f>HYPERLINK("https://klasma.github.io/Logging_2380/klagomål/A 43947-2022 FSC-klagomål.docx", "A 43947-2022")</f>
        <v/>
      </c>
      <c r="W128">
        <f>HYPERLINK("https://klasma.github.io/Logging_2380/klagomålsmail/A 43947-2022 FSC-klagomål mail.docx", "A 43947-2022")</f>
        <v/>
      </c>
      <c r="X128">
        <f>HYPERLINK("https://klasma.github.io/Logging_2380/tillsyn/A 43947-2022 tillsynsbegäran.docx", "A 43947-2022")</f>
        <v/>
      </c>
      <c r="Y128">
        <f>HYPERLINK("https://klasma.github.io/Logging_2380/tillsynsmail/A 43947-2022 tillsynsbegäran mail.docx", "A 43947-2022")</f>
        <v/>
      </c>
    </row>
    <row r="129" ht="15" customHeight="1">
      <c r="A129" t="inlineStr">
        <is>
          <t>A 45441-2022</t>
        </is>
      </c>
      <c r="B129" s="1" t="n">
        <v>44844</v>
      </c>
      <c r="C129" s="1" t="n">
        <v>45579</v>
      </c>
      <c r="D129" t="inlineStr">
        <is>
          <t>JÄMTLANDS LÄN</t>
        </is>
      </c>
      <c r="E129" t="inlineStr">
        <is>
          <t>ÖSTERSUND</t>
        </is>
      </c>
      <c r="F129" t="inlineStr">
        <is>
          <t>SCA</t>
        </is>
      </c>
      <c r="G129" t="n">
        <v>1.8</v>
      </c>
      <c r="H129" t="n">
        <v>0</v>
      </c>
      <c r="I129" t="n">
        <v>1</v>
      </c>
      <c r="J129" t="n">
        <v>0</v>
      </c>
      <c r="K129" t="n">
        <v>0</v>
      </c>
      <c r="L129" t="n">
        <v>0</v>
      </c>
      <c r="M129" t="n">
        <v>0</v>
      </c>
      <c r="N129" t="n">
        <v>0</v>
      </c>
      <c r="O129" t="n">
        <v>0</v>
      </c>
      <c r="P129" t="n">
        <v>0</v>
      </c>
      <c r="Q129" t="n">
        <v>1</v>
      </c>
      <c r="R129" s="2" t="inlineStr">
        <is>
          <t>Korallblylav</t>
        </is>
      </c>
      <c r="S129">
        <f>HYPERLINK("https://klasma.github.io/Logging_2380/artfynd/A 45441-2022 artfynd.xlsx", "A 45441-2022")</f>
        <v/>
      </c>
      <c r="T129">
        <f>HYPERLINK("https://klasma.github.io/Logging_2380/kartor/A 45441-2022 karta.png", "A 45441-2022")</f>
        <v/>
      </c>
      <c r="V129">
        <f>HYPERLINK("https://klasma.github.io/Logging_2380/klagomål/A 45441-2022 FSC-klagomål.docx", "A 45441-2022")</f>
        <v/>
      </c>
      <c r="W129">
        <f>HYPERLINK("https://klasma.github.io/Logging_2380/klagomålsmail/A 45441-2022 FSC-klagomål mail.docx", "A 45441-2022")</f>
        <v/>
      </c>
      <c r="X129">
        <f>HYPERLINK("https://klasma.github.io/Logging_2380/tillsyn/A 45441-2022 tillsynsbegäran.docx", "A 45441-2022")</f>
        <v/>
      </c>
      <c r="Y129">
        <f>HYPERLINK("https://klasma.github.io/Logging_2380/tillsynsmail/A 45441-2022 tillsynsbegäran mail.docx", "A 45441-2022")</f>
        <v/>
      </c>
    </row>
    <row r="130" ht="15" customHeight="1">
      <c r="A130" t="inlineStr">
        <is>
          <t>A 56245-2022</t>
        </is>
      </c>
      <c r="B130" s="1" t="n">
        <v>44890</v>
      </c>
      <c r="C130" s="1" t="n">
        <v>45579</v>
      </c>
      <c r="D130" t="inlineStr">
        <is>
          <t>JÄMTLANDS LÄN</t>
        </is>
      </c>
      <c r="E130" t="inlineStr">
        <is>
          <t>ÖSTERSUND</t>
        </is>
      </c>
      <c r="F130" t="inlineStr">
        <is>
          <t>Övriga Aktiebolag</t>
        </is>
      </c>
      <c r="G130" t="n">
        <v>10.6</v>
      </c>
      <c r="H130" t="n">
        <v>0</v>
      </c>
      <c r="I130" t="n">
        <v>0</v>
      </c>
      <c r="J130" t="n">
        <v>1</v>
      </c>
      <c r="K130" t="n">
        <v>0</v>
      </c>
      <c r="L130" t="n">
        <v>0</v>
      </c>
      <c r="M130" t="n">
        <v>0</v>
      </c>
      <c r="N130" t="n">
        <v>0</v>
      </c>
      <c r="O130" t="n">
        <v>1</v>
      </c>
      <c r="P130" t="n">
        <v>0</v>
      </c>
      <c r="Q130" t="n">
        <v>1</v>
      </c>
      <c r="R130" s="2" t="inlineStr">
        <is>
          <t>Garnlav</t>
        </is>
      </c>
      <c r="S130">
        <f>HYPERLINK("https://klasma.github.io/Logging_2380/artfynd/A 56245-2022 artfynd.xlsx", "A 56245-2022")</f>
        <v/>
      </c>
      <c r="T130">
        <f>HYPERLINK("https://klasma.github.io/Logging_2380/kartor/A 56245-2022 karta.png", "A 56245-2022")</f>
        <v/>
      </c>
      <c r="V130">
        <f>HYPERLINK("https://klasma.github.io/Logging_2380/klagomål/A 56245-2022 FSC-klagomål.docx", "A 56245-2022")</f>
        <v/>
      </c>
      <c r="W130">
        <f>HYPERLINK("https://klasma.github.io/Logging_2380/klagomålsmail/A 56245-2022 FSC-klagomål mail.docx", "A 56245-2022")</f>
        <v/>
      </c>
      <c r="X130">
        <f>HYPERLINK("https://klasma.github.io/Logging_2380/tillsyn/A 56245-2022 tillsynsbegäran.docx", "A 56245-2022")</f>
        <v/>
      </c>
      <c r="Y130">
        <f>HYPERLINK("https://klasma.github.io/Logging_2380/tillsynsmail/A 56245-2022 tillsynsbegäran mail.docx", "A 56245-2022")</f>
        <v/>
      </c>
    </row>
    <row r="131" ht="15" customHeight="1">
      <c r="A131" t="inlineStr">
        <is>
          <t>A 58181-2022</t>
        </is>
      </c>
      <c r="B131" s="1" t="n">
        <v>44900</v>
      </c>
      <c r="C131" s="1" t="n">
        <v>45579</v>
      </c>
      <c r="D131" t="inlineStr">
        <is>
          <t>JÄMTLANDS LÄN</t>
        </is>
      </c>
      <c r="E131" t="inlineStr">
        <is>
          <t>ÖSTERSUND</t>
        </is>
      </c>
      <c r="G131" t="n">
        <v>14.8</v>
      </c>
      <c r="H131" t="n">
        <v>0</v>
      </c>
      <c r="I131" t="n">
        <v>1</v>
      </c>
      <c r="J131" t="n">
        <v>0</v>
      </c>
      <c r="K131" t="n">
        <v>0</v>
      </c>
      <c r="L131" t="n">
        <v>0</v>
      </c>
      <c r="M131" t="n">
        <v>0</v>
      </c>
      <c r="N131" t="n">
        <v>0</v>
      </c>
      <c r="O131" t="n">
        <v>0</v>
      </c>
      <c r="P131" t="n">
        <v>0</v>
      </c>
      <c r="Q131" t="n">
        <v>1</v>
      </c>
      <c r="R131" s="2" t="inlineStr">
        <is>
          <t>Finbräken</t>
        </is>
      </c>
      <c r="S131">
        <f>HYPERLINK("https://klasma.github.io/Logging_2380/artfynd/A 58181-2022 artfynd.xlsx", "A 58181-2022")</f>
        <v/>
      </c>
      <c r="T131">
        <f>HYPERLINK("https://klasma.github.io/Logging_2380/kartor/A 58181-2022 karta.png", "A 58181-2022")</f>
        <v/>
      </c>
      <c r="V131">
        <f>HYPERLINK("https://klasma.github.io/Logging_2380/klagomål/A 58181-2022 FSC-klagomål.docx", "A 58181-2022")</f>
        <v/>
      </c>
      <c r="W131">
        <f>HYPERLINK("https://klasma.github.io/Logging_2380/klagomålsmail/A 58181-2022 FSC-klagomål mail.docx", "A 58181-2022")</f>
        <v/>
      </c>
      <c r="X131">
        <f>HYPERLINK("https://klasma.github.io/Logging_2380/tillsyn/A 58181-2022 tillsynsbegäran.docx", "A 58181-2022")</f>
        <v/>
      </c>
      <c r="Y131">
        <f>HYPERLINK("https://klasma.github.io/Logging_2380/tillsynsmail/A 58181-2022 tillsynsbegäran mail.docx", "A 58181-2022")</f>
        <v/>
      </c>
    </row>
    <row r="132" ht="15" customHeight="1">
      <c r="A132" t="inlineStr">
        <is>
          <t>A 59739-2022</t>
        </is>
      </c>
      <c r="B132" s="1" t="n">
        <v>44908</v>
      </c>
      <c r="C132" s="1" t="n">
        <v>45579</v>
      </c>
      <c r="D132" t="inlineStr">
        <is>
          <t>JÄMTLANDS LÄN</t>
        </is>
      </c>
      <c r="E132" t="inlineStr">
        <is>
          <t>ÖSTERSUND</t>
        </is>
      </c>
      <c r="F132" t="inlineStr">
        <is>
          <t>Kommuner</t>
        </is>
      </c>
      <c r="G132" t="n">
        <v>1.9</v>
      </c>
      <c r="H132" t="n">
        <v>0</v>
      </c>
      <c r="I132" t="n">
        <v>1</v>
      </c>
      <c r="J132" t="n">
        <v>0</v>
      </c>
      <c r="K132" t="n">
        <v>0</v>
      </c>
      <c r="L132" t="n">
        <v>0</v>
      </c>
      <c r="M132" t="n">
        <v>0</v>
      </c>
      <c r="N132" t="n">
        <v>0</v>
      </c>
      <c r="O132" t="n">
        <v>0</v>
      </c>
      <c r="P132" t="n">
        <v>0</v>
      </c>
      <c r="Q132" t="n">
        <v>1</v>
      </c>
      <c r="R132" s="2" t="inlineStr">
        <is>
          <t>Vedticka</t>
        </is>
      </c>
      <c r="S132">
        <f>HYPERLINK("https://klasma.github.io/Logging_2380/artfynd/A 59739-2022 artfynd.xlsx", "A 59739-2022")</f>
        <v/>
      </c>
      <c r="T132">
        <f>HYPERLINK("https://klasma.github.io/Logging_2380/kartor/A 59739-2022 karta.png", "A 59739-2022")</f>
        <v/>
      </c>
      <c r="V132">
        <f>HYPERLINK("https://klasma.github.io/Logging_2380/klagomål/A 59739-2022 FSC-klagomål.docx", "A 59739-2022")</f>
        <v/>
      </c>
      <c r="W132">
        <f>HYPERLINK("https://klasma.github.io/Logging_2380/klagomålsmail/A 59739-2022 FSC-klagomål mail.docx", "A 59739-2022")</f>
        <v/>
      </c>
      <c r="X132">
        <f>HYPERLINK("https://klasma.github.io/Logging_2380/tillsyn/A 59739-2022 tillsynsbegäran.docx", "A 59739-2022")</f>
        <v/>
      </c>
      <c r="Y132">
        <f>HYPERLINK("https://klasma.github.io/Logging_2380/tillsynsmail/A 59739-2022 tillsynsbegäran mail.docx", "A 59739-2022")</f>
        <v/>
      </c>
    </row>
    <row r="133" ht="15" customHeight="1">
      <c r="A133" t="inlineStr">
        <is>
          <t>A 28980-2023</t>
        </is>
      </c>
      <c r="B133" s="1" t="n">
        <v>45096</v>
      </c>
      <c r="C133" s="1" t="n">
        <v>45579</v>
      </c>
      <c r="D133" t="inlineStr">
        <is>
          <t>JÄMTLANDS LÄN</t>
        </is>
      </c>
      <c r="E133" t="inlineStr">
        <is>
          <t>ÖSTERSUND</t>
        </is>
      </c>
      <c r="G133" t="n">
        <v>2.7</v>
      </c>
      <c r="H133" t="n">
        <v>0</v>
      </c>
      <c r="I133" t="n">
        <v>1</v>
      </c>
      <c r="J133" t="n">
        <v>0</v>
      </c>
      <c r="K133" t="n">
        <v>0</v>
      </c>
      <c r="L133" t="n">
        <v>0</v>
      </c>
      <c r="M133" t="n">
        <v>0</v>
      </c>
      <c r="N133" t="n">
        <v>0</v>
      </c>
      <c r="O133" t="n">
        <v>0</v>
      </c>
      <c r="P133" t="n">
        <v>0</v>
      </c>
      <c r="Q133" t="n">
        <v>1</v>
      </c>
      <c r="R133" s="2" t="inlineStr">
        <is>
          <t>Finbräken</t>
        </is>
      </c>
      <c r="S133">
        <f>HYPERLINK("https://klasma.github.io/Logging_2380/artfynd/A 28980-2023 artfynd.xlsx", "A 28980-2023")</f>
        <v/>
      </c>
      <c r="T133">
        <f>HYPERLINK("https://klasma.github.io/Logging_2380/kartor/A 28980-2023 karta.png", "A 28980-2023")</f>
        <v/>
      </c>
      <c r="V133">
        <f>HYPERLINK("https://klasma.github.io/Logging_2380/klagomål/A 28980-2023 FSC-klagomål.docx", "A 28980-2023")</f>
        <v/>
      </c>
      <c r="W133">
        <f>HYPERLINK("https://klasma.github.io/Logging_2380/klagomålsmail/A 28980-2023 FSC-klagomål mail.docx", "A 28980-2023")</f>
        <v/>
      </c>
      <c r="X133">
        <f>HYPERLINK("https://klasma.github.io/Logging_2380/tillsyn/A 28980-2023 tillsynsbegäran.docx", "A 28980-2023")</f>
        <v/>
      </c>
      <c r="Y133">
        <f>HYPERLINK("https://klasma.github.io/Logging_2380/tillsynsmail/A 28980-2023 tillsynsbegäran mail.docx", "A 28980-2023")</f>
        <v/>
      </c>
    </row>
    <row r="134" ht="15" customHeight="1">
      <c r="A134" t="inlineStr">
        <is>
          <t>A 32411-2023</t>
        </is>
      </c>
      <c r="B134" s="1" t="n">
        <v>45120</v>
      </c>
      <c r="C134" s="1" t="n">
        <v>45579</v>
      </c>
      <c r="D134" t="inlineStr">
        <is>
          <t>JÄMTLANDS LÄN</t>
        </is>
      </c>
      <c r="E134" t="inlineStr">
        <is>
          <t>ÖSTERSUND</t>
        </is>
      </c>
      <c r="G134" t="n">
        <v>8.5</v>
      </c>
      <c r="H134" t="n">
        <v>1</v>
      </c>
      <c r="I134" t="n">
        <v>1</v>
      </c>
      <c r="J134" t="n">
        <v>0</v>
      </c>
      <c r="K134" t="n">
        <v>0</v>
      </c>
      <c r="L134" t="n">
        <v>0</v>
      </c>
      <c r="M134" t="n">
        <v>0</v>
      </c>
      <c r="N134" t="n">
        <v>0</v>
      </c>
      <c r="O134" t="n">
        <v>0</v>
      </c>
      <c r="P134" t="n">
        <v>0</v>
      </c>
      <c r="Q134" t="n">
        <v>1</v>
      </c>
      <c r="R134" s="2" t="inlineStr">
        <is>
          <t>Spindelblomster</t>
        </is>
      </c>
      <c r="S134">
        <f>HYPERLINK("https://klasma.github.io/Logging_2380/artfynd/A 32411-2023 artfynd.xlsx", "A 32411-2023")</f>
        <v/>
      </c>
      <c r="T134">
        <f>HYPERLINK("https://klasma.github.io/Logging_2380/kartor/A 32411-2023 karta.png", "A 32411-2023")</f>
        <v/>
      </c>
      <c r="V134">
        <f>HYPERLINK("https://klasma.github.io/Logging_2380/klagomål/A 32411-2023 FSC-klagomål.docx", "A 32411-2023")</f>
        <v/>
      </c>
      <c r="W134">
        <f>HYPERLINK("https://klasma.github.io/Logging_2380/klagomålsmail/A 32411-2023 FSC-klagomål mail.docx", "A 32411-2023")</f>
        <v/>
      </c>
      <c r="X134">
        <f>HYPERLINK("https://klasma.github.io/Logging_2380/tillsyn/A 32411-2023 tillsynsbegäran.docx", "A 32411-2023")</f>
        <v/>
      </c>
      <c r="Y134">
        <f>HYPERLINK("https://klasma.github.io/Logging_2380/tillsynsmail/A 32411-2023 tillsynsbegäran mail.docx", "A 32411-2023")</f>
        <v/>
      </c>
    </row>
    <row r="135" ht="15" customHeight="1">
      <c r="A135" t="inlineStr">
        <is>
          <t>A 50825-2023</t>
        </is>
      </c>
      <c r="B135" s="1" t="n">
        <v>45217</v>
      </c>
      <c r="C135" s="1" t="n">
        <v>45579</v>
      </c>
      <c r="D135" t="inlineStr">
        <is>
          <t>JÄMTLANDS LÄN</t>
        </is>
      </c>
      <c r="E135" t="inlineStr">
        <is>
          <t>ÖSTERSUND</t>
        </is>
      </c>
      <c r="G135" t="n">
        <v>24.3</v>
      </c>
      <c r="H135" t="n">
        <v>0</v>
      </c>
      <c r="I135" t="n">
        <v>0</v>
      </c>
      <c r="J135" t="n">
        <v>1</v>
      </c>
      <c r="K135" t="n">
        <v>0</v>
      </c>
      <c r="L135" t="n">
        <v>0</v>
      </c>
      <c r="M135" t="n">
        <v>0</v>
      </c>
      <c r="N135" t="n">
        <v>0</v>
      </c>
      <c r="O135" t="n">
        <v>1</v>
      </c>
      <c r="P135" t="n">
        <v>0</v>
      </c>
      <c r="Q135" t="n">
        <v>1</v>
      </c>
      <c r="R135" s="2" t="inlineStr">
        <is>
          <t>Granticka</t>
        </is>
      </c>
      <c r="S135">
        <f>HYPERLINK("https://klasma.github.io/Logging_2380/artfynd/A 50825-2023 artfynd.xlsx", "A 50825-2023")</f>
        <v/>
      </c>
      <c r="T135">
        <f>HYPERLINK("https://klasma.github.io/Logging_2380/kartor/A 50825-2023 karta.png", "A 50825-2023")</f>
        <v/>
      </c>
      <c r="V135">
        <f>HYPERLINK("https://klasma.github.io/Logging_2380/klagomål/A 50825-2023 FSC-klagomål.docx", "A 50825-2023")</f>
        <v/>
      </c>
      <c r="W135">
        <f>HYPERLINK("https://klasma.github.io/Logging_2380/klagomålsmail/A 50825-2023 FSC-klagomål mail.docx", "A 50825-2023")</f>
        <v/>
      </c>
      <c r="X135">
        <f>HYPERLINK("https://klasma.github.io/Logging_2380/tillsyn/A 50825-2023 tillsynsbegäran.docx", "A 50825-2023")</f>
        <v/>
      </c>
      <c r="Y135">
        <f>HYPERLINK("https://klasma.github.io/Logging_2380/tillsynsmail/A 50825-2023 tillsynsbegäran mail.docx", "A 50825-2023")</f>
        <v/>
      </c>
    </row>
    <row r="136" ht="15" customHeight="1">
      <c r="A136" t="inlineStr">
        <is>
          <t>A 56025-2023</t>
        </is>
      </c>
      <c r="B136" s="1" t="n">
        <v>45233</v>
      </c>
      <c r="C136" s="1" t="n">
        <v>45579</v>
      </c>
      <c r="D136" t="inlineStr">
        <is>
          <t>JÄMTLANDS LÄN</t>
        </is>
      </c>
      <c r="E136" t="inlineStr">
        <is>
          <t>ÖSTERSUND</t>
        </is>
      </c>
      <c r="G136" t="n">
        <v>3.9</v>
      </c>
      <c r="H136" t="n">
        <v>1</v>
      </c>
      <c r="I136" t="n">
        <v>0</v>
      </c>
      <c r="J136" t="n">
        <v>1</v>
      </c>
      <c r="K136" t="n">
        <v>0</v>
      </c>
      <c r="L136" t="n">
        <v>0</v>
      </c>
      <c r="M136" t="n">
        <v>0</v>
      </c>
      <c r="N136" t="n">
        <v>0</v>
      </c>
      <c r="O136" t="n">
        <v>1</v>
      </c>
      <c r="P136" t="n">
        <v>0</v>
      </c>
      <c r="Q136" t="n">
        <v>1</v>
      </c>
      <c r="R136" s="2" t="inlineStr">
        <is>
          <t>Jämtlandsmaskros</t>
        </is>
      </c>
      <c r="S136">
        <f>HYPERLINK("https://klasma.github.io/Logging_2380/artfynd/A 56025-2023 artfynd.xlsx", "A 56025-2023")</f>
        <v/>
      </c>
      <c r="T136">
        <f>HYPERLINK("https://klasma.github.io/Logging_2380/kartor/A 56025-2023 karta.png", "A 56025-2023")</f>
        <v/>
      </c>
      <c r="V136">
        <f>HYPERLINK("https://klasma.github.io/Logging_2380/klagomål/A 56025-2023 FSC-klagomål.docx", "A 56025-2023")</f>
        <v/>
      </c>
      <c r="W136">
        <f>HYPERLINK("https://klasma.github.io/Logging_2380/klagomålsmail/A 56025-2023 FSC-klagomål mail.docx", "A 56025-2023")</f>
        <v/>
      </c>
      <c r="X136">
        <f>HYPERLINK("https://klasma.github.io/Logging_2380/tillsyn/A 56025-2023 tillsynsbegäran.docx", "A 56025-2023")</f>
        <v/>
      </c>
      <c r="Y136">
        <f>HYPERLINK("https://klasma.github.io/Logging_2380/tillsynsmail/A 56025-2023 tillsynsbegäran mail.docx", "A 56025-2023")</f>
        <v/>
      </c>
    </row>
    <row r="137" ht="15" customHeight="1">
      <c r="A137" t="inlineStr">
        <is>
          <t>A 57864-2023</t>
        </is>
      </c>
      <c r="B137" s="1" t="n">
        <v>45244</v>
      </c>
      <c r="C137" s="1" t="n">
        <v>45579</v>
      </c>
      <c r="D137" t="inlineStr">
        <is>
          <t>JÄMTLANDS LÄN</t>
        </is>
      </c>
      <c r="E137" t="inlineStr">
        <is>
          <t>ÖSTERSUND</t>
        </is>
      </c>
      <c r="G137" t="n">
        <v>3.1</v>
      </c>
      <c r="H137" t="n">
        <v>1</v>
      </c>
      <c r="I137" t="n">
        <v>0</v>
      </c>
      <c r="J137" t="n">
        <v>0</v>
      </c>
      <c r="K137" t="n">
        <v>0</v>
      </c>
      <c r="L137" t="n">
        <v>0</v>
      </c>
      <c r="M137" t="n">
        <v>0</v>
      </c>
      <c r="N137" t="n">
        <v>0</v>
      </c>
      <c r="O137" t="n">
        <v>0</v>
      </c>
      <c r="P137" t="n">
        <v>0</v>
      </c>
      <c r="Q137" t="n">
        <v>1</v>
      </c>
      <c r="R137" s="2" t="inlineStr">
        <is>
          <t>Mattlummer</t>
        </is>
      </c>
      <c r="S137">
        <f>HYPERLINK("https://klasma.github.io/Logging_2380/artfynd/A 57864-2023 artfynd.xlsx", "A 57864-2023")</f>
        <v/>
      </c>
      <c r="T137">
        <f>HYPERLINK("https://klasma.github.io/Logging_2380/kartor/A 57864-2023 karta.png", "A 57864-2023")</f>
        <v/>
      </c>
      <c r="V137">
        <f>HYPERLINK("https://klasma.github.io/Logging_2380/klagomål/A 57864-2023 FSC-klagomål.docx", "A 57864-2023")</f>
        <v/>
      </c>
      <c r="W137">
        <f>HYPERLINK("https://klasma.github.io/Logging_2380/klagomålsmail/A 57864-2023 FSC-klagomål mail.docx", "A 57864-2023")</f>
        <v/>
      </c>
      <c r="X137">
        <f>HYPERLINK("https://klasma.github.io/Logging_2380/tillsyn/A 57864-2023 tillsynsbegäran.docx", "A 57864-2023")</f>
        <v/>
      </c>
      <c r="Y137">
        <f>HYPERLINK("https://klasma.github.io/Logging_2380/tillsynsmail/A 57864-2023 tillsynsbegäran mail.docx", "A 57864-2023")</f>
        <v/>
      </c>
    </row>
    <row r="138" ht="15" customHeight="1">
      <c r="A138" t="inlineStr">
        <is>
          <t>A 64380-2023</t>
        </is>
      </c>
      <c r="B138" s="1" t="n">
        <v>45280</v>
      </c>
      <c r="C138" s="1" t="n">
        <v>45579</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3272-2024</t>
        </is>
      </c>
      <c r="B139" s="1" t="n">
        <v>45316</v>
      </c>
      <c r="C139" s="1" t="n">
        <v>45579</v>
      </c>
      <c r="D139" t="inlineStr">
        <is>
          <t>JÄMTLANDS LÄN</t>
        </is>
      </c>
      <c r="E139" t="inlineStr">
        <is>
          <t>ÖSTERSUND</t>
        </is>
      </c>
      <c r="G139" t="n">
        <v>5.6</v>
      </c>
      <c r="H139" t="n">
        <v>1</v>
      </c>
      <c r="I139" t="n">
        <v>1</v>
      </c>
      <c r="J139" t="n">
        <v>0</v>
      </c>
      <c r="K139" t="n">
        <v>0</v>
      </c>
      <c r="L139" t="n">
        <v>0</v>
      </c>
      <c r="M139" t="n">
        <v>0</v>
      </c>
      <c r="N139" t="n">
        <v>0</v>
      </c>
      <c r="O139" t="n">
        <v>0</v>
      </c>
      <c r="P139" t="n">
        <v>0</v>
      </c>
      <c r="Q139" t="n">
        <v>1</v>
      </c>
      <c r="R139" s="2" t="inlineStr">
        <is>
          <t>Korallrot</t>
        </is>
      </c>
      <c r="S139">
        <f>HYPERLINK("https://klasma.github.io/Logging_2380/artfynd/A 3272-2024 artfynd.xlsx", "A 3272-2024")</f>
        <v/>
      </c>
      <c r="T139">
        <f>HYPERLINK("https://klasma.github.io/Logging_2380/kartor/A 3272-2024 karta.png", "A 3272-2024")</f>
        <v/>
      </c>
      <c r="V139">
        <f>HYPERLINK("https://klasma.github.io/Logging_2380/klagomål/A 3272-2024 FSC-klagomål.docx", "A 3272-2024")</f>
        <v/>
      </c>
      <c r="W139">
        <f>HYPERLINK("https://klasma.github.io/Logging_2380/klagomålsmail/A 3272-2024 FSC-klagomål mail.docx", "A 3272-2024")</f>
        <v/>
      </c>
      <c r="X139">
        <f>HYPERLINK("https://klasma.github.io/Logging_2380/tillsyn/A 3272-2024 tillsynsbegäran.docx", "A 3272-2024")</f>
        <v/>
      </c>
      <c r="Y139">
        <f>HYPERLINK("https://klasma.github.io/Logging_2380/tillsynsmail/A 3272-2024 tillsynsbegäran mail.docx", "A 3272-2024")</f>
        <v/>
      </c>
    </row>
    <row r="140" ht="15" customHeight="1">
      <c r="A140" t="inlineStr">
        <is>
          <t>A 5781-2024</t>
        </is>
      </c>
      <c r="B140" s="1" t="n">
        <v>45335</v>
      </c>
      <c r="C140" s="1" t="n">
        <v>45579</v>
      </c>
      <c r="D140" t="inlineStr">
        <is>
          <t>JÄMTLANDS LÄN</t>
        </is>
      </c>
      <c r="E140" t="inlineStr">
        <is>
          <t>ÖSTERSUND</t>
        </is>
      </c>
      <c r="G140" t="n">
        <v>8.800000000000001</v>
      </c>
      <c r="H140" t="n">
        <v>1</v>
      </c>
      <c r="I140" t="n">
        <v>1</v>
      </c>
      <c r="J140" t="n">
        <v>0</v>
      </c>
      <c r="K140" t="n">
        <v>0</v>
      </c>
      <c r="L140" t="n">
        <v>0</v>
      </c>
      <c r="M140" t="n">
        <v>0</v>
      </c>
      <c r="N140" t="n">
        <v>0</v>
      </c>
      <c r="O140" t="n">
        <v>0</v>
      </c>
      <c r="P140" t="n">
        <v>0</v>
      </c>
      <c r="Q140" t="n">
        <v>1</v>
      </c>
      <c r="R140" s="2" t="inlineStr">
        <is>
          <t>Guckusko</t>
        </is>
      </c>
      <c r="S140">
        <f>HYPERLINK("https://klasma.github.io/Logging_2380/artfynd/A 5781-2024 artfynd.xlsx", "A 5781-2024")</f>
        <v/>
      </c>
      <c r="T140">
        <f>HYPERLINK("https://klasma.github.io/Logging_2380/kartor/A 5781-2024 karta.png", "A 5781-2024")</f>
        <v/>
      </c>
      <c r="V140">
        <f>HYPERLINK("https://klasma.github.io/Logging_2380/klagomål/A 5781-2024 FSC-klagomål.docx", "A 5781-2024")</f>
        <v/>
      </c>
      <c r="W140">
        <f>HYPERLINK("https://klasma.github.io/Logging_2380/klagomålsmail/A 5781-2024 FSC-klagomål mail.docx", "A 5781-2024")</f>
        <v/>
      </c>
      <c r="X140">
        <f>HYPERLINK("https://klasma.github.io/Logging_2380/tillsyn/A 5781-2024 tillsynsbegäran.docx", "A 5781-2024")</f>
        <v/>
      </c>
      <c r="Y140">
        <f>HYPERLINK("https://klasma.github.io/Logging_2380/tillsynsmail/A 5781-2024 tillsynsbegäran mail.docx", "A 5781-2024")</f>
        <v/>
      </c>
    </row>
    <row r="141" ht="15" customHeight="1">
      <c r="A141" t="inlineStr">
        <is>
          <t>A 5779-2024</t>
        </is>
      </c>
      <c r="B141" s="1" t="n">
        <v>45335</v>
      </c>
      <c r="C141" s="1" t="n">
        <v>45579</v>
      </c>
      <c r="D141" t="inlineStr">
        <is>
          <t>JÄMTLANDS LÄN</t>
        </is>
      </c>
      <c r="E141" t="inlineStr">
        <is>
          <t>ÖSTERSUND</t>
        </is>
      </c>
      <c r="G141" t="n">
        <v>9.9</v>
      </c>
      <c r="H141" t="n">
        <v>0</v>
      </c>
      <c r="I141" t="n">
        <v>1</v>
      </c>
      <c r="J141" t="n">
        <v>0</v>
      </c>
      <c r="K141" t="n">
        <v>0</v>
      </c>
      <c r="L141" t="n">
        <v>0</v>
      </c>
      <c r="M141" t="n">
        <v>0</v>
      </c>
      <c r="N141" t="n">
        <v>0</v>
      </c>
      <c r="O141" t="n">
        <v>0</v>
      </c>
      <c r="P141" t="n">
        <v>0</v>
      </c>
      <c r="Q141" t="n">
        <v>1</v>
      </c>
      <c r="R141" s="2" t="inlineStr">
        <is>
          <t>Kransrams</t>
        </is>
      </c>
      <c r="S141">
        <f>HYPERLINK("https://klasma.github.io/Logging_2380/artfynd/A 5779-2024 artfynd.xlsx", "A 5779-2024")</f>
        <v/>
      </c>
      <c r="T141">
        <f>HYPERLINK("https://klasma.github.io/Logging_2380/kartor/A 5779-2024 karta.png", "A 5779-2024")</f>
        <v/>
      </c>
      <c r="V141">
        <f>HYPERLINK("https://klasma.github.io/Logging_2380/klagomål/A 5779-2024 FSC-klagomål.docx", "A 5779-2024")</f>
        <v/>
      </c>
      <c r="W141">
        <f>HYPERLINK("https://klasma.github.io/Logging_2380/klagomålsmail/A 5779-2024 FSC-klagomål mail.docx", "A 5779-2024")</f>
        <v/>
      </c>
      <c r="X141">
        <f>HYPERLINK("https://klasma.github.io/Logging_2380/tillsyn/A 5779-2024 tillsynsbegäran.docx", "A 5779-2024")</f>
        <v/>
      </c>
      <c r="Y141">
        <f>HYPERLINK("https://klasma.github.io/Logging_2380/tillsynsmail/A 5779-2024 tillsynsbegäran mail.docx", "A 5779-2024")</f>
        <v/>
      </c>
    </row>
    <row r="142" ht="15" customHeight="1">
      <c r="A142" t="inlineStr">
        <is>
          <t>A 15090-2024</t>
        </is>
      </c>
      <c r="B142" s="1" t="n">
        <v>45399</v>
      </c>
      <c r="C142" s="1" t="n">
        <v>45579</v>
      </c>
      <c r="D142" t="inlineStr">
        <is>
          <t>JÄMTLANDS LÄN</t>
        </is>
      </c>
      <c r="E142" t="inlineStr">
        <is>
          <t>ÖSTERSUND</t>
        </is>
      </c>
      <c r="G142" t="n">
        <v>18</v>
      </c>
      <c r="H142" t="n">
        <v>0</v>
      </c>
      <c r="I142" t="n">
        <v>1</v>
      </c>
      <c r="J142" t="n">
        <v>0</v>
      </c>
      <c r="K142" t="n">
        <v>0</v>
      </c>
      <c r="L142" t="n">
        <v>0</v>
      </c>
      <c r="M142" t="n">
        <v>0</v>
      </c>
      <c r="N142" t="n">
        <v>0</v>
      </c>
      <c r="O142" t="n">
        <v>0</v>
      </c>
      <c r="P142" t="n">
        <v>0</v>
      </c>
      <c r="Q142" t="n">
        <v>1</v>
      </c>
      <c r="R142" s="2" t="inlineStr">
        <is>
          <t>Svavelriska</t>
        </is>
      </c>
      <c r="S142">
        <f>HYPERLINK("https://klasma.github.io/Logging_2380/artfynd/A 15090-2024 artfynd.xlsx", "A 15090-2024")</f>
        <v/>
      </c>
      <c r="T142">
        <f>HYPERLINK("https://klasma.github.io/Logging_2380/kartor/A 15090-2024 karta.png", "A 15090-2024")</f>
        <v/>
      </c>
      <c r="V142">
        <f>HYPERLINK("https://klasma.github.io/Logging_2380/klagomål/A 15090-2024 FSC-klagomål.docx", "A 15090-2024")</f>
        <v/>
      </c>
      <c r="W142">
        <f>HYPERLINK("https://klasma.github.io/Logging_2380/klagomålsmail/A 15090-2024 FSC-klagomål mail.docx", "A 15090-2024")</f>
        <v/>
      </c>
      <c r="X142">
        <f>HYPERLINK("https://klasma.github.io/Logging_2380/tillsyn/A 15090-2024 tillsynsbegäran.docx", "A 15090-2024")</f>
        <v/>
      </c>
      <c r="Y142">
        <f>HYPERLINK("https://klasma.github.io/Logging_2380/tillsynsmail/A 15090-2024 tillsynsbegäran mail.docx", "A 15090-2024")</f>
        <v/>
      </c>
    </row>
    <row r="143" ht="15" customHeight="1">
      <c r="A143" t="inlineStr">
        <is>
          <t>A 18951-2024</t>
        </is>
      </c>
      <c r="B143" s="1" t="n">
        <v>45427</v>
      </c>
      <c r="C143" s="1" t="n">
        <v>45579</v>
      </c>
      <c r="D143" t="inlineStr">
        <is>
          <t>JÄMTLANDS LÄN</t>
        </is>
      </c>
      <c r="E143" t="inlineStr">
        <is>
          <t>ÖSTERSUND</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HYPERLINK("https://klasma.github.io/Logging_2380/artfynd/A 18951-2024 artfynd.xlsx", "A 18951-2024")</f>
        <v/>
      </c>
      <c r="T143">
        <f>HYPERLINK("https://klasma.github.io/Logging_2380/kartor/A 18951-2024 karta.png", "A 18951-2024")</f>
        <v/>
      </c>
      <c r="V143">
        <f>HYPERLINK("https://klasma.github.io/Logging_2380/klagomål/A 18951-2024 FSC-klagomål.docx", "A 18951-2024")</f>
        <v/>
      </c>
      <c r="W143">
        <f>HYPERLINK("https://klasma.github.io/Logging_2380/klagomålsmail/A 18951-2024 FSC-klagomål mail.docx", "A 18951-2024")</f>
        <v/>
      </c>
      <c r="X143">
        <f>HYPERLINK("https://klasma.github.io/Logging_2380/tillsyn/A 18951-2024 tillsynsbegäran.docx", "A 18951-2024")</f>
        <v/>
      </c>
      <c r="Y143">
        <f>HYPERLINK("https://klasma.github.io/Logging_2380/tillsynsmail/A 18951-2024 tillsynsbegäran mail.docx", "A 18951-2024")</f>
        <v/>
      </c>
    </row>
    <row r="144" ht="15" customHeight="1">
      <c r="A144" t="inlineStr">
        <is>
          <t>A 21614-2024</t>
        </is>
      </c>
      <c r="B144" s="1" t="n">
        <v>45442</v>
      </c>
      <c r="C144" s="1" t="n">
        <v>45579</v>
      </c>
      <c r="D144" t="inlineStr">
        <is>
          <t>JÄMTLANDS LÄN</t>
        </is>
      </c>
      <c r="E144" t="inlineStr">
        <is>
          <t>ÖSTERSUND</t>
        </is>
      </c>
      <c r="F144" t="inlineStr">
        <is>
          <t>SCA</t>
        </is>
      </c>
      <c r="G144" t="n">
        <v>3.5</v>
      </c>
      <c r="H144" t="n">
        <v>0</v>
      </c>
      <c r="I144" t="n">
        <v>0</v>
      </c>
      <c r="J144" t="n">
        <v>1</v>
      </c>
      <c r="K144" t="n">
        <v>0</v>
      </c>
      <c r="L144" t="n">
        <v>0</v>
      </c>
      <c r="M144" t="n">
        <v>0</v>
      </c>
      <c r="N144" t="n">
        <v>0</v>
      </c>
      <c r="O144" t="n">
        <v>1</v>
      </c>
      <c r="P144" t="n">
        <v>0</v>
      </c>
      <c r="Q144" t="n">
        <v>1</v>
      </c>
      <c r="R144" s="2" t="inlineStr">
        <is>
          <t>Lunglav</t>
        </is>
      </c>
      <c r="S144">
        <f>HYPERLINK("https://klasma.github.io/Logging_2380/artfynd/A 21614-2024 artfynd.xlsx", "A 21614-2024")</f>
        <v/>
      </c>
      <c r="T144">
        <f>HYPERLINK("https://klasma.github.io/Logging_2380/kartor/A 21614-2024 karta.png", "A 21614-2024")</f>
        <v/>
      </c>
      <c r="U144">
        <f>HYPERLINK("https://klasma.github.io/Logging_2380/knärot/A 21614-2024 karta knärot.png", "A 21614-2024")</f>
        <v/>
      </c>
      <c r="V144">
        <f>HYPERLINK("https://klasma.github.io/Logging_2380/klagomål/A 21614-2024 FSC-klagomål.docx", "A 21614-2024")</f>
        <v/>
      </c>
      <c r="W144">
        <f>HYPERLINK("https://klasma.github.io/Logging_2380/klagomålsmail/A 21614-2024 FSC-klagomål mail.docx", "A 21614-2024")</f>
        <v/>
      </c>
      <c r="X144">
        <f>HYPERLINK("https://klasma.github.io/Logging_2380/tillsyn/A 21614-2024 tillsynsbegäran.docx", "A 21614-2024")</f>
        <v/>
      </c>
      <c r="Y144">
        <f>HYPERLINK("https://klasma.github.io/Logging_2380/tillsynsmail/A 21614-2024 tillsynsbegäran mail.docx", "A 21614-2024")</f>
        <v/>
      </c>
    </row>
    <row r="145" ht="15" customHeight="1">
      <c r="A145" t="inlineStr">
        <is>
          <t>A 31883-2024</t>
        </is>
      </c>
      <c r="B145" s="1" t="n">
        <v>45510</v>
      </c>
      <c r="C145" s="1" t="n">
        <v>45579</v>
      </c>
      <c r="D145" t="inlineStr">
        <is>
          <t>JÄMTLANDS LÄN</t>
        </is>
      </c>
      <c r="E145" t="inlineStr">
        <is>
          <t>ÖSTERSUND</t>
        </is>
      </c>
      <c r="F145" t="inlineStr">
        <is>
          <t>SCA</t>
        </is>
      </c>
      <c r="G145" t="n">
        <v>3.3</v>
      </c>
      <c r="H145" t="n">
        <v>1</v>
      </c>
      <c r="I145" t="n">
        <v>0</v>
      </c>
      <c r="J145" t="n">
        <v>0</v>
      </c>
      <c r="K145" t="n">
        <v>1</v>
      </c>
      <c r="L145" t="n">
        <v>0</v>
      </c>
      <c r="M145" t="n">
        <v>0</v>
      </c>
      <c r="N145" t="n">
        <v>0</v>
      </c>
      <c r="O145" t="n">
        <v>1</v>
      </c>
      <c r="P145" t="n">
        <v>1</v>
      </c>
      <c r="Q145" t="n">
        <v>1</v>
      </c>
      <c r="R145" s="2" t="inlineStr">
        <is>
          <t>Doftticka</t>
        </is>
      </c>
      <c r="S145">
        <f>HYPERLINK("https://klasma.github.io/Logging_2380/artfynd/A 31883-2024 artfynd.xlsx", "A 31883-2024")</f>
        <v/>
      </c>
      <c r="T145">
        <f>HYPERLINK("https://klasma.github.io/Logging_2380/kartor/A 31883-2024 karta.png", "A 31883-2024")</f>
        <v/>
      </c>
      <c r="V145">
        <f>HYPERLINK("https://klasma.github.io/Logging_2380/klagomål/A 31883-2024 FSC-klagomål.docx", "A 31883-2024")</f>
        <v/>
      </c>
      <c r="W145">
        <f>HYPERLINK("https://klasma.github.io/Logging_2380/klagomålsmail/A 31883-2024 FSC-klagomål mail.docx", "A 31883-2024")</f>
        <v/>
      </c>
      <c r="X145">
        <f>HYPERLINK("https://klasma.github.io/Logging_2380/tillsyn/A 31883-2024 tillsynsbegäran.docx", "A 31883-2024")</f>
        <v/>
      </c>
      <c r="Y145">
        <f>HYPERLINK("https://klasma.github.io/Logging_2380/tillsynsmail/A 31883-2024 tillsynsbegäran mail.docx", "A 31883-2024")</f>
        <v/>
      </c>
    </row>
    <row r="146" ht="15" customHeight="1">
      <c r="A146" t="inlineStr">
        <is>
          <t>A 35422-2024</t>
        </is>
      </c>
      <c r="B146" s="1" t="n">
        <v>45531</v>
      </c>
      <c r="C146" s="1" t="n">
        <v>45579</v>
      </c>
      <c r="D146" t="inlineStr">
        <is>
          <t>JÄMTLANDS LÄN</t>
        </is>
      </c>
      <c r="E146" t="inlineStr">
        <is>
          <t>ÖSTERSUND</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HYPERLINK("https://klasma.github.io/Logging_2380/artfynd/A 35422-2024 artfynd.xlsx", "A 35422-2024")</f>
        <v/>
      </c>
      <c r="T146">
        <f>HYPERLINK("https://klasma.github.io/Logging_2380/kartor/A 35422-2024 karta.png", "A 35422-2024")</f>
        <v/>
      </c>
      <c r="V146">
        <f>HYPERLINK("https://klasma.github.io/Logging_2380/klagomål/A 35422-2024 FSC-klagomål.docx", "A 35422-2024")</f>
        <v/>
      </c>
      <c r="W146">
        <f>HYPERLINK("https://klasma.github.io/Logging_2380/klagomålsmail/A 35422-2024 FSC-klagomål mail.docx", "A 35422-2024")</f>
        <v/>
      </c>
      <c r="X146">
        <f>HYPERLINK("https://klasma.github.io/Logging_2380/tillsyn/A 35422-2024 tillsynsbegäran.docx", "A 35422-2024")</f>
        <v/>
      </c>
      <c r="Y146">
        <f>HYPERLINK("https://klasma.github.io/Logging_2380/tillsynsmail/A 35422-2024 tillsynsbegäran mail.docx", "A 35422-2024")</f>
        <v/>
      </c>
    </row>
    <row r="147" ht="15" customHeight="1">
      <c r="A147" t="inlineStr">
        <is>
          <t>A 35421-2024</t>
        </is>
      </c>
      <c r="B147" s="1" t="n">
        <v>45531</v>
      </c>
      <c r="C147" s="1" t="n">
        <v>45579</v>
      </c>
      <c r="D147" t="inlineStr">
        <is>
          <t>JÄMTLANDS LÄN</t>
        </is>
      </c>
      <c r="E147" t="inlineStr">
        <is>
          <t>ÖSTERSUND</t>
        </is>
      </c>
      <c r="F147" t="inlineStr">
        <is>
          <t>SCA</t>
        </is>
      </c>
      <c r="G147" t="n">
        <v>1.6</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35421-2024 artfynd.xlsx", "A 35421-2024")</f>
        <v/>
      </c>
      <c r="T147">
        <f>HYPERLINK("https://klasma.github.io/Logging_2380/kartor/A 35421-2024 karta.png", "A 35421-2024")</f>
        <v/>
      </c>
      <c r="V147">
        <f>HYPERLINK("https://klasma.github.io/Logging_2380/klagomål/A 35421-2024 FSC-klagomål.docx", "A 35421-2024")</f>
        <v/>
      </c>
      <c r="W147">
        <f>HYPERLINK("https://klasma.github.io/Logging_2380/klagomålsmail/A 35421-2024 FSC-klagomål mail.docx", "A 35421-2024")</f>
        <v/>
      </c>
      <c r="X147">
        <f>HYPERLINK("https://klasma.github.io/Logging_2380/tillsyn/A 35421-2024 tillsynsbegäran.docx", "A 35421-2024")</f>
        <v/>
      </c>
      <c r="Y147">
        <f>HYPERLINK("https://klasma.github.io/Logging_2380/tillsynsmail/A 35421-2024 tillsynsbegäran mail.docx", "A 35421-2024")</f>
        <v/>
      </c>
    </row>
    <row r="148" ht="15" customHeight="1">
      <c r="A148" t="inlineStr">
        <is>
          <t>A 36472-2024</t>
        </is>
      </c>
      <c r="B148" s="1" t="n">
        <v>45537</v>
      </c>
      <c r="C148" s="1" t="n">
        <v>45579</v>
      </c>
      <c r="D148" t="inlineStr">
        <is>
          <t>JÄMTLANDS LÄN</t>
        </is>
      </c>
      <c r="E148" t="inlineStr">
        <is>
          <t>ÖSTERSUND</t>
        </is>
      </c>
      <c r="F148" t="inlineStr">
        <is>
          <t>SCA</t>
        </is>
      </c>
      <c r="G148" t="n">
        <v>2.1</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36472-2024 artfynd.xlsx", "A 36472-2024")</f>
        <v/>
      </c>
      <c r="T148">
        <f>HYPERLINK("https://klasma.github.io/Logging_2380/kartor/A 36472-2024 karta.png", "A 36472-2024")</f>
        <v/>
      </c>
      <c r="V148">
        <f>HYPERLINK("https://klasma.github.io/Logging_2380/klagomål/A 36472-2024 FSC-klagomål.docx", "A 36472-2024")</f>
        <v/>
      </c>
      <c r="W148">
        <f>HYPERLINK("https://klasma.github.io/Logging_2380/klagomålsmail/A 36472-2024 FSC-klagomål mail.docx", "A 36472-2024")</f>
        <v/>
      </c>
      <c r="X148">
        <f>HYPERLINK("https://klasma.github.io/Logging_2380/tillsyn/A 36472-2024 tillsynsbegäran.docx", "A 36472-2024")</f>
        <v/>
      </c>
      <c r="Y148">
        <f>HYPERLINK("https://klasma.github.io/Logging_2380/tillsynsmail/A 36472-2024 tillsynsbegäran mail.docx", "A 36472-2024")</f>
        <v/>
      </c>
    </row>
    <row r="149" ht="15" customHeight="1">
      <c r="A149" t="inlineStr">
        <is>
          <t>A 40694-2024</t>
        </is>
      </c>
      <c r="B149" s="1" t="n">
        <v>45558</v>
      </c>
      <c r="C149" s="1" t="n">
        <v>45579</v>
      </c>
      <c r="D149" t="inlineStr">
        <is>
          <t>JÄMTLANDS LÄN</t>
        </is>
      </c>
      <c r="E149" t="inlineStr">
        <is>
          <t>ÖSTERSUND</t>
        </is>
      </c>
      <c r="F149" t="inlineStr">
        <is>
          <t>SCA</t>
        </is>
      </c>
      <c r="G149" t="n">
        <v>6.2</v>
      </c>
      <c r="H149" t="n">
        <v>0</v>
      </c>
      <c r="I149" t="n">
        <v>0</v>
      </c>
      <c r="J149" t="n">
        <v>1</v>
      </c>
      <c r="K149" t="n">
        <v>0</v>
      </c>
      <c r="L149" t="n">
        <v>0</v>
      </c>
      <c r="M149" t="n">
        <v>0</v>
      </c>
      <c r="N149" t="n">
        <v>0</v>
      </c>
      <c r="O149" t="n">
        <v>1</v>
      </c>
      <c r="P149" t="n">
        <v>0</v>
      </c>
      <c r="Q149" t="n">
        <v>1</v>
      </c>
      <c r="R149" s="2" t="inlineStr">
        <is>
          <t>Reliktbock</t>
        </is>
      </c>
      <c r="S149">
        <f>HYPERLINK("https://klasma.github.io/Logging_2380/artfynd/A 40694-2024 artfynd.xlsx", "A 40694-2024")</f>
        <v/>
      </c>
      <c r="T149">
        <f>HYPERLINK("https://klasma.github.io/Logging_2380/kartor/A 40694-2024 karta.png", "A 40694-2024")</f>
        <v/>
      </c>
      <c r="V149">
        <f>HYPERLINK("https://klasma.github.io/Logging_2380/klagomål/A 40694-2024 FSC-klagomål.docx", "A 40694-2024")</f>
        <v/>
      </c>
      <c r="W149">
        <f>HYPERLINK("https://klasma.github.io/Logging_2380/klagomålsmail/A 40694-2024 FSC-klagomål mail.docx", "A 40694-2024")</f>
        <v/>
      </c>
      <c r="X149">
        <f>HYPERLINK("https://klasma.github.io/Logging_2380/tillsyn/A 40694-2024 tillsynsbegäran.docx", "A 40694-2024")</f>
        <v/>
      </c>
      <c r="Y149">
        <f>HYPERLINK("https://klasma.github.io/Logging_2380/tillsynsmail/A 40694-2024 tillsynsbegäran mail.docx", "A 40694-2024")</f>
        <v/>
      </c>
    </row>
    <row r="150" ht="15" customHeight="1">
      <c r="A150" t="inlineStr">
        <is>
          <t>A 40692-2024</t>
        </is>
      </c>
      <c r="B150" s="1" t="n">
        <v>45558</v>
      </c>
      <c r="C150" s="1" t="n">
        <v>45579</v>
      </c>
      <c r="D150" t="inlineStr">
        <is>
          <t>JÄMTLANDS LÄN</t>
        </is>
      </c>
      <c r="E150" t="inlineStr">
        <is>
          <t>ÖSTERSUND</t>
        </is>
      </c>
      <c r="F150" t="inlineStr">
        <is>
          <t>SCA</t>
        </is>
      </c>
      <c r="G150" t="n">
        <v>0.9</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40692-2024 artfynd.xlsx", "A 40692-2024")</f>
        <v/>
      </c>
      <c r="T150">
        <f>HYPERLINK("https://klasma.github.io/Logging_2380/kartor/A 40692-2024 karta.png", "A 40692-2024")</f>
        <v/>
      </c>
      <c r="V150">
        <f>HYPERLINK("https://klasma.github.io/Logging_2380/klagomål/A 40692-2024 FSC-klagomål.docx", "A 40692-2024")</f>
        <v/>
      </c>
      <c r="W150">
        <f>HYPERLINK("https://klasma.github.io/Logging_2380/klagomålsmail/A 40692-2024 FSC-klagomål mail.docx", "A 40692-2024")</f>
        <v/>
      </c>
      <c r="X150">
        <f>HYPERLINK("https://klasma.github.io/Logging_2380/tillsyn/A 40692-2024 tillsynsbegäran.docx", "A 40692-2024")</f>
        <v/>
      </c>
      <c r="Y150">
        <f>HYPERLINK("https://klasma.github.io/Logging_2380/tillsynsmail/A 40692-2024 tillsynsbegäran mail.docx", "A 40692-2024")</f>
        <v/>
      </c>
    </row>
    <row r="151" ht="15" customHeight="1">
      <c r="A151" t="inlineStr">
        <is>
          <t>A 40696-2024</t>
        </is>
      </c>
      <c r="B151" s="1" t="n">
        <v>45558</v>
      </c>
      <c r="C151" s="1" t="n">
        <v>45579</v>
      </c>
      <c r="D151" t="inlineStr">
        <is>
          <t>JÄMTLANDS LÄN</t>
        </is>
      </c>
      <c r="E151" t="inlineStr">
        <is>
          <t>ÖSTERSUND</t>
        </is>
      </c>
      <c r="F151" t="inlineStr">
        <is>
          <t>SCA</t>
        </is>
      </c>
      <c r="G151" t="n">
        <v>2.7</v>
      </c>
      <c r="H151" t="n">
        <v>0</v>
      </c>
      <c r="I151" t="n">
        <v>0</v>
      </c>
      <c r="J151" t="n">
        <v>1</v>
      </c>
      <c r="K151" t="n">
        <v>0</v>
      </c>
      <c r="L151" t="n">
        <v>0</v>
      </c>
      <c r="M151" t="n">
        <v>0</v>
      </c>
      <c r="N151" t="n">
        <v>0</v>
      </c>
      <c r="O151" t="n">
        <v>1</v>
      </c>
      <c r="P151" t="n">
        <v>0</v>
      </c>
      <c r="Q151" t="n">
        <v>1</v>
      </c>
      <c r="R151" s="2" t="inlineStr">
        <is>
          <t>Lunglav</t>
        </is>
      </c>
      <c r="S151">
        <f>HYPERLINK("https://klasma.github.io/Logging_2380/artfynd/A 40696-2024 artfynd.xlsx", "A 40696-2024")</f>
        <v/>
      </c>
      <c r="T151">
        <f>HYPERLINK("https://klasma.github.io/Logging_2380/kartor/A 40696-2024 karta.png", "A 40696-2024")</f>
        <v/>
      </c>
      <c r="V151">
        <f>HYPERLINK("https://klasma.github.io/Logging_2380/klagomål/A 40696-2024 FSC-klagomål.docx", "A 40696-2024")</f>
        <v/>
      </c>
      <c r="W151">
        <f>HYPERLINK("https://klasma.github.io/Logging_2380/klagomålsmail/A 40696-2024 FSC-klagomål mail.docx", "A 40696-2024")</f>
        <v/>
      </c>
      <c r="X151">
        <f>HYPERLINK("https://klasma.github.io/Logging_2380/tillsyn/A 40696-2024 tillsynsbegäran.docx", "A 40696-2024")</f>
        <v/>
      </c>
      <c r="Y151">
        <f>HYPERLINK("https://klasma.github.io/Logging_2380/tillsynsmail/A 40696-2024 tillsynsbegäran mail.docx", "A 40696-2024")</f>
        <v/>
      </c>
    </row>
    <row r="152" ht="15" customHeight="1">
      <c r="A152" t="inlineStr">
        <is>
          <t>A 41312-2024</t>
        </is>
      </c>
      <c r="B152" s="1" t="n">
        <v>45559</v>
      </c>
      <c r="C152" s="1" t="n">
        <v>45579</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41275-2024</t>
        </is>
      </c>
      <c r="B153" s="1" t="n">
        <v>45559</v>
      </c>
      <c r="C153" s="1" t="n">
        <v>45579</v>
      </c>
      <c r="D153" t="inlineStr">
        <is>
          <t>JÄMTLANDS LÄN</t>
        </is>
      </c>
      <c r="E153" t="inlineStr">
        <is>
          <t>ÖSTERSUND</t>
        </is>
      </c>
      <c r="F153" t="inlineStr">
        <is>
          <t>SCA</t>
        </is>
      </c>
      <c r="G153" t="n">
        <v>3.3</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41275-2024 artfynd.xlsx", "A 41275-2024")</f>
        <v/>
      </c>
      <c r="T153">
        <f>HYPERLINK("https://klasma.github.io/Logging_2380/kartor/A 41275-2024 karta.png", "A 41275-2024")</f>
        <v/>
      </c>
      <c r="V153">
        <f>HYPERLINK("https://klasma.github.io/Logging_2380/klagomål/A 41275-2024 FSC-klagomål.docx", "A 41275-2024")</f>
        <v/>
      </c>
      <c r="W153">
        <f>HYPERLINK("https://klasma.github.io/Logging_2380/klagomålsmail/A 41275-2024 FSC-klagomål mail.docx", "A 41275-2024")</f>
        <v/>
      </c>
      <c r="X153">
        <f>HYPERLINK("https://klasma.github.io/Logging_2380/tillsyn/A 41275-2024 tillsynsbegäran.docx", "A 41275-2024")</f>
        <v/>
      </c>
      <c r="Y153">
        <f>HYPERLINK("https://klasma.github.io/Logging_2380/tillsynsmail/A 41275-2024 tillsynsbegäran mail.docx", "A 41275-2024")</f>
        <v/>
      </c>
    </row>
    <row r="154" ht="15" customHeight="1">
      <c r="A154" t="inlineStr">
        <is>
          <t>A 41279-2024</t>
        </is>
      </c>
      <c r="B154" s="1" t="n">
        <v>45559</v>
      </c>
      <c r="C154" s="1" t="n">
        <v>45579</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41286-2024</t>
        </is>
      </c>
      <c r="B155" s="1" t="n">
        <v>45559</v>
      </c>
      <c r="C155" s="1" t="n">
        <v>45579</v>
      </c>
      <c r="D155" t="inlineStr">
        <is>
          <t>JÄMTLANDS LÄN</t>
        </is>
      </c>
      <c r="E155" t="inlineStr">
        <is>
          <t>ÖSTERSUND</t>
        </is>
      </c>
      <c r="F155" t="inlineStr">
        <is>
          <t>SCA</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HYPERLINK("https://klasma.github.io/Logging_2380/artfynd/A 41286-2024 artfynd.xlsx", "A 41286-2024")</f>
        <v/>
      </c>
      <c r="T155">
        <f>HYPERLINK("https://klasma.github.io/Logging_2380/kartor/A 41286-2024 karta.png", "A 41286-2024")</f>
        <v/>
      </c>
      <c r="V155">
        <f>HYPERLINK("https://klasma.github.io/Logging_2380/klagomål/A 41286-2024 FSC-klagomål.docx", "A 41286-2024")</f>
        <v/>
      </c>
      <c r="W155">
        <f>HYPERLINK("https://klasma.github.io/Logging_2380/klagomålsmail/A 41286-2024 FSC-klagomål mail.docx", "A 41286-2024")</f>
        <v/>
      </c>
      <c r="X155">
        <f>HYPERLINK("https://klasma.github.io/Logging_2380/tillsyn/A 41286-2024 tillsynsbegäran.docx", "A 41286-2024")</f>
        <v/>
      </c>
      <c r="Y155">
        <f>HYPERLINK("https://klasma.github.io/Logging_2380/tillsynsmail/A 41286-2024 tillsynsbegäran mail.docx", "A 41286-2024")</f>
        <v/>
      </c>
    </row>
    <row r="156" ht="15" customHeight="1">
      <c r="A156" t="inlineStr">
        <is>
          <t>A 41755-2024</t>
        </is>
      </c>
      <c r="B156" s="1" t="n">
        <v>45561</v>
      </c>
      <c r="C156" s="1" t="n">
        <v>45579</v>
      </c>
      <c r="D156" t="inlineStr">
        <is>
          <t>JÄMTLANDS LÄN</t>
        </is>
      </c>
      <c r="E156" t="inlineStr">
        <is>
          <t>ÖSTERSUND</t>
        </is>
      </c>
      <c r="F156" t="inlineStr">
        <is>
          <t>SCA</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HYPERLINK("https://klasma.github.io/Logging_2380/artfynd/A 41755-2024 artfynd.xlsx", "A 41755-2024")</f>
        <v/>
      </c>
      <c r="T156">
        <f>HYPERLINK("https://klasma.github.io/Logging_2380/kartor/A 41755-2024 karta.png", "A 41755-2024")</f>
        <v/>
      </c>
      <c r="V156">
        <f>HYPERLINK("https://klasma.github.io/Logging_2380/klagomål/A 41755-2024 FSC-klagomål.docx", "A 41755-2024")</f>
        <v/>
      </c>
      <c r="W156">
        <f>HYPERLINK("https://klasma.github.io/Logging_2380/klagomålsmail/A 41755-2024 FSC-klagomål mail.docx", "A 41755-2024")</f>
        <v/>
      </c>
      <c r="X156">
        <f>HYPERLINK("https://klasma.github.io/Logging_2380/tillsyn/A 41755-2024 tillsynsbegäran.docx", "A 41755-2024")</f>
        <v/>
      </c>
      <c r="Y156">
        <f>HYPERLINK("https://klasma.github.io/Logging_2380/tillsynsmail/A 41755-2024 tillsynsbegäran mail.docx", "A 41755-2024")</f>
        <v/>
      </c>
    </row>
    <row r="157" ht="15" customHeight="1">
      <c r="A157" t="inlineStr">
        <is>
          <t>A 41762-2024</t>
        </is>
      </c>
      <c r="B157" s="1" t="n">
        <v>45561</v>
      </c>
      <c r="C157" s="1" t="n">
        <v>45579</v>
      </c>
      <c r="D157" t="inlineStr">
        <is>
          <t>JÄMTLANDS LÄN</t>
        </is>
      </c>
      <c r="E157" t="inlineStr">
        <is>
          <t>ÖSTERSUND</t>
        </is>
      </c>
      <c r="F157" t="inlineStr">
        <is>
          <t>SCA</t>
        </is>
      </c>
      <c r="G157" t="n">
        <v>5.9</v>
      </c>
      <c r="H157" t="n">
        <v>0</v>
      </c>
      <c r="I157" t="n">
        <v>1</v>
      </c>
      <c r="J157" t="n">
        <v>0</v>
      </c>
      <c r="K157" t="n">
        <v>0</v>
      </c>
      <c r="L157" t="n">
        <v>0</v>
      </c>
      <c r="M157" t="n">
        <v>0</v>
      </c>
      <c r="N157" t="n">
        <v>0</v>
      </c>
      <c r="O157" t="n">
        <v>0</v>
      </c>
      <c r="P157" t="n">
        <v>0</v>
      </c>
      <c r="Q157" t="n">
        <v>1</v>
      </c>
      <c r="R157" s="2" t="inlineStr">
        <is>
          <t>Dropptaggsvamp</t>
        </is>
      </c>
      <c r="S157">
        <f>HYPERLINK("https://klasma.github.io/Logging_2380/artfynd/A 41762-2024 artfynd.xlsx", "A 41762-2024")</f>
        <v/>
      </c>
      <c r="T157">
        <f>HYPERLINK("https://klasma.github.io/Logging_2380/kartor/A 41762-2024 karta.png", "A 41762-2024")</f>
        <v/>
      </c>
      <c r="V157">
        <f>HYPERLINK("https://klasma.github.io/Logging_2380/klagomål/A 41762-2024 FSC-klagomål.docx", "A 41762-2024")</f>
        <v/>
      </c>
      <c r="W157">
        <f>HYPERLINK("https://klasma.github.io/Logging_2380/klagomålsmail/A 41762-2024 FSC-klagomål mail.docx", "A 41762-2024")</f>
        <v/>
      </c>
      <c r="X157">
        <f>HYPERLINK("https://klasma.github.io/Logging_2380/tillsyn/A 41762-2024 tillsynsbegäran.docx", "A 41762-2024")</f>
        <v/>
      </c>
      <c r="Y157">
        <f>HYPERLINK("https://klasma.github.io/Logging_2380/tillsynsmail/A 41762-2024 tillsynsbegäran mail.docx", "A 41762-2024")</f>
        <v/>
      </c>
    </row>
    <row r="158" ht="15" customHeight="1">
      <c r="A158" t="inlineStr">
        <is>
          <t>A 41770-2024</t>
        </is>
      </c>
      <c r="B158" s="1" t="n">
        <v>45561</v>
      </c>
      <c r="C158" s="1" t="n">
        <v>45579</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44049-2024</t>
        </is>
      </c>
      <c r="B159" s="1" t="n">
        <v>45572</v>
      </c>
      <c r="C159" s="1" t="n">
        <v>45579</v>
      </c>
      <c r="D159" t="inlineStr">
        <is>
          <t>JÄMTLANDS LÄN</t>
        </is>
      </c>
      <c r="E159" t="inlineStr">
        <is>
          <t>ÖSTERSUND</t>
        </is>
      </c>
      <c r="F159" t="inlineStr">
        <is>
          <t>SCA</t>
        </is>
      </c>
      <c r="G159" t="n">
        <v>4.5</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44049-2024 artfynd.xlsx", "A 44049-2024")</f>
        <v/>
      </c>
      <c r="T159">
        <f>HYPERLINK("https://klasma.github.io/Logging_2380/kartor/A 44049-2024 karta.png", "A 44049-2024")</f>
        <v/>
      </c>
      <c r="V159">
        <f>HYPERLINK("https://klasma.github.io/Logging_2380/klagomål/A 44049-2024 FSC-klagomål.docx", "A 44049-2024")</f>
        <v/>
      </c>
      <c r="W159">
        <f>HYPERLINK("https://klasma.github.io/Logging_2380/klagomålsmail/A 44049-2024 FSC-klagomål mail.docx", "A 44049-2024")</f>
        <v/>
      </c>
      <c r="X159">
        <f>HYPERLINK("https://klasma.github.io/Logging_2380/tillsyn/A 44049-2024 tillsynsbegäran.docx", "A 44049-2024")</f>
        <v/>
      </c>
      <c r="Y159">
        <f>HYPERLINK("https://klasma.github.io/Logging_2380/tillsynsmail/A 44049-2024 tillsynsbegäran mail.docx", "A 44049-2024")</f>
        <v/>
      </c>
    </row>
    <row r="160" ht="15" customHeight="1">
      <c r="A160" t="inlineStr">
        <is>
          <t>A 44737-2024</t>
        </is>
      </c>
      <c r="B160" s="1" t="n">
        <v>45574</v>
      </c>
      <c r="C160" s="1" t="n">
        <v>45579</v>
      </c>
      <c r="D160" t="inlineStr">
        <is>
          <t>JÄMTLANDS LÄN</t>
        </is>
      </c>
      <c r="E160" t="inlineStr">
        <is>
          <t>ÖSTERSUND</t>
        </is>
      </c>
      <c r="F160" t="inlineStr">
        <is>
          <t>SCA</t>
        </is>
      </c>
      <c r="G160" t="n">
        <v>6.3</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44737-2024 artfynd.xlsx", "A 44737-2024")</f>
        <v/>
      </c>
      <c r="T160">
        <f>HYPERLINK("https://klasma.github.io/Logging_2380/kartor/A 44737-2024 karta.png", "A 44737-2024")</f>
        <v/>
      </c>
      <c r="V160">
        <f>HYPERLINK("https://klasma.github.io/Logging_2380/klagomål/A 44737-2024 FSC-klagomål.docx", "A 44737-2024")</f>
        <v/>
      </c>
      <c r="W160">
        <f>HYPERLINK("https://klasma.github.io/Logging_2380/klagomålsmail/A 44737-2024 FSC-klagomål mail.docx", "A 44737-2024")</f>
        <v/>
      </c>
      <c r="X160">
        <f>HYPERLINK("https://klasma.github.io/Logging_2380/tillsyn/A 44737-2024 tillsynsbegäran.docx", "A 44737-2024")</f>
        <v/>
      </c>
      <c r="Y160">
        <f>HYPERLINK("https://klasma.github.io/Logging_2380/tillsynsmail/A 44737-2024 tillsynsbegäran mail.docx", "A 44737-2024")</f>
        <v/>
      </c>
    </row>
    <row r="161" ht="15" customHeight="1">
      <c r="A161" t="inlineStr">
        <is>
          <t>A 20319-2019</t>
        </is>
      </c>
      <c r="B161" s="1" t="n">
        <v>43571</v>
      </c>
      <c r="C161" s="1" t="n">
        <v>45579</v>
      </c>
      <c r="D161" t="inlineStr">
        <is>
          <t>JÄMTLANDS LÄN</t>
        </is>
      </c>
      <c r="E161" t="inlineStr">
        <is>
          <t>ÖSTERSUND</t>
        </is>
      </c>
      <c r="G161" t="n">
        <v>1.3</v>
      </c>
      <c r="H161" t="n">
        <v>0</v>
      </c>
      <c r="I161" t="n">
        <v>0</v>
      </c>
      <c r="J161" t="n">
        <v>0</v>
      </c>
      <c r="K161" t="n">
        <v>0</v>
      </c>
      <c r="L161" t="n">
        <v>0</v>
      </c>
      <c r="M161" t="n">
        <v>0</v>
      </c>
      <c r="N161" t="n">
        <v>0</v>
      </c>
      <c r="O161" t="n">
        <v>0</v>
      </c>
      <c r="P161" t="n">
        <v>0</v>
      </c>
      <c r="Q161" t="n">
        <v>0</v>
      </c>
      <c r="R161" s="2" t="inlineStr"/>
    </row>
    <row r="162" ht="15" customHeight="1">
      <c r="A162" t="inlineStr">
        <is>
          <t>A 21727-2019</t>
        </is>
      </c>
      <c r="B162" s="1" t="n">
        <v>43581</v>
      </c>
      <c r="C162" s="1" t="n">
        <v>45579</v>
      </c>
      <c r="D162" t="inlineStr">
        <is>
          <t>JÄMTLANDS LÄN</t>
        </is>
      </c>
      <c r="E162" t="inlineStr">
        <is>
          <t>ÖSTERSUND</t>
        </is>
      </c>
      <c r="G162" t="n">
        <v>0.8</v>
      </c>
      <c r="H162" t="n">
        <v>0</v>
      </c>
      <c r="I162" t="n">
        <v>0</v>
      </c>
      <c r="J162" t="n">
        <v>0</v>
      </c>
      <c r="K162" t="n">
        <v>0</v>
      </c>
      <c r="L162" t="n">
        <v>0</v>
      </c>
      <c r="M162" t="n">
        <v>0</v>
      </c>
      <c r="N162" t="n">
        <v>0</v>
      </c>
      <c r="O162" t="n">
        <v>0</v>
      </c>
      <c r="P162" t="n">
        <v>0</v>
      </c>
      <c r="Q162" t="n">
        <v>0</v>
      </c>
      <c r="R162" s="2" t="inlineStr"/>
    </row>
    <row r="163" ht="15" customHeight="1">
      <c r="A163" t="inlineStr">
        <is>
          <t>A 21793-2019</t>
        </is>
      </c>
      <c r="B163" s="1" t="n">
        <v>43581</v>
      </c>
      <c r="C163" s="1" t="n">
        <v>45579</v>
      </c>
      <c r="D163" t="inlineStr">
        <is>
          <t>JÄMTLANDS LÄN</t>
        </is>
      </c>
      <c r="E163" t="inlineStr">
        <is>
          <t>ÖSTERSUND</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22119-2019</t>
        </is>
      </c>
      <c r="B164" s="1" t="n">
        <v>43584</v>
      </c>
      <c r="C164" s="1" t="n">
        <v>45579</v>
      </c>
      <c r="D164" t="inlineStr">
        <is>
          <t>JÄMTLANDS LÄN</t>
        </is>
      </c>
      <c r="E164" t="inlineStr">
        <is>
          <t>ÖSTERSUND</t>
        </is>
      </c>
      <c r="G164" t="n">
        <v>7</v>
      </c>
      <c r="H164" t="n">
        <v>0</v>
      </c>
      <c r="I164" t="n">
        <v>0</v>
      </c>
      <c r="J164" t="n">
        <v>0</v>
      </c>
      <c r="K164" t="n">
        <v>0</v>
      </c>
      <c r="L164" t="n">
        <v>0</v>
      </c>
      <c r="M164" t="n">
        <v>0</v>
      </c>
      <c r="N164" t="n">
        <v>0</v>
      </c>
      <c r="O164" t="n">
        <v>0</v>
      </c>
      <c r="P164" t="n">
        <v>0</v>
      </c>
      <c r="Q164" t="n">
        <v>0</v>
      </c>
      <c r="R164" s="2" t="inlineStr"/>
    </row>
    <row r="165" ht="15" customHeight="1">
      <c r="A165" t="inlineStr">
        <is>
          <t>A 22115-2019</t>
        </is>
      </c>
      <c r="B165" s="1" t="n">
        <v>43584</v>
      </c>
      <c r="C165" s="1" t="n">
        <v>45579</v>
      </c>
      <c r="D165" t="inlineStr">
        <is>
          <t>JÄMTLANDS LÄN</t>
        </is>
      </c>
      <c r="E165" t="inlineStr">
        <is>
          <t>ÖSTERSUND</t>
        </is>
      </c>
      <c r="G165" t="n">
        <v>15.1</v>
      </c>
      <c r="H165" t="n">
        <v>0</v>
      </c>
      <c r="I165" t="n">
        <v>0</v>
      </c>
      <c r="J165" t="n">
        <v>0</v>
      </c>
      <c r="K165" t="n">
        <v>0</v>
      </c>
      <c r="L165" t="n">
        <v>0</v>
      </c>
      <c r="M165" t="n">
        <v>0</v>
      </c>
      <c r="N165" t="n">
        <v>0</v>
      </c>
      <c r="O165" t="n">
        <v>0</v>
      </c>
      <c r="P165" t="n">
        <v>0</v>
      </c>
      <c r="Q165" t="n">
        <v>0</v>
      </c>
      <c r="R165" s="2" t="inlineStr"/>
      <c r="U165">
        <f>HYPERLINK("https://klasma.github.io/Logging_2380/knärot/A 22115-2019 karta knärot.png", "A 22115-2019")</f>
        <v/>
      </c>
      <c r="V165">
        <f>HYPERLINK("https://klasma.github.io/Logging_2380/klagomål/A 22115-2019 FSC-klagomål.docx", "A 22115-2019")</f>
        <v/>
      </c>
      <c r="W165">
        <f>HYPERLINK("https://klasma.github.io/Logging_2380/klagomålsmail/A 22115-2019 FSC-klagomål mail.docx", "A 22115-2019")</f>
        <v/>
      </c>
      <c r="X165">
        <f>HYPERLINK("https://klasma.github.io/Logging_2380/tillsyn/A 22115-2019 tillsynsbegäran.docx", "A 22115-2019")</f>
        <v/>
      </c>
      <c r="Y165">
        <f>HYPERLINK("https://klasma.github.io/Logging_2380/tillsynsmail/A 22115-2019 tillsynsbegäran mail.docx", "A 22115-2019")</f>
        <v/>
      </c>
    </row>
    <row r="166" ht="15" customHeight="1">
      <c r="A166" t="inlineStr">
        <is>
          <t>A 23609-2019</t>
        </is>
      </c>
      <c r="B166" s="1" t="n">
        <v>43594</v>
      </c>
      <c r="C166" s="1" t="n">
        <v>45579</v>
      </c>
      <c r="D166" t="inlineStr">
        <is>
          <t>JÄMTLANDS LÄN</t>
        </is>
      </c>
      <c r="E166" t="inlineStr">
        <is>
          <t>ÖSTERSUND</t>
        </is>
      </c>
      <c r="G166" t="n">
        <v>2.5</v>
      </c>
      <c r="H166" t="n">
        <v>0</v>
      </c>
      <c r="I166" t="n">
        <v>0</v>
      </c>
      <c r="J166" t="n">
        <v>0</v>
      </c>
      <c r="K166" t="n">
        <v>0</v>
      </c>
      <c r="L166" t="n">
        <v>0</v>
      </c>
      <c r="M166" t="n">
        <v>0</v>
      </c>
      <c r="N166" t="n">
        <v>0</v>
      </c>
      <c r="O166" t="n">
        <v>0</v>
      </c>
      <c r="P166" t="n">
        <v>0</v>
      </c>
      <c r="Q166" t="n">
        <v>0</v>
      </c>
      <c r="R166" s="2" t="inlineStr"/>
    </row>
    <row r="167" ht="15" customHeight="1">
      <c r="A167" t="inlineStr">
        <is>
          <t>A 23940-2019</t>
        </is>
      </c>
      <c r="B167" s="1" t="n">
        <v>43595</v>
      </c>
      <c r="C167" s="1" t="n">
        <v>45579</v>
      </c>
      <c r="D167" t="inlineStr">
        <is>
          <t>JÄMTLANDS LÄN</t>
        </is>
      </c>
      <c r="E167" t="inlineStr">
        <is>
          <t>ÖSTERSUND</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25205-2019</t>
        </is>
      </c>
      <c r="B168" s="1" t="n">
        <v>43600</v>
      </c>
      <c r="C168" s="1" t="n">
        <v>45579</v>
      </c>
      <c r="D168" t="inlineStr">
        <is>
          <t>JÄMTLANDS LÄN</t>
        </is>
      </c>
      <c r="E168" t="inlineStr">
        <is>
          <t>ÖSTERSUND</t>
        </is>
      </c>
      <c r="G168" t="n">
        <v>3.8</v>
      </c>
      <c r="H168" t="n">
        <v>0</v>
      </c>
      <c r="I168" t="n">
        <v>0</v>
      </c>
      <c r="J168" t="n">
        <v>0</v>
      </c>
      <c r="K168" t="n">
        <v>0</v>
      </c>
      <c r="L168" t="n">
        <v>0</v>
      </c>
      <c r="M168" t="n">
        <v>0</v>
      </c>
      <c r="N168" t="n">
        <v>0</v>
      </c>
      <c r="O168" t="n">
        <v>0</v>
      </c>
      <c r="P168" t="n">
        <v>0</v>
      </c>
      <c r="Q168" t="n">
        <v>0</v>
      </c>
      <c r="R168" s="2" t="inlineStr"/>
    </row>
    <row r="169" ht="15" customHeight="1">
      <c r="A169" t="inlineStr">
        <is>
          <t>A 28892-2019</t>
        </is>
      </c>
      <c r="B169" s="1" t="n">
        <v>43619</v>
      </c>
      <c r="C169" s="1" t="n">
        <v>45579</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28899-2019</t>
        </is>
      </c>
      <c r="B170" s="1" t="n">
        <v>43619</v>
      </c>
      <c r="C170" s="1" t="n">
        <v>45579</v>
      </c>
      <c r="D170" t="inlineStr">
        <is>
          <t>JÄMTLANDS LÄN</t>
        </is>
      </c>
      <c r="E170" t="inlineStr">
        <is>
          <t>ÖSTERSUND</t>
        </is>
      </c>
      <c r="G170" t="n">
        <v>0.4</v>
      </c>
      <c r="H170" t="n">
        <v>0</v>
      </c>
      <c r="I170" t="n">
        <v>0</v>
      </c>
      <c r="J170" t="n">
        <v>0</v>
      </c>
      <c r="K170" t="n">
        <v>0</v>
      </c>
      <c r="L170" t="n">
        <v>0</v>
      </c>
      <c r="M170" t="n">
        <v>0</v>
      </c>
      <c r="N170" t="n">
        <v>0</v>
      </c>
      <c r="O170" t="n">
        <v>0</v>
      </c>
      <c r="P170" t="n">
        <v>0</v>
      </c>
      <c r="Q170" t="n">
        <v>0</v>
      </c>
      <c r="R170" s="2" t="inlineStr"/>
    </row>
    <row r="171" ht="15" customHeight="1">
      <c r="A171" t="inlineStr">
        <is>
          <t>A 28884-2019</t>
        </is>
      </c>
      <c r="B171" s="1" t="n">
        <v>43619</v>
      </c>
      <c r="C171" s="1" t="n">
        <v>45579</v>
      </c>
      <c r="D171" t="inlineStr">
        <is>
          <t>JÄMTLANDS LÄN</t>
        </is>
      </c>
      <c r="E171" t="inlineStr">
        <is>
          <t>ÖSTERSUND</t>
        </is>
      </c>
      <c r="G171" t="n">
        <v>0.3</v>
      </c>
      <c r="H171" t="n">
        <v>0</v>
      </c>
      <c r="I171" t="n">
        <v>0</v>
      </c>
      <c r="J171" t="n">
        <v>0</v>
      </c>
      <c r="K171" t="n">
        <v>0</v>
      </c>
      <c r="L171" t="n">
        <v>0</v>
      </c>
      <c r="M171" t="n">
        <v>0</v>
      </c>
      <c r="N171" t="n">
        <v>0</v>
      </c>
      <c r="O171" t="n">
        <v>0</v>
      </c>
      <c r="P171" t="n">
        <v>0</v>
      </c>
      <c r="Q171" t="n">
        <v>0</v>
      </c>
      <c r="R171" s="2" t="inlineStr"/>
    </row>
    <row r="172" ht="15" customHeight="1">
      <c r="A172" t="inlineStr">
        <is>
          <t>A 27977-2019</t>
        </is>
      </c>
      <c r="B172" s="1" t="n">
        <v>43620</v>
      </c>
      <c r="C172" s="1" t="n">
        <v>45579</v>
      </c>
      <c r="D172" t="inlineStr">
        <is>
          <t>JÄMTLANDS LÄN</t>
        </is>
      </c>
      <c r="E172" t="inlineStr">
        <is>
          <t>ÖSTERSUND</t>
        </is>
      </c>
      <c r="G172" t="n">
        <v>1</v>
      </c>
      <c r="H172" t="n">
        <v>0</v>
      </c>
      <c r="I172" t="n">
        <v>0</v>
      </c>
      <c r="J172" t="n">
        <v>0</v>
      </c>
      <c r="K172" t="n">
        <v>0</v>
      </c>
      <c r="L172" t="n">
        <v>0</v>
      </c>
      <c r="M172" t="n">
        <v>0</v>
      </c>
      <c r="N172" t="n">
        <v>0</v>
      </c>
      <c r="O172" t="n">
        <v>0</v>
      </c>
      <c r="P172" t="n">
        <v>0</v>
      </c>
      <c r="Q172" t="n">
        <v>0</v>
      </c>
      <c r="R172" s="2" t="inlineStr"/>
    </row>
    <row r="173" ht="15" customHeight="1">
      <c r="A173" t="inlineStr">
        <is>
          <t>A 29058-2019</t>
        </is>
      </c>
      <c r="B173" s="1" t="n">
        <v>43621</v>
      </c>
      <c r="C173" s="1" t="n">
        <v>45579</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31189-2019</t>
        </is>
      </c>
      <c r="B174" s="1" t="n">
        <v>43635</v>
      </c>
      <c r="C174" s="1" t="n">
        <v>45579</v>
      </c>
      <c r="D174" t="inlineStr">
        <is>
          <t>JÄMTLANDS LÄN</t>
        </is>
      </c>
      <c r="E174" t="inlineStr">
        <is>
          <t>ÖSTERSUND</t>
        </is>
      </c>
      <c r="G174" t="n">
        <v>5.5</v>
      </c>
      <c r="H174" t="n">
        <v>0</v>
      </c>
      <c r="I174" t="n">
        <v>0</v>
      </c>
      <c r="J174" t="n">
        <v>0</v>
      </c>
      <c r="K174" t="n">
        <v>0</v>
      </c>
      <c r="L174" t="n">
        <v>0</v>
      </c>
      <c r="M174" t="n">
        <v>0</v>
      </c>
      <c r="N174" t="n">
        <v>0</v>
      </c>
      <c r="O174" t="n">
        <v>0</v>
      </c>
      <c r="P174" t="n">
        <v>0</v>
      </c>
      <c r="Q174" t="n">
        <v>0</v>
      </c>
      <c r="R174" s="2" t="inlineStr"/>
    </row>
    <row r="175" ht="15" customHeight="1">
      <c r="A175" t="inlineStr">
        <is>
          <t>A 30940-2019</t>
        </is>
      </c>
      <c r="B175" s="1" t="n">
        <v>43637</v>
      </c>
      <c r="C175" s="1" t="n">
        <v>45579</v>
      </c>
      <c r="D175" t="inlineStr">
        <is>
          <t>JÄMTLANDS LÄN</t>
        </is>
      </c>
      <c r="E175" t="inlineStr">
        <is>
          <t>ÖSTERSUND</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30946-2019</t>
        </is>
      </c>
      <c r="B176" s="1" t="n">
        <v>43636</v>
      </c>
      <c r="C176" s="1" t="n">
        <v>45579</v>
      </c>
      <c r="D176" t="inlineStr">
        <is>
          <t>JÄMTLANDS LÄN</t>
        </is>
      </c>
      <c r="E176" t="inlineStr">
        <is>
          <t>ÖSTERSUND</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31617-2019</t>
        </is>
      </c>
      <c r="B177" s="1" t="n">
        <v>43640</v>
      </c>
      <c r="C177" s="1" t="n">
        <v>45579</v>
      </c>
      <c r="D177" t="inlineStr">
        <is>
          <t>JÄMTLANDS LÄN</t>
        </is>
      </c>
      <c r="E177" t="inlineStr">
        <is>
          <t>ÖSTERSUND</t>
        </is>
      </c>
      <c r="G177" t="n">
        <v>0.4</v>
      </c>
      <c r="H177" t="n">
        <v>0</v>
      </c>
      <c r="I177" t="n">
        <v>0</v>
      </c>
      <c r="J177" t="n">
        <v>0</v>
      </c>
      <c r="K177" t="n">
        <v>0</v>
      </c>
      <c r="L177" t="n">
        <v>0</v>
      </c>
      <c r="M177" t="n">
        <v>0</v>
      </c>
      <c r="N177" t="n">
        <v>0</v>
      </c>
      <c r="O177" t="n">
        <v>0</v>
      </c>
      <c r="P177" t="n">
        <v>0</v>
      </c>
      <c r="Q177" t="n">
        <v>0</v>
      </c>
      <c r="R177" s="2" t="inlineStr"/>
    </row>
    <row r="178" ht="15" customHeight="1">
      <c r="A178" t="inlineStr">
        <is>
          <t>A 31621-2019</t>
        </is>
      </c>
      <c r="B178" s="1" t="n">
        <v>43640</v>
      </c>
      <c r="C178" s="1" t="n">
        <v>45579</v>
      </c>
      <c r="D178" t="inlineStr">
        <is>
          <t>JÄMTLANDS LÄN</t>
        </is>
      </c>
      <c r="E178" t="inlineStr">
        <is>
          <t>ÖSTERSUND</t>
        </is>
      </c>
      <c r="G178" t="n">
        <v>1.3</v>
      </c>
      <c r="H178" t="n">
        <v>0</v>
      </c>
      <c r="I178" t="n">
        <v>0</v>
      </c>
      <c r="J178" t="n">
        <v>0</v>
      </c>
      <c r="K178" t="n">
        <v>0</v>
      </c>
      <c r="L178" t="n">
        <v>0</v>
      </c>
      <c r="M178" t="n">
        <v>0</v>
      </c>
      <c r="N178" t="n">
        <v>0</v>
      </c>
      <c r="O178" t="n">
        <v>0</v>
      </c>
      <c r="P178" t="n">
        <v>0</v>
      </c>
      <c r="Q178" t="n">
        <v>0</v>
      </c>
      <c r="R178" s="2" t="inlineStr"/>
    </row>
    <row r="179" ht="15" customHeight="1">
      <c r="A179" t="inlineStr">
        <is>
          <t>A 34903-2019</t>
        </is>
      </c>
      <c r="B179" s="1" t="n">
        <v>43650</v>
      </c>
      <c r="C179" s="1" t="n">
        <v>45579</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35500-2019</t>
        </is>
      </c>
      <c r="B180" s="1" t="n">
        <v>43651</v>
      </c>
      <c r="C180" s="1" t="n">
        <v>45579</v>
      </c>
      <c r="D180" t="inlineStr">
        <is>
          <t>JÄMTLANDS LÄN</t>
        </is>
      </c>
      <c r="E180" t="inlineStr">
        <is>
          <t>ÖSTERSUND</t>
        </is>
      </c>
      <c r="F180" t="inlineStr">
        <is>
          <t>SCA</t>
        </is>
      </c>
      <c r="G180" t="n">
        <v>7</v>
      </c>
      <c r="H180" t="n">
        <v>0</v>
      </c>
      <c r="I180" t="n">
        <v>0</v>
      </c>
      <c r="J180" t="n">
        <v>0</v>
      </c>
      <c r="K180" t="n">
        <v>0</v>
      </c>
      <c r="L180" t="n">
        <v>0</v>
      </c>
      <c r="M180" t="n">
        <v>0</v>
      </c>
      <c r="N180" t="n">
        <v>0</v>
      </c>
      <c r="O180" t="n">
        <v>0</v>
      </c>
      <c r="P180" t="n">
        <v>0</v>
      </c>
      <c r="Q180" t="n">
        <v>0</v>
      </c>
      <c r="R180" s="2" t="inlineStr"/>
    </row>
    <row r="181" ht="15" customHeight="1">
      <c r="A181" t="inlineStr">
        <is>
          <t>A 35535-2019</t>
        </is>
      </c>
      <c r="B181" s="1" t="n">
        <v>43654</v>
      </c>
      <c r="C181" s="1" t="n">
        <v>45579</v>
      </c>
      <c r="D181" t="inlineStr">
        <is>
          <t>JÄMTLANDS LÄN</t>
        </is>
      </c>
      <c r="E181" t="inlineStr">
        <is>
          <t>ÖSTERSUND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34109-2019</t>
        </is>
      </c>
      <c r="B182" s="1" t="n">
        <v>43654</v>
      </c>
      <c r="C182" s="1" t="n">
        <v>45579</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34246-2019</t>
        </is>
      </c>
      <c r="B183" s="1" t="n">
        <v>43655</v>
      </c>
      <c r="C183" s="1" t="n">
        <v>45579</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35678-2019</t>
        </is>
      </c>
      <c r="B184" s="1" t="n">
        <v>43656</v>
      </c>
      <c r="C184" s="1" t="n">
        <v>45579</v>
      </c>
      <c r="D184" t="inlineStr">
        <is>
          <t>JÄMTLANDS LÄN</t>
        </is>
      </c>
      <c r="E184" t="inlineStr">
        <is>
          <t>ÖSTERSUND</t>
        </is>
      </c>
      <c r="G184" t="n">
        <v>2.9</v>
      </c>
      <c r="H184" t="n">
        <v>0</v>
      </c>
      <c r="I184" t="n">
        <v>0</v>
      </c>
      <c r="J184" t="n">
        <v>0</v>
      </c>
      <c r="K184" t="n">
        <v>0</v>
      </c>
      <c r="L184" t="n">
        <v>0</v>
      </c>
      <c r="M184" t="n">
        <v>0</v>
      </c>
      <c r="N184" t="n">
        <v>0</v>
      </c>
      <c r="O184" t="n">
        <v>0</v>
      </c>
      <c r="P184" t="n">
        <v>0</v>
      </c>
      <c r="Q184" t="n">
        <v>0</v>
      </c>
      <c r="R184" s="2" t="inlineStr"/>
    </row>
    <row r="185" ht="15" customHeight="1">
      <c r="A185" t="inlineStr">
        <is>
          <t>A 35688-2019</t>
        </is>
      </c>
      <c r="B185" s="1" t="n">
        <v>43656</v>
      </c>
      <c r="C185" s="1" t="n">
        <v>45579</v>
      </c>
      <c r="D185" t="inlineStr">
        <is>
          <t>JÄMTLANDS LÄN</t>
        </is>
      </c>
      <c r="E185" t="inlineStr">
        <is>
          <t>ÖSTERSUND</t>
        </is>
      </c>
      <c r="G185" t="n">
        <v>12.6</v>
      </c>
      <c r="H185" t="n">
        <v>0</v>
      </c>
      <c r="I185" t="n">
        <v>0</v>
      </c>
      <c r="J185" t="n">
        <v>0</v>
      </c>
      <c r="K185" t="n">
        <v>0</v>
      </c>
      <c r="L185" t="n">
        <v>0</v>
      </c>
      <c r="M185" t="n">
        <v>0</v>
      </c>
      <c r="N185" t="n">
        <v>0</v>
      </c>
      <c r="O185" t="n">
        <v>0</v>
      </c>
      <c r="P185" t="n">
        <v>0</v>
      </c>
      <c r="Q185" t="n">
        <v>0</v>
      </c>
      <c r="R185" s="2" t="inlineStr"/>
    </row>
    <row r="186" ht="15" customHeight="1">
      <c r="A186" t="inlineStr">
        <is>
          <t>A 36003-2019</t>
        </is>
      </c>
      <c r="B186" s="1" t="n">
        <v>43657</v>
      </c>
      <c r="C186" s="1" t="n">
        <v>45579</v>
      </c>
      <c r="D186" t="inlineStr">
        <is>
          <t>JÄMTLANDS LÄN</t>
        </is>
      </c>
      <c r="E186" t="inlineStr">
        <is>
          <t>ÖSTERSUND</t>
        </is>
      </c>
      <c r="G186" t="n">
        <v>1</v>
      </c>
      <c r="H186" t="n">
        <v>0</v>
      </c>
      <c r="I186" t="n">
        <v>0</v>
      </c>
      <c r="J186" t="n">
        <v>0</v>
      </c>
      <c r="K186" t="n">
        <v>0</v>
      </c>
      <c r="L186" t="n">
        <v>0</v>
      </c>
      <c r="M186" t="n">
        <v>0</v>
      </c>
      <c r="N186" t="n">
        <v>0</v>
      </c>
      <c r="O186" t="n">
        <v>0</v>
      </c>
      <c r="P186" t="n">
        <v>0</v>
      </c>
      <c r="Q186" t="n">
        <v>0</v>
      </c>
      <c r="R186" s="2" t="inlineStr"/>
    </row>
    <row r="187" ht="15" customHeight="1">
      <c r="A187" t="inlineStr">
        <is>
          <t>A 36652-2019</t>
        </is>
      </c>
      <c r="B187" s="1" t="n">
        <v>43670</v>
      </c>
      <c r="C187" s="1" t="n">
        <v>45579</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37222-2019</t>
        </is>
      </c>
      <c r="B188" s="1" t="n">
        <v>43676</v>
      </c>
      <c r="C188" s="1" t="n">
        <v>45579</v>
      </c>
      <c r="D188" t="inlineStr">
        <is>
          <t>JÄMTLANDS LÄN</t>
        </is>
      </c>
      <c r="E188" t="inlineStr">
        <is>
          <t>ÖSTERSUND</t>
        </is>
      </c>
      <c r="G188" t="n">
        <v>2.4</v>
      </c>
      <c r="H188" t="n">
        <v>0</v>
      </c>
      <c r="I188" t="n">
        <v>0</v>
      </c>
      <c r="J188" t="n">
        <v>0</v>
      </c>
      <c r="K188" t="n">
        <v>0</v>
      </c>
      <c r="L188" t="n">
        <v>0</v>
      </c>
      <c r="M188" t="n">
        <v>0</v>
      </c>
      <c r="N188" t="n">
        <v>0</v>
      </c>
      <c r="O188" t="n">
        <v>0</v>
      </c>
      <c r="P188" t="n">
        <v>0</v>
      </c>
      <c r="Q188" t="n">
        <v>0</v>
      </c>
      <c r="R188" s="2" t="inlineStr"/>
    </row>
    <row r="189" ht="15" customHeight="1">
      <c r="A189" t="inlineStr">
        <is>
          <t>A 38662-2019</t>
        </is>
      </c>
      <c r="B189" s="1" t="n">
        <v>43684</v>
      </c>
      <c r="C189" s="1" t="n">
        <v>45579</v>
      </c>
      <c r="D189" t="inlineStr">
        <is>
          <t>JÄMTLANDS LÄN</t>
        </is>
      </c>
      <c r="E189" t="inlineStr">
        <is>
          <t>ÖSTERSUND</t>
        </is>
      </c>
      <c r="G189" t="n">
        <v>2.2</v>
      </c>
      <c r="H189" t="n">
        <v>0</v>
      </c>
      <c r="I189" t="n">
        <v>0</v>
      </c>
      <c r="J189" t="n">
        <v>0</v>
      </c>
      <c r="K189" t="n">
        <v>0</v>
      </c>
      <c r="L189" t="n">
        <v>0</v>
      </c>
      <c r="M189" t="n">
        <v>0</v>
      </c>
      <c r="N189" t="n">
        <v>0</v>
      </c>
      <c r="O189" t="n">
        <v>0</v>
      </c>
      <c r="P189" t="n">
        <v>0</v>
      </c>
      <c r="Q189" t="n">
        <v>0</v>
      </c>
      <c r="R189" s="2" t="inlineStr"/>
    </row>
    <row r="190" ht="15" customHeight="1">
      <c r="A190" t="inlineStr">
        <is>
          <t>A 39459-2019</t>
        </is>
      </c>
      <c r="B190" s="1" t="n">
        <v>43686</v>
      </c>
      <c r="C190" s="1" t="n">
        <v>45579</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40530-2019</t>
        </is>
      </c>
      <c r="B191" s="1" t="n">
        <v>43696</v>
      </c>
      <c r="C191" s="1" t="n">
        <v>45579</v>
      </c>
      <c r="D191" t="inlineStr">
        <is>
          <t>JÄMTLANDS LÄN</t>
        </is>
      </c>
      <c r="E191" t="inlineStr">
        <is>
          <t>ÖSTERSUND</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41364-2019</t>
        </is>
      </c>
      <c r="B192" s="1" t="n">
        <v>43696</v>
      </c>
      <c r="C192" s="1" t="n">
        <v>45579</v>
      </c>
      <c r="D192" t="inlineStr">
        <is>
          <t>JÄMTLANDS LÄN</t>
        </is>
      </c>
      <c r="E192" t="inlineStr">
        <is>
          <t>ÖSTERSUND</t>
        </is>
      </c>
      <c r="G192" t="n">
        <v>1.2</v>
      </c>
      <c r="H192" t="n">
        <v>0</v>
      </c>
      <c r="I192" t="n">
        <v>0</v>
      </c>
      <c r="J192" t="n">
        <v>0</v>
      </c>
      <c r="K192" t="n">
        <v>0</v>
      </c>
      <c r="L192" t="n">
        <v>0</v>
      </c>
      <c r="M192" t="n">
        <v>0</v>
      </c>
      <c r="N192" t="n">
        <v>0</v>
      </c>
      <c r="O192" t="n">
        <v>0</v>
      </c>
      <c r="P192" t="n">
        <v>0</v>
      </c>
      <c r="Q192" t="n">
        <v>0</v>
      </c>
      <c r="R192" s="2" t="inlineStr"/>
    </row>
    <row r="193" ht="15" customHeight="1">
      <c r="A193" t="inlineStr">
        <is>
          <t>A 40531-2019</t>
        </is>
      </c>
      <c r="B193" s="1" t="n">
        <v>43696</v>
      </c>
      <c r="C193" s="1" t="n">
        <v>45579</v>
      </c>
      <c r="D193" t="inlineStr">
        <is>
          <t>JÄMTLANDS LÄN</t>
        </is>
      </c>
      <c r="E193" t="inlineStr">
        <is>
          <t>ÖSTERSUND</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41556-2019</t>
        </is>
      </c>
      <c r="B194" s="1" t="n">
        <v>43696</v>
      </c>
      <c r="C194" s="1" t="n">
        <v>45579</v>
      </c>
      <c r="D194" t="inlineStr">
        <is>
          <t>JÄMTLANDS LÄN</t>
        </is>
      </c>
      <c r="E194" t="inlineStr">
        <is>
          <t>ÖSTERSUND</t>
        </is>
      </c>
      <c r="F194" t="inlineStr">
        <is>
          <t>SCA</t>
        </is>
      </c>
      <c r="G194" t="n">
        <v>0.7</v>
      </c>
      <c r="H194" t="n">
        <v>0</v>
      </c>
      <c r="I194" t="n">
        <v>0</v>
      </c>
      <c r="J194" t="n">
        <v>0</v>
      </c>
      <c r="K194" t="n">
        <v>0</v>
      </c>
      <c r="L194" t="n">
        <v>0</v>
      </c>
      <c r="M194" t="n">
        <v>0</v>
      </c>
      <c r="N194" t="n">
        <v>0</v>
      </c>
      <c r="O194" t="n">
        <v>0</v>
      </c>
      <c r="P194" t="n">
        <v>0</v>
      </c>
      <c r="Q194" t="n">
        <v>0</v>
      </c>
      <c r="R194" s="2" t="inlineStr"/>
    </row>
    <row r="195" ht="15" customHeight="1">
      <c r="A195" t="inlineStr">
        <is>
          <t>A 41588-2019</t>
        </is>
      </c>
      <c r="B195" s="1" t="n">
        <v>43699</v>
      </c>
      <c r="C195" s="1" t="n">
        <v>45579</v>
      </c>
      <c r="D195" t="inlineStr">
        <is>
          <t>JÄMTLANDS LÄN</t>
        </is>
      </c>
      <c r="E195" t="inlineStr">
        <is>
          <t>ÖSTERSUND</t>
        </is>
      </c>
      <c r="G195" t="n">
        <v>26.7</v>
      </c>
      <c r="H195" t="n">
        <v>0</v>
      </c>
      <c r="I195" t="n">
        <v>0</v>
      </c>
      <c r="J195" t="n">
        <v>0</v>
      </c>
      <c r="K195" t="n">
        <v>0</v>
      </c>
      <c r="L195" t="n">
        <v>0</v>
      </c>
      <c r="M195" t="n">
        <v>0</v>
      </c>
      <c r="N195" t="n">
        <v>0</v>
      </c>
      <c r="O195" t="n">
        <v>0</v>
      </c>
      <c r="P195" t="n">
        <v>0</v>
      </c>
      <c r="Q195" t="n">
        <v>0</v>
      </c>
      <c r="R195" s="2" t="inlineStr"/>
    </row>
    <row r="196" ht="15" customHeight="1">
      <c r="A196" t="inlineStr">
        <is>
          <t>A 43249-2019</t>
        </is>
      </c>
      <c r="B196" s="1" t="n">
        <v>43703</v>
      </c>
      <c r="C196" s="1" t="n">
        <v>45579</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43425-2019</t>
        </is>
      </c>
      <c r="B197" s="1" t="n">
        <v>43703</v>
      </c>
      <c r="C197" s="1" t="n">
        <v>45579</v>
      </c>
      <c r="D197" t="inlineStr">
        <is>
          <t>JÄMTLANDS LÄN</t>
        </is>
      </c>
      <c r="E197" t="inlineStr">
        <is>
          <t>ÖSTERSUND</t>
        </is>
      </c>
      <c r="G197" t="n">
        <v>2.4</v>
      </c>
      <c r="H197" t="n">
        <v>0</v>
      </c>
      <c r="I197" t="n">
        <v>0</v>
      </c>
      <c r="J197" t="n">
        <v>0</v>
      </c>
      <c r="K197" t="n">
        <v>0</v>
      </c>
      <c r="L197" t="n">
        <v>0</v>
      </c>
      <c r="M197" t="n">
        <v>0</v>
      </c>
      <c r="N197" t="n">
        <v>0</v>
      </c>
      <c r="O197" t="n">
        <v>0</v>
      </c>
      <c r="P197" t="n">
        <v>0</v>
      </c>
      <c r="Q197" t="n">
        <v>0</v>
      </c>
      <c r="R197" s="2" t="inlineStr"/>
    </row>
    <row r="198" ht="15" customHeight="1">
      <c r="A198" t="inlineStr">
        <is>
          <t>A 46346-2019</t>
        </is>
      </c>
      <c r="B198" s="1" t="n">
        <v>43718</v>
      </c>
      <c r="C198" s="1" t="n">
        <v>45579</v>
      </c>
      <c r="D198" t="inlineStr">
        <is>
          <t>JÄMTLANDS LÄN</t>
        </is>
      </c>
      <c r="E198" t="inlineStr">
        <is>
          <t>ÖSTERSUND</t>
        </is>
      </c>
      <c r="F198" t="inlineStr">
        <is>
          <t>SCA</t>
        </is>
      </c>
      <c r="G198" t="n">
        <v>6.5</v>
      </c>
      <c r="H198" t="n">
        <v>0</v>
      </c>
      <c r="I198" t="n">
        <v>0</v>
      </c>
      <c r="J198" t="n">
        <v>0</v>
      </c>
      <c r="K198" t="n">
        <v>0</v>
      </c>
      <c r="L198" t="n">
        <v>0</v>
      </c>
      <c r="M198" t="n">
        <v>0</v>
      </c>
      <c r="N198" t="n">
        <v>0</v>
      </c>
      <c r="O198" t="n">
        <v>0</v>
      </c>
      <c r="P198" t="n">
        <v>0</v>
      </c>
      <c r="Q198" t="n">
        <v>0</v>
      </c>
      <c r="R198" s="2" t="inlineStr"/>
    </row>
    <row r="199" ht="15" customHeight="1">
      <c r="A199" t="inlineStr">
        <is>
          <t>A 47810-2019</t>
        </is>
      </c>
      <c r="B199" s="1" t="n">
        <v>43724</v>
      </c>
      <c r="C199" s="1" t="n">
        <v>45579</v>
      </c>
      <c r="D199" t="inlineStr">
        <is>
          <t>JÄMTLANDS LÄN</t>
        </is>
      </c>
      <c r="E199" t="inlineStr">
        <is>
          <t>ÖSTERSUND</t>
        </is>
      </c>
      <c r="F199" t="inlineStr">
        <is>
          <t>SCA</t>
        </is>
      </c>
      <c r="G199" t="n">
        <v>0.5</v>
      </c>
      <c r="H199" t="n">
        <v>0</v>
      </c>
      <c r="I199" t="n">
        <v>0</v>
      </c>
      <c r="J199" t="n">
        <v>0</v>
      </c>
      <c r="K199" t="n">
        <v>0</v>
      </c>
      <c r="L199" t="n">
        <v>0</v>
      </c>
      <c r="M199" t="n">
        <v>0</v>
      </c>
      <c r="N199" t="n">
        <v>0</v>
      </c>
      <c r="O199" t="n">
        <v>0</v>
      </c>
      <c r="P199" t="n">
        <v>0</v>
      </c>
      <c r="Q199" t="n">
        <v>0</v>
      </c>
      <c r="R199" s="2" t="inlineStr"/>
    </row>
    <row r="200" ht="15" customHeight="1">
      <c r="A200" t="inlineStr">
        <is>
          <t>A 48115-2019</t>
        </is>
      </c>
      <c r="B200" s="1" t="n">
        <v>43725</v>
      </c>
      <c r="C200" s="1" t="n">
        <v>45579</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48680-2019</t>
        </is>
      </c>
      <c r="B201" s="1" t="n">
        <v>43727</v>
      </c>
      <c r="C201" s="1" t="n">
        <v>45579</v>
      </c>
      <c r="D201" t="inlineStr">
        <is>
          <t>JÄMTLANDS LÄN</t>
        </is>
      </c>
      <c r="E201" t="inlineStr">
        <is>
          <t>ÖSTERSUND</t>
        </is>
      </c>
      <c r="G201" t="n">
        <v>3</v>
      </c>
      <c r="H201" t="n">
        <v>0</v>
      </c>
      <c r="I201" t="n">
        <v>0</v>
      </c>
      <c r="J201" t="n">
        <v>0</v>
      </c>
      <c r="K201" t="n">
        <v>0</v>
      </c>
      <c r="L201" t="n">
        <v>0</v>
      </c>
      <c r="M201" t="n">
        <v>0</v>
      </c>
      <c r="N201" t="n">
        <v>0</v>
      </c>
      <c r="O201" t="n">
        <v>0</v>
      </c>
      <c r="P201" t="n">
        <v>0</v>
      </c>
      <c r="Q201" t="n">
        <v>0</v>
      </c>
      <c r="R201" s="2" t="inlineStr"/>
    </row>
    <row r="202" ht="15" customHeight="1">
      <c r="A202" t="inlineStr">
        <is>
          <t>A 49629-2019</t>
        </is>
      </c>
      <c r="B202" s="1" t="n">
        <v>43732</v>
      </c>
      <c r="C202" s="1" t="n">
        <v>45579</v>
      </c>
      <c r="D202" t="inlineStr">
        <is>
          <t>JÄMTLANDS LÄN</t>
        </is>
      </c>
      <c r="E202" t="inlineStr">
        <is>
          <t>ÖSTERSUND</t>
        </is>
      </c>
      <c r="F202" t="inlineStr">
        <is>
          <t>Övriga Aktiebolag</t>
        </is>
      </c>
      <c r="G202" t="n">
        <v>2.1</v>
      </c>
      <c r="H202" t="n">
        <v>0</v>
      </c>
      <c r="I202" t="n">
        <v>0</v>
      </c>
      <c r="J202" t="n">
        <v>0</v>
      </c>
      <c r="K202" t="n">
        <v>0</v>
      </c>
      <c r="L202" t="n">
        <v>0</v>
      </c>
      <c r="M202" t="n">
        <v>0</v>
      </c>
      <c r="N202" t="n">
        <v>0</v>
      </c>
      <c r="O202" t="n">
        <v>0</v>
      </c>
      <c r="P202" t="n">
        <v>0</v>
      </c>
      <c r="Q202" t="n">
        <v>0</v>
      </c>
      <c r="R202" s="2" t="inlineStr"/>
    </row>
    <row r="203" ht="15" customHeight="1">
      <c r="A203" t="inlineStr">
        <is>
          <t>A 51347-2019</t>
        </is>
      </c>
      <c r="B203" s="1" t="n">
        <v>43732</v>
      </c>
      <c r="C203" s="1" t="n">
        <v>45579</v>
      </c>
      <c r="D203" t="inlineStr">
        <is>
          <t>JÄMTLANDS LÄN</t>
        </is>
      </c>
      <c r="E203" t="inlineStr">
        <is>
          <t>ÖSTERSUND</t>
        </is>
      </c>
      <c r="G203" t="n">
        <v>3.8</v>
      </c>
      <c r="H203" t="n">
        <v>0</v>
      </c>
      <c r="I203" t="n">
        <v>0</v>
      </c>
      <c r="J203" t="n">
        <v>0</v>
      </c>
      <c r="K203" t="n">
        <v>0</v>
      </c>
      <c r="L203" t="n">
        <v>0</v>
      </c>
      <c r="M203" t="n">
        <v>0</v>
      </c>
      <c r="N203" t="n">
        <v>0</v>
      </c>
      <c r="O203" t="n">
        <v>0</v>
      </c>
      <c r="P203" t="n">
        <v>0</v>
      </c>
      <c r="Q203" t="n">
        <v>0</v>
      </c>
      <c r="R203" s="2" t="inlineStr"/>
    </row>
    <row r="204" ht="15" customHeight="1">
      <c r="A204" t="inlineStr">
        <is>
          <t>A 49997-2019</t>
        </is>
      </c>
      <c r="B204" s="1" t="n">
        <v>43733</v>
      </c>
      <c r="C204" s="1" t="n">
        <v>45579</v>
      </c>
      <c r="D204" t="inlineStr">
        <is>
          <t>JÄMTLANDS LÄN</t>
        </is>
      </c>
      <c r="E204" t="inlineStr">
        <is>
          <t>ÖSTERSUND</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50316-2019</t>
        </is>
      </c>
      <c r="B205" s="1" t="n">
        <v>43735</v>
      </c>
      <c r="C205" s="1" t="n">
        <v>45579</v>
      </c>
      <c r="D205" t="inlineStr">
        <is>
          <t>JÄMTLANDS LÄN</t>
        </is>
      </c>
      <c r="E205" t="inlineStr">
        <is>
          <t>ÖSTERSUND</t>
        </is>
      </c>
      <c r="G205" t="n">
        <v>9.5</v>
      </c>
      <c r="H205" t="n">
        <v>0</v>
      </c>
      <c r="I205" t="n">
        <v>0</v>
      </c>
      <c r="J205" t="n">
        <v>0</v>
      </c>
      <c r="K205" t="n">
        <v>0</v>
      </c>
      <c r="L205" t="n">
        <v>0</v>
      </c>
      <c r="M205" t="n">
        <v>0</v>
      </c>
      <c r="N205" t="n">
        <v>0</v>
      </c>
      <c r="O205" t="n">
        <v>0</v>
      </c>
      <c r="P205" t="n">
        <v>0</v>
      </c>
      <c r="Q205" t="n">
        <v>0</v>
      </c>
      <c r="R205" s="2" t="inlineStr"/>
    </row>
    <row r="206" ht="15" customHeight="1">
      <c r="A206" t="inlineStr">
        <is>
          <t>A 50779-2019</t>
        </is>
      </c>
      <c r="B206" s="1" t="n">
        <v>43738</v>
      </c>
      <c r="C206" s="1" t="n">
        <v>45579</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50968-2019</t>
        </is>
      </c>
      <c r="B207" s="1" t="n">
        <v>43738</v>
      </c>
      <c r="C207" s="1" t="n">
        <v>45579</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54498-2019</t>
        </is>
      </c>
      <c r="B208" s="1" t="n">
        <v>43747</v>
      </c>
      <c r="C208" s="1" t="n">
        <v>45579</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53297-2019</t>
        </is>
      </c>
      <c r="B209" s="1" t="n">
        <v>43748</v>
      </c>
      <c r="C209" s="1" t="n">
        <v>45579</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53533-2019</t>
        </is>
      </c>
      <c r="B210" s="1" t="n">
        <v>43749</v>
      </c>
      <c r="C210" s="1" t="n">
        <v>45579</v>
      </c>
      <c r="D210" t="inlineStr">
        <is>
          <t>JÄMTLANDS LÄN</t>
        </is>
      </c>
      <c r="E210" t="inlineStr">
        <is>
          <t>ÖSTERSUND</t>
        </is>
      </c>
      <c r="G210" t="n">
        <v>0.2</v>
      </c>
      <c r="H210" t="n">
        <v>0</v>
      </c>
      <c r="I210" t="n">
        <v>0</v>
      </c>
      <c r="J210" t="n">
        <v>0</v>
      </c>
      <c r="K210" t="n">
        <v>0</v>
      </c>
      <c r="L210" t="n">
        <v>0</v>
      </c>
      <c r="M210" t="n">
        <v>0</v>
      </c>
      <c r="N210" t="n">
        <v>0</v>
      </c>
      <c r="O210" t="n">
        <v>0</v>
      </c>
      <c r="P210" t="n">
        <v>0</v>
      </c>
      <c r="Q210" t="n">
        <v>0</v>
      </c>
      <c r="R210" s="2" t="inlineStr"/>
    </row>
    <row r="211" ht="15" customHeight="1">
      <c r="A211" t="inlineStr">
        <is>
          <t>A 53859-2019</t>
        </is>
      </c>
      <c r="B211" s="1" t="n">
        <v>43752</v>
      </c>
      <c r="C211" s="1" t="n">
        <v>45579</v>
      </c>
      <c r="D211" t="inlineStr">
        <is>
          <t>JÄMTLANDS LÄN</t>
        </is>
      </c>
      <c r="E211" t="inlineStr">
        <is>
          <t>ÖSTERSUND</t>
        </is>
      </c>
      <c r="F211" t="inlineStr">
        <is>
          <t>Övriga Aktiebolag</t>
        </is>
      </c>
      <c r="G211" t="n">
        <v>4.3</v>
      </c>
      <c r="H211" t="n">
        <v>0</v>
      </c>
      <c r="I211" t="n">
        <v>0</v>
      </c>
      <c r="J211" t="n">
        <v>0</v>
      </c>
      <c r="K211" t="n">
        <v>0</v>
      </c>
      <c r="L211" t="n">
        <v>0</v>
      </c>
      <c r="M211" t="n">
        <v>0</v>
      </c>
      <c r="N211" t="n">
        <v>0</v>
      </c>
      <c r="O211" t="n">
        <v>0</v>
      </c>
      <c r="P211" t="n">
        <v>0</v>
      </c>
      <c r="Q211" t="n">
        <v>0</v>
      </c>
      <c r="R211" s="2" t="inlineStr"/>
    </row>
    <row r="212" ht="15" customHeight="1">
      <c r="A212" t="inlineStr">
        <is>
          <t>A 57466-2019</t>
        </is>
      </c>
      <c r="B212" s="1" t="n">
        <v>43761</v>
      </c>
      <c r="C212" s="1" t="n">
        <v>45579</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56512-2019</t>
        </is>
      </c>
      <c r="B213" s="1" t="n">
        <v>43762</v>
      </c>
      <c r="C213" s="1" t="n">
        <v>45579</v>
      </c>
      <c r="D213" t="inlineStr">
        <is>
          <t>JÄMTLANDS LÄN</t>
        </is>
      </c>
      <c r="E213" t="inlineStr">
        <is>
          <t>ÖSTERSUND</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57845-2019</t>
        </is>
      </c>
      <c r="B214" s="1" t="n">
        <v>43768</v>
      </c>
      <c r="C214" s="1" t="n">
        <v>45579</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58216-2019</t>
        </is>
      </c>
      <c r="B215" s="1" t="n">
        <v>43770</v>
      </c>
      <c r="C215" s="1" t="n">
        <v>45579</v>
      </c>
      <c r="D215" t="inlineStr">
        <is>
          <t>JÄMTLANDS LÄN</t>
        </is>
      </c>
      <c r="E215" t="inlineStr">
        <is>
          <t>ÖSTERSUND</t>
        </is>
      </c>
      <c r="G215" t="n">
        <v>2.4</v>
      </c>
      <c r="H215" t="n">
        <v>0</v>
      </c>
      <c r="I215" t="n">
        <v>0</v>
      </c>
      <c r="J215" t="n">
        <v>0</v>
      </c>
      <c r="K215" t="n">
        <v>0</v>
      </c>
      <c r="L215" t="n">
        <v>0</v>
      </c>
      <c r="M215" t="n">
        <v>0</v>
      </c>
      <c r="N215" t="n">
        <v>0</v>
      </c>
      <c r="O215" t="n">
        <v>0</v>
      </c>
      <c r="P215" t="n">
        <v>0</v>
      </c>
      <c r="Q215" t="n">
        <v>0</v>
      </c>
      <c r="R215" s="2" t="inlineStr"/>
    </row>
    <row r="216" ht="15" customHeight="1">
      <c r="A216" t="inlineStr">
        <is>
          <t>A 58210-2019</t>
        </is>
      </c>
      <c r="B216" s="1" t="n">
        <v>43770</v>
      </c>
      <c r="C216" s="1" t="n">
        <v>45579</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59437-2019</t>
        </is>
      </c>
      <c r="B217" s="1" t="n">
        <v>43773</v>
      </c>
      <c r="C217" s="1" t="n">
        <v>45579</v>
      </c>
      <c r="D217" t="inlineStr">
        <is>
          <t>JÄMTLANDS LÄN</t>
        </is>
      </c>
      <c r="E217" t="inlineStr">
        <is>
          <t>ÖSTERSUND</t>
        </is>
      </c>
      <c r="G217" t="n">
        <v>6.2</v>
      </c>
      <c r="H217" t="n">
        <v>0</v>
      </c>
      <c r="I217" t="n">
        <v>0</v>
      </c>
      <c r="J217" t="n">
        <v>0</v>
      </c>
      <c r="K217" t="n">
        <v>0</v>
      </c>
      <c r="L217" t="n">
        <v>0</v>
      </c>
      <c r="M217" t="n">
        <v>0</v>
      </c>
      <c r="N217" t="n">
        <v>0</v>
      </c>
      <c r="O217" t="n">
        <v>0</v>
      </c>
      <c r="P217" t="n">
        <v>0</v>
      </c>
      <c r="Q217" t="n">
        <v>0</v>
      </c>
      <c r="R217" s="2" t="inlineStr"/>
    </row>
    <row r="218" ht="15" customHeight="1">
      <c r="A218" t="inlineStr">
        <is>
          <t>A 60240-2019</t>
        </is>
      </c>
      <c r="B218" s="1" t="n">
        <v>43776</v>
      </c>
      <c r="C218" s="1" t="n">
        <v>45579</v>
      </c>
      <c r="D218" t="inlineStr">
        <is>
          <t>JÄMTLANDS LÄN</t>
        </is>
      </c>
      <c r="E218" t="inlineStr">
        <is>
          <t>ÖSTERSUND</t>
        </is>
      </c>
      <c r="G218" t="n">
        <v>3.9</v>
      </c>
      <c r="H218" t="n">
        <v>0</v>
      </c>
      <c r="I218" t="n">
        <v>0</v>
      </c>
      <c r="J218" t="n">
        <v>0</v>
      </c>
      <c r="K218" t="n">
        <v>0</v>
      </c>
      <c r="L218" t="n">
        <v>0</v>
      </c>
      <c r="M218" t="n">
        <v>0</v>
      </c>
      <c r="N218" t="n">
        <v>0</v>
      </c>
      <c r="O218" t="n">
        <v>0</v>
      </c>
      <c r="P218" t="n">
        <v>0</v>
      </c>
      <c r="Q218" t="n">
        <v>0</v>
      </c>
      <c r="R218" s="2" t="inlineStr"/>
    </row>
    <row r="219" ht="15" customHeight="1">
      <c r="A219" t="inlineStr">
        <is>
          <t>A 60001-2019</t>
        </is>
      </c>
      <c r="B219" s="1" t="n">
        <v>43777</v>
      </c>
      <c r="C219" s="1" t="n">
        <v>45579</v>
      </c>
      <c r="D219" t="inlineStr">
        <is>
          <t>JÄMTLANDS LÄN</t>
        </is>
      </c>
      <c r="E219" t="inlineStr">
        <is>
          <t>ÖSTERSUND</t>
        </is>
      </c>
      <c r="G219" t="n">
        <v>3.2</v>
      </c>
      <c r="H219" t="n">
        <v>0</v>
      </c>
      <c r="I219" t="n">
        <v>0</v>
      </c>
      <c r="J219" t="n">
        <v>0</v>
      </c>
      <c r="K219" t="n">
        <v>0</v>
      </c>
      <c r="L219" t="n">
        <v>0</v>
      </c>
      <c r="M219" t="n">
        <v>0</v>
      </c>
      <c r="N219" t="n">
        <v>0</v>
      </c>
      <c r="O219" t="n">
        <v>0</v>
      </c>
      <c r="P219" t="n">
        <v>0</v>
      </c>
      <c r="Q219" t="n">
        <v>0</v>
      </c>
      <c r="R219" s="2" t="inlineStr"/>
    </row>
    <row r="220" ht="15" customHeight="1">
      <c r="A220" t="inlineStr">
        <is>
          <t>A 60669-2019</t>
        </is>
      </c>
      <c r="B220" s="1" t="n">
        <v>43781</v>
      </c>
      <c r="C220" s="1" t="n">
        <v>45579</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60604-2019</t>
        </is>
      </c>
      <c r="B221" s="1" t="n">
        <v>43781</v>
      </c>
      <c r="C221" s="1" t="n">
        <v>45579</v>
      </c>
      <c r="D221" t="inlineStr">
        <is>
          <t>JÄMTLANDS LÄN</t>
        </is>
      </c>
      <c r="E221" t="inlineStr">
        <is>
          <t>ÖSTERSUND</t>
        </is>
      </c>
      <c r="G221" t="n">
        <v>8.9</v>
      </c>
      <c r="H221" t="n">
        <v>0</v>
      </c>
      <c r="I221" t="n">
        <v>0</v>
      </c>
      <c r="J221" t="n">
        <v>0</v>
      </c>
      <c r="K221" t="n">
        <v>0</v>
      </c>
      <c r="L221" t="n">
        <v>0</v>
      </c>
      <c r="M221" t="n">
        <v>0</v>
      </c>
      <c r="N221" t="n">
        <v>0</v>
      </c>
      <c r="O221" t="n">
        <v>0</v>
      </c>
      <c r="P221" t="n">
        <v>0</v>
      </c>
      <c r="Q221" t="n">
        <v>0</v>
      </c>
      <c r="R221" s="2" t="inlineStr"/>
    </row>
    <row r="222" ht="15" customHeight="1">
      <c r="A222" t="inlineStr">
        <is>
          <t>A 62234-2019</t>
        </is>
      </c>
      <c r="B222" s="1" t="n">
        <v>43784</v>
      </c>
      <c r="C222" s="1" t="n">
        <v>45579</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62136-2019</t>
        </is>
      </c>
      <c r="B223" s="1" t="n">
        <v>43787</v>
      </c>
      <c r="C223" s="1" t="n">
        <v>45579</v>
      </c>
      <c r="D223" t="inlineStr">
        <is>
          <t>JÄMTLANDS LÄN</t>
        </is>
      </c>
      <c r="E223" t="inlineStr">
        <is>
          <t>ÖSTERSUND</t>
        </is>
      </c>
      <c r="F223" t="inlineStr">
        <is>
          <t>Övriga Aktiebolag</t>
        </is>
      </c>
      <c r="G223" t="n">
        <v>35.2</v>
      </c>
      <c r="H223" t="n">
        <v>0</v>
      </c>
      <c r="I223" t="n">
        <v>0</v>
      </c>
      <c r="J223" t="n">
        <v>0</v>
      </c>
      <c r="K223" t="n">
        <v>0</v>
      </c>
      <c r="L223" t="n">
        <v>0</v>
      </c>
      <c r="M223" t="n">
        <v>0</v>
      </c>
      <c r="N223" t="n">
        <v>0</v>
      </c>
      <c r="O223" t="n">
        <v>0</v>
      </c>
      <c r="P223" t="n">
        <v>0</v>
      </c>
      <c r="Q223" t="n">
        <v>0</v>
      </c>
      <c r="R223" s="2" t="inlineStr"/>
    </row>
    <row r="224" ht="15" customHeight="1">
      <c r="A224" t="inlineStr">
        <is>
          <t>A 64622-2019</t>
        </is>
      </c>
      <c r="B224" s="1" t="n">
        <v>43794</v>
      </c>
      <c r="C224" s="1" t="n">
        <v>45579</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65335-2019</t>
        </is>
      </c>
      <c r="B225" s="1" t="n">
        <v>43802</v>
      </c>
      <c r="C225" s="1" t="n">
        <v>45579</v>
      </c>
      <c r="D225" t="inlineStr">
        <is>
          <t>JÄMTLANDS LÄN</t>
        </is>
      </c>
      <c r="E225" t="inlineStr">
        <is>
          <t>ÖSTERSUND</t>
        </is>
      </c>
      <c r="G225" t="n">
        <v>2.8</v>
      </c>
      <c r="H225" t="n">
        <v>0</v>
      </c>
      <c r="I225" t="n">
        <v>0</v>
      </c>
      <c r="J225" t="n">
        <v>0</v>
      </c>
      <c r="K225" t="n">
        <v>0</v>
      </c>
      <c r="L225" t="n">
        <v>0</v>
      </c>
      <c r="M225" t="n">
        <v>0</v>
      </c>
      <c r="N225" t="n">
        <v>0</v>
      </c>
      <c r="O225" t="n">
        <v>0</v>
      </c>
      <c r="P225" t="n">
        <v>0</v>
      </c>
      <c r="Q225" t="n">
        <v>0</v>
      </c>
      <c r="R225" s="2" t="inlineStr"/>
    </row>
    <row r="226" ht="15" customHeight="1">
      <c r="A226" t="inlineStr">
        <is>
          <t>A 67010-2019</t>
        </is>
      </c>
      <c r="B226" s="1" t="n">
        <v>43805</v>
      </c>
      <c r="C226" s="1" t="n">
        <v>45579</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66592-2019</t>
        </is>
      </c>
      <c r="B227" s="1" t="n">
        <v>43809</v>
      </c>
      <c r="C227" s="1" t="n">
        <v>45579</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67863-2019</t>
        </is>
      </c>
      <c r="B228" s="1" t="n">
        <v>43809</v>
      </c>
      <c r="C228" s="1" t="n">
        <v>45579</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68238-2019</t>
        </is>
      </c>
      <c r="B229" s="1" t="n">
        <v>43817</v>
      </c>
      <c r="C229" s="1" t="n">
        <v>45579</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745-2020</t>
        </is>
      </c>
      <c r="B230" s="1" t="n">
        <v>43838</v>
      </c>
      <c r="C230" s="1" t="n">
        <v>45579</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1088-2020</t>
        </is>
      </c>
      <c r="B231" s="1" t="n">
        <v>43840</v>
      </c>
      <c r="C231" s="1" t="n">
        <v>45579</v>
      </c>
      <c r="D231" t="inlineStr">
        <is>
          <t>JÄMTLANDS LÄN</t>
        </is>
      </c>
      <c r="E231" t="inlineStr">
        <is>
          <t>ÖSTERSUND</t>
        </is>
      </c>
      <c r="G231" t="n">
        <v>4.4</v>
      </c>
      <c r="H231" t="n">
        <v>0</v>
      </c>
      <c r="I231" t="n">
        <v>0</v>
      </c>
      <c r="J231" t="n">
        <v>0</v>
      </c>
      <c r="K231" t="n">
        <v>0</v>
      </c>
      <c r="L231" t="n">
        <v>0</v>
      </c>
      <c r="M231" t="n">
        <v>0</v>
      </c>
      <c r="N231" t="n">
        <v>0</v>
      </c>
      <c r="O231" t="n">
        <v>0</v>
      </c>
      <c r="P231" t="n">
        <v>0</v>
      </c>
      <c r="Q231" t="n">
        <v>0</v>
      </c>
      <c r="R231" s="2" t="inlineStr"/>
    </row>
    <row r="232" ht="15" customHeight="1">
      <c r="A232" t="inlineStr">
        <is>
          <t>A 1268-2020</t>
        </is>
      </c>
      <c r="B232" s="1" t="n">
        <v>43840</v>
      </c>
      <c r="C232" s="1" t="n">
        <v>45579</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1077-2020</t>
        </is>
      </c>
      <c r="B233" s="1" t="n">
        <v>43840</v>
      </c>
      <c r="C233" s="1" t="n">
        <v>45579</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5905-2020</t>
        </is>
      </c>
      <c r="B234" s="1" t="n">
        <v>43861</v>
      </c>
      <c r="C234" s="1" t="n">
        <v>45579</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6028-2020</t>
        </is>
      </c>
      <c r="B235" s="1" t="n">
        <v>43864</v>
      </c>
      <c r="C235" s="1" t="n">
        <v>45579</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6522-2020</t>
        </is>
      </c>
      <c r="B236" s="1" t="n">
        <v>43864</v>
      </c>
      <c r="C236" s="1" t="n">
        <v>45579</v>
      </c>
      <c r="D236" t="inlineStr">
        <is>
          <t>JÄMTLANDS LÄN</t>
        </is>
      </c>
      <c r="E236" t="inlineStr">
        <is>
          <t>ÖSTERSUND</t>
        </is>
      </c>
      <c r="G236" t="n">
        <v>1.5</v>
      </c>
      <c r="H236" t="n">
        <v>0</v>
      </c>
      <c r="I236" t="n">
        <v>0</v>
      </c>
      <c r="J236" t="n">
        <v>0</v>
      </c>
      <c r="K236" t="n">
        <v>0</v>
      </c>
      <c r="L236" t="n">
        <v>0</v>
      </c>
      <c r="M236" t="n">
        <v>0</v>
      </c>
      <c r="N236" t="n">
        <v>0</v>
      </c>
      <c r="O236" t="n">
        <v>0</v>
      </c>
      <c r="P236" t="n">
        <v>0</v>
      </c>
      <c r="Q236" t="n">
        <v>0</v>
      </c>
      <c r="R236" s="2" t="inlineStr"/>
    </row>
    <row r="237" ht="15" customHeight="1">
      <c r="A237" t="inlineStr">
        <is>
          <t>A 6566-2020</t>
        </is>
      </c>
      <c r="B237" s="1" t="n">
        <v>43865</v>
      </c>
      <c r="C237" s="1" t="n">
        <v>45579</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7255-2020</t>
        </is>
      </c>
      <c r="B238" s="1" t="n">
        <v>43871</v>
      </c>
      <c r="C238" s="1" t="n">
        <v>45579</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7570-2020</t>
        </is>
      </c>
      <c r="B239" s="1" t="n">
        <v>43871</v>
      </c>
      <c r="C239" s="1" t="n">
        <v>45579</v>
      </c>
      <c r="D239" t="inlineStr">
        <is>
          <t>JÄMTLANDS LÄN</t>
        </is>
      </c>
      <c r="E239" t="inlineStr">
        <is>
          <t>ÖSTERSUND</t>
        </is>
      </c>
      <c r="G239" t="n">
        <v>1.6</v>
      </c>
      <c r="H239" t="n">
        <v>0</v>
      </c>
      <c r="I239" t="n">
        <v>0</v>
      </c>
      <c r="J239" t="n">
        <v>0</v>
      </c>
      <c r="K239" t="n">
        <v>0</v>
      </c>
      <c r="L239" t="n">
        <v>0</v>
      </c>
      <c r="M239" t="n">
        <v>0</v>
      </c>
      <c r="N239" t="n">
        <v>0</v>
      </c>
      <c r="O239" t="n">
        <v>0</v>
      </c>
      <c r="P239" t="n">
        <v>0</v>
      </c>
      <c r="Q239" t="n">
        <v>0</v>
      </c>
      <c r="R239" s="2" t="inlineStr"/>
    </row>
    <row r="240" ht="15" customHeight="1">
      <c r="A240" t="inlineStr">
        <is>
          <t>A 8401-2020</t>
        </is>
      </c>
      <c r="B240" s="1" t="n">
        <v>43875</v>
      </c>
      <c r="C240" s="1" t="n">
        <v>45579</v>
      </c>
      <c r="D240" t="inlineStr">
        <is>
          <t>JÄMTLANDS LÄN</t>
        </is>
      </c>
      <c r="E240" t="inlineStr">
        <is>
          <t>ÖSTERSUND</t>
        </is>
      </c>
      <c r="G240" t="n">
        <v>1.3</v>
      </c>
      <c r="H240" t="n">
        <v>0</v>
      </c>
      <c r="I240" t="n">
        <v>0</v>
      </c>
      <c r="J240" t="n">
        <v>0</v>
      </c>
      <c r="K240" t="n">
        <v>0</v>
      </c>
      <c r="L240" t="n">
        <v>0</v>
      </c>
      <c r="M240" t="n">
        <v>0</v>
      </c>
      <c r="N240" t="n">
        <v>0</v>
      </c>
      <c r="O240" t="n">
        <v>0</v>
      </c>
      <c r="P240" t="n">
        <v>0</v>
      </c>
      <c r="Q240" t="n">
        <v>0</v>
      </c>
      <c r="R240" s="2" t="inlineStr"/>
    </row>
    <row r="241" ht="15" customHeight="1">
      <c r="A241" t="inlineStr">
        <is>
          <t>A 11566-2020</t>
        </is>
      </c>
      <c r="B241" s="1" t="n">
        <v>43893</v>
      </c>
      <c r="C241" s="1" t="n">
        <v>45579</v>
      </c>
      <c r="D241" t="inlineStr">
        <is>
          <t>JÄMTLANDS LÄN</t>
        </is>
      </c>
      <c r="E241" t="inlineStr">
        <is>
          <t>ÖSTERSUND</t>
        </is>
      </c>
      <c r="G241" t="n">
        <v>2</v>
      </c>
      <c r="H241" t="n">
        <v>0</v>
      </c>
      <c r="I241" t="n">
        <v>0</v>
      </c>
      <c r="J241" t="n">
        <v>0</v>
      </c>
      <c r="K241" t="n">
        <v>0</v>
      </c>
      <c r="L241" t="n">
        <v>0</v>
      </c>
      <c r="M241" t="n">
        <v>0</v>
      </c>
      <c r="N241" t="n">
        <v>0</v>
      </c>
      <c r="O241" t="n">
        <v>0</v>
      </c>
      <c r="P241" t="n">
        <v>0</v>
      </c>
      <c r="Q241" t="n">
        <v>0</v>
      </c>
      <c r="R241" s="2" t="inlineStr"/>
    </row>
    <row r="242" ht="15" customHeight="1">
      <c r="A242" t="inlineStr">
        <is>
          <t>A 12202-2020</t>
        </is>
      </c>
      <c r="B242" s="1" t="n">
        <v>43895</v>
      </c>
      <c r="C242" s="1" t="n">
        <v>45579</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13264-2020</t>
        </is>
      </c>
      <c r="B243" s="1" t="n">
        <v>43901</v>
      </c>
      <c r="C243" s="1" t="n">
        <v>45579</v>
      </c>
      <c r="D243" t="inlineStr">
        <is>
          <t>JÄMTLANDS LÄN</t>
        </is>
      </c>
      <c r="E243" t="inlineStr">
        <is>
          <t>ÖSTERSUND</t>
        </is>
      </c>
      <c r="G243" t="n">
        <v>4.4</v>
      </c>
      <c r="H243" t="n">
        <v>0</v>
      </c>
      <c r="I243" t="n">
        <v>0</v>
      </c>
      <c r="J243" t="n">
        <v>0</v>
      </c>
      <c r="K243" t="n">
        <v>0</v>
      </c>
      <c r="L243" t="n">
        <v>0</v>
      </c>
      <c r="M243" t="n">
        <v>0</v>
      </c>
      <c r="N243" t="n">
        <v>0</v>
      </c>
      <c r="O243" t="n">
        <v>0</v>
      </c>
      <c r="P243" t="n">
        <v>0</v>
      </c>
      <c r="Q243" t="n">
        <v>0</v>
      </c>
      <c r="R243" s="2" t="inlineStr"/>
    </row>
    <row r="244" ht="15" customHeight="1">
      <c r="A244" t="inlineStr">
        <is>
          <t>A 14917-2020</t>
        </is>
      </c>
      <c r="B244" s="1" t="n">
        <v>43906</v>
      </c>
      <c r="C244" s="1" t="n">
        <v>45579</v>
      </c>
      <c r="D244" t="inlineStr">
        <is>
          <t>JÄMTLANDS LÄN</t>
        </is>
      </c>
      <c r="E244" t="inlineStr">
        <is>
          <t>ÖSTERSUND</t>
        </is>
      </c>
      <c r="G244" t="n">
        <v>12.9</v>
      </c>
      <c r="H244" t="n">
        <v>0</v>
      </c>
      <c r="I244" t="n">
        <v>0</v>
      </c>
      <c r="J244" t="n">
        <v>0</v>
      </c>
      <c r="K244" t="n">
        <v>0</v>
      </c>
      <c r="L244" t="n">
        <v>0</v>
      </c>
      <c r="M244" t="n">
        <v>0</v>
      </c>
      <c r="N244" t="n">
        <v>0</v>
      </c>
      <c r="O244" t="n">
        <v>0</v>
      </c>
      <c r="P244" t="n">
        <v>0</v>
      </c>
      <c r="Q244" t="n">
        <v>0</v>
      </c>
      <c r="R244" s="2" t="inlineStr"/>
    </row>
    <row r="245" ht="15" customHeight="1">
      <c r="A245" t="inlineStr">
        <is>
          <t>A 15797-2020</t>
        </is>
      </c>
      <c r="B245" s="1" t="n">
        <v>43909</v>
      </c>
      <c r="C245" s="1" t="n">
        <v>45579</v>
      </c>
      <c r="D245" t="inlineStr">
        <is>
          <t>JÄMTLANDS LÄN</t>
        </is>
      </c>
      <c r="E245" t="inlineStr">
        <is>
          <t>ÖSTERSUND</t>
        </is>
      </c>
      <c r="G245" t="n">
        <v>3.5</v>
      </c>
      <c r="H245" t="n">
        <v>0</v>
      </c>
      <c r="I245" t="n">
        <v>0</v>
      </c>
      <c r="J245" t="n">
        <v>0</v>
      </c>
      <c r="K245" t="n">
        <v>0</v>
      </c>
      <c r="L245" t="n">
        <v>0</v>
      </c>
      <c r="M245" t="n">
        <v>0</v>
      </c>
      <c r="N245" t="n">
        <v>0</v>
      </c>
      <c r="O245" t="n">
        <v>0</v>
      </c>
      <c r="P245" t="n">
        <v>0</v>
      </c>
      <c r="Q245" t="n">
        <v>0</v>
      </c>
      <c r="R245" s="2" t="inlineStr"/>
    </row>
    <row r="246" ht="15" customHeight="1">
      <c r="A246" t="inlineStr">
        <is>
          <t>A 14903-2020</t>
        </is>
      </c>
      <c r="B246" s="1" t="n">
        <v>43910</v>
      </c>
      <c r="C246" s="1" t="n">
        <v>45579</v>
      </c>
      <c r="D246" t="inlineStr">
        <is>
          <t>JÄMTLANDS LÄN</t>
        </is>
      </c>
      <c r="E246" t="inlineStr">
        <is>
          <t>ÖSTERSUND</t>
        </is>
      </c>
      <c r="F246" t="inlineStr">
        <is>
          <t>Kyrkan</t>
        </is>
      </c>
      <c r="G246" t="n">
        <v>2.3</v>
      </c>
      <c r="H246" t="n">
        <v>0</v>
      </c>
      <c r="I246" t="n">
        <v>0</v>
      </c>
      <c r="J246" t="n">
        <v>0</v>
      </c>
      <c r="K246" t="n">
        <v>0</v>
      </c>
      <c r="L246" t="n">
        <v>0</v>
      </c>
      <c r="M246" t="n">
        <v>0</v>
      </c>
      <c r="N246" t="n">
        <v>0</v>
      </c>
      <c r="O246" t="n">
        <v>0</v>
      </c>
      <c r="P246" t="n">
        <v>0</v>
      </c>
      <c r="Q246" t="n">
        <v>0</v>
      </c>
      <c r="R246" s="2" t="inlineStr"/>
    </row>
    <row r="247" ht="15" customHeight="1">
      <c r="A247" t="inlineStr">
        <is>
          <t>A 17464-2020</t>
        </is>
      </c>
      <c r="B247" s="1" t="n">
        <v>43917</v>
      </c>
      <c r="C247" s="1" t="n">
        <v>45579</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18339-2020</t>
        </is>
      </c>
      <c r="B248" s="1" t="n">
        <v>43928</v>
      </c>
      <c r="C248" s="1" t="n">
        <v>45579</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18683-2020</t>
        </is>
      </c>
      <c r="B249" s="1" t="n">
        <v>43930</v>
      </c>
      <c r="C249" s="1" t="n">
        <v>45579</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19631-2020</t>
        </is>
      </c>
      <c r="B250" s="1" t="n">
        <v>43936</v>
      </c>
      <c r="C250" s="1" t="n">
        <v>45579</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19923-2020</t>
        </is>
      </c>
      <c r="B251" s="1" t="n">
        <v>43943</v>
      </c>
      <c r="C251" s="1" t="n">
        <v>45579</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20198-2020</t>
        </is>
      </c>
      <c r="B252" s="1" t="n">
        <v>43944</v>
      </c>
      <c r="C252" s="1" t="n">
        <v>45579</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23507-2020</t>
        </is>
      </c>
      <c r="B253" s="1" t="n">
        <v>43969</v>
      </c>
      <c r="C253" s="1" t="n">
        <v>45579</v>
      </c>
      <c r="D253" t="inlineStr">
        <is>
          <t>JÄMTLANDS LÄN</t>
        </is>
      </c>
      <c r="E253" t="inlineStr">
        <is>
          <t>ÖSTERSUND</t>
        </is>
      </c>
      <c r="G253" t="n">
        <v>5.8</v>
      </c>
      <c r="H253" t="n">
        <v>0</v>
      </c>
      <c r="I253" t="n">
        <v>0</v>
      </c>
      <c r="J253" t="n">
        <v>0</v>
      </c>
      <c r="K253" t="n">
        <v>0</v>
      </c>
      <c r="L253" t="n">
        <v>0</v>
      </c>
      <c r="M253" t="n">
        <v>0</v>
      </c>
      <c r="N253" t="n">
        <v>0</v>
      </c>
      <c r="O253" t="n">
        <v>0</v>
      </c>
      <c r="P253" t="n">
        <v>0</v>
      </c>
      <c r="Q253" t="n">
        <v>0</v>
      </c>
      <c r="R253" s="2" t="inlineStr"/>
    </row>
    <row r="254" ht="15" customHeight="1">
      <c r="A254" t="inlineStr">
        <is>
          <t>A 23445-2020</t>
        </is>
      </c>
      <c r="B254" s="1" t="n">
        <v>43969</v>
      </c>
      <c r="C254" s="1" t="n">
        <v>45579</v>
      </c>
      <c r="D254" t="inlineStr">
        <is>
          <t>JÄMTLANDS LÄN</t>
        </is>
      </c>
      <c r="E254" t="inlineStr">
        <is>
          <t>ÖSTERSUND</t>
        </is>
      </c>
      <c r="G254" t="n">
        <v>0.9</v>
      </c>
      <c r="H254" t="n">
        <v>0</v>
      </c>
      <c r="I254" t="n">
        <v>0</v>
      </c>
      <c r="J254" t="n">
        <v>0</v>
      </c>
      <c r="K254" t="n">
        <v>0</v>
      </c>
      <c r="L254" t="n">
        <v>0</v>
      </c>
      <c r="M254" t="n">
        <v>0</v>
      </c>
      <c r="N254" t="n">
        <v>0</v>
      </c>
      <c r="O254" t="n">
        <v>0</v>
      </c>
      <c r="P254" t="n">
        <v>0</v>
      </c>
      <c r="Q254" t="n">
        <v>0</v>
      </c>
      <c r="R254" s="2" t="inlineStr"/>
    </row>
    <row r="255" ht="15" customHeight="1">
      <c r="A255" t="inlineStr">
        <is>
          <t>A 24259-2020</t>
        </is>
      </c>
      <c r="B255" s="1" t="n">
        <v>43970</v>
      </c>
      <c r="C255" s="1" t="n">
        <v>45579</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24253-2020</t>
        </is>
      </c>
      <c r="B256" s="1" t="n">
        <v>43970</v>
      </c>
      <c r="C256" s="1" t="n">
        <v>45579</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25148-2020</t>
        </is>
      </c>
      <c r="B257" s="1" t="n">
        <v>43978</v>
      </c>
      <c r="C257" s="1" t="n">
        <v>45579</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26410-2020</t>
        </is>
      </c>
      <c r="B258" s="1" t="n">
        <v>43986</v>
      </c>
      <c r="C258" s="1" t="n">
        <v>45579</v>
      </c>
      <c r="D258" t="inlineStr">
        <is>
          <t>JÄMTLANDS LÄN</t>
        </is>
      </c>
      <c r="E258" t="inlineStr">
        <is>
          <t>ÖSTERSUND</t>
        </is>
      </c>
      <c r="G258" t="n">
        <v>2.1</v>
      </c>
      <c r="H258" t="n">
        <v>0</v>
      </c>
      <c r="I258" t="n">
        <v>0</v>
      </c>
      <c r="J258" t="n">
        <v>0</v>
      </c>
      <c r="K258" t="n">
        <v>0</v>
      </c>
      <c r="L258" t="n">
        <v>0</v>
      </c>
      <c r="M258" t="n">
        <v>0</v>
      </c>
      <c r="N258" t="n">
        <v>0</v>
      </c>
      <c r="O258" t="n">
        <v>0</v>
      </c>
      <c r="P258" t="n">
        <v>0</v>
      </c>
      <c r="Q258" t="n">
        <v>0</v>
      </c>
      <c r="R258" s="2" t="inlineStr"/>
    </row>
    <row r="259" ht="15" customHeight="1">
      <c r="A259" t="inlineStr">
        <is>
          <t>A 27576-2020</t>
        </is>
      </c>
      <c r="B259" s="1" t="n">
        <v>43992</v>
      </c>
      <c r="C259" s="1" t="n">
        <v>45579</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29635-2020</t>
        </is>
      </c>
      <c r="B260" s="1" t="n">
        <v>44000</v>
      </c>
      <c r="C260" s="1" t="n">
        <v>45579</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29435-2020</t>
        </is>
      </c>
      <c r="B261" s="1" t="n">
        <v>44004</v>
      </c>
      <c r="C261" s="1" t="n">
        <v>45579</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29479-2020</t>
        </is>
      </c>
      <c r="B262" s="1" t="n">
        <v>44005</v>
      </c>
      <c r="C262" s="1" t="n">
        <v>45579</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29581-2020</t>
        </is>
      </c>
      <c r="B263" s="1" t="n">
        <v>44004</v>
      </c>
      <c r="C263" s="1" t="n">
        <v>45579</v>
      </c>
      <c r="D263" t="inlineStr">
        <is>
          <t>JÄMTLANDS LÄN</t>
        </is>
      </c>
      <c r="E263" t="inlineStr">
        <is>
          <t>ÖSTERSUND</t>
        </is>
      </c>
      <c r="G263" t="n">
        <v>0.4</v>
      </c>
      <c r="H263" t="n">
        <v>0</v>
      </c>
      <c r="I263" t="n">
        <v>0</v>
      </c>
      <c r="J263" t="n">
        <v>0</v>
      </c>
      <c r="K263" t="n">
        <v>0</v>
      </c>
      <c r="L263" t="n">
        <v>0</v>
      </c>
      <c r="M263" t="n">
        <v>0</v>
      </c>
      <c r="N263" t="n">
        <v>0</v>
      </c>
      <c r="O263" t="n">
        <v>0</v>
      </c>
      <c r="P263" t="n">
        <v>0</v>
      </c>
      <c r="Q263" t="n">
        <v>0</v>
      </c>
      <c r="R263" s="2" t="inlineStr"/>
    </row>
    <row r="264" ht="15" customHeight="1">
      <c r="A264" t="inlineStr">
        <is>
          <t>A 30676-2020</t>
        </is>
      </c>
      <c r="B264" s="1" t="n">
        <v>44008</v>
      </c>
      <c r="C264" s="1" t="n">
        <v>45579</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33945-2020</t>
        </is>
      </c>
      <c r="B265" s="1" t="n">
        <v>44027</v>
      </c>
      <c r="C265" s="1" t="n">
        <v>45579</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34703-2020</t>
        </is>
      </c>
      <c r="B266" s="1" t="n">
        <v>44035</v>
      </c>
      <c r="C266" s="1" t="n">
        <v>45579</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37500-2020</t>
        </is>
      </c>
      <c r="B267" s="1" t="n">
        <v>44055</v>
      </c>
      <c r="C267" s="1" t="n">
        <v>45579</v>
      </c>
      <c r="D267" t="inlineStr">
        <is>
          <t>JÄMTLANDS LÄN</t>
        </is>
      </c>
      <c r="E267" t="inlineStr">
        <is>
          <t>ÖSTERSUND</t>
        </is>
      </c>
      <c r="G267" t="n">
        <v>4.8</v>
      </c>
      <c r="H267" t="n">
        <v>0</v>
      </c>
      <c r="I267" t="n">
        <v>0</v>
      </c>
      <c r="J267" t="n">
        <v>0</v>
      </c>
      <c r="K267" t="n">
        <v>0</v>
      </c>
      <c r="L267" t="n">
        <v>0</v>
      </c>
      <c r="M267" t="n">
        <v>0</v>
      </c>
      <c r="N267" t="n">
        <v>0</v>
      </c>
      <c r="O267" t="n">
        <v>0</v>
      </c>
      <c r="P267" t="n">
        <v>0</v>
      </c>
      <c r="Q267" t="n">
        <v>0</v>
      </c>
      <c r="R267" s="2" t="inlineStr"/>
    </row>
    <row r="268" ht="15" customHeight="1">
      <c r="A268" t="inlineStr">
        <is>
          <t>A 38099-2020</t>
        </is>
      </c>
      <c r="B268" s="1" t="n">
        <v>44057</v>
      </c>
      <c r="C268" s="1" t="n">
        <v>45579</v>
      </c>
      <c r="D268" t="inlineStr">
        <is>
          <t>JÄMTLANDS LÄN</t>
        </is>
      </c>
      <c r="E268" t="inlineStr">
        <is>
          <t>ÖSTERSUND</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41354-2020</t>
        </is>
      </c>
      <c r="B269" s="1" t="n">
        <v>44072</v>
      </c>
      <c r="C269" s="1" t="n">
        <v>45579</v>
      </c>
      <c r="D269" t="inlineStr">
        <is>
          <t>JÄMTLANDS LÄN</t>
        </is>
      </c>
      <c r="E269" t="inlineStr">
        <is>
          <t>ÖSTERSUND</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42712-2020</t>
        </is>
      </c>
      <c r="B270" s="1" t="n">
        <v>44076</v>
      </c>
      <c r="C270" s="1" t="n">
        <v>45579</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42749-2020</t>
        </is>
      </c>
      <c r="B271" s="1" t="n">
        <v>44078</v>
      </c>
      <c r="C271" s="1" t="n">
        <v>45579</v>
      </c>
      <c r="D271" t="inlineStr">
        <is>
          <t>JÄMTLANDS LÄN</t>
        </is>
      </c>
      <c r="E271" t="inlineStr">
        <is>
          <t>ÖSTERSUND</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42765-2020</t>
        </is>
      </c>
      <c r="B272" s="1" t="n">
        <v>44077</v>
      </c>
      <c r="C272" s="1" t="n">
        <v>45579</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42766-2020</t>
        </is>
      </c>
      <c r="B273" s="1" t="n">
        <v>44077</v>
      </c>
      <c r="C273" s="1" t="n">
        <v>45579</v>
      </c>
      <c r="D273" t="inlineStr">
        <is>
          <t>JÄMTLANDS LÄN</t>
        </is>
      </c>
      <c r="E273" t="inlineStr">
        <is>
          <t>ÖSTERSUND</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43796-2020</t>
        </is>
      </c>
      <c r="B274" s="1" t="n">
        <v>44082</v>
      </c>
      <c r="C274" s="1" t="n">
        <v>45579</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45820-2020</t>
        </is>
      </c>
      <c r="B275" s="1" t="n">
        <v>44090</v>
      </c>
      <c r="C275" s="1" t="n">
        <v>45579</v>
      </c>
      <c r="D275" t="inlineStr">
        <is>
          <t>JÄMTLANDS LÄN</t>
        </is>
      </c>
      <c r="E275" t="inlineStr">
        <is>
          <t>ÖSTERSUND</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50121-2020</t>
        </is>
      </c>
      <c r="B276" s="1" t="n">
        <v>44106</v>
      </c>
      <c r="C276" s="1" t="n">
        <v>45579</v>
      </c>
      <c r="D276" t="inlineStr">
        <is>
          <t>JÄMTLANDS LÄN</t>
        </is>
      </c>
      <c r="E276" t="inlineStr">
        <is>
          <t>ÖSTERSUND</t>
        </is>
      </c>
      <c r="F276" t="inlineStr">
        <is>
          <t>Övriga statliga verk och myndigheter</t>
        </is>
      </c>
      <c r="G276" t="n">
        <v>5.2</v>
      </c>
      <c r="H276" t="n">
        <v>0</v>
      </c>
      <c r="I276" t="n">
        <v>0</v>
      </c>
      <c r="J276" t="n">
        <v>0</v>
      </c>
      <c r="K276" t="n">
        <v>0</v>
      </c>
      <c r="L276" t="n">
        <v>0</v>
      </c>
      <c r="M276" t="n">
        <v>0</v>
      </c>
      <c r="N276" t="n">
        <v>0</v>
      </c>
      <c r="O276" t="n">
        <v>0</v>
      </c>
      <c r="P276" t="n">
        <v>0</v>
      </c>
      <c r="Q276" t="n">
        <v>0</v>
      </c>
      <c r="R276" s="2" t="inlineStr"/>
    </row>
    <row r="277" ht="15" customHeight="1">
      <c r="A277" t="inlineStr">
        <is>
          <t>A 50153-2020</t>
        </is>
      </c>
      <c r="B277" s="1" t="n">
        <v>44106</v>
      </c>
      <c r="C277" s="1" t="n">
        <v>45579</v>
      </c>
      <c r="D277" t="inlineStr">
        <is>
          <t>JÄMTLANDS LÄN</t>
        </is>
      </c>
      <c r="E277" t="inlineStr">
        <is>
          <t>ÖSTERSUND</t>
        </is>
      </c>
      <c r="F277" t="inlineStr">
        <is>
          <t>Övriga statliga verk och myndigheter</t>
        </is>
      </c>
      <c r="G277" t="n">
        <v>4.6</v>
      </c>
      <c r="H277" t="n">
        <v>0</v>
      </c>
      <c r="I277" t="n">
        <v>0</v>
      </c>
      <c r="J277" t="n">
        <v>0</v>
      </c>
      <c r="K277" t="n">
        <v>0</v>
      </c>
      <c r="L277" t="n">
        <v>0</v>
      </c>
      <c r="M277" t="n">
        <v>0</v>
      </c>
      <c r="N277" t="n">
        <v>0</v>
      </c>
      <c r="O277" t="n">
        <v>0</v>
      </c>
      <c r="P277" t="n">
        <v>0</v>
      </c>
      <c r="Q277" t="n">
        <v>0</v>
      </c>
      <c r="R277" s="2" t="inlineStr"/>
    </row>
    <row r="278" ht="15" customHeight="1">
      <c r="A278" t="inlineStr">
        <is>
          <t>A 50144-2020</t>
        </is>
      </c>
      <c r="B278" s="1" t="n">
        <v>44106</v>
      </c>
      <c r="C278" s="1" t="n">
        <v>45579</v>
      </c>
      <c r="D278" t="inlineStr">
        <is>
          <t>JÄMTLANDS LÄN</t>
        </is>
      </c>
      <c r="E278" t="inlineStr">
        <is>
          <t>ÖSTERSUND</t>
        </is>
      </c>
      <c r="F278" t="inlineStr">
        <is>
          <t>Övriga statliga verk och myndigheter</t>
        </is>
      </c>
      <c r="G278" t="n">
        <v>2.2</v>
      </c>
      <c r="H278" t="n">
        <v>0</v>
      </c>
      <c r="I278" t="n">
        <v>0</v>
      </c>
      <c r="J278" t="n">
        <v>0</v>
      </c>
      <c r="K278" t="n">
        <v>0</v>
      </c>
      <c r="L278" t="n">
        <v>0</v>
      </c>
      <c r="M278" t="n">
        <v>0</v>
      </c>
      <c r="N278" t="n">
        <v>0</v>
      </c>
      <c r="O278" t="n">
        <v>0</v>
      </c>
      <c r="P278" t="n">
        <v>0</v>
      </c>
      <c r="Q278" t="n">
        <v>0</v>
      </c>
      <c r="R278" s="2" t="inlineStr"/>
    </row>
    <row r="279" ht="15" customHeight="1">
      <c r="A279" t="inlineStr">
        <is>
          <t>A 50632-2020</t>
        </is>
      </c>
      <c r="B279" s="1" t="n">
        <v>44110</v>
      </c>
      <c r="C279" s="1" t="n">
        <v>45579</v>
      </c>
      <c r="D279" t="inlineStr">
        <is>
          <t>JÄMTLANDS LÄN</t>
        </is>
      </c>
      <c r="E279" t="inlineStr">
        <is>
          <t>ÖSTERSUND</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52478-2020</t>
        </is>
      </c>
      <c r="B280" s="1" t="n">
        <v>44113</v>
      </c>
      <c r="C280" s="1" t="n">
        <v>45579</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52535-2020</t>
        </is>
      </c>
      <c r="B281" s="1" t="n">
        <v>44118</v>
      </c>
      <c r="C281" s="1" t="n">
        <v>45579</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52777-2020</t>
        </is>
      </c>
      <c r="B282" s="1" t="n">
        <v>44118</v>
      </c>
      <c r="C282" s="1" t="n">
        <v>45579</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52791-2020</t>
        </is>
      </c>
      <c r="B283" s="1" t="n">
        <v>44118</v>
      </c>
      <c r="C283" s="1" t="n">
        <v>45579</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53323-2020</t>
        </is>
      </c>
      <c r="B284" s="1" t="n">
        <v>44123</v>
      </c>
      <c r="C284" s="1" t="n">
        <v>45579</v>
      </c>
      <c r="D284" t="inlineStr">
        <is>
          <t>JÄMTLANDS LÄN</t>
        </is>
      </c>
      <c r="E284" t="inlineStr">
        <is>
          <t>ÖSTERSUND</t>
        </is>
      </c>
      <c r="F284" t="inlineStr">
        <is>
          <t>Övriga Aktiebolag</t>
        </is>
      </c>
      <c r="G284" t="n">
        <v>2.2</v>
      </c>
      <c r="H284" t="n">
        <v>0</v>
      </c>
      <c r="I284" t="n">
        <v>0</v>
      </c>
      <c r="J284" t="n">
        <v>0</v>
      </c>
      <c r="K284" t="n">
        <v>0</v>
      </c>
      <c r="L284" t="n">
        <v>0</v>
      </c>
      <c r="M284" t="n">
        <v>0</v>
      </c>
      <c r="N284" t="n">
        <v>0</v>
      </c>
      <c r="O284" t="n">
        <v>0</v>
      </c>
      <c r="P284" t="n">
        <v>0</v>
      </c>
      <c r="Q284" t="n">
        <v>0</v>
      </c>
      <c r="R284" s="2" t="inlineStr"/>
    </row>
    <row r="285" ht="15" customHeight="1">
      <c r="A285" t="inlineStr">
        <is>
          <t>A 53967-2020</t>
        </is>
      </c>
      <c r="B285" s="1" t="n">
        <v>44125</v>
      </c>
      <c r="C285" s="1" t="n">
        <v>45579</v>
      </c>
      <c r="D285" t="inlineStr">
        <is>
          <t>JÄMTLANDS LÄN</t>
        </is>
      </c>
      <c r="E285" t="inlineStr">
        <is>
          <t>ÖSTERSUND</t>
        </is>
      </c>
      <c r="G285" t="n">
        <v>25.8</v>
      </c>
      <c r="H285" t="n">
        <v>0</v>
      </c>
      <c r="I285" t="n">
        <v>0</v>
      </c>
      <c r="J285" t="n">
        <v>0</v>
      </c>
      <c r="K285" t="n">
        <v>0</v>
      </c>
      <c r="L285" t="n">
        <v>0</v>
      </c>
      <c r="M285" t="n">
        <v>0</v>
      </c>
      <c r="N285" t="n">
        <v>0</v>
      </c>
      <c r="O285" t="n">
        <v>0</v>
      </c>
      <c r="P285" t="n">
        <v>0</v>
      </c>
      <c r="Q285" t="n">
        <v>0</v>
      </c>
      <c r="R285" s="2" t="inlineStr"/>
    </row>
    <row r="286" ht="15" customHeight="1">
      <c r="A286" t="inlineStr">
        <is>
          <t>A 54539-2020</t>
        </is>
      </c>
      <c r="B286" s="1" t="n">
        <v>44126</v>
      </c>
      <c r="C286" s="1" t="n">
        <v>45579</v>
      </c>
      <c r="D286" t="inlineStr">
        <is>
          <t>JÄMTLANDS LÄN</t>
        </is>
      </c>
      <c r="E286" t="inlineStr">
        <is>
          <t>ÖSTERSUND</t>
        </is>
      </c>
      <c r="G286" t="n">
        <v>4.2</v>
      </c>
      <c r="H286" t="n">
        <v>0</v>
      </c>
      <c r="I286" t="n">
        <v>0</v>
      </c>
      <c r="J286" t="n">
        <v>0</v>
      </c>
      <c r="K286" t="n">
        <v>0</v>
      </c>
      <c r="L286" t="n">
        <v>0</v>
      </c>
      <c r="M286" t="n">
        <v>0</v>
      </c>
      <c r="N286" t="n">
        <v>0</v>
      </c>
      <c r="O286" t="n">
        <v>0</v>
      </c>
      <c r="P286" t="n">
        <v>0</v>
      </c>
      <c r="Q286" t="n">
        <v>0</v>
      </c>
      <c r="R286" s="2" t="inlineStr"/>
    </row>
    <row r="287" ht="15" customHeight="1">
      <c r="A287" t="inlineStr">
        <is>
          <t>A 54844-2020</t>
        </is>
      </c>
      <c r="B287" s="1" t="n">
        <v>44126</v>
      </c>
      <c r="C287" s="1" t="n">
        <v>45579</v>
      </c>
      <c r="D287" t="inlineStr">
        <is>
          <t>JÄMTLANDS LÄN</t>
        </is>
      </c>
      <c r="E287" t="inlineStr">
        <is>
          <t>ÖSTERSUND</t>
        </is>
      </c>
      <c r="G287" t="n">
        <v>6.9</v>
      </c>
      <c r="H287" t="n">
        <v>0</v>
      </c>
      <c r="I287" t="n">
        <v>0</v>
      </c>
      <c r="J287" t="n">
        <v>0</v>
      </c>
      <c r="K287" t="n">
        <v>0</v>
      </c>
      <c r="L287" t="n">
        <v>0</v>
      </c>
      <c r="M287" t="n">
        <v>0</v>
      </c>
      <c r="N287" t="n">
        <v>0</v>
      </c>
      <c r="O287" t="n">
        <v>0</v>
      </c>
      <c r="P287" t="n">
        <v>0</v>
      </c>
      <c r="Q287" t="n">
        <v>0</v>
      </c>
      <c r="R287" s="2" t="inlineStr"/>
    </row>
    <row r="288" ht="15" customHeight="1">
      <c r="A288" t="inlineStr">
        <is>
          <t>A 56220-2020</t>
        </is>
      </c>
      <c r="B288" s="1" t="n">
        <v>44133</v>
      </c>
      <c r="C288" s="1" t="n">
        <v>45579</v>
      </c>
      <c r="D288" t="inlineStr">
        <is>
          <t>JÄMTLANDS LÄN</t>
        </is>
      </c>
      <c r="E288" t="inlineStr">
        <is>
          <t>ÖSTERSUND</t>
        </is>
      </c>
      <c r="G288" t="n">
        <v>0.6</v>
      </c>
      <c r="H288" t="n">
        <v>0</v>
      </c>
      <c r="I288" t="n">
        <v>0</v>
      </c>
      <c r="J288" t="n">
        <v>0</v>
      </c>
      <c r="K288" t="n">
        <v>0</v>
      </c>
      <c r="L288" t="n">
        <v>0</v>
      </c>
      <c r="M288" t="n">
        <v>0</v>
      </c>
      <c r="N288" t="n">
        <v>0</v>
      </c>
      <c r="O288" t="n">
        <v>0</v>
      </c>
      <c r="P288" t="n">
        <v>0</v>
      </c>
      <c r="Q288" t="n">
        <v>0</v>
      </c>
      <c r="R288" s="2" t="inlineStr"/>
    </row>
    <row r="289" ht="15" customHeight="1">
      <c r="A289" t="inlineStr">
        <is>
          <t>A 56486-2020</t>
        </is>
      </c>
      <c r="B289" s="1" t="n">
        <v>44137</v>
      </c>
      <c r="C289" s="1" t="n">
        <v>45579</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56636-2020</t>
        </is>
      </c>
      <c r="B290" s="1" t="n">
        <v>44137</v>
      </c>
      <c r="C290" s="1" t="n">
        <v>45579</v>
      </c>
      <c r="D290" t="inlineStr">
        <is>
          <t>JÄMTLANDS LÄN</t>
        </is>
      </c>
      <c r="E290" t="inlineStr">
        <is>
          <t>ÖSTERSUND</t>
        </is>
      </c>
      <c r="F290" t="inlineStr">
        <is>
          <t>Övriga Aktiebolag</t>
        </is>
      </c>
      <c r="G290" t="n">
        <v>16.2</v>
      </c>
      <c r="H290" t="n">
        <v>0</v>
      </c>
      <c r="I290" t="n">
        <v>0</v>
      </c>
      <c r="J290" t="n">
        <v>0</v>
      </c>
      <c r="K290" t="n">
        <v>0</v>
      </c>
      <c r="L290" t="n">
        <v>0</v>
      </c>
      <c r="M290" t="n">
        <v>0</v>
      </c>
      <c r="N290" t="n">
        <v>0</v>
      </c>
      <c r="O290" t="n">
        <v>0</v>
      </c>
      <c r="P290" t="n">
        <v>0</v>
      </c>
      <c r="Q290" t="n">
        <v>0</v>
      </c>
      <c r="R290" s="2" t="inlineStr"/>
    </row>
    <row r="291" ht="15" customHeight="1">
      <c r="A291" t="inlineStr">
        <is>
          <t>A 56642-2020</t>
        </is>
      </c>
      <c r="B291" s="1" t="n">
        <v>44137</v>
      </c>
      <c r="C291" s="1" t="n">
        <v>45579</v>
      </c>
      <c r="D291" t="inlineStr">
        <is>
          <t>JÄMTLANDS LÄN</t>
        </is>
      </c>
      <c r="E291" t="inlineStr">
        <is>
          <t>ÖSTERSUND</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57616-2020</t>
        </is>
      </c>
      <c r="B292" s="1" t="n">
        <v>44140</v>
      </c>
      <c r="C292" s="1" t="n">
        <v>45579</v>
      </c>
      <c r="D292" t="inlineStr">
        <is>
          <t>JÄMTLANDS LÄN</t>
        </is>
      </c>
      <c r="E292" t="inlineStr">
        <is>
          <t>ÖSTERSUND</t>
        </is>
      </c>
      <c r="F292" t="inlineStr">
        <is>
          <t>Övriga Aktiebolag</t>
        </is>
      </c>
      <c r="G292" t="n">
        <v>1.8</v>
      </c>
      <c r="H292" t="n">
        <v>0</v>
      </c>
      <c r="I292" t="n">
        <v>0</v>
      </c>
      <c r="J292" t="n">
        <v>0</v>
      </c>
      <c r="K292" t="n">
        <v>0</v>
      </c>
      <c r="L292" t="n">
        <v>0</v>
      </c>
      <c r="M292" t="n">
        <v>0</v>
      </c>
      <c r="N292" t="n">
        <v>0</v>
      </c>
      <c r="O292" t="n">
        <v>0</v>
      </c>
      <c r="P292" t="n">
        <v>0</v>
      </c>
      <c r="Q292" t="n">
        <v>0</v>
      </c>
      <c r="R292" s="2" t="inlineStr"/>
    </row>
    <row r="293" ht="15" customHeight="1">
      <c r="A293" t="inlineStr">
        <is>
          <t>A 57624-2020</t>
        </is>
      </c>
      <c r="B293" s="1" t="n">
        <v>44140</v>
      </c>
      <c r="C293" s="1" t="n">
        <v>45579</v>
      </c>
      <c r="D293" t="inlineStr">
        <is>
          <t>JÄMTLANDS LÄN</t>
        </is>
      </c>
      <c r="E293" t="inlineStr">
        <is>
          <t>ÖSTERSUND</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57791-2020</t>
        </is>
      </c>
      <c r="B294" s="1" t="n">
        <v>44141</v>
      </c>
      <c r="C294" s="1" t="n">
        <v>45579</v>
      </c>
      <c r="D294" t="inlineStr">
        <is>
          <t>JÄMTLANDS LÄN</t>
        </is>
      </c>
      <c r="E294" t="inlineStr">
        <is>
          <t>ÖSTERSUND</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57771-2020</t>
        </is>
      </c>
      <c r="B295" s="1" t="n">
        <v>44141</v>
      </c>
      <c r="C295" s="1" t="n">
        <v>45579</v>
      </c>
      <c r="D295" t="inlineStr">
        <is>
          <t>JÄMTLANDS LÄN</t>
        </is>
      </c>
      <c r="E295" t="inlineStr">
        <is>
          <t>ÖSTERSUND</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60050-2020</t>
        </is>
      </c>
      <c r="B296" s="1" t="n">
        <v>44151</v>
      </c>
      <c r="C296" s="1" t="n">
        <v>45579</v>
      </c>
      <c r="D296" t="inlineStr">
        <is>
          <t>JÄMTLANDS LÄN</t>
        </is>
      </c>
      <c r="E296" t="inlineStr">
        <is>
          <t>ÖSTERSUND</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60126-2020</t>
        </is>
      </c>
      <c r="B297" s="1" t="n">
        <v>44152</v>
      </c>
      <c r="C297" s="1" t="n">
        <v>45579</v>
      </c>
      <c r="D297" t="inlineStr">
        <is>
          <t>JÄMTLANDS LÄN</t>
        </is>
      </c>
      <c r="E297" t="inlineStr">
        <is>
          <t>ÖSTERSUND</t>
        </is>
      </c>
      <c r="G297" t="n">
        <v>1</v>
      </c>
      <c r="H297" t="n">
        <v>0</v>
      </c>
      <c r="I297" t="n">
        <v>0</v>
      </c>
      <c r="J297" t="n">
        <v>0</v>
      </c>
      <c r="K297" t="n">
        <v>0</v>
      </c>
      <c r="L297" t="n">
        <v>0</v>
      </c>
      <c r="M297" t="n">
        <v>0</v>
      </c>
      <c r="N297" t="n">
        <v>0</v>
      </c>
      <c r="O297" t="n">
        <v>0</v>
      </c>
      <c r="P297" t="n">
        <v>0</v>
      </c>
      <c r="Q297" t="n">
        <v>0</v>
      </c>
      <c r="R297" s="2" t="inlineStr"/>
    </row>
    <row r="298" ht="15" customHeight="1">
      <c r="A298" t="inlineStr">
        <is>
          <t>A 63171-2020</t>
        </is>
      </c>
      <c r="B298" s="1" t="n">
        <v>44162</v>
      </c>
      <c r="C298" s="1" t="n">
        <v>45579</v>
      </c>
      <c r="D298" t="inlineStr">
        <is>
          <t>JÄMTLANDS LÄN</t>
        </is>
      </c>
      <c r="E298" t="inlineStr">
        <is>
          <t>ÖSTERSUND</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65410-2020</t>
        </is>
      </c>
      <c r="B299" s="1" t="n">
        <v>44173</v>
      </c>
      <c r="C299" s="1" t="n">
        <v>45579</v>
      </c>
      <c r="D299" t="inlineStr">
        <is>
          <t>JÄMTLANDS LÄN</t>
        </is>
      </c>
      <c r="E299" t="inlineStr">
        <is>
          <t>ÖSTERSUND</t>
        </is>
      </c>
      <c r="F299" t="inlineStr">
        <is>
          <t>Kommuner</t>
        </is>
      </c>
      <c r="G299" t="n">
        <v>0.8</v>
      </c>
      <c r="H299" t="n">
        <v>0</v>
      </c>
      <c r="I299" t="n">
        <v>0</v>
      </c>
      <c r="J299" t="n">
        <v>0</v>
      </c>
      <c r="K299" t="n">
        <v>0</v>
      </c>
      <c r="L299" t="n">
        <v>0</v>
      </c>
      <c r="M299" t="n">
        <v>0</v>
      </c>
      <c r="N299" t="n">
        <v>0</v>
      </c>
      <c r="O299" t="n">
        <v>0</v>
      </c>
      <c r="P299" t="n">
        <v>0</v>
      </c>
      <c r="Q299" t="n">
        <v>0</v>
      </c>
      <c r="R299" s="2" t="inlineStr"/>
    </row>
    <row r="300" ht="15" customHeight="1">
      <c r="A300" t="inlineStr">
        <is>
          <t>A 66269-2020</t>
        </is>
      </c>
      <c r="B300" s="1" t="n">
        <v>44174</v>
      </c>
      <c r="C300" s="1" t="n">
        <v>45579</v>
      </c>
      <c r="D300" t="inlineStr">
        <is>
          <t>JÄMTLANDS LÄN</t>
        </is>
      </c>
      <c r="E300" t="inlineStr">
        <is>
          <t>ÖSTERSUND</t>
        </is>
      </c>
      <c r="F300" t="inlineStr">
        <is>
          <t>Övriga statliga verk och myndigheter</t>
        </is>
      </c>
      <c r="G300" t="n">
        <v>10</v>
      </c>
      <c r="H300" t="n">
        <v>0</v>
      </c>
      <c r="I300" t="n">
        <v>0</v>
      </c>
      <c r="J300" t="n">
        <v>0</v>
      </c>
      <c r="K300" t="n">
        <v>0</v>
      </c>
      <c r="L300" t="n">
        <v>0</v>
      </c>
      <c r="M300" t="n">
        <v>0</v>
      </c>
      <c r="N300" t="n">
        <v>0</v>
      </c>
      <c r="O300" t="n">
        <v>0</v>
      </c>
      <c r="P300" t="n">
        <v>0</v>
      </c>
      <c r="Q300" t="n">
        <v>0</v>
      </c>
      <c r="R300" s="2" t="inlineStr"/>
    </row>
    <row r="301" ht="15" customHeight="1">
      <c r="A301" t="inlineStr">
        <is>
          <t>A 66288-2020</t>
        </is>
      </c>
      <c r="B301" s="1" t="n">
        <v>44174</v>
      </c>
      <c r="C301" s="1" t="n">
        <v>45579</v>
      </c>
      <c r="D301" t="inlineStr">
        <is>
          <t>JÄMTLANDS LÄN</t>
        </is>
      </c>
      <c r="E301" t="inlineStr">
        <is>
          <t>ÖSTERSUND</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66286-2020</t>
        </is>
      </c>
      <c r="B302" s="1" t="n">
        <v>44174</v>
      </c>
      <c r="C302" s="1" t="n">
        <v>45579</v>
      </c>
      <c r="D302" t="inlineStr">
        <is>
          <t>JÄMTLANDS LÄN</t>
        </is>
      </c>
      <c r="E302" t="inlineStr">
        <is>
          <t>ÖSTERSUND</t>
        </is>
      </c>
      <c r="F302" t="inlineStr">
        <is>
          <t>Övriga statliga verk och myndigheter</t>
        </is>
      </c>
      <c r="G302" t="n">
        <v>1.1</v>
      </c>
      <c r="H302" t="n">
        <v>0</v>
      </c>
      <c r="I302" t="n">
        <v>0</v>
      </c>
      <c r="J302" t="n">
        <v>0</v>
      </c>
      <c r="K302" t="n">
        <v>0</v>
      </c>
      <c r="L302" t="n">
        <v>0</v>
      </c>
      <c r="M302" t="n">
        <v>0</v>
      </c>
      <c r="N302" t="n">
        <v>0</v>
      </c>
      <c r="O302" t="n">
        <v>0</v>
      </c>
      <c r="P302" t="n">
        <v>0</v>
      </c>
      <c r="Q302" t="n">
        <v>0</v>
      </c>
      <c r="R302" s="2" t="inlineStr"/>
    </row>
    <row r="303" ht="15" customHeight="1">
      <c r="A303" t="inlineStr">
        <is>
          <t>A 67646-2020</t>
        </is>
      </c>
      <c r="B303" s="1" t="n">
        <v>44180</v>
      </c>
      <c r="C303" s="1" t="n">
        <v>45579</v>
      </c>
      <c r="D303" t="inlineStr">
        <is>
          <t>JÄMTLANDS LÄN</t>
        </is>
      </c>
      <c r="E303" t="inlineStr">
        <is>
          <t>ÖSTERSUND</t>
        </is>
      </c>
      <c r="G303" t="n">
        <v>1.9</v>
      </c>
      <c r="H303" t="n">
        <v>0</v>
      </c>
      <c r="I303" t="n">
        <v>0</v>
      </c>
      <c r="J303" t="n">
        <v>0</v>
      </c>
      <c r="K303" t="n">
        <v>0</v>
      </c>
      <c r="L303" t="n">
        <v>0</v>
      </c>
      <c r="M303" t="n">
        <v>0</v>
      </c>
      <c r="N303" t="n">
        <v>0</v>
      </c>
      <c r="O303" t="n">
        <v>0</v>
      </c>
      <c r="P303" t="n">
        <v>0</v>
      </c>
      <c r="Q303" t="n">
        <v>0</v>
      </c>
      <c r="R303" s="2" t="inlineStr"/>
    </row>
    <row r="304" ht="15" customHeight="1">
      <c r="A304" t="inlineStr">
        <is>
          <t>A 67643-2020</t>
        </is>
      </c>
      <c r="B304" s="1" t="n">
        <v>44180</v>
      </c>
      <c r="C304" s="1" t="n">
        <v>45579</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68408-2020</t>
        </is>
      </c>
      <c r="B305" s="1" t="n">
        <v>44186</v>
      </c>
      <c r="C305" s="1" t="n">
        <v>45579</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68937-2020</t>
        </is>
      </c>
      <c r="B306" s="1" t="n">
        <v>44187</v>
      </c>
      <c r="C306" s="1" t="n">
        <v>45579</v>
      </c>
      <c r="D306" t="inlineStr">
        <is>
          <t>JÄMTLANDS LÄN</t>
        </is>
      </c>
      <c r="E306" t="inlineStr">
        <is>
          <t>ÖSTERSUND</t>
        </is>
      </c>
      <c r="G306" t="n">
        <v>4.7</v>
      </c>
      <c r="H306" t="n">
        <v>0</v>
      </c>
      <c r="I306" t="n">
        <v>0</v>
      </c>
      <c r="J306" t="n">
        <v>0</v>
      </c>
      <c r="K306" t="n">
        <v>0</v>
      </c>
      <c r="L306" t="n">
        <v>0</v>
      </c>
      <c r="M306" t="n">
        <v>0</v>
      </c>
      <c r="N306" t="n">
        <v>0</v>
      </c>
      <c r="O306" t="n">
        <v>0</v>
      </c>
      <c r="P306" t="n">
        <v>0</v>
      </c>
      <c r="Q306" t="n">
        <v>0</v>
      </c>
      <c r="R306" s="2" t="inlineStr"/>
    </row>
    <row r="307" ht="15" customHeight="1">
      <c r="A307" t="inlineStr">
        <is>
          <t>A 126-2021</t>
        </is>
      </c>
      <c r="B307" s="1" t="n">
        <v>44200</v>
      </c>
      <c r="C307" s="1" t="n">
        <v>45579</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501-2021</t>
        </is>
      </c>
      <c r="B308" s="1" t="n">
        <v>44200</v>
      </c>
      <c r="C308" s="1" t="n">
        <v>45579</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1322-2021</t>
        </is>
      </c>
      <c r="B309" s="1" t="n">
        <v>44208</v>
      </c>
      <c r="C309" s="1" t="n">
        <v>45579</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2686-2021</t>
        </is>
      </c>
      <c r="B310" s="1" t="n">
        <v>44214</v>
      </c>
      <c r="C310" s="1" t="n">
        <v>45579</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5460-2021</t>
        </is>
      </c>
      <c r="B311" s="1" t="n">
        <v>44229</v>
      </c>
      <c r="C311" s="1" t="n">
        <v>45579</v>
      </c>
      <c r="D311" t="inlineStr">
        <is>
          <t>JÄMTLANDS LÄN</t>
        </is>
      </c>
      <c r="E311" t="inlineStr">
        <is>
          <t>ÖSTERSUND</t>
        </is>
      </c>
      <c r="G311" t="n">
        <v>14.2</v>
      </c>
      <c r="H311" t="n">
        <v>0</v>
      </c>
      <c r="I311" t="n">
        <v>0</v>
      </c>
      <c r="J311" t="n">
        <v>0</v>
      </c>
      <c r="K311" t="n">
        <v>0</v>
      </c>
      <c r="L311" t="n">
        <v>0</v>
      </c>
      <c r="M311" t="n">
        <v>0</v>
      </c>
      <c r="N311" t="n">
        <v>0</v>
      </c>
      <c r="O311" t="n">
        <v>0</v>
      </c>
      <c r="P311" t="n">
        <v>0</v>
      </c>
      <c r="Q311" t="n">
        <v>0</v>
      </c>
      <c r="R311" s="2" t="inlineStr"/>
    </row>
    <row r="312" ht="15" customHeight="1">
      <c r="A312" t="inlineStr">
        <is>
          <t>A 6578-2021</t>
        </is>
      </c>
      <c r="B312" s="1" t="n">
        <v>44236</v>
      </c>
      <c r="C312" s="1" t="n">
        <v>45579</v>
      </c>
      <c r="D312" t="inlineStr">
        <is>
          <t>JÄMTLANDS LÄN</t>
        </is>
      </c>
      <c r="E312" t="inlineStr">
        <is>
          <t>ÖSTERSUND</t>
        </is>
      </c>
      <c r="G312" t="n">
        <v>1.4</v>
      </c>
      <c r="H312" t="n">
        <v>0</v>
      </c>
      <c r="I312" t="n">
        <v>0</v>
      </c>
      <c r="J312" t="n">
        <v>0</v>
      </c>
      <c r="K312" t="n">
        <v>0</v>
      </c>
      <c r="L312" t="n">
        <v>0</v>
      </c>
      <c r="M312" t="n">
        <v>0</v>
      </c>
      <c r="N312" t="n">
        <v>0</v>
      </c>
      <c r="O312" t="n">
        <v>0</v>
      </c>
      <c r="P312" t="n">
        <v>0</v>
      </c>
      <c r="Q312" t="n">
        <v>0</v>
      </c>
      <c r="R312" s="2" t="inlineStr"/>
    </row>
    <row r="313" ht="15" customHeight="1">
      <c r="A313" t="inlineStr">
        <is>
          <t>A 8396-2021</t>
        </is>
      </c>
      <c r="B313" s="1" t="n">
        <v>44238</v>
      </c>
      <c r="C313" s="1" t="n">
        <v>45579</v>
      </c>
      <c r="D313" t="inlineStr">
        <is>
          <t>JÄMTLANDS LÄN</t>
        </is>
      </c>
      <c r="E313" t="inlineStr">
        <is>
          <t>ÖSTERSUND</t>
        </is>
      </c>
      <c r="G313" t="n">
        <v>1.1</v>
      </c>
      <c r="H313" t="n">
        <v>0</v>
      </c>
      <c r="I313" t="n">
        <v>0</v>
      </c>
      <c r="J313" t="n">
        <v>0</v>
      </c>
      <c r="K313" t="n">
        <v>0</v>
      </c>
      <c r="L313" t="n">
        <v>0</v>
      </c>
      <c r="M313" t="n">
        <v>0</v>
      </c>
      <c r="N313" t="n">
        <v>0</v>
      </c>
      <c r="O313" t="n">
        <v>0</v>
      </c>
      <c r="P313" t="n">
        <v>0</v>
      </c>
      <c r="Q313" t="n">
        <v>0</v>
      </c>
      <c r="R313" s="2" t="inlineStr"/>
    </row>
    <row r="314" ht="15" customHeight="1">
      <c r="A314" t="inlineStr">
        <is>
          <t>A 10590-2021</t>
        </is>
      </c>
      <c r="B314" s="1" t="n">
        <v>44258</v>
      </c>
      <c r="C314" s="1" t="n">
        <v>45579</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10911-2021</t>
        </is>
      </c>
      <c r="B315" s="1" t="n">
        <v>44259</v>
      </c>
      <c r="C315" s="1" t="n">
        <v>45579</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10834-2021</t>
        </is>
      </c>
      <c r="B316" s="1" t="n">
        <v>44259</v>
      </c>
      <c r="C316" s="1" t="n">
        <v>45579</v>
      </c>
      <c r="D316" t="inlineStr">
        <is>
          <t>JÄMTLANDS LÄN</t>
        </is>
      </c>
      <c r="E316" t="inlineStr">
        <is>
          <t>ÖSTERSUND</t>
        </is>
      </c>
      <c r="G316" t="n">
        <v>12.2</v>
      </c>
      <c r="H316" t="n">
        <v>0</v>
      </c>
      <c r="I316" t="n">
        <v>0</v>
      </c>
      <c r="J316" t="n">
        <v>0</v>
      </c>
      <c r="K316" t="n">
        <v>0</v>
      </c>
      <c r="L316" t="n">
        <v>0</v>
      </c>
      <c r="M316" t="n">
        <v>0</v>
      </c>
      <c r="N316" t="n">
        <v>0</v>
      </c>
      <c r="O316" t="n">
        <v>0</v>
      </c>
      <c r="P316" t="n">
        <v>0</v>
      </c>
      <c r="Q316" t="n">
        <v>0</v>
      </c>
      <c r="R316" s="2" t="inlineStr"/>
    </row>
    <row r="317" ht="15" customHeight="1">
      <c r="A317" t="inlineStr">
        <is>
          <t>A 12710-2021</t>
        </is>
      </c>
      <c r="B317" s="1" t="n">
        <v>44270</v>
      </c>
      <c r="C317" s="1" t="n">
        <v>45579</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12705-2021</t>
        </is>
      </c>
      <c r="B318" s="1" t="n">
        <v>44270</v>
      </c>
      <c r="C318" s="1" t="n">
        <v>45579</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14155-2021</t>
        </is>
      </c>
      <c r="B319" s="1" t="n">
        <v>44278</v>
      </c>
      <c r="C319" s="1" t="n">
        <v>45579</v>
      </c>
      <c r="D319" t="inlineStr">
        <is>
          <t>JÄMTLANDS LÄN</t>
        </is>
      </c>
      <c r="E319" t="inlineStr">
        <is>
          <t>ÖSTERSUND</t>
        </is>
      </c>
      <c r="G319" t="n">
        <v>2.6</v>
      </c>
      <c r="H319" t="n">
        <v>0</v>
      </c>
      <c r="I319" t="n">
        <v>0</v>
      </c>
      <c r="J319" t="n">
        <v>0</v>
      </c>
      <c r="K319" t="n">
        <v>0</v>
      </c>
      <c r="L319" t="n">
        <v>0</v>
      </c>
      <c r="M319" t="n">
        <v>0</v>
      </c>
      <c r="N319" t="n">
        <v>0</v>
      </c>
      <c r="O319" t="n">
        <v>0</v>
      </c>
      <c r="P319" t="n">
        <v>0</v>
      </c>
      <c r="Q319" t="n">
        <v>0</v>
      </c>
      <c r="R319" s="2" t="inlineStr"/>
    </row>
    <row r="320" ht="15" customHeight="1">
      <c r="A320" t="inlineStr">
        <is>
          <t>A 15659-2021</t>
        </is>
      </c>
      <c r="B320" s="1" t="n">
        <v>44298</v>
      </c>
      <c r="C320" s="1" t="n">
        <v>45579</v>
      </c>
      <c r="D320" t="inlineStr">
        <is>
          <t>JÄMTLANDS LÄN</t>
        </is>
      </c>
      <c r="E320" t="inlineStr">
        <is>
          <t>ÖSTERSUND</t>
        </is>
      </c>
      <c r="G320" t="n">
        <v>13.3</v>
      </c>
      <c r="H320" t="n">
        <v>0</v>
      </c>
      <c r="I320" t="n">
        <v>0</v>
      </c>
      <c r="J320" t="n">
        <v>0</v>
      </c>
      <c r="K320" t="n">
        <v>0</v>
      </c>
      <c r="L320" t="n">
        <v>0</v>
      </c>
      <c r="M320" t="n">
        <v>0</v>
      </c>
      <c r="N320" t="n">
        <v>0</v>
      </c>
      <c r="O320" t="n">
        <v>0</v>
      </c>
      <c r="P320" t="n">
        <v>0</v>
      </c>
      <c r="Q320" t="n">
        <v>0</v>
      </c>
      <c r="R320" s="2" t="inlineStr"/>
    </row>
    <row r="321" ht="15" customHeight="1">
      <c r="A321" t="inlineStr">
        <is>
          <t>A 17362-2021</t>
        </is>
      </c>
      <c r="B321" s="1" t="n">
        <v>44298</v>
      </c>
      <c r="C321" s="1" t="n">
        <v>45579</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17596-2021</t>
        </is>
      </c>
      <c r="B322" s="1" t="n">
        <v>44299</v>
      </c>
      <c r="C322" s="1" t="n">
        <v>45579</v>
      </c>
      <c r="D322" t="inlineStr">
        <is>
          <t>JÄMTLANDS LÄN</t>
        </is>
      </c>
      <c r="E322" t="inlineStr">
        <is>
          <t>ÖSTERSUND</t>
        </is>
      </c>
      <c r="G322" t="n">
        <v>3.7</v>
      </c>
      <c r="H322" t="n">
        <v>0</v>
      </c>
      <c r="I322" t="n">
        <v>0</v>
      </c>
      <c r="J322" t="n">
        <v>0</v>
      </c>
      <c r="K322" t="n">
        <v>0</v>
      </c>
      <c r="L322" t="n">
        <v>0</v>
      </c>
      <c r="M322" t="n">
        <v>0</v>
      </c>
      <c r="N322" t="n">
        <v>0</v>
      </c>
      <c r="O322" t="n">
        <v>0</v>
      </c>
      <c r="P322" t="n">
        <v>0</v>
      </c>
      <c r="Q322" t="n">
        <v>0</v>
      </c>
      <c r="R322" s="2" t="inlineStr"/>
    </row>
    <row r="323" ht="15" customHeight="1">
      <c r="A323" t="inlineStr">
        <is>
          <t>A 19541-2021</t>
        </is>
      </c>
      <c r="B323" s="1" t="n">
        <v>44312</v>
      </c>
      <c r="C323" s="1" t="n">
        <v>45579</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20290-2021</t>
        </is>
      </c>
      <c r="B324" s="1" t="n">
        <v>44314</v>
      </c>
      <c r="C324" s="1" t="n">
        <v>45579</v>
      </c>
      <c r="D324" t="inlineStr">
        <is>
          <t>JÄMTLANDS LÄN</t>
        </is>
      </c>
      <c r="E324" t="inlineStr">
        <is>
          <t>ÖSTERSUND</t>
        </is>
      </c>
      <c r="F324" t="inlineStr">
        <is>
          <t>SCA</t>
        </is>
      </c>
      <c r="G324" t="n">
        <v>8.1</v>
      </c>
      <c r="H324" t="n">
        <v>0</v>
      </c>
      <c r="I324" t="n">
        <v>0</v>
      </c>
      <c r="J324" t="n">
        <v>0</v>
      </c>
      <c r="K324" t="n">
        <v>0</v>
      </c>
      <c r="L324" t="n">
        <v>0</v>
      </c>
      <c r="M324" t="n">
        <v>0</v>
      </c>
      <c r="N324" t="n">
        <v>0</v>
      </c>
      <c r="O324" t="n">
        <v>0</v>
      </c>
      <c r="P324" t="n">
        <v>0</v>
      </c>
      <c r="Q324" t="n">
        <v>0</v>
      </c>
      <c r="R324" s="2" t="inlineStr"/>
    </row>
    <row r="325" ht="15" customHeight="1">
      <c r="A325" t="inlineStr">
        <is>
          <t>A 20620-2021</t>
        </is>
      </c>
      <c r="B325" s="1" t="n">
        <v>44316</v>
      </c>
      <c r="C325" s="1" t="n">
        <v>45579</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21306-2021</t>
        </is>
      </c>
      <c r="B326" s="1" t="n">
        <v>44320</v>
      </c>
      <c r="C326" s="1" t="n">
        <v>45579</v>
      </c>
      <c r="D326" t="inlineStr">
        <is>
          <t>JÄMTLANDS LÄN</t>
        </is>
      </c>
      <c r="E326" t="inlineStr">
        <is>
          <t>ÖSTERSUND</t>
        </is>
      </c>
      <c r="G326" t="n">
        <v>4.5</v>
      </c>
      <c r="H326" t="n">
        <v>0</v>
      </c>
      <c r="I326" t="n">
        <v>0</v>
      </c>
      <c r="J326" t="n">
        <v>0</v>
      </c>
      <c r="K326" t="n">
        <v>0</v>
      </c>
      <c r="L326" t="n">
        <v>0</v>
      </c>
      <c r="M326" t="n">
        <v>0</v>
      </c>
      <c r="N326" t="n">
        <v>0</v>
      </c>
      <c r="O326" t="n">
        <v>0</v>
      </c>
      <c r="P326" t="n">
        <v>0</v>
      </c>
      <c r="Q326" t="n">
        <v>0</v>
      </c>
      <c r="R326" s="2" t="inlineStr"/>
    </row>
    <row r="327" ht="15" customHeight="1">
      <c r="A327" t="inlineStr">
        <is>
          <t>A 21849-2021</t>
        </is>
      </c>
      <c r="B327" s="1" t="n">
        <v>44322</v>
      </c>
      <c r="C327" s="1" t="n">
        <v>45579</v>
      </c>
      <c r="D327" t="inlineStr">
        <is>
          <t>JÄMTLANDS LÄN</t>
        </is>
      </c>
      <c r="E327" t="inlineStr">
        <is>
          <t>ÖSTERSUND</t>
        </is>
      </c>
      <c r="G327" t="n">
        <v>2.5</v>
      </c>
      <c r="H327" t="n">
        <v>0</v>
      </c>
      <c r="I327" t="n">
        <v>0</v>
      </c>
      <c r="J327" t="n">
        <v>0</v>
      </c>
      <c r="K327" t="n">
        <v>0</v>
      </c>
      <c r="L327" t="n">
        <v>0</v>
      </c>
      <c r="M327" t="n">
        <v>0</v>
      </c>
      <c r="N327" t="n">
        <v>0</v>
      </c>
      <c r="O327" t="n">
        <v>0</v>
      </c>
      <c r="P327" t="n">
        <v>0</v>
      </c>
      <c r="Q327" t="n">
        <v>0</v>
      </c>
      <c r="R327" s="2" t="inlineStr"/>
    </row>
    <row r="328" ht="15" customHeight="1">
      <c r="A328" t="inlineStr">
        <is>
          <t>A 22126-2021</t>
        </is>
      </c>
      <c r="B328" s="1" t="n">
        <v>44323</v>
      </c>
      <c r="C328" s="1" t="n">
        <v>45579</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23187-2021</t>
        </is>
      </c>
      <c r="B329" s="1" t="n">
        <v>44328</v>
      </c>
      <c r="C329" s="1" t="n">
        <v>45579</v>
      </c>
      <c r="D329" t="inlineStr">
        <is>
          <t>JÄMTLANDS LÄN</t>
        </is>
      </c>
      <c r="E329" t="inlineStr">
        <is>
          <t>ÖSTERSUND</t>
        </is>
      </c>
      <c r="G329" t="n">
        <v>1.8</v>
      </c>
      <c r="H329" t="n">
        <v>0</v>
      </c>
      <c r="I329" t="n">
        <v>0</v>
      </c>
      <c r="J329" t="n">
        <v>0</v>
      </c>
      <c r="K329" t="n">
        <v>0</v>
      </c>
      <c r="L329" t="n">
        <v>0</v>
      </c>
      <c r="M329" t="n">
        <v>0</v>
      </c>
      <c r="N329" t="n">
        <v>0</v>
      </c>
      <c r="O329" t="n">
        <v>0</v>
      </c>
      <c r="P329" t="n">
        <v>0</v>
      </c>
      <c r="Q329" t="n">
        <v>0</v>
      </c>
      <c r="R329" s="2" t="inlineStr"/>
    </row>
    <row r="330" ht="15" customHeight="1">
      <c r="A330" t="inlineStr">
        <is>
          <t>A 23895-2021</t>
        </is>
      </c>
      <c r="B330" s="1" t="n">
        <v>44335</v>
      </c>
      <c r="C330" s="1" t="n">
        <v>45579</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24312-2021</t>
        </is>
      </c>
      <c r="B331" s="1" t="n">
        <v>44336</v>
      </c>
      <c r="C331" s="1" t="n">
        <v>45579</v>
      </c>
      <c r="D331" t="inlineStr">
        <is>
          <t>JÄMTLANDS LÄN</t>
        </is>
      </c>
      <c r="E331" t="inlineStr">
        <is>
          <t>ÖSTERSUND</t>
        </is>
      </c>
      <c r="G331" t="n">
        <v>10.6</v>
      </c>
      <c r="H331" t="n">
        <v>0</v>
      </c>
      <c r="I331" t="n">
        <v>0</v>
      </c>
      <c r="J331" t="n">
        <v>0</v>
      </c>
      <c r="K331" t="n">
        <v>0</v>
      </c>
      <c r="L331" t="n">
        <v>0</v>
      </c>
      <c r="M331" t="n">
        <v>0</v>
      </c>
      <c r="N331" t="n">
        <v>0</v>
      </c>
      <c r="O331" t="n">
        <v>0</v>
      </c>
      <c r="P331" t="n">
        <v>0</v>
      </c>
      <c r="Q331" t="n">
        <v>0</v>
      </c>
      <c r="R331" s="2" t="inlineStr"/>
    </row>
    <row r="332" ht="15" customHeight="1">
      <c r="A332" t="inlineStr">
        <is>
          <t>A 24706-2021</t>
        </is>
      </c>
      <c r="B332" s="1" t="n">
        <v>44340</v>
      </c>
      <c r="C332" s="1" t="n">
        <v>45579</v>
      </c>
      <c r="D332" t="inlineStr">
        <is>
          <t>JÄMTLANDS LÄN</t>
        </is>
      </c>
      <c r="E332" t="inlineStr">
        <is>
          <t>ÖSTERSUND</t>
        </is>
      </c>
      <c r="G332" t="n">
        <v>5.6</v>
      </c>
      <c r="H332" t="n">
        <v>0</v>
      </c>
      <c r="I332" t="n">
        <v>0</v>
      </c>
      <c r="J332" t="n">
        <v>0</v>
      </c>
      <c r="K332" t="n">
        <v>0</v>
      </c>
      <c r="L332" t="n">
        <v>0</v>
      </c>
      <c r="M332" t="n">
        <v>0</v>
      </c>
      <c r="N332" t="n">
        <v>0</v>
      </c>
      <c r="O332" t="n">
        <v>0</v>
      </c>
      <c r="P332" t="n">
        <v>0</v>
      </c>
      <c r="Q332" t="n">
        <v>0</v>
      </c>
      <c r="R332" s="2" t="inlineStr"/>
    </row>
    <row r="333" ht="15" customHeight="1">
      <c r="A333" t="inlineStr">
        <is>
          <t>A 24721-2021</t>
        </is>
      </c>
      <c r="B333" s="1" t="n">
        <v>44340</v>
      </c>
      <c r="C333" s="1" t="n">
        <v>45579</v>
      </c>
      <c r="D333" t="inlineStr">
        <is>
          <t>JÄMTLANDS LÄN</t>
        </is>
      </c>
      <c r="E333" t="inlineStr">
        <is>
          <t>ÖSTERSUND</t>
        </is>
      </c>
      <c r="G333" t="n">
        <v>2.7</v>
      </c>
      <c r="H333" t="n">
        <v>0</v>
      </c>
      <c r="I333" t="n">
        <v>0</v>
      </c>
      <c r="J333" t="n">
        <v>0</v>
      </c>
      <c r="K333" t="n">
        <v>0</v>
      </c>
      <c r="L333" t="n">
        <v>0</v>
      </c>
      <c r="M333" t="n">
        <v>0</v>
      </c>
      <c r="N333" t="n">
        <v>0</v>
      </c>
      <c r="O333" t="n">
        <v>0</v>
      </c>
      <c r="P333" t="n">
        <v>0</v>
      </c>
      <c r="Q333" t="n">
        <v>0</v>
      </c>
      <c r="R333" s="2" t="inlineStr"/>
    </row>
    <row r="334" ht="15" customHeight="1">
      <c r="A334" t="inlineStr">
        <is>
          <t>A 26254-2021</t>
        </is>
      </c>
      <c r="B334" s="1" t="n">
        <v>44347</v>
      </c>
      <c r="C334" s="1" t="n">
        <v>45579</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26259-2021</t>
        </is>
      </c>
      <c r="B335" s="1" t="n">
        <v>44347</v>
      </c>
      <c r="C335" s="1" t="n">
        <v>45579</v>
      </c>
      <c r="D335" t="inlineStr">
        <is>
          <t>JÄMTLANDS LÄN</t>
        </is>
      </c>
      <c r="E335" t="inlineStr">
        <is>
          <t>ÖSTERSUND</t>
        </is>
      </c>
      <c r="G335" t="n">
        <v>4.3</v>
      </c>
      <c r="H335" t="n">
        <v>0</v>
      </c>
      <c r="I335" t="n">
        <v>0</v>
      </c>
      <c r="J335" t="n">
        <v>0</v>
      </c>
      <c r="K335" t="n">
        <v>0</v>
      </c>
      <c r="L335" t="n">
        <v>0</v>
      </c>
      <c r="M335" t="n">
        <v>0</v>
      </c>
      <c r="N335" t="n">
        <v>0</v>
      </c>
      <c r="O335" t="n">
        <v>0</v>
      </c>
      <c r="P335" t="n">
        <v>0</v>
      </c>
      <c r="Q335" t="n">
        <v>0</v>
      </c>
      <c r="R335" s="2" t="inlineStr"/>
    </row>
    <row r="336" ht="15" customHeight="1">
      <c r="A336" t="inlineStr">
        <is>
          <t>A 27061-2021</t>
        </is>
      </c>
      <c r="B336" s="1" t="n">
        <v>44349</v>
      </c>
      <c r="C336" s="1" t="n">
        <v>45579</v>
      </c>
      <c r="D336" t="inlineStr">
        <is>
          <t>JÄMTLANDS LÄN</t>
        </is>
      </c>
      <c r="E336" t="inlineStr">
        <is>
          <t>ÖSTERSUND</t>
        </is>
      </c>
      <c r="G336" t="n">
        <v>3.2</v>
      </c>
      <c r="H336" t="n">
        <v>0</v>
      </c>
      <c r="I336" t="n">
        <v>0</v>
      </c>
      <c r="J336" t="n">
        <v>0</v>
      </c>
      <c r="K336" t="n">
        <v>0</v>
      </c>
      <c r="L336" t="n">
        <v>0</v>
      </c>
      <c r="M336" t="n">
        <v>0</v>
      </c>
      <c r="N336" t="n">
        <v>0</v>
      </c>
      <c r="O336" t="n">
        <v>0</v>
      </c>
      <c r="P336" t="n">
        <v>0</v>
      </c>
      <c r="Q336" t="n">
        <v>0</v>
      </c>
      <c r="R336" s="2" t="inlineStr"/>
    </row>
    <row r="337" ht="15" customHeight="1">
      <c r="A337" t="inlineStr">
        <is>
          <t>A 27004-2021</t>
        </is>
      </c>
      <c r="B337" s="1" t="n">
        <v>44349</v>
      </c>
      <c r="C337" s="1" t="n">
        <v>45579</v>
      </c>
      <c r="D337" t="inlineStr">
        <is>
          <t>JÄMTLANDS LÄN</t>
        </is>
      </c>
      <c r="E337" t="inlineStr">
        <is>
          <t>ÖSTERSUND</t>
        </is>
      </c>
      <c r="G337" t="n">
        <v>1.3</v>
      </c>
      <c r="H337" t="n">
        <v>0</v>
      </c>
      <c r="I337" t="n">
        <v>0</v>
      </c>
      <c r="J337" t="n">
        <v>0</v>
      </c>
      <c r="K337" t="n">
        <v>0</v>
      </c>
      <c r="L337" t="n">
        <v>0</v>
      </c>
      <c r="M337" t="n">
        <v>0</v>
      </c>
      <c r="N337" t="n">
        <v>0</v>
      </c>
      <c r="O337" t="n">
        <v>0</v>
      </c>
      <c r="P337" t="n">
        <v>0</v>
      </c>
      <c r="Q337" t="n">
        <v>0</v>
      </c>
      <c r="R337" s="2" t="inlineStr"/>
    </row>
    <row r="338" ht="15" customHeight="1">
      <c r="A338" t="inlineStr">
        <is>
          <t>A 29582-2021</t>
        </is>
      </c>
      <c r="B338" s="1" t="n">
        <v>44362</v>
      </c>
      <c r="C338" s="1" t="n">
        <v>45579</v>
      </c>
      <c r="D338" t="inlineStr">
        <is>
          <t>JÄMTLANDS LÄN</t>
        </is>
      </c>
      <c r="E338" t="inlineStr">
        <is>
          <t>ÖSTERSUND</t>
        </is>
      </c>
      <c r="G338" t="n">
        <v>31.5</v>
      </c>
      <c r="H338" t="n">
        <v>0</v>
      </c>
      <c r="I338" t="n">
        <v>0</v>
      </c>
      <c r="J338" t="n">
        <v>0</v>
      </c>
      <c r="K338" t="n">
        <v>0</v>
      </c>
      <c r="L338" t="n">
        <v>0</v>
      </c>
      <c r="M338" t="n">
        <v>0</v>
      </c>
      <c r="N338" t="n">
        <v>0</v>
      </c>
      <c r="O338" t="n">
        <v>0</v>
      </c>
      <c r="P338" t="n">
        <v>0</v>
      </c>
      <c r="Q338" t="n">
        <v>0</v>
      </c>
      <c r="R338" s="2" t="inlineStr"/>
    </row>
    <row r="339" ht="15" customHeight="1">
      <c r="A339" t="inlineStr">
        <is>
          <t>A 29707-2021</t>
        </is>
      </c>
      <c r="B339" s="1" t="n">
        <v>44362</v>
      </c>
      <c r="C339" s="1" t="n">
        <v>45579</v>
      </c>
      <c r="D339" t="inlineStr">
        <is>
          <t>JÄMTLANDS LÄN</t>
        </is>
      </c>
      <c r="E339" t="inlineStr">
        <is>
          <t>ÖSTERSUND</t>
        </is>
      </c>
      <c r="G339" t="n">
        <v>4</v>
      </c>
      <c r="H339" t="n">
        <v>0</v>
      </c>
      <c r="I339" t="n">
        <v>0</v>
      </c>
      <c r="J339" t="n">
        <v>0</v>
      </c>
      <c r="K339" t="n">
        <v>0</v>
      </c>
      <c r="L339" t="n">
        <v>0</v>
      </c>
      <c r="M339" t="n">
        <v>0</v>
      </c>
      <c r="N339" t="n">
        <v>0</v>
      </c>
      <c r="O339" t="n">
        <v>0</v>
      </c>
      <c r="P339" t="n">
        <v>0</v>
      </c>
      <c r="Q339" t="n">
        <v>0</v>
      </c>
      <c r="R339" s="2" t="inlineStr"/>
    </row>
    <row r="340" ht="15" customHeight="1">
      <c r="A340" t="inlineStr">
        <is>
          <t>A 31040-2021</t>
        </is>
      </c>
      <c r="B340" s="1" t="n">
        <v>44368</v>
      </c>
      <c r="C340" s="1" t="n">
        <v>45579</v>
      </c>
      <c r="D340" t="inlineStr">
        <is>
          <t>JÄMTLANDS LÄN</t>
        </is>
      </c>
      <c r="E340" t="inlineStr">
        <is>
          <t>ÖSTERSUND</t>
        </is>
      </c>
      <c r="G340" t="n">
        <v>4.3</v>
      </c>
      <c r="H340" t="n">
        <v>0</v>
      </c>
      <c r="I340" t="n">
        <v>0</v>
      </c>
      <c r="J340" t="n">
        <v>0</v>
      </c>
      <c r="K340" t="n">
        <v>0</v>
      </c>
      <c r="L340" t="n">
        <v>0</v>
      </c>
      <c r="M340" t="n">
        <v>0</v>
      </c>
      <c r="N340" t="n">
        <v>0</v>
      </c>
      <c r="O340" t="n">
        <v>0</v>
      </c>
      <c r="P340" t="n">
        <v>0</v>
      </c>
      <c r="Q340" t="n">
        <v>0</v>
      </c>
      <c r="R340" s="2" t="inlineStr"/>
    </row>
    <row r="341" ht="15" customHeight="1">
      <c r="A341" t="inlineStr">
        <is>
          <t>A 32994-2021</t>
        </is>
      </c>
      <c r="B341" s="1" t="n">
        <v>44375</v>
      </c>
      <c r="C341" s="1" t="n">
        <v>45579</v>
      </c>
      <c r="D341" t="inlineStr">
        <is>
          <t>JÄMTLANDS LÄN</t>
        </is>
      </c>
      <c r="E341" t="inlineStr">
        <is>
          <t>ÖSTERSUND</t>
        </is>
      </c>
      <c r="G341" t="n">
        <v>0.1</v>
      </c>
      <c r="H341" t="n">
        <v>0</v>
      </c>
      <c r="I341" t="n">
        <v>0</v>
      </c>
      <c r="J341" t="n">
        <v>0</v>
      </c>
      <c r="K341" t="n">
        <v>0</v>
      </c>
      <c r="L341" t="n">
        <v>0</v>
      </c>
      <c r="M341" t="n">
        <v>0</v>
      </c>
      <c r="N341" t="n">
        <v>0</v>
      </c>
      <c r="O341" t="n">
        <v>0</v>
      </c>
      <c r="P341" t="n">
        <v>0</v>
      </c>
      <c r="Q341" t="n">
        <v>0</v>
      </c>
      <c r="R341" s="2" t="inlineStr"/>
    </row>
    <row r="342" ht="15" customHeight="1">
      <c r="A342" t="inlineStr">
        <is>
          <t>A 33004-2021</t>
        </is>
      </c>
      <c r="B342" s="1" t="n">
        <v>44375</v>
      </c>
      <c r="C342" s="1" t="n">
        <v>45579</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32998-2021</t>
        </is>
      </c>
      <c r="B343" s="1" t="n">
        <v>44375</v>
      </c>
      <c r="C343" s="1" t="n">
        <v>45579</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32986-2021</t>
        </is>
      </c>
      <c r="B344" s="1" t="n">
        <v>44375</v>
      </c>
      <c r="C344" s="1" t="n">
        <v>45579</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33002-2021</t>
        </is>
      </c>
      <c r="B345" s="1" t="n">
        <v>44375</v>
      </c>
      <c r="C345" s="1" t="n">
        <v>45579</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32990-2021</t>
        </is>
      </c>
      <c r="B346" s="1" t="n">
        <v>44375</v>
      </c>
      <c r="C346" s="1" t="n">
        <v>45579</v>
      </c>
      <c r="D346" t="inlineStr">
        <is>
          <t>JÄMTLANDS LÄN</t>
        </is>
      </c>
      <c r="E346" t="inlineStr">
        <is>
          <t>ÖSTERSUND</t>
        </is>
      </c>
      <c r="G346" t="n">
        <v>0.2</v>
      </c>
      <c r="H346" t="n">
        <v>0</v>
      </c>
      <c r="I346" t="n">
        <v>0</v>
      </c>
      <c r="J346" t="n">
        <v>0</v>
      </c>
      <c r="K346" t="n">
        <v>0</v>
      </c>
      <c r="L346" t="n">
        <v>0</v>
      </c>
      <c r="M346" t="n">
        <v>0</v>
      </c>
      <c r="N346" t="n">
        <v>0</v>
      </c>
      <c r="O346" t="n">
        <v>0</v>
      </c>
      <c r="P346" t="n">
        <v>0</v>
      </c>
      <c r="Q346" t="n">
        <v>0</v>
      </c>
      <c r="R346" s="2" t="inlineStr"/>
    </row>
    <row r="347" ht="15" customHeight="1">
      <c r="A347" t="inlineStr">
        <is>
          <t>A 33831-2021</t>
        </is>
      </c>
      <c r="B347" s="1" t="n">
        <v>44378</v>
      </c>
      <c r="C347" s="1" t="n">
        <v>45579</v>
      </c>
      <c r="D347" t="inlineStr">
        <is>
          <t>JÄMTLANDS LÄN</t>
        </is>
      </c>
      <c r="E347" t="inlineStr">
        <is>
          <t>ÖSTERSUND</t>
        </is>
      </c>
      <c r="G347" t="n">
        <v>2.5</v>
      </c>
      <c r="H347" t="n">
        <v>0</v>
      </c>
      <c r="I347" t="n">
        <v>0</v>
      </c>
      <c r="J347" t="n">
        <v>0</v>
      </c>
      <c r="K347" t="n">
        <v>0</v>
      </c>
      <c r="L347" t="n">
        <v>0</v>
      </c>
      <c r="M347" t="n">
        <v>0</v>
      </c>
      <c r="N347" t="n">
        <v>0</v>
      </c>
      <c r="O347" t="n">
        <v>0</v>
      </c>
      <c r="P347" t="n">
        <v>0</v>
      </c>
      <c r="Q347" t="n">
        <v>0</v>
      </c>
      <c r="R347" s="2" t="inlineStr"/>
    </row>
    <row r="348" ht="15" customHeight="1">
      <c r="A348" t="inlineStr">
        <is>
          <t>A 35032-2021</t>
        </is>
      </c>
      <c r="B348" s="1" t="n">
        <v>44383</v>
      </c>
      <c r="C348" s="1" t="n">
        <v>45579</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35755-2021</t>
        </is>
      </c>
      <c r="B349" s="1" t="n">
        <v>44385</v>
      </c>
      <c r="C349" s="1" t="n">
        <v>45579</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38142-2021</t>
        </is>
      </c>
      <c r="B350" s="1" t="n">
        <v>44405</v>
      </c>
      <c r="C350" s="1" t="n">
        <v>45579</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38647-2021</t>
        </is>
      </c>
      <c r="B351" s="1" t="n">
        <v>44410</v>
      </c>
      <c r="C351" s="1" t="n">
        <v>45579</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38644-2021</t>
        </is>
      </c>
      <c r="B352" s="1" t="n">
        <v>44410</v>
      </c>
      <c r="C352" s="1" t="n">
        <v>45579</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39735-2021</t>
        </is>
      </c>
      <c r="B353" s="1" t="n">
        <v>44414</v>
      </c>
      <c r="C353" s="1" t="n">
        <v>45579</v>
      </c>
      <c r="D353" t="inlineStr">
        <is>
          <t>JÄMTLANDS LÄN</t>
        </is>
      </c>
      <c r="E353" t="inlineStr">
        <is>
          <t>ÖSTERSUND</t>
        </is>
      </c>
      <c r="G353" t="n">
        <v>4.5</v>
      </c>
      <c r="H353" t="n">
        <v>0</v>
      </c>
      <c r="I353" t="n">
        <v>0</v>
      </c>
      <c r="J353" t="n">
        <v>0</v>
      </c>
      <c r="K353" t="n">
        <v>0</v>
      </c>
      <c r="L353" t="n">
        <v>0</v>
      </c>
      <c r="M353" t="n">
        <v>0</v>
      </c>
      <c r="N353" t="n">
        <v>0</v>
      </c>
      <c r="O353" t="n">
        <v>0</v>
      </c>
      <c r="P353" t="n">
        <v>0</v>
      </c>
      <c r="Q353" t="n">
        <v>0</v>
      </c>
      <c r="R353" s="2" t="inlineStr"/>
    </row>
    <row r="354" ht="15" customHeight="1">
      <c r="A354" t="inlineStr">
        <is>
          <t>A 40038-2021</t>
        </is>
      </c>
      <c r="B354" s="1" t="n">
        <v>44418</v>
      </c>
      <c r="C354" s="1" t="n">
        <v>45579</v>
      </c>
      <c r="D354" t="inlineStr">
        <is>
          <t>JÄMTLANDS LÄN</t>
        </is>
      </c>
      <c r="E354" t="inlineStr">
        <is>
          <t>ÖSTERSUND</t>
        </is>
      </c>
      <c r="G354" t="n">
        <v>7</v>
      </c>
      <c r="H354" t="n">
        <v>0</v>
      </c>
      <c r="I354" t="n">
        <v>0</v>
      </c>
      <c r="J354" t="n">
        <v>0</v>
      </c>
      <c r="K354" t="n">
        <v>0</v>
      </c>
      <c r="L354" t="n">
        <v>0</v>
      </c>
      <c r="M354" t="n">
        <v>0</v>
      </c>
      <c r="N354" t="n">
        <v>0</v>
      </c>
      <c r="O354" t="n">
        <v>0</v>
      </c>
      <c r="P354" t="n">
        <v>0</v>
      </c>
      <c r="Q354" t="n">
        <v>0</v>
      </c>
      <c r="R354" s="2" t="inlineStr"/>
    </row>
    <row r="355" ht="15" customHeight="1">
      <c r="A355" t="inlineStr">
        <is>
          <t>A 41802-2021</t>
        </is>
      </c>
      <c r="B355" s="1" t="n">
        <v>44425</v>
      </c>
      <c r="C355" s="1" t="n">
        <v>45579</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42469-2021</t>
        </is>
      </c>
      <c r="B356" s="1" t="n">
        <v>44427</v>
      </c>
      <c r="C356" s="1" t="n">
        <v>45579</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42793-2021</t>
        </is>
      </c>
      <c r="B357" s="1" t="n">
        <v>44428</v>
      </c>
      <c r="C357" s="1" t="n">
        <v>45579</v>
      </c>
      <c r="D357" t="inlineStr">
        <is>
          <t>JÄMTLANDS LÄN</t>
        </is>
      </c>
      <c r="E357" t="inlineStr">
        <is>
          <t>ÖSTERSUND</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42832-2021</t>
        </is>
      </c>
      <c r="B358" s="1" t="n">
        <v>44430</v>
      </c>
      <c r="C358" s="1" t="n">
        <v>45579</v>
      </c>
      <c r="D358" t="inlineStr">
        <is>
          <t>JÄMTLANDS LÄN</t>
        </is>
      </c>
      <c r="E358" t="inlineStr">
        <is>
          <t>ÖSTERSUND</t>
        </is>
      </c>
      <c r="G358" t="n">
        <v>9</v>
      </c>
      <c r="H358" t="n">
        <v>0</v>
      </c>
      <c r="I358" t="n">
        <v>0</v>
      </c>
      <c r="J358" t="n">
        <v>0</v>
      </c>
      <c r="K358" t="n">
        <v>0</v>
      </c>
      <c r="L358" t="n">
        <v>0</v>
      </c>
      <c r="M358" t="n">
        <v>0</v>
      </c>
      <c r="N358" t="n">
        <v>0</v>
      </c>
      <c r="O358" t="n">
        <v>0</v>
      </c>
      <c r="P358" t="n">
        <v>0</v>
      </c>
      <c r="Q358" t="n">
        <v>0</v>
      </c>
      <c r="R358" s="2" t="inlineStr"/>
    </row>
    <row r="359" ht="15" customHeight="1">
      <c r="A359" t="inlineStr">
        <is>
          <t>A 43310-2021</t>
        </is>
      </c>
      <c r="B359" s="1" t="n">
        <v>44432</v>
      </c>
      <c r="C359" s="1" t="n">
        <v>45579</v>
      </c>
      <c r="D359" t="inlineStr">
        <is>
          <t>JÄMTLANDS LÄN</t>
        </is>
      </c>
      <c r="E359" t="inlineStr">
        <is>
          <t>ÖSTERSUND</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44013-2021</t>
        </is>
      </c>
      <c r="B360" s="1" t="n">
        <v>44434</v>
      </c>
      <c r="C360" s="1" t="n">
        <v>45579</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44051-2021</t>
        </is>
      </c>
      <c r="B361" s="1" t="n">
        <v>44434</v>
      </c>
      <c r="C361" s="1" t="n">
        <v>45579</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44267-2021</t>
        </is>
      </c>
      <c r="B362" s="1" t="n">
        <v>44434</v>
      </c>
      <c r="C362" s="1" t="n">
        <v>45579</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46002-2021</t>
        </is>
      </c>
      <c r="B363" s="1" t="n">
        <v>44441</v>
      </c>
      <c r="C363" s="1" t="n">
        <v>45579</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46004-2021</t>
        </is>
      </c>
      <c r="B364" s="1" t="n">
        <v>44441</v>
      </c>
      <c r="C364" s="1" t="n">
        <v>45579</v>
      </c>
      <c r="D364" t="inlineStr">
        <is>
          <t>JÄMTLANDS LÄN</t>
        </is>
      </c>
      <c r="E364" t="inlineStr">
        <is>
          <t>ÖSTERSUND</t>
        </is>
      </c>
      <c r="G364" t="n">
        <v>2.1</v>
      </c>
      <c r="H364" t="n">
        <v>0</v>
      </c>
      <c r="I364" t="n">
        <v>0</v>
      </c>
      <c r="J364" t="n">
        <v>0</v>
      </c>
      <c r="K364" t="n">
        <v>0</v>
      </c>
      <c r="L364" t="n">
        <v>0</v>
      </c>
      <c r="M364" t="n">
        <v>0</v>
      </c>
      <c r="N364" t="n">
        <v>0</v>
      </c>
      <c r="O364" t="n">
        <v>0</v>
      </c>
      <c r="P364" t="n">
        <v>0</v>
      </c>
      <c r="Q364" t="n">
        <v>0</v>
      </c>
      <c r="R364" s="2" t="inlineStr"/>
    </row>
    <row r="365" ht="15" customHeight="1">
      <c r="A365" t="inlineStr">
        <is>
          <t>A 46111-2021</t>
        </is>
      </c>
      <c r="B365" s="1" t="n">
        <v>44441</v>
      </c>
      <c r="C365" s="1" t="n">
        <v>45579</v>
      </c>
      <c r="D365" t="inlineStr">
        <is>
          <t>JÄMTLANDS LÄN</t>
        </is>
      </c>
      <c r="E365" t="inlineStr">
        <is>
          <t>ÖSTERSUND</t>
        </is>
      </c>
      <c r="G365" t="n">
        <v>4.6</v>
      </c>
      <c r="H365" t="n">
        <v>0</v>
      </c>
      <c r="I365" t="n">
        <v>0</v>
      </c>
      <c r="J365" t="n">
        <v>0</v>
      </c>
      <c r="K365" t="n">
        <v>0</v>
      </c>
      <c r="L365" t="n">
        <v>0</v>
      </c>
      <c r="M365" t="n">
        <v>0</v>
      </c>
      <c r="N365" t="n">
        <v>0</v>
      </c>
      <c r="O365" t="n">
        <v>0</v>
      </c>
      <c r="P365" t="n">
        <v>0</v>
      </c>
      <c r="Q365" t="n">
        <v>0</v>
      </c>
      <c r="R365" s="2" t="inlineStr"/>
    </row>
    <row r="366" ht="15" customHeight="1">
      <c r="A366" t="inlineStr">
        <is>
          <t>A 46139-2021</t>
        </is>
      </c>
      <c r="B366" s="1" t="n">
        <v>44441</v>
      </c>
      <c r="C366" s="1" t="n">
        <v>45579</v>
      </c>
      <c r="D366" t="inlineStr">
        <is>
          <t>JÄMTLANDS LÄN</t>
        </is>
      </c>
      <c r="E366" t="inlineStr">
        <is>
          <t>ÖSTERSUND</t>
        </is>
      </c>
      <c r="G366" t="n">
        <v>12.8</v>
      </c>
      <c r="H366" t="n">
        <v>0</v>
      </c>
      <c r="I366" t="n">
        <v>0</v>
      </c>
      <c r="J366" t="n">
        <v>0</v>
      </c>
      <c r="K366" t="n">
        <v>0</v>
      </c>
      <c r="L366" t="n">
        <v>0</v>
      </c>
      <c r="M366" t="n">
        <v>0</v>
      </c>
      <c r="N366" t="n">
        <v>0</v>
      </c>
      <c r="O366" t="n">
        <v>0</v>
      </c>
      <c r="P366" t="n">
        <v>0</v>
      </c>
      <c r="Q366" t="n">
        <v>0</v>
      </c>
      <c r="R366" s="2" t="inlineStr"/>
    </row>
    <row r="367" ht="15" customHeight="1">
      <c r="A367" t="inlineStr">
        <is>
          <t>A 48947-2021</t>
        </is>
      </c>
      <c r="B367" s="1" t="n">
        <v>44453</v>
      </c>
      <c r="C367" s="1" t="n">
        <v>45579</v>
      </c>
      <c r="D367" t="inlineStr">
        <is>
          <t>JÄMTLANDS LÄN</t>
        </is>
      </c>
      <c r="E367" t="inlineStr">
        <is>
          <t>ÖSTERSUND</t>
        </is>
      </c>
      <c r="G367" t="n">
        <v>22.3</v>
      </c>
      <c r="H367" t="n">
        <v>0</v>
      </c>
      <c r="I367" t="n">
        <v>0</v>
      </c>
      <c r="J367" t="n">
        <v>0</v>
      </c>
      <c r="K367" t="n">
        <v>0</v>
      </c>
      <c r="L367" t="n">
        <v>0</v>
      </c>
      <c r="M367" t="n">
        <v>0</v>
      </c>
      <c r="N367" t="n">
        <v>0</v>
      </c>
      <c r="O367" t="n">
        <v>0</v>
      </c>
      <c r="P367" t="n">
        <v>0</v>
      </c>
      <c r="Q367" t="n">
        <v>0</v>
      </c>
      <c r="R367" s="2" t="inlineStr"/>
    </row>
    <row r="368" ht="15" customHeight="1">
      <c r="A368" t="inlineStr">
        <is>
          <t>A 52913-2021</t>
        </is>
      </c>
      <c r="B368" s="1" t="n">
        <v>44466</v>
      </c>
      <c r="C368" s="1" t="n">
        <v>45579</v>
      </c>
      <c r="D368" t="inlineStr">
        <is>
          <t>JÄMTLANDS LÄN</t>
        </is>
      </c>
      <c r="E368" t="inlineStr">
        <is>
          <t>ÖSTERSUND</t>
        </is>
      </c>
      <c r="G368" t="n">
        <v>4.2</v>
      </c>
      <c r="H368" t="n">
        <v>0</v>
      </c>
      <c r="I368" t="n">
        <v>0</v>
      </c>
      <c r="J368" t="n">
        <v>0</v>
      </c>
      <c r="K368" t="n">
        <v>0</v>
      </c>
      <c r="L368" t="n">
        <v>0</v>
      </c>
      <c r="M368" t="n">
        <v>0</v>
      </c>
      <c r="N368" t="n">
        <v>0</v>
      </c>
      <c r="O368" t="n">
        <v>0</v>
      </c>
      <c r="P368" t="n">
        <v>0</v>
      </c>
      <c r="Q368" t="n">
        <v>0</v>
      </c>
      <c r="R368" s="2" t="inlineStr"/>
    </row>
    <row r="369" ht="15" customHeight="1">
      <c r="A369" t="inlineStr">
        <is>
          <t>A 55302-2021</t>
        </is>
      </c>
      <c r="B369" s="1" t="n">
        <v>44475</v>
      </c>
      <c r="C369" s="1" t="n">
        <v>45579</v>
      </c>
      <c r="D369" t="inlineStr">
        <is>
          <t>JÄMTLANDS LÄN</t>
        </is>
      </c>
      <c r="E369" t="inlineStr">
        <is>
          <t>ÖSTERSUND</t>
        </is>
      </c>
      <c r="G369" t="n">
        <v>0.3</v>
      </c>
      <c r="H369" t="n">
        <v>0</v>
      </c>
      <c r="I369" t="n">
        <v>0</v>
      </c>
      <c r="J369" t="n">
        <v>0</v>
      </c>
      <c r="K369" t="n">
        <v>0</v>
      </c>
      <c r="L369" t="n">
        <v>0</v>
      </c>
      <c r="M369" t="n">
        <v>0</v>
      </c>
      <c r="N369" t="n">
        <v>0</v>
      </c>
      <c r="O369" t="n">
        <v>0</v>
      </c>
      <c r="P369" t="n">
        <v>0</v>
      </c>
      <c r="Q369" t="n">
        <v>0</v>
      </c>
      <c r="R369" s="2" t="inlineStr"/>
    </row>
    <row r="370" ht="15" customHeight="1">
      <c r="A370" t="inlineStr">
        <is>
          <t>A 61631-2021</t>
        </is>
      </c>
      <c r="B370" s="1" t="n">
        <v>44501</v>
      </c>
      <c r="C370" s="1" t="n">
        <v>45579</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64092-2021</t>
        </is>
      </c>
      <c r="B371" s="1" t="n">
        <v>44510</v>
      </c>
      <c r="C371" s="1" t="n">
        <v>45579</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64645-2021</t>
        </is>
      </c>
      <c r="B372" s="1" t="n">
        <v>44511</v>
      </c>
      <c r="C372" s="1" t="n">
        <v>45579</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65428-2021</t>
        </is>
      </c>
      <c r="B373" s="1" t="n">
        <v>44515</v>
      </c>
      <c r="C373" s="1" t="n">
        <v>45579</v>
      </c>
      <c r="D373" t="inlineStr">
        <is>
          <t>JÄMTLANDS LÄN</t>
        </is>
      </c>
      <c r="E373" t="inlineStr">
        <is>
          <t>ÖSTERSUND</t>
        </is>
      </c>
      <c r="F373" t="inlineStr">
        <is>
          <t>SCA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65866-2021</t>
        </is>
      </c>
      <c r="B374" s="1" t="n">
        <v>44516</v>
      </c>
      <c r="C374" s="1" t="n">
        <v>45579</v>
      </c>
      <c r="D374" t="inlineStr">
        <is>
          <t>JÄMTLANDS LÄN</t>
        </is>
      </c>
      <c r="E374" t="inlineStr">
        <is>
          <t>ÖSTERSUND</t>
        </is>
      </c>
      <c r="G374" t="n">
        <v>2.6</v>
      </c>
      <c r="H374" t="n">
        <v>0</v>
      </c>
      <c r="I374" t="n">
        <v>0</v>
      </c>
      <c r="J374" t="n">
        <v>0</v>
      </c>
      <c r="K374" t="n">
        <v>0</v>
      </c>
      <c r="L374" t="n">
        <v>0</v>
      </c>
      <c r="M374" t="n">
        <v>0</v>
      </c>
      <c r="N374" t="n">
        <v>0</v>
      </c>
      <c r="O374" t="n">
        <v>0</v>
      </c>
      <c r="P374" t="n">
        <v>0</v>
      </c>
      <c r="Q374" t="n">
        <v>0</v>
      </c>
      <c r="R374" s="2" t="inlineStr"/>
    </row>
    <row r="375" ht="15" customHeight="1">
      <c r="A375" t="inlineStr">
        <is>
          <t>A 65991-2021</t>
        </is>
      </c>
      <c r="B375" s="1" t="n">
        <v>44517</v>
      </c>
      <c r="C375" s="1" t="n">
        <v>45579</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66940-2021</t>
        </is>
      </c>
      <c r="B376" s="1" t="n">
        <v>44522</v>
      </c>
      <c r="C376" s="1" t="n">
        <v>45579</v>
      </c>
      <c r="D376" t="inlineStr">
        <is>
          <t>JÄMTLANDS LÄN</t>
        </is>
      </c>
      <c r="E376" t="inlineStr">
        <is>
          <t>ÖSTERSUND</t>
        </is>
      </c>
      <c r="G376" t="n">
        <v>3.6</v>
      </c>
      <c r="H376" t="n">
        <v>0</v>
      </c>
      <c r="I376" t="n">
        <v>0</v>
      </c>
      <c r="J376" t="n">
        <v>0</v>
      </c>
      <c r="K376" t="n">
        <v>0</v>
      </c>
      <c r="L376" t="n">
        <v>0</v>
      </c>
      <c r="M376" t="n">
        <v>0</v>
      </c>
      <c r="N376" t="n">
        <v>0</v>
      </c>
      <c r="O376" t="n">
        <v>0</v>
      </c>
      <c r="P376" t="n">
        <v>0</v>
      </c>
      <c r="Q376" t="n">
        <v>0</v>
      </c>
      <c r="R376" s="2" t="inlineStr"/>
    </row>
    <row r="377" ht="15" customHeight="1">
      <c r="A377" t="inlineStr">
        <is>
          <t>A 67695-2021</t>
        </is>
      </c>
      <c r="B377" s="1" t="n">
        <v>44524</v>
      </c>
      <c r="C377" s="1" t="n">
        <v>45579</v>
      </c>
      <c r="D377" t="inlineStr">
        <is>
          <t>JÄMTLANDS LÄN</t>
        </is>
      </c>
      <c r="E377" t="inlineStr">
        <is>
          <t>ÖSTERSUND</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67694-2021</t>
        </is>
      </c>
      <c r="B378" s="1" t="n">
        <v>44524</v>
      </c>
      <c r="C378" s="1" t="n">
        <v>45579</v>
      </c>
      <c r="D378" t="inlineStr">
        <is>
          <t>JÄMTLANDS LÄN</t>
        </is>
      </c>
      <c r="E378" t="inlineStr">
        <is>
          <t>ÖSTERSUND</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69190-2021</t>
        </is>
      </c>
      <c r="B379" s="1" t="n">
        <v>44529</v>
      </c>
      <c r="C379" s="1" t="n">
        <v>45579</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70256-2021</t>
        </is>
      </c>
      <c r="B380" s="1" t="n">
        <v>44533</v>
      </c>
      <c r="C380" s="1" t="n">
        <v>45579</v>
      </c>
      <c r="D380" t="inlineStr">
        <is>
          <t>JÄMTLANDS LÄN</t>
        </is>
      </c>
      <c r="E380" t="inlineStr">
        <is>
          <t>ÖSTERSUND</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70678-2021</t>
        </is>
      </c>
      <c r="B381" s="1" t="n">
        <v>44537</v>
      </c>
      <c r="C381" s="1" t="n">
        <v>45579</v>
      </c>
      <c r="D381" t="inlineStr">
        <is>
          <t>JÄMTLANDS LÄN</t>
        </is>
      </c>
      <c r="E381" t="inlineStr">
        <is>
          <t>ÖSTERSUND</t>
        </is>
      </c>
      <c r="G381" t="n">
        <v>21</v>
      </c>
      <c r="H381" t="n">
        <v>0</v>
      </c>
      <c r="I381" t="n">
        <v>0</v>
      </c>
      <c r="J381" t="n">
        <v>0</v>
      </c>
      <c r="K381" t="n">
        <v>0</v>
      </c>
      <c r="L381" t="n">
        <v>0</v>
      </c>
      <c r="M381" t="n">
        <v>0</v>
      </c>
      <c r="N381" t="n">
        <v>0</v>
      </c>
      <c r="O381" t="n">
        <v>0</v>
      </c>
      <c r="P381" t="n">
        <v>0</v>
      </c>
      <c r="Q381" t="n">
        <v>0</v>
      </c>
      <c r="R381" s="2" t="inlineStr"/>
    </row>
    <row r="382" ht="15" customHeight="1">
      <c r="A382" t="inlineStr">
        <is>
          <t>A 70816-2021</t>
        </is>
      </c>
      <c r="B382" s="1" t="n">
        <v>44537</v>
      </c>
      <c r="C382" s="1" t="n">
        <v>45579</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71823-2021</t>
        </is>
      </c>
      <c r="B383" s="1" t="n">
        <v>44539</v>
      </c>
      <c r="C383" s="1" t="n">
        <v>45579</v>
      </c>
      <c r="D383" t="inlineStr">
        <is>
          <t>JÄMTLANDS LÄN</t>
        </is>
      </c>
      <c r="E383" t="inlineStr">
        <is>
          <t>ÖSTERSUND</t>
        </is>
      </c>
      <c r="G383" t="n">
        <v>10.5</v>
      </c>
      <c r="H383" t="n">
        <v>0</v>
      </c>
      <c r="I383" t="n">
        <v>0</v>
      </c>
      <c r="J383" t="n">
        <v>0</v>
      </c>
      <c r="K383" t="n">
        <v>0</v>
      </c>
      <c r="L383" t="n">
        <v>0</v>
      </c>
      <c r="M383" t="n">
        <v>0</v>
      </c>
      <c r="N383" t="n">
        <v>0</v>
      </c>
      <c r="O383" t="n">
        <v>0</v>
      </c>
      <c r="P383" t="n">
        <v>0</v>
      </c>
      <c r="Q383" t="n">
        <v>0</v>
      </c>
      <c r="R383" s="2" t="inlineStr"/>
    </row>
    <row r="384" ht="15" customHeight="1">
      <c r="A384" t="inlineStr">
        <is>
          <t>A 72089-2021</t>
        </is>
      </c>
      <c r="B384" s="1" t="n">
        <v>44540</v>
      </c>
      <c r="C384" s="1" t="n">
        <v>45579</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72041-2021</t>
        </is>
      </c>
      <c r="B385" s="1" t="n">
        <v>44540</v>
      </c>
      <c r="C385" s="1" t="n">
        <v>45579</v>
      </c>
      <c r="D385" t="inlineStr">
        <is>
          <t>JÄMTLANDS LÄN</t>
        </is>
      </c>
      <c r="E385" t="inlineStr">
        <is>
          <t>ÖSTERSUND</t>
        </is>
      </c>
      <c r="G385" t="n">
        <v>0.4</v>
      </c>
      <c r="H385" t="n">
        <v>0</v>
      </c>
      <c r="I385" t="n">
        <v>0</v>
      </c>
      <c r="J385" t="n">
        <v>0</v>
      </c>
      <c r="K385" t="n">
        <v>0</v>
      </c>
      <c r="L385" t="n">
        <v>0</v>
      </c>
      <c r="M385" t="n">
        <v>0</v>
      </c>
      <c r="N385" t="n">
        <v>0</v>
      </c>
      <c r="O385" t="n">
        <v>0</v>
      </c>
      <c r="P385" t="n">
        <v>0</v>
      </c>
      <c r="Q385" t="n">
        <v>0</v>
      </c>
      <c r="R385" s="2" t="inlineStr"/>
    </row>
    <row r="386" ht="15" customHeight="1">
      <c r="A386" t="inlineStr">
        <is>
          <t>A 72258-2021</t>
        </is>
      </c>
      <c r="B386" s="1" t="n">
        <v>44540</v>
      </c>
      <c r="C386" s="1" t="n">
        <v>45579</v>
      </c>
      <c r="D386" t="inlineStr">
        <is>
          <t>JÄMTLANDS LÄN</t>
        </is>
      </c>
      <c r="E386" t="inlineStr">
        <is>
          <t>ÖSTERSUND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72061-2021</t>
        </is>
      </c>
      <c r="B387" s="1" t="n">
        <v>44540</v>
      </c>
      <c r="C387" s="1" t="n">
        <v>45579</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71956-2021</t>
        </is>
      </c>
      <c r="B388" s="1" t="n">
        <v>44544</v>
      </c>
      <c r="C388" s="1" t="n">
        <v>45579</v>
      </c>
      <c r="D388" t="inlineStr">
        <is>
          <t>JÄMTLANDS LÄN</t>
        </is>
      </c>
      <c r="E388" t="inlineStr">
        <is>
          <t>ÖSTERSUND</t>
        </is>
      </c>
      <c r="G388" t="n">
        <v>0.8</v>
      </c>
      <c r="H388" t="n">
        <v>0</v>
      </c>
      <c r="I388" t="n">
        <v>0</v>
      </c>
      <c r="J388" t="n">
        <v>0</v>
      </c>
      <c r="K388" t="n">
        <v>0</v>
      </c>
      <c r="L388" t="n">
        <v>0</v>
      </c>
      <c r="M388" t="n">
        <v>0</v>
      </c>
      <c r="N388" t="n">
        <v>0</v>
      </c>
      <c r="O388" t="n">
        <v>0</v>
      </c>
      <c r="P388" t="n">
        <v>0</v>
      </c>
      <c r="Q388" t="n">
        <v>0</v>
      </c>
      <c r="R388" s="2" t="inlineStr"/>
    </row>
    <row r="389" ht="15" customHeight="1">
      <c r="A389" t="inlineStr">
        <is>
          <t>A 72938-2021</t>
        </is>
      </c>
      <c r="B389" s="1" t="n">
        <v>44547</v>
      </c>
      <c r="C389" s="1" t="n">
        <v>45579</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73078-2021</t>
        </is>
      </c>
      <c r="B390" s="1" t="n">
        <v>44550</v>
      </c>
      <c r="C390" s="1" t="n">
        <v>45579</v>
      </c>
      <c r="D390" t="inlineStr">
        <is>
          <t>JÄMTLANDS LÄN</t>
        </is>
      </c>
      <c r="E390" t="inlineStr">
        <is>
          <t>ÖSTERSUND</t>
        </is>
      </c>
      <c r="G390" t="n">
        <v>1.2</v>
      </c>
      <c r="H390" t="n">
        <v>0</v>
      </c>
      <c r="I390" t="n">
        <v>0</v>
      </c>
      <c r="J390" t="n">
        <v>0</v>
      </c>
      <c r="K390" t="n">
        <v>0</v>
      </c>
      <c r="L390" t="n">
        <v>0</v>
      </c>
      <c r="M390" t="n">
        <v>0</v>
      </c>
      <c r="N390" t="n">
        <v>0</v>
      </c>
      <c r="O390" t="n">
        <v>0</v>
      </c>
      <c r="P390" t="n">
        <v>0</v>
      </c>
      <c r="Q390" t="n">
        <v>0</v>
      </c>
      <c r="R390" s="2" t="inlineStr"/>
    </row>
    <row r="391" ht="15" customHeight="1">
      <c r="A391" t="inlineStr">
        <is>
          <t>A 73066-2021</t>
        </is>
      </c>
      <c r="B391" s="1" t="n">
        <v>44550</v>
      </c>
      <c r="C391" s="1" t="n">
        <v>45579</v>
      </c>
      <c r="D391" t="inlineStr">
        <is>
          <t>JÄMTLANDS LÄN</t>
        </is>
      </c>
      <c r="E391" t="inlineStr">
        <is>
          <t>ÖSTERSUND</t>
        </is>
      </c>
      <c r="G391" t="n">
        <v>2.9</v>
      </c>
      <c r="H391" t="n">
        <v>0</v>
      </c>
      <c r="I391" t="n">
        <v>0</v>
      </c>
      <c r="J391" t="n">
        <v>0</v>
      </c>
      <c r="K391" t="n">
        <v>0</v>
      </c>
      <c r="L391" t="n">
        <v>0</v>
      </c>
      <c r="M391" t="n">
        <v>0</v>
      </c>
      <c r="N391" t="n">
        <v>0</v>
      </c>
      <c r="O391" t="n">
        <v>0</v>
      </c>
      <c r="P391" t="n">
        <v>0</v>
      </c>
      <c r="Q391" t="n">
        <v>0</v>
      </c>
      <c r="R391" s="2" t="inlineStr"/>
    </row>
    <row r="392" ht="15" customHeight="1">
      <c r="A392" t="inlineStr">
        <is>
          <t>A 73875-2021</t>
        </is>
      </c>
      <c r="B392" s="1" t="n">
        <v>44553</v>
      </c>
      <c r="C392" s="1" t="n">
        <v>45579</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73870-2021</t>
        </is>
      </c>
      <c r="B393" s="1" t="n">
        <v>44553</v>
      </c>
      <c r="C393" s="1" t="n">
        <v>45579</v>
      </c>
      <c r="D393" t="inlineStr">
        <is>
          <t>JÄMTLANDS LÄN</t>
        </is>
      </c>
      <c r="E393" t="inlineStr">
        <is>
          <t>ÖSTERSUND</t>
        </is>
      </c>
      <c r="G393" t="n">
        <v>5.3</v>
      </c>
      <c r="H393" t="n">
        <v>0</v>
      </c>
      <c r="I393" t="n">
        <v>0</v>
      </c>
      <c r="J393" t="n">
        <v>0</v>
      </c>
      <c r="K393" t="n">
        <v>0</v>
      </c>
      <c r="L393" t="n">
        <v>0</v>
      </c>
      <c r="M393" t="n">
        <v>0</v>
      </c>
      <c r="N393" t="n">
        <v>0</v>
      </c>
      <c r="O393" t="n">
        <v>0</v>
      </c>
      <c r="P393" t="n">
        <v>0</v>
      </c>
      <c r="Q393" t="n">
        <v>0</v>
      </c>
      <c r="R393" s="2" t="inlineStr"/>
    </row>
    <row r="394" ht="15" customHeight="1">
      <c r="A394" t="inlineStr">
        <is>
          <t>A 154-2022</t>
        </is>
      </c>
      <c r="B394" s="1" t="n">
        <v>44561</v>
      </c>
      <c r="C394" s="1" t="n">
        <v>45579</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231-2022</t>
        </is>
      </c>
      <c r="B395" s="1" t="n">
        <v>44564</v>
      </c>
      <c r="C395" s="1" t="n">
        <v>45579</v>
      </c>
      <c r="D395" t="inlineStr">
        <is>
          <t>JÄMTLANDS LÄN</t>
        </is>
      </c>
      <c r="E395" t="inlineStr">
        <is>
          <t>ÖSTERSUND</t>
        </is>
      </c>
      <c r="G395" t="n">
        <v>1.9</v>
      </c>
      <c r="H395" t="n">
        <v>0</v>
      </c>
      <c r="I395" t="n">
        <v>0</v>
      </c>
      <c r="J395" t="n">
        <v>0</v>
      </c>
      <c r="K395" t="n">
        <v>0</v>
      </c>
      <c r="L395" t="n">
        <v>0</v>
      </c>
      <c r="M395" t="n">
        <v>0</v>
      </c>
      <c r="N395" t="n">
        <v>0</v>
      </c>
      <c r="O395" t="n">
        <v>0</v>
      </c>
      <c r="P395" t="n">
        <v>0</v>
      </c>
      <c r="Q395" t="n">
        <v>0</v>
      </c>
      <c r="R395" s="2" t="inlineStr"/>
    </row>
    <row r="396" ht="15" customHeight="1">
      <c r="A396" t="inlineStr">
        <is>
          <t>A 681-2022</t>
        </is>
      </c>
      <c r="B396" s="1" t="n">
        <v>44566</v>
      </c>
      <c r="C396" s="1" t="n">
        <v>45579</v>
      </c>
      <c r="D396" t="inlineStr">
        <is>
          <t>JÄMTLANDS LÄN</t>
        </is>
      </c>
      <c r="E396" t="inlineStr">
        <is>
          <t>ÖSTERSUND</t>
        </is>
      </c>
      <c r="G396" t="n">
        <v>2.3</v>
      </c>
      <c r="H396" t="n">
        <v>0</v>
      </c>
      <c r="I396" t="n">
        <v>0</v>
      </c>
      <c r="J396" t="n">
        <v>0</v>
      </c>
      <c r="K396" t="n">
        <v>0</v>
      </c>
      <c r="L396" t="n">
        <v>0</v>
      </c>
      <c r="M396" t="n">
        <v>0</v>
      </c>
      <c r="N396" t="n">
        <v>0</v>
      </c>
      <c r="O396" t="n">
        <v>0</v>
      </c>
      <c r="P396" t="n">
        <v>0</v>
      </c>
      <c r="Q396" t="n">
        <v>0</v>
      </c>
      <c r="R396" s="2" t="inlineStr"/>
    </row>
    <row r="397" ht="15" customHeight="1">
      <c r="A397" t="inlineStr">
        <is>
          <t>A 695-2022</t>
        </is>
      </c>
      <c r="B397" s="1" t="n">
        <v>44566</v>
      </c>
      <c r="C397" s="1" t="n">
        <v>45579</v>
      </c>
      <c r="D397" t="inlineStr">
        <is>
          <t>JÄMTLANDS LÄN</t>
        </is>
      </c>
      <c r="E397" t="inlineStr">
        <is>
          <t>ÖSTERSUND</t>
        </is>
      </c>
      <c r="G397" t="n">
        <v>14.9</v>
      </c>
      <c r="H397" t="n">
        <v>0</v>
      </c>
      <c r="I397" t="n">
        <v>0</v>
      </c>
      <c r="J397" t="n">
        <v>0</v>
      </c>
      <c r="K397" t="n">
        <v>0</v>
      </c>
      <c r="L397" t="n">
        <v>0</v>
      </c>
      <c r="M397" t="n">
        <v>0</v>
      </c>
      <c r="N397" t="n">
        <v>0</v>
      </c>
      <c r="O397" t="n">
        <v>0</v>
      </c>
      <c r="P397" t="n">
        <v>0</v>
      </c>
      <c r="Q397" t="n">
        <v>0</v>
      </c>
      <c r="R397" s="2" t="inlineStr"/>
    </row>
    <row r="398" ht="15" customHeight="1">
      <c r="A398" t="inlineStr">
        <is>
          <t>A 2431-2022</t>
        </is>
      </c>
      <c r="B398" s="1" t="n">
        <v>44579</v>
      </c>
      <c r="C398" s="1" t="n">
        <v>45579</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2763-2022</t>
        </is>
      </c>
      <c r="B399" s="1" t="n">
        <v>44580</v>
      </c>
      <c r="C399" s="1" t="n">
        <v>45579</v>
      </c>
      <c r="D399" t="inlineStr">
        <is>
          <t>JÄMTLANDS LÄN</t>
        </is>
      </c>
      <c r="E399" t="inlineStr">
        <is>
          <t>ÖSTERSUND</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2880-2022</t>
        </is>
      </c>
      <c r="B400" s="1" t="n">
        <v>44581</v>
      </c>
      <c r="C400" s="1" t="n">
        <v>45579</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3016-2022</t>
        </is>
      </c>
      <c r="B401" s="1" t="n">
        <v>44581</v>
      </c>
      <c r="C401" s="1" t="n">
        <v>45579</v>
      </c>
      <c r="D401" t="inlineStr">
        <is>
          <t>JÄMTLANDS LÄN</t>
        </is>
      </c>
      <c r="E401" t="inlineStr">
        <is>
          <t>ÖSTERSUND</t>
        </is>
      </c>
      <c r="G401" t="n">
        <v>3.3</v>
      </c>
      <c r="H401" t="n">
        <v>0</v>
      </c>
      <c r="I401" t="n">
        <v>0</v>
      </c>
      <c r="J401" t="n">
        <v>0</v>
      </c>
      <c r="K401" t="n">
        <v>0</v>
      </c>
      <c r="L401" t="n">
        <v>0</v>
      </c>
      <c r="M401" t="n">
        <v>0</v>
      </c>
      <c r="N401" t="n">
        <v>0</v>
      </c>
      <c r="O401" t="n">
        <v>0</v>
      </c>
      <c r="P401" t="n">
        <v>0</v>
      </c>
      <c r="Q401" t="n">
        <v>0</v>
      </c>
      <c r="R401" s="2" t="inlineStr"/>
    </row>
    <row r="402" ht="15" customHeight="1">
      <c r="A402" t="inlineStr">
        <is>
          <t>A 5145-2022</t>
        </is>
      </c>
      <c r="B402" s="1" t="n">
        <v>44594</v>
      </c>
      <c r="C402" s="1" t="n">
        <v>45579</v>
      </c>
      <c r="D402" t="inlineStr">
        <is>
          <t>JÄMTLANDS LÄN</t>
        </is>
      </c>
      <c r="E402" t="inlineStr">
        <is>
          <t>ÖSTERSUND</t>
        </is>
      </c>
      <c r="G402" t="n">
        <v>2.6</v>
      </c>
      <c r="H402" t="n">
        <v>0</v>
      </c>
      <c r="I402" t="n">
        <v>0</v>
      </c>
      <c r="J402" t="n">
        <v>0</v>
      </c>
      <c r="K402" t="n">
        <v>0</v>
      </c>
      <c r="L402" t="n">
        <v>0</v>
      </c>
      <c r="M402" t="n">
        <v>0</v>
      </c>
      <c r="N402" t="n">
        <v>0</v>
      </c>
      <c r="O402" t="n">
        <v>0</v>
      </c>
      <c r="P402" t="n">
        <v>0</v>
      </c>
      <c r="Q402" t="n">
        <v>0</v>
      </c>
      <c r="R402" s="2" t="inlineStr"/>
    </row>
    <row r="403" ht="15" customHeight="1">
      <c r="A403" t="inlineStr">
        <is>
          <t>A 5670-2022</t>
        </is>
      </c>
      <c r="B403" s="1" t="n">
        <v>44595</v>
      </c>
      <c r="C403" s="1" t="n">
        <v>45579</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6013-2022</t>
        </is>
      </c>
      <c r="B404" s="1" t="n">
        <v>44599</v>
      </c>
      <c r="C404" s="1" t="n">
        <v>45579</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6458-2022</t>
        </is>
      </c>
      <c r="B405" s="1" t="n">
        <v>44601</v>
      </c>
      <c r="C405" s="1" t="n">
        <v>45579</v>
      </c>
      <c r="D405" t="inlineStr">
        <is>
          <t>JÄMTLANDS LÄN</t>
        </is>
      </c>
      <c r="E405" t="inlineStr">
        <is>
          <t>ÖSTERSUND</t>
        </is>
      </c>
      <c r="G405" t="n">
        <v>3.1</v>
      </c>
      <c r="H405" t="n">
        <v>0</v>
      </c>
      <c r="I405" t="n">
        <v>0</v>
      </c>
      <c r="J405" t="n">
        <v>0</v>
      </c>
      <c r="K405" t="n">
        <v>0</v>
      </c>
      <c r="L405" t="n">
        <v>0</v>
      </c>
      <c r="M405" t="n">
        <v>0</v>
      </c>
      <c r="N405" t="n">
        <v>0</v>
      </c>
      <c r="O405" t="n">
        <v>0</v>
      </c>
      <c r="P405" t="n">
        <v>0</v>
      </c>
      <c r="Q405" t="n">
        <v>0</v>
      </c>
      <c r="R405" s="2" t="inlineStr"/>
    </row>
    <row r="406" ht="15" customHeight="1">
      <c r="A406" t="inlineStr">
        <is>
          <t>A 7573-2022</t>
        </is>
      </c>
      <c r="B406" s="1" t="n">
        <v>44607</v>
      </c>
      <c r="C406" s="1" t="n">
        <v>45579</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8027-2022</t>
        </is>
      </c>
      <c r="B407" s="1" t="n">
        <v>44609</v>
      </c>
      <c r="C407" s="1" t="n">
        <v>45579</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8227-2022</t>
        </is>
      </c>
      <c r="B408" s="1" t="n">
        <v>44609</v>
      </c>
      <c r="C408" s="1" t="n">
        <v>45579</v>
      </c>
      <c r="D408" t="inlineStr">
        <is>
          <t>JÄMTLANDS LÄN</t>
        </is>
      </c>
      <c r="E408" t="inlineStr">
        <is>
          <t>ÖSTERSUND</t>
        </is>
      </c>
      <c r="G408" t="n">
        <v>6.6</v>
      </c>
      <c r="H408" t="n">
        <v>0</v>
      </c>
      <c r="I408" t="n">
        <v>0</v>
      </c>
      <c r="J408" t="n">
        <v>0</v>
      </c>
      <c r="K408" t="n">
        <v>0</v>
      </c>
      <c r="L408" t="n">
        <v>0</v>
      </c>
      <c r="M408" t="n">
        <v>0</v>
      </c>
      <c r="N408" t="n">
        <v>0</v>
      </c>
      <c r="O408" t="n">
        <v>0</v>
      </c>
      <c r="P408" t="n">
        <v>0</v>
      </c>
      <c r="Q408" t="n">
        <v>0</v>
      </c>
      <c r="R408" s="2" t="inlineStr"/>
    </row>
    <row r="409" ht="15" customHeight="1">
      <c r="A409" t="inlineStr">
        <is>
          <t>A 8647-2022</t>
        </is>
      </c>
      <c r="B409" s="1" t="n">
        <v>44613</v>
      </c>
      <c r="C409" s="1" t="n">
        <v>45579</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8972-2022</t>
        </is>
      </c>
      <c r="B410" s="1" t="n">
        <v>44614</v>
      </c>
      <c r="C410" s="1" t="n">
        <v>45579</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11740-2022</t>
        </is>
      </c>
      <c r="B411" s="1" t="n">
        <v>44634</v>
      </c>
      <c r="C411" s="1" t="n">
        <v>45579</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11933-2022</t>
        </is>
      </c>
      <c r="B412" s="1" t="n">
        <v>44635</v>
      </c>
      <c r="C412" s="1" t="n">
        <v>45579</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12301-2022</t>
        </is>
      </c>
      <c r="B413" s="1" t="n">
        <v>44637</v>
      </c>
      <c r="C413" s="1" t="n">
        <v>45579</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12285-2022</t>
        </is>
      </c>
      <c r="B414" s="1" t="n">
        <v>44637</v>
      </c>
      <c r="C414" s="1" t="n">
        <v>45579</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12946-2022</t>
        </is>
      </c>
      <c r="B415" s="1" t="n">
        <v>44642</v>
      </c>
      <c r="C415" s="1" t="n">
        <v>45579</v>
      </c>
      <c r="D415" t="inlineStr">
        <is>
          <t>JÄMTLANDS LÄN</t>
        </is>
      </c>
      <c r="E415" t="inlineStr">
        <is>
          <t>ÖSTERSUND</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13024-2022</t>
        </is>
      </c>
      <c r="B416" s="1" t="n">
        <v>44643</v>
      </c>
      <c r="C416" s="1" t="n">
        <v>45579</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14653-2022</t>
        </is>
      </c>
      <c r="B417" s="1" t="n">
        <v>44655</v>
      </c>
      <c r="C417" s="1" t="n">
        <v>45579</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14657-2022</t>
        </is>
      </c>
      <c r="B418" s="1" t="n">
        <v>44655</v>
      </c>
      <c r="C418" s="1" t="n">
        <v>45579</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14658-2022</t>
        </is>
      </c>
      <c r="B419" s="1" t="n">
        <v>44655</v>
      </c>
      <c r="C419" s="1" t="n">
        <v>45579</v>
      </c>
      <c r="D419" t="inlineStr">
        <is>
          <t>JÄMTLANDS LÄN</t>
        </is>
      </c>
      <c r="E419" t="inlineStr">
        <is>
          <t>ÖSTERSUND</t>
        </is>
      </c>
      <c r="G419" t="n">
        <v>1.3</v>
      </c>
      <c r="H419" t="n">
        <v>0</v>
      </c>
      <c r="I419" t="n">
        <v>0</v>
      </c>
      <c r="J419" t="n">
        <v>0</v>
      </c>
      <c r="K419" t="n">
        <v>0</v>
      </c>
      <c r="L419" t="n">
        <v>0</v>
      </c>
      <c r="M419" t="n">
        <v>0</v>
      </c>
      <c r="N419" t="n">
        <v>0</v>
      </c>
      <c r="O419" t="n">
        <v>0</v>
      </c>
      <c r="P419" t="n">
        <v>0</v>
      </c>
      <c r="Q419" t="n">
        <v>0</v>
      </c>
      <c r="R419" s="2" t="inlineStr"/>
    </row>
    <row r="420" ht="15" customHeight="1">
      <c r="A420" t="inlineStr">
        <is>
          <t>A 16025-2022</t>
        </is>
      </c>
      <c r="B420" s="1" t="n">
        <v>44665</v>
      </c>
      <c r="C420" s="1" t="n">
        <v>45579</v>
      </c>
      <c r="D420" t="inlineStr">
        <is>
          <t>JÄMTLANDS LÄN</t>
        </is>
      </c>
      <c r="E420" t="inlineStr">
        <is>
          <t>ÖSTERSUND</t>
        </is>
      </c>
      <c r="G420" t="n">
        <v>6</v>
      </c>
      <c r="H420" t="n">
        <v>0</v>
      </c>
      <c r="I420" t="n">
        <v>0</v>
      </c>
      <c r="J420" t="n">
        <v>0</v>
      </c>
      <c r="K420" t="n">
        <v>0</v>
      </c>
      <c r="L420" t="n">
        <v>0</v>
      </c>
      <c r="M420" t="n">
        <v>0</v>
      </c>
      <c r="N420" t="n">
        <v>0</v>
      </c>
      <c r="O420" t="n">
        <v>0</v>
      </c>
      <c r="P420" t="n">
        <v>0</v>
      </c>
      <c r="Q420" t="n">
        <v>0</v>
      </c>
      <c r="R420" s="2" t="inlineStr"/>
    </row>
    <row r="421" ht="15" customHeight="1">
      <c r="A421" t="inlineStr">
        <is>
          <t>A 16034-2022</t>
        </is>
      </c>
      <c r="B421" s="1" t="n">
        <v>44665</v>
      </c>
      <c r="C421" s="1" t="n">
        <v>45579</v>
      </c>
      <c r="D421" t="inlineStr">
        <is>
          <t>JÄMTLANDS LÄN</t>
        </is>
      </c>
      <c r="E421" t="inlineStr">
        <is>
          <t>ÖSTERSUND</t>
        </is>
      </c>
      <c r="G421" t="n">
        <v>5.2</v>
      </c>
      <c r="H421" t="n">
        <v>0</v>
      </c>
      <c r="I421" t="n">
        <v>0</v>
      </c>
      <c r="J421" t="n">
        <v>0</v>
      </c>
      <c r="K421" t="n">
        <v>0</v>
      </c>
      <c r="L421" t="n">
        <v>0</v>
      </c>
      <c r="M421" t="n">
        <v>0</v>
      </c>
      <c r="N421" t="n">
        <v>0</v>
      </c>
      <c r="O421" t="n">
        <v>0</v>
      </c>
      <c r="P421" t="n">
        <v>0</v>
      </c>
      <c r="Q421" t="n">
        <v>0</v>
      </c>
      <c r="R421" s="2" t="inlineStr"/>
    </row>
    <row r="422" ht="15" customHeight="1">
      <c r="A422" t="inlineStr">
        <is>
          <t>A 17574-2022</t>
        </is>
      </c>
      <c r="B422" s="1" t="n">
        <v>44680</v>
      </c>
      <c r="C422" s="1" t="n">
        <v>45579</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17732-2022</t>
        </is>
      </c>
      <c r="B423" s="1" t="n">
        <v>44681</v>
      </c>
      <c r="C423" s="1" t="n">
        <v>45579</v>
      </c>
      <c r="D423" t="inlineStr">
        <is>
          <t>JÄMTLANDS LÄN</t>
        </is>
      </c>
      <c r="E423" t="inlineStr">
        <is>
          <t>ÖSTERSUND</t>
        </is>
      </c>
      <c r="G423" t="n">
        <v>5.4</v>
      </c>
      <c r="H423" t="n">
        <v>0</v>
      </c>
      <c r="I423" t="n">
        <v>0</v>
      </c>
      <c r="J423" t="n">
        <v>0</v>
      </c>
      <c r="K423" t="n">
        <v>0</v>
      </c>
      <c r="L423" t="n">
        <v>0</v>
      </c>
      <c r="M423" t="n">
        <v>0</v>
      </c>
      <c r="N423" t="n">
        <v>0</v>
      </c>
      <c r="O423" t="n">
        <v>0</v>
      </c>
      <c r="P423" t="n">
        <v>0</v>
      </c>
      <c r="Q423" t="n">
        <v>0</v>
      </c>
      <c r="R423" s="2" t="inlineStr"/>
    </row>
    <row r="424" ht="15" customHeight="1">
      <c r="A424" t="inlineStr">
        <is>
          <t>A 17734-2022</t>
        </is>
      </c>
      <c r="B424" s="1" t="n">
        <v>44680</v>
      </c>
      <c r="C424" s="1" t="n">
        <v>45579</v>
      </c>
      <c r="D424" t="inlineStr">
        <is>
          <t>JÄMTLANDS LÄN</t>
        </is>
      </c>
      <c r="E424" t="inlineStr">
        <is>
          <t>ÖSTERSUND</t>
        </is>
      </c>
      <c r="G424" t="n">
        <v>26.4</v>
      </c>
      <c r="H424" t="n">
        <v>0</v>
      </c>
      <c r="I424" t="n">
        <v>0</v>
      </c>
      <c r="J424" t="n">
        <v>0</v>
      </c>
      <c r="K424" t="n">
        <v>0</v>
      </c>
      <c r="L424" t="n">
        <v>0</v>
      </c>
      <c r="M424" t="n">
        <v>0</v>
      </c>
      <c r="N424" t="n">
        <v>0</v>
      </c>
      <c r="O424" t="n">
        <v>0</v>
      </c>
      <c r="P424" t="n">
        <v>0</v>
      </c>
      <c r="Q424" t="n">
        <v>0</v>
      </c>
      <c r="R424" s="2" t="inlineStr"/>
    </row>
    <row r="425" ht="15" customHeight="1">
      <c r="A425" t="inlineStr">
        <is>
          <t>A 19022-2022</t>
        </is>
      </c>
      <c r="B425" s="1" t="n">
        <v>44690</v>
      </c>
      <c r="C425" s="1" t="n">
        <v>45579</v>
      </c>
      <c r="D425" t="inlineStr">
        <is>
          <t>JÄMTLANDS LÄN</t>
        </is>
      </c>
      <c r="E425" t="inlineStr">
        <is>
          <t>ÖSTERSUND</t>
        </is>
      </c>
      <c r="G425" t="n">
        <v>17.9</v>
      </c>
      <c r="H425" t="n">
        <v>0</v>
      </c>
      <c r="I425" t="n">
        <v>0</v>
      </c>
      <c r="J425" t="n">
        <v>0</v>
      </c>
      <c r="K425" t="n">
        <v>0</v>
      </c>
      <c r="L425" t="n">
        <v>0</v>
      </c>
      <c r="M425" t="n">
        <v>0</v>
      </c>
      <c r="N425" t="n">
        <v>0</v>
      </c>
      <c r="O425" t="n">
        <v>0</v>
      </c>
      <c r="P425" t="n">
        <v>0</v>
      </c>
      <c r="Q425" t="n">
        <v>0</v>
      </c>
      <c r="R425" s="2" t="inlineStr"/>
    </row>
    <row r="426" ht="15" customHeight="1">
      <c r="A426" t="inlineStr">
        <is>
          <t>A 20960-2022</t>
        </is>
      </c>
      <c r="B426" s="1" t="n">
        <v>44702</v>
      </c>
      <c r="C426" s="1" t="n">
        <v>45579</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20983-2022</t>
        </is>
      </c>
      <c r="B427" s="1" t="n">
        <v>44703</v>
      </c>
      <c r="C427" s="1" t="n">
        <v>45579</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21211-2022</t>
        </is>
      </c>
      <c r="B428" s="1" t="n">
        <v>44705</v>
      </c>
      <c r="C428" s="1" t="n">
        <v>45579</v>
      </c>
      <c r="D428" t="inlineStr">
        <is>
          <t>JÄMTLANDS LÄN</t>
        </is>
      </c>
      <c r="E428" t="inlineStr">
        <is>
          <t>ÖSTERSUND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21495-2022</t>
        </is>
      </c>
      <c r="B429" s="1" t="n">
        <v>44706</v>
      </c>
      <c r="C429" s="1" t="n">
        <v>45579</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22083-2022</t>
        </is>
      </c>
      <c r="B430" s="1" t="n">
        <v>44711</v>
      </c>
      <c r="C430" s="1" t="n">
        <v>45579</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22085-2022</t>
        </is>
      </c>
      <c r="B431" s="1" t="n">
        <v>44711</v>
      </c>
      <c r="C431" s="1" t="n">
        <v>45579</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22084-2022</t>
        </is>
      </c>
      <c r="B432" s="1" t="n">
        <v>44711</v>
      </c>
      <c r="C432" s="1" t="n">
        <v>45579</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22082-2022</t>
        </is>
      </c>
      <c r="B433" s="1" t="n">
        <v>44712</v>
      </c>
      <c r="C433" s="1" t="n">
        <v>45579</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23555-2022</t>
        </is>
      </c>
      <c r="B434" s="1" t="n">
        <v>44721</v>
      </c>
      <c r="C434" s="1" t="n">
        <v>45579</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23563-2022</t>
        </is>
      </c>
      <c r="B435" s="1" t="n">
        <v>44721</v>
      </c>
      <c r="C435" s="1" t="n">
        <v>45579</v>
      </c>
      <c r="D435" t="inlineStr">
        <is>
          <t>JÄMTLANDS LÄN</t>
        </is>
      </c>
      <c r="E435" t="inlineStr">
        <is>
          <t>ÖSTERSUND</t>
        </is>
      </c>
      <c r="F435" t="inlineStr">
        <is>
          <t>Övriga Aktiebolag</t>
        </is>
      </c>
      <c r="G435" t="n">
        <v>3.7</v>
      </c>
      <c r="H435" t="n">
        <v>0</v>
      </c>
      <c r="I435" t="n">
        <v>0</v>
      </c>
      <c r="J435" t="n">
        <v>0</v>
      </c>
      <c r="K435" t="n">
        <v>0</v>
      </c>
      <c r="L435" t="n">
        <v>0</v>
      </c>
      <c r="M435" t="n">
        <v>0</v>
      </c>
      <c r="N435" t="n">
        <v>0</v>
      </c>
      <c r="O435" t="n">
        <v>0</v>
      </c>
      <c r="P435" t="n">
        <v>0</v>
      </c>
      <c r="Q435" t="n">
        <v>0</v>
      </c>
      <c r="R435" s="2" t="inlineStr"/>
    </row>
    <row r="436" ht="15" customHeight="1">
      <c r="A436" t="inlineStr">
        <is>
          <t>A 23551-2022</t>
        </is>
      </c>
      <c r="B436" s="1" t="n">
        <v>44721</v>
      </c>
      <c r="C436" s="1" t="n">
        <v>45579</v>
      </c>
      <c r="D436" t="inlineStr">
        <is>
          <t>JÄMTLANDS LÄN</t>
        </is>
      </c>
      <c r="E436" t="inlineStr">
        <is>
          <t>ÖSTERSUND</t>
        </is>
      </c>
      <c r="G436" t="n">
        <v>0.3</v>
      </c>
      <c r="H436" t="n">
        <v>0</v>
      </c>
      <c r="I436" t="n">
        <v>0</v>
      </c>
      <c r="J436" t="n">
        <v>0</v>
      </c>
      <c r="K436" t="n">
        <v>0</v>
      </c>
      <c r="L436" t="n">
        <v>0</v>
      </c>
      <c r="M436" t="n">
        <v>0</v>
      </c>
      <c r="N436" t="n">
        <v>0</v>
      </c>
      <c r="O436" t="n">
        <v>0</v>
      </c>
      <c r="P436" t="n">
        <v>0</v>
      </c>
      <c r="Q436" t="n">
        <v>0</v>
      </c>
      <c r="R436" s="2" t="inlineStr"/>
    </row>
    <row r="437" ht="15" customHeight="1">
      <c r="A437" t="inlineStr">
        <is>
          <t>A 23992-2022</t>
        </is>
      </c>
      <c r="B437" s="1" t="n">
        <v>44722</v>
      </c>
      <c r="C437" s="1" t="n">
        <v>45579</v>
      </c>
      <c r="D437" t="inlineStr">
        <is>
          <t>JÄMTLANDS LÄN</t>
        </is>
      </c>
      <c r="E437" t="inlineStr">
        <is>
          <t>ÖSTERSUND</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23993-2022</t>
        </is>
      </c>
      <c r="B438" s="1" t="n">
        <v>44723</v>
      </c>
      <c r="C438" s="1" t="n">
        <v>45579</v>
      </c>
      <c r="D438" t="inlineStr">
        <is>
          <t>JÄMTLANDS LÄN</t>
        </is>
      </c>
      <c r="E438" t="inlineStr">
        <is>
          <t>ÖSTERSUND</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26321-2022</t>
        </is>
      </c>
      <c r="B439" s="1" t="n">
        <v>44735</v>
      </c>
      <c r="C439" s="1" t="n">
        <v>45579</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26731-2022</t>
        </is>
      </c>
      <c r="B440" s="1" t="n">
        <v>44740</v>
      </c>
      <c r="C440" s="1" t="n">
        <v>45579</v>
      </c>
      <c r="D440" t="inlineStr">
        <is>
          <t>JÄMTLANDS LÄN</t>
        </is>
      </c>
      <c r="E440" t="inlineStr">
        <is>
          <t>ÖSTERSUND</t>
        </is>
      </c>
      <c r="G440" t="n">
        <v>3.1</v>
      </c>
      <c r="H440" t="n">
        <v>0</v>
      </c>
      <c r="I440" t="n">
        <v>0</v>
      </c>
      <c r="J440" t="n">
        <v>0</v>
      </c>
      <c r="K440" t="n">
        <v>0</v>
      </c>
      <c r="L440" t="n">
        <v>0</v>
      </c>
      <c r="M440" t="n">
        <v>0</v>
      </c>
      <c r="N440" t="n">
        <v>0</v>
      </c>
      <c r="O440" t="n">
        <v>0</v>
      </c>
      <c r="P440" t="n">
        <v>0</v>
      </c>
      <c r="Q440" t="n">
        <v>0</v>
      </c>
      <c r="R440" s="2" t="inlineStr"/>
    </row>
    <row r="441" ht="15" customHeight="1">
      <c r="A441" t="inlineStr">
        <is>
          <t>A 27343-2022</t>
        </is>
      </c>
      <c r="B441" s="1" t="n">
        <v>44742</v>
      </c>
      <c r="C441" s="1" t="n">
        <v>45579</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27582-2022</t>
        </is>
      </c>
      <c r="B442" s="1" t="n">
        <v>44743</v>
      </c>
      <c r="C442" s="1" t="n">
        <v>45579</v>
      </c>
      <c r="D442" t="inlineStr">
        <is>
          <t>JÄMTLANDS LÄN</t>
        </is>
      </c>
      <c r="E442" t="inlineStr">
        <is>
          <t>ÖSTERSUND</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27575-2022</t>
        </is>
      </c>
      <c r="B443" s="1" t="n">
        <v>44742</v>
      </c>
      <c r="C443" s="1" t="n">
        <v>45579</v>
      </c>
      <c r="D443" t="inlineStr">
        <is>
          <t>JÄMTLANDS LÄN</t>
        </is>
      </c>
      <c r="E443" t="inlineStr">
        <is>
          <t>ÖSTERSUND</t>
        </is>
      </c>
      <c r="F443" t="inlineStr">
        <is>
          <t>SCA</t>
        </is>
      </c>
      <c r="G443" t="n">
        <v>2.4</v>
      </c>
      <c r="H443" t="n">
        <v>0</v>
      </c>
      <c r="I443" t="n">
        <v>0</v>
      </c>
      <c r="J443" t="n">
        <v>0</v>
      </c>
      <c r="K443" t="n">
        <v>0</v>
      </c>
      <c r="L443" t="n">
        <v>0</v>
      </c>
      <c r="M443" t="n">
        <v>0</v>
      </c>
      <c r="N443" t="n">
        <v>0</v>
      </c>
      <c r="O443" t="n">
        <v>0</v>
      </c>
      <c r="P443" t="n">
        <v>0</v>
      </c>
      <c r="Q443" t="n">
        <v>0</v>
      </c>
      <c r="R443" s="2" t="inlineStr"/>
      <c r="U443">
        <f>HYPERLINK("https://klasma.github.io/Logging_2380/knärot/A 27575-2022 karta knärot.png", "A 27575-2022")</f>
        <v/>
      </c>
      <c r="V443">
        <f>HYPERLINK("https://klasma.github.io/Logging_2380/klagomål/A 27575-2022 FSC-klagomål.docx", "A 27575-2022")</f>
        <v/>
      </c>
      <c r="W443">
        <f>HYPERLINK("https://klasma.github.io/Logging_2380/klagomålsmail/A 27575-2022 FSC-klagomål mail.docx", "A 27575-2022")</f>
        <v/>
      </c>
      <c r="X443">
        <f>HYPERLINK("https://klasma.github.io/Logging_2380/tillsyn/A 27575-2022 tillsynsbegäran.docx", "A 27575-2022")</f>
        <v/>
      </c>
      <c r="Y443">
        <f>HYPERLINK("https://klasma.github.io/Logging_2380/tillsynsmail/A 27575-2022 tillsynsbegäran mail.docx", "A 27575-2022")</f>
        <v/>
      </c>
    </row>
    <row r="444" ht="15" customHeight="1">
      <c r="A444" t="inlineStr">
        <is>
          <t>A 27581-2022</t>
        </is>
      </c>
      <c r="B444" s="1" t="n">
        <v>44742</v>
      </c>
      <c r="C444" s="1" t="n">
        <v>45579</v>
      </c>
      <c r="D444" t="inlineStr">
        <is>
          <t>JÄMTLANDS LÄN</t>
        </is>
      </c>
      <c r="E444" t="inlineStr">
        <is>
          <t>ÖSTERSUND</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27780-2022</t>
        </is>
      </c>
      <c r="B445" s="1" t="n">
        <v>44743</v>
      </c>
      <c r="C445" s="1" t="n">
        <v>45579</v>
      </c>
      <c r="D445" t="inlineStr">
        <is>
          <t>JÄMTLANDS LÄN</t>
        </is>
      </c>
      <c r="E445" t="inlineStr">
        <is>
          <t>ÖSTERSUND</t>
        </is>
      </c>
      <c r="G445" t="n">
        <v>2.2</v>
      </c>
      <c r="H445" t="n">
        <v>0</v>
      </c>
      <c r="I445" t="n">
        <v>0</v>
      </c>
      <c r="J445" t="n">
        <v>0</v>
      </c>
      <c r="K445" t="n">
        <v>0</v>
      </c>
      <c r="L445" t="n">
        <v>0</v>
      </c>
      <c r="M445" t="n">
        <v>0</v>
      </c>
      <c r="N445" t="n">
        <v>0</v>
      </c>
      <c r="O445" t="n">
        <v>0</v>
      </c>
      <c r="P445" t="n">
        <v>0</v>
      </c>
      <c r="Q445" t="n">
        <v>0</v>
      </c>
      <c r="R445" s="2" t="inlineStr"/>
    </row>
    <row r="446" ht="15" customHeight="1">
      <c r="A446" t="inlineStr">
        <is>
          <t>A 29094-2022</t>
        </is>
      </c>
      <c r="B446" s="1" t="n">
        <v>44750</v>
      </c>
      <c r="C446" s="1" t="n">
        <v>45579</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29128-2022</t>
        </is>
      </c>
      <c r="B447" s="1" t="n">
        <v>44750</v>
      </c>
      <c r="C447" s="1" t="n">
        <v>45579</v>
      </c>
      <c r="D447" t="inlineStr">
        <is>
          <t>JÄMTLANDS LÄN</t>
        </is>
      </c>
      <c r="E447" t="inlineStr">
        <is>
          <t>ÖSTERSUND</t>
        </is>
      </c>
      <c r="G447" t="n">
        <v>3</v>
      </c>
      <c r="H447" t="n">
        <v>0</v>
      </c>
      <c r="I447" t="n">
        <v>0</v>
      </c>
      <c r="J447" t="n">
        <v>0</v>
      </c>
      <c r="K447" t="n">
        <v>0</v>
      </c>
      <c r="L447" t="n">
        <v>0</v>
      </c>
      <c r="M447" t="n">
        <v>0</v>
      </c>
      <c r="N447" t="n">
        <v>0</v>
      </c>
      <c r="O447" t="n">
        <v>0</v>
      </c>
      <c r="P447" t="n">
        <v>0</v>
      </c>
      <c r="Q447" t="n">
        <v>0</v>
      </c>
      <c r="R447" s="2" t="inlineStr"/>
    </row>
    <row r="448" ht="15" customHeight="1">
      <c r="A448" t="inlineStr">
        <is>
          <t>A 29829-2022</t>
        </is>
      </c>
      <c r="B448" s="1" t="n">
        <v>44755</v>
      </c>
      <c r="C448" s="1" t="n">
        <v>45579</v>
      </c>
      <c r="D448" t="inlineStr">
        <is>
          <t>JÄMTLANDS LÄN</t>
        </is>
      </c>
      <c r="E448" t="inlineStr">
        <is>
          <t>ÖSTERSUND</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29828-2022</t>
        </is>
      </c>
      <c r="B449" s="1" t="n">
        <v>44755</v>
      </c>
      <c r="C449" s="1" t="n">
        <v>45579</v>
      </c>
      <c r="D449" t="inlineStr">
        <is>
          <t>JÄMTLANDS LÄN</t>
        </is>
      </c>
      <c r="E449" t="inlineStr">
        <is>
          <t>ÖSTERSUND</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30217-2022</t>
        </is>
      </c>
      <c r="B450" s="1" t="n">
        <v>44758</v>
      </c>
      <c r="C450" s="1" t="n">
        <v>45579</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33804-2022</t>
        </is>
      </c>
      <c r="B451" s="1" t="n">
        <v>44790</v>
      </c>
      <c r="C451" s="1" t="n">
        <v>45579</v>
      </c>
      <c r="D451" t="inlineStr">
        <is>
          <t>JÄMTLANDS LÄN</t>
        </is>
      </c>
      <c r="E451" t="inlineStr">
        <is>
          <t>ÖSTERSUND</t>
        </is>
      </c>
      <c r="G451" t="n">
        <v>1.8</v>
      </c>
      <c r="H451" t="n">
        <v>0</v>
      </c>
      <c r="I451" t="n">
        <v>0</v>
      </c>
      <c r="J451" t="n">
        <v>0</v>
      </c>
      <c r="K451" t="n">
        <v>0</v>
      </c>
      <c r="L451" t="n">
        <v>0</v>
      </c>
      <c r="M451" t="n">
        <v>0</v>
      </c>
      <c r="N451" t="n">
        <v>0</v>
      </c>
      <c r="O451" t="n">
        <v>0</v>
      </c>
      <c r="P451" t="n">
        <v>0</v>
      </c>
      <c r="Q451" t="n">
        <v>0</v>
      </c>
      <c r="R451" s="2" t="inlineStr"/>
    </row>
    <row r="452" ht="15" customHeight="1">
      <c r="A452" t="inlineStr">
        <is>
          <t>A 33808-2022</t>
        </is>
      </c>
      <c r="B452" s="1" t="n">
        <v>44790</v>
      </c>
      <c r="C452" s="1" t="n">
        <v>45579</v>
      </c>
      <c r="D452" t="inlineStr">
        <is>
          <t>JÄMTLANDS LÄN</t>
        </is>
      </c>
      <c r="E452" t="inlineStr">
        <is>
          <t>ÖSTERSUND</t>
        </is>
      </c>
      <c r="G452" t="n">
        <v>4.1</v>
      </c>
      <c r="H452" t="n">
        <v>0</v>
      </c>
      <c r="I452" t="n">
        <v>0</v>
      </c>
      <c r="J452" t="n">
        <v>0</v>
      </c>
      <c r="K452" t="n">
        <v>0</v>
      </c>
      <c r="L452" t="n">
        <v>0</v>
      </c>
      <c r="M452" t="n">
        <v>0</v>
      </c>
      <c r="N452" t="n">
        <v>0</v>
      </c>
      <c r="O452" t="n">
        <v>0</v>
      </c>
      <c r="P452" t="n">
        <v>0</v>
      </c>
      <c r="Q452" t="n">
        <v>0</v>
      </c>
      <c r="R452" s="2" t="inlineStr"/>
    </row>
    <row r="453" ht="15" customHeight="1">
      <c r="A453" t="inlineStr">
        <is>
          <t>A 33813-2022</t>
        </is>
      </c>
      <c r="B453" s="1" t="n">
        <v>44790</v>
      </c>
      <c r="C453" s="1" t="n">
        <v>45579</v>
      </c>
      <c r="D453" t="inlineStr">
        <is>
          <t>JÄMTLANDS LÄN</t>
        </is>
      </c>
      <c r="E453" t="inlineStr">
        <is>
          <t>ÖSTERSUND</t>
        </is>
      </c>
      <c r="G453" t="n">
        <v>7.9</v>
      </c>
      <c r="H453" t="n">
        <v>0</v>
      </c>
      <c r="I453" t="n">
        <v>0</v>
      </c>
      <c r="J453" t="n">
        <v>0</v>
      </c>
      <c r="K453" t="n">
        <v>0</v>
      </c>
      <c r="L453" t="n">
        <v>0</v>
      </c>
      <c r="M453" t="n">
        <v>0</v>
      </c>
      <c r="N453" t="n">
        <v>0</v>
      </c>
      <c r="O453" t="n">
        <v>0</v>
      </c>
      <c r="P453" t="n">
        <v>0</v>
      </c>
      <c r="Q453" t="n">
        <v>0</v>
      </c>
      <c r="R453" s="2" t="inlineStr"/>
    </row>
    <row r="454" ht="15" customHeight="1">
      <c r="A454" t="inlineStr">
        <is>
          <t>A 33786-2022</t>
        </is>
      </c>
      <c r="B454" s="1" t="n">
        <v>44790</v>
      </c>
      <c r="C454" s="1" t="n">
        <v>45579</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33801-2022</t>
        </is>
      </c>
      <c r="B455" s="1" t="n">
        <v>44790</v>
      </c>
      <c r="C455" s="1" t="n">
        <v>45579</v>
      </c>
      <c r="D455" t="inlineStr">
        <is>
          <t>JÄMTLANDS LÄN</t>
        </is>
      </c>
      <c r="E455" t="inlineStr">
        <is>
          <t>ÖSTERSUND</t>
        </is>
      </c>
      <c r="G455" t="n">
        <v>7.6</v>
      </c>
      <c r="H455" t="n">
        <v>0</v>
      </c>
      <c r="I455" t="n">
        <v>0</v>
      </c>
      <c r="J455" t="n">
        <v>0</v>
      </c>
      <c r="K455" t="n">
        <v>0</v>
      </c>
      <c r="L455" t="n">
        <v>0</v>
      </c>
      <c r="M455" t="n">
        <v>0</v>
      </c>
      <c r="N455" t="n">
        <v>0</v>
      </c>
      <c r="O455" t="n">
        <v>0</v>
      </c>
      <c r="P455" t="n">
        <v>0</v>
      </c>
      <c r="Q455" t="n">
        <v>0</v>
      </c>
      <c r="R455" s="2" t="inlineStr"/>
    </row>
    <row r="456" ht="15" customHeight="1">
      <c r="A456" t="inlineStr">
        <is>
          <t>A 35556-2022</t>
        </is>
      </c>
      <c r="B456" s="1" t="n">
        <v>44799</v>
      </c>
      <c r="C456" s="1" t="n">
        <v>45579</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39828-2022</t>
        </is>
      </c>
      <c r="B457" s="1" t="n">
        <v>44817</v>
      </c>
      <c r="C457" s="1" t="n">
        <v>45579</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39928-2022</t>
        </is>
      </c>
      <c r="B458" s="1" t="n">
        <v>44819</v>
      </c>
      <c r="C458" s="1" t="n">
        <v>45579</v>
      </c>
      <c r="D458" t="inlineStr">
        <is>
          <t>JÄMTLANDS LÄN</t>
        </is>
      </c>
      <c r="E458" t="inlineStr">
        <is>
          <t>ÖSTERSUND</t>
        </is>
      </c>
      <c r="F458" t="inlineStr">
        <is>
          <t>SCA</t>
        </is>
      </c>
      <c r="G458" t="n">
        <v>8.9</v>
      </c>
      <c r="H458" t="n">
        <v>0</v>
      </c>
      <c r="I458" t="n">
        <v>0</v>
      </c>
      <c r="J458" t="n">
        <v>0</v>
      </c>
      <c r="K458" t="n">
        <v>0</v>
      </c>
      <c r="L458" t="n">
        <v>0</v>
      </c>
      <c r="M458" t="n">
        <v>0</v>
      </c>
      <c r="N458" t="n">
        <v>0</v>
      </c>
      <c r="O458" t="n">
        <v>0</v>
      </c>
      <c r="P458" t="n">
        <v>0</v>
      </c>
      <c r="Q458" t="n">
        <v>0</v>
      </c>
      <c r="R458" s="2" t="inlineStr"/>
    </row>
    <row r="459" ht="15" customHeight="1">
      <c r="A459" t="inlineStr">
        <is>
          <t>A 40885-2022</t>
        </is>
      </c>
      <c r="B459" s="1" t="n">
        <v>44820</v>
      </c>
      <c r="C459" s="1" t="n">
        <v>45579</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43511-2022</t>
        </is>
      </c>
      <c r="B460" s="1" t="n">
        <v>44837</v>
      </c>
      <c r="C460" s="1" t="n">
        <v>45579</v>
      </c>
      <c r="D460" t="inlineStr">
        <is>
          <t>JÄMTLANDS LÄN</t>
        </is>
      </c>
      <c r="E460" t="inlineStr">
        <is>
          <t>ÖSTERSUND</t>
        </is>
      </c>
      <c r="G460" t="n">
        <v>3.7</v>
      </c>
      <c r="H460" t="n">
        <v>0</v>
      </c>
      <c r="I460" t="n">
        <v>0</v>
      </c>
      <c r="J460" t="n">
        <v>0</v>
      </c>
      <c r="K460" t="n">
        <v>0</v>
      </c>
      <c r="L460" t="n">
        <v>0</v>
      </c>
      <c r="M460" t="n">
        <v>0</v>
      </c>
      <c r="N460" t="n">
        <v>0</v>
      </c>
      <c r="O460" t="n">
        <v>0</v>
      </c>
      <c r="P460" t="n">
        <v>0</v>
      </c>
      <c r="Q460" t="n">
        <v>0</v>
      </c>
      <c r="R460" s="2" t="inlineStr"/>
    </row>
    <row r="461" ht="15" customHeight="1">
      <c r="A461" t="inlineStr">
        <is>
          <t>A 43951-2022</t>
        </is>
      </c>
      <c r="B461" s="1" t="n">
        <v>44838</v>
      </c>
      <c r="C461" s="1" t="n">
        <v>45579</v>
      </c>
      <c r="D461" t="inlineStr">
        <is>
          <t>JÄMTLANDS LÄN</t>
        </is>
      </c>
      <c r="E461" t="inlineStr">
        <is>
          <t>ÖSTERSUND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44909-2022</t>
        </is>
      </c>
      <c r="B462" s="1" t="n">
        <v>44840</v>
      </c>
      <c r="C462" s="1" t="n">
        <v>45579</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45004-2022</t>
        </is>
      </c>
      <c r="B463" s="1" t="n">
        <v>44840</v>
      </c>
      <c r="C463" s="1" t="n">
        <v>45579</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45654-2022</t>
        </is>
      </c>
      <c r="B464" s="1" t="n">
        <v>44845</v>
      </c>
      <c r="C464" s="1" t="n">
        <v>45579</v>
      </c>
      <c r="D464" t="inlineStr">
        <is>
          <t>JÄMTLANDS LÄN</t>
        </is>
      </c>
      <c r="E464" t="inlineStr">
        <is>
          <t>ÖSTERSUND</t>
        </is>
      </c>
      <c r="G464" t="n">
        <v>0.4</v>
      </c>
      <c r="H464" t="n">
        <v>0</v>
      </c>
      <c r="I464" t="n">
        <v>0</v>
      </c>
      <c r="J464" t="n">
        <v>0</v>
      </c>
      <c r="K464" t="n">
        <v>0</v>
      </c>
      <c r="L464" t="n">
        <v>0</v>
      </c>
      <c r="M464" t="n">
        <v>0</v>
      </c>
      <c r="N464" t="n">
        <v>0</v>
      </c>
      <c r="O464" t="n">
        <v>0</v>
      </c>
      <c r="P464" t="n">
        <v>0</v>
      </c>
      <c r="Q464" t="n">
        <v>0</v>
      </c>
      <c r="R464" s="2" t="inlineStr"/>
    </row>
    <row r="465" ht="15" customHeight="1">
      <c r="A465" t="inlineStr">
        <is>
          <t>A 46913-2022</t>
        </is>
      </c>
      <c r="B465" s="1" t="n">
        <v>44851</v>
      </c>
      <c r="C465" s="1" t="n">
        <v>45579</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47296-2022</t>
        </is>
      </c>
      <c r="B466" s="1" t="n">
        <v>44853</v>
      </c>
      <c r="C466" s="1" t="n">
        <v>45579</v>
      </c>
      <c r="D466" t="inlineStr">
        <is>
          <t>JÄMTLANDS LÄN</t>
        </is>
      </c>
      <c r="E466" t="inlineStr">
        <is>
          <t>ÖSTERSUND</t>
        </is>
      </c>
      <c r="G466" t="n">
        <v>0.5</v>
      </c>
      <c r="H466" t="n">
        <v>0</v>
      </c>
      <c r="I466" t="n">
        <v>0</v>
      </c>
      <c r="J466" t="n">
        <v>0</v>
      </c>
      <c r="K466" t="n">
        <v>0</v>
      </c>
      <c r="L466" t="n">
        <v>0</v>
      </c>
      <c r="M466" t="n">
        <v>0</v>
      </c>
      <c r="N466" t="n">
        <v>0</v>
      </c>
      <c r="O466" t="n">
        <v>0</v>
      </c>
      <c r="P466" t="n">
        <v>0</v>
      </c>
      <c r="Q466" t="n">
        <v>0</v>
      </c>
      <c r="R466" s="2" t="inlineStr"/>
    </row>
    <row r="467" ht="15" customHeight="1">
      <c r="A467" t="inlineStr">
        <is>
          <t>A 47294-2022</t>
        </is>
      </c>
      <c r="B467" s="1" t="n">
        <v>44852</v>
      </c>
      <c r="C467" s="1" t="n">
        <v>45579</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47295-2022</t>
        </is>
      </c>
      <c r="B468" s="1" t="n">
        <v>44852</v>
      </c>
      <c r="C468" s="1" t="n">
        <v>45579</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49389-2022</t>
        </is>
      </c>
      <c r="B469" s="1" t="n">
        <v>44861</v>
      </c>
      <c r="C469" s="1" t="n">
        <v>45579</v>
      </c>
      <c r="D469" t="inlineStr">
        <is>
          <t>JÄMTLANDS LÄN</t>
        </is>
      </c>
      <c r="E469" t="inlineStr">
        <is>
          <t>ÖSTERSUND</t>
        </is>
      </c>
      <c r="F469" t="inlineStr">
        <is>
          <t>Övriga Aktiebolag</t>
        </is>
      </c>
      <c r="G469" t="n">
        <v>19.2</v>
      </c>
      <c r="H469" t="n">
        <v>0</v>
      </c>
      <c r="I469" t="n">
        <v>0</v>
      </c>
      <c r="J469" t="n">
        <v>0</v>
      </c>
      <c r="K469" t="n">
        <v>0</v>
      </c>
      <c r="L469" t="n">
        <v>0</v>
      </c>
      <c r="M469" t="n">
        <v>0</v>
      </c>
      <c r="N469" t="n">
        <v>0</v>
      </c>
      <c r="O469" t="n">
        <v>0</v>
      </c>
      <c r="P469" t="n">
        <v>0</v>
      </c>
      <c r="Q469" t="n">
        <v>0</v>
      </c>
      <c r="R469" s="2" t="inlineStr"/>
    </row>
    <row r="470" ht="15" customHeight="1">
      <c r="A470" t="inlineStr">
        <is>
          <t>A 50932-2022</t>
        </is>
      </c>
      <c r="B470" s="1" t="n">
        <v>44867</v>
      </c>
      <c r="C470" s="1" t="n">
        <v>45579</v>
      </c>
      <c r="D470" t="inlineStr">
        <is>
          <t>JÄMTLANDS LÄN</t>
        </is>
      </c>
      <c r="E470" t="inlineStr">
        <is>
          <t>ÖSTERSUND</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51164-2022</t>
        </is>
      </c>
      <c r="B471" s="1" t="n">
        <v>44868</v>
      </c>
      <c r="C471" s="1" t="n">
        <v>45579</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52155-2022</t>
        </is>
      </c>
      <c r="B472" s="1" t="n">
        <v>44873</v>
      </c>
      <c r="C472" s="1" t="n">
        <v>45579</v>
      </c>
      <c r="D472" t="inlineStr">
        <is>
          <t>JÄMTLANDS LÄN</t>
        </is>
      </c>
      <c r="E472" t="inlineStr">
        <is>
          <t>ÖSTERSUND</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52898-2022</t>
        </is>
      </c>
      <c r="B473" s="1" t="n">
        <v>44875</v>
      </c>
      <c r="C473" s="1" t="n">
        <v>45579</v>
      </c>
      <c r="D473" t="inlineStr">
        <is>
          <t>JÄMTLANDS LÄN</t>
        </is>
      </c>
      <c r="E473" t="inlineStr">
        <is>
          <t>ÖSTERSUND</t>
        </is>
      </c>
      <c r="F473" t="inlineStr">
        <is>
          <t>Övriga Aktiebolag</t>
        </is>
      </c>
      <c r="G473" t="n">
        <v>12.1</v>
      </c>
      <c r="H473" t="n">
        <v>0</v>
      </c>
      <c r="I473" t="n">
        <v>0</v>
      </c>
      <c r="J473" t="n">
        <v>0</v>
      </c>
      <c r="K473" t="n">
        <v>0</v>
      </c>
      <c r="L473" t="n">
        <v>0</v>
      </c>
      <c r="M473" t="n">
        <v>0</v>
      </c>
      <c r="N473" t="n">
        <v>0</v>
      </c>
      <c r="O473" t="n">
        <v>0</v>
      </c>
      <c r="P473" t="n">
        <v>0</v>
      </c>
      <c r="Q473" t="n">
        <v>0</v>
      </c>
      <c r="R473" s="2" t="inlineStr"/>
    </row>
    <row r="474" ht="15" customHeight="1">
      <c r="A474" t="inlineStr">
        <is>
          <t>A 53802-2022</t>
        </is>
      </c>
      <c r="B474" s="1" t="n">
        <v>44875</v>
      </c>
      <c r="C474" s="1" t="n">
        <v>45579</v>
      </c>
      <c r="D474" t="inlineStr">
        <is>
          <t>JÄMTLANDS LÄN</t>
        </is>
      </c>
      <c r="E474" t="inlineStr">
        <is>
          <t>ÖSTERSUND</t>
        </is>
      </c>
      <c r="G474" t="n">
        <v>0.2</v>
      </c>
      <c r="H474" t="n">
        <v>0</v>
      </c>
      <c r="I474" t="n">
        <v>0</v>
      </c>
      <c r="J474" t="n">
        <v>0</v>
      </c>
      <c r="K474" t="n">
        <v>0</v>
      </c>
      <c r="L474" t="n">
        <v>0</v>
      </c>
      <c r="M474" t="n">
        <v>0</v>
      </c>
      <c r="N474" t="n">
        <v>0</v>
      </c>
      <c r="O474" t="n">
        <v>0</v>
      </c>
      <c r="P474" t="n">
        <v>0</v>
      </c>
      <c r="Q474" t="n">
        <v>0</v>
      </c>
      <c r="R474" s="2" t="inlineStr"/>
    </row>
    <row r="475" ht="15" customHeight="1">
      <c r="A475" t="inlineStr">
        <is>
          <t>A 53764-2022</t>
        </is>
      </c>
      <c r="B475" s="1" t="n">
        <v>44875</v>
      </c>
      <c r="C475" s="1" t="n">
        <v>45579</v>
      </c>
      <c r="D475" t="inlineStr">
        <is>
          <t>JÄMTLANDS LÄN</t>
        </is>
      </c>
      <c r="E475" t="inlineStr">
        <is>
          <t>ÖSTERSUND</t>
        </is>
      </c>
      <c r="G475" t="n">
        <v>0.2</v>
      </c>
      <c r="H475" t="n">
        <v>0</v>
      </c>
      <c r="I475" t="n">
        <v>0</v>
      </c>
      <c r="J475" t="n">
        <v>0</v>
      </c>
      <c r="K475" t="n">
        <v>0</v>
      </c>
      <c r="L475" t="n">
        <v>0</v>
      </c>
      <c r="M475" t="n">
        <v>0</v>
      </c>
      <c r="N475" t="n">
        <v>0</v>
      </c>
      <c r="O475" t="n">
        <v>0</v>
      </c>
      <c r="P475" t="n">
        <v>0</v>
      </c>
      <c r="Q475" t="n">
        <v>0</v>
      </c>
      <c r="R475" s="2" t="inlineStr"/>
    </row>
    <row r="476" ht="15" customHeight="1">
      <c r="A476" t="inlineStr">
        <is>
          <t>A 53807-2022</t>
        </is>
      </c>
      <c r="B476" s="1" t="n">
        <v>44875</v>
      </c>
      <c r="C476" s="1" t="n">
        <v>45579</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53453-2022</t>
        </is>
      </c>
      <c r="B477" s="1" t="n">
        <v>44879</v>
      </c>
      <c r="C477" s="1" t="n">
        <v>45579</v>
      </c>
      <c r="D477" t="inlineStr">
        <is>
          <t>JÄMTLANDS LÄN</t>
        </is>
      </c>
      <c r="E477" t="inlineStr">
        <is>
          <t>ÖSTERSUND</t>
        </is>
      </c>
      <c r="G477" t="n">
        <v>22.2</v>
      </c>
      <c r="H477" t="n">
        <v>0</v>
      </c>
      <c r="I477" t="n">
        <v>0</v>
      </c>
      <c r="J477" t="n">
        <v>0</v>
      </c>
      <c r="K477" t="n">
        <v>0</v>
      </c>
      <c r="L477" t="n">
        <v>0</v>
      </c>
      <c r="M477" t="n">
        <v>0</v>
      </c>
      <c r="N477" t="n">
        <v>0</v>
      </c>
      <c r="O477" t="n">
        <v>0</v>
      </c>
      <c r="P477" t="n">
        <v>0</v>
      </c>
      <c r="Q477" t="n">
        <v>0</v>
      </c>
      <c r="R477" s="2" t="inlineStr"/>
    </row>
    <row r="478" ht="15" customHeight="1">
      <c r="A478" t="inlineStr">
        <is>
          <t>A 53556-2022</t>
        </is>
      </c>
      <c r="B478" s="1" t="n">
        <v>44879</v>
      </c>
      <c r="C478" s="1" t="n">
        <v>45579</v>
      </c>
      <c r="D478" t="inlineStr">
        <is>
          <t>JÄMTLANDS LÄN</t>
        </is>
      </c>
      <c r="E478" t="inlineStr">
        <is>
          <t>ÖSTERSUND</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53714-2022</t>
        </is>
      </c>
      <c r="B479" s="1" t="n">
        <v>44880</v>
      </c>
      <c r="C479" s="1" t="n">
        <v>45579</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54712-2022</t>
        </is>
      </c>
      <c r="B480" s="1" t="n">
        <v>44883</v>
      </c>
      <c r="C480" s="1" t="n">
        <v>45579</v>
      </c>
      <c r="D480" t="inlineStr">
        <is>
          <t>JÄMTLANDS LÄN</t>
        </is>
      </c>
      <c r="E480" t="inlineStr">
        <is>
          <t>ÖSTERSUND</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54663-2022</t>
        </is>
      </c>
      <c r="B481" s="1" t="n">
        <v>44883</v>
      </c>
      <c r="C481" s="1" t="n">
        <v>45579</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55102-2022</t>
        </is>
      </c>
      <c r="B482" s="1" t="n">
        <v>44886</v>
      </c>
      <c r="C482" s="1" t="n">
        <v>45579</v>
      </c>
      <c r="D482" t="inlineStr">
        <is>
          <t>JÄMTLANDS LÄN</t>
        </is>
      </c>
      <c r="E482" t="inlineStr">
        <is>
          <t>ÖSTERSUND</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55008-2022</t>
        </is>
      </c>
      <c r="B483" s="1" t="n">
        <v>44886</v>
      </c>
      <c r="C483" s="1" t="n">
        <v>45579</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55105-2022</t>
        </is>
      </c>
      <c r="B484" s="1" t="n">
        <v>44886</v>
      </c>
      <c r="C484" s="1" t="n">
        <v>45579</v>
      </c>
      <c r="D484" t="inlineStr">
        <is>
          <t>JÄMTLANDS LÄN</t>
        </is>
      </c>
      <c r="E484" t="inlineStr">
        <is>
          <t>ÖSTERSUND</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55371-2022</t>
        </is>
      </c>
      <c r="B485" s="1" t="n">
        <v>44887</v>
      </c>
      <c r="C485" s="1" t="n">
        <v>45579</v>
      </c>
      <c r="D485" t="inlineStr">
        <is>
          <t>JÄMTLANDS LÄN</t>
        </is>
      </c>
      <c r="E485" t="inlineStr">
        <is>
          <t>ÖSTERSUND</t>
        </is>
      </c>
      <c r="F485" t="inlineStr">
        <is>
          <t>Övriga Aktiebolag</t>
        </is>
      </c>
      <c r="G485" t="n">
        <v>15.4</v>
      </c>
      <c r="H485" t="n">
        <v>0</v>
      </c>
      <c r="I485" t="n">
        <v>0</v>
      </c>
      <c r="J485" t="n">
        <v>0</v>
      </c>
      <c r="K485" t="n">
        <v>0</v>
      </c>
      <c r="L485" t="n">
        <v>0</v>
      </c>
      <c r="M485" t="n">
        <v>0</v>
      </c>
      <c r="N485" t="n">
        <v>0</v>
      </c>
      <c r="O485" t="n">
        <v>0</v>
      </c>
      <c r="P485" t="n">
        <v>0</v>
      </c>
      <c r="Q485" t="n">
        <v>0</v>
      </c>
      <c r="R485" s="2" t="inlineStr"/>
    </row>
    <row r="486" ht="15" customHeight="1">
      <c r="A486" t="inlineStr">
        <is>
          <t>A 55448-2022</t>
        </is>
      </c>
      <c r="B486" s="1" t="n">
        <v>44887</v>
      </c>
      <c r="C486" s="1" t="n">
        <v>45579</v>
      </c>
      <c r="D486" t="inlineStr">
        <is>
          <t>JÄMTLANDS LÄN</t>
        </is>
      </c>
      <c r="E486" t="inlineStr">
        <is>
          <t>ÖSTERSUND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56067-2022</t>
        </is>
      </c>
      <c r="B487" s="1" t="n">
        <v>44889</v>
      </c>
      <c r="C487" s="1" t="n">
        <v>45579</v>
      </c>
      <c r="D487" t="inlineStr">
        <is>
          <t>JÄMTLANDS LÄN</t>
        </is>
      </c>
      <c r="E487" t="inlineStr">
        <is>
          <t>ÖSTERSUND</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56148-2022</t>
        </is>
      </c>
      <c r="B488" s="1" t="n">
        <v>44889</v>
      </c>
      <c r="C488" s="1" t="n">
        <v>45579</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56111-2022</t>
        </is>
      </c>
      <c r="B489" s="1" t="n">
        <v>44889</v>
      </c>
      <c r="C489" s="1" t="n">
        <v>45579</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57009-2022</t>
        </is>
      </c>
      <c r="B490" s="1" t="n">
        <v>44894</v>
      </c>
      <c r="C490" s="1" t="n">
        <v>45579</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59266-2022</t>
        </is>
      </c>
      <c r="B491" s="1" t="n">
        <v>44904</v>
      </c>
      <c r="C491" s="1" t="n">
        <v>45579</v>
      </c>
      <c r="D491" t="inlineStr">
        <is>
          <t>JÄMTLANDS LÄN</t>
        </is>
      </c>
      <c r="E491" t="inlineStr">
        <is>
          <t>ÖSTERSUND</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59648-2022</t>
        </is>
      </c>
      <c r="B492" s="1" t="n">
        <v>44907</v>
      </c>
      <c r="C492" s="1" t="n">
        <v>45579</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59649-2022</t>
        </is>
      </c>
      <c r="B493" s="1" t="n">
        <v>44908</v>
      </c>
      <c r="C493" s="1" t="n">
        <v>45579</v>
      </c>
      <c r="D493" t="inlineStr">
        <is>
          <t>JÄMTLANDS LÄN</t>
        </is>
      </c>
      <c r="E493" t="inlineStr">
        <is>
          <t>ÖSTERSUND</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60174-2022</t>
        </is>
      </c>
      <c r="B494" s="1" t="n">
        <v>44910</v>
      </c>
      <c r="C494" s="1" t="n">
        <v>45579</v>
      </c>
      <c r="D494" t="inlineStr">
        <is>
          <t>JÄMTLANDS LÄN</t>
        </is>
      </c>
      <c r="E494" t="inlineStr">
        <is>
          <t>ÖSTERSUND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61256-2022</t>
        </is>
      </c>
      <c r="B495" s="1" t="n">
        <v>44909</v>
      </c>
      <c r="C495" s="1" t="n">
        <v>45579</v>
      </c>
      <c r="D495" t="inlineStr">
        <is>
          <t>JÄMTLANDS LÄN</t>
        </is>
      </c>
      <c r="E495" t="inlineStr">
        <is>
          <t>ÖSTERSUND</t>
        </is>
      </c>
      <c r="G495" t="n">
        <v>3.9</v>
      </c>
      <c r="H495" t="n">
        <v>0</v>
      </c>
      <c r="I495" t="n">
        <v>0</v>
      </c>
      <c r="J495" t="n">
        <v>0</v>
      </c>
      <c r="K495" t="n">
        <v>0</v>
      </c>
      <c r="L495" t="n">
        <v>0</v>
      </c>
      <c r="M495" t="n">
        <v>0</v>
      </c>
      <c r="N495" t="n">
        <v>0</v>
      </c>
      <c r="O495" t="n">
        <v>0</v>
      </c>
      <c r="P495" t="n">
        <v>0</v>
      </c>
      <c r="Q495" t="n">
        <v>0</v>
      </c>
      <c r="R495" s="2" t="inlineStr"/>
    </row>
    <row r="496" ht="15" customHeight="1">
      <c r="A496" t="inlineStr">
        <is>
          <t>A 60430-2022</t>
        </is>
      </c>
      <c r="B496" s="1" t="n">
        <v>44911</v>
      </c>
      <c r="C496" s="1" t="n">
        <v>45579</v>
      </c>
      <c r="D496" t="inlineStr">
        <is>
          <t>JÄMTLANDS LÄN</t>
        </is>
      </c>
      <c r="E496" t="inlineStr">
        <is>
          <t>ÖSTERSUND</t>
        </is>
      </c>
      <c r="F496" t="inlineStr">
        <is>
          <t>Övriga Aktiebolag</t>
        </is>
      </c>
      <c r="G496" t="n">
        <v>24.2</v>
      </c>
      <c r="H496" t="n">
        <v>0</v>
      </c>
      <c r="I496" t="n">
        <v>0</v>
      </c>
      <c r="J496" t="n">
        <v>0</v>
      </c>
      <c r="K496" t="n">
        <v>0</v>
      </c>
      <c r="L496" t="n">
        <v>0</v>
      </c>
      <c r="M496" t="n">
        <v>0</v>
      </c>
      <c r="N496" t="n">
        <v>0</v>
      </c>
      <c r="O496" t="n">
        <v>0</v>
      </c>
      <c r="P496" t="n">
        <v>0</v>
      </c>
      <c r="Q496" t="n">
        <v>0</v>
      </c>
      <c r="R496" s="2" t="inlineStr"/>
    </row>
    <row r="497" ht="15" customHeight="1">
      <c r="A497" t="inlineStr">
        <is>
          <t>A 60575-2022</t>
        </is>
      </c>
      <c r="B497" s="1" t="n">
        <v>44911</v>
      </c>
      <c r="C497" s="1" t="n">
        <v>45579</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60674-2022</t>
        </is>
      </c>
      <c r="B498" s="1" t="n">
        <v>44911</v>
      </c>
      <c r="C498" s="1" t="n">
        <v>45579</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60677-2022</t>
        </is>
      </c>
      <c r="B499" s="1" t="n">
        <v>44911</v>
      </c>
      <c r="C499" s="1" t="n">
        <v>45579</v>
      </c>
      <c r="D499" t="inlineStr">
        <is>
          <t>JÄMTLANDS LÄN</t>
        </is>
      </c>
      <c r="E499" t="inlineStr">
        <is>
          <t>ÖSTERSUND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60681-2022</t>
        </is>
      </c>
      <c r="B500" s="1" t="n">
        <v>44911</v>
      </c>
      <c r="C500" s="1" t="n">
        <v>45579</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60678-2022</t>
        </is>
      </c>
      <c r="B501" s="1" t="n">
        <v>44911</v>
      </c>
      <c r="C501" s="1" t="n">
        <v>45579</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60560-2022</t>
        </is>
      </c>
      <c r="B502" s="1" t="n">
        <v>44911</v>
      </c>
      <c r="C502" s="1" t="n">
        <v>45579</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60676-2022</t>
        </is>
      </c>
      <c r="B503" s="1" t="n">
        <v>44911</v>
      </c>
      <c r="C503" s="1" t="n">
        <v>45579</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60680-2022</t>
        </is>
      </c>
      <c r="B504" s="1" t="n">
        <v>44911</v>
      </c>
      <c r="C504" s="1" t="n">
        <v>45579</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60623-2022</t>
        </is>
      </c>
      <c r="B505" s="1" t="n">
        <v>44911</v>
      </c>
      <c r="C505" s="1" t="n">
        <v>45579</v>
      </c>
      <c r="D505" t="inlineStr">
        <is>
          <t>JÄMTLANDS LÄN</t>
        </is>
      </c>
      <c r="E505" t="inlineStr">
        <is>
          <t>ÖSTERSUND</t>
        </is>
      </c>
      <c r="G505" t="n">
        <v>10.9</v>
      </c>
      <c r="H505" t="n">
        <v>0</v>
      </c>
      <c r="I505" t="n">
        <v>0</v>
      </c>
      <c r="J505" t="n">
        <v>0</v>
      </c>
      <c r="K505" t="n">
        <v>0</v>
      </c>
      <c r="L505" t="n">
        <v>0</v>
      </c>
      <c r="M505" t="n">
        <v>0</v>
      </c>
      <c r="N505" t="n">
        <v>0</v>
      </c>
      <c r="O505" t="n">
        <v>0</v>
      </c>
      <c r="P505" t="n">
        <v>0</v>
      </c>
      <c r="Q505" t="n">
        <v>0</v>
      </c>
      <c r="R505" s="2" t="inlineStr"/>
    </row>
    <row r="506" ht="15" customHeight="1">
      <c r="A506" t="inlineStr">
        <is>
          <t>A 60675-2022</t>
        </is>
      </c>
      <c r="B506" s="1" t="n">
        <v>44911</v>
      </c>
      <c r="C506" s="1" t="n">
        <v>45579</v>
      </c>
      <c r="D506" t="inlineStr">
        <is>
          <t>JÄMTLANDS LÄN</t>
        </is>
      </c>
      <c r="E506" t="inlineStr">
        <is>
          <t>ÖSTERSUND</t>
        </is>
      </c>
      <c r="G506" t="n">
        <v>4.3</v>
      </c>
      <c r="H506" t="n">
        <v>0</v>
      </c>
      <c r="I506" t="n">
        <v>0</v>
      </c>
      <c r="J506" t="n">
        <v>0</v>
      </c>
      <c r="K506" t="n">
        <v>0</v>
      </c>
      <c r="L506" t="n">
        <v>0</v>
      </c>
      <c r="M506" t="n">
        <v>0</v>
      </c>
      <c r="N506" t="n">
        <v>0</v>
      </c>
      <c r="O506" t="n">
        <v>0</v>
      </c>
      <c r="P506" t="n">
        <v>0</v>
      </c>
      <c r="Q506" t="n">
        <v>0</v>
      </c>
      <c r="R506" s="2" t="inlineStr"/>
    </row>
    <row r="507" ht="15" customHeight="1">
      <c r="A507" t="inlineStr">
        <is>
          <t>A 60679-2022</t>
        </is>
      </c>
      <c r="B507" s="1" t="n">
        <v>44911</v>
      </c>
      <c r="C507" s="1" t="n">
        <v>45579</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v>
      </c>
      <c r="C508" s="1" t="n">
        <v>45579</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61653-2022</t>
        </is>
      </c>
      <c r="B509" s="1" t="n">
        <v>44916</v>
      </c>
      <c r="C509" s="1" t="n">
        <v>45579</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62040-2022</t>
        </is>
      </c>
      <c r="B510" s="1" t="n">
        <v>44918</v>
      </c>
      <c r="C510" s="1" t="n">
        <v>45579</v>
      </c>
      <c r="D510" t="inlineStr">
        <is>
          <t>JÄMTLANDS LÄN</t>
        </is>
      </c>
      <c r="E510" t="inlineStr">
        <is>
          <t>ÖSTERSUND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62043-2022</t>
        </is>
      </c>
      <c r="B511" s="1" t="n">
        <v>44918</v>
      </c>
      <c r="C511" s="1" t="n">
        <v>45579</v>
      </c>
      <c r="D511" t="inlineStr">
        <is>
          <t>JÄMTLANDS LÄN</t>
        </is>
      </c>
      <c r="E511" t="inlineStr">
        <is>
          <t>ÖSTERSUND</t>
        </is>
      </c>
      <c r="G511" t="n">
        <v>5.2</v>
      </c>
      <c r="H511" t="n">
        <v>0</v>
      </c>
      <c r="I511" t="n">
        <v>0</v>
      </c>
      <c r="J511" t="n">
        <v>0</v>
      </c>
      <c r="K511" t="n">
        <v>0</v>
      </c>
      <c r="L511" t="n">
        <v>0</v>
      </c>
      <c r="M511" t="n">
        <v>0</v>
      </c>
      <c r="N511" t="n">
        <v>0</v>
      </c>
      <c r="O511" t="n">
        <v>0</v>
      </c>
      <c r="P511" t="n">
        <v>0</v>
      </c>
      <c r="Q511" t="n">
        <v>0</v>
      </c>
      <c r="R511" s="2" t="inlineStr"/>
    </row>
    <row r="512" ht="15" customHeight="1">
      <c r="A512" t="inlineStr">
        <is>
          <t>A 62227-2022</t>
        </is>
      </c>
      <c r="B512" s="1" t="n">
        <v>44922</v>
      </c>
      <c r="C512" s="1" t="n">
        <v>45579</v>
      </c>
      <c r="D512" t="inlineStr">
        <is>
          <t>JÄMTLANDS LÄN</t>
        </is>
      </c>
      <c r="E512" t="inlineStr">
        <is>
          <t>ÖSTERSUND</t>
        </is>
      </c>
      <c r="G512" t="n">
        <v>2.2</v>
      </c>
      <c r="H512" t="n">
        <v>0</v>
      </c>
      <c r="I512" t="n">
        <v>0</v>
      </c>
      <c r="J512" t="n">
        <v>0</v>
      </c>
      <c r="K512" t="n">
        <v>0</v>
      </c>
      <c r="L512" t="n">
        <v>0</v>
      </c>
      <c r="M512" t="n">
        <v>0</v>
      </c>
      <c r="N512" t="n">
        <v>0</v>
      </c>
      <c r="O512" t="n">
        <v>0</v>
      </c>
      <c r="P512" t="n">
        <v>0</v>
      </c>
      <c r="Q512" t="n">
        <v>0</v>
      </c>
      <c r="R512" s="2" t="inlineStr"/>
    </row>
    <row r="513" ht="15" customHeight="1">
      <c r="A513" t="inlineStr">
        <is>
          <t>A 62225-2022</t>
        </is>
      </c>
      <c r="B513" s="1" t="n">
        <v>44922</v>
      </c>
      <c r="C513" s="1" t="n">
        <v>45579</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62222-2022</t>
        </is>
      </c>
      <c r="B514" s="1" t="n">
        <v>44922</v>
      </c>
      <c r="C514" s="1" t="n">
        <v>45579</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296-2023</t>
        </is>
      </c>
      <c r="B515" s="1" t="n">
        <v>44922</v>
      </c>
      <c r="C515" s="1" t="n">
        <v>45579</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12-2023</t>
        </is>
      </c>
      <c r="B516" s="1" t="n">
        <v>44927</v>
      </c>
      <c r="C516" s="1" t="n">
        <v>45579</v>
      </c>
      <c r="D516" t="inlineStr">
        <is>
          <t>JÄMTLANDS LÄN</t>
        </is>
      </c>
      <c r="E516" t="inlineStr">
        <is>
          <t>ÖSTERSUND</t>
        </is>
      </c>
      <c r="G516" t="n">
        <v>4.7</v>
      </c>
      <c r="H516" t="n">
        <v>0</v>
      </c>
      <c r="I516" t="n">
        <v>0</v>
      </c>
      <c r="J516" t="n">
        <v>0</v>
      </c>
      <c r="K516" t="n">
        <v>0</v>
      </c>
      <c r="L516" t="n">
        <v>0</v>
      </c>
      <c r="M516" t="n">
        <v>0</v>
      </c>
      <c r="N516" t="n">
        <v>0</v>
      </c>
      <c r="O516" t="n">
        <v>0</v>
      </c>
      <c r="P516" t="n">
        <v>0</v>
      </c>
      <c r="Q516" t="n">
        <v>0</v>
      </c>
      <c r="R516" s="2" t="inlineStr"/>
    </row>
    <row r="517" ht="15" customHeight="1">
      <c r="A517" t="inlineStr">
        <is>
          <t>A 257-2023</t>
        </is>
      </c>
      <c r="B517" s="1" t="n">
        <v>44928</v>
      </c>
      <c r="C517" s="1" t="n">
        <v>45579</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55-2023</t>
        </is>
      </c>
      <c r="B518" s="1" t="n">
        <v>44928</v>
      </c>
      <c r="C518" s="1" t="n">
        <v>45579</v>
      </c>
      <c r="D518" t="inlineStr">
        <is>
          <t>JÄMTLANDS LÄN</t>
        </is>
      </c>
      <c r="E518" t="inlineStr">
        <is>
          <t>ÖSTERSUND</t>
        </is>
      </c>
      <c r="G518" t="n">
        <v>4</v>
      </c>
      <c r="H518" t="n">
        <v>0</v>
      </c>
      <c r="I518" t="n">
        <v>0</v>
      </c>
      <c r="J518" t="n">
        <v>0</v>
      </c>
      <c r="K518" t="n">
        <v>0</v>
      </c>
      <c r="L518" t="n">
        <v>0</v>
      </c>
      <c r="M518" t="n">
        <v>0</v>
      </c>
      <c r="N518" t="n">
        <v>0</v>
      </c>
      <c r="O518" t="n">
        <v>0</v>
      </c>
      <c r="P518" t="n">
        <v>0</v>
      </c>
      <c r="Q518" t="n">
        <v>0</v>
      </c>
      <c r="R518" s="2" t="inlineStr"/>
    </row>
    <row r="519" ht="15" customHeight="1">
      <c r="A519" t="inlineStr">
        <is>
          <t>A 1234-2023</t>
        </is>
      </c>
      <c r="B519" s="1" t="n">
        <v>44936</v>
      </c>
      <c r="C519" s="1" t="n">
        <v>45579</v>
      </c>
      <c r="D519" t="inlineStr">
        <is>
          <t>JÄMTLANDS LÄN</t>
        </is>
      </c>
      <c r="E519" t="inlineStr">
        <is>
          <t>ÖSTERSUND</t>
        </is>
      </c>
      <c r="G519" t="n">
        <v>2.3</v>
      </c>
      <c r="H519" t="n">
        <v>0</v>
      </c>
      <c r="I519" t="n">
        <v>0</v>
      </c>
      <c r="J519" t="n">
        <v>0</v>
      </c>
      <c r="K519" t="n">
        <v>0</v>
      </c>
      <c r="L519" t="n">
        <v>0</v>
      </c>
      <c r="M519" t="n">
        <v>0</v>
      </c>
      <c r="N519" t="n">
        <v>0</v>
      </c>
      <c r="O519" t="n">
        <v>0</v>
      </c>
      <c r="P519" t="n">
        <v>0</v>
      </c>
      <c r="Q519" t="n">
        <v>0</v>
      </c>
      <c r="R519" s="2" t="inlineStr"/>
    </row>
    <row r="520" ht="15" customHeight="1">
      <c r="A520" t="inlineStr">
        <is>
          <t>A 1893-2023</t>
        </is>
      </c>
      <c r="B520" s="1" t="n">
        <v>44937</v>
      </c>
      <c r="C520" s="1" t="n">
        <v>45579</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2420-2023</t>
        </is>
      </c>
      <c r="B521" s="1" t="n">
        <v>44943</v>
      </c>
      <c r="C521" s="1" t="n">
        <v>45579</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3339-2023</t>
        </is>
      </c>
      <c r="B522" s="1" t="n">
        <v>44949</v>
      </c>
      <c r="C522" s="1" t="n">
        <v>45579</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3749-2023</t>
        </is>
      </c>
      <c r="B523" s="1" t="n">
        <v>44949</v>
      </c>
      <c r="C523" s="1" t="n">
        <v>45579</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3949-2023</t>
        </is>
      </c>
      <c r="B524" s="1" t="n">
        <v>44950</v>
      </c>
      <c r="C524" s="1" t="n">
        <v>45579</v>
      </c>
      <c r="D524" t="inlineStr">
        <is>
          <t>JÄMTLANDS LÄN</t>
        </is>
      </c>
      <c r="E524" t="inlineStr">
        <is>
          <t>ÖSTERSUND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4134-2023</t>
        </is>
      </c>
      <c r="B525" s="1" t="n">
        <v>44952</v>
      </c>
      <c r="C525" s="1" t="n">
        <v>45579</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4135-2023</t>
        </is>
      </c>
      <c r="B526" s="1" t="n">
        <v>44952</v>
      </c>
      <c r="C526" s="1" t="n">
        <v>45579</v>
      </c>
      <c r="D526" t="inlineStr">
        <is>
          <t>JÄMTLANDS LÄN</t>
        </is>
      </c>
      <c r="E526" t="inlineStr">
        <is>
          <t>ÖSTERSUND</t>
        </is>
      </c>
      <c r="G526" t="n">
        <v>1.3</v>
      </c>
      <c r="H526" t="n">
        <v>0</v>
      </c>
      <c r="I526" t="n">
        <v>0</v>
      </c>
      <c r="J526" t="n">
        <v>0</v>
      </c>
      <c r="K526" t="n">
        <v>0</v>
      </c>
      <c r="L526" t="n">
        <v>0</v>
      </c>
      <c r="M526" t="n">
        <v>0</v>
      </c>
      <c r="N526" t="n">
        <v>0</v>
      </c>
      <c r="O526" t="n">
        <v>0</v>
      </c>
      <c r="P526" t="n">
        <v>0</v>
      </c>
      <c r="Q526" t="n">
        <v>0</v>
      </c>
      <c r="R526" s="2" t="inlineStr"/>
    </row>
    <row r="527" ht="15" customHeight="1">
      <c r="A527" t="inlineStr">
        <is>
          <t>A 4136-2023</t>
        </is>
      </c>
      <c r="B527" s="1" t="n">
        <v>44952</v>
      </c>
      <c r="C527" s="1" t="n">
        <v>45579</v>
      </c>
      <c r="D527" t="inlineStr">
        <is>
          <t>JÄMTLANDS LÄN</t>
        </is>
      </c>
      <c r="E527" t="inlineStr">
        <is>
          <t>ÖSTERSUND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4345-2023</t>
        </is>
      </c>
      <c r="B528" s="1" t="n">
        <v>44954</v>
      </c>
      <c r="C528" s="1" t="n">
        <v>45579</v>
      </c>
      <c r="D528" t="inlineStr">
        <is>
          <t>JÄMTLANDS LÄN</t>
        </is>
      </c>
      <c r="E528" t="inlineStr">
        <is>
          <t>ÖSTERSUND</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5197-2023</t>
        </is>
      </c>
      <c r="B529" s="1" t="n">
        <v>44953</v>
      </c>
      <c r="C529" s="1" t="n">
        <v>45579</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4872-2023</t>
        </is>
      </c>
      <c r="B530" s="1" t="n">
        <v>44957</v>
      </c>
      <c r="C530" s="1" t="n">
        <v>45579</v>
      </c>
      <c r="D530" t="inlineStr">
        <is>
          <t>JÄMTLANDS LÄN</t>
        </is>
      </c>
      <c r="E530" t="inlineStr">
        <is>
          <t>ÖSTERSUND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5951-2023</t>
        </is>
      </c>
      <c r="B531" s="1" t="n">
        <v>44963</v>
      </c>
      <c r="C531" s="1" t="n">
        <v>45579</v>
      </c>
      <c r="D531" t="inlineStr">
        <is>
          <t>JÄMTLANDS LÄN</t>
        </is>
      </c>
      <c r="E531" t="inlineStr">
        <is>
          <t>ÖSTERSUND</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5950-2023</t>
        </is>
      </c>
      <c r="B532" s="1" t="n">
        <v>44963</v>
      </c>
      <c r="C532" s="1" t="n">
        <v>45579</v>
      </c>
      <c r="D532" t="inlineStr">
        <is>
          <t>JÄMTLANDS LÄN</t>
        </is>
      </c>
      <c r="E532" t="inlineStr">
        <is>
          <t>ÖSTERSUND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6341-2023</t>
        </is>
      </c>
      <c r="B533" s="1" t="n">
        <v>44965</v>
      </c>
      <c r="C533" s="1" t="n">
        <v>45579</v>
      </c>
      <c r="D533" t="inlineStr">
        <is>
          <t>JÄMTLANDS LÄN</t>
        </is>
      </c>
      <c r="E533" t="inlineStr">
        <is>
          <t>ÖSTERSUND</t>
        </is>
      </c>
      <c r="G533" t="n">
        <v>6</v>
      </c>
      <c r="H533" t="n">
        <v>0</v>
      </c>
      <c r="I533" t="n">
        <v>0</v>
      </c>
      <c r="J533" t="n">
        <v>0</v>
      </c>
      <c r="K533" t="n">
        <v>0</v>
      </c>
      <c r="L533" t="n">
        <v>0</v>
      </c>
      <c r="M533" t="n">
        <v>0</v>
      </c>
      <c r="N533" t="n">
        <v>0</v>
      </c>
      <c r="O533" t="n">
        <v>0</v>
      </c>
      <c r="P533" t="n">
        <v>0</v>
      </c>
      <c r="Q533" t="n">
        <v>0</v>
      </c>
      <c r="R533" s="2" t="inlineStr"/>
    </row>
    <row r="534" ht="15" customHeight="1">
      <c r="A534" t="inlineStr">
        <is>
          <t>A 7327-2023</t>
        </is>
      </c>
      <c r="B534" s="1" t="n">
        <v>44971</v>
      </c>
      <c r="C534" s="1" t="n">
        <v>45579</v>
      </c>
      <c r="D534" t="inlineStr">
        <is>
          <t>JÄMTLANDS LÄN</t>
        </is>
      </c>
      <c r="E534" t="inlineStr">
        <is>
          <t>ÖSTERSUND</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7983-2023</t>
        </is>
      </c>
      <c r="B535" s="1" t="n">
        <v>44970</v>
      </c>
      <c r="C535" s="1" t="n">
        <v>45579</v>
      </c>
      <c r="D535" t="inlineStr">
        <is>
          <t>JÄMTLANDS LÄN</t>
        </is>
      </c>
      <c r="E535" t="inlineStr">
        <is>
          <t>ÖSTERSUND</t>
        </is>
      </c>
      <c r="G535" t="n">
        <v>1.8</v>
      </c>
      <c r="H535" t="n">
        <v>0</v>
      </c>
      <c r="I535" t="n">
        <v>0</v>
      </c>
      <c r="J535" t="n">
        <v>0</v>
      </c>
      <c r="K535" t="n">
        <v>0</v>
      </c>
      <c r="L535" t="n">
        <v>0</v>
      </c>
      <c r="M535" t="n">
        <v>0</v>
      </c>
      <c r="N535" t="n">
        <v>0</v>
      </c>
      <c r="O535" t="n">
        <v>0</v>
      </c>
      <c r="P535" t="n">
        <v>0</v>
      </c>
      <c r="Q535" t="n">
        <v>0</v>
      </c>
      <c r="R535" s="2" t="inlineStr"/>
    </row>
    <row r="536" ht="15" customHeight="1">
      <c r="A536" t="inlineStr">
        <is>
          <t>A 8223-2023</t>
        </is>
      </c>
      <c r="B536" s="1" t="n">
        <v>44971</v>
      </c>
      <c r="C536" s="1" t="n">
        <v>45579</v>
      </c>
      <c r="D536" t="inlineStr">
        <is>
          <t>JÄMTLANDS LÄN</t>
        </is>
      </c>
      <c r="E536" t="inlineStr">
        <is>
          <t>ÖSTERSUND</t>
        </is>
      </c>
      <c r="G536" t="n">
        <v>7.6</v>
      </c>
      <c r="H536" t="n">
        <v>0</v>
      </c>
      <c r="I536" t="n">
        <v>0</v>
      </c>
      <c r="J536" t="n">
        <v>0</v>
      </c>
      <c r="K536" t="n">
        <v>0</v>
      </c>
      <c r="L536" t="n">
        <v>0</v>
      </c>
      <c r="M536" t="n">
        <v>0</v>
      </c>
      <c r="N536" t="n">
        <v>0</v>
      </c>
      <c r="O536" t="n">
        <v>0</v>
      </c>
      <c r="P536" t="n">
        <v>0</v>
      </c>
      <c r="Q536" t="n">
        <v>0</v>
      </c>
      <c r="R536" s="2" t="inlineStr"/>
    </row>
    <row r="537" ht="15" customHeight="1">
      <c r="A537" t="inlineStr">
        <is>
          <t>A 8423-2023</t>
        </is>
      </c>
      <c r="B537" s="1" t="n">
        <v>44977</v>
      </c>
      <c r="C537" s="1" t="n">
        <v>45579</v>
      </c>
      <c r="D537" t="inlineStr">
        <is>
          <t>JÄMTLANDS LÄN</t>
        </is>
      </c>
      <c r="E537" t="inlineStr">
        <is>
          <t>ÖSTERSUND</t>
        </is>
      </c>
      <c r="F537" t="inlineStr">
        <is>
          <t>Övriga Aktiebolag</t>
        </is>
      </c>
      <c r="G537" t="n">
        <v>53.1</v>
      </c>
      <c r="H537" t="n">
        <v>0</v>
      </c>
      <c r="I537" t="n">
        <v>0</v>
      </c>
      <c r="J537" t="n">
        <v>0</v>
      </c>
      <c r="K537" t="n">
        <v>0</v>
      </c>
      <c r="L537" t="n">
        <v>0</v>
      </c>
      <c r="M537" t="n">
        <v>0</v>
      </c>
      <c r="N537" t="n">
        <v>0</v>
      </c>
      <c r="O537" t="n">
        <v>0</v>
      </c>
      <c r="P537" t="n">
        <v>0</v>
      </c>
      <c r="Q537" t="n">
        <v>0</v>
      </c>
      <c r="R537" s="2" t="inlineStr"/>
    </row>
    <row r="538" ht="15" customHeight="1">
      <c r="A538" t="inlineStr">
        <is>
          <t>A 8675-2023</t>
        </is>
      </c>
      <c r="B538" s="1" t="n">
        <v>44978</v>
      </c>
      <c r="C538" s="1" t="n">
        <v>45579</v>
      </c>
      <c r="D538" t="inlineStr">
        <is>
          <t>JÄMTLANDS LÄN</t>
        </is>
      </c>
      <c r="E538" t="inlineStr">
        <is>
          <t>ÖSTERSUND</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10306-2023</t>
        </is>
      </c>
      <c r="B539" s="1" t="n">
        <v>44986</v>
      </c>
      <c r="C539" s="1" t="n">
        <v>45579</v>
      </c>
      <c r="D539" t="inlineStr">
        <is>
          <t>JÄMTLANDS LÄN</t>
        </is>
      </c>
      <c r="E539" t="inlineStr">
        <is>
          <t>ÖSTERSUND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10308-2023</t>
        </is>
      </c>
      <c r="B540" s="1" t="n">
        <v>44986</v>
      </c>
      <c r="C540" s="1" t="n">
        <v>45579</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10307-2023</t>
        </is>
      </c>
      <c r="B541" s="1" t="n">
        <v>44986</v>
      </c>
      <c r="C541" s="1" t="n">
        <v>45579</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10315-2023</t>
        </is>
      </c>
      <c r="B542" s="1" t="n">
        <v>44986</v>
      </c>
      <c r="C542" s="1" t="n">
        <v>45579</v>
      </c>
      <c r="D542" t="inlineStr">
        <is>
          <t>JÄMTLANDS LÄN</t>
        </is>
      </c>
      <c r="E542" t="inlineStr">
        <is>
          <t>ÖSTERSUND</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10305-2023</t>
        </is>
      </c>
      <c r="B543" s="1" t="n">
        <v>44986</v>
      </c>
      <c r="C543" s="1" t="n">
        <v>45579</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11356-2023</t>
        </is>
      </c>
      <c r="B544" s="1" t="n">
        <v>44993</v>
      </c>
      <c r="C544" s="1" t="n">
        <v>45579</v>
      </c>
      <c r="D544" t="inlineStr">
        <is>
          <t>JÄMTLANDS LÄN</t>
        </is>
      </c>
      <c r="E544" t="inlineStr">
        <is>
          <t>ÖSTERSUND</t>
        </is>
      </c>
      <c r="G544" t="n">
        <v>8.1</v>
      </c>
      <c r="H544" t="n">
        <v>0</v>
      </c>
      <c r="I544" t="n">
        <v>0</v>
      </c>
      <c r="J544" t="n">
        <v>0</v>
      </c>
      <c r="K544" t="n">
        <v>0</v>
      </c>
      <c r="L544" t="n">
        <v>0</v>
      </c>
      <c r="M544" t="n">
        <v>0</v>
      </c>
      <c r="N544" t="n">
        <v>0</v>
      </c>
      <c r="O544" t="n">
        <v>0</v>
      </c>
      <c r="P544" t="n">
        <v>0</v>
      </c>
      <c r="Q544" t="n">
        <v>0</v>
      </c>
      <c r="R544" s="2" t="inlineStr"/>
    </row>
    <row r="545" ht="15" customHeight="1">
      <c r="A545" t="inlineStr">
        <is>
          <t>A 12821-2023</t>
        </is>
      </c>
      <c r="B545" s="1" t="n">
        <v>45000</v>
      </c>
      <c r="C545" s="1" t="n">
        <v>45579</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13166-2023</t>
        </is>
      </c>
      <c r="B546" s="1" t="n">
        <v>45002</v>
      </c>
      <c r="C546" s="1" t="n">
        <v>45579</v>
      </c>
      <c r="D546" t="inlineStr">
        <is>
          <t>JÄMTLANDS LÄN</t>
        </is>
      </c>
      <c r="E546" t="inlineStr">
        <is>
          <t>ÖSTERSUND</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13148-2023</t>
        </is>
      </c>
      <c r="B547" s="1" t="n">
        <v>45002</v>
      </c>
      <c r="C547" s="1" t="n">
        <v>45579</v>
      </c>
      <c r="D547" t="inlineStr">
        <is>
          <t>JÄMTLANDS LÄN</t>
        </is>
      </c>
      <c r="E547" t="inlineStr">
        <is>
          <t>ÖSTERSUND</t>
        </is>
      </c>
      <c r="G547" t="n">
        <v>1.8</v>
      </c>
      <c r="H547" t="n">
        <v>0</v>
      </c>
      <c r="I547" t="n">
        <v>0</v>
      </c>
      <c r="J547" t="n">
        <v>0</v>
      </c>
      <c r="K547" t="n">
        <v>0</v>
      </c>
      <c r="L547" t="n">
        <v>0</v>
      </c>
      <c r="M547" t="n">
        <v>0</v>
      </c>
      <c r="N547" t="n">
        <v>0</v>
      </c>
      <c r="O547" t="n">
        <v>0</v>
      </c>
      <c r="P547" t="n">
        <v>0</v>
      </c>
      <c r="Q547" t="n">
        <v>0</v>
      </c>
      <c r="R547" s="2" t="inlineStr"/>
    </row>
    <row r="548" ht="15" customHeight="1">
      <c r="A548" t="inlineStr">
        <is>
          <t>A 13152-2023</t>
        </is>
      </c>
      <c r="B548" s="1" t="n">
        <v>45002</v>
      </c>
      <c r="C548" s="1" t="n">
        <v>45579</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13282-2023</t>
        </is>
      </c>
      <c r="B549" s="1" t="n">
        <v>45004</v>
      </c>
      <c r="C549" s="1" t="n">
        <v>45579</v>
      </c>
      <c r="D549" t="inlineStr">
        <is>
          <t>JÄMTLANDS LÄN</t>
        </is>
      </c>
      <c r="E549" t="inlineStr">
        <is>
          <t>ÖSTERSUND</t>
        </is>
      </c>
      <c r="G549" t="n">
        <v>28.5</v>
      </c>
      <c r="H549" t="n">
        <v>0</v>
      </c>
      <c r="I549" t="n">
        <v>0</v>
      </c>
      <c r="J549" t="n">
        <v>0</v>
      </c>
      <c r="K549" t="n">
        <v>0</v>
      </c>
      <c r="L549" t="n">
        <v>0</v>
      </c>
      <c r="M549" t="n">
        <v>0</v>
      </c>
      <c r="N549" t="n">
        <v>0</v>
      </c>
      <c r="O549" t="n">
        <v>0</v>
      </c>
      <c r="P549" t="n">
        <v>0</v>
      </c>
      <c r="Q549" t="n">
        <v>0</v>
      </c>
      <c r="R549" s="2" t="inlineStr"/>
    </row>
    <row r="550" ht="15" customHeight="1">
      <c r="A550" t="inlineStr">
        <is>
          <t>A 13921-2023</t>
        </is>
      </c>
      <c r="B550" s="1" t="n">
        <v>45008</v>
      </c>
      <c r="C550" s="1" t="n">
        <v>45579</v>
      </c>
      <c r="D550" t="inlineStr">
        <is>
          <t>JÄMTLANDS LÄN</t>
        </is>
      </c>
      <c r="E550" t="inlineStr">
        <is>
          <t>ÖSTERSUND</t>
        </is>
      </c>
      <c r="G550" t="n">
        <v>0.3</v>
      </c>
      <c r="H550" t="n">
        <v>0</v>
      </c>
      <c r="I550" t="n">
        <v>0</v>
      </c>
      <c r="J550" t="n">
        <v>0</v>
      </c>
      <c r="K550" t="n">
        <v>0</v>
      </c>
      <c r="L550" t="n">
        <v>0</v>
      </c>
      <c r="M550" t="n">
        <v>0</v>
      </c>
      <c r="N550" t="n">
        <v>0</v>
      </c>
      <c r="O550" t="n">
        <v>0</v>
      </c>
      <c r="P550" t="n">
        <v>0</v>
      </c>
      <c r="Q550" t="n">
        <v>0</v>
      </c>
      <c r="R550" s="2" t="inlineStr"/>
    </row>
    <row r="551" ht="15" customHeight="1">
      <c r="A551" t="inlineStr">
        <is>
          <t>A 14520-2023</t>
        </is>
      </c>
      <c r="B551" s="1" t="n">
        <v>45012</v>
      </c>
      <c r="C551" s="1" t="n">
        <v>45579</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14523-2023</t>
        </is>
      </c>
      <c r="B552" s="1" t="n">
        <v>45012</v>
      </c>
      <c r="C552" s="1" t="n">
        <v>45579</v>
      </c>
      <c r="D552" t="inlineStr">
        <is>
          <t>JÄMTLANDS LÄN</t>
        </is>
      </c>
      <c r="E552" t="inlineStr">
        <is>
          <t>ÖSTERSUND</t>
        </is>
      </c>
      <c r="G552" t="n">
        <v>4.5</v>
      </c>
      <c r="H552" t="n">
        <v>0</v>
      </c>
      <c r="I552" t="n">
        <v>0</v>
      </c>
      <c r="J552" t="n">
        <v>0</v>
      </c>
      <c r="K552" t="n">
        <v>0</v>
      </c>
      <c r="L552" t="n">
        <v>0</v>
      </c>
      <c r="M552" t="n">
        <v>0</v>
      </c>
      <c r="N552" t="n">
        <v>0</v>
      </c>
      <c r="O552" t="n">
        <v>0</v>
      </c>
      <c r="P552" t="n">
        <v>0</v>
      </c>
      <c r="Q552" t="n">
        <v>0</v>
      </c>
      <c r="R552" s="2" t="inlineStr"/>
    </row>
    <row r="553" ht="15" customHeight="1">
      <c r="A553" t="inlineStr">
        <is>
          <t>A 14521-2023</t>
        </is>
      </c>
      <c r="B553" s="1" t="n">
        <v>45013</v>
      </c>
      <c r="C553" s="1" t="n">
        <v>45579</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14518-2023</t>
        </is>
      </c>
      <c r="B554" s="1" t="n">
        <v>45012</v>
      </c>
      <c r="C554" s="1" t="n">
        <v>45579</v>
      </c>
      <c r="D554" t="inlineStr">
        <is>
          <t>JÄMTLANDS LÄN</t>
        </is>
      </c>
      <c r="E554" t="inlineStr">
        <is>
          <t>ÖSTERSUND</t>
        </is>
      </c>
      <c r="G554" t="n">
        <v>14.4</v>
      </c>
      <c r="H554" t="n">
        <v>0</v>
      </c>
      <c r="I554" t="n">
        <v>0</v>
      </c>
      <c r="J554" t="n">
        <v>0</v>
      </c>
      <c r="K554" t="n">
        <v>0</v>
      </c>
      <c r="L554" t="n">
        <v>0</v>
      </c>
      <c r="M554" t="n">
        <v>0</v>
      </c>
      <c r="N554" t="n">
        <v>0</v>
      </c>
      <c r="O554" t="n">
        <v>0</v>
      </c>
      <c r="P554" t="n">
        <v>0</v>
      </c>
      <c r="Q554" t="n">
        <v>0</v>
      </c>
      <c r="R554" s="2" t="inlineStr"/>
    </row>
    <row r="555" ht="15" customHeight="1">
      <c r="A555" t="inlineStr">
        <is>
          <t>A 15984-2023</t>
        </is>
      </c>
      <c r="B555" s="1" t="n">
        <v>45022</v>
      </c>
      <c r="C555" s="1" t="n">
        <v>45579</v>
      </c>
      <c r="D555" t="inlineStr">
        <is>
          <t>JÄMTLANDS LÄN</t>
        </is>
      </c>
      <c r="E555" t="inlineStr">
        <is>
          <t>ÖSTERSUND</t>
        </is>
      </c>
      <c r="F555" t="inlineStr">
        <is>
          <t>SCA</t>
        </is>
      </c>
      <c r="G555" t="n">
        <v>10.1</v>
      </c>
      <c r="H555" t="n">
        <v>0</v>
      </c>
      <c r="I555" t="n">
        <v>0</v>
      </c>
      <c r="J555" t="n">
        <v>0</v>
      </c>
      <c r="K555" t="n">
        <v>0</v>
      </c>
      <c r="L555" t="n">
        <v>0</v>
      </c>
      <c r="M555" t="n">
        <v>0</v>
      </c>
      <c r="N555" t="n">
        <v>0</v>
      </c>
      <c r="O555" t="n">
        <v>0</v>
      </c>
      <c r="P555" t="n">
        <v>0</v>
      </c>
      <c r="Q555" t="n">
        <v>0</v>
      </c>
      <c r="R555" s="2" t="inlineStr"/>
    </row>
    <row r="556" ht="15" customHeight="1">
      <c r="A556" t="inlineStr">
        <is>
          <t>A 16666-2023</t>
        </is>
      </c>
      <c r="B556" s="1" t="n">
        <v>45028</v>
      </c>
      <c r="C556" s="1" t="n">
        <v>45579</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16682-2023</t>
        </is>
      </c>
      <c r="B557" s="1" t="n">
        <v>45028</v>
      </c>
      <c r="C557" s="1" t="n">
        <v>45579</v>
      </c>
      <c r="D557" t="inlineStr">
        <is>
          <t>JÄMTLANDS LÄN</t>
        </is>
      </c>
      <c r="E557" t="inlineStr">
        <is>
          <t>ÖSTERSUND</t>
        </is>
      </c>
      <c r="G557" t="n">
        <v>7.9</v>
      </c>
      <c r="H557" t="n">
        <v>0</v>
      </c>
      <c r="I557" t="n">
        <v>0</v>
      </c>
      <c r="J557" t="n">
        <v>0</v>
      </c>
      <c r="K557" t="n">
        <v>0</v>
      </c>
      <c r="L557" t="n">
        <v>0</v>
      </c>
      <c r="M557" t="n">
        <v>0</v>
      </c>
      <c r="N557" t="n">
        <v>0</v>
      </c>
      <c r="O557" t="n">
        <v>0</v>
      </c>
      <c r="P557" t="n">
        <v>0</v>
      </c>
      <c r="Q557" t="n">
        <v>0</v>
      </c>
      <c r="R557" s="2" t="inlineStr"/>
    </row>
    <row r="558" ht="15" customHeight="1">
      <c r="A558" t="inlineStr">
        <is>
          <t>A 17225-2023</t>
        </is>
      </c>
      <c r="B558" s="1" t="n">
        <v>45035</v>
      </c>
      <c r="C558" s="1" t="n">
        <v>45579</v>
      </c>
      <c r="D558" t="inlineStr">
        <is>
          <t>JÄMTLANDS LÄN</t>
        </is>
      </c>
      <c r="E558" t="inlineStr">
        <is>
          <t>ÖSTERSUND</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19573-2023</t>
        </is>
      </c>
      <c r="B559" s="1" t="n">
        <v>45049</v>
      </c>
      <c r="C559" s="1" t="n">
        <v>45579</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19750-2023</t>
        </is>
      </c>
      <c r="B560" s="1" t="n">
        <v>45050</v>
      </c>
      <c r="C560" s="1" t="n">
        <v>45579</v>
      </c>
      <c r="D560" t="inlineStr">
        <is>
          <t>JÄMTLANDS LÄN</t>
        </is>
      </c>
      <c r="E560" t="inlineStr">
        <is>
          <t>ÖSTERSUND</t>
        </is>
      </c>
      <c r="G560" t="n">
        <v>3.2</v>
      </c>
      <c r="H560" t="n">
        <v>0</v>
      </c>
      <c r="I560" t="n">
        <v>0</v>
      </c>
      <c r="J560" t="n">
        <v>0</v>
      </c>
      <c r="K560" t="n">
        <v>0</v>
      </c>
      <c r="L560" t="n">
        <v>0</v>
      </c>
      <c r="M560" t="n">
        <v>0</v>
      </c>
      <c r="N560" t="n">
        <v>0</v>
      </c>
      <c r="O560" t="n">
        <v>0</v>
      </c>
      <c r="P560" t="n">
        <v>0</v>
      </c>
      <c r="Q560" t="n">
        <v>0</v>
      </c>
      <c r="R560" s="2" t="inlineStr"/>
    </row>
    <row r="561" ht="15" customHeight="1">
      <c r="A561" t="inlineStr">
        <is>
          <t>A 20606-2023</t>
        </is>
      </c>
      <c r="B561" s="1" t="n">
        <v>45057</v>
      </c>
      <c r="C561" s="1" t="n">
        <v>45579</v>
      </c>
      <c r="D561" t="inlineStr">
        <is>
          <t>JÄMTLANDS LÄN</t>
        </is>
      </c>
      <c r="E561" t="inlineStr">
        <is>
          <t>ÖSTERSUND</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20634-2023</t>
        </is>
      </c>
      <c r="B562" s="1" t="n">
        <v>45058</v>
      </c>
      <c r="C562" s="1" t="n">
        <v>45579</v>
      </c>
      <c r="D562" t="inlineStr">
        <is>
          <t>JÄMTLANDS LÄN</t>
        </is>
      </c>
      <c r="E562" t="inlineStr">
        <is>
          <t>ÖSTERSUND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20588-2023</t>
        </is>
      </c>
      <c r="B563" s="1" t="n">
        <v>45057</v>
      </c>
      <c r="C563" s="1" t="n">
        <v>45579</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20635-2023</t>
        </is>
      </c>
      <c r="B564" s="1" t="n">
        <v>45058</v>
      </c>
      <c r="C564" s="1" t="n">
        <v>45579</v>
      </c>
      <c r="D564" t="inlineStr">
        <is>
          <t>JÄMTLANDS LÄN</t>
        </is>
      </c>
      <c r="E564" t="inlineStr">
        <is>
          <t>ÖSTERSUND</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20633-2023</t>
        </is>
      </c>
      <c r="B565" s="1" t="n">
        <v>45058</v>
      </c>
      <c r="C565" s="1" t="n">
        <v>45579</v>
      </c>
      <c r="D565" t="inlineStr">
        <is>
          <t>JÄMTLANDS LÄN</t>
        </is>
      </c>
      <c r="E565" t="inlineStr">
        <is>
          <t>ÖSTERSUND</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20636-2023</t>
        </is>
      </c>
      <c r="B566" s="1" t="n">
        <v>45058</v>
      </c>
      <c r="C566" s="1" t="n">
        <v>45579</v>
      </c>
      <c r="D566" t="inlineStr">
        <is>
          <t>JÄMTLANDS LÄN</t>
        </is>
      </c>
      <c r="E566" t="inlineStr">
        <is>
          <t>ÖSTERSUND</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24515-2023</t>
        </is>
      </c>
      <c r="B567" s="1" t="n">
        <v>45077</v>
      </c>
      <c r="C567" s="1" t="n">
        <v>45579</v>
      </c>
      <c r="D567" t="inlineStr">
        <is>
          <t>JÄMTLANDS LÄN</t>
        </is>
      </c>
      <c r="E567" t="inlineStr">
        <is>
          <t>ÖSTERSUND</t>
        </is>
      </c>
      <c r="G567" t="n">
        <v>27.8</v>
      </c>
      <c r="H567" t="n">
        <v>0</v>
      </c>
      <c r="I567" t="n">
        <v>0</v>
      </c>
      <c r="J567" t="n">
        <v>0</v>
      </c>
      <c r="K567" t="n">
        <v>0</v>
      </c>
      <c r="L567" t="n">
        <v>0</v>
      </c>
      <c r="M567" t="n">
        <v>0</v>
      </c>
      <c r="N567" t="n">
        <v>0</v>
      </c>
      <c r="O567" t="n">
        <v>0</v>
      </c>
      <c r="P567" t="n">
        <v>0</v>
      </c>
      <c r="Q567" t="n">
        <v>0</v>
      </c>
      <c r="R567" s="2" t="inlineStr"/>
    </row>
    <row r="568" ht="15" customHeight="1">
      <c r="A568" t="inlineStr">
        <is>
          <t>A 24396-2023</t>
        </is>
      </c>
      <c r="B568" s="1" t="n">
        <v>45082</v>
      </c>
      <c r="C568" s="1" t="n">
        <v>45579</v>
      </c>
      <c r="D568" t="inlineStr">
        <is>
          <t>JÄMTLANDS LÄN</t>
        </is>
      </c>
      <c r="E568" t="inlineStr">
        <is>
          <t>ÖSTERSUND</t>
        </is>
      </c>
      <c r="F568" t="inlineStr">
        <is>
          <t>Kyrkan</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25727-2023</t>
        </is>
      </c>
      <c r="B569" s="1" t="n">
        <v>45084</v>
      </c>
      <c r="C569" s="1" t="n">
        <v>45579</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25866-2023</t>
        </is>
      </c>
      <c r="B570" s="1" t="n">
        <v>45084</v>
      </c>
      <c r="C570" s="1" t="n">
        <v>45579</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25496-2023</t>
        </is>
      </c>
      <c r="B571" s="1" t="n">
        <v>45089</v>
      </c>
      <c r="C571" s="1" t="n">
        <v>45579</v>
      </c>
      <c r="D571" t="inlineStr">
        <is>
          <t>JÄMTLANDS LÄN</t>
        </is>
      </c>
      <c r="E571" t="inlineStr">
        <is>
          <t>ÖSTERSUND</t>
        </is>
      </c>
      <c r="F571" t="inlineStr">
        <is>
          <t>Kyrkan</t>
        </is>
      </c>
      <c r="G571" t="n">
        <v>5.7</v>
      </c>
      <c r="H571" t="n">
        <v>0</v>
      </c>
      <c r="I571" t="n">
        <v>0</v>
      </c>
      <c r="J571" t="n">
        <v>0</v>
      </c>
      <c r="K571" t="n">
        <v>0</v>
      </c>
      <c r="L571" t="n">
        <v>0</v>
      </c>
      <c r="M571" t="n">
        <v>0</v>
      </c>
      <c r="N571" t="n">
        <v>0</v>
      </c>
      <c r="O571" t="n">
        <v>0</v>
      </c>
      <c r="P571" t="n">
        <v>0</v>
      </c>
      <c r="Q571" t="n">
        <v>0</v>
      </c>
      <c r="R571" s="2" t="inlineStr"/>
    </row>
    <row r="572" ht="15" customHeight="1">
      <c r="A572" t="inlineStr">
        <is>
          <t>A 25535-2023</t>
        </is>
      </c>
      <c r="B572" s="1" t="n">
        <v>45089</v>
      </c>
      <c r="C572" s="1" t="n">
        <v>45579</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25514-2023</t>
        </is>
      </c>
      <c r="B573" s="1" t="n">
        <v>45089</v>
      </c>
      <c r="C573" s="1" t="n">
        <v>45579</v>
      </c>
      <c r="D573" t="inlineStr">
        <is>
          <t>JÄMTLANDS LÄN</t>
        </is>
      </c>
      <c r="E573" t="inlineStr">
        <is>
          <t>ÖSTERSUND</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26565-2023</t>
        </is>
      </c>
      <c r="B574" s="1" t="n">
        <v>45089</v>
      </c>
      <c r="C574" s="1" t="n">
        <v>45579</v>
      </c>
      <c r="D574" t="inlineStr">
        <is>
          <t>JÄMTLANDS LÄN</t>
        </is>
      </c>
      <c r="E574" t="inlineStr">
        <is>
          <t>ÖSTERSUND</t>
        </is>
      </c>
      <c r="G574" t="n">
        <v>5.2</v>
      </c>
      <c r="H574" t="n">
        <v>0</v>
      </c>
      <c r="I574" t="n">
        <v>0</v>
      </c>
      <c r="J574" t="n">
        <v>0</v>
      </c>
      <c r="K574" t="n">
        <v>0</v>
      </c>
      <c r="L574" t="n">
        <v>0</v>
      </c>
      <c r="M574" t="n">
        <v>0</v>
      </c>
      <c r="N574" t="n">
        <v>0</v>
      </c>
      <c r="O574" t="n">
        <v>0</v>
      </c>
      <c r="P574" t="n">
        <v>0</v>
      </c>
      <c r="Q574" t="n">
        <v>0</v>
      </c>
      <c r="R574" s="2" t="inlineStr"/>
    </row>
    <row r="575" ht="15" customHeight="1">
      <c r="A575" t="inlineStr">
        <is>
          <t>A 26521-2023</t>
        </is>
      </c>
      <c r="B575" s="1" t="n">
        <v>45089</v>
      </c>
      <c r="C575" s="1" t="n">
        <v>45579</v>
      </c>
      <c r="D575" t="inlineStr">
        <is>
          <t>JÄMTLANDS LÄN</t>
        </is>
      </c>
      <c r="E575" t="inlineStr">
        <is>
          <t>ÖSTERSUND</t>
        </is>
      </c>
      <c r="G575" t="n">
        <v>11.7</v>
      </c>
      <c r="H575" t="n">
        <v>0</v>
      </c>
      <c r="I575" t="n">
        <v>0</v>
      </c>
      <c r="J575" t="n">
        <v>0</v>
      </c>
      <c r="K575" t="n">
        <v>0</v>
      </c>
      <c r="L575" t="n">
        <v>0</v>
      </c>
      <c r="M575" t="n">
        <v>0</v>
      </c>
      <c r="N575" t="n">
        <v>0</v>
      </c>
      <c r="O575" t="n">
        <v>0</v>
      </c>
      <c r="P575" t="n">
        <v>0</v>
      </c>
      <c r="Q575" t="n">
        <v>0</v>
      </c>
      <c r="R575" s="2" t="inlineStr"/>
    </row>
    <row r="576" ht="15" customHeight="1">
      <c r="A576" t="inlineStr">
        <is>
          <t>A 25789-2023</t>
        </is>
      </c>
      <c r="B576" s="1" t="n">
        <v>45090</v>
      </c>
      <c r="C576" s="1" t="n">
        <v>45579</v>
      </c>
      <c r="D576" t="inlineStr">
        <is>
          <t>JÄMTLANDS LÄN</t>
        </is>
      </c>
      <c r="E576" t="inlineStr">
        <is>
          <t>ÖSTERSUND</t>
        </is>
      </c>
      <c r="G576" t="n">
        <v>3.1</v>
      </c>
      <c r="H576" t="n">
        <v>0</v>
      </c>
      <c r="I576" t="n">
        <v>0</v>
      </c>
      <c r="J576" t="n">
        <v>0</v>
      </c>
      <c r="K576" t="n">
        <v>0</v>
      </c>
      <c r="L576" t="n">
        <v>0</v>
      </c>
      <c r="M576" t="n">
        <v>0</v>
      </c>
      <c r="N576" t="n">
        <v>0</v>
      </c>
      <c r="O576" t="n">
        <v>0</v>
      </c>
      <c r="P576" t="n">
        <v>0</v>
      </c>
      <c r="Q576" t="n">
        <v>0</v>
      </c>
      <c r="R576" s="2" t="inlineStr"/>
    </row>
    <row r="577" ht="15" customHeight="1">
      <c r="A577" t="inlineStr">
        <is>
          <t>A 26012-2023</t>
        </is>
      </c>
      <c r="B577" s="1" t="n">
        <v>45091</v>
      </c>
      <c r="C577" s="1" t="n">
        <v>45579</v>
      </c>
      <c r="D577" t="inlineStr">
        <is>
          <t>JÄMTLANDS LÄN</t>
        </is>
      </c>
      <c r="E577" t="inlineStr">
        <is>
          <t>ÖSTERSUND</t>
        </is>
      </c>
      <c r="G577" t="n">
        <v>3.6</v>
      </c>
      <c r="H577" t="n">
        <v>0</v>
      </c>
      <c r="I577" t="n">
        <v>0</v>
      </c>
      <c r="J577" t="n">
        <v>0</v>
      </c>
      <c r="K577" t="n">
        <v>0</v>
      </c>
      <c r="L577" t="n">
        <v>0</v>
      </c>
      <c r="M577" t="n">
        <v>0</v>
      </c>
      <c r="N577" t="n">
        <v>0</v>
      </c>
      <c r="O577" t="n">
        <v>0</v>
      </c>
      <c r="P577" t="n">
        <v>0</v>
      </c>
      <c r="Q577" t="n">
        <v>0</v>
      </c>
      <c r="R577" s="2" t="inlineStr"/>
    </row>
    <row r="578" ht="15" customHeight="1">
      <c r="A578" t="inlineStr">
        <is>
          <t>A 27294-2023</t>
        </is>
      </c>
      <c r="B578" s="1" t="n">
        <v>45092</v>
      </c>
      <c r="C578" s="1" t="n">
        <v>45579</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27004-2023</t>
        </is>
      </c>
      <c r="B579" s="1" t="n">
        <v>45094</v>
      </c>
      <c r="C579" s="1" t="n">
        <v>45579</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27124-2023</t>
        </is>
      </c>
      <c r="B580" s="1" t="n">
        <v>45096</v>
      </c>
      <c r="C580" s="1" t="n">
        <v>45579</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27118-2023</t>
        </is>
      </c>
      <c r="B581" s="1" t="n">
        <v>45096</v>
      </c>
      <c r="C581" s="1" t="n">
        <v>45579</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27130-2023</t>
        </is>
      </c>
      <c r="B582" s="1" t="n">
        <v>45096</v>
      </c>
      <c r="C582" s="1" t="n">
        <v>45579</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29548-2023</t>
        </is>
      </c>
      <c r="B583" s="1" t="n">
        <v>45098</v>
      </c>
      <c r="C583" s="1" t="n">
        <v>45579</v>
      </c>
      <c r="D583" t="inlineStr">
        <is>
          <t>JÄMTLANDS LÄN</t>
        </is>
      </c>
      <c r="E583" t="inlineStr">
        <is>
          <t>ÖSTERSUND</t>
        </is>
      </c>
      <c r="G583" t="n">
        <v>3</v>
      </c>
      <c r="H583" t="n">
        <v>0</v>
      </c>
      <c r="I583" t="n">
        <v>0</v>
      </c>
      <c r="J583" t="n">
        <v>0</v>
      </c>
      <c r="K583" t="n">
        <v>0</v>
      </c>
      <c r="L583" t="n">
        <v>0</v>
      </c>
      <c r="M583" t="n">
        <v>0</v>
      </c>
      <c r="N583" t="n">
        <v>0</v>
      </c>
      <c r="O583" t="n">
        <v>0</v>
      </c>
      <c r="P583" t="n">
        <v>0</v>
      </c>
      <c r="Q583" t="n">
        <v>0</v>
      </c>
      <c r="R583" s="2" t="inlineStr"/>
    </row>
    <row r="584" ht="15" customHeight="1">
      <c r="A584" t="inlineStr">
        <is>
          <t>A 30244-2023</t>
        </is>
      </c>
      <c r="B584" s="1" t="n">
        <v>45099</v>
      </c>
      <c r="C584" s="1" t="n">
        <v>45579</v>
      </c>
      <c r="D584" t="inlineStr">
        <is>
          <t>JÄMTLANDS LÄN</t>
        </is>
      </c>
      <c r="E584" t="inlineStr">
        <is>
          <t>ÖSTERSUND</t>
        </is>
      </c>
      <c r="G584" t="n">
        <v>1.4</v>
      </c>
      <c r="H584" t="n">
        <v>0</v>
      </c>
      <c r="I584" t="n">
        <v>0</v>
      </c>
      <c r="J584" t="n">
        <v>0</v>
      </c>
      <c r="K584" t="n">
        <v>0</v>
      </c>
      <c r="L584" t="n">
        <v>0</v>
      </c>
      <c r="M584" t="n">
        <v>0</v>
      </c>
      <c r="N584" t="n">
        <v>0</v>
      </c>
      <c r="O584" t="n">
        <v>0</v>
      </c>
      <c r="P584" t="n">
        <v>0</v>
      </c>
      <c r="Q584" t="n">
        <v>0</v>
      </c>
      <c r="R584" s="2" t="inlineStr"/>
    </row>
    <row r="585" ht="15" customHeight="1">
      <c r="A585" t="inlineStr">
        <is>
          <t>A 30262-2023</t>
        </is>
      </c>
      <c r="B585" s="1" t="n">
        <v>45099</v>
      </c>
      <c r="C585" s="1" t="n">
        <v>45579</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30255-2023</t>
        </is>
      </c>
      <c r="B586" s="1" t="n">
        <v>45099</v>
      </c>
      <c r="C586" s="1" t="n">
        <v>45579</v>
      </c>
      <c r="D586" t="inlineStr">
        <is>
          <t>JÄMTLANDS LÄN</t>
        </is>
      </c>
      <c r="E586" t="inlineStr">
        <is>
          <t>ÖSTERSUND</t>
        </is>
      </c>
      <c r="G586" t="n">
        <v>20.2</v>
      </c>
      <c r="H586" t="n">
        <v>0</v>
      </c>
      <c r="I586" t="n">
        <v>0</v>
      </c>
      <c r="J586" t="n">
        <v>0</v>
      </c>
      <c r="K586" t="n">
        <v>0</v>
      </c>
      <c r="L586" t="n">
        <v>0</v>
      </c>
      <c r="M586" t="n">
        <v>0</v>
      </c>
      <c r="N586" t="n">
        <v>0</v>
      </c>
      <c r="O586" t="n">
        <v>0</v>
      </c>
      <c r="P586" t="n">
        <v>0</v>
      </c>
      <c r="Q586" t="n">
        <v>0</v>
      </c>
      <c r="R586" s="2" t="inlineStr"/>
    </row>
    <row r="587" ht="15" customHeight="1">
      <c r="A587" t="inlineStr">
        <is>
          <t>A 30264-2023</t>
        </is>
      </c>
      <c r="B587" s="1" t="n">
        <v>45099</v>
      </c>
      <c r="C587" s="1" t="n">
        <v>45579</v>
      </c>
      <c r="D587" t="inlineStr">
        <is>
          <t>JÄMTLANDS LÄN</t>
        </is>
      </c>
      <c r="E587" t="inlineStr">
        <is>
          <t>ÖSTERSUND</t>
        </is>
      </c>
      <c r="G587" t="n">
        <v>10</v>
      </c>
      <c r="H587" t="n">
        <v>0</v>
      </c>
      <c r="I587" t="n">
        <v>0</v>
      </c>
      <c r="J587" t="n">
        <v>0</v>
      </c>
      <c r="K587" t="n">
        <v>0</v>
      </c>
      <c r="L587" t="n">
        <v>0</v>
      </c>
      <c r="M587" t="n">
        <v>0</v>
      </c>
      <c r="N587" t="n">
        <v>0</v>
      </c>
      <c r="O587" t="n">
        <v>0</v>
      </c>
      <c r="P587" t="n">
        <v>0</v>
      </c>
      <c r="Q587" t="n">
        <v>0</v>
      </c>
      <c r="R587" s="2" t="inlineStr"/>
    </row>
    <row r="588" ht="15" customHeight="1">
      <c r="A588" t="inlineStr">
        <is>
          <t>A 30206-2023</t>
        </is>
      </c>
      <c r="B588" s="1" t="n">
        <v>45099</v>
      </c>
      <c r="C588" s="1" t="n">
        <v>45579</v>
      </c>
      <c r="D588" t="inlineStr">
        <is>
          <t>JÄMTLANDS LÄN</t>
        </is>
      </c>
      <c r="E588" t="inlineStr">
        <is>
          <t>ÖSTERSUND</t>
        </is>
      </c>
      <c r="G588" t="n">
        <v>3.9</v>
      </c>
      <c r="H588" t="n">
        <v>0</v>
      </c>
      <c r="I588" t="n">
        <v>0</v>
      </c>
      <c r="J588" t="n">
        <v>0</v>
      </c>
      <c r="K588" t="n">
        <v>0</v>
      </c>
      <c r="L588" t="n">
        <v>0</v>
      </c>
      <c r="M588" t="n">
        <v>0</v>
      </c>
      <c r="N588" t="n">
        <v>0</v>
      </c>
      <c r="O588" t="n">
        <v>0</v>
      </c>
      <c r="P588" t="n">
        <v>0</v>
      </c>
      <c r="Q588" t="n">
        <v>0</v>
      </c>
      <c r="R588" s="2" t="inlineStr"/>
    </row>
    <row r="589" ht="15" customHeight="1">
      <c r="A589" t="inlineStr">
        <is>
          <t>A 30236-2023</t>
        </is>
      </c>
      <c r="B589" s="1" t="n">
        <v>45099</v>
      </c>
      <c r="C589" s="1" t="n">
        <v>45579</v>
      </c>
      <c r="D589" t="inlineStr">
        <is>
          <t>JÄMTLANDS LÄN</t>
        </is>
      </c>
      <c r="E589" t="inlineStr">
        <is>
          <t>ÖSTERSUND</t>
        </is>
      </c>
      <c r="G589" t="n">
        <v>3.5</v>
      </c>
      <c r="H589" t="n">
        <v>0</v>
      </c>
      <c r="I589" t="n">
        <v>0</v>
      </c>
      <c r="J589" t="n">
        <v>0</v>
      </c>
      <c r="K589" t="n">
        <v>0</v>
      </c>
      <c r="L589" t="n">
        <v>0</v>
      </c>
      <c r="M589" t="n">
        <v>0</v>
      </c>
      <c r="N589" t="n">
        <v>0</v>
      </c>
      <c r="O589" t="n">
        <v>0</v>
      </c>
      <c r="P589" t="n">
        <v>0</v>
      </c>
      <c r="Q589" t="n">
        <v>0</v>
      </c>
      <c r="R589" s="2" t="inlineStr"/>
    </row>
    <row r="590" ht="15" customHeight="1">
      <c r="A590" t="inlineStr">
        <is>
          <t>A 28747-2023</t>
        </is>
      </c>
      <c r="B590" s="1" t="n">
        <v>45103</v>
      </c>
      <c r="C590" s="1" t="n">
        <v>45579</v>
      </c>
      <c r="D590" t="inlineStr">
        <is>
          <t>JÄMTLANDS LÄN</t>
        </is>
      </c>
      <c r="E590" t="inlineStr">
        <is>
          <t>ÖSTERSUND</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31870-2023</t>
        </is>
      </c>
      <c r="B591" s="1" t="n">
        <v>45106</v>
      </c>
      <c r="C591" s="1" t="n">
        <v>45579</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29703-2023</t>
        </is>
      </c>
      <c r="B592" s="1" t="n">
        <v>45107</v>
      </c>
      <c r="C592" s="1" t="n">
        <v>45579</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29682-2023</t>
        </is>
      </c>
      <c r="B593" s="1" t="n">
        <v>45107</v>
      </c>
      <c r="C593" s="1" t="n">
        <v>45579</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30602-2023</t>
        </is>
      </c>
      <c r="B594" s="1" t="n">
        <v>45112</v>
      </c>
      <c r="C594" s="1" t="n">
        <v>45579</v>
      </c>
      <c r="D594" t="inlineStr">
        <is>
          <t>JÄMTLANDS LÄN</t>
        </is>
      </c>
      <c r="E594" t="inlineStr">
        <is>
          <t>ÖSTERSUND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31551-2023</t>
        </is>
      </c>
      <c r="B595" s="1" t="n">
        <v>45117</v>
      </c>
      <c r="C595" s="1" t="n">
        <v>45579</v>
      </c>
      <c r="D595" t="inlineStr">
        <is>
          <t>JÄMTLANDS LÄN</t>
        </is>
      </c>
      <c r="E595" t="inlineStr">
        <is>
          <t>ÖSTERSUND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31600-2023</t>
        </is>
      </c>
      <c r="B596" s="1" t="n">
        <v>45117</v>
      </c>
      <c r="C596" s="1" t="n">
        <v>45579</v>
      </c>
      <c r="D596" t="inlineStr">
        <is>
          <t>JÄMTLANDS LÄN</t>
        </is>
      </c>
      <c r="E596" t="inlineStr">
        <is>
          <t>ÖSTERSUND</t>
        </is>
      </c>
      <c r="F596" t="inlineStr">
        <is>
          <t>Övriga Aktiebolag</t>
        </is>
      </c>
      <c r="G596" t="n">
        <v>2.7</v>
      </c>
      <c r="H596" t="n">
        <v>0</v>
      </c>
      <c r="I596" t="n">
        <v>0</v>
      </c>
      <c r="J596" t="n">
        <v>0</v>
      </c>
      <c r="K596" t="n">
        <v>0</v>
      </c>
      <c r="L596" t="n">
        <v>0</v>
      </c>
      <c r="M596" t="n">
        <v>0</v>
      </c>
      <c r="N596" t="n">
        <v>0</v>
      </c>
      <c r="O596" t="n">
        <v>0</v>
      </c>
      <c r="P596" t="n">
        <v>0</v>
      </c>
      <c r="Q596" t="n">
        <v>0</v>
      </c>
      <c r="R596" s="2" t="inlineStr"/>
    </row>
    <row r="597" ht="15" customHeight="1">
      <c r="A597" t="inlineStr">
        <is>
          <t>A 31549-2023</t>
        </is>
      </c>
      <c r="B597" s="1" t="n">
        <v>45117</v>
      </c>
      <c r="C597" s="1" t="n">
        <v>45579</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33501-2023</t>
        </is>
      </c>
      <c r="B598" s="1" t="n">
        <v>45118</v>
      </c>
      <c r="C598" s="1" t="n">
        <v>45579</v>
      </c>
      <c r="D598" t="inlineStr">
        <is>
          <t>JÄMTLANDS LÄN</t>
        </is>
      </c>
      <c r="E598" t="inlineStr">
        <is>
          <t>ÖSTERSUND</t>
        </is>
      </c>
      <c r="G598" t="n">
        <v>5.8</v>
      </c>
      <c r="H598" t="n">
        <v>0</v>
      </c>
      <c r="I598" t="n">
        <v>0</v>
      </c>
      <c r="J598" t="n">
        <v>0</v>
      </c>
      <c r="K598" t="n">
        <v>0</v>
      </c>
      <c r="L598" t="n">
        <v>0</v>
      </c>
      <c r="M598" t="n">
        <v>0</v>
      </c>
      <c r="N598" t="n">
        <v>0</v>
      </c>
      <c r="O598" t="n">
        <v>0</v>
      </c>
      <c r="P598" t="n">
        <v>0</v>
      </c>
      <c r="Q598" t="n">
        <v>0</v>
      </c>
      <c r="R598" s="2" t="inlineStr"/>
    </row>
    <row r="599" ht="15" customHeight="1">
      <c r="A599" t="inlineStr">
        <is>
          <t>A 33502-2023</t>
        </is>
      </c>
      <c r="B599" s="1" t="n">
        <v>45118</v>
      </c>
      <c r="C599" s="1" t="n">
        <v>45579</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32568-2023</t>
        </is>
      </c>
      <c r="B600" s="1" t="n">
        <v>45121</v>
      </c>
      <c r="C600" s="1" t="n">
        <v>45579</v>
      </c>
      <c r="D600" t="inlineStr">
        <is>
          <t>JÄMTLANDS LÄN</t>
        </is>
      </c>
      <c r="E600" t="inlineStr">
        <is>
          <t>ÖSTERSUND</t>
        </is>
      </c>
      <c r="G600" t="n">
        <v>14.9</v>
      </c>
      <c r="H600" t="n">
        <v>0</v>
      </c>
      <c r="I600" t="n">
        <v>0</v>
      </c>
      <c r="J600" t="n">
        <v>0</v>
      </c>
      <c r="K600" t="n">
        <v>0</v>
      </c>
      <c r="L600" t="n">
        <v>0</v>
      </c>
      <c r="M600" t="n">
        <v>0</v>
      </c>
      <c r="N600" t="n">
        <v>0</v>
      </c>
      <c r="O600" t="n">
        <v>0</v>
      </c>
      <c r="P600" t="n">
        <v>0</v>
      </c>
      <c r="Q600" t="n">
        <v>0</v>
      </c>
      <c r="R600" s="2" t="inlineStr"/>
    </row>
    <row r="601" ht="15" customHeight="1">
      <c r="A601" t="inlineStr">
        <is>
          <t>A 34052-2023</t>
        </is>
      </c>
      <c r="B601" s="1" t="n">
        <v>45125</v>
      </c>
      <c r="C601" s="1" t="n">
        <v>45579</v>
      </c>
      <c r="D601" t="inlineStr">
        <is>
          <t>JÄMTLANDS LÄN</t>
        </is>
      </c>
      <c r="E601" t="inlineStr">
        <is>
          <t>ÖSTERSUND</t>
        </is>
      </c>
      <c r="G601" t="n">
        <v>4</v>
      </c>
      <c r="H601" t="n">
        <v>0</v>
      </c>
      <c r="I601" t="n">
        <v>0</v>
      </c>
      <c r="J601" t="n">
        <v>0</v>
      </c>
      <c r="K601" t="n">
        <v>0</v>
      </c>
      <c r="L601" t="n">
        <v>0</v>
      </c>
      <c r="M601" t="n">
        <v>0</v>
      </c>
      <c r="N601" t="n">
        <v>0</v>
      </c>
      <c r="O601" t="n">
        <v>0</v>
      </c>
      <c r="P601" t="n">
        <v>0</v>
      </c>
      <c r="Q601" t="n">
        <v>0</v>
      </c>
      <c r="R601" s="2" t="inlineStr"/>
    </row>
    <row r="602" ht="15" customHeight="1">
      <c r="A602" t="inlineStr">
        <is>
          <t>A 33875-2023</t>
        </is>
      </c>
      <c r="B602" s="1" t="n">
        <v>45134</v>
      </c>
      <c r="C602" s="1" t="n">
        <v>45579</v>
      </c>
      <c r="D602" t="inlineStr">
        <is>
          <t>JÄMTLANDS LÄN</t>
        </is>
      </c>
      <c r="E602" t="inlineStr">
        <is>
          <t>ÖSTERSUND</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34482-2023</t>
        </is>
      </c>
      <c r="B603" s="1" t="n">
        <v>45140</v>
      </c>
      <c r="C603" s="1" t="n">
        <v>45579</v>
      </c>
      <c r="D603" t="inlineStr">
        <is>
          <t>JÄMTLANDS LÄN</t>
        </is>
      </c>
      <c r="E603" t="inlineStr">
        <is>
          <t>ÖSTERSUND</t>
        </is>
      </c>
      <c r="F603" t="inlineStr">
        <is>
          <t>SCA</t>
        </is>
      </c>
      <c r="G603" t="n">
        <v>50</v>
      </c>
      <c r="H603" t="n">
        <v>0</v>
      </c>
      <c r="I603" t="n">
        <v>0</v>
      </c>
      <c r="J603" t="n">
        <v>0</v>
      </c>
      <c r="K603" t="n">
        <v>0</v>
      </c>
      <c r="L603" t="n">
        <v>0</v>
      </c>
      <c r="M603" t="n">
        <v>0</v>
      </c>
      <c r="N603" t="n">
        <v>0</v>
      </c>
      <c r="O603" t="n">
        <v>0</v>
      </c>
      <c r="P603" t="n">
        <v>0</v>
      </c>
      <c r="Q603" t="n">
        <v>0</v>
      </c>
      <c r="R603" s="2" t="inlineStr"/>
    </row>
    <row r="604" ht="15" customHeight="1">
      <c r="A604" t="inlineStr">
        <is>
          <t>A 34688-2023</t>
        </is>
      </c>
      <c r="B604" s="1" t="n">
        <v>45141</v>
      </c>
      <c r="C604" s="1" t="n">
        <v>45579</v>
      </c>
      <c r="D604" t="inlineStr">
        <is>
          <t>JÄMTLANDS LÄN</t>
        </is>
      </c>
      <c r="E604" t="inlineStr">
        <is>
          <t>ÖSTERSUND</t>
        </is>
      </c>
      <c r="G604" t="n">
        <v>7.4</v>
      </c>
      <c r="H604" t="n">
        <v>0</v>
      </c>
      <c r="I604" t="n">
        <v>0</v>
      </c>
      <c r="J604" t="n">
        <v>0</v>
      </c>
      <c r="K604" t="n">
        <v>0</v>
      </c>
      <c r="L604" t="n">
        <v>0</v>
      </c>
      <c r="M604" t="n">
        <v>0</v>
      </c>
      <c r="N604" t="n">
        <v>0</v>
      </c>
      <c r="O604" t="n">
        <v>0</v>
      </c>
      <c r="P604" t="n">
        <v>0</v>
      </c>
      <c r="Q604" t="n">
        <v>0</v>
      </c>
      <c r="R604" s="2" t="inlineStr"/>
    </row>
    <row r="605" ht="15" customHeight="1">
      <c r="A605" t="inlineStr">
        <is>
          <t>A 36406-2023</t>
        </is>
      </c>
      <c r="B605" s="1" t="n">
        <v>45149</v>
      </c>
      <c r="C605" s="1" t="n">
        <v>45579</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37140-2023</t>
        </is>
      </c>
      <c r="B606" s="1" t="n">
        <v>45154</v>
      </c>
      <c r="C606" s="1" t="n">
        <v>45579</v>
      </c>
      <c r="D606" t="inlineStr">
        <is>
          <t>JÄMTLANDS LÄN</t>
        </is>
      </c>
      <c r="E606" t="inlineStr">
        <is>
          <t>ÖSTERSUND</t>
        </is>
      </c>
      <c r="F606" t="inlineStr">
        <is>
          <t>Övriga Aktiebolag</t>
        </is>
      </c>
      <c r="G606" t="n">
        <v>13</v>
      </c>
      <c r="H606" t="n">
        <v>0</v>
      </c>
      <c r="I606" t="n">
        <v>0</v>
      </c>
      <c r="J606" t="n">
        <v>0</v>
      </c>
      <c r="K606" t="n">
        <v>0</v>
      </c>
      <c r="L606" t="n">
        <v>0</v>
      </c>
      <c r="M606" t="n">
        <v>0</v>
      </c>
      <c r="N606" t="n">
        <v>0</v>
      </c>
      <c r="O606" t="n">
        <v>0</v>
      </c>
      <c r="P606" t="n">
        <v>0</v>
      </c>
      <c r="Q606" t="n">
        <v>0</v>
      </c>
      <c r="R606" s="2" t="inlineStr"/>
    </row>
    <row r="607" ht="15" customHeight="1">
      <c r="A607" t="inlineStr">
        <is>
          <t>A 37597-2023</t>
        </is>
      </c>
      <c r="B607" s="1" t="n">
        <v>45159</v>
      </c>
      <c r="C607" s="1" t="n">
        <v>45579</v>
      </c>
      <c r="D607" t="inlineStr">
        <is>
          <t>JÄMTLANDS LÄN</t>
        </is>
      </c>
      <c r="E607" t="inlineStr">
        <is>
          <t>ÖSTERSUND</t>
        </is>
      </c>
      <c r="G607" t="n">
        <v>4.7</v>
      </c>
      <c r="H607" t="n">
        <v>0</v>
      </c>
      <c r="I607" t="n">
        <v>0</v>
      </c>
      <c r="J607" t="n">
        <v>0</v>
      </c>
      <c r="K607" t="n">
        <v>0</v>
      </c>
      <c r="L607" t="n">
        <v>0</v>
      </c>
      <c r="M607" t="n">
        <v>0</v>
      </c>
      <c r="N607" t="n">
        <v>0</v>
      </c>
      <c r="O607" t="n">
        <v>0</v>
      </c>
      <c r="P607" t="n">
        <v>0</v>
      </c>
      <c r="Q607" t="n">
        <v>0</v>
      </c>
      <c r="R607" s="2" t="inlineStr"/>
    </row>
    <row r="608" ht="15" customHeight="1">
      <c r="A608" t="inlineStr">
        <is>
          <t>A 37645-2023</t>
        </is>
      </c>
      <c r="B608" s="1" t="n">
        <v>45159</v>
      </c>
      <c r="C608" s="1" t="n">
        <v>45579</v>
      </c>
      <c r="D608" t="inlineStr">
        <is>
          <t>JÄMTLANDS LÄN</t>
        </is>
      </c>
      <c r="E608" t="inlineStr">
        <is>
          <t>ÖSTERSUND</t>
        </is>
      </c>
      <c r="F608" t="inlineStr">
        <is>
          <t>Övriga Aktiebolag</t>
        </is>
      </c>
      <c r="G608" t="n">
        <v>3.5</v>
      </c>
      <c r="H608" t="n">
        <v>0</v>
      </c>
      <c r="I608" t="n">
        <v>0</v>
      </c>
      <c r="J608" t="n">
        <v>0</v>
      </c>
      <c r="K608" t="n">
        <v>0</v>
      </c>
      <c r="L608" t="n">
        <v>0</v>
      </c>
      <c r="M608" t="n">
        <v>0</v>
      </c>
      <c r="N608" t="n">
        <v>0</v>
      </c>
      <c r="O608" t="n">
        <v>0</v>
      </c>
      <c r="P608" t="n">
        <v>0</v>
      </c>
      <c r="Q608" t="n">
        <v>0</v>
      </c>
      <c r="R608" s="2" t="inlineStr"/>
    </row>
    <row r="609" ht="15" customHeight="1">
      <c r="A609" t="inlineStr">
        <is>
          <t>A 38335-2023</t>
        </is>
      </c>
      <c r="B609" s="1" t="n">
        <v>45161</v>
      </c>
      <c r="C609" s="1" t="n">
        <v>45579</v>
      </c>
      <c r="D609" t="inlineStr">
        <is>
          <t>JÄMTLANDS LÄN</t>
        </is>
      </c>
      <c r="E609" t="inlineStr">
        <is>
          <t>ÖSTERSUND</t>
        </is>
      </c>
      <c r="G609" t="n">
        <v>15.1</v>
      </c>
      <c r="H609" t="n">
        <v>0</v>
      </c>
      <c r="I609" t="n">
        <v>0</v>
      </c>
      <c r="J609" t="n">
        <v>0</v>
      </c>
      <c r="K609" t="n">
        <v>0</v>
      </c>
      <c r="L609" t="n">
        <v>0</v>
      </c>
      <c r="M609" t="n">
        <v>0</v>
      </c>
      <c r="N609" t="n">
        <v>0</v>
      </c>
      <c r="O609" t="n">
        <v>0</v>
      </c>
      <c r="P609" t="n">
        <v>0</v>
      </c>
      <c r="Q609" t="n">
        <v>0</v>
      </c>
      <c r="R609" s="2" t="inlineStr"/>
    </row>
    <row r="610" ht="15" customHeight="1">
      <c r="A610" t="inlineStr">
        <is>
          <t>A 38713-2023</t>
        </is>
      </c>
      <c r="B610" s="1" t="n">
        <v>45163</v>
      </c>
      <c r="C610" s="1" t="n">
        <v>45579</v>
      </c>
      <c r="D610" t="inlineStr">
        <is>
          <t>JÄMTLANDS LÄN</t>
        </is>
      </c>
      <c r="E610" t="inlineStr">
        <is>
          <t>ÖSTERSUND</t>
        </is>
      </c>
      <c r="G610" t="n">
        <v>6</v>
      </c>
      <c r="H610" t="n">
        <v>0</v>
      </c>
      <c r="I610" t="n">
        <v>0</v>
      </c>
      <c r="J610" t="n">
        <v>0</v>
      </c>
      <c r="K610" t="n">
        <v>0</v>
      </c>
      <c r="L610" t="n">
        <v>0</v>
      </c>
      <c r="M610" t="n">
        <v>0</v>
      </c>
      <c r="N610" t="n">
        <v>0</v>
      </c>
      <c r="O610" t="n">
        <v>0</v>
      </c>
      <c r="P610" t="n">
        <v>0</v>
      </c>
      <c r="Q610" t="n">
        <v>0</v>
      </c>
      <c r="R610" s="2" t="inlineStr"/>
    </row>
    <row r="611" ht="15" customHeight="1">
      <c r="A611" t="inlineStr">
        <is>
          <t>A 39494-2023</t>
        </is>
      </c>
      <c r="B611" s="1" t="n">
        <v>45166</v>
      </c>
      <c r="C611" s="1" t="n">
        <v>45579</v>
      </c>
      <c r="D611" t="inlineStr">
        <is>
          <t>JÄMTLANDS LÄN</t>
        </is>
      </c>
      <c r="E611" t="inlineStr">
        <is>
          <t>ÖSTERSUND</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39493-2023</t>
        </is>
      </c>
      <c r="B612" s="1" t="n">
        <v>45167</v>
      </c>
      <c r="C612" s="1" t="n">
        <v>45579</v>
      </c>
      <c r="D612" t="inlineStr">
        <is>
          <t>JÄMTLANDS LÄN</t>
        </is>
      </c>
      <c r="E612" t="inlineStr">
        <is>
          <t>ÖSTERSUND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39647-2023</t>
        </is>
      </c>
      <c r="B613" s="1" t="n">
        <v>45167</v>
      </c>
      <c r="C613" s="1" t="n">
        <v>45579</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39652-2023</t>
        </is>
      </c>
      <c r="B614" s="1" t="n">
        <v>45167</v>
      </c>
      <c r="C614" s="1" t="n">
        <v>45579</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39805-2023</t>
        </is>
      </c>
      <c r="B615" s="1" t="n">
        <v>45168</v>
      </c>
      <c r="C615" s="1" t="n">
        <v>45579</v>
      </c>
      <c r="D615" t="inlineStr">
        <is>
          <t>JÄMTLANDS LÄN</t>
        </is>
      </c>
      <c r="E615" t="inlineStr">
        <is>
          <t>ÖSTERSUND</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40423-2023</t>
        </is>
      </c>
      <c r="B616" s="1" t="n">
        <v>45169</v>
      </c>
      <c r="C616" s="1" t="n">
        <v>45579</v>
      </c>
      <c r="D616" t="inlineStr">
        <is>
          <t>JÄMTLANDS LÄN</t>
        </is>
      </c>
      <c r="E616" t="inlineStr">
        <is>
          <t>ÖSTERSUND</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40422-2023</t>
        </is>
      </c>
      <c r="B617" s="1" t="n">
        <v>45170</v>
      </c>
      <c r="C617" s="1" t="n">
        <v>45579</v>
      </c>
      <c r="D617" t="inlineStr">
        <is>
          <t>JÄMTLANDS LÄN</t>
        </is>
      </c>
      <c r="E617" t="inlineStr">
        <is>
          <t>ÖSTERSUND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40792-2023</t>
        </is>
      </c>
      <c r="B618" s="1" t="n">
        <v>45170</v>
      </c>
      <c r="C618" s="1" t="n">
        <v>45579</v>
      </c>
      <c r="D618" t="inlineStr">
        <is>
          <t>JÄMTLANDS LÄN</t>
        </is>
      </c>
      <c r="E618" t="inlineStr">
        <is>
          <t>ÖSTERSUND</t>
        </is>
      </c>
      <c r="G618" t="n">
        <v>22.4</v>
      </c>
      <c r="H618" t="n">
        <v>0</v>
      </c>
      <c r="I618" t="n">
        <v>0</v>
      </c>
      <c r="J618" t="n">
        <v>0</v>
      </c>
      <c r="K618" t="n">
        <v>0</v>
      </c>
      <c r="L618" t="n">
        <v>0</v>
      </c>
      <c r="M618" t="n">
        <v>0</v>
      </c>
      <c r="N618" t="n">
        <v>0</v>
      </c>
      <c r="O618" t="n">
        <v>0</v>
      </c>
      <c r="P618" t="n">
        <v>0</v>
      </c>
      <c r="Q618" t="n">
        <v>0</v>
      </c>
      <c r="R618" s="2" t="inlineStr"/>
    </row>
    <row r="619" ht="15" customHeight="1">
      <c r="A619" t="inlineStr">
        <is>
          <t>A 40772-2023</t>
        </is>
      </c>
      <c r="B619" s="1" t="n">
        <v>45171</v>
      </c>
      <c r="C619" s="1" t="n">
        <v>45579</v>
      </c>
      <c r="D619" t="inlineStr">
        <is>
          <t>JÄMTLANDS LÄN</t>
        </is>
      </c>
      <c r="E619" t="inlineStr">
        <is>
          <t>ÖSTERSUND</t>
        </is>
      </c>
      <c r="F619" t="inlineStr">
        <is>
          <t>SCA</t>
        </is>
      </c>
      <c r="G619" t="n">
        <v>17.6</v>
      </c>
      <c r="H619" t="n">
        <v>0</v>
      </c>
      <c r="I619" t="n">
        <v>0</v>
      </c>
      <c r="J619" t="n">
        <v>0</v>
      </c>
      <c r="K619" t="n">
        <v>0</v>
      </c>
      <c r="L619" t="n">
        <v>0</v>
      </c>
      <c r="M619" t="n">
        <v>0</v>
      </c>
      <c r="N619" t="n">
        <v>0</v>
      </c>
      <c r="O619" t="n">
        <v>0</v>
      </c>
      <c r="P619" t="n">
        <v>0</v>
      </c>
      <c r="Q619" t="n">
        <v>0</v>
      </c>
      <c r="R619" s="2" t="inlineStr"/>
    </row>
    <row r="620" ht="15" customHeight="1">
      <c r="A620" t="inlineStr">
        <is>
          <t>A 41224-2023</t>
        </is>
      </c>
      <c r="B620" s="1" t="n">
        <v>45174</v>
      </c>
      <c r="C620" s="1" t="n">
        <v>45579</v>
      </c>
      <c r="D620" t="inlineStr">
        <is>
          <t>JÄMTLANDS LÄN</t>
        </is>
      </c>
      <c r="E620" t="inlineStr">
        <is>
          <t>ÖSTERSUND</t>
        </is>
      </c>
      <c r="G620" t="n">
        <v>13.3</v>
      </c>
      <c r="H620" t="n">
        <v>0</v>
      </c>
      <c r="I620" t="n">
        <v>0</v>
      </c>
      <c r="J620" t="n">
        <v>0</v>
      </c>
      <c r="K620" t="n">
        <v>0</v>
      </c>
      <c r="L620" t="n">
        <v>0</v>
      </c>
      <c r="M620" t="n">
        <v>0</v>
      </c>
      <c r="N620" t="n">
        <v>0</v>
      </c>
      <c r="O620" t="n">
        <v>0</v>
      </c>
      <c r="P620" t="n">
        <v>0</v>
      </c>
      <c r="Q620" t="n">
        <v>0</v>
      </c>
      <c r="R620" s="2" t="inlineStr"/>
    </row>
    <row r="621" ht="15" customHeight="1">
      <c r="A621" t="inlineStr">
        <is>
          <t>A 41649-2023</t>
        </is>
      </c>
      <c r="B621" s="1" t="n">
        <v>45176</v>
      </c>
      <c r="C621" s="1" t="n">
        <v>45579</v>
      </c>
      <c r="D621" t="inlineStr">
        <is>
          <t>JÄMTLANDS LÄN</t>
        </is>
      </c>
      <c r="E621" t="inlineStr">
        <is>
          <t>ÖSTERSUND</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41919-2023</t>
        </is>
      </c>
      <c r="B622" s="1" t="n">
        <v>45177</v>
      </c>
      <c r="C622" s="1" t="n">
        <v>45579</v>
      </c>
      <c r="D622" t="inlineStr">
        <is>
          <t>JÄMTLANDS LÄN</t>
        </is>
      </c>
      <c r="E622" t="inlineStr">
        <is>
          <t>ÖSTERSUND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41918-2023</t>
        </is>
      </c>
      <c r="B623" s="1" t="n">
        <v>45177</v>
      </c>
      <c r="C623" s="1" t="n">
        <v>45579</v>
      </c>
      <c r="D623" t="inlineStr">
        <is>
          <t>JÄMTLANDS LÄN</t>
        </is>
      </c>
      <c r="E623" t="inlineStr">
        <is>
          <t>ÖSTERSUND</t>
        </is>
      </c>
      <c r="F623" t="inlineStr">
        <is>
          <t>SCA</t>
        </is>
      </c>
      <c r="G623" t="n">
        <v>10.5</v>
      </c>
      <c r="H623" t="n">
        <v>0</v>
      </c>
      <c r="I623" t="n">
        <v>0</v>
      </c>
      <c r="J623" t="n">
        <v>0</v>
      </c>
      <c r="K623" t="n">
        <v>0</v>
      </c>
      <c r="L623" t="n">
        <v>0</v>
      </c>
      <c r="M623" t="n">
        <v>0</v>
      </c>
      <c r="N623" t="n">
        <v>0</v>
      </c>
      <c r="O623" t="n">
        <v>0</v>
      </c>
      <c r="P623" t="n">
        <v>0</v>
      </c>
      <c r="Q623" t="n">
        <v>0</v>
      </c>
      <c r="R623" s="2" t="inlineStr"/>
    </row>
    <row r="624" ht="15" customHeight="1">
      <c r="A624" t="inlineStr">
        <is>
          <t>A 41900-2023</t>
        </is>
      </c>
      <c r="B624" s="1" t="n">
        <v>45176</v>
      </c>
      <c r="C624" s="1" t="n">
        <v>45579</v>
      </c>
      <c r="D624" t="inlineStr">
        <is>
          <t>JÄMTLANDS LÄN</t>
        </is>
      </c>
      <c r="E624" t="inlineStr">
        <is>
          <t>ÖSTERSUND</t>
        </is>
      </c>
      <c r="G624" t="n">
        <v>24.4</v>
      </c>
      <c r="H624" t="n">
        <v>0</v>
      </c>
      <c r="I624" t="n">
        <v>0</v>
      </c>
      <c r="J624" t="n">
        <v>0</v>
      </c>
      <c r="K624" t="n">
        <v>0</v>
      </c>
      <c r="L624" t="n">
        <v>0</v>
      </c>
      <c r="M624" t="n">
        <v>0</v>
      </c>
      <c r="N624" t="n">
        <v>0</v>
      </c>
      <c r="O624" t="n">
        <v>0</v>
      </c>
      <c r="P624" t="n">
        <v>0</v>
      </c>
      <c r="Q624" t="n">
        <v>0</v>
      </c>
      <c r="R624" s="2" t="inlineStr"/>
    </row>
    <row r="625" ht="15" customHeight="1">
      <c r="A625" t="inlineStr">
        <is>
          <t>A 42151-2023</t>
        </is>
      </c>
      <c r="B625" s="1" t="n">
        <v>45178</v>
      </c>
      <c r="C625" s="1" t="n">
        <v>45579</v>
      </c>
      <c r="D625" t="inlineStr">
        <is>
          <t>JÄMTLANDS LÄN</t>
        </is>
      </c>
      <c r="E625" t="inlineStr">
        <is>
          <t>ÖSTERSUND</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43557-2023</t>
        </is>
      </c>
      <c r="B626" s="1" t="n">
        <v>45181</v>
      </c>
      <c r="C626" s="1" t="n">
        <v>45579</v>
      </c>
      <c r="D626" t="inlineStr">
        <is>
          <t>JÄMTLANDS LÄN</t>
        </is>
      </c>
      <c r="E626" t="inlineStr">
        <is>
          <t>ÖSTERSUND</t>
        </is>
      </c>
      <c r="G626" t="n">
        <v>0.9</v>
      </c>
      <c r="H626" t="n">
        <v>0</v>
      </c>
      <c r="I626" t="n">
        <v>0</v>
      </c>
      <c r="J626" t="n">
        <v>0</v>
      </c>
      <c r="K626" t="n">
        <v>0</v>
      </c>
      <c r="L626" t="n">
        <v>0</v>
      </c>
      <c r="M626" t="n">
        <v>0</v>
      </c>
      <c r="N626" t="n">
        <v>0</v>
      </c>
      <c r="O626" t="n">
        <v>0</v>
      </c>
      <c r="P626" t="n">
        <v>0</v>
      </c>
      <c r="Q626" t="n">
        <v>0</v>
      </c>
      <c r="R626" s="2" t="inlineStr"/>
    </row>
    <row r="627" ht="15" customHeight="1">
      <c r="A627" t="inlineStr">
        <is>
          <t>A 42664-2023</t>
        </is>
      </c>
      <c r="B627" s="1" t="n">
        <v>45181</v>
      </c>
      <c r="C627" s="1" t="n">
        <v>45579</v>
      </c>
      <c r="D627" t="inlineStr">
        <is>
          <t>JÄMTLANDS LÄN</t>
        </is>
      </c>
      <c r="E627" t="inlineStr">
        <is>
          <t>ÖSTERSUND</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42679-2023</t>
        </is>
      </c>
      <c r="B628" s="1" t="n">
        <v>45181</v>
      </c>
      <c r="C628" s="1" t="n">
        <v>45579</v>
      </c>
      <c r="D628" t="inlineStr">
        <is>
          <t>JÄMTLANDS LÄN</t>
        </is>
      </c>
      <c r="E628" t="inlineStr">
        <is>
          <t>ÖSTERSUND</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43740-2023</t>
        </is>
      </c>
      <c r="B629" s="1" t="n">
        <v>45182</v>
      </c>
      <c r="C629" s="1" t="n">
        <v>45579</v>
      </c>
      <c r="D629" t="inlineStr">
        <is>
          <t>JÄMTLANDS LÄN</t>
        </is>
      </c>
      <c r="E629" t="inlineStr">
        <is>
          <t>ÖSTERSUND</t>
        </is>
      </c>
      <c r="G629" t="n">
        <v>10.2</v>
      </c>
      <c r="H629" t="n">
        <v>0</v>
      </c>
      <c r="I629" t="n">
        <v>0</v>
      </c>
      <c r="J629" t="n">
        <v>0</v>
      </c>
      <c r="K629" t="n">
        <v>0</v>
      </c>
      <c r="L629" t="n">
        <v>0</v>
      </c>
      <c r="M629" t="n">
        <v>0</v>
      </c>
      <c r="N629" t="n">
        <v>0</v>
      </c>
      <c r="O629" t="n">
        <v>0</v>
      </c>
      <c r="P629" t="n">
        <v>0</v>
      </c>
      <c r="Q629" t="n">
        <v>0</v>
      </c>
      <c r="R629" s="2" t="inlineStr"/>
    </row>
    <row r="630" ht="15" customHeight="1">
      <c r="A630" t="inlineStr">
        <is>
          <t>A 43135-2023</t>
        </is>
      </c>
      <c r="B630" s="1" t="n">
        <v>45183</v>
      </c>
      <c r="C630" s="1" t="n">
        <v>45579</v>
      </c>
      <c r="D630" t="inlineStr">
        <is>
          <t>JÄMTLANDS LÄN</t>
        </is>
      </c>
      <c r="E630" t="inlineStr">
        <is>
          <t>ÖSTERSUND</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43252-2023</t>
        </is>
      </c>
      <c r="B631" s="1" t="n">
        <v>45183</v>
      </c>
      <c r="C631" s="1" t="n">
        <v>45579</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44327-2023</t>
        </is>
      </c>
      <c r="B632" s="1" t="n">
        <v>45188</v>
      </c>
      <c r="C632" s="1" t="n">
        <v>45579</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44359-2023</t>
        </is>
      </c>
      <c r="B633" s="1" t="n">
        <v>45188</v>
      </c>
      <c r="C633" s="1" t="n">
        <v>45579</v>
      </c>
      <c r="D633" t="inlineStr">
        <is>
          <t>JÄMTLANDS LÄN</t>
        </is>
      </c>
      <c r="E633" t="inlineStr">
        <is>
          <t>ÖSTERSUND</t>
        </is>
      </c>
      <c r="G633" t="n">
        <v>8.1</v>
      </c>
      <c r="H633" t="n">
        <v>0</v>
      </c>
      <c r="I633" t="n">
        <v>0</v>
      </c>
      <c r="J633" t="n">
        <v>0</v>
      </c>
      <c r="K633" t="n">
        <v>0</v>
      </c>
      <c r="L633" t="n">
        <v>0</v>
      </c>
      <c r="M633" t="n">
        <v>0</v>
      </c>
      <c r="N633" t="n">
        <v>0</v>
      </c>
      <c r="O633" t="n">
        <v>0</v>
      </c>
      <c r="P633" t="n">
        <v>0</v>
      </c>
      <c r="Q633" t="n">
        <v>0</v>
      </c>
      <c r="R633" s="2" t="inlineStr"/>
    </row>
    <row r="634" ht="15" customHeight="1">
      <c r="A634" t="inlineStr">
        <is>
          <t>A 45980-2023</t>
        </is>
      </c>
      <c r="B634" s="1" t="n">
        <v>45189</v>
      </c>
      <c r="C634" s="1" t="n">
        <v>45579</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44719-2023</t>
        </is>
      </c>
      <c r="B635" s="1" t="n">
        <v>45190</v>
      </c>
      <c r="C635" s="1" t="n">
        <v>45579</v>
      </c>
      <c r="D635" t="inlineStr">
        <is>
          <t>JÄMTLANDS LÄN</t>
        </is>
      </c>
      <c r="E635" t="inlineStr">
        <is>
          <t>ÖSTERSUND</t>
        </is>
      </c>
      <c r="G635" t="n">
        <v>17.5</v>
      </c>
      <c r="H635" t="n">
        <v>0</v>
      </c>
      <c r="I635" t="n">
        <v>0</v>
      </c>
      <c r="J635" t="n">
        <v>0</v>
      </c>
      <c r="K635" t="n">
        <v>0</v>
      </c>
      <c r="L635" t="n">
        <v>0</v>
      </c>
      <c r="M635" t="n">
        <v>0</v>
      </c>
      <c r="N635" t="n">
        <v>0</v>
      </c>
      <c r="O635" t="n">
        <v>0</v>
      </c>
      <c r="P635" t="n">
        <v>0</v>
      </c>
      <c r="Q635" t="n">
        <v>0</v>
      </c>
      <c r="R635" s="2" t="inlineStr"/>
    </row>
    <row r="636" ht="15" customHeight="1">
      <c r="A636" t="inlineStr">
        <is>
          <t>A 44798-2023</t>
        </is>
      </c>
      <c r="B636" s="1" t="n">
        <v>45190</v>
      </c>
      <c r="C636" s="1" t="n">
        <v>45579</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46375-2023</t>
        </is>
      </c>
      <c r="B637" s="1" t="n">
        <v>45197</v>
      </c>
      <c r="C637" s="1" t="n">
        <v>45579</v>
      </c>
      <c r="D637" t="inlineStr">
        <is>
          <t>JÄMTLANDS LÄN</t>
        </is>
      </c>
      <c r="E637" t="inlineStr">
        <is>
          <t>ÖSTERSUND</t>
        </is>
      </c>
      <c r="G637" t="n">
        <v>2.5</v>
      </c>
      <c r="H637" t="n">
        <v>0</v>
      </c>
      <c r="I637" t="n">
        <v>0</v>
      </c>
      <c r="J637" t="n">
        <v>0</v>
      </c>
      <c r="K637" t="n">
        <v>0</v>
      </c>
      <c r="L637" t="n">
        <v>0</v>
      </c>
      <c r="M637" t="n">
        <v>0</v>
      </c>
      <c r="N637" t="n">
        <v>0</v>
      </c>
      <c r="O637" t="n">
        <v>0</v>
      </c>
      <c r="P637" t="n">
        <v>0</v>
      </c>
      <c r="Q637" t="n">
        <v>0</v>
      </c>
      <c r="R637" s="2" t="inlineStr"/>
    </row>
    <row r="638" ht="15" customHeight="1">
      <c r="A638" t="inlineStr">
        <is>
          <t>A 46763-2023</t>
        </is>
      </c>
      <c r="B638" s="1" t="n">
        <v>45198</v>
      </c>
      <c r="C638" s="1" t="n">
        <v>45579</v>
      </c>
      <c r="D638" t="inlineStr">
        <is>
          <t>JÄMTLANDS LÄN</t>
        </is>
      </c>
      <c r="E638" t="inlineStr">
        <is>
          <t>ÖSTERSUND</t>
        </is>
      </c>
      <c r="F638" t="inlineStr">
        <is>
          <t>Sveaskog</t>
        </is>
      </c>
      <c r="G638" t="n">
        <v>13.3</v>
      </c>
      <c r="H638" t="n">
        <v>0</v>
      </c>
      <c r="I638" t="n">
        <v>0</v>
      </c>
      <c r="J638" t="n">
        <v>0</v>
      </c>
      <c r="K638" t="n">
        <v>0</v>
      </c>
      <c r="L638" t="n">
        <v>0</v>
      </c>
      <c r="M638" t="n">
        <v>0</v>
      </c>
      <c r="N638" t="n">
        <v>0</v>
      </c>
      <c r="O638" t="n">
        <v>0</v>
      </c>
      <c r="P638" t="n">
        <v>0</v>
      </c>
      <c r="Q638" t="n">
        <v>0</v>
      </c>
      <c r="R638" s="2" t="inlineStr"/>
    </row>
    <row r="639" ht="15" customHeight="1">
      <c r="A639" t="inlineStr">
        <is>
          <t>A 46748-2023</t>
        </is>
      </c>
      <c r="B639" s="1" t="n">
        <v>45198</v>
      </c>
      <c r="C639" s="1" t="n">
        <v>45579</v>
      </c>
      <c r="D639" t="inlineStr">
        <is>
          <t>JÄMTLANDS LÄN</t>
        </is>
      </c>
      <c r="E639" t="inlineStr">
        <is>
          <t>ÖSTERSUND</t>
        </is>
      </c>
      <c r="F639" t="inlineStr">
        <is>
          <t>Sveaskog</t>
        </is>
      </c>
      <c r="G639" t="n">
        <v>2.7</v>
      </c>
      <c r="H639" t="n">
        <v>0</v>
      </c>
      <c r="I639" t="n">
        <v>0</v>
      </c>
      <c r="J639" t="n">
        <v>0</v>
      </c>
      <c r="K639" t="n">
        <v>0</v>
      </c>
      <c r="L639" t="n">
        <v>0</v>
      </c>
      <c r="M639" t="n">
        <v>0</v>
      </c>
      <c r="N639" t="n">
        <v>0</v>
      </c>
      <c r="O639" t="n">
        <v>0</v>
      </c>
      <c r="P639" t="n">
        <v>0</v>
      </c>
      <c r="Q639" t="n">
        <v>0</v>
      </c>
      <c r="R639" s="2" t="inlineStr"/>
    </row>
    <row r="640" ht="15" customHeight="1">
      <c r="A640" t="inlineStr">
        <is>
          <t>A 47086-2023</t>
        </is>
      </c>
      <c r="B640" s="1" t="n">
        <v>45201</v>
      </c>
      <c r="C640" s="1" t="n">
        <v>45579</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47252-2023</t>
        </is>
      </c>
      <c r="B641" s="1" t="n">
        <v>45202</v>
      </c>
      <c r="C641" s="1" t="n">
        <v>45579</v>
      </c>
      <c r="D641" t="inlineStr">
        <is>
          <t>JÄMTLANDS LÄN</t>
        </is>
      </c>
      <c r="E641" t="inlineStr">
        <is>
          <t>ÖSTERSUND</t>
        </is>
      </c>
      <c r="G641" t="n">
        <v>1.3</v>
      </c>
      <c r="H641" t="n">
        <v>0</v>
      </c>
      <c r="I641" t="n">
        <v>0</v>
      </c>
      <c r="J641" t="n">
        <v>0</v>
      </c>
      <c r="K641" t="n">
        <v>0</v>
      </c>
      <c r="L641" t="n">
        <v>0</v>
      </c>
      <c r="M641" t="n">
        <v>0</v>
      </c>
      <c r="N641" t="n">
        <v>0</v>
      </c>
      <c r="O641" t="n">
        <v>0</v>
      </c>
      <c r="P641" t="n">
        <v>0</v>
      </c>
      <c r="Q641" t="n">
        <v>0</v>
      </c>
      <c r="R641" s="2" t="inlineStr"/>
    </row>
    <row r="642" ht="15" customHeight="1">
      <c r="A642" t="inlineStr">
        <is>
          <t>A 47727-2023</t>
        </is>
      </c>
      <c r="B642" s="1" t="n">
        <v>45203</v>
      </c>
      <c r="C642" s="1" t="n">
        <v>45579</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48374-2023</t>
        </is>
      </c>
      <c r="B643" s="1" t="n">
        <v>45205</v>
      </c>
      <c r="C643" s="1" t="n">
        <v>45579</v>
      </c>
      <c r="D643" t="inlineStr">
        <is>
          <t>JÄMTLANDS LÄN</t>
        </is>
      </c>
      <c r="E643" t="inlineStr">
        <is>
          <t>ÖSTERSUND</t>
        </is>
      </c>
      <c r="G643" t="n">
        <v>5.6</v>
      </c>
      <c r="H643" t="n">
        <v>0</v>
      </c>
      <c r="I643" t="n">
        <v>0</v>
      </c>
      <c r="J643" t="n">
        <v>0</v>
      </c>
      <c r="K643" t="n">
        <v>0</v>
      </c>
      <c r="L643" t="n">
        <v>0</v>
      </c>
      <c r="M643" t="n">
        <v>0</v>
      </c>
      <c r="N643" t="n">
        <v>0</v>
      </c>
      <c r="O643" t="n">
        <v>0</v>
      </c>
      <c r="P643" t="n">
        <v>0</v>
      </c>
      <c r="Q643" t="n">
        <v>0</v>
      </c>
      <c r="R643" s="2" t="inlineStr"/>
    </row>
    <row r="644" ht="15" customHeight="1">
      <c r="A644" t="inlineStr">
        <is>
          <t>A 50753-2023</t>
        </is>
      </c>
      <c r="B644" s="1" t="n">
        <v>45210</v>
      </c>
      <c r="C644" s="1" t="n">
        <v>45579</v>
      </c>
      <c r="D644" t="inlineStr">
        <is>
          <t>JÄMTLANDS LÄN</t>
        </is>
      </c>
      <c r="E644" t="inlineStr">
        <is>
          <t>ÖSTERSUND</t>
        </is>
      </c>
      <c r="G644" t="n">
        <v>29.3</v>
      </c>
      <c r="H644" t="n">
        <v>0</v>
      </c>
      <c r="I644" t="n">
        <v>0</v>
      </c>
      <c r="J644" t="n">
        <v>0</v>
      </c>
      <c r="K644" t="n">
        <v>0</v>
      </c>
      <c r="L644" t="n">
        <v>0</v>
      </c>
      <c r="M644" t="n">
        <v>0</v>
      </c>
      <c r="N644" t="n">
        <v>0</v>
      </c>
      <c r="O644" t="n">
        <v>0</v>
      </c>
      <c r="P644" t="n">
        <v>0</v>
      </c>
      <c r="Q644" t="n">
        <v>0</v>
      </c>
      <c r="R644" s="2" t="inlineStr"/>
    </row>
    <row r="645" ht="15" customHeight="1">
      <c r="A645" t="inlineStr">
        <is>
          <t>A 50953-2023</t>
        </is>
      </c>
      <c r="B645" s="1" t="n">
        <v>45211</v>
      </c>
      <c r="C645" s="1" t="n">
        <v>45579</v>
      </c>
      <c r="D645" t="inlineStr">
        <is>
          <t>JÄMTLANDS LÄN</t>
        </is>
      </c>
      <c r="E645" t="inlineStr">
        <is>
          <t>ÖSTERSUND</t>
        </is>
      </c>
      <c r="G645" t="n">
        <v>2.2</v>
      </c>
      <c r="H645" t="n">
        <v>0</v>
      </c>
      <c r="I645" t="n">
        <v>0</v>
      </c>
      <c r="J645" t="n">
        <v>0</v>
      </c>
      <c r="K645" t="n">
        <v>0</v>
      </c>
      <c r="L645" t="n">
        <v>0</v>
      </c>
      <c r="M645" t="n">
        <v>0</v>
      </c>
      <c r="N645" t="n">
        <v>0</v>
      </c>
      <c r="O645" t="n">
        <v>0</v>
      </c>
      <c r="P645" t="n">
        <v>0</v>
      </c>
      <c r="Q645" t="n">
        <v>0</v>
      </c>
      <c r="R645" s="2" t="inlineStr"/>
    </row>
    <row r="646" ht="15" customHeight="1">
      <c r="A646" t="inlineStr">
        <is>
          <t>A 51701-2023</t>
        </is>
      </c>
      <c r="B646" s="1" t="n">
        <v>45215</v>
      </c>
      <c r="C646" s="1" t="n">
        <v>45579</v>
      </c>
      <c r="D646" t="inlineStr">
        <is>
          <t>JÄMTLANDS LÄN</t>
        </is>
      </c>
      <c r="E646" t="inlineStr">
        <is>
          <t>ÖSTERSUND</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52209-2023</t>
        </is>
      </c>
      <c r="B647" s="1" t="n">
        <v>45217</v>
      </c>
      <c r="C647" s="1" t="n">
        <v>45579</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50965-2023</t>
        </is>
      </c>
      <c r="B648" s="1" t="n">
        <v>45218</v>
      </c>
      <c r="C648" s="1" t="n">
        <v>45579</v>
      </c>
      <c r="D648" t="inlineStr">
        <is>
          <t>JÄMTLANDS LÄN</t>
        </is>
      </c>
      <c r="E648" t="inlineStr">
        <is>
          <t>ÖSTERSUND</t>
        </is>
      </c>
      <c r="G648" t="n">
        <v>3.5</v>
      </c>
      <c r="H648" t="n">
        <v>0</v>
      </c>
      <c r="I648" t="n">
        <v>0</v>
      </c>
      <c r="J648" t="n">
        <v>0</v>
      </c>
      <c r="K648" t="n">
        <v>0</v>
      </c>
      <c r="L648" t="n">
        <v>0</v>
      </c>
      <c r="M648" t="n">
        <v>0</v>
      </c>
      <c r="N648" t="n">
        <v>0</v>
      </c>
      <c r="O648" t="n">
        <v>0</v>
      </c>
      <c r="P648" t="n">
        <v>0</v>
      </c>
      <c r="Q648" t="n">
        <v>0</v>
      </c>
      <c r="R648" s="2" t="inlineStr"/>
    </row>
    <row r="649" ht="15" customHeight="1">
      <c r="A649" t="inlineStr">
        <is>
          <t>A 51480-2023</t>
        </is>
      </c>
      <c r="B649" s="1" t="n">
        <v>45222</v>
      </c>
      <c r="C649" s="1" t="n">
        <v>45579</v>
      </c>
      <c r="D649" t="inlineStr">
        <is>
          <t>JÄMTLANDS LÄN</t>
        </is>
      </c>
      <c r="E649" t="inlineStr">
        <is>
          <t>ÖSTERSUND</t>
        </is>
      </c>
      <c r="G649" t="n">
        <v>1.3</v>
      </c>
      <c r="H649" t="n">
        <v>0</v>
      </c>
      <c r="I649" t="n">
        <v>0</v>
      </c>
      <c r="J649" t="n">
        <v>0</v>
      </c>
      <c r="K649" t="n">
        <v>0</v>
      </c>
      <c r="L649" t="n">
        <v>0</v>
      </c>
      <c r="M649" t="n">
        <v>0</v>
      </c>
      <c r="N649" t="n">
        <v>0</v>
      </c>
      <c r="O649" t="n">
        <v>0</v>
      </c>
      <c r="P649" t="n">
        <v>0</v>
      </c>
      <c r="Q649" t="n">
        <v>0</v>
      </c>
      <c r="R649" s="2" t="inlineStr"/>
    </row>
    <row r="650" ht="15" customHeight="1">
      <c r="A650" t="inlineStr">
        <is>
          <t>A 51482-2023</t>
        </is>
      </c>
      <c r="B650" s="1" t="n">
        <v>45222</v>
      </c>
      <c r="C650" s="1" t="n">
        <v>45579</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51481-2023</t>
        </is>
      </c>
      <c r="B651" s="1" t="n">
        <v>45222</v>
      </c>
      <c r="C651" s="1" t="n">
        <v>45579</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51479-2023</t>
        </is>
      </c>
      <c r="B652" s="1" t="n">
        <v>45222</v>
      </c>
      <c r="C652" s="1" t="n">
        <v>45579</v>
      </c>
      <c r="D652" t="inlineStr">
        <is>
          <t>JÄMTLANDS LÄN</t>
        </is>
      </c>
      <c r="E652" t="inlineStr">
        <is>
          <t>ÖSTERSUND</t>
        </is>
      </c>
      <c r="G652" t="n">
        <v>1.9</v>
      </c>
      <c r="H652" t="n">
        <v>0</v>
      </c>
      <c r="I652" t="n">
        <v>0</v>
      </c>
      <c r="J652" t="n">
        <v>0</v>
      </c>
      <c r="K652" t="n">
        <v>0</v>
      </c>
      <c r="L652" t="n">
        <v>0</v>
      </c>
      <c r="M652" t="n">
        <v>0</v>
      </c>
      <c r="N652" t="n">
        <v>0</v>
      </c>
      <c r="O652" t="n">
        <v>0</v>
      </c>
      <c r="P652" t="n">
        <v>0</v>
      </c>
      <c r="Q652" t="n">
        <v>0</v>
      </c>
      <c r="R652" s="2" t="inlineStr"/>
    </row>
    <row r="653" ht="15" customHeight="1">
      <c r="A653" t="inlineStr">
        <is>
          <t>A 53152-2023</t>
        </is>
      </c>
      <c r="B653" s="1" t="n">
        <v>45222</v>
      </c>
      <c r="C653" s="1" t="n">
        <v>45579</v>
      </c>
      <c r="D653" t="inlineStr">
        <is>
          <t>JÄMTLANDS LÄN</t>
        </is>
      </c>
      <c r="E653" t="inlineStr">
        <is>
          <t>ÖSTERSUND</t>
        </is>
      </c>
      <c r="G653" t="n">
        <v>1</v>
      </c>
      <c r="H653" t="n">
        <v>0</v>
      </c>
      <c r="I653" t="n">
        <v>0</v>
      </c>
      <c r="J653" t="n">
        <v>0</v>
      </c>
      <c r="K653" t="n">
        <v>0</v>
      </c>
      <c r="L653" t="n">
        <v>0</v>
      </c>
      <c r="M653" t="n">
        <v>0</v>
      </c>
      <c r="N653" t="n">
        <v>0</v>
      </c>
      <c r="O653" t="n">
        <v>0</v>
      </c>
      <c r="P653" t="n">
        <v>0</v>
      </c>
      <c r="Q653" t="n">
        <v>0</v>
      </c>
      <c r="R653" s="2" t="inlineStr"/>
    </row>
    <row r="654" ht="15" customHeight="1">
      <c r="A654" t="inlineStr">
        <is>
          <t>A 51818-2023</t>
        </is>
      </c>
      <c r="B654" s="1" t="n">
        <v>45223</v>
      </c>
      <c r="C654" s="1" t="n">
        <v>45579</v>
      </c>
      <c r="D654" t="inlineStr">
        <is>
          <t>JÄMTLANDS LÄN</t>
        </is>
      </c>
      <c r="E654" t="inlineStr">
        <is>
          <t>ÖSTERSUND</t>
        </is>
      </c>
      <c r="G654" t="n">
        <v>4.7</v>
      </c>
      <c r="H654" t="n">
        <v>0</v>
      </c>
      <c r="I654" t="n">
        <v>0</v>
      </c>
      <c r="J654" t="n">
        <v>0</v>
      </c>
      <c r="K654" t="n">
        <v>0</v>
      </c>
      <c r="L654" t="n">
        <v>0</v>
      </c>
      <c r="M654" t="n">
        <v>0</v>
      </c>
      <c r="N654" t="n">
        <v>0</v>
      </c>
      <c r="O654" t="n">
        <v>0</v>
      </c>
      <c r="P654" t="n">
        <v>0</v>
      </c>
      <c r="Q654" t="n">
        <v>0</v>
      </c>
      <c r="R654" s="2" t="inlineStr"/>
    </row>
    <row r="655" ht="15" customHeight="1">
      <c r="A655" t="inlineStr">
        <is>
          <t>A 51913-2023</t>
        </is>
      </c>
      <c r="B655" s="1" t="n">
        <v>45223</v>
      </c>
      <c r="C655" s="1" t="n">
        <v>45579</v>
      </c>
      <c r="D655" t="inlineStr">
        <is>
          <t>JÄMTLANDS LÄN</t>
        </is>
      </c>
      <c r="E655" t="inlineStr">
        <is>
          <t>ÖSTERSUND</t>
        </is>
      </c>
      <c r="F655" t="inlineStr">
        <is>
          <t>Övriga Aktiebolag</t>
        </is>
      </c>
      <c r="G655" t="n">
        <v>3.4</v>
      </c>
      <c r="H655" t="n">
        <v>0</v>
      </c>
      <c r="I655" t="n">
        <v>0</v>
      </c>
      <c r="J655" t="n">
        <v>0</v>
      </c>
      <c r="K655" t="n">
        <v>0</v>
      </c>
      <c r="L655" t="n">
        <v>0</v>
      </c>
      <c r="M655" t="n">
        <v>0</v>
      </c>
      <c r="N655" t="n">
        <v>0</v>
      </c>
      <c r="O655" t="n">
        <v>0</v>
      </c>
      <c r="P655" t="n">
        <v>0</v>
      </c>
      <c r="Q655" t="n">
        <v>0</v>
      </c>
      <c r="R655" s="2" t="inlineStr"/>
    </row>
    <row r="656" ht="15" customHeight="1">
      <c r="A656" t="inlineStr">
        <is>
          <t>A 51942-2023</t>
        </is>
      </c>
      <c r="B656" s="1" t="n">
        <v>45223</v>
      </c>
      <c r="C656" s="1" t="n">
        <v>45579</v>
      </c>
      <c r="D656" t="inlineStr">
        <is>
          <t>JÄMTLANDS LÄN</t>
        </is>
      </c>
      <c r="E656" t="inlineStr">
        <is>
          <t>ÖSTERSUND</t>
        </is>
      </c>
      <c r="F656" t="inlineStr">
        <is>
          <t>Övriga Aktiebolag</t>
        </is>
      </c>
      <c r="G656" t="n">
        <v>0.6</v>
      </c>
      <c r="H656" t="n">
        <v>0</v>
      </c>
      <c r="I656" t="n">
        <v>0</v>
      </c>
      <c r="J656" t="n">
        <v>0</v>
      </c>
      <c r="K656" t="n">
        <v>0</v>
      </c>
      <c r="L656" t="n">
        <v>0</v>
      </c>
      <c r="M656" t="n">
        <v>0</v>
      </c>
      <c r="N656" t="n">
        <v>0</v>
      </c>
      <c r="O656" t="n">
        <v>0</v>
      </c>
      <c r="P656" t="n">
        <v>0</v>
      </c>
      <c r="Q656" t="n">
        <v>0</v>
      </c>
      <c r="R656" s="2" t="inlineStr"/>
    </row>
    <row r="657" ht="15" customHeight="1">
      <c r="A657" t="inlineStr">
        <is>
          <t>A 52128-2023</t>
        </is>
      </c>
      <c r="B657" s="1" t="n">
        <v>45223</v>
      </c>
      <c r="C657" s="1" t="n">
        <v>45579</v>
      </c>
      <c r="D657" t="inlineStr">
        <is>
          <t>JÄMTLANDS LÄN</t>
        </is>
      </c>
      <c r="E657" t="inlineStr">
        <is>
          <t>ÖSTERSUND</t>
        </is>
      </c>
      <c r="F657" t="inlineStr">
        <is>
          <t>SCA</t>
        </is>
      </c>
      <c r="G657" t="n">
        <v>11.9</v>
      </c>
      <c r="H657" t="n">
        <v>0</v>
      </c>
      <c r="I657" t="n">
        <v>0</v>
      </c>
      <c r="J657" t="n">
        <v>0</v>
      </c>
      <c r="K657" t="n">
        <v>0</v>
      </c>
      <c r="L657" t="n">
        <v>0</v>
      </c>
      <c r="M657" t="n">
        <v>0</v>
      </c>
      <c r="N657" t="n">
        <v>0</v>
      </c>
      <c r="O657" t="n">
        <v>0</v>
      </c>
      <c r="P657" t="n">
        <v>0</v>
      </c>
      <c r="Q657" t="n">
        <v>0</v>
      </c>
      <c r="R657" s="2" t="inlineStr"/>
    </row>
    <row r="658" ht="15" customHeight="1">
      <c r="A658" t="inlineStr">
        <is>
          <t>A 51936-2023</t>
        </is>
      </c>
      <c r="B658" s="1" t="n">
        <v>45223</v>
      </c>
      <c r="C658" s="1" t="n">
        <v>45579</v>
      </c>
      <c r="D658" t="inlineStr">
        <is>
          <t>JÄMTLANDS LÄN</t>
        </is>
      </c>
      <c r="E658" t="inlineStr">
        <is>
          <t>ÖSTERSUND</t>
        </is>
      </c>
      <c r="G658" t="n">
        <v>8.4</v>
      </c>
      <c r="H658" t="n">
        <v>0</v>
      </c>
      <c r="I658" t="n">
        <v>0</v>
      </c>
      <c r="J658" t="n">
        <v>0</v>
      </c>
      <c r="K658" t="n">
        <v>0</v>
      </c>
      <c r="L658" t="n">
        <v>0</v>
      </c>
      <c r="M658" t="n">
        <v>0</v>
      </c>
      <c r="N658" t="n">
        <v>0</v>
      </c>
      <c r="O658" t="n">
        <v>0</v>
      </c>
      <c r="P658" t="n">
        <v>0</v>
      </c>
      <c r="Q658" t="n">
        <v>0</v>
      </c>
      <c r="R658" s="2" t="inlineStr"/>
    </row>
    <row r="659" ht="15" customHeight="1">
      <c r="A659" t="inlineStr">
        <is>
          <t>A 51941-2023</t>
        </is>
      </c>
      <c r="B659" s="1" t="n">
        <v>45223</v>
      </c>
      <c r="C659" s="1" t="n">
        <v>45579</v>
      </c>
      <c r="D659" t="inlineStr">
        <is>
          <t>JÄMTLANDS LÄN</t>
        </is>
      </c>
      <c r="E659" t="inlineStr">
        <is>
          <t>ÖSTERSUND</t>
        </is>
      </c>
      <c r="G659" t="n">
        <v>4.6</v>
      </c>
      <c r="H659" t="n">
        <v>0</v>
      </c>
      <c r="I659" t="n">
        <v>0</v>
      </c>
      <c r="J659" t="n">
        <v>0</v>
      </c>
      <c r="K659" t="n">
        <v>0</v>
      </c>
      <c r="L659" t="n">
        <v>0</v>
      </c>
      <c r="M659" t="n">
        <v>0</v>
      </c>
      <c r="N659" t="n">
        <v>0</v>
      </c>
      <c r="O659" t="n">
        <v>0</v>
      </c>
      <c r="P659" t="n">
        <v>0</v>
      </c>
      <c r="Q659" t="n">
        <v>0</v>
      </c>
      <c r="R659" s="2" t="inlineStr"/>
    </row>
    <row r="660" ht="15" customHeight="1">
      <c r="A660" t="inlineStr">
        <is>
          <t>A 53378-2023</t>
        </is>
      </c>
      <c r="B660" s="1" t="n">
        <v>45223</v>
      </c>
      <c r="C660" s="1" t="n">
        <v>45579</v>
      </c>
      <c r="D660" t="inlineStr">
        <is>
          <t>JÄMTLANDS LÄN</t>
        </is>
      </c>
      <c r="E660" t="inlineStr">
        <is>
          <t>ÖSTERSUND</t>
        </is>
      </c>
      <c r="G660" t="n">
        <v>1.5</v>
      </c>
      <c r="H660" t="n">
        <v>0</v>
      </c>
      <c r="I660" t="n">
        <v>0</v>
      </c>
      <c r="J660" t="n">
        <v>0</v>
      </c>
      <c r="K660" t="n">
        <v>0</v>
      </c>
      <c r="L660" t="n">
        <v>0</v>
      </c>
      <c r="M660" t="n">
        <v>0</v>
      </c>
      <c r="N660" t="n">
        <v>0</v>
      </c>
      <c r="O660" t="n">
        <v>0</v>
      </c>
      <c r="P660" t="n">
        <v>0</v>
      </c>
      <c r="Q660" t="n">
        <v>0</v>
      </c>
      <c r="R660" s="2" t="inlineStr"/>
    </row>
    <row r="661" ht="15" customHeight="1">
      <c r="A661" t="inlineStr">
        <is>
          <t>A 53380-2023</t>
        </is>
      </c>
      <c r="B661" s="1" t="n">
        <v>45223</v>
      </c>
      <c r="C661" s="1" t="n">
        <v>45579</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52553-2023</t>
        </is>
      </c>
      <c r="B662" s="1" t="n">
        <v>45225</v>
      </c>
      <c r="C662" s="1" t="n">
        <v>45579</v>
      </c>
      <c r="D662" t="inlineStr">
        <is>
          <t>JÄMTLANDS LÄN</t>
        </is>
      </c>
      <c r="E662" t="inlineStr">
        <is>
          <t>ÖSTERSUND</t>
        </is>
      </c>
      <c r="G662" t="n">
        <v>19.9</v>
      </c>
      <c r="H662" t="n">
        <v>0</v>
      </c>
      <c r="I662" t="n">
        <v>0</v>
      </c>
      <c r="J662" t="n">
        <v>0</v>
      </c>
      <c r="K662" t="n">
        <v>0</v>
      </c>
      <c r="L662" t="n">
        <v>0</v>
      </c>
      <c r="M662" t="n">
        <v>0</v>
      </c>
      <c r="N662" t="n">
        <v>0</v>
      </c>
      <c r="O662" t="n">
        <v>0</v>
      </c>
      <c r="P662" t="n">
        <v>0</v>
      </c>
      <c r="Q662" t="n">
        <v>0</v>
      </c>
      <c r="R662" s="2" t="inlineStr"/>
    </row>
    <row r="663" ht="15" customHeight="1">
      <c r="A663" t="inlineStr">
        <is>
          <t>A 55235-2023</t>
        </is>
      </c>
      <c r="B663" s="1" t="n">
        <v>45231</v>
      </c>
      <c r="C663" s="1" t="n">
        <v>45579</v>
      </c>
      <c r="D663" t="inlineStr">
        <is>
          <t>JÄMTLANDS LÄN</t>
        </is>
      </c>
      <c r="E663" t="inlineStr">
        <is>
          <t>ÖSTERSUND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55251-2023</t>
        </is>
      </c>
      <c r="B664" s="1" t="n">
        <v>45231</v>
      </c>
      <c r="C664" s="1" t="n">
        <v>45579</v>
      </c>
      <c r="D664" t="inlineStr">
        <is>
          <t>JÄMTLANDS LÄN</t>
        </is>
      </c>
      <c r="E664" t="inlineStr">
        <is>
          <t>ÖSTERSUND</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55400-2023</t>
        </is>
      </c>
      <c r="B665" s="1" t="n">
        <v>45231</v>
      </c>
      <c r="C665" s="1" t="n">
        <v>45579</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54131-2023</t>
        </is>
      </c>
      <c r="B666" s="1" t="n">
        <v>45232</v>
      </c>
      <c r="C666" s="1" t="n">
        <v>45579</v>
      </c>
      <c r="D666" t="inlineStr">
        <is>
          <t>JÄMTLANDS LÄN</t>
        </is>
      </c>
      <c r="E666" t="inlineStr">
        <is>
          <t>ÖSTERSUND</t>
        </is>
      </c>
      <c r="G666" t="n">
        <v>5.5</v>
      </c>
      <c r="H666" t="n">
        <v>0</v>
      </c>
      <c r="I666" t="n">
        <v>0</v>
      </c>
      <c r="J666" t="n">
        <v>0</v>
      </c>
      <c r="K666" t="n">
        <v>0</v>
      </c>
      <c r="L666" t="n">
        <v>0</v>
      </c>
      <c r="M666" t="n">
        <v>0</v>
      </c>
      <c r="N666" t="n">
        <v>0</v>
      </c>
      <c r="O666" t="n">
        <v>0</v>
      </c>
      <c r="P666" t="n">
        <v>0</v>
      </c>
      <c r="Q666" t="n">
        <v>0</v>
      </c>
      <c r="R666" s="2" t="inlineStr"/>
    </row>
    <row r="667" ht="15" customHeight="1">
      <c r="A667" t="inlineStr">
        <is>
          <t>A 54608-2023</t>
        </is>
      </c>
      <c r="B667" s="1" t="n">
        <v>45233</v>
      </c>
      <c r="C667" s="1" t="n">
        <v>45579</v>
      </c>
      <c r="D667" t="inlineStr">
        <is>
          <t>JÄMTLANDS LÄN</t>
        </is>
      </c>
      <c r="E667" t="inlineStr">
        <is>
          <t>ÖSTERSUND</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55996-2023</t>
        </is>
      </c>
      <c r="B668" s="1" t="n">
        <v>45233</v>
      </c>
      <c r="C668" s="1" t="n">
        <v>45579</v>
      </c>
      <c r="D668" t="inlineStr">
        <is>
          <t>JÄMTLANDS LÄN</t>
        </is>
      </c>
      <c r="E668" t="inlineStr">
        <is>
          <t>ÖSTERSUND</t>
        </is>
      </c>
      <c r="G668" t="n">
        <v>2.4</v>
      </c>
      <c r="H668" t="n">
        <v>0</v>
      </c>
      <c r="I668" t="n">
        <v>0</v>
      </c>
      <c r="J668" t="n">
        <v>0</v>
      </c>
      <c r="K668" t="n">
        <v>0</v>
      </c>
      <c r="L668" t="n">
        <v>0</v>
      </c>
      <c r="M668" t="n">
        <v>0</v>
      </c>
      <c r="N668" t="n">
        <v>0</v>
      </c>
      <c r="O668" t="n">
        <v>0</v>
      </c>
      <c r="P668" t="n">
        <v>0</v>
      </c>
      <c r="Q668" t="n">
        <v>0</v>
      </c>
      <c r="R668" s="2" t="inlineStr"/>
    </row>
    <row r="669" ht="15" customHeight="1">
      <c r="A669" t="inlineStr">
        <is>
          <t>A 56043-2023</t>
        </is>
      </c>
      <c r="B669" s="1" t="n">
        <v>45233</v>
      </c>
      <c r="C669" s="1" t="n">
        <v>45579</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54576-2023</t>
        </is>
      </c>
      <c r="B670" s="1" t="n">
        <v>45233</v>
      </c>
      <c r="C670" s="1" t="n">
        <v>45579</v>
      </c>
      <c r="D670" t="inlineStr">
        <is>
          <t>JÄMTLANDS LÄN</t>
        </is>
      </c>
      <c r="E670" t="inlineStr">
        <is>
          <t>ÖSTERSUND</t>
        </is>
      </c>
      <c r="F670" t="inlineStr">
        <is>
          <t>Övriga Aktiebolag</t>
        </is>
      </c>
      <c r="G670" t="n">
        <v>7.3</v>
      </c>
      <c r="H670" t="n">
        <v>0</v>
      </c>
      <c r="I670" t="n">
        <v>0</v>
      </c>
      <c r="J670" t="n">
        <v>0</v>
      </c>
      <c r="K670" t="n">
        <v>0</v>
      </c>
      <c r="L670" t="n">
        <v>0</v>
      </c>
      <c r="M670" t="n">
        <v>0</v>
      </c>
      <c r="N670" t="n">
        <v>0</v>
      </c>
      <c r="O670" t="n">
        <v>0</v>
      </c>
      <c r="P670" t="n">
        <v>0</v>
      </c>
      <c r="Q670" t="n">
        <v>0</v>
      </c>
      <c r="R670" s="2" t="inlineStr"/>
    </row>
    <row r="671" ht="15" customHeight="1">
      <c r="A671" t="inlineStr">
        <is>
          <t>A 54762-2023</t>
        </is>
      </c>
      <c r="B671" s="1" t="n">
        <v>45236</v>
      </c>
      <c r="C671" s="1" t="n">
        <v>45579</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54883-2023</t>
        </is>
      </c>
      <c r="B672" s="1" t="n">
        <v>45236</v>
      </c>
      <c r="C672" s="1" t="n">
        <v>45579</v>
      </c>
      <c r="D672" t="inlineStr">
        <is>
          <t>JÄMTLANDS LÄN</t>
        </is>
      </c>
      <c r="E672" t="inlineStr">
        <is>
          <t>ÖSTERSUND</t>
        </is>
      </c>
      <c r="F672" t="inlineStr">
        <is>
          <t>Övriga Aktiebolag</t>
        </is>
      </c>
      <c r="G672" t="n">
        <v>3.2</v>
      </c>
      <c r="H672" t="n">
        <v>0</v>
      </c>
      <c r="I672" t="n">
        <v>0</v>
      </c>
      <c r="J672" t="n">
        <v>0</v>
      </c>
      <c r="K672" t="n">
        <v>0</v>
      </c>
      <c r="L672" t="n">
        <v>0</v>
      </c>
      <c r="M672" t="n">
        <v>0</v>
      </c>
      <c r="N672" t="n">
        <v>0</v>
      </c>
      <c r="O672" t="n">
        <v>0</v>
      </c>
      <c r="P672" t="n">
        <v>0</v>
      </c>
      <c r="Q672" t="n">
        <v>0</v>
      </c>
      <c r="R672" s="2" t="inlineStr"/>
    </row>
    <row r="673" ht="15" customHeight="1">
      <c r="A673" t="inlineStr">
        <is>
          <t>A 54973-2023</t>
        </is>
      </c>
      <c r="B673" s="1" t="n">
        <v>45236</v>
      </c>
      <c r="C673" s="1" t="n">
        <v>45579</v>
      </c>
      <c r="D673" t="inlineStr">
        <is>
          <t>JÄMTLANDS LÄN</t>
        </is>
      </c>
      <c r="E673" t="inlineStr">
        <is>
          <t>ÖSTERSUND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55140-2023</t>
        </is>
      </c>
      <c r="B674" s="1" t="n">
        <v>45237</v>
      </c>
      <c r="C674" s="1" t="n">
        <v>45579</v>
      </c>
      <c r="D674" t="inlineStr">
        <is>
          <t>JÄMTLANDS LÄN</t>
        </is>
      </c>
      <c r="E674" t="inlineStr">
        <is>
          <t>ÖSTERSUND</t>
        </is>
      </c>
      <c r="G674" t="n">
        <v>1.8</v>
      </c>
      <c r="H674" t="n">
        <v>0</v>
      </c>
      <c r="I674" t="n">
        <v>0</v>
      </c>
      <c r="J674" t="n">
        <v>0</v>
      </c>
      <c r="K674" t="n">
        <v>0</v>
      </c>
      <c r="L674" t="n">
        <v>0</v>
      </c>
      <c r="M674" t="n">
        <v>0</v>
      </c>
      <c r="N674" t="n">
        <v>0</v>
      </c>
      <c r="O674" t="n">
        <v>0</v>
      </c>
      <c r="P674" t="n">
        <v>0</v>
      </c>
      <c r="Q674" t="n">
        <v>0</v>
      </c>
      <c r="R674" s="2" t="inlineStr"/>
    </row>
    <row r="675" ht="15" customHeight="1">
      <c r="A675" t="inlineStr">
        <is>
          <t>A 55237-2023</t>
        </is>
      </c>
      <c r="B675" s="1" t="n">
        <v>45237</v>
      </c>
      <c r="C675" s="1" t="n">
        <v>45579</v>
      </c>
      <c r="D675" t="inlineStr">
        <is>
          <t>JÄMTLANDS LÄN</t>
        </is>
      </c>
      <c r="E675" t="inlineStr">
        <is>
          <t>ÖSTERSUND</t>
        </is>
      </c>
      <c r="G675" t="n">
        <v>2.7</v>
      </c>
      <c r="H675" t="n">
        <v>0</v>
      </c>
      <c r="I675" t="n">
        <v>0</v>
      </c>
      <c r="J675" t="n">
        <v>0</v>
      </c>
      <c r="K675" t="n">
        <v>0</v>
      </c>
      <c r="L675" t="n">
        <v>0</v>
      </c>
      <c r="M675" t="n">
        <v>0</v>
      </c>
      <c r="N675" t="n">
        <v>0</v>
      </c>
      <c r="O675" t="n">
        <v>0</v>
      </c>
      <c r="P675" t="n">
        <v>0</v>
      </c>
      <c r="Q675" t="n">
        <v>0</v>
      </c>
      <c r="R675" s="2" t="inlineStr"/>
    </row>
    <row r="676" ht="15" customHeight="1">
      <c r="A676" t="inlineStr">
        <is>
          <t>A 55233-2023</t>
        </is>
      </c>
      <c r="B676" s="1" t="n">
        <v>45237</v>
      </c>
      <c r="C676" s="1" t="n">
        <v>45579</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56440-2023</t>
        </is>
      </c>
      <c r="B677" s="1" t="n">
        <v>45237</v>
      </c>
      <c r="C677" s="1" t="n">
        <v>45579</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55666-2023</t>
        </is>
      </c>
      <c r="B678" s="1" t="n">
        <v>45239</v>
      </c>
      <c r="C678" s="1" t="n">
        <v>45579</v>
      </c>
      <c r="D678" t="inlineStr">
        <is>
          <t>JÄMTLANDS LÄN</t>
        </is>
      </c>
      <c r="E678" t="inlineStr">
        <is>
          <t>ÖSTERSUND</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56597-2023</t>
        </is>
      </c>
      <c r="B679" s="1" t="n">
        <v>45238</v>
      </c>
      <c r="C679" s="1" t="n">
        <v>45579</v>
      </c>
      <c r="D679" t="inlineStr">
        <is>
          <t>JÄMTLANDS LÄN</t>
        </is>
      </c>
      <c r="E679" t="inlineStr">
        <is>
          <t>ÖSTERSUND</t>
        </is>
      </c>
      <c r="G679" t="n">
        <v>5.1</v>
      </c>
      <c r="H679" t="n">
        <v>0</v>
      </c>
      <c r="I679" t="n">
        <v>0</v>
      </c>
      <c r="J679" t="n">
        <v>0</v>
      </c>
      <c r="K679" t="n">
        <v>0</v>
      </c>
      <c r="L679" t="n">
        <v>0</v>
      </c>
      <c r="M679" t="n">
        <v>0</v>
      </c>
      <c r="N679" t="n">
        <v>0</v>
      </c>
      <c r="O679" t="n">
        <v>0</v>
      </c>
      <c r="P679" t="n">
        <v>0</v>
      </c>
      <c r="Q679" t="n">
        <v>0</v>
      </c>
      <c r="R679" s="2" t="inlineStr"/>
    </row>
    <row r="680" ht="15" customHeight="1">
      <c r="A680" t="inlineStr">
        <is>
          <t>A 55678-2023</t>
        </is>
      </c>
      <c r="B680" s="1" t="n">
        <v>45239</v>
      </c>
      <c r="C680" s="1" t="n">
        <v>45579</v>
      </c>
      <c r="D680" t="inlineStr">
        <is>
          <t>JÄMTLANDS LÄN</t>
        </is>
      </c>
      <c r="E680" t="inlineStr">
        <is>
          <t>ÖSTERSUND</t>
        </is>
      </c>
      <c r="F680" t="inlineStr">
        <is>
          <t>Övriga Aktiebolag</t>
        </is>
      </c>
      <c r="G680" t="n">
        <v>0.6</v>
      </c>
      <c r="H680" t="n">
        <v>0</v>
      </c>
      <c r="I680" t="n">
        <v>0</v>
      </c>
      <c r="J680" t="n">
        <v>0</v>
      </c>
      <c r="K680" t="n">
        <v>0</v>
      </c>
      <c r="L680" t="n">
        <v>0</v>
      </c>
      <c r="M680" t="n">
        <v>0</v>
      </c>
      <c r="N680" t="n">
        <v>0</v>
      </c>
      <c r="O680" t="n">
        <v>0</v>
      </c>
      <c r="P680" t="n">
        <v>0</v>
      </c>
      <c r="Q680" t="n">
        <v>0</v>
      </c>
      <c r="R680" s="2" t="inlineStr"/>
    </row>
    <row r="681" ht="15" customHeight="1">
      <c r="A681" t="inlineStr">
        <is>
          <t>A 55785-2023</t>
        </is>
      </c>
      <c r="B681" s="1" t="n">
        <v>45239</v>
      </c>
      <c r="C681" s="1" t="n">
        <v>45579</v>
      </c>
      <c r="D681" t="inlineStr">
        <is>
          <t>JÄMTLANDS LÄN</t>
        </is>
      </c>
      <c r="E681" t="inlineStr">
        <is>
          <t>ÖSTERSUND</t>
        </is>
      </c>
      <c r="F681" t="inlineStr">
        <is>
          <t>Övriga Aktiebolag</t>
        </is>
      </c>
      <c r="G681" t="n">
        <v>16.4</v>
      </c>
      <c r="H681" t="n">
        <v>0</v>
      </c>
      <c r="I681" t="n">
        <v>0</v>
      </c>
      <c r="J681" t="n">
        <v>0</v>
      </c>
      <c r="K681" t="n">
        <v>0</v>
      </c>
      <c r="L681" t="n">
        <v>0</v>
      </c>
      <c r="M681" t="n">
        <v>0</v>
      </c>
      <c r="N681" t="n">
        <v>0</v>
      </c>
      <c r="O681" t="n">
        <v>0</v>
      </c>
      <c r="P681" t="n">
        <v>0</v>
      </c>
      <c r="Q681" t="n">
        <v>0</v>
      </c>
      <c r="R681" s="2" t="inlineStr"/>
    </row>
    <row r="682" ht="15" customHeight="1">
      <c r="A682" t="inlineStr">
        <is>
          <t>A 55827-2023</t>
        </is>
      </c>
      <c r="B682" s="1" t="n">
        <v>45239</v>
      </c>
      <c r="C682" s="1" t="n">
        <v>45579</v>
      </c>
      <c r="D682" t="inlineStr">
        <is>
          <t>JÄMTLANDS LÄN</t>
        </is>
      </c>
      <c r="E682" t="inlineStr">
        <is>
          <t>ÖSTERSUND</t>
        </is>
      </c>
      <c r="F682" t="inlineStr">
        <is>
          <t>Övriga Aktiebolag</t>
        </is>
      </c>
      <c r="G682" t="n">
        <v>9.1</v>
      </c>
      <c r="H682" t="n">
        <v>0</v>
      </c>
      <c r="I682" t="n">
        <v>0</v>
      </c>
      <c r="J682" t="n">
        <v>0</v>
      </c>
      <c r="K682" t="n">
        <v>0</v>
      </c>
      <c r="L682" t="n">
        <v>0</v>
      </c>
      <c r="M682" t="n">
        <v>0</v>
      </c>
      <c r="N682" t="n">
        <v>0</v>
      </c>
      <c r="O682" t="n">
        <v>0</v>
      </c>
      <c r="P682" t="n">
        <v>0</v>
      </c>
      <c r="Q682" t="n">
        <v>0</v>
      </c>
      <c r="R682" s="2" t="inlineStr"/>
    </row>
    <row r="683" ht="15" customHeight="1">
      <c r="A683" t="inlineStr">
        <is>
          <t>A 56465-2023</t>
        </is>
      </c>
      <c r="B683" s="1" t="n">
        <v>45243</v>
      </c>
      <c r="C683" s="1" t="n">
        <v>45579</v>
      </c>
      <c r="D683" t="inlineStr">
        <is>
          <t>JÄMTLANDS LÄN</t>
        </is>
      </c>
      <c r="E683" t="inlineStr">
        <is>
          <t>ÖSTERSUND</t>
        </is>
      </c>
      <c r="G683" t="n">
        <v>0.8</v>
      </c>
      <c r="H683" t="n">
        <v>0</v>
      </c>
      <c r="I683" t="n">
        <v>0</v>
      </c>
      <c r="J683" t="n">
        <v>0</v>
      </c>
      <c r="K683" t="n">
        <v>0</v>
      </c>
      <c r="L683" t="n">
        <v>0</v>
      </c>
      <c r="M683" t="n">
        <v>0</v>
      </c>
      <c r="N683" t="n">
        <v>0</v>
      </c>
      <c r="O683" t="n">
        <v>0</v>
      </c>
      <c r="P683" t="n">
        <v>0</v>
      </c>
      <c r="Q683" t="n">
        <v>0</v>
      </c>
      <c r="R683" s="2" t="inlineStr"/>
    </row>
    <row r="684" ht="15" customHeight="1">
      <c r="A684" t="inlineStr">
        <is>
          <t>A 56478-2023</t>
        </is>
      </c>
      <c r="B684" s="1" t="n">
        <v>45243</v>
      </c>
      <c r="C684" s="1" t="n">
        <v>45579</v>
      </c>
      <c r="D684" t="inlineStr">
        <is>
          <t>JÄMTLANDS LÄN</t>
        </is>
      </c>
      <c r="E684" t="inlineStr">
        <is>
          <t>ÖSTERSUND</t>
        </is>
      </c>
      <c r="F684" t="inlineStr">
        <is>
          <t>Övriga Aktiebolag</t>
        </is>
      </c>
      <c r="G684" t="n">
        <v>1.1</v>
      </c>
      <c r="H684" t="n">
        <v>0</v>
      </c>
      <c r="I684" t="n">
        <v>0</v>
      </c>
      <c r="J684" t="n">
        <v>0</v>
      </c>
      <c r="K684" t="n">
        <v>0</v>
      </c>
      <c r="L684" t="n">
        <v>0</v>
      </c>
      <c r="M684" t="n">
        <v>0</v>
      </c>
      <c r="N684" t="n">
        <v>0</v>
      </c>
      <c r="O684" t="n">
        <v>0</v>
      </c>
      <c r="P684" t="n">
        <v>0</v>
      </c>
      <c r="Q684" t="n">
        <v>0</v>
      </c>
      <c r="R684" s="2" t="inlineStr"/>
    </row>
    <row r="685" ht="15" customHeight="1">
      <c r="A685" t="inlineStr">
        <is>
          <t>A 57863-2023</t>
        </is>
      </c>
      <c r="B685" s="1" t="n">
        <v>45244</v>
      </c>
      <c r="C685" s="1" t="n">
        <v>45579</v>
      </c>
      <c r="D685" t="inlineStr">
        <is>
          <t>JÄMTLANDS LÄN</t>
        </is>
      </c>
      <c r="E685" t="inlineStr">
        <is>
          <t>ÖSTERSUND</t>
        </is>
      </c>
      <c r="G685" t="n">
        <v>0.7</v>
      </c>
      <c r="H685" t="n">
        <v>0</v>
      </c>
      <c r="I685" t="n">
        <v>0</v>
      </c>
      <c r="J685" t="n">
        <v>0</v>
      </c>
      <c r="K685" t="n">
        <v>0</v>
      </c>
      <c r="L685" t="n">
        <v>0</v>
      </c>
      <c r="M685" t="n">
        <v>0</v>
      </c>
      <c r="N685" t="n">
        <v>0</v>
      </c>
      <c r="O685" t="n">
        <v>0</v>
      </c>
      <c r="P685" t="n">
        <v>0</v>
      </c>
      <c r="Q685" t="n">
        <v>0</v>
      </c>
      <c r="R685" s="2" t="inlineStr"/>
    </row>
    <row r="686" ht="15" customHeight="1">
      <c r="A686" t="inlineStr">
        <is>
          <t>A 57398-2023</t>
        </is>
      </c>
      <c r="B686" s="1" t="n">
        <v>45245</v>
      </c>
      <c r="C686" s="1" t="n">
        <v>45579</v>
      </c>
      <c r="D686" t="inlineStr">
        <is>
          <t>JÄMTLANDS LÄN</t>
        </is>
      </c>
      <c r="E686" t="inlineStr">
        <is>
          <t>ÖSTERSUND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58809-2023</t>
        </is>
      </c>
      <c r="B687" s="1" t="n">
        <v>45247</v>
      </c>
      <c r="C687" s="1" t="n">
        <v>45579</v>
      </c>
      <c r="D687" t="inlineStr">
        <is>
          <t>JÄMTLANDS LÄN</t>
        </is>
      </c>
      <c r="E687" t="inlineStr">
        <is>
          <t>ÖSTERSUND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58818-2023</t>
        </is>
      </c>
      <c r="B688" s="1" t="n">
        <v>45247</v>
      </c>
      <c r="C688" s="1" t="n">
        <v>45579</v>
      </c>
      <c r="D688" t="inlineStr">
        <is>
          <t>JÄMTLANDS LÄN</t>
        </is>
      </c>
      <c r="E688" t="inlineStr">
        <is>
          <t>ÖSTERSUND</t>
        </is>
      </c>
      <c r="G688" t="n">
        <v>6.7</v>
      </c>
      <c r="H688" t="n">
        <v>0</v>
      </c>
      <c r="I688" t="n">
        <v>0</v>
      </c>
      <c r="J688" t="n">
        <v>0</v>
      </c>
      <c r="K688" t="n">
        <v>0</v>
      </c>
      <c r="L688" t="n">
        <v>0</v>
      </c>
      <c r="M688" t="n">
        <v>0</v>
      </c>
      <c r="N688" t="n">
        <v>0</v>
      </c>
      <c r="O688" t="n">
        <v>0</v>
      </c>
      <c r="P688" t="n">
        <v>0</v>
      </c>
      <c r="Q688" t="n">
        <v>0</v>
      </c>
      <c r="R688" s="2" t="inlineStr"/>
    </row>
    <row r="689" ht="15" customHeight="1">
      <c r="A689" t="inlineStr">
        <is>
          <t>A 57839-2023</t>
        </is>
      </c>
      <c r="B689" s="1" t="n">
        <v>45247</v>
      </c>
      <c r="C689" s="1" t="n">
        <v>45579</v>
      </c>
      <c r="D689" t="inlineStr">
        <is>
          <t>JÄMTLANDS LÄN</t>
        </is>
      </c>
      <c r="E689" t="inlineStr">
        <is>
          <t>ÖSTERSUND</t>
        </is>
      </c>
      <c r="G689" t="n">
        <v>6.1</v>
      </c>
      <c r="H689" t="n">
        <v>0</v>
      </c>
      <c r="I689" t="n">
        <v>0</v>
      </c>
      <c r="J689" t="n">
        <v>0</v>
      </c>
      <c r="K689" t="n">
        <v>0</v>
      </c>
      <c r="L689" t="n">
        <v>0</v>
      </c>
      <c r="M689" t="n">
        <v>0</v>
      </c>
      <c r="N689" t="n">
        <v>0</v>
      </c>
      <c r="O689" t="n">
        <v>0</v>
      </c>
      <c r="P689" t="n">
        <v>0</v>
      </c>
      <c r="Q689" t="n">
        <v>0</v>
      </c>
      <c r="R689" s="2" t="inlineStr"/>
    </row>
    <row r="690" ht="15" customHeight="1">
      <c r="A690" t="inlineStr">
        <is>
          <t>A 59021-2023</t>
        </is>
      </c>
      <c r="B690" s="1" t="n">
        <v>45250</v>
      </c>
      <c r="C690" s="1" t="n">
        <v>45579</v>
      </c>
      <c r="D690" t="inlineStr">
        <is>
          <t>JÄMTLANDS LÄN</t>
        </is>
      </c>
      <c r="E690" t="inlineStr">
        <is>
          <t>ÖSTERSUND</t>
        </is>
      </c>
      <c r="G690" t="n">
        <v>7</v>
      </c>
      <c r="H690" t="n">
        <v>0</v>
      </c>
      <c r="I690" t="n">
        <v>0</v>
      </c>
      <c r="J690" t="n">
        <v>0</v>
      </c>
      <c r="K690" t="n">
        <v>0</v>
      </c>
      <c r="L690" t="n">
        <v>0</v>
      </c>
      <c r="M690" t="n">
        <v>0</v>
      </c>
      <c r="N690" t="n">
        <v>0</v>
      </c>
      <c r="O690" t="n">
        <v>0</v>
      </c>
      <c r="P690" t="n">
        <v>0</v>
      </c>
      <c r="Q690" t="n">
        <v>0</v>
      </c>
      <c r="R690" s="2" t="inlineStr"/>
    </row>
    <row r="691" ht="15" customHeight="1">
      <c r="A691" t="inlineStr">
        <is>
          <t>A 59094-2023</t>
        </is>
      </c>
      <c r="B691" s="1" t="n">
        <v>45253</v>
      </c>
      <c r="C691" s="1" t="n">
        <v>45579</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59095-2023</t>
        </is>
      </c>
      <c r="B692" s="1" t="n">
        <v>45253</v>
      </c>
      <c r="C692" s="1" t="n">
        <v>45579</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59611-2023</t>
        </is>
      </c>
      <c r="B693" s="1" t="n">
        <v>45254</v>
      </c>
      <c r="C693" s="1" t="n">
        <v>45579</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59953-2023</t>
        </is>
      </c>
      <c r="B694" s="1" t="n">
        <v>45254</v>
      </c>
      <c r="C694" s="1" t="n">
        <v>45579</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59694-2023</t>
        </is>
      </c>
      <c r="B695" s="1" t="n">
        <v>45256</v>
      </c>
      <c r="C695" s="1" t="n">
        <v>45579</v>
      </c>
      <c r="D695" t="inlineStr">
        <is>
          <t>JÄMTLANDS LÄN</t>
        </is>
      </c>
      <c r="E695" t="inlineStr">
        <is>
          <t>ÖSTERSUND</t>
        </is>
      </c>
      <c r="G695" t="n">
        <v>4.1</v>
      </c>
      <c r="H695" t="n">
        <v>0</v>
      </c>
      <c r="I695" t="n">
        <v>0</v>
      </c>
      <c r="J695" t="n">
        <v>0</v>
      </c>
      <c r="K695" t="n">
        <v>0</v>
      </c>
      <c r="L695" t="n">
        <v>0</v>
      </c>
      <c r="M695" t="n">
        <v>0</v>
      </c>
      <c r="N695" t="n">
        <v>0</v>
      </c>
      <c r="O695" t="n">
        <v>0</v>
      </c>
      <c r="P695" t="n">
        <v>0</v>
      </c>
      <c r="Q695" t="n">
        <v>0</v>
      </c>
      <c r="R695" s="2" t="inlineStr"/>
    </row>
    <row r="696" ht="15" customHeight="1">
      <c r="A696" t="inlineStr">
        <is>
          <t>A 59813-2023</t>
        </is>
      </c>
      <c r="B696" s="1" t="n">
        <v>45257</v>
      </c>
      <c r="C696" s="1" t="n">
        <v>45579</v>
      </c>
      <c r="D696" t="inlineStr">
        <is>
          <t>JÄMTLANDS LÄN</t>
        </is>
      </c>
      <c r="E696" t="inlineStr">
        <is>
          <t>ÖSTERSUND</t>
        </is>
      </c>
      <c r="G696" t="n">
        <v>3.8</v>
      </c>
      <c r="H696" t="n">
        <v>0</v>
      </c>
      <c r="I696" t="n">
        <v>0</v>
      </c>
      <c r="J696" t="n">
        <v>0</v>
      </c>
      <c r="K696" t="n">
        <v>0</v>
      </c>
      <c r="L696" t="n">
        <v>0</v>
      </c>
      <c r="M696" t="n">
        <v>0</v>
      </c>
      <c r="N696" t="n">
        <v>0</v>
      </c>
      <c r="O696" t="n">
        <v>0</v>
      </c>
      <c r="P696" t="n">
        <v>0</v>
      </c>
      <c r="Q696" t="n">
        <v>0</v>
      </c>
      <c r="R696" s="2" t="inlineStr"/>
    </row>
    <row r="697" ht="15" customHeight="1">
      <c r="A697" t="inlineStr">
        <is>
          <t>A 60029-2023</t>
        </is>
      </c>
      <c r="B697" s="1" t="n">
        <v>45258</v>
      </c>
      <c r="C697" s="1" t="n">
        <v>45579</v>
      </c>
      <c r="D697" t="inlineStr">
        <is>
          <t>JÄMTLANDS LÄN</t>
        </is>
      </c>
      <c r="E697" t="inlineStr">
        <is>
          <t>ÖSTERSUND</t>
        </is>
      </c>
      <c r="G697" t="n">
        <v>1.8</v>
      </c>
      <c r="H697" t="n">
        <v>0</v>
      </c>
      <c r="I697" t="n">
        <v>0</v>
      </c>
      <c r="J697" t="n">
        <v>0</v>
      </c>
      <c r="K697" t="n">
        <v>0</v>
      </c>
      <c r="L697" t="n">
        <v>0</v>
      </c>
      <c r="M697" t="n">
        <v>0</v>
      </c>
      <c r="N697" t="n">
        <v>0</v>
      </c>
      <c r="O697" t="n">
        <v>0</v>
      </c>
      <c r="P697" t="n">
        <v>0</v>
      </c>
      <c r="Q697" t="n">
        <v>0</v>
      </c>
      <c r="R697" s="2" t="inlineStr"/>
    </row>
    <row r="698" ht="15" customHeight="1">
      <c r="A698" t="inlineStr">
        <is>
          <t>A 60477-2023</t>
        </is>
      </c>
      <c r="B698" s="1" t="n">
        <v>45258</v>
      </c>
      <c r="C698" s="1" t="n">
        <v>45579</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60794-2023</t>
        </is>
      </c>
      <c r="B699" s="1" t="n">
        <v>45260</v>
      </c>
      <c r="C699" s="1" t="n">
        <v>45579</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60780-2023</t>
        </is>
      </c>
      <c r="B700" s="1" t="n">
        <v>45260</v>
      </c>
      <c r="C700" s="1" t="n">
        <v>45579</v>
      </c>
      <c r="D700" t="inlineStr">
        <is>
          <t>JÄMTLANDS LÄN</t>
        </is>
      </c>
      <c r="E700" t="inlineStr">
        <is>
          <t>ÖSTERSUND</t>
        </is>
      </c>
      <c r="G700" t="n">
        <v>3.7</v>
      </c>
      <c r="H700" t="n">
        <v>0</v>
      </c>
      <c r="I700" t="n">
        <v>0</v>
      </c>
      <c r="J700" t="n">
        <v>0</v>
      </c>
      <c r="K700" t="n">
        <v>0</v>
      </c>
      <c r="L700" t="n">
        <v>0</v>
      </c>
      <c r="M700" t="n">
        <v>0</v>
      </c>
      <c r="N700" t="n">
        <v>0</v>
      </c>
      <c r="O700" t="n">
        <v>0</v>
      </c>
      <c r="P700" t="n">
        <v>0</v>
      </c>
      <c r="Q700" t="n">
        <v>0</v>
      </c>
      <c r="R700" s="2" t="inlineStr"/>
    </row>
    <row r="701" ht="15" customHeight="1">
      <c r="A701" t="inlineStr">
        <is>
          <t>A 61135-2023</t>
        </is>
      </c>
      <c r="B701" s="1" t="n">
        <v>45261</v>
      </c>
      <c r="C701" s="1" t="n">
        <v>45579</v>
      </c>
      <c r="D701" t="inlineStr">
        <is>
          <t>JÄMTLANDS LÄN</t>
        </is>
      </c>
      <c r="E701" t="inlineStr">
        <is>
          <t>ÖSTERSUND</t>
        </is>
      </c>
      <c r="G701" t="n">
        <v>7.3</v>
      </c>
      <c r="H701" t="n">
        <v>0</v>
      </c>
      <c r="I701" t="n">
        <v>0</v>
      </c>
      <c r="J701" t="n">
        <v>0</v>
      </c>
      <c r="K701" t="n">
        <v>0</v>
      </c>
      <c r="L701" t="n">
        <v>0</v>
      </c>
      <c r="M701" t="n">
        <v>0</v>
      </c>
      <c r="N701" t="n">
        <v>0</v>
      </c>
      <c r="O701" t="n">
        <v>0</v>
      </c>
      <c r="P701" t="n">
        <v>0</v>
      </c>
      <c r="Q701" t="n">
        <v>0</v>
      </c>
      <c r="R701" s="2" t="inlineStr"/>
    </row>
    <row r="702" ht="15" customHeight="1">
      <c r="A702" t="inlineStr">
        <is>
          <t>A 61535-2023</t>
        </is>
      </c>
      <c r="B702" s="1" t="n">
        <v>45261</v>
      </c>
      <c r="C702" s="1" t="n">
        <v>45579</v>
      </c>
      <c r="D702" t="inlineStr">
        <is>
          <t>JÄMTLANDS LÄN</t>
        </is>
      </c>
      <c r="E702" t="inlineStr">
        <is>
          <t>ÖSTERSUND</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61530-2023</t>
        </is>
      </c>
      <c r="B703" s="1" t="n">
        <v>45261</v>
      </c>
      <c r="C703" s="1" t="n">
        <v>45579</v>
      </c>
      <c r="D703" t="inlineStr">
        <is>
          <t>JÄMTLANDS LÄN</t>
        </is>
      </c>
      <c r="E703" t="inlineStr">
        <is>
          <t>ÖSTERSUND</t>
        </is>
      </c>
      <c r="F703" t="inlineStr">
        <is>
          <t>Övriga statliga verk och myndigheter</t>
        </is>
      </c>
      <c r="G703" t="n">
        <v>1</v>
      </c>
      <c r="H703" t="n">
        <v>0</v>
      </c>
      <c r="I703" t="n">
        <v>0</v>
      </c>
      <c r="J703" t="n">
        <v>0</v>
      </c>
      <c r="K703" t="n">
        <v>0</v>
      </c>
      <c r="L703" t="n">
        <v>0</v>
      </c>
      <c r="M703" t="n">
        <v>0</v>
      </c>
      <c r="N703" t="n">
        <v>0</v>
      </c>
      <c r="O703" t="n">
        <v>0</v>
      </c>
      <c r="P703" t="n">
        <v>0</v>
      </c>
      <c r="Q703" t="n">
        <v>0</v>
      </c>
      <c r="R703" s="2" t="inlineStr"/>
    </row>
    <row r="704" ht="15" customHeight="1">
      <c r="A704" t="inlineStr">
        <is>
          <t>A 61635-2023</t>
        </is>
      </c>
      <c r="B704" s="1" t="n">
        <v>45261</v>
      </c>
      <c r="C704" s="1" t="n">
        <v>45579</v>
      </c>
      <c r="D704" t="inlineStr">
        <is>
          <t>JÄMTLANDS LÄN</t>
        </is>
      </c>
      <c r="E704" t="inlineStr">
        <is>
          <t>ÖSTERSUND</t>
        </is>
      </c>
      <c r="G704" t="n">
        <v>2.2</v>
      </c>
      <c r="H704" t="n">
        <v>0</v>
      </c>
      <c r="I704" t="n">
        <v>0</v>
      </c>
      <c r="J704" t="n">
        <v>0</v>
      </c>
      <c r="K704" t="n">
        <v>0</v>
      </c>
      <c r="L704" t="n">
        <v>0</v>
      </c>
      <c r="M704" t="n">
        <v>0</v>
      </c>
      <c r="N704" t="n">
        <v>0</v>
      </c>
      <c r="O704" t="n">
        <v>0</v>
      </c>
      <c r="P704" t="n">
        <v>0</v>
      </c>
      <c r="Q704" t="n">
        <v>0</v>
      </c>
      <c r="R704" s="2" t="inlineStr"/>
    </row>
    <row r="705" ht="15" customHeight="1">
      <c r="A705" t="inlineStr">
        <is>
          <t>A 61506-2023</t>
        </is>
      </c>
      <c r="B705" s="1" t="n">
        <v>45264</v>
      </c>
      <c r="C705" s="1" t="n">
        <v>45579</v>
      </c>
      <c r="D705" t="inlineStr">
        <is>
          <t>JÄMTLANDS LÄN</t>
        </is>
      </c>
      <c r="E705" t="inlineStr">
        <is>
          <t>ÖSTERSUND</t>
        </is>
      </c>
      <c r="G705" t="n">
        <v>3</v>
      </c>
      <c r="H705" t="n">
        <v>0</v>
      </c>
      <c r="I705" t="n">
        <v>0</v>
      </c>
      <c r="J705" t="n">
        <v>0</v>
      </c>
      <c r="K705" t="n">
        <v>0</v>
      </c>
      <c r="L705" t="n">
        <v>0</v>
      </c>
      <c r="M705" t="n">
        <v>0</v>
      </c>
      <c r="N705" t="n">
        <v>0</v>
      </c>
      <c r="O705" t="n">
        <v>0</v>
      </c>
      <c r="P705" t="n">
        <v>0</v>
      </c>
      <c r="Q705" t="n">
        <v>0</v>
      </c>
      <c r="R705" s="2" t="inlineStr"/>
    </row>
    <row r="706" ht="15" customHeight="1">
      <c r="A706" t="inlineStr">
        <is>
          <t>A 61499-2023</t>
        </is>
      </c>
      <c r="B706" s="1" t="n">
        <v>45264</v>
      </c>
      <c r="C706" s="1" t="n">
        <v>45579</v>
      </c>
      <c r="D706" t="inlineStr">
        <is>
          <t>JÄMTLANDS LÄN</t>
        </is>
      </c>
      <c r="E706" t="inlineStr">
        <is>
          <t>ÖSTERSUND</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62052-2023</t>
        </is>
      </c>
      <c r="B707" s="1" t="n">
        <v>45265</v>
      </c>
      <c r="C707" s="1" t="n">
        <v>45579</v>
      </c>
      <c r="D707" t="inlineStr">
        <is>
          <t>JÄMTLANDS LÄN</t>
        </is>
      </c>
      <c r="E707" t="inlineStr">
        <is>
          <t>ÖSTERSUND</t>
        </is>
      </c>
      <c r="G707" t="n">
        <v>3.3</v>
      </c>
      <c r="H707" t="n">
        <v>0</v>
      </c>
      <c r="I707" t="n">
        <v>0</v>
      </c>
      <c r="J707" t="n">
        <v>0</v>
      </c>
      <c r="K707" t="n">
        <v>0</v>
      </c>
      <c r="L707" t="n">
        <v>0</v>
      </c>
      <c r="M707" t="n">
        <v>0</v>
      </c>
      <c r="N707" t="n">
        <v>0</v>
      </c>
      <c r="O707" t="n">
        <v>0</v>
      </c>
      <c r="P707" t="n">
        <v>0</v>
      </c>
      <c r="Q707" t="n">
        <v>0</v>
      </c>
      <c r="R707" s="2" t="inlineStr"/>
    </row>
    <row r="708" ht="15" customHeight="1">
      <c r="A708" t="inlineStr">
        <is>
          <t>A 61791-2023</t>
        </is>
      </c>
      <c r="B708" s="1" t="n">
        <v>45265</v>
      </c>
      <c r="C708" s="1" t="n">
        <v>45579</v>
      </c>
      <c r="D708" t="inlineStr">
        <is>
          <t>JÄMTLANDS LÄN</t>
        </is>
      </c>
      <c r="E708" t="inlineStr">
        <is>
          <t>ÖSTERSUND</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62835-2023</t>
        </is>
      </c>
      <c r="B709" s="1" t="n">
        <v>45271</v>
      </c>
      <c r="C709" s="1" t="n">
        <v>45579</v>
      </c>
      <c r="D709" t="inlineStr">
        <is>
          <t>JÄMTLANDS LÄN</t>
        </is>
      </c>
      <c r="E709" t="inlineStr">
        <is>
          <t>ÖSTERSUND</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62834-2023</t>
        </is>
      </c>
      <c r="B710" s="1" t="n">
        <v>45271</v>
      </c>
      <c r="C710" s="1" t="n">
        <v>45579</v>
      </c>
      <c r="D710" t="inlineStr">
        <is>
          <t>JÄMTLANDS LÄN</t>
        </is>
      </c>
      <c r="E710" t="inlineStr">
        <is>
          <t>ÖSTERSUND</t>
        </is>
      </c>
      <c r="F710" t="inlineStr">
        <is>
          <t>SCA</t>
        </is>
      </c>
      <c r="G710" t="n">
        <v>12.2</v>
      </c>
      <c r="H710" t="n">
        <v>0</v>
      </c>
      <c r="I710" t="n">
        <v>0</v>
      </c>
      <c r="J710" t="n">
        <v>0</v>
      </c>
      <c r="K710" t="n">
        <v>0</v>
      </c>
      <c r="L710" t="n">
        <v>0</v>
      </c>
      <c r="M710" t="n">
        <v>0</v>
      </c>
      <c r="N710" t="n">
        <v>0</v>
      </c>
      <c r="O710" t="n">
        <v>0</v>
      </c>
      <c r="P710" t="n">
        <v>0</v>
      </c>
      <c r="Q710" t="n">
        <v>0</v>
      </c>
      <c r="R710" s="2" t="inlineStr"/>
    </row>
    <row r="711" ht="15" customHeight="1">
      <c r="A711" t="inlineStr">
        <is>
          <t>A 63086-2023</t>
        </is>
      </c>
      <c r="B711" s="1" t="n">
        <v>45272</v>
      </c>
      <c r="C711" s="1" t="n">
        <v>45579</v>
      </c>
      <c r="D711" t="inlineStr">
        <is>
          <t>JÄMTLANDS LÄN</t>
        </is>
      </c>
      <c r="E711" t="inlineStr">
        <is>
          <t>ÖSTERSUND</t>
        </is>
      </c>
      <c r="F711" t="inlineStr">
        <is>
          <t>Övriga statliga verk och myndigheter</t>
        </is>
      </c>
      <c r="G711" t="n">
        <v>2.9</v>
      </c>
      <c r="H711" t="n">
        <v>0</v>
      </c>
      <c r="I711" t="n">
        <v>0</v>
      </c>
      <c r="J711" t="n">
        <v>0</v>
      </c>
      <c r="K711" t="n">
        <v>0</v>
      </c>
      <c r="L711" t="n">
        <v>0</v>
      </c>
      <c r="M711" t="n">
        <v>0</v>
      </c>
      <c r="N711" t="n">
        <v>0</v>
      </c>
      <c r="O711" t="n">
        <v>0</v>
      </c>
      <c r="P711" t="n">
        <v>0</v>
      </c>
      <c r="Q711" t="n">
        <v>0</v>
      </c>
      <c r="R711" s="2" t="inlineStr"/>
    </row>
    <row r="712" ht="15" customHeight="1">
      <c r="A712" t="inlineStr">
        <is>
          <t>A 63101-2023</t>
        </is>
      </c>
      <c r="B712" s="1" t="n">
        <v>45273</v>
      </c>
      <c r="C712" s="1" t="n">
        <v>45579</v>
      </c>
      <c r="D712" t="inlineStr">
        <is>
          <t>JÄMTLANDS LÄN</t>
        </is>
      </c>
      <c r="E712" t="inlineStr">
        <is>
          <t>ÖSTERSUND</t>
        </is>
      </c>
      <c r="G712" t="n">
        <v>2.1</v>
      </c>
      <c r="H712" t="n">
        <v>0</v>
      </c>
      <c r="I712" t="n">
        <v>0</v>
      </c>
      <c r="J712" t="n">
        <v>0</v>
      </c>
      <c r="K712" t="n">
        <v>0</v>
      </c>
      <c r="L712" t="n">
        <v>0</v>
      </c>
      <c r="M712" t="n">
        <v>0</v>
      </c>
      <c r="N712" t="n">
        <v>0</v>
      </c>
      <c r="O712" t="n">
        <v>0</v>
      </c>
      <c r="P712" t="n">
        <v>0</v>
      </c>
      <c r="Q712" t="n">
        <v>0</v>
      </c>
      <c r="R712" s="2" t="inlineStr"/>
    </row>
    <row r="713" ht="15" customHeight="1">
      <c r="A713" t="inlineStr">
        <is>
          <t>A 63099-2023</t>
        </is>
      </c>
      <c r="B713" s="1" t="n">
        <v>45273</v>
      </c>
      <c r="C713" s="1" t="n">
        <v>45579</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63320-2023</t>
        </is>
      </c>
      <c r="B714" s="1" t="n">
        <v>45273</v>
      </c>
      <c r="C714" s="1" t="n">
        <v>45579</v>
      </c>
      <c r="D714" t="inlineStr">
        <is>
          <t>JÄMTLANDS LÄN</t>
        </is>
      </c>
      <c r="E714" t="inlineStr">
        <is>
          <t>ÖSTERSUND</t>
        </is>
      </c>
      <c r="G714" t="n">
        <v>11.3</v>
      </c>
      <c r="H714" t="n">
        <v>0</v>
      </c>
      <c r="I714" t="n">
        <v>0</v>
      </c>
      <c r="J714" t="n">
        <v>0</v>
      </c>
      <c r="K714" t="n">
        <v>0</v>
      </c>
      <c r="L714" t="n">
        <v>0</v>
      </c>
      <c r="M714" t="n">
        <v>0</v>
      </c>
      <c r="N714" t="n">
        <v>0</v>
      </c>
      <c r="O714" t="n">
        <v>0</v>
      </c>
      <c r="P714" t="n">
        <v>0</v>
      </c>
      <c r="Q714" t="n">
        <v>0</v>
      </c>
      <c r="R714" s="2" t="inlineStr"/>
    </row>
    <row r="715" ht="15" customHeight="1">
      <c r="A715" t="inlineStr">
        <is>
          <t>A 63739-2023</t>
        </is>
      </c>
      <c r="B715" s="1" t="n">
        <v>45277</v>
      </c>
      <c r="C715" s="1" t="n">
        <v>45579</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63740-2023</t>
        </is>
      </c>
      <c r="B716" s="1" t="n">
        <v>45277</v>
      </c>
      <c r="C716" s="1" t="n">
        <v>45579</v>
      </c>
      <c r="D716" t="inlineStr">
        <is>
          <t>JÄMTLANDS LÄN</t>
        </is>
      </c>
      <c r="E716" t="inlineStr">
        <is>
          <t>ÖSTERSUND</t>
        </is>
      </c>
      <c r="G716" t="n">
        <v>3.9</v>
      </c>
      <c r="H716" t="n">
        <v>0</v>
      </c>
      <c r="I716" t="n">
        <v>0</v>
      </c>
      <c r="J716" t="n">
        <v>0</v>
      </c>
      <c r="K716" t="n">
        <v>0</v>
      </c>
      <c r="L716" t="n">
        <v>0</v>
      </c>
      <c r="M716" t="n">
        <v>0</v>
      </c>
      <c r="N716" t="n">
        <v>0</v>
      </c>
      <c r="O716" t="n">
        <v>0</v>
      </c>
      <c r="P716" t="n">
        <v>0</v>
      </c>
      <c r="Q716" t="n">
        <v>0</v>
      </c>
      <c r="R716" s="2" t="inlineStr"/>
    </row>
    <row r="717" ht="15" customHeight="1">
      <c r="A717" t="inlineStr">
        <is>
          <t>A 64233-2023</t>
        </is>
      </c>
      <c r="B717" s="1" t="n">
        <v>45279</v>
      </c>
      <c r="C717" s="1" t="n">
        <v>45579</v>
      </c>
      <c r="D717" t="inlineStr">
        <is>
          <t>JÄMTLANDS LÄN</t>
        </is>
      </c>
      <c r="E717" t="inlineStr">
        <is>
          <t>ÖSTERSUND</t>
        </is>
      </c>
      <c r="G717" t="n">
        <v>3.3</v>
      </c>
      <c r="H717" t="n">
        <v>0</v>
      </c>
      <c r="I717" t="n">
        <v>0</v>
      </c>
      <c r="J717" t="n">
        <v>0</v>
      </c>
      <c r="K717" t="n">
        <v>0</v>
      </c>
      <c r="L717" t="n">
        <v>0</v>
      </c>
      <c r="M717" t="n">
        <v>0</v>
      </c>
      <c r="N717" t="n">
        <v>0</v>
      </c>
      <c r="O717" t="n">
        <v>0</v>
      </c>
      <c r="P717" t="n">
        <v>0</v>
      </c>
      <c r="Q717" t="n">
        <v>0</v>
      </c>
      <c r="R717" s="2" t="inlineStr"/>
    </row>
    <row r="718" ht="15" customHeight="1">
      <c r="A718" t="inlineStr">
        <is>
          <t>A 64267-2023</t>
        </is>
      </c>
      <c r="B718" s="1" t="n">
        <v>45279</v>
      </c>
      <c r="C718" s="1" t="n">
        <v>45579</v>
      </c>
      <c r="D718" t="inlineStr">
        <is>
          <t>JÄMTLANDS LÄN</t>
        </is>
      </c>
      <c r="E718" t="inlineStr">
        <is>
          <t>ÖSTERSUND</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64314-2023</t>
        </is>
      </c>
      <c r="B719" s="1" t="n">
        <v>45280</v>
      </c>
      <c r="C719" s="1" t="n">
        <v>45579</v>
      </c>
      <c r="D719" t="inlineStr">
        <is>
          <t>JÄMTLANDS LÄN</t>
        </is>
      </c>
      <c r="E719" t="inlineStr">
        <is>
          <t>ÖSTERSUND</t>
        </is>
      </c>
      <c r="G719" t="n">
        <v>0.6</v>
      </c>
      <c r="H719" t="n">
        <v>0</v>
      </c>
      <c r="I719" t="n">
        <v>0</v>
      </c>
      <c r="J719" t="n">
        <v>0</v>
      </c>
      <c r="K719" t="n">
        <v>0</v>
      </c>
      <c r="L719" t="n">
        <v>0</v>
      </c>
      <c r="M719" t="n">
        <v>0</v>
      </c>
      <c r="N719" t="n">
        <v>0</v>
      </c>
      <c r="O719" t="n">
        <v>0</v>
      </c>
      <c r="P719" t="n">
        <v>0</v>
      </c>
      <c r="Q719" t="n">
        <v>0</v>
      </c>
      <c r="R719" s="2" t="inlineStr"/>
    </row>
    <row r="720" ht="15" customHeight="1">
      <c r="A720" t="inlineStr">
        <is>
          <t>A 64309-2023</t>
        </is>
      </c>
      <c r="B720" s="1" t="n">
        <v>45280</v>
      </c>
      <c r="C720" s="1" t="n">
        <v>45579</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64811-2023</t>
        </is>
      </c>
      <c r="B721" s="1" t="n">
        <v>45281</v>
      </c>
      <c r="C721" s="1" t="n">
        <v>45579</v>
      </c>
      <c r="D721" t="inlineStr">
        <is>
          <t>JÄMTLANDS LÄN</t>
        </is>
      </c>
      <c r="E721" t="inlineStr">
        <is>
          <t>ÖSTERSUND</t>
        </is>
      </c>
      <c r="G721" t="n">
        <v>7.6</v>
      </c>
      <c r="H721" t="n">
        <v>0</v>
      </c>
      <c r="I721" t="n">
        <v>0</v>
      </c>
      <c r="J721" t="n">
        <v>0</v>
      </c>
      <c r="K721" t="n">
        <v>0</v>
      </c>
      <c r="L721" t="n">
        <v>0</v>
      </c>
      <c r="M721" t="n">
        <v>0</v>
      </c>
      <c r="N721" t="n">
        <v>0</v>
      </c>
      <c r="O721" t="n">
        <v>0</v>
      </c>
      <c r="P721" t="n">
        <v>0</v>
      </c>
      <c r="Q721" t="n">
        <v>0</v>
      </c>
      <c r="R721" s="2" t="inlineStr"/>
    </row>
    <row r="722" ht="15" customHeight="1">
      <c r="A722" t="inlineStr">
        <is>
          <t>A 64954-2023</t>
        </is>
      </c>
      <c r="B722" s="1" t="n">
        <v>45282</v>
      </c>
      <c r="C722" s="1" t="n">
        <v>45579</v>
      </c>
      <c r="D722" t="inlineStr">
        <is>
          <t>JÄMTLANDS LÄN</t>
        </is>
      </c>
      <c r="E722" t="inlineStr">
        <is>
          <t>ÖSTERSUND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64953-2023</t>
        </is>
      </c>
      <c r="B723" s="1" t="n">
        <v>45282</v>
      </c>
      <c r="C723" s="1" t="n">
        <v>45579</v>
      </c>
      <c r="D723" t="inlineStr">
        <is>
          <t>JÄMTLANDS LÄN</t>
        </is>
      </c>
      <c r="E723" t="inlineStr">
        <is>
          <t>ÖSTERSUND</t>
        </is>
      </c>
      <c r="G723" t="n">
        <v>0.6</v>
      </c>
      <c r="H723" t="n">
        <v>0</v>
      </c>
      <c r="I723" t="n">
        <v>0</v>
      </c>
      <c r="J723" t="n">
        <v>0</v>
      </c>
      <c r="K723" t="n">
        <v>0</v>
      </c>
      <c r="L723" t="n">
        <v>0</v>
      </c>
      <c r="M723" t="n">
        <v>0</v>
      </c>
      <c r="N723" t="n">
        <v>0</v>
      </c>
      <c r="O723" t="n">
        <v>0</v>
      </c>
      <c r="P723" t="n">
        <v>0</v>
      </c>
      <c r="Q723" t="n">
        <v>0</v>
      </c>
      <c r="R723" s="2" t="inlineStr"/>
    </row>
    <row r="724" ht="15" customHeight="1">
      <c r="A724" t="inlineStr">
        <is>
          <t>A 440-2024</t>
        </is>
      </c>
      <c r="B724" s="1" t="n">
        <v>45296</v>
      </c>
      <c r="C724" s="1" t="n">
        <v>45579</v>
      </c>
      <c r="D724" t="inlineStr">
        <is>
          <t>JÄMTLANDS LÄN</t>
        </is>
      </c>
      <c r="E724" t="inlineStr">
        <is>
          <t>ÖSTERSUND</t>
        </is>
      </c>
      <c r="F724" t="inlineStr">
        <is>
          <t>Kommuner</t>
        </is>
      </c>
      <c r="G724" t="n">
        <v>10.1</v>
      </c>
      <c r="H724" t="n">
        <v>0</v>
      </c>
      <c r="I724" t="n">
        <v>0</v>
      </c>
      <c r="J724" t="n">
        <v>0</v>
      </c>
      <c r="K724" t="n">
        <v>0</v>
      </c>
      <c r="L724" t="n">
        <v>0</v>
      </c>
      <c r="M724" t="n">
        <v>0</v>
      </c>
      <c r="N724" t="n">
        <v>0</v>
      </c>
      <c r="O724" t="n">
        <v>0</v>
      </c>
      <c r="P724" t="n">
        <v>0</v>
      </c>
      <c r="Q724" t="n">
        <v>0</v>
      </c>
      <c r="R724" s="2" t="inlineStr"/>
    </row>
    <row r="725" ht="15" customHeight="1">
      <c r="A725" t="inlineStr">
        <is>
          <t>A 484-2024</t>
        </is>
      </c>
      <c r="B725" s="1" t="n">
        <v>45298</v>
      </c>
      <c r="C725" s="1" t="n">
        <v>45579</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485-2024</t>
        </is>
      </c>
      <c r="B726" s="1" t="n">
        <v>45298</v>
      </c>
      <c r="C726" s="1" t="n">
        <v>45579</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846-2024</t>
        </is>
      </c>
      <c r="B727" s="1" t="n">
        <v>45300</v>
      </c>
      <c r="C727" s="1" t="n">
        <v>45579</v>
      </c>
      <c r="D727" t="inlineStr">
        <is>
          <t>JÄMTLANDS LÄN</t>
        </is>
      </c>
      <c r="E727" t="inlineStr">
        <is>
          <t>ÖSTERSUND</t>
        </is>
      </c>
      <c r="G727" t="n">
        <v>2.8</v>
      </c>
      <c r="H727" t="n">
        <v>0</v>
      </c>
      <c r="I727" t="n">
        <v>0</v>
      </c>
      <c r="J727" t="n">
        <v>0</v>
      </c>
      <c r="K727" t="n">
        <v>0</v>
      </c>
      <c r="L727" t="n">
        <v>0</v>
      </c>
      <c r="M727" t="n">
        <v>0</v>
      </c>
      <c r="N727" t="n">
        <v>0</v>
      </c>
      <c r="O727" t="n">
        <v>0</v>
      </c>
      <c r="P727" t="n">
        <v>0</v>
      </c>
      <c r="Q727" t="n">
        <v>0</v>
      </c>
      <c r="R727" s="2" t="inlineStr"/>
    </row>
    <row r="728" ht="15" customHeight="1">
      <c r="A728" t="inlineStr">
        <is>
          <t>A 748-2024</t>
        </is>
      </c>
      <c r="B728" s="1" t="n">
        <v>45300</v>
      </c>
      <c r="C728" s="1" t="n">
        <v>45579</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1159-2024</t>
        </is>
      </c>
      <c r="B729" s="1" t="n">
        <v>45302</v>
      </c>
      <c r="C729" s="1" t="n">
        <v>45579</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1669-2024</t>
        </is>
      </c>
      <c r="B730" s="1" t="n">
        <v>45306</v>
      </c>
      <c r="C730" s="1" t="n">
        <v>45579</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1670-2024</t>
        </is>
      </c>
      <c r="B731" s="1" t="n">
        <v>45306</v>
      </c>
      <c r="C731" s="1" t="n">
        <v>45579</v>
      </c>
      <c r="D731" t="inlineStr">
        <is>
          <t>JÄMTLANDS LÄN</t>
        </is>
      </c>
      <c r="E731" t="inlineStr">
        <is>
          <t>ÖSTERSUND</t>
        </is>
      </c>
      <c r="G731" t="n">
        <v>1.2</v>
      </c>
      <c r="H731" t="n">
        <v>0</v>
      </c>
      <c r="I731" t="n">
        <v>0</v>
      </c>
      <c r="J731" t="n">
        <v>0</v>
      </c>
      <c r="K731" t="n">
        <v>0</v>
      </c>
      <c r="L731" t="n">
        <v>0</v>
      </c>
      <c r="M731" t="n">
        <v>0</v>
      </c>
      <c r="N731" t="n">
        <v>0</v>
      </c>
      <c r="O731" t="n">
        <v>0</v>
      </c>
      <c r="P731" t="n">
        <v>0</v>
      </c>
      <c r="Q731" t="n">
        <v>0</v>
      </c>
      <c r="R731" s="2" t="inlineStr"/>
    </row>
    <row r="732" ht="15" customHeight="1">
      <c r="A732" t="inlineStr">
        <is>
          <t>A 1873-2024</t>
        </is>
      </c>
      <c r="B732" s="1" t="n">
        <v>45307</v>
      </c>
      <c r="C732" s="1" t="n">
        <v>45579</v>
      </c>
      <c r="D732" t="inlineStr">
        <is>
          <t>JÄMTLANDS LÄN</t>
        </is>
      </c>
      <c r="E732" t="inlineStr">
        <is>
          <t>ÖSTERSUND</t>
        </is>
      </c>
      <c r="G732" t="n">
        <v>4.3</v>
      </c>
      <c r="H732" t="n">
        <v>0</v>
      </c>
      <c r="I732" t="n">
        <v>0</v>
      </c>
      <c r="J732" t="n">
        <v>0</v>
      </c>
      <c r="K732" t="n">
        <v>0</v>
      </c>
      <c r="L732" t="n">
        <v>0</v>
      </c>
      <c r="M732" t="n">
        <v>0</v>
      </c>
      <c r="N732" t="n">
        <v>0</v>
      </c>
      <c r="O732" t="n">
        <v>0</v>
      </c>
      <c r="P732" t="n">
        <v>0</v>
      </c>
      <c r="Q732" t="n">
        <v>0</v>
      </c>
      <c r="R732" s="2" t="inlineStr"/>
    </row>
    <row r="733" ht="15" customHeight="1">
      <c r="A733" t="inlineStr">
        <is>
          <t>A 2228-2024</t>
        </is>
      </c>
      <c r="B733" s="1" t="n">
        <v>45309</v>
      </c>
      <c r="C733" s="1" t="n">
        <v>45579</v>
      </c>
      <c r="D733" t="inlineStr">
        <is>
          <t>JÄMTLANDS LÄN</t>
        </is>
      </c>
      <c r="E733" t="inlineStr">
        <is>
          <t>ÖSTERSUND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2615-2024</t>
        </is>
      </c>
      <c r="B734" s="1" t="n">
        <v>45313</v>
      </c>
      <c r="C734" s="1" t="n">
        <v>45579</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2627-2024</t>
        </is>
      </c>
      <c r="B735" s="1" t="n">
        <v>45313</v>
      </c>
      <c r="C735" s="1" t="n">
        <v>45579</v>
      </c>
      <c r="D735" t="inlineStr">
        <is>
          <t>JÄMTLANDS LÄN</t>
        </is>
      </c>
      <c r="E735" t="inlineStr">
        <is>
          <t>ÖSTERSUND</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2756-2024</t>
        </is>
      </c>
      <c r="B736" s="1" t="n">
        <v>45314</v>
      </c>
      <c r="C736" s="1" t="n">
        <v>45579</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2984-2024</t>
        </is>
      </c>
      <c r="B737" s="1" t="n">
        <v>45315</v>
      </c>
      <c r="C737" s="1" t="n">
        <v>45579</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2978-2024</t>
        </is>
      </c>
      <c r="B738" s="1" t="n">
        <v>45315</v>
      </c>
      <c r="C738" s="1" t="n">
        <v>45579</v>
      </c>
      <c r="D738" t="inlineStr">
        <is>
          <t>JÄMTLANDS LÄN</t>
        </is>
      </c>
      <c r="E738" t="inlineStr">
        <is>
          <t>ÖSTERSUND</t>
        </is>
      </c>
      <c r="G738" t="n">
        <v>1.7</v>
      </c>
      <c r="H738" t="n">
        <v>0</v>
      </c>
      <c r="I738" t="n">
        <v>0</v>
      </c>
      <c r="J738" t="n">
        <v>0</v>
      </c>
      <c r="K738" t="n">
        <v>0</v>
      </c>
      <c r="L738" t="n">
        <v>0</v>
      </c>
      <c r="M738" t="n">
        <v>0</v>
      </c>
      <c r="N738" t="n">
        <v>0</v>
      </c>
      <c r="O738" t="n">
        <v>0</v>
      </c>
      <c r="P738" t="n">
        <v>0</v>
      </c>
      <c r="Q738" t="n">
        <v>0</v>
      </c>
      <c r="R738" s="2" t="inlineStr"/>
    </row>
    <row r="739" ht="15" customHeight="1">
      <c r="A739" t="inlineStr">
        <is>
          <t>A 3186-2024</t>
        </is>
      </c>
      <c r="B739" s="1" t="n">
        <v>45316</v>
      </c>
      <c r="C739" s="1" t="n">
        <v>45579</v>
      </c>
      <c r="D739" t="inlineStr">
        <is>
          <t>JÄMTLANDS LÄN</t>
        </is>
      </c>
      <c r="E739" t="inlineStr">
        <is>
          <t>ÖSTERSUND</t>
        </is>
      </c>
      <c r="G739" t="n">
        <v>5.1</v>
      </c>
      <c r="H739" t="n">
        <v>0</v>
      </c>
      <c r="I739" t="n">
        <v>0</v>
      </c>
      <c r="J739" t="n">
        <v>0</v>
      </c>
      <c r="K739" t="n">
        <v>0</v>
      </c>
      <c r="L739" t="n">
        <v>0</v>
      </c>
      <c r="M739" t="n">
        <v>0</v>
      </c>
      <c r="N739" t="n">
        <v>0</v>
      </c>
      <c r="O739" t="n">
        <v>0</v>
      </c>
      <c r="P739" t="n">
        <v>0</v>
      </c>
      <c r="Q739" t="n">
        <v>0</v>
      </c>
      <c r="R739" s="2" t="inlineStr"/>
    </row>
    <row r="740" ht="15" customHeight="1">
      <c r="A740" t="inlineStr">
        <is>
          <t>A 3230-2024</t>
        </is>
      </c>
      <c r="B740" s="1" t="n">
        <v>45316</v>
      </c>
      <c r="C740" s="1" t="n">
        <v>45579</v>
      </c>
      <c r="D740" t="inlineStr">
        <is>
          <t>JÄMTLANDS LÄN</t>
        </is>
      </c>
      <c r="E740" t="inlineStr">
        <is>
          <t>ÖSTERSUND</t>
        </is>
      </c>
      <c r="G740" t="n">
        <v>4.4</v>
      </c>
      <c r="H740" t="n">
        <v>0</v>
      </c>
      <c r="I740" t="n">
        <v>0</v>
      </c>
      <c r="J740" t="n">
        <v>0</v>
      </c>
      <c r="K740" t="n">
        <v>0</v>
      </c>
      <c r="L740" t="n">
        <v>0</v>
      </c>
      <c r="M740" t="n">
        <v>0</v>
      </c>
      <c r="N740" t="n">
        <v>0</v>
      </c>
      <c r="O740" t="n">
        <v>0</v>
      </c>
      <c r="P740" t="n">
        <v>0</v>
      </c>
      <c r="Q740" t="n">
        <v>0</v>
      </c>
      <c r="R740" s="2" t="inlineStr"/>
    </row>
    <row r="741" ht="15" customHeight="1">
      <c r="A741" t="inlineStr">
        <is>
          <t>A 3270-2024</t>
        </is>
      </c>
      <c r="B741" s="1" t="n">
        <v>45316</v>
      </c>
      <c r="C741" s="1" t="n">
        <v>45579</v>
      </c>
      <c r="D741" t="inlineStr">
        <is>
          <t>JÄMTLANDS LÄN</t>
        </is>
      </c>
      <c r="E741" t="inlineStr">
        <is>
          <t>ÖSTERSUND</t>
        </is>
      </c>
      <c r="G741" t="n">
        <v>7.5</v>
      </c>
      <c r="H741" t="n">
        <v>0</v>
      </c>
      <c r="I741" t="n">
        <v>0</v>
      </c>
      <c r="J741" t="n">
        <v>0</v>
      </c>
      <c r="K741" t="n">
        <v>0</v>
      </c>
      <c r="L741" t="n">
        <v>0</v>
      </c>
      <c r="M741" t="n">
        <v>0</v>
      </c>
      <c r="N741" t="n">
        <v>0</v>
      </c>
      <c r="O741" t="n">
        <v>0</v>
      </c>
      <c r="P741" t="n">
        <v>0</v>
      </c>
      <c r="Q741" t="n">
        <v>0</v>
      </c>
      <c r="R741" s="2" t="inlineStr"/>
    </row>
    <row r="742" ht="15" customHeight="1">
      <c r="A742" t="inlineStr">
        <is>
          <t>A 3610-2024</t>
        </is>
      </c>
      <c r="B742" s="1" t="n">
        <v>45320</v>
      </c>
      <c r="C742" s="1" t="n">
        <v>45579</v>
      </c>
      <c r="D742" t="inlineStr">
        <is>
          <t>JÄMTLANDS LÄN</t>
        </is>
      </c>
      <c r="E742" t="inlineStr">
        <is>
          <t>ÖSTERSUND</t>
        </is>
      </c>
      <c r="G742" t="n">
        <v>6.2</v>
      </c>
      <c r="H742" t="n">
        <v>0</v>
      </c>
      <c r="I742" t="n">
        <v>0</v>
      </c>
      <c r="J742" t="n">
        <v>0</v>
      </c>
      <c r="K742" t="n">
        <v>0</v>
      </c>
      <c r="L742" t="n">
        <v>0</v>
      </c>
      <c r="M742" t="n">
        <v>0</v>
      </c>
      <c r="N742" t="n">
        <v>0</v>
      </c>
      <c r="O742" t="n">
        <v>0</v>
      </c>
      <c r="P742" t="n">
        <v>0</v>
      </c>
      <c r="Q742" t="n">
        <v>0</v>
      </c>
      <c r="R742" s="2" t="inlineStr"/>
    </row>
    <row r="743" ht="15" customHeight="1">
      <c r="A743" t="inlineStr">
        <is>
          <t>A 3844-2024</t>
        </is>
      </c>
      <c r="B743" s="1" t="n">
        <v>45321</v>
      </c>
      <c r="C743" s="1" t="n">
        <v>45579</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4176-2024</t>
        </is>
      </c>
      <c r="B744" s="1" t="n">
        <v>45323</v>
      </c>
      <c r="C744" s="1" t="n">
        <v>45579</v>
      </c>
      <c r="D744" t="inlineStr">
        <is>
          <t>JÄMTLANDS LÄN</t>
        </is>
      </c>
      <c r="E744" t="inlineStr">
        <is>
          <t>ÖSTERSUND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4350-2024</t>
        </is>
      </c>
      <c r="B745" s="1" t="n">
        <v>45324</v>
      </c>
      <c r="C745" s="1" t="n">
        <v>45579</v>
      </c>
      <c r="D745" t="inlineStr">
        <is>
          <t>JÄMTLANDS LÄN</t>
        </is>
      </c>
      <c r="E745" t="inlineStr">
        <is>
          <t>ÖSTERSUND</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4707-2024</t>
        </is>
      </c>
      <c r="B746" s="1" t="n">
        <v>45328</v>
      </c>
      <c r="C746" s="1" t="n">
        <v>45579</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5455-2024</t>
        </is>
      </c>
      <c r="B747" s="1" t="n">
        <v>45331</v>
      </c>
      <c r="C747" s="1" t="n">
        <v>45579</v>
      </c>
      <c r="D747" t="inlineStr">
        <is>
          <t>JÄMTLANDS LÄN</t>
        </is>
      </c>
      <c r="E747" t="inlineStr">
        <is>
          <t>ÖSTERSUND</t>
        </is>
      </c>
      <c r="G747" t="n">
        <v>4.8</v>
      </c>
      <c r="H747" t="n">
        <v>0</v>
      </c>
      <c r="I747" t="n">
        <v>0</v>
      </c>
      <c r="J747" t="n">
        <v>0</v>
      </c>
      <c r="K747" t="n">
        <v>0</v>
      </c>
      <c r="L747" t="n">
        <v>0</v>
      </c>
      <c r="M747" t="n">
        <v>0</v>
      </c>
      <c r="N747" t="n">
        <v>0</v>
      </c>
      <c r="O747" t="n">
        <v>0</v>
      </c>
      <c r="P747" t="n">
        <v>0</v>
      </c>
      <c r="Q747" t="n">
        <v>0</v>
      </c>
      <c r="R747" s="2" t="inlineStr"/>
    </row>
    <row r="748" ht="15" customHeight="1">
      <c r="A748" t="inlineStr">
        <is>
          <t>A 5920-2024</t>
        </is>
      </c>
      <c r="B748" s="1" t="n">
        <v>45335</v>
      </c>
      <c r="C748" s="1" t="n">
        <v>45579</v>
      </c>
      <c r="D748" t="inlineStr">
        <is>
          <t>JÄMTLANDS LÄN</t>
        </is>
      </c>
      <c r="E748" t="inlineStr">
        <is>
          <t>ÖSTERSUND</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6048-2024</t>
        </is>
      </c>
      <c r="B749" s="1" t="n">
        <v>45336</v>
      </c>
      <c r="C749" s="1" t="n">
        <v>45579</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6056-2024</t>
        </is>
      </c>
      <c r="B750" s="1" t="n">
        <v>45336</v>
      </c>
      <c r="C750" s="1" t="n">
        <v>45579</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6053-2024</t>
        </is>
      </c>
      <c r="B751" s="1" t="n">
        <v>45336</v>
      </c>
      <c r="C751" s="1" t="n">
        <v>45579</v>
      </c>
      <c r="D751" t="inlineStr">
        <is>
          <t>JÄMTLANDS LÄN</t>
        </is>
      </c>
      <c r="E751" t="inlineStr">
        <is>
          <t>ÖSTERSUND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6351-2024</t>
        </is>
      </c>
      <c r="B752" s="1" t="n">
        <v>45338</v>
      </c>
      <c r="C752" s="1" t="n">
        <v>45579</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6353-2024</t>
        </is>
      </c>
      <c r="B753" s="1" t="n">
        <v>45338</v>
      </c>
      <c r="C753" s="1" t="n">
        <v>45579</v>
      </c>
      <c r="D753" t="inlineStr">
        <is>
          <t>JÄMTLANDS LÄN</t>
        </is>
      </c>
      <c r="E753" t="inlineStr">
        <is>
          <t>ÖSTERSUND</t>
        </is>
      </c>
      <c r="G753" t="n">
        <v>1.9</v>
      </c>
      <c r="H753" t="n">
        <v>0</v>
      </c>
      <c r="I753" t="n">
        <v>0</v>
      </c>
      <c r="J753" t="n">
        <v>0</v>
      </c>
      <c r="K753" t="n">
        <v>0</v>
      </c>
      <c r="L753" t="n">
        <v>0</v>
      </c>
      <c r="M753" t="n">
        <v>0</v>
      </c>
      <c r="N753" t="n">
        <v>0</v>
      </c>
      <c r="O753" t="n">
        <v>0</v>
      </c>
      <c r="P753" t="n">
        <v>0</v>
      </c>
      <c r="Q753" t="n">
        <v>0</v>
      </c>
      <c r="R753" s="2" t="inlineStr"/>
    </row>
    <row r="754" ht="15" customHeight="1">
      <c r="A754" t="inlineStr">
        <is>
          <t>A 6376-2024</t>
        </is>
      </c>
      <c r="B754" s="1" t="n">
        <v>45338</v>
      </c>
      <c r="C754" s="1" t="n">
        <v>45579</v>
      </c>
      <c r="D754" t="inlineStr">
        <is>
          <t>JÄMTLANDS LÄN</t>
        </is>
      </c>
      <c r="E754" t="inlineStr">
        <is>
          <t>ÖSTERSUND</t>
        </is>
      </c>
      <c r="G754" t="n">
        <v>4.6</v>
      </c>
      <c r="H754" t="n">
        <v>0</v>
      </c>
      <c r="I754" t="n">
        <v>0</v>
      </c>
      <c r="J754" t="n">
        <v>0</v>
      </c>
      <c r="K754" t="n">
        <v>0</v>
      </c>
      <c r="L754" t="n">
        <v>0</v>
      </c>
      <c r="M754" t="n">
        <v>0</v>
      </c>
      <c r="N754" t="n">
        <v>0</v>
      </c>
      <c r="O754" t="n">
        <v>0</v>
      </c>
      <c r="P754" t="n">
        <v>0</v>
      </c>
      <c r="Q754" t="n">
        <v>0</v>
      </c>
      <c r="R754" s="2" t="inlineStr"/>
    </row>
    <row r="755" ht="15" customHeight="1">
      <c r="A755" t="inlineStr">
        <is>
          <t>A 6402-2024</t>
        </is>
      </c>
      <c r="B755" s="1" t="n">
        <v>45338</v>
      </c>
      <c r="C755" s="1" t="n">
        <v>45579</v>
      </c>
      <c r="D755" t="inlineStr">
        <is>
          <t>JÄMTLANDS LÄN</t>
        </is>
      </c>
      <c r="E755" t="inlineStr">
        <is>
          <t>ÖSTERSUND</t>
        </is>
      </c>
      <c r="G755" t="n">
        <v>4.4</v>
      </c>
      <c r="H755" t="n">
        <v>0</v>
      </c>
      <c r="I755" t="n">
        <v>0</v>
      </c>
      <c r="J755" t="n">
        <v>0</v>
      </c>
      <c r="K755" t="n">
        <v>0</v>
      </c>
      <c r="L755" t="n">
        <v>0</v>
      </c>
      <c r="M755" t="n">
        <v>0</v>
      </c>
      <c r="N755" t="n">
        <v>0</v>
      </c>
      <c r="O755" t="n">
        <v>0</v>
      </c>
      <c r="P755" t="n">
        <v>0</v>
      </c>
      <c r="Q755" t="n">
        <v>0</v>
      </c>
      <c r="R755" s="2" t="inlineStr"/>
    </row>
    <row r="756" ht="15" customHeight="1">
      <c r="A756" t="inlineStr">
        <is>
          <t>A 6481-2024</t>
        </is>
      </c>
      <c r="B756" s="1" t="n">
        <v>45338</v>
      </c>
      <c r="C756" s="1" t="n">
        <v>45579</v>
      </c>
      <c r="D756" t="inlineStr">
        <is>
          <t>JÄMTLANDS LÄN</t>
        </is>
      </c>
      <c r="E756" t="inlineStr">
        <is>
          <t>ÖSTERSUND</t>
        </is>
      </c>
      <c r="F756" t="inlineStr">
        <is>
          <t>SCA</t>
        </is>
      </c>
      <c r="G756" t="n">
        <v>21.3</v>
      </c>
      <c r="H756" t="n">
        <v>0</v>
      </c>
      <c r="I756" t="n">
        <v>0</v>
      </c>
      <c r="J756" t="n">
        <v>0</v>
      </c>
      <c r="K756" t="n">
        <v>0</v>
      </c>
      <c r="L756" t="n">
        <v>0</v>
      </c>
      <c r="M756" t="n">
        <v>0</v>
      </c>
      <c r="N756" t="n">
        <v>0</v>
      </c>
      <c r="O756" t="n">
        <v>0</v>
      </c>
      <c r="P756" t="n">
        <v>0</v>
      </c>
      <c r="Q756" t="n">
        <v>0</v>
      </c>
      <c r="R756" s="2" t="inlineStr"/>
    </row>
    <row r="757" ht="15" customHeight="1">
      <c r="A757" t="inlineStr">
        <is>
          <t>A 6877-2024</t>
        </is>
      </c>
      <c r="B757" s="1" t="n">
        <v>45342</v>
      </c>
      <c r="C757" s="1" t="n">
        <v>45579</v>
      </c>
      <c r="D757" t="inlineStr">
        <is>
          <t>JÄMTLANDS LÄN</t>
        </is>
      </c>
      <c r="E757" t="inlineStr">
        <is>
          <t>ÖSTERSUND</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7233-2024</t>
        </is>
      </c>
      <c r="B758" s="1" t="n">
        <v>45344</v>
      </c>
      <c r="C758" s="1" t="n">
        <v>45579</v>
      </c>
      <c r="D758" t="inlineStr">
        <is>
          <t>JÄMTLANDS LÄN</t>
        </is>
      </c>
      <c r="E758" t="inlineStr">
        <is>
          <t>ÖSTERSUND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7224-2024</t>
        </is>
      </c>
      <c r="B759" s="1" t="n">
        <v>45344</v>
      </c>
      <c r="C759" s="1" t="n">
        <v>45579</v>
      </c>
      <c r="D759" t="inlineStr">
        <is>
          <t>JÄMTLANDS LÄN</t>
        </is>
      </c>
      <c r="E759" t="inlineStr">
        <is>
          <t>ÖSTERSUND</t>
        </is>
      </c>
      <c r="G759" t="n">
        <v>2.9</v>
      </c>
      <c r="H759" t="n">
        <v>0</v>
      </c>
      <c r="I759" t="n">
        <v>0</v>
      </c>
      <c r="J759" t="n">
        <v>0</v>
      </c>
      <c r="K759" t="n">
        <v>0</v>
      </c>
      <c r="L759" t="n">
        <v>0</v>
      </c>
      <c r="M759" t="n">
        <v>0</v>
      </c>
      <c r="N759" t="n">
        <v>0</v>
      </c>
      <c r="O759" t="n">
        <v>0</v>
      </c>
      <c r="P759" t="n">
        <v>0</v>
      </c>
      <c r="Q759" t="n">
        <v>0</v>
      </c>
      <c r="R759" s="2" t="inlineStr"/>
    </row>
    <row r="760" ht="15" customHeight="1">
      <c r="A760" t="inlineStr">
        <is>
          <t>A 7228-2024</t>
        </is>
      </c>
      <c r="B760" s="1" t="n">
        <v>45344</v>
      </c>
      <c r="C760" s="1" t="n">
        <v>45579</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7484-2024</t>
        </is>
      </c>
      <c r="B761" s="1" t="n">
        <v>45346</v>
      </c>
      <c r="C761" s="1" t="n">
        <v>45579</v>
      </c>
      <c r="D761" t="inlineStr">
        <is>
          <t>JÄMTLANDS LÄN</t>
        </is>
      </c>
      <c r="E761" t="inlineStr">
        <is>
          <t>ÖSTERSUND</t>
        </is>
      </c>
      <c r="G761" t="n">
        <v>5.4</v>
      </c>
      <c r="H761" t="n">
        <v>0</v>
      </c>
      <c r="I761" t="n">
        <v>0</v>
      </c>
      <c r="J761" t="n">
        <v>0</v>
      </c>
      <c r="K761" t="n">
        <v>0</v>
      </c>
      <c r="L761" t="n">
        <v>0</v>
      </c>
      <c r="M761" t="n">
        <v>0</v>
      </c>
      <c r="N761" t="n">
        <v>0</v>
      </c>
      <c r="O761" t="n">
        <v>0</v>
      </c>
      <c r="P761" t="n">
        <v>0</v>
      </c>
      <c r="Q761" t="n">
        <v>0</v>
      </c>
      <c r="R761" s="2" t="inlineStr"/>
    </row>
    <row r="762" ht="15" customHeight="1">
      <c r="A762" t="inlineStr">
        <is>
          <t>A 8166-2024</t>
        </is>
      </c>
      <c r="B762" s="1" t="n">
        <v>45349</v>
      </c>
      <c r="C762" s="1" t="n">
        <v>45579</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9109-2024</t>
        </is>
      </c>
      <c r="B763" s="1" t="n">
        <v>45358</v>
      </c>
      <c r="C763" s="1" t="n">
        <v>45579</v>
      </c>
      <c r="D763" t="inlineStr">
        <is>
          <t>JÄMTLANDS LÄN</t>
        </is>
      </c>
      <c r="E763" t="inlineStr">
        <is>
          <t>ÖSTERSUND</t>
        </is>
      </c>
      <c r="G763" t="n">
        <v>17.1</v>
      </c>
      <c r="H763" t="n">
        <v>0</v>
      </c>
      <c r="I763" t="n">
        <v>0</v>
      </c>
      <c r="J763" t="n">
        <v>0</v>
      </c>
      <c r="K763" t="n">
        <v>0</v>
      </c>
      <c r="L763" t="n">
        <v>0</v>
      </c>
      <c r="M763" t="n">
        <v>0</v>
      </c>
      <c r="N763" t="n">
        <v>0</v>
      </c>
      <c r="O763" t="n">
        <v>0</v>
      </c>
      <c r="P763" t="n">
        <v>0</v>
      </c>
      <c r="Q763" t="n">
        <v>0</v>
      </c>
      <c r="R763" s="2" t="inlineStr"/>
    </row>
    <row r="764" ht="15" customHeight="1">
      <c r="A764" t="inlineStr">
        <is>
          <t>A 9151-2024</t>
        </is>
      </c>
      <c r="B764" s="1" t="n">
        <v>45358</v>
      </c>
      <c r="C764" s="1" t="n">
        <v>45579</v>
      </c>
      <c r="D764" t="inlineStr">
        <is>
          <t>JÄMTLANDS LÄN</t>
        </is>
      </c>
      <c r="E764" t="inlineStr">
        <is>
          <t>ÖSTERSUND</t>
        </is>
      </c>
      <c r="G764" t="n">
        <v>2.6</v>
      </c>
      <c r="H764" t="n">
        <v>0</v>
      </c>
      <c r="I764" t="n">
        <v>0</v>
      </c>
      <c r="J764" t="n">
        <v>0</v>
      </c>
      <c r="K764" t="n">
        <v>0</v>
      </c>
      <c r="L764" t="n">
        <v>0</v>
      </c>
      <c r="M764" t="n">
        <v>0</v>
      </c>
      <c r="N764" t="n">
        <v>0</v>
      </c>
      <c r="O764" t="n">
        <v>0</v>
      </c>
      <c r="P764" t="n">
        <v>0</v>
      </c>
      <c r="Q764" t="n">
        <v>0</v>
      </c>
      <c r="R764" s="2" t="inlineStr"/>
    </row>
    <row r="765" ht="15" customHeight="1">
      <c r="A765" t="inlineStr">
        <is>
          <t>A 9859-2024</t>
        </is>
      </c>
      <c r="B765" s="1" t="n">
        <v>45363</v>
      </c>
      <c r="C765" s="1" t="n">
        <v>45579</v>
      </c>
      <c r="D765" t="inlineStr">
        <is>
          <t>JÄMTLANDS LÄN</t>
        </is>
      </c>
      <c r="E765" t="inlineStr">
        <is>
          <t>ÖSTERSUND</t>
        </is>
      </c>
      <c r="G765" t="n">
        <v>5.5</v>
      </c>
      <c r="H765" t="n">
        <v>0</v>
      </c>
      <c r="I765" t="n">
        <v>0</v>
      </c>
      <c r="J765" t="n">
        <v>0</v>
      </c>
      <c r="K765" t="n">
        <v>0</v>
      </c>
      <c r="L765" t="n">
        <v>0</v>
      </c>
      <c r="M765" t="n">
        <v>0</v>
      </c>
      <c r="N765" t="n">
        <v>0</v>
      </c>
      <c r="O765" t="n">
        <v>0</v>
      </c>
      <c r="P765" t="n">
        <v>0</v>
      </c>
      <c r="Q765" t="n">
        <v>0</v>
      </c>
      <c r="R765" s="2" t="inlineStr"/>
    </row>
    <row r="766" ht="15" customHeight="1">
      <c r="A766" t="inlineStr">
        <is>
          <t>A 10064-2024</t>
        </is>
      </c>
      <c r="B766" s="1" t="n">
        <v>45364</v>
      </c>
      <c r="C766" s="1" t="n">
        <v>45579</v>
      </c>
      <c r="D766" t="inlineStr">
        <is>
          <t>JÄMTLANDS LÄN</t>
        </is>
      </c>
      <c r="E766" t="inlineStr">
        <is>
          <t>ÖSTERSUND</t>
        </is>
      </c>
      <c r="G766" t="n">
        <v>13.9</v>
      </c>
      <c r="H766" t="n">
        <v>0</v>
      </c>
      <c r="I766" t="n">
        <v>0</v>
      </c>
      <c r="J766" t="n">
        <v>0</v>
      </c>
      <c r="K766" t="n">
        <v>0</v>
      </c>
      <c r="L766" t="n">
        <v>0</v>
      </c>
      <c r="M766" t="n">
        <v>0</v>
      </c>
      <c r="N766" t="n">
        <v>0</v>
      </c>
      <c r="O766" t="n">
        <v>0</v>
      </c>
      <c r="P766" t="n">
        <v>0</v>
      </c>
      <c r="Q766" t="n">
        <v>0</v>
      </c>
      <c r="R766" s="2" t="inlineStr"/>
    </row>
    <row r="767" ht="15" customHeight="1">
      <c r="A767" t="inlineStr">
        <is>
          <t>A 10619-2024</t>
        </is>
      </c>
      <c r="B767" s="1" t="n">
        <v>45367</v>
      </c>
      <c r="C767" s="1" t="n">
        <v>45579</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11052-2024</t>
        </is>
      </c>
      <c r="B768" s="1" t="n">
        <v>45370</v>
      </c>
      <c r="C768" s="1" t="n">
        <v>45579</v>
      </c>
      <c r="D768" t="inlineStr">
        <is>
          <t>JÄMTLANDS LÄN</t>
        </is>
      </c>
      <c r="E768" t="inlineStr">
        <is>
          <t>ÖSTERSUND</t>
        </is>
      </c>
      <c r="G768" t="n">
        <v>2.3</v>
      </c>
      <c r="H768" t="n">
        <v>0</v>
      </c>
      <c r="I768" t="n">
        <v>0</v>
      </c>
      <c r="J768" t="n">
        <v>0</v>
      </c>
      <c r="K768" t="n">
        <v>0</v>
      </c>
      <c r="L768" t="n">
        <v>0</v>
      </c>
      <c r="M768" t="n">
        <v>0</v>
      </c>
      <c r="N768" t="n">
        <v>0</v>
      </c>
      <c r="O768" t="n">
        <v>0</v>
      </c>
      <c r="P768" t="n">
        <v>0</v>
      </c>
      <c r="Q768" t="n">
        <v>0</v>
      </c>
      <c r="R768" s="2" t="inlineStr"/>
    </row>
    <row r="769" ht="15" customHeight="1">
      <c r="A769" t="inlineStr">
        <is>
          <t>A 11513-2024</t>
        </is>
      </c>
      <c r="B769" s="1" t="n">
        <v>45372</v>
      </c>
      <c r="C769" s="1" t="n">
        <v>45579</v>
      </c>
      <c r="D769" t="inlineStr">
        <is>
          <t>JÄMTLANDS LÄN</t>
        </is>
      </c>
      <c r="E769" t="inlineStr">
        <is>
          <t>ÖSTERSUND</t>
        </is>
      </c>
      <c r="G769" t="n">
        <v>21.2</v>
      </c>
      <c r="H769" t="n">
        <v>0</v>
      </c>
      <c r="I769" t="n">
        <v>0</v>
      </c>
      <c r="J769" t="n">
        <v>0</v>
      </c>
      <c r="K769" t="n">
        <v>0</v>
      </c>
      <c r="L769" t="n">
        <v>0</v>
      </c>
      <c r="M769" t="n">
        <v>0</v>
      </c>
      <c r="N769" t="n">
        <v>0</v>
      </c>
      <c r="O769" t="n">
        <v>0</v>
      </c>
      <c r="P769" t="n">
        <v>0</v>
      </c>
      <c r="Q769" t="n">
        <v>0</v>
      </c>
      <c r="R769" s="2" t="inlineStr"/>
    </row>
    <row r="770" ht="15" customHeight="1">
      <c r="A770" t="inlineStr">
        <is>
          <t>A 11768-2024</t>
        </is>
      </c>
      <c r="B770" s="1" t="n">
        <v>45373</v>
      </c>
      <c r="C770" s="1" t="n">
        <v>45579</v>
      </c>
      <c r="D770" t="inlineStr">
        <is>
          <t>JÄMTLANDS LÄN</t>
        </is>
      </c>
      <c r="E770" t="inlineStr">
        <is>
          <t>ÖSTERSUND</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11877-2024</t>
        </is>
      </c>
      <c r="B771" s="1" t="n">
        <v>45376</v>
      </c>
      <c r="C771" s="1" t="n">
        <v>45579</v>
      </c>
      <c r="D771" t="inlineStr">
        <is>
          <t>JÄMTLANDS LÄN</t>
        </is>
      </c>
      <c r="E771" t="inlineStr">
        <is>
          <t>ÖSTERSUND</t>
        </is>
      </c>
      <c r="G771" t="n">
        <v>2.6</v>
      </c>
      <c r="H771" t="n">
        <v>0</v>
      </c>
      <c r="I771" t="n">
        <v>0</v>
      </c>
      <c r="J771" t="n">
        <v>0</v>
      </c>
      <c r="K771" t="n">
        <v>0</v>
      </c>
      <c r="L771" t="n">
        <v>0</v>
      </c>
      <c r="M771" t="n">
        <v>0</v>
      </c>
      <c r="N771" t="n">
        <v>0</v>
      </c>
      <c r="O771" t="n">
        <v>0</v>
      </c>
      <c r="P771" t="n">
        <v>0</v>
      </c>
      <c r="Q771" t="n">
        <v>0</v>
      </c>
      <c r="R771" s="2" t="inlineStr"/>
    </row>
    <row r="772" ht="15" customHeight="1">
      <c r="A772" t="inlineStr">
        <is>
          <t>A 11931-2024</t>
        </is>
      </c>
      <c r="B772" s="1" t="n">
        <v>45376</v>
      </c>
      <c r="C772" s="1" t="n">
        <v>45579</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14142-2024</t>
        </is>
      </c>
      <c r="B773" s="1" t="n">
        <v>45392</v>
      </c>
      <c r="C773" s="1" t="n">
        <v>45579</v>
      </c>
      <c r="D773" t="inlineStr">
        <is>
          <t>JÄMTLANDS LÄN</t>
        </is>
      </c>
      <c r="E773" t="inlineStr">
        <is>
          <t>ÖSTERSUND</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16068-2024</t>
        </is>
      </c>
      <c r="B774" s="1" t="n">
        <v>45406</v>
      </c>
      <c r="C774" s="1" t="n">
        <v>45579</v>
      </c>
      <c r="D774" t="inlineStr">
        <is>
          <t>JÄMTLANDS LÄN</t>
        </is>
      </c>
      <c r="E774" t="inlineStr">
        <is>
          <t>ÖSTERSUND</t>
        </is>
      </c>
      <c r="F774" t="inlineStr">
        <is>
          <t>SCA</t>
        </is>
      </c>
      <c r="G774" t="n">
        <v>35.6</v>
      </c>
      <c r="H774" t="n">
        <v>0</v>
      </c>
      <c r="I774" t="n">
        <v>0</v>
      </c>
      <c r="J774" t="n">
        <v>0</v>
      </c>
      <c r="K774" t="n">
        <v>0</v>
      </c>
      <c r="L774" t="n">
        <v>0</v>
      </c>
      <c r="M774" t="n">
        <v>0</v>
      </c>
      <c r="N774" t="n">
        <v>0</v>
      </c>
      <c r="O774" t="n">
        <v>0</v>
      </c>
      <c r="P774" t="n">
        <v>0</v>
      </c>
      <c r="Q774" t="n">
        <v>0</v>
      </c>
      <c r="R774" s="2" t="inlineStr"/>
    </row>
    <row r="775" ht="15" customHeight="1">
      <c r="A775" t="inlineStr">
        <is>
          <t>A 16065-2024</t>
        </is>
      </c>
      <c r="B775" s="1" t="n">
        <v>45406</v>
      </c>
      <c r="C775" s="1" t="n">
        <v>45579</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16459-2024</t>
        </is>
      </c>
      <c r="B776" s="1" t="n">
        <v>45407</v>
      </c>
      <c r="C776" s="1" t="n">
        <v>45579</v>
      </c>
      <c r="D776" t="inlineStr">
        <is>
          <t>JÄMTLANDS LÄN</t>
        </is>
      </c>
      <c r="E776" t="inlineStr">
        <is>
          <t>ÖSTERSUND</t>
        </is>
      </c>
      <c r="G776" t="n">
        <v>24</v>
      </c>
      <c r="H776" t="n">
        <v>0</v>
      </c>
      <c r="I776" t="n">
        <v>0</v>
      </c>
      <c r="J776" t="n">
        <v>0</v>
      </c>
      <c r="K776" t="n">
        <v>0</v>
      </c>
      <c r="L776" t="n">
        <v>0</v>
      </c>
      <c r="M776" t="n">
        <v>0</v>
      </c>
      <c r="N776" t="n">
        <v>0</v>
      </c>
      <c r="O776" t="n">
        <v>0</v>
      </c>
      <c r="P776" t="n">
        <v>0</v>
      </c>
      <c r="Q776" t="n">
        <v>0</v>
      </c>
      <c r="R776" s="2" t="inlineStr"/>
    </row>
    <row r="777" ht="15" customHeight="1">
      <c r="A777" t="inlineStr">
        <is>
          <t>A 16689-2024</t>
        </is>
      </c>
      <c r="B777" s="1" t="n">
        <v>45408</v>
      </c>
      <c r="C777" s="1" t="n">
        <v>45579</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17188-2024</t>
        </is>
      </c>
      <c r="B778" s="1" t="n">
        <v>45413</v>
      </c>
      <c r="C778" s="1" t="n">
        <v>45579</v>
      </c>
      <c r="D778" t="inlineStr">
        <is>
          <t>JÄMTLANDS LÄN</t>
        </is>
      </c>
      <c r="E778" t="inlineStr">
        <is>
          <t>ÖSTERSUND</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17062-2024</t>
        </is>
      </c>
      <c r="B779" s="1" t="n">
        <v>45412</v>
      </c>
      <c r="C779" s="1" t="n">
        <v>45579</v>
      </c>
      <c r="D779" t="inlineStr">
        <is>
          <t>JÄMTLANDS LÄN</t>
        </is>
      </c>
      <c r="E779" t="inlineStr">
        <is>
          <t>ÖSTERSUND</t>
        </is>
      </c>
      <c r="G779" t="n">
        <v>8</v>
      </c>
      <c r="H779" t="n">
        <v>0</v>
      </c>
      <c r="I779" t="n">
        <v>0</v>
      </c>
      <c r="J779" t="n">
        <v>0</v>
      </c>
      <c r="K779" t="n">
        <v>0</v>
      </c>
      <c r="L779" t="n">
        <v>0</v>
      </c>
      <c r="M779" t="n">
        <v>0</v>
      </c>
      <c r="N779" t="n">
        <v>0</v>
      </c>
      <c r="O779" t="n">
        <v>0</v>
      </c>
      <c r="P779" t="n">
        <v>0</v>
      </c>
      <c r="Q779" t="n">
        <v>0</v>
      </c>
      <c r="R779" s="2" t="inlineStr"/>
    </row>
    <row r="780" ht="15" customHeight="1">
      <c r="A780" t="inlineStr">
        <is>
          <t>A 17066-2024</t>
        </is>
      </c>
      <c r="B780" s="1" t="n">
        <v>45412</v>
      </c>
      <c r="C780" s="1" t="n">
        <v>45579</v>
      </c>
      <c r="D780" t="inlineStr">
        <is>
          <t>JÄMTLANDS LÄN</t>
        </is>
      </c>
      <c r="E780" t="inlineStr">
        <is>
          <t>ÖSTERSUND</t>
        </is>
      </c>
      <c r="G780" t="n">
        <v>4.2</v>
      </c>
      <c r="H780" t="n">
        <v>0</v>
      </c>
      <c r="I780" t="n">
        <v>0</v>
      </c>
      <c r="J780" t="n">
        <v>0</v>
      </c>
      <c r="K780" t="n">
        <v>0</v>
      </c>
      <c r="L780" t="n">
        <v>0</v>
      </c>
      <c r="M780" t="n">
        <v>0</v>
      </c>
      <c r="N780" t="n">
        <v>0</v>
      </c>
      <c r="O780" t="n">
        <v>0</v>
      </c>
      <c r="P780" t="n">
        <v>0</v>
      </c>
      <c r="Q780" t="n">
        <v>0</v>
      </c>
      <c r="R780" s="2" t="inlineStr"/>
    </row>
    <row r="781" ht="15" customHeight="1">
      <c r="A781" t="inlineStr">
        <is>
          <t>A 17547-2024</t>
        </is>
      </c>
      <c r="B781" s="1" t="n">
        <v>45415</v>
      </c>
      <c r="C781" s="1" t="n">
        <v>45579</v>
      </c>
      <c r="D781" t="inlineStr">
        <is>
          <t>JÄMTLANDS LÄN</t>
        </is>
      </c>
      <c r="E781" t="inlineStr">
        <is>
          <t>ÖSTERSUND</t>
        </is>
      </c>
      <c r="G781" t="n">
        <v>2.1</v>
      </c>
      <c r="H781" t="n">
        <v>0</v>
      </c>
      <c r="I781" t="n">
        <v>0</v>
      </c>
      <c r="J781" t="n">
        <v>0</v>
      </c>
      <c r="K781" t="n">
        <v>0</v>
      </c>
      <c r="L781" t="n">
        <v>0</v>
      </c>
      <c r="M781" t="n">
        <v>0</v>
      </c>
      <c r="N781" t="n">
        <v>0</v>
      </c>
      <c r="O781" t="n">
        <v>0</v>
      </c>
      <c r="P781" t="n">
        <v>0</v>
      </c>
      <c r="Q781" t="n">
        <v>0</v>
      </c>
      <c r="R781" s="2" t="inlineStr"/>
    </row>
    <row r="782" ht="15" customHeight="1">
      <c r="A782" t="inlineStr">
        <is>
          <t>A 17760-2024</t>
        </is>
      </c>
      <c r="B782" s="1" t="n">
        <v>45418</v>
      </c>
      <c r="C782" s="1" t="n">
        <v>45579</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17709-2024</t>
        </is>
      </c>
      <c r="B783" s="1" t="n">
        <v>45418</v>
      </c>
      <c r="C783" s="1" t="n">
        <v>45579</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18627-2024</t>
        </is>
      </c>
      <c r="B784" s="1" t="n">
        <v>45426</v>
      </c>
      <c r="C784" s="1" t="n">
        <v>45579</v>
      </c>
      <c r="D784" t="inlineStr">
        <is>
          <t>JÄMTLANDS LÄN</t>
        </is>
      </c>
      <c r="E784" t="inlineStr">
        <is>
          <t>ÖSTERSUND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18643-2024</t>
        </is>
      </c>
      <c r="B785" s="1" t="n">
        <v>45426</v>
      </c>
      <c r="C785" s="1" t="n">
        <v>45579</v>
      </c>
      <c r="D785" t="inlineStr">
        <is>
          <t>JÄMTLANDS LÄN</t>
        </is>
      </c>
      <c r="E785" t="inlineStr">
        <is>
          <t>ÖSTERSUND</t>
        </is>
      </c>
      <c r="F785" t="inlineStr">
        <is>
          <t>SCA</t>
        </is>
      </c>
      <c r="G785" t="n">
        <v>10.3</v>
      </c>
      <c r="H785" t="n">
        <v>0</v>
      </c>
      <c r="I785" t="n">
        <v>0</v>
      </c>
      <c r="J785" t="n">
        <v>0</v>
      </c>
      <c r="K785" t="n">
        <v>0</v>
      </c>
      <c r="L785" t="n">
        <v>0</v>
      </c>
      <c r="M785" t="n">
        <v>0</v>
      </c>
      <c r="N785" t="n">
        <v>0</v>
      </c>
      <c r="O785" t="n">
        <v>0</v>
      </c>
      <c r="P785" t="n">
        <v>0</v>
      </c>
      <c r="Q785" t="n">
        <v>0</v>
      </c>
      <c r="R785" s="2" t="inlineStr"/>
    </row>
    <row r="786" ht="15" customHeight="1">
      <c r="A786" t="inlineStr">
        <is>
          <t>A 18624-2024</t>
        </is>
      </c>
      <c r="B786" s="1" t="n">
        <v>45426</v>
      </c>
      <c r="C786" s="1" t="n">
        <v>45579</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19112-2024</t>
        </is>
      </c>
      <c r="B787" s="1" t="n">
        <v>45427</v>
      </c>
      <c r="C787" s="1" t="n">
        <v>45579</v>
      </c>
      <c r="D787" t="inlineStr">
        <is>
          <t>JÄMTLANDS LÄN</t>
        </is>
      </c>
      <c r="E787" t="inlineStr">
        <is>
          <t>ÖSTERSUND</t>
        </is>
      </c>
      <c r="G787" t="n">
        <v>3.6</v>
      </c>
      <c r="H787" t="n">
        <v>0</v>
      </c>
      <c r="I787" t="n">
        <v>0</v>
      </c>
      <c r="J787" t="n">
        <v>0</v>
      </c>
      <c r="K787" t="n">
        <v>0</v>
      </c>
      <c r="L787" t="n">
        <v>0</v>
      </c>
      <c r="M787" t="n">
        <v>0</v>
      </c>
      <c r="N787" t="n">
        <v>0</v>
      </c>
      <c r="O787" t="n">
        <v>0</v>
      </c>
      <c r="P787" t="n">
        <v>0</v>
      </c>
      <c r="Q787" t="n">
        <v>0</v>
      </c>
      <c r="R787" s="2" t="inlineStr"/>
    </row>
    <row r="788" ht="15" customHeight="1">
      <c r="A788" t="inlineStr">
        <is>
          <t>A 19037-2024</t>
        </is>
      </c>
      <c r="B788" s="1" t="n">
        <v>45427</v>
      </c>
      <c r="C788" s="1" t="n">
        <v>45579</v>
      </c>
      <c r="D788" t="inlineStr">
        <is>
          <t>JÄMTLANDS LÄN</t>
        </is>
      </c>
      <c r="E788" t="inlineStr">
        <is>
          <t>ÖSTERSUND</t>
        </is>
      </c>
      <c r="G788" t="n">
        <v>2</v>
      </c>
      <c r="H788" t="n">
        <v>0</v>
      </c>
      <c r="I788" t="n">
        <v>0</v>
      </c>
      <c r="J788" t="n">
        <v>0</v>
      </c>
      <c r="K788" t="n">
        <v>0</v>
      </c>
      <c r="L788" t="n">
        <v>0</v>
      </c>
      <c r="M788" t="n">
        <v>0</v>
      </c>
      <c r="N788" t="n">
        <v>0</v>
      </c>
      <c r="O788" t="n">
        <v>0</v>
      </c>
      <c r="P788" t="n">
        <v>0</v>
      </c>
      <c r="Q788" t="n">
        <v>0</v>
      </c>
      <c r="R788" s="2" t="inlineStr"/>
    </row>
    <row r="789" ht="15" customHeight="1">
      <c r="A789" t="inlineStr">
        <is>
          <t>A 19138-2024</t>
        </is>
      </c>
      <c r="B789" s="1" t="n">
        <v>45428</v>
      </c>
      <c r="C789" s="1" t="n">
        <v>45579</v>
      </c>
      <c r="D789" t="inlineStr">
        <is>
          <t>JÄMTLANDS LÄN</t>
        </is>
      </c>
      <c r="E789" t="inlineStr">
        <is>
          <t>ÖSTERSUND</t>
        </is>
      </c>
      <c r="G789" t="n">
        <v>13.6</v>
      </c>
      <c r="H789" t="n">
        <v>0</v>
      </c>
      <c r="I789" t="n">
        <v>0</v>
      </c>
      <c r="J789" t="n">
        <v>0</v>
      </c>
      <c r="K789" t="n">
        <v>0</v>
      </c>
      <c r="L789" t="n">
        <v>0</v>
      </c>
      <c r="M789" t="n">
        <v>0</v>
      </c>
      <c r="N789" t="n">
        <v>0</v>
      </c>
      <c r="O789" t="n">
        <v>0</v>
      </c>
      <c r="P789" t="n">
        <v>0</v>
      </c>
      <c r="Q789" t="n">
        <v>0</v>
      </c>
      <c r="R789" s="2" t="inlineStr"/>
    </row>
    <row r="790" ht="15" customHeight="1">
      <c r="A790" t="inlineStr">
        <is>
          <t>A 19233-2024</t>
        </is>
      </c>
      <c r="B790" s="1" t="n">
        <v>45428</v>
      </c>
      <c r="C790" s="1" t="n">
        <v>45579</v>
      </c>
      <c r="D790" t="inlineStr">
        <is>
          <t>JÄMTLANDS LÄN</t>
        </is>
      </c>
      <c r="E790" t="inlineStr">
        <is>
          <t>ÖSTERSUND</t>
        </is>
      </c>
      <c r="G790" t="n">
        <v>2.2</v>
      </c>
      <c r="H790" t="n">
        <v>0</v>
      </c>
      <c r="I790" t="n">
        <v>0</v>
      </c>
      <c r="J790" t="n">
        <v>0</v>
      </c>
      <c r="K790" t="n">
        <v>0</v>
      </c>
      <c r="L790" t="n">
        <v>0</v>
      </c>
      <c r="M790" t="n">
        <v>0</v>
      </c>
      <c r="N790" t="n">
        <v>0</v>
      </c>
      <c r="O790" t="n">
        <v>0</v>
      </c>
      <c r="P790" t="n">
        <v>0</v>
      </c>
      <c r="Q790" t="n">
        <v>0</v>
      </c>
      <c r="R790" s="2" t="inlineStr"/>
    </row>
    <row r="791" ht="15" customHeight="1">
      <c r="A791" t="inlineStr">
        <is>
          <t>A 19408-2024</t>
        </is>
      </c>
      <c r="B791" s="1" t="n">
        <v>45428</v>
      </c>
      <c r="C791" s="1" t="n">
        <v>45579</v>
      </c>
      <c r="D791" t="inlineStr">
        <is>
          <t>JÄMTLANDS LÄN</t>
        </is>
      </c>
      <c r="E791" t="inlineStr">
        <is>
          <t>ÖSTERSUND</t>
        </is>
      </c>
      <c r="G791" t="n">
        <v>11.1</v>
      </c>
      <c r="H791" t="n">
        <v>0</v>
      </c>
      <c r="I791" t="n">
        <v>0</v>
      </c>
      <c r="J791" t="n">
        <v>0</v>
      </c>
      <c r="K791" t="n">
        <v>0</v>
      </c>
      <c r="L791" t="n">
        <v>0</v>
      </c>
      <c r="M791" t="n">
        <v>0</v>
      </c>
      <c r="N791" t="n">
        <v>0</v>
      </c>
      <c r="O791" t="n">
        <v>0</v>
      </c>
      <c r="P791" t="n">
        <v>0</v>
      </c>
      <c r="Q791" t="n">
        <v>0</v>
      </c>
      <c r="R791" s="2" t="inlineStr"/>
    </row>
    <row r="792" ht="15" customHeight="1">
      <c r="A792" t="inlineStr">
        <is>
          <t>A 19323-2024</t>
        </is>
      </c>
      <c r="B792" s="1" t="n">
        <v>45429</v>
      </c>
      <c r="C792" s="1" t="n">
        <v>45579</v>
      </c>
      <c r="D792" t="inlineStr">
        <is>
          <t>JÄMTLANDS LÄN</t>
        </is>
      </c>
      <c r="E792" t="inlineStr">
        <is>
          <t>ÖSTERSUND</t>
        </is>
      </c>
      <c r="F792" t="inlineStr">
        <is>
          <t>Kommuner</t>
        </is>
      </c>
      <c r="G792" t="n">
        <v>0.2</v>
      </c>
      <c r="H792" t="n">
        <v>0</v>
      </c>
      <c r="I792" t="n">
        <v>0</v>
      </c>
      <c r="J792" t="n">
        <v>0</v>
      </c>
      <c r="K792" t="n">
        <v>0</v>
      </c>
      <c r="L792" t="n">
        <v>0</v>
      </c>
      <c r="M792" t="n">
        <v>0</v>
      </c>
      <c r="N792" t="n">
        <v>0</v>
      </c>
      <c r="O792" t="n">
        <v>0</v>
      </c>
      <c r="P792" t="n">
        <v>0</v>
      </c>
      <c r="Q792" t="n">
        <v>0</v>
      </c>
      <c r="R792" s="2" t="inlineStr"/>
    </row>
    <row r="793" ht="15" customHeight="1">
      <c r="A793" t="inlineStr">
        <is>
          <t>A 19566-2024</t>
        </is>
      </c>
      <c r="B793" s="1" t="n">
        <v>45430</v>
      </c>
      <c r="C793" s="1" t="n">
        <v>45579</v>
      </c>
      <c r="D793" t="inlineStr">
        <is>
          <t>JÄMTLANDS LÄN</t>
        </is>
      </c>
      <c r="E793" t="inlineStr">
        <is>
          <t>ÖSTERSUND</t>
        </is>
      </c>
      <c r="G793" t="n">
        <v>0</v>
      </c>
      <c r="H793" t="n">
        <v>0</v>
      </c>
      <c r="I793" t="n">
        <v>0</v>
      </c>
      <c r="J793" t="n">
        <v>0</v>
      </c>
      <c r="K793" t="n">
        <v>0</v>
      </c>
      <c r="L793" t="n">
        <v>0</v>
      </c>
      <c r="M793" t="n">
        <v>0</v>
      </c>
      <c r="N793" t="n">
        <v>0</v>
      </c>
      <c r="O793" t="n">
        <v>0</v>
      </c>
      <c r="P793" t="n">
        <v>0</v>
      </c>
      <c r="Q793" t="n">
        <v>0</v>
      </c>
      <c r="R793" s="2" t="inlineStr"/>
    </row>
    <row r="794" ht="15" customHeight="1">
      <c r="A794" t="inlineStr">
        <is>
          <t>A 19570-2024</t>
        </is>
      </c>
      <c r="B794" s="1" t="n">
        <v>45430</v>
      </c>
      <c r="C794" s="1" t="n">
        <v>45579</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19725-2024</t>
        </is>
      </c>
      <c r="B795" s="1" t="n">
        <v>45432</v>
      </c>
      <c r="C795" s="1" t="n">
        <v>45579</v>
      </c>
      <c r="D795" t="inlineStr">
        <is>
          <t>JÄMTLANDS LÄN</t>
        </is>
      </c>
      <c r="E795" t="inlineStr">
        <is>
          <t>ÖSTERSUND</t>
        </is>
      </c>
      <c r="G795" t="n">
        <v>7.2</v>
      </c>
      <c r="H795" t="n">
        <v>0</v>
      </c>
      <c r="I795" t="n">
        <v>0</v>
      </c>
      <c r="J795" t="n">
        <v>0</v>
      </c>
      <c r="K795" t="n">
        <v>0</v>
      </c>
      <c r="L795" t="n">
        <v>0</v>
      </c>
      <c r="M795" t="n">
        <v>0</v>
      </c>
      <c r="N795" t="n">
        <v>0</v>
      </c>
      <c r="O795" t="n">
        <v>0</v>
      </c>
      <c r="P795" t="n">
        <v>0</v>
      </c>
      <c r="Q795" t="n">
        <v>0</v>
      </c>
      <c r="R795" s="2" t="inlineStr"/>
    </row>
    <row r="796" ht="15" customHeight="1">
      <c r="A796" t="inlineStr">
        <is>
          <t>A 20068-2024</t>
        </is>
      </c>
      <c r="B796" s="1" t="n">
        <v>45434</v>
      </c>
      <c r="C796" s="1" t="n">
        <v>45579</v>
      </c>
      <c r="D796" t="inlineStr">
        <is>
          <t>JÄMTLANDS LÄN</t>
        </is>
      </c>
      <c r="E796" t="inlineStr">
        <is>
          <t>ÖSTERSUND</t>
        </is>
      </c>
      <c r="G796" t="n">
        <v>10.2</v>
      </c>
      <c r="H796" t="n">
        <v>0</v>
      </c>
      <c r="I796" t="n">
        <v>0</v>
      </c>
      <c r="J796" t="n">
        <v>0</v>
      </c>
      <c r="K796" t="n">
        <v>0</v>
      </c>
      <c r="L796" t="n">
        <v>0</v>
      </c>
      <c r="M796" t="n">
        <v>0</v>
      </c>
      <c r="N796" t="n">
        <v>0</v>
      </c>
      <c r="O796" t="n">
        <v>0</v>
      </c>
      <c r="P796" t="n">
        <v>0</v>
      </c>
      <c r="Q796" t="n">
        <v>0</v>
      </c>
      <c r="R796" s="2" t="inlineStr"/>
    </row>
    <row r="797" ht="15" customHeight="1">
      <c r="A797" t="inlineStr">
        <is>
          <t>A 20400-2024</t>
        </is>
      </c>
      <c r="B797" s="1" t="n">
        <v>45435</v>
      </c>
      <c r="C797" s="1" t="n">
        <v>45579</v>
      </c>
      <c r="D797" t="inlineStr">
        <is>
          <t>JÄMTLANDS LÄN</t>
        </is>
      </c>
      <c r="E797" t="inlineStr">
        <is>
          <t>ÖSTERSUND</t>
        </is>
      </c>
      <c r="G797" t="n">
        <v>0.9</v>
      </c>
      <c r="H797" t="n">
        <v>0</v>
      </c>
      <c r="I797" t="n">
        <v>0</v>
      </c>
      <c r="J797" t="n">
        <v>0</v>
      </c>
      <c r="K797" t="n">
        <v>0</v>
      </c>
      <c r="L797" t="n">
        <v>0</v>
      </c>
      <c r="M797" t="n">
        <v>0</v>
      </c>
      <c r="N797" t="n">
        <v>0</v>
      </c>
      <c r="O797" t="n">
        <v>0</v>
      </c>
      <c r="P797" t="n">
        <v>0</v>
      </c>
      <c r="Q797" t="n">
        <v>0</v>
      </c>
      <c r="R797" s="2" t="inlineStr"/>
    </row>
    <row r="798" ht="15" customHeight="1">
      <c r="A798" t="inlineStr">
        <is>
          <t>A 20632-2024</t>
        </is>
      </c>
      <c r="B798" s="1" t="n">
        <v>45436</v>
      </c>
      <c r="C798" s="1" t="n">
        <v>45579</v>
      </c>
      <c r="D798" t="inlineStr">
        <is>
          <t>JÄMTLANDS LÄN</t>
        </is>
      </c>
      <c r="E798" t="inlineStr">
        <is>
          <t>ÖSTERSUND</t>
        </is>
      </c>
      <c r="G798" t="n">
        <v>5.6</v>
      </c>
      <c r="H798" t="n">
        <v>0</v>
      </c>
      <c r="I798" t="n">
        <v>0</v>
      </c>
      <c r="J798" t="n">
        <v>0</v>
      </c>
      <c r="K798" t="n">
        <v>0</v>
      </c>
      <c r="L798" t="n">
        <v>0</v>
      </c>
      <c r="M798" t="n">
        <v>0</v>
      </c>
      <c r="N798" t="n">
        <v>0</v>
      </c>
      <c r="O798" t="n">
        <v>0</v>
      </c>
      <c r="P798" t="n">
        <v>0</v>
      </c>
      <c r="Q798" t="n">
        <v>0</v>
      </c>
      <c r="R798" s="2" t="inlineStr"/>
    </row>
    <row r="799" ht="15" customHeight="1">
      <c r="A799" t="inlineStr">
        <is>
          <t>A 20629-2024</t>
        </is>
      </c>
      <c r="B799" s="1" t="n">
        <v>45436</v>
      </c>
      <c r="C799" s="1" t="n">
        <v>45579</v>
      </c>
      <c r="D799" t="inlineStr">
        <is>
          <t>JÄMTLANDS LÄN</t>
        </is>
      </c>
      <c r="E799" t="inlineStr">
        <is>
          <t>ÖSTERSUND</t>
        </is>
      </c>
      <c r="G799" t="n">
        <v>2.3</v>
      </c>
      <c r="H799" t="n">
        <v>0</v>
      </c>
      <c r="I799" t="n">
        <v>0</v>
      </c>
      <c r="J799" t="n">
        <v>0</v>
      </c>
      <c r="K799" t="n">
        <v>0</v>
      </c>
      <c r="L799" t="n">
        <v>0</v>
      </c>
      <c r="M799" t="n">
        <v>0</v>
      </c>
      <c r="N799" t="n">
        <v>0</v>
      </c>
      <c r="O799" t="n">
        <v>0</v>
      </c>
      <c r="P799" t="n">
        <v>0</v>
      </c>
      <c r="Q799" t="n">
        <v>0</v>
      </c>
      <c r="R799" s="2" t="inlineStr"/>
    </row>
    <row r="800" ht="15" customHeight="1">
      <c r="A800" t="inlineStr">
        <is>
          <t>A 20736-2024</t>
        </is>
      </c>
      <c r="B800" s="1" t="n">
        <v>45436</v>
      </c>
      <c r="C800" s="1" t="n">
        <v>45579</v>
      </c>
      <c r="D800" t="inlineStr">
        <is>
          <t>JÄMTLANDS LÄN</t>
        </is>
      </c>
      <c r="E800" t="inlineStr">
        <is>
          <t>ÖSTERSUND</t>
        </is>
      </c>
      <c r="G800" t="n">
        <v>5.3</v>
      </c>
      <c r="H800" t="n">
        <v>0</v>
      </c>
      <c r="I800" t="n">
        <v>0</v>
      </c>
      <c r="J800" t="n">
        <v>0</v>
      </c>
      <c r="K800" t="n">
        <v>0</v>
      </c>
      <c r="L800" t="n">
        <v>0</v>
      </c>
      <c r="M800" t="n">
        <v>0</v>
      </c>
      <c r="N800" t="n">
        <v>0</v>
      </c>
      <c r="O800" t="n">
        <v>0</v>
      </c>
      <c r="P800" t="n">
        <v>0</v>
      </c>
      <c r="Q800" t="n">
        <v>0</v>
      </c>
      <c r="R800" s="2" t="inlineStr"/>
    </row>
    <row r="801" ht="15" customHeight="1">
      <c r="A801" t="inlineStr">
        <is>
          <t>A 21094-2024</t>
        </is>
      </c>
      <c r="B801" s="1" t="n">
        <v>45440</v>
      </c>
      <c r="C801" s="1" t="n">
        <v>45579</v>
      </c>
      <c r="D801" t="inlineStr">
        <is>
          <t>JÄMTLANDS LÄN</t>
        </is>
      </c>
      <c r="E801" t="inlineStr">
        <is>
          <t>ÖSTERSUND</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21093-2024</t>
        </is>
      </c>
      <c r="B802" s="1" t="n">
        <v>45440</v>
      </c>
      <c r="C802" s="1" t="n">
        <v>45579</v>
      </c>
      <c r="D802" t="inlineStr">
        <is>
          <t>JÄMTLANDS LÄN</t>
        </is>
      </c>
      <c r="E802" t="inlineStr">
        <is>
          <t>ÖSTERSUND</t>
        </is>
      </c>
      <c r="F802" t="inlineStr">
        <is>
          <t>SCA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21373-2024</t>
        </is>
      </c>
      <c r="B803" s="1" t="n">
        <v>45441</v>
      </c>
      <c r="C803" s="1" t="n">
        <v>45579</v>
      </c>
      <c r="D803" t="inlineStr">
        <is>
          <t>JÄMTLANDS LÄN</t>
        </is>
      </c>
      <c r="E803" t="inlineStr">
        <is>
          <t>ÖSTERSUND</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21822-2024</t>
        </is>
      </c>
      <c r="B804" s="1" t="n">
        <v>45442</v>
      </c>
      <c r="C804" s="1" t="n">
        <v>45579</v>
      </c>
      <c r="D804" t="inlineStr">
        <is>
          <t>JÄMTLANDS LÄN</t>
        </is>
      </c>
      <c r="E804" t="inlineStr">
        <is>
          <t>ÖSTERSUND</t>
        </is>
      </c>
      <c r="G804" t="n">
        <v>5.1</v>
      </c>
      <c r="H804" t="n">
        <v>0</v>
      </c>
      <c r="I804" t="n">
        <v>0</v>
      </c>
      <c r="J804" t="n">
        <v>0</v>
      </c>
      <c r="K804" t="n">
        <v>0</v>
      </c>
      <c r="L804" t="n">
        <v>0</v>
      </c>
      <c r="M804" t="n">
        <v>0</v>
      </c>
      <c r="N804" t="n">
        <v>0</v>
      </c>
      <c r="O804" t="n">
        <v>0</v>
      </c>
      <c r="P804" t="n">
        <v>0</v>
      </c>
      <c r="Q804" t="n">
        <v>0</v>
      </c>
      <c r="R804" s="2" t="inlineStr"/>
    </row>
    <row r="805" ht="15" customHeight="1">
      <c r="A805" t="inlineStr">
        <is>
          <t>A 21667-2024</t>
        </is>
      </c>
      <c r="B805" s="1" t="n">
        <v>45442</v>
      </c>
      <c r="C805" s="1" t="n">
        <v>45579</v>
      </c>
      <c r="D805" t="inlineStr">
        <is>
          <t>JÄMTLANDS LÄN</t>
        </is>
      </c>
      <c r="E805" t="inlineStr">
        <is>
          <t>ÖSTERSUND</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22123-2024</t>
        </is>
      </c>
      <c r="B806" s="1" t="n">
        <v>45444</v>
      </c>
      <c r="C806" s="1" t="n">
        <v>45579</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22478-2024</t>
        </is>
      </c>
      <c r="B807" s="1" t="n">
        <v>45447</v>
      </c>
      <c r="C807" s="1" t="n">
        <v>45579</v>
      </c>
      <c r="D807" t="inlineStr">
        <is>
          <t>JÄMTLANDS LÄN</t>
        </is>
      </c>
      <c r="E807" t="inlineStr">
        <is>
          <t>ÖSTERSUND</t>
        </is>
      </c>
      <c r="F807" t="inlineStr">
        <is>
          <t>SCA</t>
        </is>
      </c>
      <c r="G807" t="n">
        <v>5.8</v>
      </c>
      <c r="H807" t="n">
        <v>0</v>
      </c>
      <c r="I807" t="n">
        <v>0</v>
      </c>
      <c r="J807" t="n">
        <v>0</v>
      </c>
      <c r="K807" t="n">
        <v>0</v>
      </c>
      <c r="L807" t="n">
        <v>0</v>
      </c>
      <c r="M807" t="n">
        <v>0</v>
      </c>
      <c r="N807" t="n">
        <v>0</v>
      </c>
      <c r="O807" t="n">
        <v>0</v>
      </c>
      <c r="P807" t="n">
        <v>0</v>
      </c>
      <c r="Q807" t="n">
        <v>0</v>
      </c>
      <c r="R807" s="2" t="inlineStr"/>
    </row>
    <row r="808" ht="15" customHeight="1">
      <c r="A808" t="inlineStr">
        <is>
          <t>A 23124-2024</t>
        </is>
      </c>
      <c r="B808" s="1" t="n">
        <v>45450</v>
      </c>
      <c r="C808" s="1" t="n">
        <v>45579</v>
      </c>
      <c r="D808" t="inlineStr">
        <is>
          <t>JÄMTLANDS LÄN</t>
        </is>
      </c>
      <c r="E808" t="inlineStr">
        <is>
          <t>ÖSTERSUND</t>
        </is>
      </c>
      <c r="G808" t="n">
        <v>5.8</v>
      </c>
      <c r="H808" t="n">
        <v>0</v>
      </c>
      <c r="I808" t="n">
        <v>0</v>
      </c>
      <c r="J808" t="n">
        <v>0</v>
      </c>
      <c r="K808" t="n">
        <v>0</v>
      </c>
      <c r="L808" t="n">
        <v>0</v>
      </c>
      <c r="M808" t="n">
        <v>0</v>
      </c>
      <c r="N808" t="n">
        <v>0</v>
      </c>
      <c r="O808" t="n">
        <v>0</v>
      </c>
      <c r="P808" t="n">
        <v>0</v>
      </c>
      <c r="Q808" t="n">
        <v>0</v>
      </c>
      <c r="R808" s="2" t="inlineStr"/>
    </row>
    <row r="809" ht="15" customHeight="1">
      <c r="A809" t="inlineStr">
        <is>
          <t>A 23191-2024</t>
        </is>
      </c>
      <c r="B809" s="1" t="n">
        <v>45450</v>
      </c>
      <c r="C809" s="1" t="n">
        <v>45579</v>
      </c>
      <c r="D809" t="inlineStr">
        <is>
          <t>JÄMTLANDS LÄN</t>
        </is>
      </c>
      <c r="E809" t="inlineStr">
        <is>
          <t>ÖSTERSUND</t>
        </is>
      </c>
      <c r="G809" t="n">
        <v>7</v>
      </c>
      <c r="H809" t="n">
        <v>0</v>
      </c>
      <c r="I809" t="n">
        <v>0</v>
      </c>
      <c r="J809" t="n">
        <v>0</v>
      </c>
      <c r="K809" t="n">
        <v>0</v>
      </c>
      <c r="L809" t="n">
        <v>0</v>
      </c>
      <c r="M809" t="n">
        <v>0</v>
      </c>
      <c r="N809" t="n">
        <v>0</v>
      </c>
      <c r="O809" t="n">
        <v>0</v>
      </c>
      <c r="P809" t="n">
        <v>0</v>
      </c>
      <c r="Q809" t="n">
        <v>0</v>
      </c>
      <c r="R809" s="2" t="inlineStr"/>
    </row>
    <row r="810" ht="15" customHeight="1">
      <c r="A810" t="inlineStr">
        <is>
          <t>A 23492-2024</t>
        </is>
      </c>
      <c r="B810" s="1" t="n">
        <v>45453</v>
      </c>
      <c r="C810" s="1" t="n">
        <v>45579</v>
      </c>
      <c r="D810" t="inlineStr">
        <is>
          <t>JÄMTLANDS LÄN</t>
        </is>
      </c>
      <c r="E810" t="inlineStr">
        <is>
          <t>ÖSTERSUND</t>
        </is>
      </c>
      <c r="G810" t="n">
        <v>9.1</v>
      </c>
      <c r="H810" t="n">
        <v>0</v>
      </c>
      <c r="I810" t="n">
        <v>0</v>
      </c>
      <c r="J810" t="n">
        <v>0</v>
      </c>
      <c r="K810" t="n">
        <v>0</v>
      </c>
      <c r="L810" t="n">
        <v>0</v>
      </c>
      <c r="M810" t="n">
        <v>0</v>
      </c>
      <c r="N810" t="n">
        <v>0</v>
      </c>
      <c r="O810" t="n">
        <v>0</v>
      </c>
      <c r="P810" t="n">
        <v>0</v>
      </c>
      <c r="Q810" t="n">
        <v>0</v>
      </c>
      <c r="R810" s="2" t="inlineStr"/>
    </row>
    <row r="811" ht="15" customHeight="1">
      <c r="A811" t="inlineStr">
        <is>
          <t>A 24246-2024</t>
        </is>
      </c>
      <c r="B811" s="1" t="n">
        <v>45457</v>
      </c>
      <c r="C811" s="1" t="n">
        <v>45579</v>
      </c>
      <c r="D811" t="inlineStr">
        <is>
          <t>JÄMTLANDS LÄN</t>
        </is>
      </c>
      <c r="E811" t="inlineStr">
        <is>
          <t>ÖSTERSUND</t>
        </is>
      </c>
      <c r="G811" t="n">
        <v>5.3</v>
      </c>
      <c r="H811" t="n">
        <v>0</v>
      </c>
      <c r="I811" t="n">
        <v>0</v>
      </c>
      <c r="J811" t="n">
        <v>0</v>
      </c>
      <c r="K811" t="n">
        <v>0</v>
      </c>
      <c r="L811" t="n">
        <v>0</v>
      </c>
      <c r="M811" t="n">
        <v>0</v>
      </c>
      <c r="N811" t="n">
        <v>0</v>
      </c>
      <c r="O811" t="n">
        <v>0</v>
      </c>
      <c r="P811" t="n">
        <v>0</v>
      </c>
      <c r="Q811" t="n">
        <v>0</v>
      </c>
      <c r="R811" s="2" t="inlineStr"/>
    </row>
    <row r="812" ht="15" customHeight="1">
      <c r="A812" t="inlineStr">
        <is>
          <t>A 24781-2024</t>
        </is>
      </c>
      <c r="B812" s="1" t="n">
        <v>45460</v>
      </c>
      <c r="C812" s="1" t="n">
        <v>45579</v>
      </c>
      <c r="D812" t="inlineStr">
        <is>
          <t>JÄMTLANDS LÄN</t>
        </is>
      </c>
      <c r="E812" t="inlineStr">
        <is>
          <t>ÖSTERSUND</t>
        </is>
      </c>
      <c r="G812" t="n">
        <v>2.2</v>
      </c>
      <c r="H812" t="n">
        <v>0</v>
      </c>
      <c r="I812" t="n">
        <v>0</v>
      </c>
      <c r="J812" t="n">
        <v>0</v>
      </c>
      <c r="K812" t="n">
        <v>0</v>
      </c>
      <c r="L812" t="n">
        <v>0</v>
      </c>
      <c r="M812" t="n">
        <v>0</v>
      </c>
      <c r="N812" t="n">
        <v>0</v>
      </c>
      <c r="O812" t="n">
        <v>0</v>
      </c>
      <c r="P812" t="n">
        <v>0</v>
      </c>
      <c r="Q812" t="n">
        <v>0</v>
      </c>
      <c r="R812" s="2" t="inlineStr"/>
    </row>
    <row r="813" ht="15" customHeight="1">
      <c r="A813" t="inlineStr">
        <is>
          <t>A 24786-2024</t>
        </is>
      </c>
      <c r="B813" s="1" t="n">
        <v>45460</v>
      </c>
      <c r="C813" s="1" t="n">
        <v>45579</v>
      </c>
      <c r="D813" t="inlineStr">
        <is>
          <t>JÄMTLANDS LÄN</t>
        </is>
      </c>
      <c r="E813" t="inlineStr">
        <is>
          <t>ÖSTERSUND</t>
        </is>
      </c>
      <c r="G813" t="n">
        <v>0.1</v>
      </c>
      <c r="H813" t="n">
        <v>0</v>
      </c>
      <c r="I813" t="n">
        <v>0</v>
      </c>
      <c r="J813" t="n">
        <v>0</v>
      </c>
      <c r="K813" t="n">
        <v>0</v>
      </c>
      <c r="L813" t="n">
        <v>0</v>
      </c>
      <c r="M813" t="n">
        <v>0</v>
      </c>
      <c r="N813" t="n">
        <v>0</v>
      </c>
      <c r="O813" t="n">
        <v>0</v>
      </c>
      <c r="P813" t="n">
        <v>0</v>
      </c>
      <c r="Q813" t="n">
        <v>0</v>
      </c>
      <c r="R813" s="2" t="inlineStr"/>
    </row>
    <row r="814" ht="15" customHeight="1">
      <c r="A814" t="inlineStr">
        <is>
          <t>A 24605-2024</t>
        </is>
      </c>
      <c r="B814" s="1" t="n">
        <v>45460</v>
      </c>
      <c r="C814" s="1" t="n">
        <v>45579</v>
      </c>
      <c r="D814" t="inlineStr">
        <is>
          <t>JÄMTLANDS LÄN</t>
        </is>
      </c>
      <c r="E814" t="inlineStr">
        <is>
          <t>ÖSTERSUND</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25388-2024</t>
        </is>
      </c>
      <c r="B815" s="1" t="n">
        <v>45463</v>
      </c>
      <c r="C815" s="1" t="n">
        <v>45579</v>
      </c>
      <c r="D815" t="inlineStr">
        <is>
          <t>JÄMTLANDS LÄN</t>
        </is>
      </c>
      <c r="E815" t="inlineStr">
        <is>
          <t>ÖSTERSUND</t>
        </is>
      </c>
      <c r="G815" t="n">
        <v>2.7</v>
      </c>
      <c r="H815" t="n">
        <v>0</v>
      </c>
      <c r="I815" t="n">
        <v>0</v>
      </c>
      <c r="J815" t="n">
        <v>0</v>
      </c>
      <c r="K815" t="n">
        <v>0</v>
      </c>
      <c r="L815" t="n">
        <v>0</v>
      </c>
      <c r="M815" t="n">
        <v>0</v>
      </c>
      <c r="N815" t="n">
        <v>0</v>
      </c>
      <c r="O815" t="n">
        <v>0</v>
      </c>
      <c r="P815" t="n">
        <v>0</v>
      </c>
      <c r="Q815" t="n">
        <v>0</v>
      </c>
      <c r="R815" s="2" t="inlineStr"/>
    </row>
    <row r="816" ht="15" customHeight="1">
      <c r="A816" t="inlineStr">
        <is>
          <t>A 25385-2024</t>
        </is>
      </c>
      <c r="B816" s="1" t="n">
        <v>45463</v>
      </c>
      <c r="C816" s="1" t="n">
        <v>45579</v>
      </c>
      <c r="D816" t="inlineStr">
        <is>
          <t>JÄMTLANDS LÄN</t>
        </is>
      </c>
      <c r="E816" t="inlineStr">
        <is>
          <t>ÖSTERSUND</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25187-2024</t>
        </is>
      </c>
      <c r="B817" s="1" t="n">
        <v>45462</v>
      </c>
      <c r="C817" s="1" t="n">
        <v>45579</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26202-2024</t>
        </is>
      </c>
      <c r="B818" s="1" t="n">
        <v>45468</v>
      </c>
      <c r="C818" s="1" t="n">
        <v>45579</v>
      </c>
      <c r="D818" t="inlineStr">
        <is>
          <t>JÄMTLANDS LÄN</t>
        </is>
      </c>
      <c r="E818" t="inlineStr">
        <is>
          <t>ÖSTERSUND</t>
        </is>
      </c>
      <c r="G818" t="n">
        <v>6.7</v>
      </c>
      <c r="H818" t="n">
        <v>0</v>
      </c>
      <c r="I818" t="n">
        <v>0</v>
      </c>
      <c r="J818" t="n">
        <v>0</v>
      </c>
      <c r="K818" t="n">
        <v>0</v>
      </c>
      <c r="L818" t="n">
        <v>0</v>
      </c>
      <c r="M818" t="n">
        <v>0</v>
      </c>
      <c r="N818" t="n">
        <v>0</v>
      </c>
      <c r="O818" t="n">
        <v>0</v>
      </c>
      <c r="P818" t="n">
        <v>0</v>
      </c>
      <c r="Q818" t="n">
        <v>0</v>
      </c>
      <c r="R818" s="2" t="inlineStr"/>
    </row>
    <row r="819" ht="15" customHeight="1">
      <c r="A819" t="inlineStr">
        <is>
          <t>A 27906-2024</t>
        </is>
      </c>
      <c r="B819" s="1" t="n">
        <v>45476</v>
      </c>
      <c r="C819" s="1" t="n">
        <v>45579</v>
      </c>
      <c r="D819" t="inlineStr">
        <is>
          <t>JÄMTLANDS LÄN</t>
        </is>
      </c>
      <c r="E819" t="inlineStr">
        <is>
          <t>ÖSTERSUND</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27689-2024</t>
        </is>
      </c>
      <c r="B820" s="1" t="n">
        <v>45475</v>
      </c>
      <c r="C820" s="1" t="n">
        <v>45579</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27764-2024</t>
        </is>
      </c>
      <c r="B821" s="1" t="n">
        <v>45475</v>
      </c>
      <c r="C821" s="1" t="n">
        <v>45579</v>
      </c>
      <c r="D821" t="inlineStr">
        <is>
          <t>JÄMTLANDS LÄN</t>
        </is>
      </c>
      <c r="E821" t="inlineStr">
        <is>
          <t>ÖSTERSUND</t>
        </is>
      </c>
      <c r="G821" t="n">
        <v>2.8</v>
      </c>
      <c r="H821" t="n">
        <v>0</v>
      </c>
      <c r="I821" t="n">
        <v>0</v>
      </c>
      <c r="J821" t="n">
        <v>0</v>
      </c>
      <c r="K821" t="n">
        <v>0</v>
      </c>
      <c r="L821" t="n">
        <v>0</v>
      </c>
      <c r="M821" t="n">
        <v>0</v>
      </c>
      <c r="N821" t="n">
        <v>0</v>
      </c>
      <c r="O821" t="n">
        <v>0</v>
      </c>
      <c r="P821" t="n">
        <v>0</v>
      </c>
      <c r="Q821" t="n">
        <v>0</v>
      </c>
      <c r="R821" s="2" t="inlineStr"/>
    </row>
    <row r="822" ht="15" customHeight="1">
      <c r="A822" t="inlineStr">
        <is>
          <t>A 27779-2024</t>
        </is>
      </c>
      <c r="B822" s="1" t="n">
        <v>45475</v>
      </c>
      <c r="C822" s="1" t="n">
        <v>45579</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28277-2024</t>
        </is>
      </c>
      <c r="B823" s="1" t="n">
        <v>45477</v>
      </c>
      <c r="C823" s="1" t="n">
        <v>45579</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28179-2024</t>
        </is>
      </c>
      <c r="B824" s="1" t="n">
        <v>45477</v>
      </c>
      <c r="C824" s="1" t="n">
        <v>45579</v>
      </c>
      <c r="D824" t="inlineStr">
        <is>
          <t>JÄMTLANDS LÄN</t>
        </is>
      </c>
      <c r="E824" t="inlineStr">
        <is>
          <t>ÖSTERSUND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28180-2024</t>
        </is>
      </c>
      <c r="B825" s="1" t="n">
        <v>45477</v>
      </c>
      <c r="C825" s="1" t="n">
        <v>45579</v>
      </c>
      <c r="D825" t="inlineStr">
        <is>
          <t>JÄMTLANDS LÄN</t>
        </is>
      </c>
      <c r="E825" t="inlineStr">
        <is>
          <t>ÖSTERSUND</t>
        </is>
      </c>
      <c r="G825" t="n">
        <v>2.6</v>
      </c>
      <c r="H825" t="n">
        <v>0</v>
      </c>
      <c r="I825" t="n">
        <v>0</v>
      </c>
      <c r="J825" t="n">
        <v>0</v>
      </c>
      <c r="K825" t="n">
        <v>0</v>
      </c>
      <c r="L825" t="n">
        <v>0</v>
      </c>
      <c r="M825" t="n">
        <v>0</v>
      </c>
      <c r="N825" t="n">
        <v>0</v>
      </c>
      <c r="O825" t="n">
        <v>0</v>
      </c>
      <c r="P825" t="n">
        <v>0</v>
      </c>
      <c r="Q825" t="n">
        <v>0</v>
      </c>
      <c r="R825" s="2" t="inlineStr"/>
    </row>
    <row r="826" ht="15" customHeight="1">
      <c r="A826" t="inlineStr">
        <is>
          <t>A 28181-2024</t>
        </is>
      </c>
      <c r="B826" s="1" t="n">
        <v>45477</v>
      </c>
      <c r="C826" s="1" t="n">
        <v>45579</v>
      </c>
      <c r="D826" t="inlineStr">
        <is>
          <t>JÄMTLANDS LÄN</t>
        </is>
      </c>
      <c r="E826" t="inlineStr">
        <is>
          <t>ÖSTERSUND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28543-2024</t>
        </is>
      </c>
      <c r="B827" s="1" t="n">
        <v>45478</v>
      </c>
      <c r="C827" s="1" t="n">
        <v>45579</v>
      </c>
      <c r="D827" t="inlineStr">
        <is>
          <t>JÄMTLANDS LÄN</t>
        </is>
      </c>
      <c r="E827" t="inlineStr">
        <is>
          <t>ÖSTERSUND</t>
        </is>
      </c>
      <c r="G827" t="n">
        <v>5.6</v>
      </c>
      <c r="H827" t="n">
        <v>0</v>
      </c>
      <c r="I827" t="n">
        <v>0</v>
      </c>
      <c r="J827" t="n">
        <v>0</v>
      </c>
      <c r="K827" t="n">
        <v>0</v>
      </c>
      <c r="L827" t="n">
        <v>0</v>
      </c>
      <c r="M827" t="n">
        <v>0</v>
      </c>
      <c r="N827" t="n">
        <v>0</v>
      </c>
      <c r="O827" t="n">
        <v>0</v>
      </c>
      <c r="P827" t="n">
        <v>0</v>
      </c>
      <c r="Q827" t="n">
        <v>0</v>
      </c>
      <c r="R827" s="2" t="inlineStr"/>
    </row>
    <row r="828" ht="15" customHeight="1">
      <c r="A828" t="inlineStr">
        <is>
          <t>A 29496-2024</t>
        </is>
      </c>
      <c r="B828" s="1" t="n">
        <v>45484</v>
      </c>
      <c r="C828" s="1" t="n">
        <v>45579</v>
      </c>
      <c r="D828" t="inlineStr">
        <is>
          <t>JÄMTLANDS LÄN</t>
        </is>
      </c>
      <c r="E828" t="inlineStr">
        <is>
          <t>ÖSTERSUND</t>
        </is>
      </c>
      <c r="G828" t="n">
        <v>4.3</v>
      </c>
      <c r="H828" t="n">
        <v>0</v>
      </c>
      <c r="I828" t="n">
        <v>0</v>
      </c>
      <c r="J828" t="n">
        <v>0</v>
      </c>
      <c r="K828" t="n">
        <v>0</v>
      </c>
      <c r="L828" t="n">
        <v>0</v>
      </c>
      <c r="M828" t="n">
        <v>0</v>
      </c>
      <c r="N828" t="n">
        <v>0</v>
      </c>
      <c r="O828" t="n">
        <v>0</v>
      </c>
      <c r="P828" t="n">
        <v>0</v>
      </c>
      <c r="Q828" t="n">
        <v>0</v>
      </c>
      <c r="R828" s="2" t="inlineStr"/>
    </row>
    <row r="829" ht="15" customHeight="1">
      <c r="A829" t="inlineStr">
        <is>
          <t>A 30539-2024</t>
        </is>
      </c>
      <c r="B829" s="1" t="n">
        <v>45492</v>
      </c>
      <c r="C829" s="1" t="n">
        <v>45579</v>
      </c>
      <c r="D829" t="inlineStr">
        <is>
          <t>JÄMTLANDS LÄN</t>
        </is>
      </c>
      <c r="E829" t="inlineStr">
        <is>
          <t>ÖSTERSUND</t>
        </is>
      </c>
      <c r="G829" t="n">
        <v>4.9</v>
      </c>
      <c r="H829" t="n">
        <v>0</v>
      </c>
      <c r="I829" t="n">
        <v>0</v>
      </c>
      <c r="J829" t="n">
        <v>0</v>
      </c>
      <c r="K829" t="n">
        <v>0</v>
      </c>
      <c r="L829" t="n">
        <v>0</v>
      </c>
      <c r="M829" t="n">
        <v>0</v>
      </c>
      <c r="N829" t="n">
        <v>0</v>
      </c>
      <c r="O829" t="n">
        <v>0</v>
      </c>
      <c r="P829" t="n">
        <v>0</v>
      </c>
      <c r="Q829" t="n">
        <v>0</v>
      </c>
      <c r="R829" s="2" t="inlineStr"/>
    </row>
    <row r="830" ht="15" customHeight="1">
      <c r="A830" t="inlineStr">
        <is>
          <t>A 30821-2024</t>
        </is>
      </c>
      <c r="B830" s="1" t="n">
        <v>45497</v>
      </c>
      <c r="C830" s="1" t="n">
        <v>45579</v>
      </c>
      <c r="D830" t="inlineStr">
        <is>
          <t>JÄMTLANDS LÄN</t>
        </is>
      </c>
      <c r="E830" t="inlineStr">
        <is>
          <t>ÖSTERSUND</t>
        </is>
      </c>
      <c r="G830" t="n">
        <v>3.4</v>
      </c>
      <c r="H830" t="n">
        <v>0</v>
      </c>
      <c r="I830" t="n">
        <v>0</v>
      </c>
      <c r="J830" t="n">
        <v>0</v>
      </c>
      <c r="K830" t="n">
        <v>0</v>
      </c>
      <c r="L830" t="n">
        <v>0</v>
      </c>
      <c r="M830" t="n">
        <v>0</v>
      </c>
      <c r="N830" t="n">
        <v>0</v>
      </c>
      <c r="O830" t="n">
        <v>0</v>
      </c>
      <c r="P830" t="n">
        <v>0</v>
      </c>
      <c r="Q830" t="n">
        <v>0</v>
      </c>
      <c r="R830" s="2" t="inlineStr"/>
    </row>
    <row r="831" ht="15" customHeight="1">
      <c r="A831" t="inlineStr">
        <is>
          <t>A 31448-2024</t>
        </is>
      </c>
      <c r="B831" s="1" t="n">
        <v>45506</v>
      </c>
      <c r="C831" s="1" t="n">
        <v>45579</v>
      </c>
      <c r="D831" t="inlineStr">
        <is>
          <t>JÄMTLANDS LÄN</t>
        </is>
      </c>
      <c r="E831" t="inlineStr">
        <is>
          <t>ÖSTERSUND</t>
        </is>
      </c>
      <c r="G831" t="n">
        <v>10</v>
      </c>
      <c r="H831" t="n">
        <v>0</v>
      </c>
      <c r="I831" t="n">
        <v>0</v>
      </c>
      <c r="J831" t="n">
        <v>0</v>
      </c>
      <c r="K831" t="n">
        <v>0</v>
      </c>
      <c r="L831" t="n">
        <v>0</v>
      </c>
      <c r="M831" t="n">
        <v>0</v>
      </c>
      <c r="N831" t="n">
        <v>0</v>
      </c>
      <c r="O831" t="n">
        <v>0</v>
      </c>
      <c r="P831" t="n">
        <v>0</v>
      </c>
      <c r="Q831" t="n">
        <v>0</v>
      </c>
      <c r="R831" s="2" t="inlineStr"/>
    </row>
    <row r="832" ht="15" customHeight="1">
      <c r="A832" t="inlineStr">
        <is>
          <t>A 31464-2024</t>
        </is>
      </c>
      <c r="B832" s="1" t="n">
        <v>45506</v>
      </c>
      <c r="C832" s="1" t="n">
        <v>45579</v>
      </c>
      <c r="D832" t="inlineStr">
        <is>
          <t>JÄMTLANDS LÄN</t>
        </is>
      </c>
      <c r="E832" t="inlineStr">
        <is>
          <t>ÖSTERSUND</t>
        </is>
      </c>
      <c r="F832" t="inlineStr">
        <is>
          <t>SCA</t>
        </is>
      </c>
      <c r="G832" t="n">
        <v>8.1</v>
      </c>
      <c r="H832" t="n">
        <v>0</v>
      </c>
      <c r="I832" t="n">
        <v>0</v>
      </c>
      <c r="J832" t="n">
        <v>0</v>
      </c>
      <c r="K832" t="n">
        <v>0</v>
      </c>
      <c r="L832" t="n">
        <v>0</v>
      </c>
      <c r="M832" t="n">
        <v>0</v>
      </c>
      <c r="N832" t="n">
        <v>0</v>
      </c>
      <c r="O832" t="n">
        <v>0</v>
      </c>
      <c r="P832" t="n">
        <v>0</v>
      </c>
      <c r="Q832" t="n">
        <v>0</v>
      </c>
      <c r="R832" s="2" t="inlineStr"/>
    </row>
    <row r="833" ht="15" customHeight="1">
      <c r="A833" t="inlineStr">
        <is>
          <t>A 31446-2024</t>
        </is>
      </c>
      <c r="B833" s="1" t="n">
        <v>45506</v>
      </c>
      <c r="C833" s="1" t="n">
        <v>45579</v>
      </c>
      <c r="D833" t="inlineStr">
        <is>
          <t>JÄMTLANDS LÄN</t>
        </is>
      </c>
      <c r="E833" t="inlineStr">
        <is>
          <t>ÖSTERSUND</t>
        </is>
      </c>
      <c r="G833" t="n">
        <v>5.5</v>
      </c>
      <c r="H833" t="n">
        <v>0</v>
      </c>
      <c r="I833" t="n">
        <v>0</v>
      </c>
      <c r="J833" t="n">
        <v>0</v>
      </c>
      <c r="K833" t="n">
        <v>0</v>
      </c>
      <c r="L833" t="n">
        <v>0</v>
      </c>
      <c r="M833" t="n">
        <v>0</v>
      </c>
      <c r="N833" t="n">
        <v>0</v>
      </c>
      <c r="O833" t="n">
        <v>0</v>
      </c>
      <c r="P833" t="n">
        <v>0</v>
      </c>
      <c r="Q833" t="n">
        <v>0</v>
      </c>
      <c r="R833" s="2" t="inlineStr"/>
    </row>
    <row r="834" ht="15" customHeight="1">
      <c r="A834" t="inlineStr">
        <is>
          <t>A 31445-2024</t>
        </is>
      </c>
      <c r="B834" s="1" t="n">
        <v>45506</v>
      </c>
      <c r="C834" s="1" t="n">
        <v>45579</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32224-2024</t>
        </is>
      </c>
      <c r="B835" s="1" t="n">
        <v>45512</v>
      </c>
      <c r="C835" s="1" t="n">
        <v>45579</v>
      </c>
      <c r="D835" t="inlineStr">
        <is>
          <t>JÄMTLANDS LÄN</t>
        </is>
      </c>
      <c r="E835" t="inlineStr">
        <is>
          <t>ÖSTERSUND</t>
        </is>
      </c>
      <c r="G835" t="n">
        <v>1</v>
      </c>
      <c r="H835" t="n">
        <v>0</v>
      </c>
      <c r="I835" t="n">
        <v>0</v>
      </c>
      <c r="J835" t="n">
        <v>0</v>
      </c>
      <c r="K835" t="n">
        <v>0</v>
      </c>
      <c r="L835" t="n">
        <v>0</v>
      </c>
      <c r="M835" t="n">
        <v>0</v>
      </c>
      <c r="N835" t="n">
        <v>0</v>
      </c>
      <c r="O835" t="n">
        <v>0</v>
      </c>
      <c r="P835" t="n">
        <v>0</v>
      </c>
      <c r="Q835" t="n">
        <v>0</v>
      </c>
      <c r="R835" s="2" t="inlineStr"/>
    </row>
    <row r="836" ht="15" customHeight="1">
      <c r="A836" t="inlineStr">
        <is>
          <t>A 32225-2024</t>
        </is>
      </c>
      <c r="B836" s="1" t="n">
        <v>45512</v>
      </c>
      <c r="C836" s="1" t="n">
        <v>45579</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33091-2024</t>
        </is>
      </c>
      <c r="B837" s="1" t="n">
        <v>45517</v>
      </c>
      <c r="C837" s="1" t="n">
        <v>45579</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33015-2024</t>
        </is>
      </c>
      <c r="B838" s="1" t="n">
        <v>45517</v>
      </c>
      <c r="C838" s="1" t="n">
        <v>45579</v>
      </c>
      <c r="D838" t="inlineStr">
        <is>
          <t>JÄMTLANDS LÄN</t>
        </is>
      </c>
      <c r="E838" t="inlineStr">
        <is>
          <t>ÖSTERSUND</t>
        </is>
      </c>
      <c r="G838" t="n">
        <v>2.6</v>
      </c>
      <c r="H838" t="n">
        <v>0</v>
      </c>
      <c r="I838" t="n">
        <v>0</v>
      </c>
      <c r="J838" t="n">
        <v>0</v>
      </c>
      <c r="K838" t="n">
        <v>0</v>
      </c>
      <c r="L838" t="n">
        <v>0</v>
      </c>
      <c r="M838" t="n">
        <v>0</v>
      </c>
      <c r="N838" t="n">
        <v>0</v>
      </c>
      <c r="O838" t="n">
        <v>0</v>
      </c>
      <c r="P838" t="n">
        <v>0</v>
      </c>
      <c r="Q838" t="n">
        <v>0</v>
      </c>
      <c r="R838" s="2" t="inlineStr"/>
    </row>
    <row r="839" ht="15" customHeight="1">
      <c r="A839" t="inlineStr">
        <is>
          <t>A 33621-2024</t>
        </is>
      </c>
      <c r="B839" s="1" t="n">
        <v>45520</v>
      </c>
      <c r="C839" s="1" t="n">
        <v>45579</v>
      </c>
      <c r="D839" t="inlineStr">
        <is>
          <t>JÄMTLANDS LÄN</t>
        </is>
      </c>
      <c r="E839" t="inlineStr">
        <is>
          <t>ÖSTERSUND</t>
        </is>
      </c>
      <c r="G839" t="n">
        <v>2.1</v>
      </c>
      <c r="H839" t="n">
        <v>0</v>
      </c>
      <c r="I839" t="n">
        <v>0</v>
      </c>
      <c r="J839" t="n">
        <v>0</v>
      </c>
      <c r="K839" t="n">
        <v>0</v>
      </c>
      <c r="L839" t="n">
        <v>0</v>
      </c>
      <c r="M839" t="n">
        <v>0</v>
      </c>
      <c r="N839" t="n">
        <v>0</v>
      </c>
      <c r="O839" t="n">
        <v>0</v>
      </c>
      <c r="P839" t="n">
        <v>0</v>
      </c>
      <c r="Q839" t="n">
        <v>0</v>
      </c>
      <c r="R839" s="2" t="inlineStr"/>
    </row>
    <row r="840" ht="15" customHeight="1">
      <c r="A840" t="inlineStr">
        <is>
          <t>A 33779-2024</t>
        </is>
      </c>
      <c r="B840" s="1" t="n">
        <v>45520</v>
      </c>
      <c r="C840" s="1" t="n">
        <v>45579</v>
      </c>
      <c r="D840" t="inlineStr">
        <is>
          <t>JÄMTLANDS LÄN</t>
        </is>
      </c>
      <c r="E840" t="inlineStr">
        <is>
          <t>ÖSTERSUND</t>
        </is>
      </c>
      <c r="G840" t="n">
        <v>1.5</v>
      </c>
      <c r="H840" t="n">
        <v>0</v>
      </c>
      <c r="I840" t="n">
        <v>0</v>
      </c>
      <c r="J840" t="n">
        <v>0</v>
      </c>
      <c r="K840" t="n">
        <v>0</v>
      </c>
      <c r="L840" t="n">
        <v>0</v>
      </c>
      <c r="M840" t="n">
        <v>0</v>
      </c>
      <c r="N840" t="n">
        <v>0</v>
      </c>
      <c r="O840" t="n">
        <v>0</v>
      </c>
      <c r="P840" t="n">
        <v>0</v>
      </c>
      <c r="Q840" t="n">
        <v>0</v>
      </c>
      <c r="R840" s="2" t="inlineStr"/>
    </row>
    <row r="841" ht="15" customHeight="1">
      <c r="A841" t="inlineStr">
        <is>
          <t>A 34112-2024</t>
        </is>
      </c>
      <c r="B841" s="1" t="n">
        <v>45524</v>
      </c>
      <c r="C841" s="1" t="n">
        <v>45579</v>
      </c>
      <c r="D841" t="inlineStr">
        <is>
          <t>JÄMTLANDS LÄN</t>
        </is>
      </c>
      <c r="E841" t="inlineStr">
        <is>
          <t>ÖSTERSUND</t>
        </is>
      </c>
      <c r="G841" t="n">
        <v>1.2</v>
      </c>
      <c r="H841" t="n">
        <v>0</v>
      </c>
      <c r="I841" t="n">
        <v>0</v>
      </c>
      <c r="J841" t="n">
        <v>0</v>
      </c>
      <c r="K841" t="n">
        <v>0</v>
      </c>
      <c r="L841" t="n">
        <v>0</v>
      </c>
      <c r="M841" t="n">
        <v>0</v>
      </c>
      <c r="N841" t="n">
        <v>0</v>
      </c>
      <c r="O841" t="n">
        <v>0</v>
      </c>
      <c r="P841" t="n">
        <v>0</v>
      </c>
      <c r="Q841" t="n">
        <v>0</v>
      </c>
      <c r="R841" s="2" t="inlineStr"/>
    </row>
    <row r="842" ht="15" customHeight="1">
      <c r="A842" t="inlineStr">
        <is>
          <t>A 34118-2024</t>
        </is>
      </c>
      <c r="B842" s="1" t="n">
        <v>45524</v>
      </c>
      <c r="C842" s="1" t="n">
        <v>45579</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34470-2024</t>
        </is>
      </c>
      <c r="B843" s="1" t="n">
        <v>45525</v>
      </c>
      <c r="C843" s="1" t="n">
        <v>45579</v>
      </c>
      <c r="D843" t="inlineStr">
        <is>
          <t>JÄMTLANDS LÄN</t>
        </is>
      </c>
      <c r="E843" t="inlineStr">
        <is>
          <t>ÖSTERSUND</t>
        </is>
      </c>
      <c r="G843" t="n">
        <v>7.6</v>
      </c>
      <c r="H843" t="n">
        <v>0</v>
      </c>
      <c r="I843" t="n">
        <v>0</v>
      </c>
      <c r="J843" t="n">
        <v>0</v>
      </c>
      <c r="K843" t="n">
        <v>0</v>
      </c>
      <c r="L843" t="n">
        <v>0</v>
      </c>
      <c r="M843" t="n">
        <v>0</v>
      </c>
      <c r="N843" t="n">
        <v>0</v>
      </c>
      <c r="O843" t="n">
        <v>0</v>
      </c>
      <c r="P843" t="n">
        <v>0</v>
      </c>
      <c r="Q843" t="n">
        <v>0</v>
      </c>
      <c r="R843" s="2" t="inlineStr"/>
    </row>
    <row r="844" ht="15" customHeight="1">
      <c r="A844" t="inlineStr">
        <is>
          <t>A 34507-2024</t>
        </is>
      </c>
      <c r="B844" s="1" t="n">
        <v>45525</v>
      </c>
      <c r="C844" s="1" t="n">
        <v>45579</v>
      </c>
      <c r="D844" t="inlineStr">
        <is>
          <t>JÄMTLANDS LÄN</t>
        </is>
      </c>
      <c r="E844" t="inlineStr">
        <is>
          <t>ÖSTERSUND</t>
        </is>
      </c>
      <c r="G844" t="n">
        <v>0.6</v>
      </c>
      <c r="H844" t="n">
        <v>0</v>
      </c>
      <c r="I844" t="n">
        <v>0</v>
      </c>
      <c r="J844" t="n">
        <v>0</v>
      </c>
      <c r="K844" t="n">
        <v>0</v>
      </c>
      <c r="L844" t="n">
        <v>0</v>
      </c>
      <c r="M844" t="n">
        <v>0</v>
      </c>
      <c r="N844" t="n">
        <v>0</v>
      </c>
      <c r="O844" t="n">
        <v>0</v>
      </c>
      <c r="P844" t="n">
        <v>0</v>
      </c>
      <c r="Q844" t="n">
        <v>0</v>
      </c>
      <c r="R844" s="2" t="inlineStr"/>
    </row>
    <row r="845" ht="15" customHeight="1">
      <c r="A845" t="inlineStr">
        <is>
          <t>A 35984-2024</t>
        </is>
      </c>
      <c r="B845" s="1" t="n">
        <v>45533</v>
      </c>
      <c r="C845" s="1" t="n">
        <v>45579</v>
      </c>
      <c r="D845" t="inlineStr">
        <is>
          <t>JÄMTLANDS LÄN</t>
        </is>
      </c>
      <c r="E845" t="inlineStr">
        <is>
          <t>ÖSTERSUND</t>
        </is>
      </c>
      <c r="G845" t="n">
        <v>2.9</v>
      </c>
      <c r="H845" t="n">
        <v>0</v>
      </c>
      <c r="I845" t="n">
        <v>0</v>
      </c>
      <c r="J845" t="n">
        <v>0</v>
      </c>
      <c r="K845" t="n">
        <v>0</v>
      </c>
      <c r="L845" t="n">
        <v>0</v>
      </c>
      <c r="M845" t="n">
        <v>0</v>
      </c>
      <c r="N845" t="n">
        <v>0</v>
      </c>
      <c r="O845" t="n">
        <v>0</v>
      </c>
      <c r="P845" t="n">
        <v>0</v>
      </c>
      <c r="Q845" t="n">
        <v>0</v>
      </c>
      <c r="R845" s="2" t="inlineStr"/>
    </row>
    <row r="846" ht="15" customHeight="1">
      <c r="A846" t="inlineStr">
        <is>
          <t>A 36465-2024</t>
        </is>
      </c>
      <c r="B846" s="1" t="n">
        <v>45537</v>
      </c>
      <c r="C846" s="1" t="n">
        <v>45579</v>
      </c>
      <c r="D846" t="inlineStr">
        <is>
          <t>JÄMTLANDS LÄN</t>
        </is>
      </c>
      <c r="E846" t="inlineStr">
        <is>
          <t>ÖSTERSUND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36469-2024</t>
        </is>
      </c>
      <c r="B847" s="1" t="n">
        <v>45537</v>
      </c>
      <c r="C847" s="1" t="n">
        <v>45579</v>
      </c>
      <c r="D847" t="inlineStr">
        <is>
          <t>JÄMTLANDS LÄN</t>
        </is>
      </c>
      <c r="E847" t="inlineStr">
        <is>
          <t>ÖSTERSUND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37270-2024</t>
        </is>
      </c>
      <c r="B848" s="1" t="n">
        <v>45540</v>
      </c>
      <c r="C848" s="1" t="n">
        <v>45579</v>
      </c>
      <c r="D848" t="inlineStr">
        <is>
          <t>JÄMTLANDS LÄN</t>
        </is>
      </c>
      <c r="E848" t="inlineStr">
        <is>
          <t>ÖSTERSUND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37685-2024</t>
        </is>
      </c>
      <c r="B849" s="1" t="n">
        <v>45541</v>
      </c>
      <c r="C849" s="1" t="n">
        <v>45579</v>
      </c>
      <c r="D849" t="inlineStr">
        <is>
          <t>JÄMTLANDS LÄN</t>
        </is>
      </c>
      <c r="E849" t="inlineStr">
        <is>
          <t>ÖSTERSUND</t>
        </is>
      </c>
      <c r="F849" t="inlineStr">
        <is>
          <t>SCA</t>
        </is>
      </c>
      <c r="G849" t="n">
        <v>11.2</v>
      </c>
      <c r="H849" t="n">
        <v>0</v>
      </c>
      <c r="I849" t="n">
        <v>0</v>
      </c>
      <c r="J849" t="n">
        <v>0</v>
      </c>
      <c r="K849" t="n">
        <v>0</v>
      </c>
      <c r="L849" t="n">
        <v>0</v>
      </c>
      <c r="M849" t="n">
        <v>0</v>
      </c>
      <c r="N849" t="n">
        <v>0</v>
      </c>
      <c r="O849" t="n">
        <v>0</v>
      </c>
      <c r="P849" t="n">
        <v>0</v>
      </c>
      <c r="Q849" t="n">
        <v>0</v>
      </c>
      <c r="R849" s="2" t="inlineStr"/>
    </row>
    <row r="850" ht="15" customHeight="1">
      <c r="A850" t="inlineStr">
        <is>
          <t>A 38926-2024</t>
        </is>
      </c>
      <c r="B850" s="1" t="n">
        <v>45547</v>
      </c>
      <c r="C850" s="1" t="n">
        <v>45579</v>
      </c>
      <c r="D850" t="inlineStr">
        <is>
          <t>JÄMTLANDS LÄN</t>
        </is>
      </c>
      <c r="E850" t="inlineStr">
        <is>
          <t>ÖSTERSUND</t>
        </is>
      </c>
      <c r="G850" t="n">
        <v>0.4</v>
      </c>
      <c r="H850" t="n">
        <v>0</v>
      </c>
      <c r="I850" t="n">
        <v>0</v>
      </c>
      <c r="J850" t="n">
        <v>0</v>
      </c>
      <c r="K850" t="n">
        <v>0</v>
      </c>
      <c r="L850" t="n">
        <v>0</v>
      </c>
      <c r="M850" t="n">
        <v>0</v>
      </c>
      <c r="N850" t="n">
        <v>0</v>
      </c>
      <c r="O850" t="n">
        <v>0</v>
      </c>
      <c r="P850" t="n">
        <v>0</v>
      </c>
      <c r="Q850" t="n">
        <v>0</v>
      </c>
      <c r="R850" s="2" t="inlineStr"/>
    </row>
    <row r="851" ht="15" customHeight="1">
      <c r="A851" t="inlineStr">
        <is>
          <t>A 38920-2024</t>
        </is>
      </c>
      <c r="B851" s="1" t="n">
        <v>45547</v>
      </c>
      <c r="C851" s="1" t="n">
        <v>45579</v>
      </c>
      <c r="D851" t="inlineStr">
        <is>
          <t>JÄMTLANDS LÄN</t>
        </is>
      </c>
      <c r="E851" t="inlineStr">
        <is>
          <t>ÖSTERSUND</t>
        </is>
      </c>
      <c r="G851" t="n">
        <v>1.9</v>
      </c>
      <c r="H851" t="n">
        <v>0</v>
      </c>
      <c r="I851" t="n">
        <v>0</v>
      </c>
      <c r="J851" t="n">
        <v>0</v>
      </c>
      <c r="K851" t="n">
        <v>0</v>
      </c>
      <c r="L851" t="n">
        <v>0</v>
      </c>
      <c r="M851" t="n">
        <v>0</v>
      </c>
      <c r="N851" t="n">
        <v>0</v>
      </c>
      <c r="O851" t="n">
        <v>0</v>
      </c>
      <c r="P851" t="n">
        <v>0</v>
      </c>
      <c r="Q851" t="n">
        <v>0</v>
      </c>
      <c r="R851" s="2" t="inlineStr"/>
    </row>
    <row r="852" ht="15" customHeight="1">
      <c r="A852" t="inlineStr">
        <is>
          <t>A 38924-2024</t>
        </is>
      </c>
      <c r="B852" s="1" t="n">
        <v>45547</v>
      </c>
      <c r="C852" s="1" t="n">
        <v>45579</v>
      </c>
      <c r="D852" t="inlineStr">
        <is>
          <t>JÄMTLANDS LÄN</t>
        </is>
      </c>
      <c r="E852" t="inlineStr">
        <is>
          <t>ÖSTERSUND</t>
        </is>
      </c>
      <c r="G852" t="n">
        <v>3.5</v>
      </c>
      <c r="H852" t="n">
        <v>0</v>
      </c>
      <c r="I852" t="n">
        <v>0</v>
      </c>
      <c r="J852" t="n">
        <v>0</v>
      </c>
      <c r="K852" t="n">
        <v>0</v>
      </c>
      <c r="L852" t="n">
        <v>0</v>
      </c>
      <c r="M852" t="n">
        <v>0</v>
      </c>
      <c r="N852" t="n">
        <v>0</v>
      </c>
      <c r="O852" t="n">
        <v>0</v>
      </c>
      <c r="P852" t="n">
        <v>0</v>
      </c>
      <c r="Q852" t="n">
        <v>0</v>
      </c>
      <c r="R852" s="2" t="inlineStr"/>
    </row>
    <row r="853" ht="15" customHeight="1">
      <c r="A853" t="inlineStr">
        <is>
          <t>A 39065-2024</t>
        </is>
      </c>
      <c r="B853" s="1" t="n">
        <v>45548</v>
      </c>
      <c r="C853" s="1" t="n">
        <v>45579</v>
      </c>
      <c r="D853" t="inlineStr">
        <is>
          <t>JÄMTLANDS LÄN</t>
        </is>
      </c>
      <c r="E853" t="inlineStr">
        <is>
          <t>ÖSTERSUND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39510-2024</t>
        </is>
      </c>
      <c r="B854" s="1" t="n">
        <v>45551</v>
      </c>
      <c r="C854" s="1" t="n">
        <v>45579</v>
      </c>
      <c r="D854" t="inlineStr">
        <is>
          <t>JÄMTLANDS LÄN</t>
        </is>
      </c>
      <c r="E854" t="inlineStr">
        <is>
          <t>ÖSTERSUND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39509-2024</t>
        </is>
      </c>
      <c r="B855" s="1" t="n">
        <v>45551</v>
      </c>
      <c r="C855" s="1" t="n">
        <v>45579</v>
      </c>
      <c r="D855" t="inlineStr">
        <is>
          <t>JÄMTLANDS LÄN</t>
        </is>
      </c>
      <c r="E855" t="inlineStr">
        <is>
          <t>ÖSTERSUND</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39915-2024</t>
        </is>
      </c>
      <c r="B856" s="1" t="n">
        <v>45553</v>
      </c>
      <c r="C856" s="1" t="n">
        <v>45579</v>
      </c>
      <c r="D856" t="inlineStr">
        <is>
          <t>JÄMTLANDS LÄN</t>
        </is>
      </c>
      <c r="E856" t="inlineStr">
        <is>
          <t>ÖSTERSUND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39975-2024</t>
        </is>
      </c>
      <c r="B857" s="1" t="n">
        <v>45553</v>
      </c>
      <c r="C857" s="1" t="n">
        <v>45579</v>
      </c>
      <c r="D857" t="inlineStr">
        <is>
          <t>JÄMTLANDS LÄN</t>
        </is>
      </c>
      <c r="E857" t="inlineStr">
        <is>
          <t>ÖSTERSUND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40555-2024</t>
        </is>
      </c>
      <c r="B858" s="1" t="n">
        <v>45555</v>
      </c>
      <c r="C858" s="1" t="n">
        <v>45579</v>
      </c>
      <c r="D858" t="inlineStr">
        <is>
          <t>JÄMTLANDS LÄN</t>
        </is>
      </c>
      <c r="E858" t="inlineStr">
        <is>
          <t>ÖSTERSUND</t>
        </is>
      </c>
      <c r="G858" t="n">
        <v>7.7</v>
      </c>
      <c r="H858" t="n">
        <v>0</v>
      </c>
      <c r="I858" t="n">
        <v>0</v>
      </c>
      <c r="J858" t="n">
        <v>0</v>
      </c>
      <c r="K858" t="n">
        <v>0</v>
      </c>
      <c r="L858" t="n">
        <v>0</v>
      </c>
      <c r="M858" t="n">
        <v>0</v>
      </c>
      <c r="N858" t="n">
        <v>0</v>
      </c>
      <c r="O858" t="n">
        <v>0</v>
      </c>
      <c r="P858" t="n">
        <v>0</v>
      </c>
      <c r="Q858" t="n">
        <v>0</v>
      </c>
      <c r="R858" s="2" t="inlineStr"/>
    </row>
    <row r="859" ht="15" customHeight="1">
      <c r="A859" t="inlineStr">
        <is>
          <t>A 40672-2024</t>
        </is>
      </c>
      <c r="B859" s="1" t="n">
        <v>45557</v>
      </c>
      <c r="C859" s="1" t="n">
        <v>45579</v>
      </c>
      <c r="D859" t="inlineStr">
        <is>
          <t>JÄMTLANDS LÄN</t>
        </is>
      </c>
      <c r="E859" t="inlineStr">
        <is>
          <t>ÖSTERSUND</t>
        </is>
      </c>
      <c r="G859" t="n">
        <v>5.2</v>
      </c>
      <c r="H859" t="n">
        <v>0</v>
      </c>
      <c r="I859" t="n">
        <v>0</v>
      </c>
      <c r="J859" t="n">
        <v>0</v>
      </c>
      <c r="K859" t="n">
        <v>0</v>
      </c>
      <c r="L859" t="n">
        <v>0</v>
      </c>
      <c r="M859" t="n">
        <v>0</v>
      </c>
      <c r="N859" t="n">
        <v>0</v>
      </c>
      <c r="O859" t="n">
        <v>0</v>
      </c>
      <c r="P859" t="n">
        <v>0</v>
      </c>
      <c r="Q859" t="n">
        <v>0</v>
      </c>
      <c r="R859" s="2" t="inlineStr"/>
    </row>
    <row r="860" ht="15" customHeight="1">
      <c r="A860" t="inlineStr">
        <is>
          <t>A 40983-2024</t>
        </is>
      </c>
      <c r="B860" s="1" t="n">
        <v>45558</v>
      </c>
      <c r="C860" s="1" t="n">
        <v>45579</v>
      </c>
      <c r="D860" t="inlineStr">
        <is>
          <t>JÄMTLANDS LÄN</t>
        </is>
      </c>
      <c r="E860" t="inlineStr">
        <is>
          <t>ÖSTERSUND</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41280-2024</t>
        </is>
      </c>
      <c r="B861" s="1" t="n">
        <v>45559</v>
      </c>
      <c r="C861" s="1" t="n">
        <v>45579</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45579</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41483-2024</t>
        </is>
      </c>
      <c r="B863" s="1" t="n">
        <v>45560</v>
      </c>
      <c r="C863" s="1" t="n">
        <v>45579</v>
      </c>
      <c r="D863" t="inlineStr">
        <is>
          <t>JÄMTLANDS LÄN</t>
        </is>
      </c>
      <c r="E863" t="inlineStr">
        <is>
          <t>ÖSTERSUND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41780-2024</t>
        </is>
      </c>
      <c r="B864" s="1" t="n">
        <v>45561</v>
      </c>
      <c r="C864" s="1" t="n">
        <v>45579</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42550-2024</t>
        </is>
      </c>
      <c r="B865" s="1" t="n">
        <v>45565</v>
      </c>
      <c r="C865" s="1" t="n">
        <v>45579</v>
      </c>
      <c r="D865" t="inlineStr">
        <is>
          <t>JÄMTLANDS LÄN</t>
        </is>
      </c>
      <c r="E865" t="inlineStr">
        <is>
          <t>ÖSTERSUND</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45579</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43082-2024</t>
        </is>
      </c>
      <c r="B867" s="1" t="n">
        <v>45567</v>
      </c>
      <c r="C867" s="1" t="n">
        <v>45579</v>
      </c>
      <c r="D867" t="inlineStr">
        <is>
          <t>JÄMTLANDS LÄN</t>
        </is>
      </c>
      <c r="E867" t="inlineStr">
        <is>
          <t>ÖSTERSUND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43016-2024</t>
        </is>
      </c>
      <c r="B868" s="1" t="n">
        <v>45567</v>
      </c>
      <c r="C868" s="1" t="n">
        <v>45579</v>
      </c>
      <c r="D868" t="inlineStr">
        <is>
          <t>JÄMTLANDS LÄN</t>
        </is>
      </c>
      <c r="E868" t="inlineStr">
        <is>
          <t>ÖSTERSUND</t>
        </is>
      </c>
      <c r="G868" t="n">
        <v>5.3</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45579</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43148-2024</t>
        </is>
      </c>
      <c r="B870" s="1" t="n">
        <v>45567</v>
      </c>
      <c r="C870" s="1" t="n">
        <v>45579</v>
      </c>
      <c r="D870" t="inlineStr">
        <is>
          <t>JÄMTLANDS LÄN</t>
        </is>
      </c>
      <c r="E870" t="inlineStr">
        <is>
          <t>ÖSTERSUND</t>
        </is>
      </c>
      <c r="G870" t="n">
        <v>3</v>
      </c>
      <c r="H870" t="n">
        <v>0</v>
      </c>
      <c r="I870" t="n">
        <v>0</v>
      </c>
      <c r="J870" t="n">
        <v>0</v>
      </c>
      <c r="K870" t="n">
        <v>0</v>
      </c>
      <c r="L870" t="n">
        <v>0</v>
      </c>
      <c r="M870" t="n">
        <v>0</v>
      </c>
      <c r="N870" t="n">
        <v>0</v>
      </c>
      <c r="O870" t="n">
        <v>0</v>
      </c>
      <c r="P870" t="n">
        <v>0</v>
      </c>
      <c r="Q870" t="n">
        <v>0</v>
      </c>
      <c r="R870" s="2" t="inlineStr"/>
    </row>
    <row r="871" ht="15" customHeight="1">
      <c r="A871" t="inlineStr">
        <is>
          <t>A 43557-2024</t>
        </is>
      </c>
      <c r="B871" s="1" t="n">
        <v>45569</v>
      </c>
      <c r="C871" s="1" t="n">
        <v>45579</v>
      </c>
      <c r="D871" t="inlineStr">
        <is>
          <t>JÄMTLANDS LÄN</t>
        </is>
      </c>
      <c r="E871" t="inlineStr">
        <is>
          <t>ÖSTERSUND</t>
        </is>
      </c>
      <c r="G871" t="n">
        <v>3.6</v>
      </c>
      <c r="H871" t="n">
        <v>0</v>
      </c>
      <c r="I871" t="n">
        <v>0</v>
      </c>
      <c r="J871" t="n">
        <v>0</v>
      </c>
      <c r="K871" t="n">
        <v>0</v>
      </c>
      <c r="L871" t="n">
        <v>0</v>
      </c>
      <c r="M871" t="n">
        <v>0</v>
      </c>
      <c r="N871" t="n">
        <v>0</v>
      </c>
      <c r="O871" t="n">
        <v>0</v>
      </c>
      <c r="P871" t="n">
        <v>0</v>
      </c>
      <c r="Q871" t="n">
        <v>0</v>
      </c>
      <c r="R871" s="2" t="inlineStr"/>
    </row>
    <row r="872" ht="15" customHeight="1">
      <c r="A872" t="inlineStr">
        <is>
          <t>A 43560-2024</t>
        </is>
      </c>
      <c r="B872" s="1" t="n">
        <v>45569</v>
      </c>
      <c r="C872" s="1" t="n">
        <v>45579</v>
      </c>
      <c r="D872" t="inlineStr">
        <is>
          <t>JÄMTLANDS LÄN</t>
        </is>
      </c>
      <c r="E872" t="inlineStr">
        <is>
          <t>ÖSTERSUND</t>
        </is>
      </c>
      <c r="G872" t="n">
        <v>2.7</v>
      </c>
      <c r="H872" t="n">
        <v>0</v>
      </c>
      <c r="I872" t="n">
        <v>0</v>
      </c>
      <c r="J872" t="n">
        <v>0</v>
      </c>
      <c r="K872" t="n">
        <v>0</v>
      </c>
      <c r="L872" t="n">
        <v>0</v>
      </c>
      <c r="M872" t="n">
        <v>0</v>
      </c>
      <c r="N872" t="n">
        <v>0</v>
      </c>
      <c r="O872" t="n">
        <v>0</v>
      </c>
      <c r="P872" t="n">
        <v>0</v>
      </c>
      <c r="Q872" t="n">
        <v>0</v>
      </c>
      <c r="R872" s="2" t="inlineStr"/>
    </row>
    <row r="873" ht="15" customHeight="1">
      <c r="A873" t="inlineStr">
        <is>
          <t>A 44048-2024</t>
        </is>
      </c>
      <c r="B873" s="1" t="n">
        <v>45572</v>
      </c>
      <c r="C873" s="1" t="n">
        <v>45579</v>
      </c>
      <c r="D873" t="inlineStr">
        <is>
          <t>JÄMTLANDS LÄN</t>
        </is>
      </c>
      <c r="E873" t="inlineStr">
        <is>
          <t>ÖSTERSUND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44489-2024</t>
        </is>
      </c>
      <c r="B874" s="1" t="n">
        <v>45574</v>
      </c>
      <c r="C874" s="1" t="n">
        <v>45579</v>
      </c>
      <c r="D874" t="inlineStr">
        <is>
          <t>JÄMTLANDS LÄN</t>
        </is>
      </c>
      <c r="E874" t="inlineStr">
        <is>
          <t>ÖSTERSUND</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45579</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45267-2024</t>
        </is>
      </c>
      <c r="B876" s="1" t="n">
        <v>45576</v>
      </c>
      <c r="C876" s="1" t="n">
        <v>45579</v>
      </c>
      <c r="D876" t="inlineStr">
        <is>
          <t>JÄMTLANDS LÄN</t>
        </is>
      </c>
      <c r="E876" t="inlineStr">
        <is>
          <t>ÖSTERSUND</t>
        </is>
      </c>
      <c r="G876" t="n">
        <v>8.6</v>
      </c>
      <c r="H876" t="n">
        <v>0</v>
      </c>
      <c r="I876" t="n">
        <v>0</v>
      </c>
      <c r="J876" t="n">
        <v>0</v>
      </c>
      <c r="K876" t="n">
        <v>0</v>
      </c>
      <c r="L876" t="n">
        <v>0</v>
      </c>
      <c r="M876" t="n">
        <v>0</v>
      </c>
      <c r="N876" t="n">
        <v>0</v>
      </c>
      <c r="O876" t="n">
        <v>0</v>
      </c>
      <c r="P876" t="n">
        <v>0</v>
      </c>
      <c r="Q876" t="n">
        <v>0</v>
      </c>
      <c r="R876" s="2" t="inlineStr"/>
    </row>
    <row r="877" ht="15" customHeight="1">
      <c r="A877" t="inlineStr">
        <is>
          <t>A 45340-2024</t>
        </is>
      </c>
      <c r="B877" s="1" t="n">
        <v>45576</v>
      </c>
      <c r="C877" s="1" t="n">
        <v>45579</v>
      </c>
      <c r="D877" t="inlineStr">
        <is>
          <t>JÄMTLANDS LÄN</t>
        </is>
      </c>
      <c r="E877" t="inlineStr">
        <is>
          <t>ÖSTERSUND</t>
        </is>
      </c>
      <c r="G877" t="n">
        <v>1.6</v>
      </c>
      <c r="H877" t="n">
        <v>0</v>
      </c>
      <c r="I877" t="n">
        <v>0</v>
      </c>
      <c r="J877" t="n">
        <v>0</v>
      </c>
      <c r="K877" t="n">
        <v>0</v>
      </c>
      <c r="L877" t="n">
        <v>0</v>
      </c>
      <c r="M877" t="n">
        <v>0</v>
      </c>
      <c r="N877" t="n">
        <v>0</v>
      </c>
      <c r="O877" t="n">
        <v>0</v>
      </c>
      <c r="P877" t="n">
        <v>0</v>
      </c>
      <c r="Q877" t="n">
        <v>0</v>
      </c>
      <c r="R877" s="2" t="inlineStr"/>
    </row>
    <row r="878">
      <c r="A878" t="inlineStr">
        <is>
          <t>A 45341-2024</t>
        </is>
      </c>
      <c r="B878" s="1" t="n">
        <v>45576</v>
      </c>
      <c r="C878" s="1" t="n">
        <v>45579</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2024-10-14T12:07:13Z</dcterms:created>
  <dcterms:modified xmlns:dcterms="http://purl.org/dc/terms/" xmlns:xsi="http://www.w3.org/2001/XMLSchema-instance" xsi:type="dcterms:W3CDTF">2024-10-14T12:07:14Z</dcterms:modified>
</cp:coreProperties>
</file>