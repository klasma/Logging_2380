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45742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45742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45742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45742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45742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45742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45742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45742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45742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45742</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45742</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45742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45742</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45742</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45742</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45742</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45742</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45742</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45742</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45742</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45742</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45742</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45742</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45742</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45742</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45742</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45742</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45742</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45742</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45742</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45742</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45742</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45742</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45742</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45742</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45742</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45742</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45742</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45742</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45742</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45742</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45742</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45742</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45742</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45742</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45742</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45742</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45742</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45742</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45742</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45742</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45742</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45742</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45742</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45742</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45742</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45742</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45742</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45742</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45742</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45742</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45742</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45742</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45742</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45742</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45742</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45742</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45742</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45742</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45742</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45742</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45742</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45742</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45742</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45742</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45742</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45742</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45742</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45742</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45742</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45742</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45742</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45742</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45742</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45742</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45742</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45742</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45742</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45742</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45742</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45742</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45742</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45742</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45742</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45742</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45742</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45742</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45742</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45742</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45742</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45742</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45742</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45742</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45742</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45742</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45742</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45742</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45742</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45742</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45742</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45742</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45742</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45742</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45742</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45742</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45742</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45742</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45742</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45742</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45742</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45742</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45742</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45742</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45742</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45742</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45742</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45742</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45742</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45742</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45742</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45742</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45742</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45742</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45742</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45742</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45742</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45742</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29058-2019</t>
        </is>
      </c>
      <c r="B140" s="1" t="n">
        <v>43621</v>
      </c>
      <c r="C140" s="1" t="n">
        <v>45742</v>
      </c>
      <c r="D140" t="inlineStr">
        <is>
          <t>JÄMTLANDS LÄN</t>
        </is>
      </c>
      <c r="E140" t="inlineStr">
        <is>
          <t>ÖSTERSUND</t>
        </is>
      </c>
      <c r="G140" t="n">
        <v>1.4</v>
      </c>
      <c r="H140" t="n">
        <v>1</v>
      </c>
      <c r="I140" t="n">
        <v>0</v>
      </c>
      <c r="J140" t="n">
        <v>1</v>
      </c>
      <c r="K140" t="n">
        <v>0</v>
      </c>
      <c r="L140" t="n">
        <v>0</v>
      </c>
      <c r="M140" t="n">
        <v>0</v>
      </c>
      <c r="N140" t="n">
        <v>0</v>
      </c>
      <c r="O140" t="n">
        <v>1</v>
      </c>
      <c r="P140" t="n">
        <v>0</v>
      </c>
      <c r="Q140" t="n">
        <v>1</v>
      </c>
      <c r="R140" s="2" t="inlineStr">
        <is>
          <t>Nordfladdermus</t>
        </is>
      </c>
      <c r="S140">
        <f>HYPERLINK("https://klasma.github.io/Logging_2380/artfynd/A 29058-2019 artfynd.xlsx", "A 29058-2019")</f>
        <v/>
      </c>
      <c r="T140">
        <f>HYPERLINK("https://klasma.github.io/Logging_2380/kartor/A 29058-2019 karta.png", "A 29058-2019")</f>
        <v/>
      </c>
      <c r="V140">
        <f>HYPERLINK("https://klasma.github.io/Logging_2380/klagomål/A 29058-2019 FSC-klagomål.docx", "A 29058-2019")</f>
        <v/>
      </c>
      <c r="W140">
        <f>HYPERLINK("https://klasma.github.io/Logging_2380/klagomålsmail/A 29058-2019 FSC-klagomål mail.docx", "A 29058-2019")</f>
        <v/>
      </c>
      <c r="X140">
        <f>HYPERLINK("https://klasma.github.io/Logging_2380/tillsyn/A 29058-2019 tillsynsbegäran.docx", "A 29058-2019")</f>
        <v/>
      </c>
      <c r="Y140">
        <f>HYPERLINK("https://klasma.github.io/Logging_2380/tillsynsmail/A 29058-2019 tillsynsbegäran mail.docx", "A 29058-2019")</f>
        <v/>
      </c>
    </row>
    <row r="141" ht="15" customHeight="1">
      <c r="A141" t="inlineStr">
        <is>
          <t>A 30941-2019</t>
        </is>
      </c>
      <c r="B141" s="1" t="n">
        <v>43636</v>
      </c>
      <c r="C141" s="1" t="n">
        <v>45742</v>
      </c>
      <c r="D141" t="inlineStr">
        <is>
          <t>JÄMTLANDS LÄN</t>
        </is>
      </c>
      <c r="E141" t="inlineStr">
        <is>
          <t>ÖSTERSUND</t>
        </is>
      </c>
      <c r="F141" t="inlineStr">
        <is>
          <t>SCA</t>
        </is>
      </c>
      <c r="G141" t="n">
        <v>1.9</v>
      </c>
      <c r="H141" t="n">
        <v>1</v>
      </c>
      <c r="I141" t="n">
        <v>1</v>
      </c>
      <c r="J141" t="n">
        <v>0</v>
      </c>
      <c r="K141" t="n">
        <v>0</v>
      </c>
      <c r="L141" t="n">
        <v>0</v>
      </c>
      <c r="M141" t="n">
        <v>0</v>
      </c>
      <c r="N141" t="n">
        <v>0</v>
      </c>
      <c r="O141" t="n">
        <v>0</v>
      </c>
      <c r="P141" t="n">
        <v>0</v>
      </c>
      <c r="Q141" t="n">
        <v>1</v>
      </c>
      <c r="R141" s="2" t="inlineStr">
        <is>
          <t>Tvåblad</t>
        </is>
      </c>
      <c r="S141">
        <f>HYPERLINK("https://klasma.github.io/Logging_2380/artfynd/A 30941-2019 artfynd.xlsx", "A 30941-2019")</f>
        <v/>
      </c>
      <c r="T141">
        <f>HYPERLINK("https://klasma.github.io/Logging_2380/kartor/A 30941-2019 karta.png", "A 30941-2019")</f>
        <v/>
      </c>
      <c r="V141">
        <f>HYPERLINK("https://klasma.github.io/Logging_2380/klagomål/A 30941-2019 FSC-klagomål.docx", "A 30941-2019")</f>
        <v/>
      </c>
      <c r="W141">
        <f>HYPERLINK("https://klasma.github.io/Logging_2380/klagomålsmail/A 30941-2019 FSC-klagomål mail.docx", "A 30941-2019")</f>
        <v/>
      </c>
      <c r="X141">
        <f>HYPERLINK("https://klasma.github.io/Logging_2380/tillsyn/A 30941-2019 tillsynsbegäran.docx", "A 30941-2019")</f>
        <v/>
      </c>
      <c r="Y141">
        <f>HYPERLINK("https://klasma.github.io/Logging_2380/tillsynsmail/A 30941-2019 tillsynsbegäran mail.docx", "A 30941-2019")</f>
        <v/>
      </c>
    </row>
    <row r="142" ht="15" customHeight="1">
      <c r="A142" t="inlineStr">
        <is>
          <t>A 57757-2019</t>
        </is>
      </c>
      <c r="B142" s="1" t="n">
        <v>43768</v>
      </c>
      <c r="C142" s="1" t="n">
        <v>45742</v>
      </c>
      <c r="D142" t="inlineStr">
        <is>
          <t>JÄMTLANDS LÄN</t>
        </is>
      </c>
      <c r="E142" t="inlineStr">
        <is>
          <t>ÖSTERSUND</t>
        </is>
      </c>
      <c r="G142" t="n">
        <v>1.3</v>
      </c>
      <c r="H142" t="n">
        <v>1</v>
      </c>
      <c r="I142" t="n">
        <v>0</v>
      </c>
      <c r="J142" t="n">
        <v>0</v>
      </c>
      <c r="K142" t="n">
        <v>0</v>
      </c>
      <c r="L142" t="n">
        <v>0</v>
      </c>
      <c r="M142" t="n">
        <v>0</v>
      </c>
      <c r="N142" t="n">
        <v>0</v>
      </c>
      <c r="O142" t="n">
        <v>0</v>
      </c>
      <c r="P142" t="n">
        <v>0</v>
      </c>
      <c r="Q142" t="n">
        <v>1</v>
      </c>
      <c r="R142" s="2" t="inlineStr">
        <is>
          <t>Revlummer</t>
        </is>
      </c>
      <c r="S142">
        <f>HYPERLINK("https://klasma.github.io/Logging_2380/artfynd/A 57757-2019 artfynd.xlsx", "A 57757-2019")</f>
        <v/>
      </c>
      <c r="T142">
        <f>HYPERLINK("https://klasma.github.io/Logging_2380/kartor/A 57757-2019 karta.png", "A 57757-2019")</f>
        <v/>
      </c>
      <c r="V142">
        <f>HYPERLINK("https://klasma.github.io/Logging_2380/klagomål/A 57757-2019 FSC-klagomål.docx", "A 57757-2019")</f>
        <v/>
      </c>
      <c r="W142">
        <f>HYPERLINK("https://klasma.github.io/Logging_2380/klagomålsmail/A 57757-2019 FSC-klagomål mail.docx", "A 57757-2019")</f>
        <v/>
      </c>
      <c r="X142">
        <f>HYPERLINK("https://klasma.github.io/Logging_2380/tillsyn/A 57757-2019 tillsynsbegäran.docx", "A 57757-2019")</f>
        <v/>
      </c>
      <c r="Y142">
        <f>HYPERLINK("https://klasma.github.io/Logging_2380/tillsynsmail/A 57757-2019 tillsynsbegäran mail.docx", "A 57757-2019")</f>
        <v/>
      </c>
    </row>
    <row r="143" ht="15" customHeight="1">
      <c r="A143" t="inlineStr">
        <is>
          <t>A 61628-2019</t>
        </is>
      </c>
      <c r="B143" s="1" t="n">
        <v>43784</v>
      </c>
      <c r="C143" s="1" t="n">
        <v>45742</v>
      </c>
      <c r="D143" t="inlineStr">
        <is>
          <t>JÄMTLANDS LÄN</t>
        </is>
      </c>
      <c r="E143" t="inlineStr">
        <is>
          <t>ÖSTERSUND</t>
        </is>
      </c>
      <c r="G143" t="n">
        <v>5.6</v>
      </c>
      <c r="H143" t="n">
        <v>0</v>
      </c>
      <c r="I143" t="n">
        <v>1</v>
      </c>
      <c r="J143" t="n">
        <v>0</v>
      </c>
      <c r="K143" t="n">
        <v>0</v>
      </c>
      <c r="L143" t="n">
        <v>0</v>
      </c>
      <c r="M143" t="n">
        <v>0</v>
      </c>
      <c r="N143" t="n">
        <v>0</v>
      </c>
      <c r="O143" t="n">
        <v>0</v>
      </c>
      <c r="P143" t="n">
        <v>0</v>
      </c>
      <c r="Q143" t="n">
        <v>1</v>
      </c>
      <c r="R143" s="2" t="inlineStr">
        <is>
          <t>Tibast</t>
        </is>
      </c>
      <c r="S143">
        <f>HYPERLINK("https://klasma.github.io/Logging_2380/artfynd/A 61628-2019 artfynd.xlsx", "A 61628-2019")</f>
        <v/>
      </c>
      <c r="T143">
        <f>HYPERLINK("https://klasma.github.io/Logging_2380/kartor/A 61628-2019 karta.png", "A 61628-2019")</f>
        <v/>
      </c>
      <c r="V143">
        <f>HYPERLINK("https://klasma.github.io/Logging_2380/klagomål/A 61628-2019 FSC-klagomål.docx", "A 61628-2019")</f>
        <v/>
      </c>
      <c r="W143">
        <f>HYPERLINK("https://klasma.github.io/Logging_2380/klagomålsmail/A 61628-2019 FSC-klagomål mail.docx", "A 61628-2019")</f>
        <v/>
      </c>
      <c r="X143">
        <f>HYPERLINK("https://klasma.github.io/Logging_2380/tillsyn/A 61628-2019 tillsynsbegäran.docx", "A 61628-2019")</f>
        <v/>
      </c>
      <c r="Y143">
        <f>HYPERLINK("https://klasma.github.io/Logging_2380/tillsynsmail/A 61628-2019 tillsynsbegäran mail.docx", "A 61628-2019")</f>
        <v/>
      </c>
    </row>
    <row r="144" ht="15" customHeight="1">
      <c r="A144" t="inlineStr">
        <is>
          <t>A 11561-2020</t>
        </is>
      </c>
      <c r="B144" s="1" t="n">
        <v>43893</v>
      </c>
      <c r="C144" s="1" t="n">
        <v>45742</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Revlummer</t>
        </is>
      </c>
      <c r="S144">
        <f>HYPERLINK("https://klasma.github.io/Logging_2380/artfynd/A 11561-2020 artfynd.xlsx", "A 11561-2020")</f>
        <v/>
      </c>
      <c r="T144">
        <f>HYPERLINK("https://klasma.github.io/Logging_2380/kartor/A 11561-2020 karta.png", "A 11561-2020")</f>
        <v/>
      </c>
      <c r="V144">
        <f>HYPERLINK("https://klasma.github.io/Logging_2380/klagomål/A 11561-2020 FSC-klagomål.docx", "A 11561-2020")</f>
        <v/>
      </c>
      <c r="W144">
        <f>HYPERLINK("https://klasma.github.io/Logging_2380/klagomålsmail/A 11561-2020 FSC-klagomål mail.docx", "A 11561-2020")</f>
        <v/>
      </c>
      <c r="X144">
        <f>HYPERLINK("https://klasma.github.io/Logging_2380/tillsyn/A 11561-2020 tillsynsbegäran.docx", "A 11561-2020")</f>
        <v/>
      </c>
      <c r="Y144">
        <f>HYPERLINK("https://klasma.github.io/Logging_2380/tillsynsmail/A 11561-2020 tillsynsbegäran mail.docx", "A 11561-2020")</f>
        <v/>
      </c>
    </row>
    <row r="145" ht="15" customHeight="1">
      <c r="A145" t="inlineStr">
        <is>
          <t>A 35980-2020</t>
        </is>
      </c>
      <c r="B145" s="1" t="n">
        <v>44047</v>
      </c>
      <c r="C145" s="1" t="n">
        <v>45742</v>
      </c>
      <c r="D145" t="inlineStr">
        <is>
          <t>JÄMTLANDS LÄN</t>
        </is>
      </c>
      <c r="E145" t="inlineStr">
        <is>
          <t>ÖSTERSUND</t>
        </is>
      </c>
      <c r="G145" t="n">
        <v>0.7</v>
      </c>
      <c r="H145" t="n">
        <v>0</v>
      </c>
      <c r="I145" t="n">
        <v>0</v>
      </c>
      <c r="J145" t="n">
        <v>1</v>
      </c>
      <c r="K145" t="n">
        <v>0</v>
      </c>
      <c r="L145" t="n">
        <v>0</v>
      </c>
      <c r="M145" t="n">
        <v>0</v>
      </c>
      <c r="N145" t="n">
        <v>0</v>
      </c>
      <c r="O145" t="n">
        <v>1</v>
      </c>
      <c r="P145" t="n">
        <v>0</v>
      </c>
      <c r="Q145" t="n">
        <v>1</v>
      </c>
      <c r="R145" s="2" t="inlineStr">
        <is>
          <t>Slåtterfibbla</t>
        </is>
      </c>
      <c r="S145">
        <f>HYPERLINK("https://klasma.github.io/Logging_2380/artfynd/A 35980-2020 artfynd.xlsx", "A 35980-2020")</f>
        <v/>
      </c>
      <c r="T145">
        <f>HYPERLINK("https://klasma.github.io/Logging_2380/kartor/A 35980-2020 karta.png", "A 35980-2020")</f>
        <v/>
      </c>
      <c r="U145">
        <f>HYPERLINK("https://klasma.github.io/Logging_2380/knärot/A 35980-2020 karta knärot.png", "A 35980-2020")</f>
        <v/>
      </c>
      <c r="V145">
        <f>HYPERLINK("https://klasma.github.io/Logging_2380/klagomål/A 35980-2020 FSC-klagomål.docx", "A 35980-2020")</f>
        <v/>
      </c>
      <c r="W145">
        <f>HYPERLINK("https://klasma.github.io/Logging_2380/klagomålsmail/A 35980-2020 FSC-klagomål mail.docx", "A 35980-2020")</f>
        <v/>
      </c>
      <c r="X145">
        <f>HYPERLINK("https://klasma.github.io/Logging_2380/tillsyn/A 35980-2020 tillsynsbegäran.docx", "A 35980-2020")</f>
        <v/>
      </c>
      <c r="Y145">
        <f>HYPERLINK("https://klasma.github.io/Logging_2380/tillsynsmail/A 35980-2020 tillsynsbegäran mail.docx", "A 35980-2020")</f>
        <v/>
      </c>
    </row>
    <row r="146" ht="15" customHeight="1">
      <c r="A146" t="inlineStr">
        <is>
          <t>A 63775-2020</t>
        </is>
      </c>
      <c r="B146" s="1" t="n">
        <v>44165</v>
      </c>
      <c r="C146" s="1" t="n">
        <v>45742</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Fläcknycklar</t>
        </is>
      </c>
      <c r="S146">
        <f>HYPERLINK("https://klasma.github.io/Logging_2380/artfynd/A 63775-2020 artfynd.xlsx", "A 63775-2020")</f>
        <v/>
      </c>
      <c r="T146">
        <f>HYPERLINK("https://klasma.github.io/Logging_2380/kartor/A 63775-2020 karta.png", "A 63775-2020")</f>
        <v/>
      </c>
      <c r="V146">
        <f>HYPERLINK("https://klasma.github.io/Logging_2380/klagomål/A 63775-2020 FSC-klagomål.docx", "A 63775-2020")</f>
        <v/>
      </c>
      <c r="W146">
        <f>HYPERLINK("https://klasma.github.io/Logging_2380/klagomålsmail/A 63775-2020 FSC-klagomål mail.docx", "A 63775-2020")</f>
        <v/>
      </c>
      <c r="X146">
        <f>HYPERLINK("https://klasma.github.io/Logging_2380/tillsyn/A 63775-2020 tillsynsbegäran.docx", "A 63775-2020")</f>
        <v/>
      </c>
      <c r="Y146">
        <f>HYPERLINK("https://klasma.github.io/Logging_2380/tillsynsmail/A 63775-2020 tillsynsbegäran mail.docx", "A 63775-2020")</f>
        <v/>
      </c>
    </row>
    <row r="147" ht="15" customHeight="1">
      <c r="A147" t="inlineStr">
        <is>
          <t>A 13362-2021</t>
        </is>
      </c>
      <c r="B147" s="1" t="n">
        <v>44272</v>
      </c>
      <c r="C147" s="1" t="n">
        <v>45742</v>
      </c>
      <c r="D147" t="inlineStr">
        <is>
          <t>JÄMTLANDS LÄN</t>
        </is>
      </c>
      <c r="E147" t="inlineStr">
        <is>
          <t>ÖSTERSUND</t>
        </is>
      </c>
      <c r="G147" t="n">
        <v>0.8</v>
      </c>
      <c r="H147" t="n">
        <v>1</v>
      </c>
      <c r="I147" t="n">
        <v>0</v>
      </c>
      <c r="J147" t="n">
        <v>0</v>
      </c>
      <c r="K147" t="n">
        <v>0</v>
      </c>
      <c r="L147" t="n">
        <v>0</v>
      </c>
      <c r="M147" t="n">
        <v>0</v>
      </c>
      <c r="N147" t="n">
        <v>0</v>
      </c>
      <c r="O147" t="n">
        <v>0</v>
      </c>
      <c r="P147" t="n">
        <v>0</v>
      </c>
      <c r="Q147" t="n">
        <v>1</v>
      </c>
      <c r="R147" s="2" t="inlineStr">
        <is>
          <t>Blåsippa</t>
        </is>
      </c>
      <c r="S147">
        <f>HYPERLINK("https://klasma.github.io/Logging_2380/artfynd/A 13362-2021 artfynd.xlsx", "A 13362-2021")</f>
        <v/>
      </c>
      <c r="T147">
        <f>HYPERLINK("https://klasma.github.io/Logging_2380/kartor/A 13362-2021 karta.png", "A 13362-2021")</f>
        <v/>
      </c>
      <c r="V147">
        <f>HYPERLINK("https://klasma.github.io/Logging_2380/klagomål/A 13362-2021 FSC-klagomål.docx", "A 13362-2021")</f>
        <v/>
      </c>
      <c r="W147">
        <f>HYPERLINK("https://klasma.github.io/Logging_2380/klagomålsmail/A 13362-2021 FSC-klagomål mail.docx", "A 13362-2021")</f>
        <v/>
      </c>
      <c r="X147">
        <f>HYPERLINK("https://klasma.github.io/Logging_2380/tillsyn/A 13362-2021 tillsynsbegäran.docx", "A 13362-2021")</f>
        <v/>
      </c>
      <c r="Y147">
        <f>HYPERLINK("https://klasma.github.io/Logging_2380/tillsynsmail/A 13362-2021 tillsynsbegäran mail.docx", "A 13362-2021")</f>
        <v/>
      </c>
    </row>
    <row r="148" ht="15" customHeight="1">
      <c r="A148" t="inlineStr">
        <is>
          <t>A 17217-2021</t>
        </is>
      </c>
      <c r="B148" s="1" t="n">
        <v>44298</v>
      </c>
      <c r="C148" s="1" t="n">
        <v>45742</v>
      </c>
      <c r="D148" t="inlineStr">
        <is>
          <t>JÄMTLANDS LÄN</t>
        </is>
      </c>
      <c r="E148" t="inlineStr">
        <is>
          <t>ÖSTERSUND</t>
        </is>
      </c>
      <c r="G148" t="n">
        <v>10.4</v>
      </c>
      <c r="H148" t="n">
        <v>0</v>
      </c>
      <c r="I148" t="n">
        <v>0</v>
      </c>
      <c r="J148" t="n">
        <v>1</v>
      </c>
      <c r="K148" t="n">
        <v>0</v>
      </c>
      <c r="L148" t="n">
        <v>0</v>
      </c>
      <c r="M148" t="n">
        <v>0</v>
      </c>
      <c r="N148" t="n">
        <v>0</v>
      </c>
      <c r="O148" t="n">
        <v>1</v>
      </c>
      <c r="P148" t="n">
        <v>0</v>
      </c>
      <c r="Q148" t="n">
        <v>1</v>
      </c>
      <c r="R148" s="2" t="inlineStr">
        <is>
          <t>Rödbrun klubbdyna</t>
        </is>
      </c>
      <c r="S148">
        <f>HYPERLINK("https://klasma.github.io/Logging_2380/artfynd/A 17217-2021 artfynd.xlsx", "A 17217-2021")</f>
        <v/>
      </c>
      <c r="T148">
        <f>HYPERLINK("https://klasma.github.io/Logging_2380/kartor/A 17217-2021 karta.png", "A 17217-2021")</f>
        <v/>
      </c>
      <c r="V148">
        <f>HYPERLINK("https://klasma.github.io/Logging_2380/klagomål/A 17217-2021 FSC-klagomål.docx", "A 17217-2021")</f>
        <v/>
      </c>
      <c r="W148">
        <f>HYPERLINK("https://klasma.github.io/Logging_2380/klagomålsmail/A 17217-2021 FSC-klagomål mail.docx", "A 17217-2021")</f>
        <v/>
      </c>
      <c r="X148">
        <f>HYPERLINK("https://klasma.github.io/Logging_2380/tillsyn/A 17217-2021 tillsynsbegäran.docx", "A 17217-2021")</f>
        <v/>
      </c>
      <c r="Y148">
        <f>HYPERLINK("https://klasma.github.io/Logging_2380/tillsynsmail/A 17217-2021 tillsynsbegäran mail.docx", "A 17217-2021")</f>
        <v/>
      </c>
    </row>
    <row r="149" ht="15" customHeight="1">
      <c r="A149" t="inlineStr">
        <is>
          <t>A 25839-2021</t>
        </is>
      </c>
      <c r="B149" s="1" t="n">
        <v>44343</v>
      </c>
      <c r="C149" s="1" t="n">
        <v>45742</v>
      </c>
      <c r="D149" t="inlineStr">
        <is>
          <t>JÄMTLANDS LÄN</t>
        </is>
      </c>
      <c r="E149" t="inlineStr">
        <is>
          <t>ÖSTERSUND</t>
        </is>
      </c>
      <c r="G149" t="n">
        <v>13</v>
      </c>
      <c r="H149" t="n">
        <v>1</v>
      </c>
      <c r="I149" t="n">
        <v>0</v>
      </c>
      <c r="J149" t="n">
        <v>0</v>
      </c>
      <c r="K149" t="n">
        <v>0</v>
      </c>
      <c r="L149" t="n">
        <v>1</v>
      </c>
      <c r="M149" t="n">
        <v>0</v>
      </c>
      <c r="N149" t="n">
        <v>0</v>
      </c>
      <c r="O149" t="n">
        <v>1</v>
      </c>
      <c r="P149" t="n">
        <v>1</v>
      </c>
      <c r="Q149" t="n">
        <v>1</v>
      </c>
      <c r="R149" s="2" t="inlineStr">
        <is>
          <t>Violett guldvinge</t>
        </is>
      </c>
      <c r="S149">
        <f>HYPERLINK("https://klasma.github.io/Logging_2380/artfynd/A 25839-2021 artfynd.xlsx", "A 25839-2021")</f>
        <v/>
      </c>
      <c r="T149">
        <f>HYPERLINK("https://klasma.github.io/Logging_2380/kartor/A 25839-2021 karta.png", "A 25839-2021")</f>
        <v/>
      </c>
      <c r="V149">
        <f>HYPERLINK("https://klasma.github.io/Logging_2380/klagomål/A 25839-2021 FSC-klagomål.docx", "A 25839-2021")</f>
        <v/>
      </c>
      <c r="W149">
        <f>HYPERLINK("https://klasma.github.io/Logging_2380/klagomålsmail/A 25839-2021 FSC-klagomål mail.docx", "A 25839-2021")</f>
        <v/>
      </c>
      <c r="X149">
        <f>HYPERLINK("https://klasma.github.io/Logging_2380/tillsyn/A 25839-2021 tillsynsbegäran.docx", "A 25839-2021")</f>
        <v/>
      </c>
      <c r="Y149">
        <f>HYPERLINK("https://klasma.github.io/Logging_2380/tillsynsmail/A 25839-2021 tillsynsbegäran mail.docx", "A 25839-2021")</f>
        <v/>
      </c>
    </row>
    <row r="150" ht="15" customHeight="1">
      <c r="A150" t="inlineStr">
        <is>
          <t>A 31328-2021</t>
        </is>
      </c>
      <c r="B150" s="1" t="n">
        <v>44368</v>
      </c>
      <c r="C150" s="1" t="n">
        <v>45742</v>
      </c>
      <c r="D150" t="inlineStr">
        <is>
          <t>JÄMTLANDS LÄN</t>
        </is>
      </c>
      <c r="E150" t="inlineStr">
        <is>
          <t>ÖSTERSUND</t>
        </is>
      </c>
      <c r="G150" t="n">
        <v>6.3</v>
      </c>
      <c r="H150" t="n">
        <v>1</v>
      </c>
      <c r="I150" t="n">
        <v>0</v>
      </c>
      <c r="J150" t="n">
        <v>0</v>
      </c>
      <c r="K150" t="n">
        <v>0</v>
      </c>
      <c r="L150" t="n">
        <v>0</v>
      </c>
      <c r="M150" t="n">
        <v>0</v>
      </c>
      <c r="N150" t="n">
        <v>0</v>
      </c>
      <c r="O150" t="n">
        <v>0</v>
      </c>
      <c r="P150" t="n">
        <v>0</v>
      </c>
      <c r="Q150" t="n">
        <v>1</v>
      </c>
      <c r="R150" s="2" t="inlineStr">
        <is>
          <t>Fläcknycklar</t>
        </is>
      </c>
      <c r="S150">
        <f>HYPERLINK("https://klasma.github.io/Logging_2380/artfynd/A 31328-2021 artfynd.xlsx", "A 31328-2021")</f>
        <v/>
      </c>
      <c r="T150">
        <f>HYPERLINK("https://klasma.github.io/Logging_2380/kartor/A 31328-2021 karta.png", "A 31328-2021")</f>
        <v/>
      </c>
      <c r="V150">
        <f>HYPERLINK("https://klasma.github.io/Logging_2380/klagomål/A 31328-2021 FSC-klagomål.docx", "A 31328-2021")</f>
        <v/>
      </c>
      <c r="W150">
        <f>HYPERLINK("https://klasma.github.io/Logging_2380/klagomålsmail/A 31328-2021 FSC-klagomål mail.docx", "A 31328-2021")</f>
        <v/>
      </c>
      <c r="X150">
        <f>HYPERLINK("https://klasma.github.io/Logging_2380/tillsyn/A 31328-2021 tillsynsbegäran.docx", "A 31328-2021")</f>
        <v/>
      </c>
      <c r="Y150">
        <f>HYPERLINK("https://klasma.github.io/Logging_2380/tillsynsmail/A 31328-2021 tillsynsbegäran mail.docx", "A 31328-2021")</f>
        <v/>
      </c>
    </row>
    <row r="151" ht="15" customHeight="1">
      <c r="A151" t="inlineStr">
        <is>
          <t>A 33137-2021</t>
        </is>
      </c>
      <c r="B151" s="1" t="n">
        <v>44376</v>
      </c>
      <c r="C151" s="1" t="n">
        <v>45742</v>
      </c>
      <c r="D151" t="inlineStr">
        <is>
          <t>JÄMTLANDS LÄN</t>
        </is>
      </c>
      <c r="E151" t="inlineStr">
        <is>
          <t>ÖSTERSUND</t>
        </is>
      </c>
      <c r="F151" t="inlineStr">
        <is>
          <t>Kommuner</t>
        </is>
      </c>
      <c r="G151" t="n">
        <v>3.7</v>
      </c>
      <c r="H151" t="n">
        <v>1</v>
      </c>
      <c r="I151" t="n">
        <v>1</v>
      </c>
      <c r="J151" t="n">
        <v>0</v>
      </c>
      <c r="K151" t="n">
        <v>0</v>
      </c>
      <c r="L151" t="n">
        <v>0</v>
      </c>
      <c r="M151" t="n">
        <v>0</v>
      </c>
      <c r="N151" t="n">
        <v>0</v>
      </c>
      <c r="O151" t="n">
        <v>0</v>
      </c>
      <c r="P151" t="n">
        <v>0</v>
      </c>
      <c r="Q151" t="n">
        <v>1</v>
      </c>
      <c r="R151" s="2" t="inlineStr">
        <is>
          <t>Guckusko</t>
        </is>
      </c>
      <c r="S151">
        <f>HYPERLINK("https://klasma.github.io/Logging_2380/artfynd/A 33137-2021 artfynd.xlsx", "A 33137-2021")</f>
        <v/>
      </c>
      <c r="T151">
        <f>HYPERLINK("https://klasma.github.io/Logging_2380/kartor/A 33137-2021 karta.png", "A 33137-2021")</f>
        <v/>
      </c>
      <c r="V151">
        <f>HYPERLINK("https://klasma.github.io/Logging_2380/klagomål/A 33137-2021 FSC-klagomål.docx", "A 33137-2021")</f>
        <v/>
      </c>
      <c r="W151">
        <f>HYPERLINK("https://klasma.github.io/Logging_2380/klagomålsmail/A 33137-2021 FSC-klagomål mail.docx", "A 33137-2021")</f>
        <v/>
      </c>
      <c r="X151">
        <f>HYPERLINK("https://klasma.github.io/Logging_2380/tillsyn/A 33137-2021 tillsynsbegäran.docx", "A 33137-2021")</f>
        <v/>
      </c>
      <c r="Y151">
        <f>HYPERLINK("https://klasma.github.io/Logging_2380/tillsynsmail/A 33137-2021 tillsynsbegäran mail.docx", "A 33137-2021")</f>
        <v/>
      </c>
    </row>
    <row r="152" ht="15" customHeight="1">
      <c r="A152" t="inlineStr">
        <is>
          <t>A 46163-2021</t>
        </is>
      </c>
      <c r="B152" s="1" t="n">
        <v>44441</v>
      </c>
      <c r="C152" s="1" t="n">
        <v>45742</v>
      </c>
      <c r="D152" t="inlineStr">
        <is>
          <t>JÄMTLANDS LÄN</t>
        </is>
      </c>
      <c r="E152" t="inlineStr">
        <is>
          <t>ÖSTERSUND</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46163-2021 artfynd.xlsx", "A 46163-2021")</f>
        <v/>
      </c>
      <c r="T152">
        <f>HYPERLINK("https://klasma.github.io/Logging_2380/kartor/A 46163-2021 karta.png", "A 46163-2021")</f>
        <v/>
      </c>
      <c r="V152">
        <f>HYPERLINK("https://klasma.github.io/Logging_2380/klagomål/A 46163-2021 FSC-klagomål.docx", "A 46163-2021")</f>
        <v/>
      </c>
      <c r="W152">
        <f>HYPERLINK("https://klasma.github.io/Logging_2380/klagomålsmail/A 46163-2021 FSC-klagomål mail.docx", "A 46163-2021")</f>
        <v/>
      </c>
      <c r="X152">
        <f>HYPERLINK("https://klasma.github.io/Logging_2380/tillsyn/A 46163-2021 tillsynsbegäran.docx", "A 46163-2021")</f>
        <v/>
      </c>
      <c r="Y152">
        <f>HYPERLINK("https://klasma.github.io/Logging_2380/tillsynsmail/A 46163-2021 tillsynsbegäran mail.docx", "A 46163-2021")</f>
        <v/>
      </c>
      <c r="Z152">
        <f>HYPERLINK("https://klasma.github.io/Logging_2380/fåglar/A 46163-2021 prioriterade fågelarter.docx", "A 46163-2021")</f>
        <v/>
      </c>
    </row>
    <row r="153" ht="15" customHeight="1">
      <c r="A153" t="inlineStr">
        <is>
          <t>A 55821-2021</t>
        </is>
      </c>
      <c r="B153" s="1" t="n">
        <v>44476</v>
      </c>
      <c r="C153" s="1" t="n">
        <v>45742</v>
      </c>
      <c r="D153" t="inlineStr">
        <is>
          <t>JÄMTLANDS LÄN</t>
        </is>
      </c>
      <c r="E153" t="inlineStr">
        <is>
          <t>ÖSTERSUND</t>
        </is>
      </c>
      <c r="G153" t="n">
        <v>7.2</v>
      </c>
      <c r="H153" t="n">
        <v>0</v>
      </c>
      <c r="I153" t="n">
        <v>0</v>
      </c>
      <c r="J153" t="n">
        <v>1</v>
      </c>
      <c r="K153" t="n">
        <v>0</v>
      </c>
      <c r="L153" t="n">
        <v>0</v>
      </c>
      <c r="M153" t="n">
        <v>0</v>
      </c>
      <c r="N153" t="n">
        <v>0</v>
      </c>
      <c r="O153" t="n">
        <v>1</v>
      </c>
      <c r="P153" t="n">
        <v>0</v>
      </c>
      <c r="Q153" t="n">
        <v>1</v>
      </c>
      <c r="R153" s="2" t="inlineStr">
        <is>
          <t>Harticka</t>
        </is>
      </c>
      <c r="S153">
        <f>HYPERLINK("https://klasma.github.io/Logging_2380/artfynd/A 55821-2021 artfynd.xlsx", "A 55821-2021")</f>
        <v/>
      </c>
      <c r="T153">
        <f>HYPERLINK("https://klasma.github.io/Logging_2380/kartor/A 55821-2021 karta.png", "A 55821-2021")</f>
        <v/>
      </c>
      <c r="V153">
        <f>HYPERLINK("https://klasma.github.io/Logging_2380/klagomål/A 55821-2021 FSC-klagomål.docx", "A 55821-2021")</f>
        <v/>
      </c>
      <c r="W153">
        <f>HYPERLINK("https://klasma.github.io/Logging_2380/klagomålsmail/A 55821-2021 FSC-klagomål mail.docx", "A 55821-2021")</f>
        <v/>
      </c>
      <c r="X153">
        <f>HYPERLINK("https://klasma.github.io/Logging_2380/tillsyn/A 55821-2021 tillsynsbegäran.docx", "A 55821-2021")</f>
        <v/>
      </c>
      <c r="Y153">
        <f>HYPERLINK("https://klasma.github.io/Logging_2380/tillsynsmail/A 55821-2021 tillsynsbegäran mail.docx", "A 55821-2021")</f>
        <v/>
      </c>
    </row>
    <row r="154" ht="15" customHeight="1">
      <c r="A154" t="inlineStr">
        <is>
          <t>A 59433-2021</t>
        </is>
      </c>
      <c r="B154" s="1" t="n">
        <v>44491</v>
      </c>
      <c r="C154" s="1" t="n">
        <v>45742</v>
      </c>
      <c r="D154" t="inlineStr">
        <is>
          <t>JÄMTLANDS LÄN</t>
        </is>
      </c>
      <c r="E154" t="inlineStr">
        <is>
          <t>ÖSTERSUND</t>
        </is>
      </c>
      <c r="F154" t="inlineStr">
        <is>
          <t>Övriga statliga verk och myndigheter</t>
        </is>
      </c>
      <c r="G154" t="n">
        <v>1.6</v>
      </c>
      <c r="H154" t="n">
        <v>0</v>
      </c>
      <c r="I154" t="n">
        <v>0</v>
      </c>
      <c r="J154" t="n">
        <v>1</v>
      </c>
      <c r="K154" t="n">
        <v>0</v>
      </c>
      <c r="L154" t="n">
        <v>0</v>
      </c>
      <c r="M154" t="n">
        <v>0</v>
      </c>
      <c r="N154" t="n">
        <v>0</v>
      </c>
      <c r="O154" t="n">
        <v>1</v>
      </c>
      <c r="P154" t="n">
        <v>0</v>
      </c>
      <c r="Q154" t="n">
        <v>1</v>
      </c>
      <c r="R154" s="2" t="inlineStr">
        <is>
          <t>Brunpudrad nållav</t>
        </is>
      </c>
      <c r="S154">
        <f>HYPERLINK("https://klasma.github.io/Logging_2380/artfynd/A 59433-2021 artfynd.xlsx", "A 59433-2021")</f>
        <v/>
      </c>
      <c r="T154">
        <f>HYPERLINK("https://klasma.github.io/Logging_2380/kartor/A 59433-2021 karta.png", "A 59433-2021")</f>
        <v/>
      </c>
      <c r="V154">
        <f>HYPERLINK("https://klasma.github.io/Logging_2380/klagomål/A 59433-2021 FSC-klagomål.docx", "A 59433-2021")</f>
        <v/>
      </c>
      <c r="W154">
        <f>HYPERLINK("https://klasma.github.io/Logging_2380/klagomålsmail/A 59433-2021 FSC-klagomål mail.docx", "A 59433-2021")</f>
        <v/>
      </c>
      <c r="X154">
        <f>HYPERLINK("https://klasma.github.io/Logging_2380/tillsyn/A 59433-2021 tillsynsbegäran.docx", "A 59433-2021")</f>
        <v/>
      </c>
      <c r="Y154">
        <f>HYPERLINK("https://klasma.github.io/Logging_2380/tillsynsmail/A 59433-2021 tillsynsbegäran mail.docx", "A 59433-2021")</f>
        <v/>
      </c>
    </row>
    <row r="155" ht="15" customHeight="1">
      <c r="A155" t="inlineStr">
        <is>
          <t>A 9739-2022</t>
        </is>
      </c>
      <c r="B155" s="1" t="n">
        <v>44617</v>
      </c>
      <c r="C155" s="1" t="n">
        <v>45742</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10336-2022</t>
        </is>
      </c>
      <c r="B156" s="1" t="n">
        <v>44623</v>
      </c>
      <c r="C156" s="1" t="n">
        <v>45742</v>
      </c>
      <c r="D156" t="inlineStr">
        <is>
          <t>JÄMTLANDS LÄN</t>
        </is>
      </c>
      <c r="E156" t="inlineStr">
        <is>
          <t>ÖSTERSUND</t>
        </is>
      </c>
      <c r="G156" t="n">
        <v>0.9</v>
      </c>
      <c r="H156" t="n">
        <v>0</v>
      </c>
      <c r="I156" t="n">
        <v>1</v>
      </c>
      <c r="J156" t="n">
        <v>0</v>
      </c>
      <c r="K156" t="n">
        <v>0</v>
      </c>
      <c r="L156" t="n">
        <v>0</v>
      </c>
      <c r="M156" t="n">
        <v>0</v>
      </c>
      <c r="N156" t="n">
        <v>0</v>
      </c>
      <c r="O156" t="n">
        <v>0</v>
      </c>
      <c r="P156" t="n">
        <v>0</v>
      </c>
      <c r="Q156" t="n">
        <v>1</v>
      </c>
      <c r="R156" s="2" t="inlineStr">
        <is>
          <t>Underviol</t>
        </is>
      </c>
      <c r="S156">
        <f>HYPERLINK("https://klasma.github.io/Logging_2380/artfynd/A 10336-2022 artfynd.xlsx", "A 10336-2022")</f>
        <v/>
      </c>
      <c r="T156">
        <f>HYPERLINK("https://klasma.github.io/Logging_2380/kartor/A 10336-2022 karta.png", "A 10336-2022")</f>
        <v/>
      </c>
      <c r="V156">
        <f>HYPERLINK("https://klasma.github.io/Logging_2380/klagomål/A 10336-2022 FSC-klagomål.docx", "A 10336-2022")</f>
        <v/>
      </c>
      <c r="W156">
        <f>HYPERLINK("https://klasma.github.io/Logging_2380/klagomålsmail/A 10336-2022 FSC-klagomål mail.docx", "A 10336-2022")</f>
        <v/>
      </c>
      <c r="X156">
        <f>HYPERLINK("https://klasma.github.io/Logging_2380/tillsyn/A 10336-2022 tillsynsbegäran.docx", "A 10336-2022")</f>
        <v/>
      </c>
      <c r="Y156">
        <f>HYPERLINK("https://klasma.github.io/Logging_2380/tillsynsmail/A 10336-2022 tillsynsbegäran mail.docx", "A 10336-2022")</f>
        <v/>
      </c>
    </row>
    <row r="157" ht="15" customHeight="1">
      <c r="A157" t="inlineStr">
        <is>
          <t>A 19798-2022</t>
        </is>
      </c>
      <c r="B157" s="1" t="n">
        <v>44694</v>
      </c>
      <c r="C157" s="1" t="n">
        <v>45742</v>
      </c>
      <c r="D157" t="inlineStr">
        <is>
          <t>JÄMTLANDS LÄN</t>
        </is>
      </c>
      <c r="E157" t="inlineStr">
        <is>
          <t>ÖSTERSUND</t>
        </is>
      </c>
      <c r="F157" t="inlineStr">
        <is>
          <t>SCA</t>
        </is>
      </c>
      <c r="G157" t="n">
        <v>1</v>
      </c>
      <c r="H157" t="n">
        <v>1</v>
      </c>
      <c r="I157" t="n">
        <v>1</v>
      </c>
      <c r="J157" t="n">
        <v>0</v>
      </c>
      <c r="K157" t="n">
        <v>0</v>
      </c>
      <c r="L157" t="n">
        <v>0</v>
      </c>
      <c r="M157" t="n">
        <v>0</v>
      </c>
      <c r="N157" t="n">
        <v>0</v>
      </c>
      <c r="O157" t="n">
        <v>0</v>
      </c>
      <c r="P157" t="n">
        <v>0</v>
      </c>
      <c r="Q157" t="n">
        <v>1</v>
      </c>
      <c r="R157" s="2" t="inlineStr">
        <is>
          <t>Guckusko</t>
        </is>
      </c>
      <c r="S157">
        <f>HYPERLINK("https://klasma.github.io/Logging_2380/artfynd/A 19798-2022 artfynd.xlsx", "A 19798-2022")</f>
        <v/>
      </c>
      <c r="T157">
        <f>HYPERLINK("https://klasma.github.io/Logging_2380/kartor/A 19798-2022 karta.png", "A 19798-2022")</f>
        <v/>
      </c>
      <c r="V157">
        <f>HYPERLINK("https://klasma.github.io/Logging_2380/klagomål/A 19798-2022 FSC-klagomål.docx", "A 19798-2022")</f>
        <v/>
      </c>
      <c r="W157">
        <f>HYPERLINK("https://klasma.github.io/Logging_2380/klagomålsmail/A 19798-2022 FSC-klagomål mail.docx", "A 19798-2022")</f>
        <v/>
      </c>
      <c r="X157">
        <f>HYPERLINK("https://klasma.github.io/Logging_2380/tillsyn/A 19798-2022 tillsynsbegäran.docx", "A 19798-2022")</f>
        <v/>
      </c>
      <c r="Y157">
        <f>HYPERLINK("https://klasma.github.io/Logging_2380/tillsynsmail/A 19798-2022 tillsynsbegäran mail.docx", "A 19798-2022")</f>
        <v/>
      </c>
    </row>
    <row r="158" ht="15" customHeight="1">
      <c r="A158" t="inlineStr">
        <is>
          <t>A 27578-2022</t>
        </is>
      </c>
      <c r="B158" s="1" t="n">
        <v>44742</v>
      </c>
      <c r="C158" s="1" t="n">
        <v>45742</v>
      </c>
      <c r="D158" t="inlineStr">
        <is>
          <t>JÄMTLANDS LÄN</t>
        </is>
      </c>
      <c r="E158" t="inlineStr">
        <is>
          <t>ÖSTERSUND</t>
        </is>
      </c>
      <c r="F158" t="inlineStr">
        <is>
          <t>SCA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HYPERLINK("https://klasma.github.io/Logging_2380/artfynd/A 27578-2022 artfynd.xlsx", "A 27578-2022")</f>
        <v/>
      </c>
      <c r="T158">
        <f>HYPERLINK("https://klasma.github.io/Logging_2380/kartor/A 27578-2022 karta.png", "A 27578-2022")</f>
        <v/>
      </c>
      <c r="V158">
        <f>HYPERLINK("https://klasma.github.io/Logging_2380/klagomål/A 27578-2022 FSC-klagomål.docx", "A 27578-2022")</f>
        <v/>
      </c>
      <c r="W158">
        <f>HYPERLINK("https://klasma.github.io/Logging_2380/klagomålsmail/A 27578-2022 FSC-klagomål mail.docx", "A 27578-2022")</f>
        <v/>
      </c>
      <c r="X158">
        <f>HYPERLINK("https://klasma.github.io/Logging_2380/tillsyn/A 27578-2022 tillsynsbegäran.docx", "A 27578-2022")</f>
        <v/>
      </c>
      <c r="Y158">
        <f>HYPERLINK("https://klasma.github.io/Logging_2380/tillsynsmail/A 27578-2022 tillsynsbegäran mail.docx", "A 27578-2022")</f>
        <v/>
      </c>
    </row>
    <row r="159" ht="15" customHeight="1">
      <c r="A159" t="inlineStr">
        <is>
          <t>A 27576-2022</t>
        </is>
      </c>
      <c r="B159" s="1" t="n">
        <v>44742</v>
      </c>
      <c r="C159" s="1" t="n">
        <v>45742</v>
      </c>
      <c r="D159" t="inlineStr">
        <is>
          <t>JÄMTLANDS LÄN</t>
        </is>
      </c>
      <c r="E159" t="inlineStr">
        <is>
          <t>ÖSTERSUND</t>
        </is>
      </c>
      <c r="F159" t="inlineStr">
        <is>
          <t>SCA</t>
        </is>
      </c>
      <c r="G159" t="n">
        <v>0.6</v>
      </c>
      <c r="H159" t="n">
        <v>0</v>
      </c>
      <c r="I159" t="n">
        <v>0</v>
      </c>
      <c r="J159" t="n">
        <v>1</v>
      </c>
      <c r="K159" t="n">
        <v>0</v>
      </c>
      <c r="L159" t="n">
        <v>0</v>
      </c>
      <c r="M159" t="n">
        <v>0</v>
      </c>
      <c r="N159" t="n">
        <v>0</v>
      </c>
      <c r="O159" t="n">
        <v>1</v>
      </c>
      <c r="P159" t="n">
        <v>0</v>
      </c>
      <c r="Q159" t="n">
        <v>1</v>
      </c>
      <c r="R159" s="2" t="inlineStr">
        <is>
          <t>Ullticka</t>
        </is>
      </c>
      <c r="S159">
        <f>HYPERLINK("https://klasma.github.io/Logging_2380/artfynd/A 27576-2022 artfynd.xlsx", "A 27576-2022")</f>
        <v/>
      </c>
      <c r="T159">
        <f>HYPERLINK("https://klasma.github.io/Logging_2380/kartor/A 27576-2022 karta.png", "A 27576-2022")</f>
        <v/>
      </c>
      <c r="U159">
        <f>HYPERLINK("https://klasma.github.io/Logging_2380/knärot/A 27576-2022 karta knärot.png", "A 27576-2022")</f>
        <v/>
      </c>
      <c r="V159">
        <f>HYPERLINK("https://klasma.github.io/Logging_2380/klagomål/A 27576-2022 FSC-klagomål.docx", "A 27576-2022")</f>
        <v/>
      </c>
      <c r="W159">
        <f>HYPERLINK("https://klasma.github.io/Logging_2380/klagomålsmail/A 27576-2022 FSC-klagomål mail.docx", "A 27576-2022")</f>
        <v/>
      </c>
      <c r="X159">
        <f>HYPERLINK("https://klasma.github.io/Logging_2380/tillsyn/A 27576-2022 tillsynsbegäran.docx", "A 27576-2022")</f>
        <v/>
      </c>
      <c r="Y159">
        <f>HYPERLINK("https://klasma.github.io/Logging_2380/tillsynsmail/A 27576-2022 tillsynsbegäran mail.docx", "A 27576-2022")</f>
        <v/>
      </c>
    </row>
    <row r="160" ht="15" customHeight="1">
      <c r="A160" t="inlineStr">
        <is>
          <t>A 33267-2022</t>
        </is>
      </c>
      <c r="B160" s="1" t="n">
        <v>44785</v>
      </c>
      <c r="C160" s="1" t="n">
        <v>45742</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43947-2022</t>
        </is>
      </c>
      <c r="B161" s="1" t="n">
        <v>44838</v>
      </c>
      <c r="C161" s="1" t="n">
        <v>45742</v>
      </c>
      <c r="D161" t="inlineStr">
        <is>
          <t>JÄMTLANDS LÄN</t>
        </is>
      </c>
      <c r="E161" t="inlineStr">
        <is>
          <t>ÖSTERSUND</t>
        </is>
      </c>
      <c r="F161" t="inlineStr">
        <is>
          <t>Övriga Aktiebolag</t>
        </is>
      </c>
      <c r="G161" t="n">
        <v>15.7</v>
      </c>
      <c r="H161" t="n">
        <v>0</v>
      </c>
      <c r="I161" t="n">
        <v>0</v>
      </c>
      <c r="J161" t="n">
        <v>0</v>
      </c>
      <c r="K161" t="n">
        <v>1</v>
      </c>
      <c r="L161" t="n">
        <v>0</v>
      </c>
      <c r="M161" t="n">
        <v>0</v>
      </c>
      <c r="N161" t="n">
        <v>0</v>
      </c>
      <c r="O161" t="n">
        <v>1</v>
      </c>
      <c r="P161" t="n">
        <v>1</v>
      </c>
      <c r="Q161" t="n">
        <v>1</v>
      </c>
      <c r="R161" s="2" t="inlineStr">
        <is>
          <t>Sprickporing</t>
        </is>
      </c>
      <c r="S161">
        <f>HYPERLINK("https://klasma.github.io/Logging_2380/artfynd/A 43947-2022 artfynd.xlsx", "A 43947-2022")</f>
        <v/>
      </c>
      <c r="T161">
        <f>HYPERLINK("https://klasma.github.io/Logging_2380/kartor/A 43947-2022 karta.png", "A 43947-2022")</f>
        <v/>
      </c>
      <c r="V161">
        <f>HYPERLINK("https://klasma.github.io/Logging_2380/klagomål/A 43947-2022 FSC-klagomål.docx", "A 43947-2022")</f>
        <v/>
      </c>
      <c r="W161">
        <f>HYPERLINK("https://klasma.github.io/Logging_2380/klagomålsmail/A 43947-2022 FSC-klagomål mail.docx", "A 43947-2022")</f>
        <v/>
      </c>
      <c r="X161">
        <f>HYPERLINK("https://klasma.github.io/Logging_2380/tillsyn/A 43947-2022 tillsynsbegäran.docx", "A 43947-2022")</f>
        <v/>
      </c>
      <c r="Y161">
        <f>HYPERLINK("https://klasma.github.io/Logging_2380/tillsynsmail/A 43947-2022 tillsynsbegäran mail.docx", "A 43947-2022")</f>
        <v/>
      </c>
    </row>
    <row r="162" ht="15" customHeight="1">
      <c r="A162" t="inlineStr">
        <is>
          <t>A 45441-2022</t>
        </is>
      </c>
      <c r="B162" s="1" t="n">
        <v>44844</v>
      </c>
      <c r="C162" s="1" t="n">
        <v>45742</v>
      </c>
      <c r="D162" t="inlineStr">
        <is>
          <t>JÄMTLANDS LÄN</t>
        </is>
      </c>
      <c r="E162" t="inlineStr">
        <is>
          <t>ÖSTERSUND</t>
        </is>
      </c>
      <c r="F162" t="inlineStr">
        <is>
          <t>SCA</t>
        </is>
      </c>
      <c r="G162" t="n">
        <v>1.8</v>
      </c>
      <c r="H162" t="n">
        <v>0</v>
      </c>
      <c r="I162" t="n">
        <v>1</v>
      </c>
      <c r="J162" t="n">
        <v>0</v>
      </c>
      <c r="K162" t="n">
        <v>0</v>
      </c>
      <c r="L162" t="n">
        <v>0</v>
      </c>
      <c r="M162" t="n">
        <v>0</v>
      </c>
      <c r="N162" t="n">
        <v>0</v>
      </c>
      <c r="O162" t="n">
        <v>0</v>
      </c>
      <c r="P162" t="n">
        <v>0</v>
      </c>
      <c r="Q162" t="n">
        <v>1</v>
      </c>
      <c r="R162" s="2" t="inlineStr">
        <is>
          <t>Korallblylav</t>
        </is>
      </c>
      <c r="S162">
        <f>HYPERLINK("https://klasma.github.io/Logging_2380/artfynd/A 45441-2022 artfynd.xlsx", "A 45441-2022")</f>
        <v/>
      </c>
      <c r="T162">
        <f>HYPERLINK("https://klasma.github.io/Logging_2380/kartor/A 45441-2022 karta.png", "A 45441-2022")</f>
        <v/>
      </c>
      <c r="V162">
        <f>HYPERLINK("https://klasma.github.io/Logging_2380/klagomål/A 45441-2022 FSC-klagomål.docx", "A 45441-2022")</f>
        <v/>
      </c>
      <c r="W162">
        <f>HYPERLINK("https://klasma.github.io/Logging_2380/klagomålsmail/A 45441-2022 FSC-klagomål mail.docx", "A 45441-2022")</f>
        <v/>
      </c>
      <c r="X162">
        <f>HYPERLINK("https://klasma.github.io/Logging_2380/tillsyn/A 45441-2022 tillsynsbegäran.docx", "A 45441-2022")</f>
        <v/>
      </c>
      <c r="Y162">
        <f>HYPERLINK("https://klasma.github.io/Logging_2380/tillsynsmail/A 45441-2022 tillsynsbegäran mail.docx", "A 45441-2022")</f>
        <v/>
      </c>
    </row>
    <row r="163" ht="15" customHeight="1">
      <c r="A163" t="inlineStr">
        <is>
          <t>A 56245-2022</t>
        </is>
      </c>
      <c r="B163" s="1" t="n">
        <v>44890</v>
      </c>
      <c r="C163" s="1" t="n">
        <v>45742</v>
      </c>
      <c r="D163" t="inlineStr">
        <is>
          <t>JÄMTLANDS LÄN</t>
        </is>
      </c>
      <c r="E163" t="inlineStr">
        <is>
          <t>ÖSTERSUND</t>
        </is>
      </c>
      <c r="F163" t="inlineStr">
        <is>
          <t>Övriga Aktiebolag</t>
        </is>
      </c>
      <c r="G163" t="n">
        <v>10.6</v>
      </c>
      <c r="H163" t="n">
        <v>0</v>
      </c>
      <c r="I163" t="n">
        <v>0</v>
      </c>
      <c r="J163" t="n">
        <v>1</v>
      </c>
      <c r="K163" t="n">
        <v>0</v>
      </c>
      <c r="L163" t="n">
        <v>0</v>
      </c>
      <c r="M163" t="n">
        <v>0</v>
      </c>
      <c r="N163" t="n">
        <v>0</v>
      </c>
      <c r="O163" t="n">
        <v>1</v>
      </c>
      <c r="P163" t="n">
        <v>0</v>
      </c>
      <c r="Q163" t="n">
        <v>1</v>
      </c>
      <c r="R163" s="2" t="inlineStr">
        <is>
          <t>Garnlav</t>
        </is>
      </c>
      <c r="S163">
        <f>HYPERLINK("https://klasma.github.io/Logging_2380/artfynd/A 56245-2022 artfynd.xlsx", "A 56245-2022")</f>
        <v/>
      </c>
      <c r="T163">
        <f>HYPERLINK("https://klasma.github.io/Logging_2380/kartor/A 56245-2022 karta.png", "A 56245-2022")</f>
        <v/>
      </c>
      <c r="V163">
        <f>HYPERLINK("https://klasma.github.io/Logging_2380/klagomål/A 56245-2022 FSC-klagomål.docx", "A 56245-2022")</f>
        <v/>
      </c>
      <c r="W163">
        <f>HYPERLINK("https://klasma.github.io/Logging_2380/klagomålsmail/A 56245-2022 FSC-klagomål mail.docx", "A 56245-2022")</f>
        <v/>
      </c>
      <c r="X163">
        <f>HYPERLINK("https://klasma.github.io/Logging_2380/tillsyn/A 56245-2022 tillsynsbegäran.docx", "A 56245-2022")</f>
        <v/>
      </c>
      <c r="Y163">
        <f>HYPERLINK("https://klasma.github.io/Logging_2380/tillsynsmail/A 56245-2022 tillsynsbegäran mail.docx", "A 56245-2022")</f>
        <v/>
      </c>
    </row>
    <row r="164" ht="15" customHeight="1">
      <c r="A164" t="inlineStr">
        <is>
          <t>A 58181-2022</t>
        </is>
      </c>
      <c r="B164" s="1" t="n">
        <v>44900</v>
      </c>
      <c r="C164" s="1" t="n">
        <v>45742</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59739-2022</t>
        </is>
      </c>
      <c r="B165" s="1" t="n">
        <v>44908</v>
      </c>
      <c r="C165" s="1" t="n">
        <v>45742</v>
      </c>
      <c r="D165" t="inlineStr">
        <is>
          <t>JÄMTLANDS LÄN</t>
        </is>
      </c>
      <c r="E165" t="inlineStr">
        <is>
          <t>ÖSTERSUND</t>
        </is>
      </c>
      <c r="F165" t="inlineStr">
        <is>
          <t>Kommuner</t>
        </is>
      </c>
      <c r="G165" t="n">
        <v>1.9</v>
      </c>
      <c r="H165" t="n">
        <v>0</v>
      </c>
      <c r="I165" t="n">
        <v>1</v>
      </c>
      <c r="J165" t="n">
        <v>0</v>
      </c>
      <c r="K165" t="n">
        <v>0</v>
      </c>
      <c r="L165" t="n">
        <v>0</v>
      </c>
      <c r="M165" t="n">
        <v>0</v>
      </c>
      <c r="N165" t="n">
        <v>0</v>
      </c>
      <c r="O165" t="n">
        <v>0</v>
      </c>
      <c r="P165" t="n">
        <v>0</v>
      </c>
      <c r="Q165" t="n">
        <v>1</v>
      </c>
      <c r="R165" s="2" t="inlineStr">
        <is>
          <t>Vedticka</t>
        </is>
      </c>
      <c r="S165">
        <f>HYPERLINK("https://klasma.github.io/Logging_2380/artfynd/A 59739-2022 artfynd.xlsx", "A 59739-2022")</f>
        <v/>
      </c>
      <c r="T165">
        <f>HYPERLINK("https://klasma.github.io/Logging_2380/kartor/A 59739-2022 karta.png", "A 59739-2022")</f>
        <v/>
      </c>
      <c r="V165">
        <f>HYPERLINK("https://klasma.github.io/Logging_2380/klagomål/A 59739-2022 FSC-klagomål.docx", "A 59739-2022")</f>
        <v/>
      </c>
      <c r="W165">
        <f>HYPERLINK("https://klasma.github.io/Logging_2380/klagomålsmail/A 59739-2022 FSC-klagomål mail.docx", "A 59739-2022")</f>
        <v/>
      </c>
      <c r="X165">
        <f>HYPERLINK("https://klasma.github.io/Logging_2380/tillsyn/A 59739-2022 tillsynsbegäran.docx", "A 59739-2022")</f>
        <v/>
      </c>
      <c r="Y165">
        <f>HYPERLINK("https://klasma.github.io/Logging_2380/tillsynsmail/A 59739-2022 tillsynsbegäran mail.docx", "A 59739-2022")</f>
        <v/>
      </c>
    </row>
    <row r="166" ht="15" customHeight="1">
      <c r="A166" t="inlineStr">
        <is>
          <t>A 28980-2023</t>
        </is>
      </c>
      <c r="B166" s="1" t="n">
        <v>45096</v>
      </c>
      <c r="C166" s="1" t="n">
        <v>45742</v>
      </c>
      <c r="D166" t="inlineStr">
        <is>
          <t>JÄMTLANDS LÄN</t>
        </is>
      </c>
      <c r="E166" t="inlineStr">
        <is>
          <t>ÖSTERSUND</t>
        </is>
      </c>
      <c r="G166" t="n">
        <v>2.7</v>
      </c>
      <c r="H166" t="n">
        <v>0</v>
      </c>
      <c r="I166" t="n">
        <v>1</v>
      </c>
      <c r="J166" t="n">
        <v>0</v>
      </c>
      <c r="K166" t="n">
        <v>0</v>
      </c>
      <c r="L166" t="n">
        <v>0</v>
      </c>
      <c r="M166" t="n">
        <v>0</v>
      </c>
      <c r="N166" t="n">
        <v>0</v>
      </c>
      <c r="O166" t="n">
        <v>0</v>
      </c>
      <c r="P166" t="n">
        <v>0</v>
      </c>
      <c r="Q166" t="n">
        <v>1</v>
      </c>
      <c r="R166" s="2" t="inlineStr">
        <is>
          <t>Finbräken</t>
        </is>
      </c>
      <c r="S166">
        <f>HYPERLINK("https://klasma.github.io/Logging_2380/artfynd/A 28980-2023 artfynd.xlsx", "A 28980-2023")</f>
        <v/>
      </c>
      <c r="T166">
        <f>HYPERLINK("https://klasma.github.io/Logging_2380/kartor/A 28980-2023 karta.png", "A 28980-2023")</f>
        <v/>
      </c>
      <c r="V166">
        <f>HYPERLINK("https://klasma.github.io/Logging_2380/klagomål/A 28980-2023 FSC-klagomål.docx", "A 28980-2023")</f>
        <v/>
      </c>
      <c r="W166">
        <f>HYPERLINK("https://klasma.github.io/Logging_2380/klagomålsmail/A 28980-2023 FSC-klagomål mail.docx", "A 28980-2023")</f>
        <v/>
      </c>
      <c r="X166">
        <f>HYPERLINK("https://klasma.github.io/Logging_2380/tillsyn/A 28980-2023 tillsynsbegäran.docx", "A 28980-2023")</f>
        <v/>
      </c>
      <c r="Y166">
        <f>HYPERLINK("https://klasma.github.io/Logging_2380/tillsynsmail/A 28980-2023 tillsynsbegäran mail.docx", "A 28980-2023")</f>
        <v/>
      </c>
    </row>
    <row r="167" ht="15" customHeight="1">
      <c r="A167" t="inlineStr">
        <is>
          <t>A 32411-2023</t>
        </is>
      </c>
      <c r="B167" s="1" t="n">
        <v>45120</v>
      </c>
      <c r="C167" s="1" t="n">
        <v>45742</v>
      </c>
      <c r="D167" t="inlineStr">
        <is>
          <t>JÄMTLANDS LÄN</t>
        </is>
      </c>
      <c r="E167" t="inlineStr">
        <is>
          <t>ÖSTERSUND</t>
        </is>
      </c>
      <c r="G167" t="n">
        <v>8.5</v>
      </c>
      <c r="H167" t="n">
        <v>1</v>
      </c>
      <c r="I167" t="n">
        <v>1</v>
      </c>
      <c r="J167" t="n">
        <v>0</v>
      </c>
      <c r="K167" t="n">
        <v>0</v>
      </c>
      <c r="L167" t="n">
        <v>0</v>
      </c>
      <c r="M167" t="n">
        <v>0</v>
      </c>
      <c r="N167" t="n">
        <v>0</v>
      </c>
      <c r="O167" t="n">
        <v>0</v>
      </c>
      <c r="P167" t="n">
        <v>0</v>
      </c>
      <c r="Q167" t="n">
        <v>1</v>
      </c>
      <c r="R167" s="2" t="inlineStr">
        <is>
          <t>Spindelblomster</t>
        </is>
      </c>
      <c r="S167">
        <f>HYPERLINK("https://klasma.github.io/Logging_2380/artfynd/A 32411-2023 artfynd.xlsx", "A 32411-2023")</f>
        <v/>
      </c>
      <c r="T167">
        <f>HYPERLINK("https://klasma.github.io/Logging_2380/kartor/A 32411-2023 karta.png", "A 32411-2023")</f>
        <v/>
      </c>
      <c r="V167">
        <f>HYPERLINK("https://klasma.github.io/Logging_2380/klagomål/A 32411-2023 FSC-klagomål.docx", "A 32411-2023")</f>
        <v/>
      </c>
      <c r="W167">
        <f>HYPERLINK("https://klasma.github.io/Logging_2380/klagomålsmail/A 32411-2023 FSC-klagomål mail.docx", "A 32411-2023")</f>
        <v/>
      </c>
      <c r="X167">
        <f>HYPERLINK("https://klasma.github.io/Logging_2380/tillsyn/A 32411-2023 tillsynsbegäran.docx", "A 32411-2023")</f>
        <v/>
      </c>
      <c r="Y167">
        <f>HYPERLINK("https://klasma.github.io/Logging_2380/tillsynsmail/A 32411-2023 tillsynsbegäran mail.docx", "A 32411-2023")</f>
        <v/>
      </c>
    </row>
    <row r="168" ht="15" customHeight="1">
      <c r="A168" t="inlineStr">
        <is>
          <t>A 50825-2023</t>
        </is>
      </c>
      <c r="B168" s="1" t="n">
        <v>45217</v>
      </c>
      <c r="C168" s="1" t="n">
        <v>45742</v>
      </c>
      <c r="D168" t="inlineStr">
        <is>
          <t>JÄMTLANDS LÄN</t>
        </is>
      </c>
      <c r="E168" t="inlineStr">
        <is>
          <t>ÖSTERSUND</t>
        </is>
      </c>
      <c r="G168" t="n">
        <v>24.3</v>
      </c>
      <c r="H168" t="n">
        <v>0</v>
      </c>
      <c r="I168" t="n">
        <v>0</v>
      </c>
      <c r="J168" t="n">
        <v>1</v>
      </c>
      <c r="K168" t="n">
        <v>0</v>
      </c>
      <c r="L168" t="n">
        <v>0</v>
      </c>
      <c r="M168" t="n">
        <v>0</v>
      </c>
      <c r="N168" t="n">
        <v>0</v>
      </c>
      <c r="O168" t="n">
        <v>1</v>
      </c>
      <c r="P168" t="n">
        <v>0</v>
      </c>
      <c r="Q168" t="n">
        <v>1</v>
      </c>
      <c r="R168" s="2" t="inlineStr">
        <is>
          <t>Granticka</t>
        </is>
      </c>
      <c r="S168">
        <f>HYPERLINK("https://klasma.github.io/Logging_2380/artfynd/A 50825-2023 artfynd.xlsx", "A 50825-2023")</f>
        <v/>
      </c>
      <c r="T168">
        <f>HYPERLINK("https://klasma.github.io/Logging_2380/kartor/A 50825-2023 karta.png", "A 50825-2023")</f>
        <v/>
      </c>
      <c r="V168">
        <f>HYPERLINK("https://klasma.github.io/Logging_2380/klagomål/A 50825-2023 FSC-klagomål.docx", "A 50825-2023")</f>
        <v/>
      </c>
      <c r="W168">
        <f>HYPERLINK("https://klasma.github.io/Logging_2380/klagomålsmail/A 50825-2023 FSC-klagomål mail.docx", "A 50825-2023")</f>
        <v/>
      </c>
      <c r="X168">
        <f>HYPERLINK("https://klasma.github.io/Logging_2380/tillsyn/A 50825-2023 tillsynsbegäran.docx", "A 50825-2023")</f>
        <v/>
      </c>
      <c r="Y168">
        <f>HYPERLINK("https://klasma.github.io/Logging_2380/tillsynsmail/A 50825-2023 tillsynsbegäran mail.docx", "A 50825-2023")</f>
        <v/>
      </c>
    </row>
    <row r="169" ht="15" customHeight="1">
      <c r="A169" t="inlineStr">
        <is>
          <t>A 56025-2023</t>
        </is>
      </c>
      <c r="B169" s="1" t="n">
        <v>45233</v>
      </c>
      <c r="C169" s="1" t="n">
        <v>45742</v>
      </c>
      <c r="D169" t="inlineStr">
        <is>
          <t>JÄMTLANDS LÄN</t>
        </is>
      </c>
      <c r="E169" t="inlineStr">
        <is>
          <t>ÖSTERSUND</t>
        </is>
      </c>
      <c r="G169" t="n">
        <v>3.9</v>
      </c>
      <c r="H169" t="n">
        <v>1</v>
      </c>
      <c r="I169" t="n">
        <v>0</v>
      </c>
      <c r="J169" t="n">
        <v>1</v>
      </c>
      <c r="K169" t="n">
        <v>0</v>
      </c>
      <c r="L169" t="n">
        <v>0</v>
      </c>
      <c r="M169" t="n">
        <v>0</v>
      </c>
      <c r="N169" t="n">
        <v>0</v>
      </c>
      <c r="O169" t="n">
        <v>1</v>
      </c>
      <c r="P169" t="n">
        <v>0</v>
      </c>
      <c r="Q169" t="n">
        <v>1</v>
      </c>
      <c r="R169" s="2" t="inlineStr">
        <is>
          <t>Jämtlandsmaskros</t>
        </is>
      </c>
      <c r="S169">
        <f>HYPERLINK("https://klasma.github.io/Logging_2380/artfynd/A 56025-2023 artfynd.xlsx", "A 56025-2023")</f>
        <v/>
      </c>
      <c r="T169">
        <f>HYPERLINK("https://klasma.github.io/Logging_2380/kartor/A 56025-2023 karta.png", "A 56025-2023")</f>
        <v/>
      </c>
      <c r="V169">
        <f>HYPERLINK("https://klasma.github.io/Logging_2380/klagomål/A 56025-2023 FSC-klagomål.docx", "A 56025-2023")</f>
        <v/>
      </c>
      <c r="W169">
        <f>HYPERLINK("https://klasma.github.io/Logging_2380/klagomålsmail/A 56025-2023 FSC-klagomål mail.docx", "A 56025-2023")</f>
        <v/>
      </c>
      <c r="X169">
        <f>HYPERLINK("https://klasma.github.io/Logging_2380/tillsyn/A 56025-2023 tillsynsbegäran.docx", "A 56025-2023")</f>
        <v/>
      </c>
      <c r="Y169">
        <f>HYPERLINK("https://klasma.github.io/Logging_2380/tillsynsmail/A 56025-2023 tillsynsbegäran mail.docx", "A 56025-2023")</f>
        <v/>
      </c>
    </row>
    <row r="170" ht="15" customHeight="1">
      <c r="A170" t="inlineStr">
        <is>
          <t>A 57864-2023</t>
        </is>
      </c>
      <c r="B170" s="1" t="n">
        <v>45244</v>
      </c>
      <c r="C170" s="1" t="n">
        <v>45742</v>
      </c>
      <c r="D170" t="inlineStr">
        <is>
          <t>JÄMTLANDS LÄN</t>
        </is>
      </c>
      <c r="E170" t="inlineStr">
        <is>
          <t>ÖSTERSUND</t>
        </is>
      </c>
      <c r="G170" t="n">
        <v>3.1</v>
      </c>
      <c r="H170" t="n">
        <v>1</v>
      </c>
      <c r="I170" t="n">
        <v>0</v>
      </c>
      <c r="J170" t="n">
        <v>0</v>
      </c>
      <c r="K170" t="n">
        <v>0</v>
      </c>
      <c r="L170" t="n">
        <v>0</v>
      </c>
      <c r="M170" t="n">
        <v>0</v>
      </c>
      <c r="N170" t="n">
        <v>0</v>
      </c>
      <c r="O170" t="n">
        <v>0</v>
      </c>
      <c r="P170" t="n">
        <v>0</v>
      </c>
      <c r="Q170" t="n">
        <v>1</v>
      </c>
      <c r="R170" s="2" t="inlineStr">
        <is>
          <t>Mattlummer</t>
        </is>
      </c>
      <c r="S170">
        <f>HYPERLINK("https://klasma.github.io/Logging_2380/artfynd/A 57864-2023 artfynd.xlsx", "A 57864-2023")</f>
        <v/>
      </c>
      <c r="T170">
        <f>HYPERLINK("https://klasma.github.io/Logging_2380/kartor/A 57864-2023 karta.png", "A 57864-2023")</f>
        <v/>
      </c>
      <c r="V170">
        <f>HYPERLINK("https://klasma.github.io/Logging_2380/klagomål/A 57864-2023 FSC-klagomål.docx", "A 57864-2023")</f>
        <v/>
      </c>
      <c r="W170">
        <f>HYPERLINK("https://klasma.github.io/Logging_2380/klagomålsmail/A 57864-2023 FSC-klagomål mail.docx", "A 57864-2023")</f>
        <v/>
      </c>
      <c r="X170">
        <f>HYPERLINK("https://klasma.github.io/Logging_2380/tillsyn/A 57864-2023 tillsynsbegäran.docx", "A 57864-2023")</f>
        <v/>
      </c>
      <c r="Y170">
        <f>HYPERLINK("https://klasma.github.io/Logging_2380/tillsynsmail/A 57864-2023 tillsynsbegäran mail.docx", "A 57864-2023")</f>
        <v/>
      </c>
    </row>
    <row r="171" ht="15" customHeight="1">
      <c r="A171" t="inlineStr">
        <is>
          <t>A 64380-2023</t>
        </is>
      </c>
      <c r="B171" s="1" t="n">
        <v>45280</v>
      </c>
      <c r="C171" s="1" t="n">
        <v>45742</v>
      </c>
      <c r="D171" t="inlineStr">
        <is>
          <t>JÄMTLANDS LÄN</t>
        </is>
      </c>
      <c r="E171" t="inlineStr">
        <is>
          <t>ÖSTERSUND</t>
        </is>
      </c>
      <c r="G171" t="n">
        <v>12.4</v>
      </c>
      <c r="H171" t="n">
        <v>0</v>
      </c>
      <c r="I171" t="n">
        <v>0</v>
      </c>
      <c r="J171" t="n">
        <v>1</v>
      </c>
      <c r="K171" t="n">
        <v>0</v>
      </c>
      <c r="L171" t="n">
        <v>0</v>
      </c>
      <c r="M171" t="n">
        <v>0</v>
      </c>
      <c r="N171" t="n">
        <v>0</v>
      </c>
      <c r="O171" t="n">
        <v>1</v>
      </c>
      <c r="P171" t="n">
        <v>0</v>
      </c>
      <c r="Q171" t="n">
        <v>1</v>
      </c>
      <c r="R171" s="2" t="inlineStr">
        <is>
          <t>Luddfingersvamp</t>
        </is>
      </c>
      <c r="S171">
        <f>HYPERLINK("https://klasma.github.io/Logging_2380/artfynd/A 64380-2023 artfynd.xlsx", "A 64380-2023")</f>
        <v/>
      </c>
      <c r="T171">
        <f>HYPERLINK("https://klasma.github.io/Logging_2380/kartor/A 64380-2023 karta.png", "A 64380-2023")</f>
        <v/>
      </c>
      <c r="V171">
        <f>HYPERLINK("https://klasma.github.io/Logging_2380/klagomål/A 64380-2023 FSC-klagomål.docx", "A 64380-2023")</f>
        <v/>
      </c>
      <c r="W171">
        <f>HYPERLINK("https://klasma.github.io/Logging_2380/klagomålsmail/A 64380-2023 FSC-klagomål mail.docx", "A 64380-2023")</f>
        <v/>
      </c>
      <c r="X171">
        <f>HYPERLINK("https://klasma.github.io/Logging_2380/tillsyn/A 64380-2023 tillsynsbegäran.docx", "A 64380-2023")</f>
        <v/>
      </c>
      <c r="Y171">
        <f>HYPERLINK("https://klasma.github.io/Logging_2380/tillsynsmail/A 64380-2023 tillsynsbegäran mail.docx", "A 64380-2023")</f>
        <v/>
      </c>
    </row>
    <row r="172" ht="15" customHeight="1">
      <c r="A172" t="inlineStr">
        <is>
          <t>A 3272-2024</t>
        </is>
      </c>
      <c r="B172" s="1" t="n">
        <v>45316</v>
      </c>
      <c r="C172" s="1" t="n">
        <v>45742</v>
      </c>
      <c r="D172" t="inlineStr">
        <is>
          <t>JÄMTLANDS LÄN</t>
        </is>
      </c>
      <c r="E172" t="inlineStr">
        <is>
          <t>ÖSTERSUND</t>
        </is>
      </c>
      <c r="G172" t="n">
        <v>5.6</v>
      </c>
      <c r="H172" t="n">
        <v>1</v>
      </c>
      <c r="I172" t="n">
        <v>1</v>
      </c>
      <c r="J172" t="n">
        <v>0</v>
      </c>
      <c r="K172" t="n">
        <v>0</v>
      </c>
      <c r="L172" t="n">
        <v>0</v>
      </c>
      <c r="M172" t="n">
        <v>0</v>
      </c>
      <c r="N172" t="n">
        <v>0</v>
      </c>
      <c r="O172" t="n">
        <v>0</v>
      </c>
      <c r="P172" t="n">
        <v>0</v>
      </c>
      <c r="Q172" t="n">
        <v>1</v>
      </c>
      <c r="R172" s="2" t="inlineStr">
        <is>
          <t>Korallrot</t>
        </is>
      </c>
      <c r="S172">
        <f>HYPERLINK("https://klasma.github.io/Logging_2380/artfynd/A 3272-2024 artfynd.xlsx", "A 3272-2024")</f>
        <v/>
      </c>
      <c r="T172">
        <f>HYPERLINK("https://klasma.github.io/Logging_2380/kartor/A 3272-2024 karta.png", "A 3272-2024")</f>
        <v/>
      </c>
      <c r="V172">
        <f>HYPERLINK("https://klasma.github.io/Logging_2380/klagomål/A 3272-2024 FSC-klagomål.docx", "A 3272-2024")</f>
        <v/>
      </c>
      <c r="W172">
        <f>HYPERLINK("https://klasma.github.io/Logging_2380/klagomålsmail/A 3272-2024 FSC-klagomål mail.docx", "A 3272-2024")</f>
        <v/>
      </c>
      <c r="X172">
        <f>HYPERLINK("https://klasma.github.io/Logging_2380/tillsyn/A 3272-2024 tillsynsbegäran.docx", "A 3272-2024")</f>
        <v/>
      </c>
      <c r="Y172">
        <f>HYPERLINK("https://klasma.github.io/Logging_2380/tillsynsmail/A 3272-2024 tillsynsbegäran mail.docx", "A 3272-2024")</f>
        <v/>
      </c>
    </row>
    <row r="173" ht="15" customHeight="1">
      <c r="A173" t="inlineStr">
        <is>
          <t>A 5781-2024</t>
        </is>
      </c>
      <c r="B173" s="1" t="n">
        <v>45335</v>
      </c>
      <c r="C173" s="1" t="n">
        <v>45742</v>
      </c>
      <c r="D173" t="inlineStr">
        <is>
          <t>JÄMTLANDS LÄN</t>
        </is>
      </c>
      <c r="E173" t="inlineStr">
        <is>
          <t>ÖSTERSUND</t>
        </is>
      </c>
      <c r="G173" t="n">
        <v>8.800000000000001</v>
      </c>
      <c r="H173" t="n">
        <v>1</v>
      </c>
      <c r="I173" t="n">
        <v>1</v>
      </c>
      <c r="J173" t="n">
        <v>0</v>
      </c>
      <c r="K173" t="n">
        <v>0</v>
      </c>
      <c r="L173" t="n">
        <v>0</v>
      </c>
      <c r="M173" t="n">
        <v>0</v>
      </c>
      <c r="N173" t="n">
        <v>0</v>
      </c>
      <c r="O173" t="n">
        <v>0</v>
      </c>
      <c r="P173" t="n">
        <v>0</v>
      </c>
      <c r="Q173" t="n">
        <v>1</v>
      </c>
      <c r="R173" s="2" t="inlineStr">
        <is>
          <t>Guckusko</t>
        </is>
      </c>
      <c r="S173">
        <f>HYPERLINK("https://klasma.github.io/Logging_2380/artfynd/A 5781-2024 artfynd.xlsx", "A 5781-2024")</f>
        <v/>
      </c>
      <c r="T173">
        <f>HYPERLINK("https://klasma.github.io/Logging_2380/kartor/A 5781-2024 karta.png", "A 5781-2024")</f>
        <v/>
      </c>
      <c r="V173">
        <f>HYPERLINK("https://klasma.github.io/Logging_2380/klagomål/A 5781-2024 FSC-klagomål.docx", "A 5781-2024")</f>
        <v/>
      </c>
      <c r="W173">
        <f>HYPERLINK("https://klasma.github.io/Logging_2380/klagomålsmail/A 5781-2024 FSC-klagomål mail.docx", "A 5781-2024")</f>
        <v/>
      </c>
      <c r="X173">
        <f>HYPERLINK("https://klasma.github.io/Logging_2380/tillsyn/A 5781-2024 tillsynsbegäran.docx", "A 5781-2024")</f>
        <v/>
      </c>
      <c r="Y173">
        <f>HYPERLINK("https://klasma.github.io/Logging_2380/tillsynsmail/A 5781-2024 tillsynsbegäran mail.docx", "A 5781-2024")</f>
        <v/>
      </c>
    </row>
    <row r="174" ht="15" customHeight="1">
      <c r="A174" t="inlineStr">
        <is>
          <t>A 5779-2024</t>
        </is>
      </c>
      <c r="B174" s="1" t="n">
        <v>45335</v>
      </c>
      <c r="C174" s="1" t="n">
        <v>45742</v>
      </c>
      <c r="D174" t="inlineStr">
        <is>
          <t>JÄMTLANDS LÄN</t>
        </is>
      </c>
      <c r="E174" t="inlineStr">
        <is>
          <t>ÖSTERSUND</t>
        </is>
      </c>
      <c r="G174" t="n">
        <v>9.9</v>
      </c>
      <c r="H174" t="n">
        <v>0</v>
      </c>
      <c r="I174" t="n">
        <v>1</v>
      </c>
      <c r="J174" t="n">
        <v>0</v>
      </c>
      <c r="K174" t="n">
        <v>0</v>
      </c>
      <c r="L174" t="n">
        <v>0</v>
      </c>
      <c r="M174" t="n">
        <v>0</v>
      </c>
      <c r="N174" t="n">
        <v>0</v>
      </c>
      <c r="O174" t="n">
        <v>0</v>
      </c>
      <c r="P174" t="n">
        <v>0</v>
      </c>
      <c r="Q174" t="n">
        <v>1</v>
      </c>
      <c r="R174" s="2" t="inlineStr">
        <is>
          <t>Kransrams</t>
        </is>
      </c>
      <c r="S174">
        <f>HYPERLINK("https://klasma.github.io/Logging_2380/artfynd/A 5779-2024 artfynd.xlsx", "A 5779-2024")</f>
        <v/>
      </c>
      <c r="T174">
        <f>HYPERLINK("https://klasma.github.io/Logging_2380/kartor/A 5779-2024 karta.png", "A 5779-2024")</f>
        <v/>
      </c>
      <c r="V174">
        <f>HYPERLINK("https://klasma.github.io/Logging_2380/klagomål/A 5779-2024 FSC-klagomål.docx", "A 5779-2024")</f>
        <v/>
      </c>
      <c r="W174">
        <f>HYPERLINK("https://klasma.github.io/Logging_2380/klagomålsmail/A 5779-2024 FSC-klagomål mail.docx", "A 5779-2024")</f>
        <v/>
      </c>
      <c r="X174">
        <f>HYPERLINK("https://klasma.github.io/Logging_2380/tillsyn/A 5779-2024 tillsynsbegäran.docx", "A 5779-2024")</f>
        <v/>
      </c>
      <c r="Y174">
        <f>HYPERLINK("https://klasma.github.io/Logging_2380/tillsynsmail/A 5779-2024 tillsynsbegäran mail.docx", "A 5779-2024")</f>
        <v/>
      </c>
    </row>
    <row r="175" ht="15" customHeight="1">
      <c r="A175" t="inlineStr">
        <is>
          <t>A 11513-2024</t>
        </is>
      </c>
      <c r="B175" s="1" t="n">
        <v>45372</v>
      </c>
      <c r="C175" s="1" t="n">
        <v>45742</v>
      </c>
      <c r="D175" t="inlineStr">
        <is>
          <t>JÄMTLANDS LÄN</t>
        </is>
      </c>
      <c r="E175" t="inlineStr">
        <is>
          <t>ÖSTERSUND</t>
        </is>
      </c>
      <c r="G175" t="n">
        <v>21.2</v>
      </c>
      <c r="H175" t="n">
        <v>0</v>
      </c>
      <c r="I175" t="n">
        <v>1</v>
      </c>
      <c r="J175" t="n">
        <v>0</v>
      </c>
      <c r="K175" t="n">
        <v>0</v>
      </c>
      <c r="L175" t="n">
        <v>0</v>
      </c>
      <c r="M175" t="n">
        <v>0</v>
      </c>
      <c r="N175" t="n">
        <v>0</v>
      </c>
      <c r="O175" t="n">
        <v>0</v>
      </c>
      <c r="P175" t="n">
        <v>0</v>
      </c>
      <c r="Q175" t="n">
        <v>1</v>
      </c>
      <c r="R175" s="2" t="inlineStr">
        <is>
          <t>Tibast</t>
        </is>
      </c>
      <c r="S175">
        <f>HYPERLINK("https://klasma.github.io/Logging_2380/artfynd/A 11513-2024 artfynd.xlsx", "A 11513-2024")</f>
        <v/>
      </c>
      <c r="T175">
        <f>HYPERLINK("https://klasma.github.io/Logging_2380/kartor/A 11513-2024 karta.png", "A 11513-2024")</f>
        <v/>
      </c>
      <c r="V175">
        <f>HYPERLINK("https://klasma.github.io/Logging_2380/klagomål/A 11513-2024 FSC-klagomål.docx", "A 11513-2024")</f>
        <v/>
      </c>
      <c r="W175">
        <f>HYPERLINK("https://klasma.github.io/Logging_2380/klagomålsmail/A 11513-2024 FSC-klagomål mail.docx", "A 11513-2024")</f>
        <v/>
      </c>
      <c r="X175">
        <f>HYPERLINK("https://klasma.github.io/Logging_2380/tillsyn/A 11513-2024 tillsynsbegäran.docx", "A 11513-2024")</f>
        <v/>
      </c>
      <c r="Y175">
        <f>HYPERLINK("https://klasma.github.io/Logging_2380/tillsynsmail/A 11513-2024 tillsynsbegäran mail.docx", "A 11513-2024")</f>
        <v/>
      </c>
    </row>
    <row r="176" ht="15" customHeight="1">
      <c r="A176" t="inlineStr">
        <is>
          <t>A 15090-2024</t>
        </is>
      </c>
      <c r="B176" s="1" t="n">
        <v>45399</v>
      </c>
      <c r="C176" s="1" t="n">
        <v>45742</v>
      </c>
      <c r="D176" t="inlineStr">
        <is>
          <t>JÄMTLANDS LÄN</t>
        </is>
      </c>
      <c r="E176" t="inlineStr">
        <is>
          <t>ÖSTERSUND</t>
        </is>
      </c>
      <c r="G176" t="n">
        <v>18</v>
      </c>
      <c r="H176" t="n">
        <v>0</v>
      </c>
      <c r="I176" t="n">
        <v>1</v>
      </c>
      <c r="J176" t="n">
        <v>0</v>
      </c>
      <c r="K176" t="n">
        <v>0</v>
      </c>
      <c r="L176" t="n">
        <v>0</v>
      </c>
      <c r="M176" t="n">
        <v>0</v>
      </c>
      <c r="N176" t="n">
        <v>0</v>
      </c>
      <c r="O176" t="n">
        <v>0</v>
      </c>
      <c r="P176" t="n">
        <v>0</v>
      </c>
      <c r="Q176" t="n">
        <v>1</v>
      </c>
      <c r="R176" s="2" t="inlineStr">
        <is>
          <t>Svavelriska</t>
        </is>
      </c>
      <c r="S176">
        <f>HYPERLINK("https://klasma.github.io/Logging_2380/artfynd/A 15090-2024 artfynd.xlsx", "A 15090-2024")</f>
        <v/>
      </c>
      <c r="T176">
        <f>HYPERLINK("https://klasma.github.io/Logging_2380/kartor/A 15090-2024 karta.png", "A 15090-2024")</f>
        <v/>
      </c>
      <c r="V176">
        <f>HYPERLINK("https://klasma.github.io/Logging_2380/klagomål/A 15090-2024 FSC-klagomål.docx", "A 15090-2024")</f>
        <v/>
      </c>
      <c r="W176">
        <f>HYPERLINK("https://klasma.github.io/Logging_2380/klagomålsmail/A 15090-2024 FSC-klagomål mail.docx", "A 15090-2024")</f>
        <v/>
      </c>
      <c r="X176">
        <f>HYPERLINK("https://klasma.github.io/Logging_2380/tillsyn/A 15090-2024 tillsynsbegäran.docx", "A 15090-2024")</f>
        <v/>
      </c>
      <c r="Y176">
        <f>HYPERLINK("https://klasma.github.io/Logging_2380/tillsynsmail/A 15090-2024 tillsynsbegäran mail.docx", "A 15090-2024")</f>
        <v/>
      </c>
    </row>
    <row r="177" ht="15" customHeight="1">
      <c r="A177" t="inlineStr">
        <is>
          <t>A 18951-2024</t>
        </is>
      </c>
      <c r="B177" s="1" t="n">
        <v>45427</v>
      </c>
      <c r="C177" s="1" t="n">
        <v>45742</v>
      </c>
      <c r="D177" t="inlineStr">
        <is>
          <t>JÄMTLANDS LÄN</t>
        </is>
      </c>
      <c r="E177" t="inlineStr">
        <is>
          <t>ÖSTERSUND</t>
        </is>
      </c>
      <c r="G177" t="n">
        <v>1.7</v>
      </c>
      <c r="H177" t="n">
        <v>1</v>
      </c>
      <c r="I177" t="n">
        <v>0</v>
      </c>
      <c r="J177" t="n">
        <v>0</v>
      </c>
      <c r="K177" t="n">
        <v>0</v>
      </c>
      <c r="L177" t="n">
        <v>0</v>
      </c>
      <c r="M177" t="n">
        <v>0</v>
      </c>
      <c r="N177" t="n">
        <v>0</v>
      </c>
      <c r="O177" t="n">
        <v>0</v>
      </c>
      <c r="P177" t="n">
        <v>0</v>
      </c>
      <c r="Q177" t="n">
        <v>1</v>
      </c>
      <c r="R177" s="2" t="inlineStr">
        <is>
          <t>Blåsippa</t>
        </is>
      </c>
      <c r="S177">
        <f>HYPERLINK("https://klasma.github.io/Logging_2380/artfynd/A 18951-2024 artfynd.xlsx", "A 18951-2024")</f>
        <v/>
      </c>
      <c r="T177">
        <f>HYPERLINK("https://klasma.github.io/Logging_2380/kartor/A 18951-2024 karta.png", "A 18951-2024")</f>
        <v/>
      </c>
      <c r="V177">
        <f>HYPERLINK("https://klasma.github.io/Logging_2380/klagomål/A 18951-2024 FSC-klagomål.docx", "A 18951-2024")</f>
        <v/>
      </c>
      <c r="W177">
        <f>HYPERLINK("https://klasma.github.io/Logging_2380/klagomålsmail/A 18951-2024 FSC-klagomål mail.docx", "A 18951-2024")</f>
        <v/>
      </c>
      <c r="X177">
        <f>HYPERLINK("https://klasma.github.io/Logging_2380/tillsyn/A 18951-2024 tillsynsbegäran.docx", "A 18951-2024")</f>
        <v/>
      </c>
      <c r="Y177">
        <f>HYPERLINK("https://klasma.github.io/Logging_2380/tillsynsmail/A 18951-2024 tillsynsbegäran mail.docx", "A 18951-2024")</f>
        <v/>
      </c>
    </row>
    <row r="178" ht="15" customHeight="1">
      <c r="A178" t="inlineStr">
        <is>
          <t>A 21614-2024</t>
        </is>
      </c>
      <c r="B178" s="1" t="n">
        <v>45442</v>
      </c>
      <c r="C178" s="1" t="n">
        <v>45742</v>
      </c>
      <c r="D178" t="inlineStr">
        <is>
          <t>JÄMTLANDS LÄN</t>
        </is>
      </c>
      <c r="E178" t="inlineStr">
        <is>
          <t>ÖSTERSUND</t>
        </is>
      </c>
      <c r="F178" t="inlineStr">
        <is>
          <t>SCA</t>
        </is>
      </c>
      <c r="G178" t="n">
        <v>3.5</v>
      </c>
      <c r="H178" t="n">
        <v>0</v>
      </c>
      <c r="I178" t="n">
        <v>0</v>
      </c>
      <c r="J178" t="n">
        <v>1</v>
      </c>
      <c r="K178" t="n">
        <v>0</v>
      </c>
      <c r="L178" t="n">
        <v>0</v>
      </c>
      <c r="M178" t="n">
        <v>0</v>
      </c>
      <c r="N178" t="n">
        <v>0</v>
      </c>
      <c r="O178" t="n">
        <v>1</v>
      </c>
      <c r="P178" t="n">
        <v>0</v>
      </c>
      <c r="Q178" t="n">
        <v>1</v>
      </c>
      <c r="R178" s="2" t="inlineStr">
        <is>
          <t>Lunglav</t>
        </is>
      </c>
      <c r="S178">
        <f>HYPERLINK("https://klasma.github.io/Logging_2380/artfynd/A 21614-2024 artfynd.xlsx", "A 21614-2024")</f>
        <v/>
      </c>
      <c r="T178">
        <f>HYPERLINK("https://klasma.github.io/Logging_2380/kartor/A 21614-2024 karta.png", "A 21614-2024")</f>
        <v/>
      </c>
      <c r="U178">
        <f>HYPERLINK("https://klasma.github.io/Logging_2380/knärot/A 21614-2024 karta knärot.png", "A 21614-2024")</f>
        <v/>
      </c>
      <c r="V178">
        <f>HYPERLINK("https://klasma.github.io/Logging_2380/klagomål/A 21614-2024 FSC-klagomål.docx", "A 21614-2024")</f>
        <v/>
      </c>
      <c r="W178">
        <f>HYPERLINK("https://klasma.github.io/Logging_2380/klagomålsmail/A 21614-2024 FSC-klagomål mail.docx", "A 21614-2024")</f>
        <v/>
      </c>
      <c r="X178">
        <f>HYPERLINK("https://klasma.github.io/Logging_2380/tillsyn/A 21614-2024 tillsynsbegäran.docx", "A 21614-2024")</f>
        <v/>
      </c>
      <c r="Y178">
        <f>HYPERLINK("https://klasma.github.io/Logging_2380/tillsynsmail/A 21614-2024 tillsynsbegäran mail.docx", "A 21614-2024")</f>
        <v/>
      </c>
    </row>
    <row r="179" ht="15" customHeight="1">
      <c r="A179" t="inlineStr">
        <is>
          <t>A 31883-2024</t>
        </is>
      </c>
      <c r="B179" s="1" t="n">
        <v>45510</v>
      </c>
      <c r="C179" s="1" t="n">
        <v>45742</v>
      </c>
      <c r="D179" t="inlineStr">
        <is>
          <t>JÄMTLANDS LÄN</t>
        </is>
      </c>
      <c r="E179" t="inlineStr">
        <is>
          <t>ÖSTERSUND</t>
        </is>
      </c>
      <c r="F179" t="inlineStr">
        <is>
          <t>SCA</t>
        </is>
      </c>
      <c r="G179" t="n">
        <v>3.3</v>
      </c>
      <c r="H179" t="n">
        <v>1</v>
      </c>
      <c r="I179" t="n">
        <v>0</v>
      </c>
      <c r="J179" t="n">
        <v>0</v>
      </c>
      <c r="K179" t="n">
        <v>1</v>
      </c>
      <c r="L179" t="n">
        <v>0</v>
      </c>
      <c r="M179" t="n">
        <v>0</v>
      </c>
      <c r="N179" t="n">
        <v>0</v>
      </c>
      <c r="O179" t="n">
        <v>1</v>
      </c>
      <c r="P179" t="n">
        <v>1</v>
      </c>
      <c r="Q179" t="n">
        <v>1</v>
      </c>
      <c r="R179" s="2" t="inlineStr">
        <is>
          <t>Doftticka</t>
        </is>
      </c>
      <c r="S179">
        <f>HYPERLINK("https://klasma.github.io/Logging_2380/artfynd/A 31883-2024 artfynd.xlsx", "A 31883-2024")</f>
        <v/>
      </c>
      <c r="T179">
        <f>HYPERLINK("https://klasma.github.io/Logging_2380/kartor/A 31883-2024 karta.png", "A 31883-2024")</f>
        <v/>
      </c>
      <c r="V179">
        <f>HYPERLINK("https://klasma.github.io/Logging_2380/klagomål/A 31883-2024 FSC-klagomål.docx", "A 31883-2024")</f>
        <v/>
      </c>
      <c r="W179">
        <f>HYPERLINK("https://klasma.github.io/Logging_2380/klagomålsmail/A 31883-2024 FSC-klagomål mail.docx", "A 31883-2024")</f>
        <v/>
      </c>
      <c r="X179">
        <f>HYPERLINK("https://klasma.github.io/Logging_2380/tillsyn/A 31883-2024 tillsynsbegäran.docx", "A 31883-2024")</f>
        <v/>
      </c>
      <c r="Y179">
        <f>HYPERLINK("https://klasma.github.io/Logging_2380/tillsynsmail/A 31883-2024 tillsynsbegäran mail.docx", "A 31883-2024")</f>
        <v/>
      </c>
    </row>
    <row r="180" ht="15" customHeight="1">
      <c r="A180" t="inlineStr">
        <is>
          <t>A 35422-2024</t>
        </is>
      </c>
      <c r="B180" s="1" t="n">
        <v>45531</v>
      </c>
      <c r="C180" s="1" t="n">
        <v>45742</v>
      </c>
      <c r="D180" t="inlineStr">
        <is>
          <t>JÄMTLANDS LÄN</t>
        </is>
      </c>
      <c r="E180" t="inlineStr">
        <is>
          <t>ÖSTERSUND</t>
        </is>
      </c>
      <c r="F180" t="inlineStr">
        <is>
          <t>SCA</t>
        </is>
      </c>
      <c r="G180" t="n">
        <v>1.9</v>
      </c>
      <c r="H180" t="n">
        <v>0</v>
      </c>
      <c r="I180" t="n">
        <v>0</v>
      </c>
      <c r="J180" t="n">
        <v>1</v>
      </c>
      <c r="K180" t="n">
        <v>0</v>
      </c>
      <c r="L180" t="n">
        <v>0</v>
      </c>
      <c r="M180" t="n">
        <v>0</v>
      </c>
      <c r="N180" t="n">
        <v>0</v>
      </c>
      <c r="O180" t="n">
        <v>1</v>
      </c>
      <c r="P180" t="n">
        <v>0</v>
      </c>
      <c r="Q180" t="n">
        <v>1</v>
      </c>
      <c r="R180" s="2" t="inlineStr">
        <is>
          <t>Lunglav</t>
        </is>
      </c>
      <c r="S180">
        <f>HYPERLINK("https://klasma.github.io/Logging_2380/artfynd/A 35422-2024 artfynd.xlsx", "A 35422-2024")</f>
        <v/>
      </c>
      <c r="T180">
        <f>HYPERLINK("https://klasma.github.io/Logging_2380/kartor/A 35422-2024 karta.png", "A 35422-2024")</f>
        <v/>
      </c>
      <c r="V180">
        <f>HYPERLINK("https://klasma.github.io/Logging_2380/klagomål/A 35422-2024 FSC-klagomål.docx", "A 35422-2024")</f>
        <v/>
      </c>
      <c r="W180">
        <f>HYPERLINK("https://klasma.github.io/Logging_2380/klagomålsmail/A 35422-2024 FSC-klagomål mail.docx", "A 35422-2024")</f>
        <v/>
      </c>
      <c r="X180">
        <f>HYPERLINK("https://klasma.github.io/Logging_2380/tillsyn/A 35422-2024 tillsynsbegäran.docx", "A 35422-2024")</f>
        <v/>
      </c>
      <c r="Y180">
        <f>HYPERLINK("https://klasma.github.io/Logging_2380/tillsynsmail/A 35422-2024 tillsynsbegäran mail.docx", "A 35422-2024")</f>
        <v/>
      </c>
    </row>
    <row r="181" ht="15" customHeight="1">
      <c r="A181" t="inlineStr">
        <is>
          <t>A 35421-2024</t>
        </is>
      </c>
      <c r="B181" s="1" t="n">
        <v>45531</v>
      </c>
      <c r="C181" s="1" t="n">
        <v>45742</v>
      </c>
      <c r="D181" t="inlineStr">
        <is>
          <t>JÄMTLANDS LÄN</t>
        </is>
      </c>
      <c r="E181" t="inlineStr">
        <is>
          <t>ÖSTERSUND</t>
        </is>
      </c>
      <c r="F181" t="inlineStr">
        <is>
          <t>SCA</t>
        </is>
      </c>
      <c r="G181" t="n">
        <v>1.6</v>
      </c>
      <c r="H181" t="n">
        <v>0</v>
      </c>
      <c r="I181" t="n">
        <v>1</v>
      </c>
      <c r="J181" t="n">
        <v>0</v>
      </c>
      <c r="K181" t="n">
        <v>0</v>
      </c>
      <c r="L181" t="n">
        <v>0</v>
      </c>
      <c r="M181" t="n">
        <v>0</v>
      </c>
      <c r="N181" t="n">
        <v>0</v>
      </c>
      <c r="O181" t="n">
        <v>0</v>
      </c>
      <c r="P181" t="n">
        <v>0</v>
      </c>
      <c r="Q181" t="n">
        <v>1</v>
      </c>
      <c r="R181" s="2" t="inlineStr">
        <is>
          <t>Dropptaggsvamp</t>
        </is>
      </c>
      <c r="S181">
        <f>HYPERLINK("https://klasma.github.io/Logging_2380/artfynd/A 35421-2024 artfynd.xlsx", "A 35421-2024")</f>
        <v/>
      </c>
      <c r="T181">
        <f>HYPERLINK("https://klasma.github.io/Logging_2380/kartor/A 35421-2024 karta.png", "A 35421-2024")</f>
        <v/>
      </c>
      <c r="V181">
        <f>HYPERLINK("https://klasma.github.io/Logging_2380/klagomål/A 35421-2024 FSC-klagomål.docx", "A 35421-2024")</f>
        <v/>
      </c>
      <c r="W181">
        <f>HYPERLINK("https://klasma.github.io/Logging_2380/klagomålsmail/A 35421-2024 FSC-klagomål mail.docx", "A 35421-2024")</f>
        <v/>
      </c>
      <c r="X181">
        <f>HYPERLINK("https://klasma.github.io/Logging_2380/tillsyn/A 35421-2024 tillsynsbegäran.docx", "A 35421-2024")</f>
        <v/>
      </c>
      <c r="Y181">
        <f>HYPERLINK("https://klasma.github.io/Logging_2380/tillsynsmail/A 35421-2024 tillsynsbegäran mail.docx", "A 35421-2024")</f>
        <v/>
      </c>
    </row>
    <row r="182" ht="15" customHeight="1">
      <c r="A182" t="inlineStr">
        <is>
          <t>A 36472-2024</t>
        </is>
      </c>
      <c r="B182" s="1" t="n">
        <v>45537</v>
      </c>
      <c r="C182" s="1" t="n">
        <v>45742</v>
      </c>
      <c r="D182" t="inlineStr">
        <is>
          <t>JÄMTLANDS LÄN</t>
        </is>
      </c>
      <c r="E182" t="inlineStr">
        <is>
          <t>ÖSTERSUND</t>
        </is>
      </c>
      <c r="F182" t="inlineStr">
        <is>
          <t>SCA</t>
        </is>
      </c>
      <c r="G182" t="n">
        <v>2.1</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36472-2024 artfynd.xlsx", "A 36472-2024")</f>
        <v/>
      </c>
      <c r="T182">
        <f>HYPERLINK("https://klasma.github.io/Logging_2380/kartor/A 36472-2024 karta.png", "A 36472-2024")</f>
        <v/>
      </c>
      <c r="V182">
        <f>HYPERLINK("https://klasma.github.io/Logging_2380/klagomål/A 36472-2024 FSC-klagomål.docx", "A 36472-2024")</f>
        <v/>
      </c>
      <c r="W182">
        <f>HYPERLINK("https://klasma.github.io/Logging_2380/klagomålsmail/A 36472-2024 FSC-klagomål mail.docx", "A 36472-2024")</f>
        <v/>
      </c>
      <c r="X182">
        <f>HYPERLINK("https://klasma.github.io/Logging_2380/tillsyn/A 36472-2024 tillsynsbegäran.docx", "A 36472-2024")</f>
        <v/>
      </c>
      <c r="Y182">
        <f>HYPERLINK("https://klasma.github.io/Logging_2380/tillsynsmail/A 36472-2024 tillsynsbegäran mail.docx", "A 36472-2024")</f>
        <v/>
      </c>
    </row>
    <row r="183" ht="15" customHeight="1">
      <c r="A183" t="inlineStr">
        <is>
          <t>A 40694-2024</t>
        </is>
      </c>
      <c r="B183" s="1" t="n">
        <v>45558</v>
      </c>
      <c r="C183" s="1" t="n">
        <v>45742</v>
      </c>
      <c r="D183" t="inlineStr">
        <is>
          <t>JÄMTLANDS LÄN</t>
        </is>
      </c>
      <c r="E183" t="inlineStr">
        <is>
          <t>ÖSTERSUND</t>
        </is>
      </c>
      <c r="F183" t="inlineStr">
        <is>
          <t>SCA</t>
        </is>
      </c>
      <c r="G183" t="n">
        <v>6.2</v>
      </c>
      <c r="H183" t="n">
        <v>0</v>
      </c>
      <c r="I183" t="n">
        <v>0</v>
      </c>
      <c r="J183" t="n">
        <v>1</v>
      </c>
      <c r="K183" t="n">
        <v>0</v>
      </c>
      <c r="L183" t="n">
        <v>0</v>
      </c>
      <c r="M183" t="n">
        <v>0</v>
      </c>
      <c r="N183" t="n">
        <v>0</v>
      </c>
      <c r="O183" t="n">
        <v>1</v>
      </c>
      <c r="P183" t="n">
        <v>0</v>
      </c>
      <c r="Q183" t="n">
        <v>1</v>
      </c>
      <c r="R183" s="2" t="inlineStr">
        <is>
          <t>Reliktbock</t>
        </is>
      </c>
      <c r="S183">
        <f>HYPERLINK("https://klasma.github.io/Logging_2380/artfynd/A 40694-2024 artfynd.xlsx", "A 40694-2024")</f>
        <v/>
      </c>
      <c r="T183">
        <f>HYPERLINK("https://klasma.github.io/Logging_2380/kartor/A 40694-2024 karta.png", "A 40694-2024")</f>
        <v/>
      </c>
      <c r="V183">
        <f>HYPERLINK("https://klasma.github.io/Logging_2380/klagomål/A 40694-2024 FSC-klagomål.docx", "A 40694-2024")</f>
        <v/>
      </c>
      <c r="W183">
        <f>HYPERLINK("https://klasma.github.io/Logging_2380/klagomålsmail/A 40694-2024 FSC-klagomål mail.docx", "A 40694-2024")</f>
        <v/>
      </c>
      <c r="X183">
        <f>HYPERLINK("https://klasma.github.io/Logging_2380/tillsyn/A 40694-2024 tillsynsbegäran.docx", "A 40694-2024")</f>
        <v/>
      </c>
      <c r="Y183">
        <f>HYPERLINK("https://klasma.github.io/Logging_2380/tillsynsmail/A 40694-2024 tillsynsbegäran mail.docx", "A 40694-2024")</f>
        <v/>
      </c>
    </row>
    <row r="184" ht="15" customHeight="1">
      <c r="A184" t="inlineStr">
        <is>
          <t>A 40692-2024</t>
        </is>
      </c>
      <c r="B184" s="1" t="n">
        <v>45558</v>
      </c>
      <c r="C184" s="1" t="n">
        <v>45742</v>
      </c>
      <c r="D184" t="inlineStr">
        <is>
          <t>JÄMTLANDS LÄN</t>
        </is>
      </c>
      <c r="E184" t="inlineStr">
        <is>
          <t>ÖSTERSUND</t>
        </is>
      </c>
      <c r="F184" t="inlineStr">
        <is>
          <t>SCA</t>
        </is>
      </c>
      <c r="G184" t="n">
        <v>0.9</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40692-2024 artfynd.xlsx", "A 40692-2024")</f>
        <v/>
      </c>
      <c r="T184">
        <f>HYPERLINK("https://klasma.github.io/Logging_2380/kartor/A 40692-2024 karta.png", "A 40692-2024")</f>
        <v/>
      </c>
      <c r="V184">
        <f>HYPERLINK("https://klasma.github.io/Logging_2380/klagomål/A 40692-2024 FSC-klagomål.docx", "A 40692-2024")</f>
        <v/>
      </c>
      <c r="W184">
        <f>HYPERLINK("https://klasma.github.io/Logging_2380/klagomålsmail/A 40692-2024 FSC-klagomål mail.docx", "A 40692-2024")</f>
        <v/>
      </c>
      <c r="X184">
        <f>HYPERLINK("https://klasma.github.io/Logging_2380/tillsyn/A 40692-2024 tillsynsbegäran.docx", "A 40692-2024")</f>
        <v/>
      </c>
      <c r="Y184">
        <f>HYPERLINK("https://klasma.github.io/Logging_2380/tillsynsmail/A 40692-2024 tillsynsbegäran mail.docx", "A 40692-2024")</f>
        <v/>
      </c>
    </row>
    <row r="185" ht="15" customHeight="1">
      <c r="A185" t="inlineStr">
        <is>
          <t>A 40696-2024</t>
        </is>
      </c>
      <c r="B185" s="1" t="n">
        <v>45558</v>
      </c>
      <c r="C185" s="1" t="n">
        <v>45742</v>
      </c>
      <c r="D185" t="inlineStr">
        <is>
          <t>JÄMTLANDS LÄN</t>
        </is>
      </c>
      <c r="E185" t="inlineStr">
        <is>
          <t>ÖSTERSUND</t>
        </is>
      </c>
      <c r="F185" t="inlineStr">
        <is>
          <t>SCA</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HYPERLINK("https://klasma.github.io/Logging_2380/artfynd/A 40696-2024 artfynd.xlsx", "A 40696-2024")</f>
        <v/>
      </c>
      <c r="T185">
        <f>HYPERLINK("https://klasma.github.io/Logging_2380/kartor/A 40696-2024 karta.png", "A 40696-2024")</f>
        <v/>
      </c>
      <c r="V185">
        <f>HYPERLINK("https://klasma.github.io/Logging_2380/klagomål/A 40696-2024 FSC-klagomål.docx", "A 40696-2024")</f>
        <v/>
      </c>
      <c r="W185">
        <f>HYPERLINK("https://klasma.github.io/Logging_2380/klagomålsmail/A 40696-2024 FSC-klagomål mail.docx", "A 40696-2024")</f>
        <v/>
      </c>
      <c r="X185">
        <f>HYPERLINK("https://klasma.github.io/Logging_2380/tillsyn/A 40696-2024 tillsynsbegäran.docx", "A 40696-2024")</f>
        <v/>
      </c>
      <c r="Y185">
        <f>HYPERLINK("https://klasma.github.io/Logging_2380/tillsynsmail/A 40696-2024 tillsynsbegäran mail.docx", "A 40696-2024")</f>
        <v/>
      </c>
    </row>
    <row r="186" ht="15" customHeight="1">
      <c r="A186" t="inlineStr">
        <is>
          <t>A 41312-2024</t>
        </is>
      </c>
      <c r="B186" s="1" t="n">
        <v>45559</v>
      </c>
      <c r="C186" s="1" t="n">
        <v>45742</v>
      </c>
      <c r="D186" t="inlineStr">
        <is>
          <t>JÄMTLANDS LÄN</t>
        </is>
      </c>
      <c r="E186" t="inlineStr">
        <is>
          <t>ÖSTERSUND</t>
        </is>
      </c>
      <c r="F186" t="inlineStr">
        <is>
          <t>SCA</t>
        </is>
      </c>
      <c r="G186" t="n">
        <v>2.6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41312-2024 artfynd.xlsx", "A 41312-2024")</f>
        <v/>
      </c>
      <c r="T186">
        <f>HYPERLINK("https://klasma.github.io/Logging_2380/kartor/A 41312-2024 karta.png", "A 41312-2024")</f>
        <v/>
      </c>
      <c r="V186">
        <f>HYPERLINK("https://klasma.github.io/Logging_2380/klagomål/A 41312-2024 FSC-klagomål.docx", "A 41312-2024")</f>
        <v/>
      </c>
      <c r="W186">
        <f>HYPERLINK("https://klasma.github.io/Logging_2380/klagomålsmail/A 41312-2024 FSC-klagomål mail.docx", "A 41312-2024")</f>
        <v/>
      </c>
      <c r="X186">
        <f>HYPERLINK("https://klasma.github.io/Logging_2380/tillsyn/A 41312-2024 tillsynsbegäran.docx", "A 41312-2024")</f>
        <v/>
      </c>
      <c r="Y186">
        <f>HYPERLINK("https://klasma.github.io/Logging_2380/tillsynsmail/A 41312-2024 tillsynsbegäran mail.docx", "A 41312-2024")</f>
        <v/>
      </c>
    </row>
    <row r="187" ht="15" customHeight="1">
      <c r="A187" t="inlineStr">
        <is>
          <t>A 41275-2024</t>
        </is>
      </c>
      <c r="B187" s="1" t="n">
        <v>45559</v>
      </c>
      <c r="C187" s="1" t="n">
        <v>45742</v>
      </c>
      <c r="D187" t="inlineStr">
        <is>
          <t>JÄMTLANDS LÄN</t>
        </is>
      </c>
      <c r="E187" t="inlineStr">
        <is>
          <t>ÖSTERSUND</t>
        </is>
      </c>
      <c r="F187" t="inlineStr">
        <is>
          <t>SCA</t>
        </is>
      </c>
      <c r="G187" t="n">
        <v>3.3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41275-2024 artfynd.xlsx", "A 41275-2024")</f>
        <v/>
      </c>
      <c r="T187">
        <f>HYPERLINK("https://klasma.github.io/Logging_2380/kartor/A 41275-2024 karta.png", "A 41275-2024")</f>
        <v/>
      </c>
      <c r="V187">
        <f>HYPERLINK("https://klasma.github.io/Logging_2380/klagomål/A 41275-2024 FSC-klagomål.docx", "A 41275-2024")</f>
        <v/>
      </c>
      <c r="W187">
        <f>HYPERLINK("https://klasma.github.io/Logging_2380/klagomålsmail/A 41275-2024 FSC-klagomål mail.docx", "A 41275-2024")</f>
        <v/>
      </c>
      <c r="X187">
        <f>HYPERLINK("https://klasma.github.io/Logging_2380/tillsyn/A 41275-2024 tillsynsbegäran.docx", "A 41275-2024")</f>
        <v/>
      </c>
      <c r="Y187">
        <f>HYPERLINK("https://klasma.github.io/Logging_2380/tillsynsmail/A 41275-2024 tillsynsbegäran mail.docx", "A 41275-2024")</f>
        <v/>
      </c>
    </row>
    <row r="188" ht="15" customHeight="1">
      <c r="A188" t="inlineStr">
        <is>
          <t>A 41279-2024</t>
        </is>
      </c>
      <c r="B188" s="1" t="n">
        <v>45559</v>
      </c>
      <c r="C188" s="1" t="n">
        <v>45742</v>
      </c>
      <c r="D188" t="inlineStr">
        <is>
          <t>JÄMTLANDS LÄN</t>
        </is>
      </c>
      <c r="E188" t="inlineStr">
        <is>
          <t>ÖSTERSUND</t>
        </is>
      </c>
      <c r="F188" t="inlineStr">
        <is>
          <t>SCA</t>
        </is>
      </c>
      <c r="G188" t="n">
        <v>1.6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41279-2024 artfynd.xlsx", "A 41279-2024")</f>
        <v/>
      </c>
      <c r="T188">
        <f>HYPERLINK("https://klasma.github.io/Logging_2380/kartor/A 41279-2024 karta.png", "A 41279-2024")</f>
        <v/>
      </c>
      <c r="V188">
        <f>HYPERLINK("https://klasma.github.io/Logging_2380/klagomål/A 41279-2024 FSC-klagomål.docx", "A 41279-2024")</f>
        <v/>
      </c>
      <c r="W188">
        <f>HYPERLINK("https://klasma.github.io/Logging_2380/klagomålsmail/A 41279-2024 FSC-klagomål mail.docx", "A 41279-2024")</f>
        <v/>
      </c>
      <c r="X188">
        <f>HYPERLINK("https://klasma.github.io/Logging_2380/tillsyn/A 41279-2024 tillsynsbegäran.docx", "A 41279-2024")</f>
        <v/>
      </c>
      <c r="Y188">
        <f>HYPERLINK("https://klasma.github.io/Logging_2380/tillsynsmail/A 41279-2024 tillsynsbegäran mail.docx", "A 41279-2024")</f>
        <v/>
      </c>
    </row>
    <row r="189" ht="15" customHeight="1">
      <c r="A189" t="inlineStr">
        <is>
          <t>A 41286-2024</t>
        </is>
      </c>
      <c r="B189" s="1" t="n">
        <v>45559</v>
      </c>
      <c r="C189" s="1" t="n">
        <v>45742</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41286-2024 artfynd.xlsx", "A 41286-2024")</f>
        <v/>
      </c>
      <c r="T189">
        <f>HYPERLINK("https://klasma.github.io/Logging_2380/kartor/A 41286-2024 karta.png", "A 41286-2024")</f>
        <v/>
      </c>
      <c r="V189">
        <f>HYPERLINK("https://klasma.github.io/Logging_2380/klagomål/A 41286-2024 FSC-klagomål.docx", "A 41286-2024")</f>
        <v/>
      </c>
      <c r="W189">
        <f>HYPERLINK("https://klasma.github.io/Logging_2380/klagomålsmail/A 41286-2024 FSC-klagomål mail.docx", "A 41286-2024")</f>
        <v/>
      </c>
      <c r="X189">
        <f>HYPERLINK("https://klasma.github.io/Logging_2380/tillsyn/A 41286-2024 tillsynsbegäran.docx", "A 41286-2024")</f>
        <v/>
      </c>
      <c r="Y189">
        <f>HYPERLINK("https://klasma.github.io/Logging_2380/tillsynsmail/A 41286-2024 tillsynsbegäran mail.docx", "A 41286-2024")</f>
        <v/>
      </c>
    </row>
    <row r="190" ht="15" customHeight="1">
      <c r="A190" t="inlineStr">
        <is>
          <t>A 41755-2024</t>
        </is>
      </c>
      <c r="B190" s="1" t="n">
        <v>45561</v>
      </c>
      <c r="C190" s="1" t="n">
        <v>45742</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41755-2024 artfynd.xlsx", "A 41755-2024")</f>
        <v/>
      </c>
      <c r="T190">
        <f>HYPERLINK("https://klasma.github.io/Logging_2380/kartor/A 41755-2024 karta.png", "A 41755-2024")</f>
        <v/>
      </c>
      <c r="V190">
        <f>HYPERLINK("https://klasma.github.io/Logging_2380/klagomål/A 41755-2024 FSC-klagomål.docx", "A 41755-2024")</f>
        <v/>
      </c>
      <c r="W190">
        <f>HYPERLINK("https://klasma.github.io/Logging_2380/klagomålsmail/A 41755-2024 FSC-klagomål mail.docx", "A 41755-2024")</f>
        <v/>
      </c>
      <c r="X190">
        <f>HYPERLINK("https://klasma.github.io/Logging_2380/tillsyn/A 41755-2024 tillsynsbegäran.docx", "A 41755-2024")</f>
        <v/>
      </c>
      <c r="Y190">
        <f>HYPERLINK("https://klasma.github.io/Logging_2380/tillsynsmail/A 41755-2024 tillsynsbegäran mail.docx", "A 41755-2024")</f>
        <v/>
      </c>
    </row>
    <row r="191" ht="15" customHeight="1">
      <c r="A191" t="inlineStr">
        <is>
          <t>A 41762-2024</t>
        </is>
      </c>
      <c r="B191" s="1" t="n">
        <v>45561</v>
      </c>
      <c r="C191" s="1" t="n">
        <v>45742</v>
      </c>
      <c r="D191" t="inlineStr">
        <is>
          <t>JÄMTLANDS LÄN</t>
        </is>
      </c>
      <c r="E191" t="inlineStr">
        <is>
          <t>ÖSTERSUND</t>
        </is>
      </c>
      <c r="F191" t="inlineStr">
        <is>
          <t>SCA</t>
        </is>
      </c>
      <c r="G191" t="n">
        <v>5.9</v>
      </c>
      <c r="H191" t="n">
        <v>0</v>
      </c>
      <c r="I191" t="n">
        <v>1</v>
      </c>
      <c r="J191" t="n">
        <v>0</v>
      </c>
      <c r="K191" t="n">
        <v>0</v>
      </c>
      <c r="L191" t="n">
        <v>0</v>
      </c>
      <c r="M191" t="n">
        <v>0</v>
      </c>
      <c r="N191" t="n">
        <v>0</v>
      </c>
      <c r="O191" t="n">
        <v>0</v>
      </c>
      <c r="P191" t="n">
        <v>0</v>
      </c>
      <c r="Q191" t="n">
        <v>1</v>
      </c>
      <c r="R191" s="2" t="inlineStr">
        <is>
          <t>Dropptaggsvamp</t>
        </is>
      </c>
      <c r="S191">
        <f>HYPERLINK("https://klasma.github.io/Logging_2380/artfynd/A 41762-2024 artfynd.xlsx", "A 41762-2024")</f>
        <v/>
      </c>
      <c r="T191">
        <f>HYPERLINK("https://klasma.github.io/Logging_2380/kartor/A 41762-2024 karta.png", "A 41762-2024")</f>
        <v/>
      </c>
      <c r="V191">
        <f>HYPERLINK("https://klasma.github.io/Logging_2380/klagomål/A 41762-2024 FSC-klagomål.docx", "A 41762-2024")</f>
        <v/>
      </c>
      <c r="W191">
        <f>HYPERLINK("https://klasma.github.io/Logging_2380/klagomålsmail/A 41762-2024 FSC-klagomål mail.docx", "A 41762-2024")</f>
        <v/>
      </c>
      <c r="X191">
        <f>HYPERLINK("https://klasma.github.io/Logging_2380/tillsyn/A 41762-2024 tillsynsbegäran.docx", "A 41762-2024")</f>
        <v/>
      </c>
      <c r="Y191">
        <f>HYPERLINK("https://klasma.github.io/Logging_2380/tillsynsmail/A 41762-2024 tillsynsbegäran mail.docx", "A 41762-2024")</f>
        <v/>
      </c>
    </row>
    <row r="192" ht="15" customHeight="1">
      <c r="A192" t="inlineStr">
        <is>
          <t>A 41770-2024</t>
        </is>
      </c>
      <c r="B192" s="1" t="n">
        <v>45561</v>
      </c>
      <c r="C192" s="1" t="n">
        <v>45742</v>
      </c>
      <c r="D192" t="inlineStr">
        <is>
          <t>JÄMTLANDS LÄN</t>
        </is>
      </c>
      <c r="E192" t="inlineStr">
        <is>
          <t>ÖSTERSUND</t>
        </is>
      </c>
      <c r="F192" t="inlineStr">
        <is>
          <t>SCA</t>
        </is>
      </c>
      <c r="G192" t="n">
        <v>4.4</v>
      </c>
      <c r="H192" t="n">
        <v>0</v>
      </c>
      <c r="I192" t="n">
        <v>1</v>
      </c>
      <c r="J192" t="n">
        <v>0</v>
      </c>
      <c r="K192" t="n">
        <v>0</v>
      </c>
      <c r="L192" t="n">
        <v>0</v>
      </c>
      <c r="M192" t="n">
        <v>0</v>
      </c>
      <c r="N192" t="n">
        <v>0</v>
      </c>
      <c r="O192" t="n">
        <v>0</v>
      </c>
      <c r="P192" t="n">
        <v>0</v>
      </c>
      <c r="Q192" t="n">
        <v>1</v>
      </c>
      <c r="R192" s="2" t="inlineStr">
        <is>
          <t>Vedticka</t>
        </is>
      </c>
      <c r="S192">
        <f>HYPERLINK("https://klasma.github.io/Logging_2380/artfynd/A 41770-2024 artfynd.xlsx", "A 41770-2024")</f>
        <v/>
      </c>
      <c r="T192">
        <f>HYPERLINK("https://klasma.github.io/Logging_2380/kartor/A 41770-2024 karta.png", "A 41770-2024")</f>
        <v/>
      </c>
      <c r="V192">
        <f>HYPERLINK("https://klasma.github.io/Logging_2380/klagomål/A 41770-2024 FSC-klagomål.docx", "A 41770-2024")</f>
        <v/>
      </c>
      <c r="W192">
        <f>HYPERLINK("https://klasma.github.io/Logging_2380/klagomålsmail/A 41770-2024 FSC-klagomål mail.docx", "A 41770-2024")</f>
        <v/>
      </c>
      <c r="X192">
        <f>HYPERLINK("https://klasma.github.io/Logging_2380/tillsyn/A 41770-2024 tillsynsbegäran.docx", "A 41770-2024")</f>
        <v/>
      </c>
      <c r="Y192">
        <f>HYPERLINK("https://klasma.github.io/Logging_2380/tillsynsmail/A 41770-2024 tillsynsbegäran mail.docx", "A 41770-2024")</f>
        <v/>
      </c>
    </row>
    <row r="193" ht="15" customHeight="1">
      <c r="A193" t="inlineStr">
        <is>
          <t>A 44049-2024</t>
        </is>
      </c>
      <c r="B193" s="1" t="n">
        <v>45572</v>
      </c>
      <c r="C193" s="1" t="n">
        <v>45742</v>
      </c>
      <c r="D193" t="inlineStr">
        <is>
          <t>JÄMTLANDS LÄN</t>
        </is>
      </c>
      <c r="E193" t="inlineStr">
        <is>
          <t>ÖSTERSUND</t>
        </is>
      </c>
      <c r="F193" t="inlineStr">
        <is>
          <t>SCA</t>
        </is>
      </c>
      <c r="G193" t="n">
        <v>4.5</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44049-2024 artfynd.xlsx", "A 44049-2024")</f>
        <v/>
      </c>
      <c r="T193">
        <f>HYPERLINK("https://klasma.github.io/Logging_2380/kartor/A 44049-2024 karta.png", "A 44049-2024")</f>
        <v/>
      </c>
      <c r="V193">
        <f>HYPERLINK("https://klasma.github.io/Logging_2380/klagomål/A 44049-2024 FSC-klagomål.docx", "A 44049-2024")</f>
        <v/>
      </c>
      <c r="W193">
        <f>HYPERLINK("https://klasma.github.io/Logging_2380/klagomålsmail/A 44049-2024 FSC-klagomål mail.docx", "A 44049-2024")</f>
        <v/>
      </c>
      <c r="X193">
        <f>HYPERLINK("https://klasma.github.io/Logging_2380/tillsyn/A 44049-2024 tillsynsbegäran.docx", "A 44049-2024")</f>
        <v/>
      </c>
      <c r="Y193">
        <f>HYPERLINK("https://klasma.github.io/Logging_2380/tillsynsmail/A 44049-2024 tillsynsbegäran mail.docx", "A 44049-2024")</f>
        <v/>
      </c>
    </row>
    <row r="194" ht="15" customHeight="1">
      <c r="A194" t="inlineStr">
        <is>
          <t>A 44737-2024</t>
        </is>
      </c>
      <c r="B194" s="1" t="n">
        <v>45574</v>
      </c>
      <c r="C194" s="1" t="n">
        <v>45742</v>
      </c>
      <c r="D194" t="inlineStr">
        <is>
          <t>JÄMTLANDS LÄN</t>
        </is>
      </c>
      <c r="E194" t="inlineStr">
        <is>
          <t>ÖSTERSUND</t>
        </is>
      </c>
      <c r="F194" t="inlineStr">
        <is>
          <t>SCA</t>
        </is>
      </c>
      <c r="G194" t="n">
        <v>6.3</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44737-2024 artfynd.xlsx", "A 44737-2024")</f>
        <v/>
      </c>
      <c r="T194">
        <f>HYPERLINK("https://klasma.github.io/Logging_2380/kartor/A 44737-2024 karta.png", "A 44737-2024")</f>
        <v/>
      </c>
      <c r="V194">
        <f>HYPERLINK("https://klasma.github.io/Logging_2380/klagomål/A 44737-2024 FSC-klagomål.docx", "A 44737-2024")</f>
        <v/>
      </c>
      <c r="W194">
        <f>HYPERLINK("https://klasma.github.io/Logging_2380/klagomålsmail/A 44737-2024 FSC-klagomål mail.docx", "A 44737-2024")</f>
        <v/>
      </c>
      <c r="X194">
        <f>HYPERLINK("https://klasma.github.io/Logging_2380/tillsyn/A 44737-2024 tillsynsbegäran.docx", "A 44737-2024")</f>
        <v/>
      </c>
      <c r="Y194">
        <f>HYPERLINK("https://klasma.github.io/Logging_2380/tillsynsmail/A 44737-2024 tillsynsbegäran mail.docx", "A 44737-2024")</f>
        <v/>
      </c>
    </row>
    <row r="195" ht="15" customHeight="1">
      <c r="A195" t="inlineStr">
        <is>
          <t>A 45267-2024</t>
        </is>
      </c>
      <c r="B195" s="1" t="n">
        <v>45576</v>
      </c>
      <c r="C195" s="1" t="n">
        <v>45742</v>
      </c>
      <c r="D195" t="inlineStr">
        <is>
          <t>JÄMTLANDS LÄN</t>
        </is>
      </c>
      <c r="E195" t="inlineStr">
        <is>
          <t>ÖSTERSUND</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45267-2024 artfynd.xlsx", "A 45267-2024")</f>
        <v/>
      </c>
      <c r="T195">
        <f>HYPERLINK("https://klasma.github.io/Logging_2380/kartor/A 45267-2024 karta.png", "A 45267-2024")</f>
        <v/>
      </c>
      <c r="V195">
        <f>HYPERLINK("https://klasma.github.io/Logging_2380/klagomål/A 45267-2024 FSC-klagomål.docx", "A 45267-2024")</f>
        <v/>
      </c>
      <c r="W195">
        <f>HYPERLINK("https://klasma.github.io/Logging_2380/klagomålsmail/A 45267-2024 FSC-klagomål mail.docx", "A 45267-2024")</f>
        <v/>
      </c>
      <c r="X195">
        <f>HYPERLINK("https://klasma.github.io/Logging_2380/tillsyn/A 45267-2024 tillsynsbegäran.docx", "A 45267-2024")</f>
        <v/>
      </c>
      <c r="Y195">
        <f>HYPERLINK("https://klasma.github.io/Logging_2380/tillsynsmail/A 45267-2024 tillsynsbegäran mail.docx", "A 45267-2024")</f>
        <v/>
      </c>
      <c r="Z195">
        <f>HYPERLINK("https://klasma.github.io/Logging_2380/fåglar/A 45267-2024 prioriterade fågelarter.docx", "A 45267-2024")</f>
        <v/>
      </c>
    </row>
    <row r="196" ht="15" customHeight="1">
      <c r="A196" t="inlineStr">
        <is>
          <t>A 47176-2024</t>
        </is>
      </c>
      <c r="B196" s="1" t="n">
        <v>45586</v>
      </c>
      <c r="C196" s="1" t="n">
        <v>45742</v>
      </c>
      <c r="D196" t="inlineStr">
        <is>
          <t>JÄMTLANDS LÄN</t>
        </is>
      </c>
      <c r="E196" t="inlineStr">
        <is>
          <t>ÖSTERSUND</t>
        </is>
      </c>
      <c r="F196" t="inlineStr">
        <is>
          <t>SCA</t>
        </is>
      </c>
      <c r="G196" t="n">
        <v>2.9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47176-2024 artfynd.xlsx", "A 47176-2024")</f>
        <v/>
      </c>
      <c r="T196">
        <f>HYPERLINK("https://klasma.github.io/Logging_2380/kartor/A 47176-2024 karta.png", "A 47176-2024")</f>
        <v/>
      </c>
      <c r="V196">
        <f>HYPERLINK("https://klasma.github.io/Logging_2380/klagomål/A 47176-2024 FSC-klagomål.docx", "A 47176-2024")</f>
        <v/>
      </c>
      <c r="W196">
        <f>HYPERLINK("https://klasma.github.io/Logging_2380/klagomålsmail/A 47176-2024 FSC-klagomål mail.docx", "A 47176-2024")</f>
        <v/>
      </c>
      <c r="X196">
        <f>HYPERLINK("https://klasma.github.io/Logging_2380/tillsyn/A 47176-2024 tillsynsbegäran.docx", "A 47176-2024")</f>
        <v/>
      </c>
      <c r="Y196">
        <f>HYPERLINK("https://klasma.github.io/Logging_2380/tillsynsmail/A 47176-2024 tillsynsbegäran mail.docx", "A 47176-2024")</f>
        <v/>
      </c>
    </row>
    <row r="197" ht="15" customHeight="1">
      <c r="A197" t="inlineStr">
        <is>
          <t>A 54354-2024</t>
        </is>
      </c>
      <c r="B197" s="1" t="n">
        <v>45617</v>
      </c>
      <c r="C197" s="1" t="n">
        <v>45742</v>
      </c>
      <c r="D197" t="inlineStr">
        <is>
          <t>JÄMTLANDS LÄN</t>
        </is>
      </c>
      <c r="E197" t="inlineStr">
        <is>
          <t>ÖSTERSUND</t>
        </is>
      </c>
      <c r="G197" t="n">
        <v>7</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54354-2024 artfynd.xlsx", "A 54354-2024")</f>
        <v/>
      </c>
      <c r="T197">
        <f>HYPERLINK("https://klasma.github.io/Logging_2380/kartor/A 54354-2024 karta.png", "A 54354-2024")</f>
        <v/>
      </c>
      <c r="V197">
        <f>HYPERLINK("https://klasma.github.io/Logging_2380/klagomål/A 54354-2024 FSC-klagomål.docx", "A 54354-2024")</f>
        <v/>
      </c>
      <c r="W197">
        <f>HYPERLINK("https://klasma.github.io/Logging_2380/klagomålsmail/A 54354-2024 FSC-klagomål mail.docx", "A 54354-2024")</f>
        <v/>
      </c>
      <c r="X197">
        <f>HYPERLINK("https://klasma.github.io/Logging_2380/tillsyn/A 54354-2024 tillsynsbegäran.docx", "A 54354-2024")</f>
        <v/>
      </c>
      <c r="Y197">
        <f>HYPERLINK("https://klasma.github.io/Logging_2380/tillsynsmail/A 54354-2024 tillsynsbegäran mail.docx", "A 54354-2024")</f>
        <v/>
      </c>
      <c r="Z197">
        <f>HYPERLINK("https://klasma.github.io/Logging_2380/fåglar/A 54354-2024 prioriterade fågelarter.docx", "A 54354-2024")</f>
        <v/>
      </c>
    </row>
    <row r="198" ht="15" customHeight="1">
      <c r="A198" t="inlineStr">
        <is>
          <t>A 56201-2024</t>
        </is>
      </c>
      <c r="B198" s="1" t="n">
        <v>45624</v>
      </c>
      <c r="C198" s="1" t="n">
        <v>45742</v>
      </c>
      <c r="D198" t="inlineStr">
        <is>
          <t>JÄMTLANDS LÄN</t>
        </is>
      </c>
      <c r="E198" t="inlineStr">
        <is>
          <t>ÖSTERSUND</t>
        </is>
      </c>
      <c r="F198" t="inlineStr">
        <is>
          <t>SCA</t>
        </is>
      </c>
      <c r="G198" t="n">
        <v>5.9</v>
      </c>
      <c r="H198" t="n">
        <v>1</v>
      </c>
      <c r="I198" t="n">
        <v>0</v>
      </c>
      <c r="J198" t="n">
        <v>0</v>
      </c>
      <c r="K198" t="n">
        <v>1</v>
      </c>
      <c r="L198" t="n">
        <v>0</v>
      </c>
      <c r="M198" t="n">
        <v>0</v>
      </c>
      <c r="N198" t="n">
        <v>0</v>
      </c>
      <c r="O198" t="n">
        <v>1</v>
      </c>
      <c r="P198" t="n">
        <v>1</v>
      </c>
      <c r="Q198" t="n">
        <v>1</v>
      </c>
      <c r="R198" s="2" t="inlineStr">
        <is>
          <t>Doftticka</t>
        </is>
      </c>
      <c r="S198">
        <f>HYPERLINK("https://klasma.github.io/Logging_2380/artfynd/A 56201-2024 artfynd.xlsx", "A 56201-2024")</f>
        <v/>
      </c>
      <c r="T198">
        <f>HYPERLINK("https://klasma.github.io/Logging_2380/kartor/A 56201-2024 karta.png", "A 56201-2024")</f>
        <v/>
      </c>
      <c r="V198">
        <f>HYPERLINK("https://klasma.github.io/Logging_2380/klagomål/A 56201-2024 FSC-klagomål.docx", "A 56201-2024")</f>
        <v/>
      </c>
      <c r="W198">
        <f>HYPERLINK("https://klasma.github.io/Logging_2380/klagomålsmail/A 56201-2024 FSC-klagomål mail.docx", "A 56201-2024")</f>
        <v/>
      </c>
      <c r="X198">
        <f>HYPERLINK("https://klasma.github.io/Logging_2380/tillsyn/A 56201-2024 tillsynsbegäran.docx", "A 56201-2024")</f>
        <v/>
      </c>
      <c r="Y198">
        <f>HYPERLINK("https://klasma.github.io/Logging_2380/tillsynsmail/A 56201-2024 tillsynsbegäran mail.docx", "A 56201-2024")</f>
        <v/>
      </c>
    </row>
    <row r="199" ht="15" customHeight="1">
      <c r="A199" t="inlineStr">
        <is>
          <t>A 57065-2024</t>
        </is>
      </c>
      <c r="B199" s="1" t="n">
        <v>45629</v>
      </c>
      <c r="C199" s="1" t="n">
        <v>45742</v>
      </c>
      <c r="D199" t="inlineStr">
        <is>
          <t>JÄMTLANDS LÄN</t>
        </is>
      </c>
      <c r="E199" t="inlineStr">
        <is>
          <t>ÖSTERSUND</t>
        </is>
      </c>
      <c r="F199" t="inlineStr">
        <is>
          <t>SCA</t>
        </is>
      </c>
      <c r="G199" t="n">
        <v>6.3</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57065-2024 artfynd.xlsx", "A 57065-2024")</f>
        <v/>
      </c>
      <c r="T199">
        <f>HYPERLINK("https://klasma.github.io/Logging_2380/kartor/A 57065-2024 karta.png", "A 57065-2024")</f>
        <v/>
      </c>
      <c r="V199">
        <f>HYPERLINK("https://klasma.github.io/Logging_2380/klagomål/A 57065-2024 FSC-klagomål.docx", "A 57065-2024")</f>
        <v/>
      </c>
      <c r="W199">
        <f>HYPERLINK("https://klasma.github.io/Logging_2380/klagomålsmail/A 57065-2024 FSC-klagomål mail.docx", "A 57065-2024")</f>
        <v/>
      </c>
      <c r="X199">
        <f>HYPERLINK("https://klasma.github.io/Logging_2380/tillsyn/A 57065-2024 tillsynsbegäran.docx", "A 57065-2024")</f>
        <v/>
      </c>
      <c r="Y199">
        <f>HYPERLINK("https://klasma.github.io/Logging_2380/tillsynsmail/A 57065-2024 tillsynsbegäran mail.docx", "A 57065-2024")</f>
        <v/>
      </c>
      <c r="Z199">
        <f>HYPERLINK("https://klasma.github.io/Logging_2380/fåglar/A 57065-2024 prioriterade fågelarter.docx", "A 57065-2024")</f>
        <v/>
      </c>
    </row>
    <row r="200" ht="15" customHeight="1">
      <c r="A200" t="inlineStr">
        <is>
          <t>A 59108-2024</t>
        </is>
      </c>
      <c r="B200" s="1" t="n">
        <v>45637</v>
      </c>
      <c r="C200" s="1" t="n">
        <v>45742</v>
      </c>
      <c r="D200" t="inlineStr">
        <is>
          <t>JÄMTLANDS LÄN</t>
        </is>
      </c>
      <c r="E200" t="inlineStr">
        <is>
          <t>ÖSTERSUND</t>
        </is>
      </c>
      <c r="F200" t="inlineStr">
        <is>
          <t>SCA</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59108-2024 artfynd.xlsx", "A 59108-2024")</f>
        <v/>
      </c>
      <c r="T200">
        <f>HYPERLINK("https://klasma.github.io/Logging_2380/kartor/A 59108-2024 karta.png", "A 59108-2024")</f>
        <v/>
      </c>
      <c r="V200">
        <f>HYPERLINK("https://klasma.github.io/Logging_2380/klagomål/A 59108-2024 FSC-klagomål.docx", "A 59108-2024")</f>
        <v/>
      </c>
      <c r="W200">
        <f>HYPERLINK("https://klasma.github.io/Logging_2380/klagomålsmail/A 59108-2024 FSC-klagomål mail.docx", "A 59108-2024")</f>
        <v/>
      </c>
      <c r="X200">
        <f>HYPERLINK("https://klasma.github.io/Logging_2380/tillsyn/A 59108-2024 tillsynsbegäran.docx", "A 59108-2024")</f>
        <v/>
      </c>
      <c r="Y200">
        <f>HYPERLINK("https://klasma.github.io/Logging_2380/tillsynsmail/A 59108-2024 tillsynsbegäran mail.docx", "A 59108-2024")</f>
        <v/>
      </c>
      <c r="Z200">
        <f>HYPERLINK("https://klasma.github.io/Logging_2380/fåglar/A 59108-2024 prioriterade fågelarter.docx", "A 59108-2024")</f>
        <v/>
      </c>
    </row>
    <row r="201" ht="15" customHeight="1">
      <c r="A201" t="inlineStr">
        <is>
          <t>A 61179-2024</t>
        </is>
      </c>
      <c r="B201" s="1" t="n">
        <v>45645</v>
      </c>
      <c r="C201" s="1" t="n">
        <v>45742</v>
      </c>
      <c r="D201" t="inlineStr">
        <is>
          <t>JÄMTLANDS LÄN</t>
        </is>
      </c>
      <c r="E201" t="inlineStr">
        <is>
          <t>ÖSTERSUND</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HYPERLINK("https://klasma.github.io/Logging_2380/artfynd/A 61179-2024 artfynd.xlsx", "A 61179-2024")</f>
        <v/>
      </c>
      <c r="T201">
        <f>HYPERLINK("https://klasma.github.io/Logging_2380/kartor/A 61179-2024 karta.png", "A 61179-2024")</f>
        <v/>
      </c>
      <c r="U201">
        <f>HYPERLINK("https://klasma.github.io/Logging_2380/knärot/A 61179-2024 karta knärot.png", "A 61179-2024")</f>
        <v/>
      </c>
      <c r="V201">
        <f>HYPERLINK("https://klasma.github.io/Logging_2380/klagomål/A 61179-2024 FSC-klagomål.docx", "A 61179-2024")</f>
        <v/>
      </c>
      <c r="W201">
        <f>HYPERLINK("https://klasma.github.io/Logging_2380/klagomålsmail/A 61179-2024 FSC-klagomål mail.docx", "A 61179-2024")</f>
        <v/>
      </c>
      <c r="X201">
        <f>HYPERLINK("https://klasma.github.io/Logging_2380/tillsyn/A 61179-2024 tillsynsbegäran.docx", "A 61179-2024")</f>
        <v/>
      </c>
      <c r="Y201">
        <f>HYPERLINK("https://klasma.github.io/Logging_2380/tillsynsmail/A 61179-2024 tillsynsbegäran mail.docx", "A 61179-2024")</f>
        <v/>
      </c>
    </row>
    <row r="202" ht="15" customHeight="1">
      <c r="A202" t="inlineStr">
        <is>
          <t>A 3995-2025</t>
        </is>
      </c>
      <c r="B202" s="1" t="n">
        <v>45684</v>
      </c>
      <c r="C202" s="1" t="n">
        <v>45742</v>
      </c>
      <c r="D202" t="inlineStr">
        <is>
          <t>JÄMTLANDS LÄN</t>
        </is>
      </c>
      <c r="E202" t="inlineStr">
        <is>
          <t>ÖSTERSUND</t>
        </is>
      </c>
      <c r="G202" t="n">
        <v>6.5</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3995-2025 artfynd.xlsx", "A 3995-2025")</f>
        <v/>
      </c>
      <c r="T202">
        <f>HYPERLINK("https://klasma.github.io/Logging_2380/kartor/A 3995-2025 karta.png", "A 3995-2025")</f>
        <v/>
      </c>
      <c r="V202">
        <f>HYPERLINK("https://klasma.github.io/Logging_2380/klagomål/A 3995-2025 FSC-klagomål.docx", "A 3995-2025")</f>
        <v/>
      </c>
      <c r="W202">
        <f>HYPERLINK("https://klasma.github.io/Logging_2380/klagomålsmail/A 3995-2025 FSC-klagomål mail.docx", "A 3995-2025")</f>
        <v/>
      </c>
      <c r="X202">
        <f>HYPERLINK("https://klasma.github.io/Logging_2380/tillsyn/A 3995-2025 tillsynsbegäran.docx", "A 3995-2025")</f>
        <v/>
      </c>
      <c r="Y202">
        <f>HYPERLINK("https://klasma.github.io/Logging_2380/tillsynsmail/A 3995-2025 tillsynsbegäran mail.docx", "A 3995-2025")</f>
        <v/>
      </c>
      <c r="Z202">
        <f>HYPERLINK("https://klasma.github.io/Logging_2380/fåglar/A 3995-2025 prioriterade fågelarter.docx", "A 3995-2025")</f>
        <v/>
      </c>
    </row>
    <row r="203" ht="15" customHeight="1">
      <c r="A203" t="inlineStr">
        <is>
          <t>A 4372-2025</t>
        </is>
      </c>
      <c r="B203" s="1" t="n">
        <v>45686</v>
      </c>
      <c r="C203" s="1" t="n">
        <v>45742</v>
      </c>
      <c r="D203" t="inlineStr">
        <is>
          <t>JÄMTLANDS LÄN</t>
        </is>
      </c>
      <c r="E203" t="inlineStr">
        <is>
          <t>ÖSTERSUND</t>
        </is>
      </c>
      <c r="G203" t="n">
        <v>4.5</v>
      </c>
      <c r="H203" t="n">
        <v>0</v>
      </c>
      <c r="I203" t="n">
        <v>0</v>
      </c>
      <c r="J203" t="n">
        <v>1</v>
      </c>
      <c r="K203" t="n">
        <v>0</v>
      </c>
      <c r="L203" t="n">
        <v>0</v>
      </c>
      <c r="M203" t="n">
        <v>0</v>
      </c>
      <c r="N203" t="n">
        <v>0</v>
      </c>
      <c r="O203" t="n">
        <v>1</v>
      </c>
      <c r="P203" t="n">
        <v>0</v>
      </c>
      <c r="Q203" t="n">
        <v>1</v>
      </c>
      <c r="R203" s="2" t="inlineStr">
        <is>
          <t>Lunglav</t>
        </is>
      </c>
      <c r="S203">
        <f>HYPERLINK("https://klasma.github.io/Logging_2380/artfynd/A 4372-2025 artfynd.xlsx", "A 4372-2025")</f>
        <v/>
      </c>
      <c r="T203">
        <f>HYPERLINK("https://klasma.github.io/Logging_2380/kartor/A 4372-2025 karta.png", "A 4372-2025")</f>
        <v/>
      </c>
      <c r="V203">
        <f>HYPERLINK("https://klasma.github.io/Logging_2380/klagomål/A 4372-2025 FSC-klagomål.docx", "A 4372-2025")</f>
        <v/>
      </c>
      <c r="W203">
        <f>HYPERLINK("https://klasma.github.io/Logging_2380/klagomålsmail/A 4372-2025 FSC-klagomål mail.docx", "A 4372-2025")</f>
        <v/>
      </c>
      <c r="X203">
        <f>HYPERLINK("https://klasma.github.io/Logging_2380/tillsyn/A 4372-2025 tillsynsbegäran.docx", "A 4372-2025")</f>
        <v/>
      </c>
      <c r="Y203">
        <f>HYPERLINK("https://klasma.github.io/Logging_2380/tillsynsmail/A 4372-2025 tillsynsbegäran mail.docx", "A 4372-2025")</f>
        <v/>
      </c>
    </row>
    <row r="204" ht="15" customHeight="1">
      <c r="A204" t="inlineStr">
        <is>
          <t>A 5978-2025</t>
        </is>
      </c>
      <c r="B204" s="1" t="n">
        <v>45695</v>
      </c>
      <c r="C204" s="1" t="n">
        <v>45742</v>
      </c>
      <c r="D204" t="inlineStr">
        <is>
          <t>JÄMTLANDS LÄN</t>
        </is>
      </c>
      <c r="E204" t="inlineStr">
        <is>
          <t>ÖSTERSUND</t>
        </is>
      </c>
      <c r="G204" t="n">
        <v>3.2</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HYPERLINK("https://klasma.github.io/Logging_2380/artfynd/A 5978-2025 artfynd.xlsx", "A 5978-2025")</f>
        <v/>
      </c>
      <c r="T204">
        <f>HYPERLINK("https://klasma.github.io/Logging_2380/kartor/A 5978-2025 karta.png", "A 5978-2025")</f>
        <v/>
      </c>
      <c r="V204">
        <f>HYPERLINK("https://klasma.github.io/Logging_2380/klagomål/A 5978-2025 FSC-klagomål.docx", "A 5978-2025")</f>
        <v/>
      </c>
      <c r="W204">
        <f>HYPERLINK("https://klasma.github.io/Logging_2380/klagomålsmail/A 5978-2025 FSC-klagomål mail.docx", "A 5978-2025")</f>
        <v/>
      </c>
      <c r="X204">
        <f>HYPERLINK("https://klasma.github.io/Logging_2380/tillsyn/A 5978-2025 tillsynsbegäran.docx", "A 5978-2025")</f>
        <v/>
      </c>
      <c r="Y204">
        <f>HYPERLINK("https://klasma.github.io/Logging_2380/tillsynsmail/A 5978-2025 tillsynsbegäran mail.docx", "A 5978-2025")</f>
        <v/>
      </c>
    </row>
    <row r="205" ht="15" customHeight="1">
      <c r="A205" t="inlineStr">
        <is>
          <t>A 10724-2025</t>
        </is>
      </c>
      <c r="B205" s="1" t="n">
        <v>45722</v>
      </c>
      <c r="C205" s="1" t="n">
        <v>45742</v>
      </c>
      <c r="D205" t="inlineStr">
        <is>
          <t>JÄMTLANDS LÄN</t>
        </is>
      </c>
      <c r="E205" t="inlineStr">
        <is>
          <t>ÖSTERSUND</t>
        </is>
      </c>
      <c r="F205" t="inlineStr">
        <is>
          <t>SCA</t>
        </is>
      </c>
      <c r="G205" t="n">
        <v>3.6</v>
      </c>
      <c r="H205" t="n">
        <v>0</v>
      </c>
      <c r="I205" t="n">
        <v>0</v>
      </c>
      <c r="J205" t="n">
        <v>1</v>
      </c>
      <c r="K205" t="n">
        <v>0</v>
      </c>
      <c r="L205" t="n">
        <v>0</v>
      </c>
      <c r="M205" t="n">
        <v>0</v>
      </c>
      <c r="N205" t="n">
        <v>0</v>
      </c>
      <c r="O205" t="n">
        <v>1</v>
      </c>
      <c r="P205" t="n">
        <v>0</v>
      </c>
      <c r="Q205" t="n">
        <v>1</v>
      </c>
      <c r="R205" s="2" t="inlineStr">
        <is>
          <t>Lunglav</t>
        </is>
      </c>
      <c r="S205">
        <f>HYPERLINK("https://klasma.github.io/Logging_2380/artfynd/A 10724-2025 artfynd.xlsx", "A 10724-2025")</f>
        <v/>
      </c>
      <c r="T205">
        <f>HYPERLINK("https://klasma.github.io/Logging_2380/kartor/A 10724-2025 karta.png", "A 10724-2025")</f>
        <v/>
      </c>
      <c r="V205">
        <f>HYPERLINK("https://klasma.github.io/Logging_2380/klagomål/A 10724-2025 FSC-klagomål.docx", "A 10724-2025")</f>
        <v/>
      </c>
      <c r="W205">
        <f>HYPERLINK("https://klasma.github.io/Logging_2380/klagomålsmail/A 10724-2025 FSC-klagomål mail.docx", "A 10724-2025")</f>
        <v/>
      </c>
      <c r="X205">
        <f>HYPERLINK("https://klasma.github.io/Logging_2380/tillsyn/A 10724-2025 tillsynsbegäran.docx", "A 10724-2025")</f>
        <v/>
      </c>
      <c r="Y205">
        <f>HYPERLINK("https://klasma.github.io/Logging_2380/tillsynsmail/A 10724-2025 tillsynsbegäran mail.docx", "A 10724-2025")</f>
        <v/>
      </c>
    </row>
    <row r="206" ht="15" customHeight="1">
      <c r="A206" t="inlineStr">
        <is>
          <t>A 20319-2019</t>
        </is>
      </c>
      <c r="B206" s="1" t="n">
        <v>43571</v>
      </c>
      <c r="C206" s="1" t="n">
        <v>45742</v>
      </c>
      <c r="D206" t="inlineStr">
        <is>
          <t>JÄMTLANDS LÄN</t>
        </is>
      </c>
      <c r="E206" t="inlineStr">
        <is>
          <t>ÖSTERSUND</t>
        </is>
      </c>
      <c r="G206" t="n">
        <v>1.3</v>
      </c>
      <c r="H206" t="n">
        <v>0</v>
      </c>
      <c r="I206" t="n">
        <v>0</v>
      </c>
      <c r="J206" t="n">
        <v>0</v>
      </c>
      <c r="K206" t="n">
        <v>0</v>
      </c>
      <c r="L206" t="n">
        <v>0</v>
      </c>
      <c r="M206" t="n">
        <v>0</v>
      </c>
      <c r="N206" t="n">
        <v>0</v>
      </c>
      <c r="O206" t="n">
        <v>0</v>
      </c>
      <c r="P206" t="n">
        <v>0</v>
      </c>
      <c r="Q206" t="n">
        <v>0</v>
      </c>
      <c r="R206" s="2" t="inlineStr"/>
    </row>
    <row r="207" ht="15" customHeight="1">
      <c r="A207" t="inlineStr">
        <is>
          <t>A 21727-2019</t>
        </is>
      </c>
      <c r="B207" s="1" t="n">
        <v>43581</v>
      </c>
      <c r="C207" s="1" t="n">
        <v>45742</v>
      </c>
      <c r="D207" t="inlineStr">
        <is>
          <t>JÄMTLANDS LÄN</t>
        </is>
      </c>
      <c r="E207" t="inlineStr">
        <is>
          <t>ÖSTERSUND</t>
        </is>
      </c>
      <c r="G207" t="n">
        <v>0.8</v>
      </c>
      <c r="H207" t="n">
        <v>0</v>
      </c>
      <c r="I207" t="n">
        <v>0</v>
      </c>
      <c r="J207" t="n">
        <v>0</v>
      </c>
      <c r="K207" t="n">
        <v>0</v>
      </c>
      <c r="L207" t="n">
        <v>0</v>
      </c>
      <c r="M207" t="n">
        <v>0</v>
      </c>
      <c r="N207" t="n">
        <v>0</v>
      </c>
      <c r="O207" t="n">
        <v>0</v>
      </c>
      <c r="P207" t="n">
        <v>0</v>
      </c>
      <c r="Q207" t="n">
        <v>0</v>
      </c>
      <c r="R207" s="2" t="inlineStr"/>
    </row>
    <row r="208" ht="15" customHeight="1">
      <c r="A208" t="inlineStr">
        <is>
          <t>A 21793-2019</t>
        </is>
      </c>
      <c r="B208" s="1" t="n">
        <v>43581</v>
      </c>
      <c r="C208" s="1" t="n">
        <v>45742</v>
      </c>
      <c r="D208" t="inlineStr">
        <is>
          <t>JÄMTLANDS LÄN</t>
        </is>
      </c>
      <c r="E208" t="inlineStr">
        <is>
          <t>ÖSTERSUND</t>
        </is>
      </c>
      <c r="F208" t="inlineStr">
        <is>
          <t>SCA</t>
        </is>
      </c>
      <c r="G208" t="n">
        <v>3.6</v>
      </c>
      <c r="H208" t="n">
        <v>0</v>
      </c>
      <c r="I208" t="n">
        <v>0</v>
      </c>
      <c r="J208" t="n">
        <v>0</v>
      </c>
      <c r="K208" t="n">
        <v>0</v>
      </c>
      <c r="L208" t="n">
        <v>0</v>
      </c>
      <c r="M208" t="n">
        <v>0</v>
      </c>
      <c r="N208" t="n">
        <v>0</v>
      </c>
      <c r="O208" t="n">
        <v>0</v>
      </c>
      <c r="P208" t="n">
        <v>0</v>
      </c>
      <c r="Q208" t="n">
        <v>0</v>
      </c>
      <c r="R208" s="2" t="inlineStr"/>
    </row>
    <row r="209" ht="15" customHeight="1">
      <c r="A209" t="inlineStr">
        <is>
          <t>A 22119-2019</t>
        </is>
      </c>
      <c r="B209" s="1" t="n">
        <v>43584</v>
      </c>
      <c r="C209" s="1" t="n">
        <v>45742</v>
      </c>
      <c r="D209" t="inlineStr">
        <is>
          <t>JÄMTLANDS LÄN</t>
        </is>
      </c>
      <c r="E209" t="inlineStr">
        <is>
          <t>ÖSTERSUND</t>
        </is>
      </c>
      <c r="G209" t="n">
        <v>7</v>
      </c>
      <c r="H209" t="n">
        <v>0</v>
      </c>
      <c r="I209" t="n">
        <v>0</v>
      </c>
      <c r="J209" t="n">
        <v>0</v>
      </c>
      <c r="K209" t="n">
        <v>0</v>
      </c>
      <c r="L209" t="n">
        <v>0</v>
      </c>
      <c r="M209" t="n">
        <v>0</v>
      </c>
      <c r="N209" t="n">
        <v>0</v>
      </c>
      <c r="O209" t="n">
        <v>0</v>
      </c>
      <c r="P209" t="n">
        <v>0</v>
      </c>
      <c r="Q209" t="n">
        <v>0</v>
      </c>
      <c r="R209" s="2" t="inlineStr"/>
    </row>
    <row r="210" ht="15" customHeight="1">
      <c r="A210" t="inlineStr">
        <is>
          <t>A 22115-2019</t>
        </is>
      </c>
      <c r="B210" s="1" t="n">
        <v>43584</v>
      </c>
      <c r="C210" s="1" t="n">
        <v>45742</v>
      </c>
      <c r="D210" t="inlineStr">
        <is>
          <t>JÄMTLANDS LÄN</t>
        </is>
      </c>
      <c r="E210" t="inlineStr">
        <is>
          <t>ÖSTERSUND</t>
        </is>
      </c>
      <c r="G210" t="n">
        <v>15.1</v>
      </c>
      <c r="H210" t="n">
        <v>0</v>
      </c>
      <c r="I210" t="n">
        <v>0</v>
      </c>
      <c r="J210" t="n">
        <v>0</v>
      </c>
      <c r="K210" t="n">
        <v>0</v>
      </c>
      <c r="L210" t="n">
        <v>0</v>
      </c>
      <c r="M210" t="n">
        <v>0</v>
      </c>
      <c r="N210" t="n">
        <v>0</v>
      </c>
      <c r="O210" t="n">
        <v>0</v>
      </c>
      <c r="P210" t="n">
        <v>0</v>
      </c>
      <c r="Q210" t="n">
        <v>0</v>
      </c>
      <c r="R210" s="2" t="inlineStr"/>
      <c r="U210">
        <f>HYPERLINK("https://klasma.github.io/Logging_2380/knärot/A 22115-2019 karta knärot.png", "A 22115-2019")</f>
        <v/>
      </c>
      <c r="V210">
        <f>HYPERLINK("https://klasma.github.io/Logging_2380/klagomål/A 22115-2019 FSC-klagomål.docx", "A 22115-2019")</f>
        <v/>
      </c>
      <c r="W210">
        <f>HYPERLINK("https://klasma.github.io/Logging_2380/klagomålsmail/A 22115-2019 FSC-klagomål mail.docx", "A 22115-2019")</f>
        <v/>
      </c>
      <c r="X210">
        <f>HYPERLINK("https://klasma.github.io/Logging_2380/tillsyn/A 22115-2019 tillsynsbegäran.docx", "A 22115-2019")</f>
        <v/>
      </c>
      <c r="Y210">
        <f>HYPERLINK("https://klasma.github.io/Logging_2380/tillsynsmail/A 22115-2019 tillsynsbegäran mail.docx", "A 22115-2019")</f>
        <v/>
      </c>
    </row>
    <row r="211" ht="15" customHeight="1">
      <c r="A211" t="inlineStr">
        <is>
          <t>A 23609-2019</t>
        </is>
      </c>
      <c r="B211" s="1" t="n">
        <v>43594</v>
      </c>
      <c r="C211" s="1" t="n">
        <v>45742</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23940-2019</t>
        </is>
      </c>
      <c r="B212" s="1" t="n">
        <v>43595</v>
      </c>
      <c r="C212" s="1" t="n">
        <v>45742</v>
      </c>
      <c r="D212" t="inlineStr">
        <is>
          <t>JÄMTLANDS LÄN</t>
        </is>
      </c>
      <c r="E212" t="inlineStr">
        <is>
          <t>ÖSTERSUND</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25205-2019</t>
        </is>
      </c>
      <c r="B213" s="1" t="n">
        <v>43600</v>
      </c>
      <c r="C213" s="1" t="n">
        <v>45742</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28892-2019</t>
        </is>
      </c>
      <c r="B214" s="1" t="n">
        <v>43619</v>
      </c>
      <c r="C214" s="1" t="n">
        <v>45742</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28899-2019</t>
        </is>
      </c>
      <c r="B215" s="1" t="n">
        <v>43619</v>
      </c>
      <c r="C215" s="1" t="n">
        <v>45742</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28884-2019</t>
        </is>
      </c>
      <c r="B216" s="1" t="n">
        <v>43619</v>
      </c>
      <c r="C216" s="1" t="n">
        <v>45742</v>
      </c>
      <c r="D216" t="inlineStr">
        <is>
          <t>JÄMTLANDS LÄN</t>
        </is>
      </c>
      <c r="E216" t="inlineStr">
        <is>
          <t>ÖSTERSUND</t>
        </is>
      </c>
      <c r="G216" t="n">
        <v>0.3</v>
      </c>
      <c r="H216" t="n">
        <v>0</v>
      </c>
      <c r="I216" t="n">
        <v>0</v>
      </c>
      <c r="J216" t="n">
        <v>0</v>
      </c>
      <c r="K216" t="n">
        <v>0</v>
      </c>
      <c r="L216" t="n">
        <v>0</v>
      </c>
      <c r="M216" t="n">
        <v>0</v>
      </c>
      <c r="N216" t="n">
        <v>0</v>
      </c>
      <c r="O216" t="n">
        <v>0</v>
      </c>
      <c r="P216" t="n">
        <v>0</v>
      </c>
      <c r="Q216" t="n">
        <v>0</v>
      </c>
      <c r="R216" s="2" t="inlineStr"/>
    </row>
    <row r="217" ht="15" customHeight="1">
      <c r="A217" t="inlineStr">
        <is>
          <t>A 27977-2019</t>
        </is>
      </c>
      <c r="B217" s="1" t="n">
        <v>43620</v>
      </c>
      <c r="C217" s="1" t="n">
        <v>45742</v>
      </c>
      <c r="D217" t="inlineStr">
        <is>
          <t>JÄMTLANDS LÄN</t>
        </is>
      </c>
      <c r="E217" t="inlineStr">
        <is>
          <t>ÖSTERSUND</t>
        </is>
      </c>
      <c r="G217" t="n">
        <v>1</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45742</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45742</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45742</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45742</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45742</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45742</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45742</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45742</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45742</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45742</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45742</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45742</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45742</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45742</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45742</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45742</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45742</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45742</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45742</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45742</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45742</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45742</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45742</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45742</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45742</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45742</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45742</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45742</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45742</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45742</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45742</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45742</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45742</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45742</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45742</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45742</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45742</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45742</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45742</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45742</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45742</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45742</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45742</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45742</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45742</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45742</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45742</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45742</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45742</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45742</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45742</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45742</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45742</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45742</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45742</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45742</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45742</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45742</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45742</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45742</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45742</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45742</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45742</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45742</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45742</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45742</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45742</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45742</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45742</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45742</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45742</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45742</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45742</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45742</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45742</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45742</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45742</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45742</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45742</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45742</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45742</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45742</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45742</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45742</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45742</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45742</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45742</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45742</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45742</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45742</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45742</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45742</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45742</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45742</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45742</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45742</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45742</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45742</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45742</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45742</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45742</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45742</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45742</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45742</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45742</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45742</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45742</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45742</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45742</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45742</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45742</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45742</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45742</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45742</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45742</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45742</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45742</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45742</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45742</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45742</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45742</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45742</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45742</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45742</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45742</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45742</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45742</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45742</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45742</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45742</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45742</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45742</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45742</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45742</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45742</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45742</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45742</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45742</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45742</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45742</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45742</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45742</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45742</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45742</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45742</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45742</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45742</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45742</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45742</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45742</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45742</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45742</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45742</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45742</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45742</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45742</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45742</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45742</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45742</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45742</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45742</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45742</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45742</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45742</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45742</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45742</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45742</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45742</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45742</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45742</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45742</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45742</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45742</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45742</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45742</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45742</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45742</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45742</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45742</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45742</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45742</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45742</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45742</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45742</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45742</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45742</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45742</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45742</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45742</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45742</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45742</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45742</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45742</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45742</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45742</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45742</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45742</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45742</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45742</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45742</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45742</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45742</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45742</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45742</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45742</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45742</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45742</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45742</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45742</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45742</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45742</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45742</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45742</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45742</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45742</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45742</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45742</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45742</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45742</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45742</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45742</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45742</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45742</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45742</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45742</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45742</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45742</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45742</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45742</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45742</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45742</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45742</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45742</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45742</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45742</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45742</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45742</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45742</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45742</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45742</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45742</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45742</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45742</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45742</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45742</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45742</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45742</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45742</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45742</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45742</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45742</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45742</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45742</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45742</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45742</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45742</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45742</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45742</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45742</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45742</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45742</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45742</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45742</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45742</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45742</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45742</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45742</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45742</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45742</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45742</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45742</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45742</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45742</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45742</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45742</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45742</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45742</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45742</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45742</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45742</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45742</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45742</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45742</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45742</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45742</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45742</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45742</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45742</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45742</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45742</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45742</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45742</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45742</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45742</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45742</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45742</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45742</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45742</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45742</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45742</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45742</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45742</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45742</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45742</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45742</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45742</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45742</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45742</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45742</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45742</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45742</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45742</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45742</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45742</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45742</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45742</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45742</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45742</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45742</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45742</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45742</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45742</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45742</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45742</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45742</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45742</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45742</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45742</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45742</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45742</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45742</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45742</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45742</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45742</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45742</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45742</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45742</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45742</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45742</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45742</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45742</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45742</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45742</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45742</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45742</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45742</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45742</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45742</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45742</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45742</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45742</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45742</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45742</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45742</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45742</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45742</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45742</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45742</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45742</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45742</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45742</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45742</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45742</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45742</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45742</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45742</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45742</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45742</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45742</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45742</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45742</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45742</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45742</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45742</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45742</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45742</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45742</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45742</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45742</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45742</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45742</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45742</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45742</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45742</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45742</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45742</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45742</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45742</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45742</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45742</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45742</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45742</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45742</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45742</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45742</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45742</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45742</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45742</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45742</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45742</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45742</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45742</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45742</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45742</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45742</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45742</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45742</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45742</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45742</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45742</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45742</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45742</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45742</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45742</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45742</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45742</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45742</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45742</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45742</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45742</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45742</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45742</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45742</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45742</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45742</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45742</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45742</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45742</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45742</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45742</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45742</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45742</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45742</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45742</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45742</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45742</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45742</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45742</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45742</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45742</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45742</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45742</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45742</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45742</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45742</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45742</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45742</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45742</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45742</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45742</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45742</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45742</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45742</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45742</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45742</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45742</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45742</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45742</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45742</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45742</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45742</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45742</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45742</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45742</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45742</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45742</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45742</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45742</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45742</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45742</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45742</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45742</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45742</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45742</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45742</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45742</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45742</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45742</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45742</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45742</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45742</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45742</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45742</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45742</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45742</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45742</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45742</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45742</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45742</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45742</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45742</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45742</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45742</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45742</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45742</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45742</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45742</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45742</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45742</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45742</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45742</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45742</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45742</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45742</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45742</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45742</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45742</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45742</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45742</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45742</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45742</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45742</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45742</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45742</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45742</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45742</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45742</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45742</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45742</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45742</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45742</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45742</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45742</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45742</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45742</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45742</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45742</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45742</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45742</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45742</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45742</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45742</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45742</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45742</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45742</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45742</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45742</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45742</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45742</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45742</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45742</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45742</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45742</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45742</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45742</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45742</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45742</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45742</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45742</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45742</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45742</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45742</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45742</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45742</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45742</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45742</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45742</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45742</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45742</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45742</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45742</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45742</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45742</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45742</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45742</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45742</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45742</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45742</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45742</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45742</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45742</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45742</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45742</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45742</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45742</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45742</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45742</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45742</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45742</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45742</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45742</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45742</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45742</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45742</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45742</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45742</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45742</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45742</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45742</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45742</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45742</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45742</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45742</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45742</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45742</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45742</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45742</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45742</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45742</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45742</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45742</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45742</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45742</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45742</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45742</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45742</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45742</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45742</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45742</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45742</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45742</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45742</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45742</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45742</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45742</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45742</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45742</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45742</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45742</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45742</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45742</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45742</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45742</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45742</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45742</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45742</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45742</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45742</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45742</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45742</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45742</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45742</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45742</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45742</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45742</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45742</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45742</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45742</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45742</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45742</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45742</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45742</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45742</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45742</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45742</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45742</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45742</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45742</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45742</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45742</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45742</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45742</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45742</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45742</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45742</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45742</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45742</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45742</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45742</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45742</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45742</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45742</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45742</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45742</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45742</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45742</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45742</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45742</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45742</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45742</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45742</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45742</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45742</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45742</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45742</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45742</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45742</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45742</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45742</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45742</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45742</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45742</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45742</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45742</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45742</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45742</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45742</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45742</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45742</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45742</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45742</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45742</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45742</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45742</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45742</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45742</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45742</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45742</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45742</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45742</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45742</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45742</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45742</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45742</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45742</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45742</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45742</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45742</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45742</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45742</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45742</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45742</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45742</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45742</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45742</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45742</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45742</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45742</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45742</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45742</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45742</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45742</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45742</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45742</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45742</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45742</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45742</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45742</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45742</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45742</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45742</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45742</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45742</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45742</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45742</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45742</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45742</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45742</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45742</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45742</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45742</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45742</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45742</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45742</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45742</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45742</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45742</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45742</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45742</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45742</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45742</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45742</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45742</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45742</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45742</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45742</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45742</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45742</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45742</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45742</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45742</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45742</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45742</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45742</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45742</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45742</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45742</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45742</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45742</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45742</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45742</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45742</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45742</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45742</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45742</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45742</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45742</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45742</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45742</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45742</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45742</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45742</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45742</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45742</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45742</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45742</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45742</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45742</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45742</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45742</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45742</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45742</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45742</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45742</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45742</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45742</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45742</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45742</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45742</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45742</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45742</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45742</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45742</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45742</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45742</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45742</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45742</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45742</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45742</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45742</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45742</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45742</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45742</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45742</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45742</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45742</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45742</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45742</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45742</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45742</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45742</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45742</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45742</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45742</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45742</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45742</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45742</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45742</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45742</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45742</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45742</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45742</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45742</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45742</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45742</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45742</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45742</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45742</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45742</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45742</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45742</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45742</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45742</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45742</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45742</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45742</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45742</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45742</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45742</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45742</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45742</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45742</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45742</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45742</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45742</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45742</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45742</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45742</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45742</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45742</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45742</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45742</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45742</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45742</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45742</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45742</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45742</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45742</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45742</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45742</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45742</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45742</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45742</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45742</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45742</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45742</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45742</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45742</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45742</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45742</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45742</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45742</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45742</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12492-2025</t>
        </is>
      </c>
      <c r="B1101" s="1" t="n">
        <v>45730</v>
      </c>
      <c r="C1101" s="1" t="n">
        <v>45742</v>
      </c>
      <c r="D1101" t="inlineStr">
        <is>
          <t>JÄMTLANDS LÄN</t>
        </is>
      </c>
      <c r="E1101" t="inlineStr">
        <is>
          <t>ÖSTERSUND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45742</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12429-2025</t>
        </is>
      </c>
      <c r="B1103" s="1" t="n">
        <v>45730</v>
      </c>
      <c r="C1103" s="1" t="n">
        <v>45742</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45742</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45742</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13655-2025</t>
        </is>
      </c>
      <c r="B1106" s="1" t="n">
        <v>45736</v>
      </c>
      <c r="C1106" s="1" t="n">
        <v>45742</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13738-2025</t>
        </is>
      </c>
      <c r="B1107" s="1" t="n">
        <v>45737</v>
      </c>
      <c r="C1107" s="1" t="n">
        <v>45742</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13795-2025</t>
        </is>
      </c>
      <c r="B1108" s="1" t="n">
        <v>45737</v>
      </c>
      <c r="C1108" s="1" t="n">
        <v>45742</v>
      </c>
      <c r="D1108" t="inlineStr">
        <is>
          <t>JÄMTLANDS LÄN</t>
        </is>
      </c>
      <c r="E1108" t="inlineStr">
        <is>
          <t>ÖSTERSUND</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14182-2025</t>
        </is>
      </c>
      <c r="B1109" s="1" t="n">
        <v>45740</v>
      </c>
      <c r="C1109" s="1" t="n">
        <v>45742</v>
      </c>
      <c r="D1109" t="inlineStr">
        <is>
          <t>JÄMTLANDS LÄN</t>
        </is>
      </c>
      <c r="E1109" t="inlineStr">
        <is>
          <t>ÖSTERSUND</t>
        </is>
      </c>
      <c r="F1109" t="inlineStr">
        <is>
          <t>Övriga Aktiebolag</t>
        </is>
      </c>
      <c r="G1109" t="n">
        <v>20.1</v>
      </c>
      <c r="H1109" t="n">
        <v>0</v>
      </c>
      <c r="I1109" t="n">
        <v>0</v>
      </c>
      <c r="J1109" t="n">
        <v>0</v>
      </c>
      <c r="K1109" t="n">
        <v>0</v>
      </c>
      <c r="L1109" t="n">
        <v>0</v>
      </c>
      <c r="M1109" t="n">
        <v>0</v>
      </c>
      <c r="N1109" t="n">
        <v>0</v>
      </c>
      <c r="O1109" t="n">
        <v>0</v>
      </c>
      <c r="P1109" t="n">
        <v>0</v>
      </c>
      <c r="Q1109" t="n">
        <v>0</v>
      </c>
      <c r="R1109" s="2" t="inlineStr"/>
    </row>
    <row r="1110" ht="15" customHeight="1">
      <c r="A1110" t="inlineStr">
        <is>
          <t>A 14118-2025</t>
        </is>
      </c>
      <c r="B1110" s="1" t="n">
        <v>45740</v>
      </c>
      <c r="C1110" s="1" t="n">
        <v>45742</v>
      </c>
      <c r="D1110" t="inlineStr">
        <is>
          <t>JÄMTLANDS LÄN</t>
        </is>
      </c>
      <c r="E1110" t="inlineStr">
        <is>
          <t>ÖSTERSUND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14263-2025</t>
        </is>
      </c>
      <c r="B1111" s="1" t="n">
        <v>45740</v>
      </c>
      <c r="C1111" s="1" t="n">
        <v>45742</v>
      </c>
      <c r="D1111" t="inlineStr">
        <is>
          <t>JÄMTLANDS LÄN</t>
        </is>
      </c>
      <c r="E1111" t="inlineStr">
        <is>
          <t>ÖSTERSUND</t>
        </is>
      </c>
      <c r="F1111" t="inlineStr">
        <is>
          <t>Övriga Aktiebolag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14514-2025</t>
        </is>
      </c>
      <c r="B1112" s="1" t="n">
        <v>45741</v>
      </c>
      <c r="C1112" s="1" t="n">
        <v>45742</v>
      </c>
      <c r="D1112" t="inlineStr">
        <is>
          <t>JÄMTLANDS LÄN</t>
        </is>
      </c>
      <c r="E1112" t="inlineStr">
        <is>
          <t>ÖSTERSUND</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14529-2025</t>
        </is>
      </c>
      <c r="B1113" s="1" t="n">
        <v>45741</v>
      </c>
      <c r="C1113" s="1" t="n">
        <v>45742</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c r="A1114" t="inlineStr">
        <is>
          <t>A 14542-2025</t>
        </is>
      </c>
      <c r="B1114" s="1" t="n">
        <v>45741</v>
      </c>
      <c r="C1114" s="1" t="n">
        <v>45742</v>
      </c>
      <c r="D1114" t="inlineStr">
        <is>
          <t>JÄMTLANDS LÄN</t>
        </is>
      </c>
      <c r="E1114" t="inlineStr">
        <is>
          <t>ÖSTERSUND</t>
        </is>
      </c>
      <c r="G1114" t="n">
        <v>9.300000000000001</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2025-03-26T17:40:47Z</dcterms:created>
  <dcterms:modified xmlns:dcterms="http://purl.org/dc/terms/" xmlns:xsi="http://www.w3.org/2001/XMLSchema-instance" xsi:type="dcterms:W3CDTF">2025-03-26T17:40:48Z</dcterms:modified>
</cp:coreProperties>
</file>