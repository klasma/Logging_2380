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45967</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45967</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46357-2025</t>
        </is>
      </c>
      <c r="B8" s="1" t="n">
        <v>45925.49363425926</v>
      </c>
      <c r="C8" s="1" t="n">
        <v>45967</v>
      </c>
      <c r="D8" t="inlineStr">
        <is>
          <t>JÄMTLANDS LÄN</t>
        </is>
      </c>
      <c r="E8" t="inlineStr">
        <is>
          <t>ÖSTERSUND</t>
        </is>
      </c>
      <c r="G8" t="n">
        <v>10.4</v>
      </c>
      <c r="H8" t="n">
        <v>6</v>
      </c>
      <c r="I8" t="n">
        <v>2</v>
      </c>
      <c r="J8" t="n">
        <v>14</v>
      </c>
      <c r="K8" t="n">
        <v>2</v>
      </c>
      <c r="L8" t="n">
        <v>0</v>
      </c>
      <c r="M8" t="n">
        <v>0</v>
      </c>
      <c r="N8" t="n">
        <v>0</v>
      </c>
      <c r="O8" t="n">
        <v>16</v>
      </c>
      <c r="P8" t="n">
        <v>2</v>
      </c>
      <c r="Q8" t="n">
        <v>20</v>
      </c>
      <c r="R8" s="2" t="inlineStr">
        <is>
          <t>Lappuggla
Smalskaftslav
Brunpudrad nållav
Gammelgransskål
Garnlav
Granticka
Gränsticka
Liten svartspik
Lunglav
Skrovellav
Spillkråka
Talltita
Tretåig hackspett
Ullticka
Vedtrappmossa
Vitgrynig nållav
Stuplav
Vedticka
Lavskrika
Sparvuggla</t>
        </is>
      </c>
      <c r="S8">
        <f>HYPERLINK("https://klasma.github.io/Logging_2380/artfynd/A 46357-2025 artfynd.xlsx", "A 46357-2025")</f>
        <v/>
      </c>
      <c r="T8">
        <f>HYPERLINK("https://klasma.github.io/Logging_2380/kartor/A 46357-2025 karta.png", "A 46357-2025")</f>
        <v/>
      </c>
      <c r="V8">
        <f>HYPERLINK("https://klasma.github.io/Logging_2380/klagomål/A 46357-2025 FSC-klagomål.docx", "A 46357-2025")</f>
        <v/>
      </c>
      <c r="W8">
        <f>HYPERLINK("https://klasma.github.io/Logging_2380/klagomålsmail/A 46357-2025 FSC-klagomål mail.docx", "A 46357-2025")</f>
        <v/>
      </c>
      <c r="X8">
        <f>HYPERLINK("https://klasma.github.io/Logging_2380/tillsyn/A 46357-2025 tillsynsbegäran.docx", "A 46357-2025")</f>
        <v/>
      </c>
      <c r="Y8">
        <f>HYPERLINK("https://klasma.github.io/Logging_2380/tillsynsmail/A 46357-2025 tillsynsbegäran mail.docx", "A 46357-2025")</f>
        <v/>
      </c>
      <c r="Z8">
        <f>HYPERLINK("https://klasma.github.io/Logging_2380/fåglar/A 46357-2025 prioriterade fågelarter.docx", "A 46357-2025")</f>
        <v/>
      </c>
    </row>
    <row r="9" ht="15" customHeight="1">
      <c r="A9" t="inlineStr">
        <is>
          <t>A 12943-2022</t>
        </is>
      </c>
      <c r="B9" s="1" t="n">
        <v>44642</v>
      </c>
      <c r="C9" s="1" t="n">
        <v>45967</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50126-2024</t>
        </is>
      </c>
      <c r="B10" s="1" t="n">
        <v>45600</v>
      </c>
      <c r="C10" s="1" t="n">
        <v>45967</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45967</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45967</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45967</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45967</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45967</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39928-2022</t>
        </is>
      </c>
      <c r="B16" s="1" t="n">
        <v>44819</v>
      </c>
      <c r="C16" s="1" t="n">
        <v>45967</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45967</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45967</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45967</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45967</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45967</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16845-2025</t>
        </is>
      </c>
      <c r="B22" s="1" t="n">
        <v>45754.67761574074</v>
      </c>
      <c r="C22" s="1" t="n">
        <v>45967</v>
      </c>
      <c r="D22" t="inlineStr">
        <is>
          <t>JÄMTLANDS LÄN</t>
        </is>
      </c>
      <c r="E22" t="inlineStr">
        <is>
          <t>ÖSTERSUND</t>
        </is>
      </c>
      <c r="F22" t="inlineStr">
        <is>
          <t>SCA</t>
        </is>
      </c>
      <c r="G22" t="n">
        <v>18.1</v>
      </c>
      <c r="H22" t="n">
        <v>0</v>
      </c>
      <c r="I22" t="n">
        <v>1</v>
      </c>
      <c r="J22" t="n">
        <v>9</v>
      </c>
      <c r="K22" t="n">
        <v>0</v>
      </c>
      <c r="L22" t="n">
        <v>0</v>
      </c>
      <c r="M22" t="n">
        <v>0</v>
      </c>
      <c r="N22" t="n">
        <v>0</v>
      </c>
      <c r="O22" t="n">
        <v>9</v>
      </c>
      <c r="P22" t="n">
        <v>0</v>
      </c>
      <c r="Q22" t="n">
        <v>10</v>
      </c>
      <c r="R22" s="2" t="inlineStr">
        <is>
          <t>Dvärgbägarlav
Kortskaftad ärgspik
Mörk kolflarnlav
Nordtagging
Orange taggsvamp
Reliktbock
Skrovlig taggsvamp
Svart taggsvamp
Vedflamlav
Dropptaggsvamp</t>
        </is>
      </c>
      <c r="S22">
        <f>HYPERLINK("https://klasma.github.io/Logging_2380/artfynd/A 16845-2025 artfynd.xlsx", "A 16845-2025")</f>
        <v/>
      </c>
      <c r="T22">
        <f>HYPERLINK("https://klasma.github.io/Logging_2380/kartor/A 16845-2025 karta.png", "A 16845-2025")</f>
        <v/>
      </c>
      <c r="V22">
        <f>HYPERLINK("https://klasma.github.io/Logging_2380/klagomål/A 16845-2025 FSC-klagomål.docx", "A 16845-2025")</f>
        <v/>
      </c>
      <c r="W22">
        <f>HYPERLINK("https://klasma.github.io/Logging_2380/klagomålsmail/A 16845-2025 FSC-klagomål mail.docx", "A 16845-2025")</f>
        <v/>
      </c>
      <c r="X22">
        <f>HYPERLINK("https://klasma.github.io/Logging_2380/tillsyn/A 16845-2025 tillsynsbegäran.docx", "A 16845-2025")</f>
        <v/>
      </c>
      <c r="Y22">
        <f>HYPERLINK("https://klasma.github.io/Logging_2380/tillsynsmail/A 16845-2025 tillsynsbegäran mail.docx", "A 16845-2025")</f>
        <v/>
      </c>
    </row>
    <row r="23" ht="15" customHeight="1">
      <c r="A23" t="inlineStr">
        <is>
          <t>A 49928-2025</t>
        </is>
      </c>
      <c r="B23" s="1" t="n">
        <v>45940.65138888889</v>
      </c>
      <c r="C23" s="1" t="n">
        <v>45967</v>
      </c>
      <c r="D23" t="inlineStr">
        <is>
          <t>JÄMTLANDS LÄN</t>
        </is>
      </c>
      <c r="E23" t="inlineStr">
        <is>
          <t>ÖSTERSUND</t>
        </is>
      </c>
      <c r="G23" t="n">
        <v>6.4</v>
      </c>
      <c r="H23" t="n">
        <v>4</v>
      </c>
      <c r="I23" t="n">
        <v>1</v>
      </c>
      <c r="J23" t="n">
        <v>6</v>
      </c>
      <c r="K23" t="n">
        <v>1</v>
      </c>
      <c r="L23" t="n">
        <v>1</v>
      </c>
      <c r="M23" t="n">
        <v>0</v>
      </c>
      <c r="N23" t="n">
        <v>0</v>
      </c>
      <c r="O23" t="n">
        <v>8</v>
      </c>
      <c r="P23" t="n">
        <v>2</v>
      </c>
      <c r="Q23" t="n">
        <v>10</v>
      </c>
      <c r="R23" s="2" t="inlineStr">
        <is>
          <t>Mikroskapania
Knärot
Doftskinn
Granticka
Harticka
Platt spretmossa
Tretåig hackspett
Ullticka
Rödgul trumpetsvamp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61766-2024</t>
        </is>
      </c>
      <c r="B24" s="1" t="n">
        <v>45649</v>
      </c>
      <c r="C24" s="1" t="n">
        <v>45967</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26796-2024</t>
        </is>
      </c>
      <c r="B25" s="1" t="n">
        <v>45470</v>
      </c>
      <c r="C25" s="1" t="n">
        <v>45967</v>
      </c>
      <c r="D25" t="inlineStr">
        <is>
          <t>JÄMTLANDS LÄN</t>
        </is>
      </c>
      <c r="E25" t="inlineStr">
        <is>
          <t>ÖSTERSUND</t>
        </is>
      </c>
      <c r="G25" t="n">
        <v>13.5</v>
      </c>
      <c r="H25" t="n">
        <v>6</v>
      </c>
      <c r="I25" t="n">
        <v>1</v>
      </c>
      <c r="J25" t="n">
        <v>6</v>
      </c>
      <c r="K25" t="n">
        <v>1</v>
      </c>
      <c r="L25" t="n">
        <v>0</v>
      </c>
      <c r="M25" t="n">
        <v>0</v>
      </c>
      <c r="N25" t="n">
        <v>0</v>
      </c>
      <c r="O25" t="n">
        <v>7</v>
      </c>
      <c r="P25" t="n">
        <v>1</v>
      </c>
      <c r="Q25" t="n">
        <v>10</v>
      </c>
      <c r="R25" s="2" t="inlineStr">
        <is>
          <t>Knärot
Garnlav
Granticka
Harticka
Talltita
Tretåig hackspett
Ullticka
Spindelblomster
Kungsfågel
Revlummer</t>
        </is>
      </c>
      <c r="S25">
        <f>HYPERLINK("https://klasma.github.io/Logging_2380/artfynd/A 26796-2024 artfynd.xlsx", "A 26796-2024")</f>
        <v/>
      </c>
      <c r="T25">
        <f>HYPERLINK("https://klasma.github.io/Logging_2380/kartor/A 26796-2024 karta.png", "A 26796-2024")</f>
        <v/>
      </c>
      <c r="U25">
        <f>HYPERLINK("https://klasma.github.io/Logging_2380/knärot/A 26796-2024 karta knärot.png", "A 26796-2024")</f>
        <v/>
      </c>
      <c r="V25">
        <f>HYPERLINK("https://klasma.github.io/Logging_2380/klagomål/A 26796-2024 FSC-klagomål.docx", "A 26796-2024")</f>
        <v/>
      </c>
      <c r="W25">
        <f>HYPERLINK("https://klasma.github.io/Logging_2380/klagomålsmail/A 26796-2024 FSC-klagomål mail.docx", "A 26796-2024")</f>
        <v/>
      </c>
      <c r="X25">
        <f>HYPERLINK("https://klasma.github.io/Logging_2380/tillsyn/A 26796-2024 tillsynsbegäran.docx", "A 26796-2024")</f>
        <v/>
      </c>
      <c r="Y25">
        <f>HYPERLINK("https://klasma.github.io/Logging_2380/tillsynsmail/A 26796-2024 tillsynsbegäran mail.docx", "A 26796-2024")</f>
        <v/>
      </c>
      <c r="Z25">
        <f>HYPERLINK("https://klasma.github.io/Logging_2380/fåglar/A 26796-2024 prioriterade fågelarter.docx", "A 26796-2024")</f>
        <v/>
      </c>
    </row>
    <row r="26" ht="15" customHeight="1">
      <c r="A26" t="inlineStr">
        <is>
          <t>A 7457-2023</t>
        </is>
      </c>
      <c r="B26" s="1" t="n">
        <v>44971</v>
      </c>
      <c r="C26" s="1" t="n">
        <v>45967</v>
      </c>
      <c r="D26" t="inlineStr">
        <is>
          <t>JÄMTLANDS LÄN</t>
        </is>
      </c>
      <c r="E26" t="inlineStr">
        <is>
          <t>ÖSTERSUND</t>
        </is>
      </c>
      <c r="F26" t="inlineStr">
        <is>
          <t>Kommuner</t>
        </is>
      </c>
      <c r="G26" t="n">
        <v>2.5</v>
      </c>
      <c r="H26" t="n">
        <v>0</v>
      </c>
      <c r="I26" t="n">
        <v>3</v>
      </c>
      <c r="J26" t="n">
        <v>6</v>
      </c>
      <c r="K26" t="n">
        <v>1</v>
      </c>
      <c r="L26" t="n">
        <v>0</v>
      </c>
      <c r="M26" t="n">
        <v>0</v>
      </c>
      <c r="N26" t="n">
        <v>0</v>
      </c>
      <c r="O26" t="n">
        <v>7</v>
      </c>
      <c r="P26" t="n">
        <v>1</v>
      </c>
      <c r="Q26" t="n">
        <v>10</v>
      </c>
      <c r="R26" s="2" t="inlineStr">
        <is>
          <t>Ruttaggsvamp
Frygisk spindling
Garnlav
Grantaggsvamp
Tallriska
Ullticka
Äggvaxskivling
Diskvaxskivling
Skarp dropptaggsvamp
Svavelriska</t>
        </is>
      </c>
      <c r="S26">
        <f>HYPERLINK("https://klasma.github.io/Logging_2380/artfynd/A 7457-2023 artfynd.xlsx", "A 7457-2023")</f>
        <v/>
      </c>
      <c r="T26">
        <f>HYPERLINK("https://klasma.github.io/Logging_2380/kartor/A 7457-2023 karta.png", "A 7457-2023")</f>
        <v/>
      </c>
      <c r="V26">
        <f>HYPERLINK("https://klasma.github.io/Logging_2380/klagomål/A 7457-2023 FSC-klagomål.docx", "A 7457-2023")</f>
        <v/>
      </c>
      <c r="W26">
        <f>HYPERLINK("https://klasma.github.io/Logging_2380/klagomålsmail/A 7457-2023 FSC-klagomål mail.docx", "A 7457-2023")</f>
        <v/>
      </c>
      <c r="X26">
        <f>HYPERLINK("https://klasma.github.io/Logging_2380/tillsyn/A 7457-2023 tillsynsbegäran.docx", "A 7457-2023")</f>
        <v/>
      </c>
      <c r="Y26">
        <f>HYPERLINK("https://klasma.github.io/Logging_2380/tillsynsmail/A 7457-2023 tillsynsbegäran mail.docx", "A 7457-2023")</f>
        <v/>
      </c>
    </row>
    <row r="27" ht="15" customHeight="1">
      <c r="A27" t="inlineStr">
        <is>
          <t>A 45224-2024</t>
        </is>
      </c>
      <c r="B27" s="1" t="n">
        <v>45575.77440972222</v>
      </c>
      <c r="C27" s="1" t="n">
        <v>45967</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27907-2024</t>
        </is>
      </c>
      <c r="B28" s="1" t="n">
        <v>45475.94597222222</v>
      </c>
      <c r="C28" s="1" t="n">
        <v>45967</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34816-2024</t>
        </is>
      </c>
      <c r="B29" s="1" t="n">
        <v>45526</v>
      </c>
      <c r="C29" s="1" t="n">
        <v>45967</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40777-2023</t>
        </is>
      </c>
      <c r="B30" s="1" t="n">
        <v>45170</v>
      </c>
      <c r="C30" s="1" t="n">
        <v>45967</v>
      </c>
      <c r="D30" t="inlineStr">
        <is>
          <t>JÄMTLANDS LÄN</t>
        </is>
      </c>
      <c r="E30" t="inlineStr">
        <is>
          <t>ÖSTERSUND</t>
        </is>
      </c>
      <c r="F30" t="inlineStr">
        <is>
          <t>SCA</t>
        </is>
      </c>
      <c r="G30" t="n">
        <v>16.4</v>
      </c>
      <c r="H30" t="n">
        <v>3</v>
      </c>
      <c r="I30" t="n">
        <v>1</v>
      </c>
      <c r="J30" t="n">
        <v>5</v>
      </c>
      <c r="K30" t="n">
        <v>1</v>
      </c>
      <c r="L30" t="n">
        <v>0</v>
      </c>
      <c r="M30" t="n">
        <v>0</v>
      </c>
      <c r="N30" t="n">
        <v>0</v>
      </c>
      <c r="O30" t="n">
        <v>6</v>
      </c>
      <c r="P30" t="n">
        <v>1</v>
      </c>
      <c r="Q30" t="n">
        <v>8</v>
      </c>
      <c r="R30" s="2" t="inlineStr">
        <is>
          <t>Doftticka
Kungsörn
Lunglav
Stiftgelélav
Veckticka
Vedtrappmossa
Korallblylav
Blåsippa</t>
        </is>
      </c>
      <c r="S30">
        <f>HYPERLINK("https://klasma.github.io/Logging_2380/artfynd/A 40777-2023 artfynd.xlsx", "A 40777-2023")</f>
        <v/>
      </c>
      <c r="T30">
        <f>HYPERLINK("https://klasma.github.io/Logging_2380/kartor/A 40777-2023 karta.png", "A 40777-2023")</f>
        <v/>
      </c>
      <c r="V30">
        <f>HYPERLINK("https://klasma.github.io/Logging_2380/klagomål/A 40777-2023 FSC-klagomål.docx", "A 40777-2023")</f>
        <v/>
      </c>
      <c r="W30">
        <f>HYPERLINK("https://klasma.github.io/Logging_2380/klagomålsmail/A 40777-2023 FSC-klagomål mail.docx", "A 40777-2023")</f>
        <v/>
      </c>
      <c r="X30">
        <f>HYPERLINK("https://klasma.github.io/Logging_2380/tillsyn/A 40777-2023 tillsynsbegäran.docx", "A 40777-2023")</f>
        <v/>
      </c>
      <c r="Y30">
        <f>HYPERLINK("https://klasma.github.io/Logging_2380/tillsynsmail/A 40777-2023 tillsynsbegäran mail.docx", "A 40777-2023")</f>
        <v/>
      </c>
      <c r="Z30">
        <f>HYPERLINK("https://klasma.github.io/Logging_2380/fåglar/A 40777-2023 prioriterade fågelarter.docx", "A 40777-2023")</f>
        <v/>
      </c>
    </row>
    <row r="31" ht="15" customHeight="1">
      <c r="A31" t="inlineStr">
        <is>
          <t>A 7710-2024</t>
        </is>
      </c>
      <c r="B31" s="1" t="n">
        <v>45349</v>
      </c>
      <c r="C31" s="1" t="n">
        <v>45967</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17716-2024</t>
        </is>
      </c>
      <c r="B32" s="1" t="n">
        <v>45415</v>
      </c>
      <c r="C32" s="1" t="n">
        <v>45967</v>
      </c>
      <c r="D32" t="inlineStr">
        <is>
          <t>JÄMTLANDS LÄN</t>
        </is>
      </c>
      <c r="E32" t="inlineStr">
        <is>
          <t>ÖSTERSUND</t>
        </is>
      </c>
      <c r="G32" t="n">
        <v>1.4</v>
      </c>
      <c r="H32" t="n">
        <v>8</v>
      </c>
      <c r="I32" t="n">
        <v>2</v>
      </c>
      <c r="J32" t="n">
        <v>1</v>
      </c>
      <c r="K32" t="n">
        <v>1</v>
      </c>
      <c r="L32" t="n">
        <v>1</v>
      </c>
      <c r="M32" t="n">
        <v>0</v>
      </c>
      <c r="N32" t="n">
        <v>0</v>
      </c>
      <c r="O32" t="n">
        <v>3</v>
      </c>
      <c r="P32" t="n">
        <v>2</v>
      </c>
      <c r="Q32" t="n">
        <v>8</v>
      </c>
      <c r="R32" s="2" t="inlineStr">
        <is>
          <t>Storspov
Knärot
Spillkråka
Spindelblomster
Tvåblad
Tjäder
Fläcknycklar
Blåsippa</t>
        </is>
      </c>
      <c r="S32">
        <f>HYPERLINK("https://klasma.github.io/Logging_2380/artfynd/A 17716-2024 artfynd.xlsx", "A 17716-2024")</f>
        <v/>
      </c>
      <c r="T32">
        <f>HYPERLINK("https://klasma.github.io/Logging_2380/kartor/A 17716-2024 karta.png", "A 17716-2024")</f>
        <v/>
      </c>
      <c r="U32">
        <f>HYPERLINK("https://klasma.github.io/Logging_2380/knärot/A 17716-2024 karta knärot.png", "A 17716-2024")</f>
        <v/>
      </c>
      <c r="V32">
        <f>HYPERLINK("https://klasma.github.io/Logging_2380/klagomål/A 17716-2024 FSC-klagomål.docx", "A 17716-2024")</f>
        <v/>
      </c>
      <c r="W32">
        <f>HYPERLINK("https://klasma.github.io/Logging_2380/klagomålsmail/A 17716-2024 FSC-klagomål mail.docx", "A 17716-2024")</f>
        <v/>
      </c>
      <c r="X32">
        <f>HYPERLINK("https://klasma.github.io/Logging_2380/tillsyn/A 17716-2024 tillsynsbegäran.docx", "A 17716-2024")</f>
        <v/>
      </c>
      <c r="Y32">
        <f>HYPERLINK("https://klasma.github.io/Logging_2380/tillsynsmail/A 17716-2024 tillsynsbegäran mail.docx", "A 17716-2024")</f>
        <v/>
      </c>
      <c r="Z32">
        <f>HYPERLINK("https://klasma.github.io/Logging_2380/fåglar/A 17716-2024 prioriterade fågelarter.docx", "A 17716-2024")</f>
        <v/>
      </c>
    </row>
    <row r="33" ht="15" customHeight="1">
      <c r="A33" t="inlineStr">
        <is>
          <t>A 21753-2023</t>
        </is>
      </c>
      <c r="B33" s="1" t="n">
        <v>45063</v>
      </c>
      <c r="C33" s="1" t="n">
        <v>45967</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10744-2024</t>
        </is>
      </c>
      <c r="B34" s="1" t="n">
        <v>45369</v>
      </c>
      <c r="C34" s="1" t="n">
        <v>45967</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39735-2021</t>
        </is>
      </c>
      <c r="B35" s="1" t="n">
        <v>44414</v>
      </c>
      <c r="C35" s="1" t="n">
        <v>45967</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16369-2023</t>
        </is>
      </c>
      <c r="B36" s="1" t="n">
        <v>45028</v>
      </c>
      <c r="C36" s="1" t="n">
        <v>45967</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31122-2025</t>
        </is>
      </c>
      <c r="B37" s="1" t="n">
        <v>45831</v>
      </c>
      <c r="C37" s="1" t="n">
        <v>45967</v>
      </c>
      <c r="D37" t="inlineStr">
        <is>
          <t>JÄMTLANDS LÄN</t>
        </is>
      </c>
      <c r="E37" t="inlineStr">
        <is>
          <t>ÖSTERSUND</t>
        </is>
      </c>
      <c r="G37" t="n">
        <v>5.5</v>
      </c>
      <c r="H37" t="n">
        <v>3</v>
      </c>
      <c r="I37" t="n">
        <v>2</v>
      </c>
      <c r="J37" t="n">
        <v>4</v>
      </c>
      <c r="K37" t="n">
        <v>0</v>
      </c>
      <c r="L37" t="n">
        <v>0</v>
      </c>
      <c r="M37" t="n">
        <v>0</v>
      </c>
      <c r="N37" t="n">
        <v>0</v>
      </c>
      <c r="O37" t="n">
        <v>4</v>
      </c>
      <c r="P37" t="n">
        <v>0</v>
      </c>
      <c r="Q37" t="n">
        <v>7</v>
      </c>
      <c r="R37" s="2" t="inlineStr">
        <is>
          <t>Granticka
Kråka
Talltita
Ullticka
Stuplav
Vedticka
Revlummer</t>
        </is>
      </c>
      <c r="S37">
        <f>HYPERLINK("https://klasma.github.io/Logging_2380/artfynd/A 31122-2025 artfynd.xlsx", "A 31122-2025")</f>
        <v/>
      </c>
      <c r="T37">
        <f>HYPERLINK("https://klasma.github.io/Logging_2380/kartor/A 31122-2025 karta.png", "A 31122-2025")</f>
        <v/>
      </c>
      <c r="V37">
        <f>HYPERLINK("https://klasma.github.io/Logging_2380/klagomål/A 31122-2025 FSC-klagomål.docx", "A 31122-2025")</f>
        <v/>
      </c>
      <c r="W37">
        <f>HYPERLINK("https://klasma.github.io/Logging_2380/klagomålsmail/A 31122-2025 FSC-klagomål mail.docx", "A 31122-2025")</f>
        <v/>
      </c>
      <c r="X37">
        <f>HYPERLINK("https://klasma.github.io/Logging_2380/tillsyn/A 31122-2025 tillsynsbegäran.docx", "A 31122-2025")</f>
        <v/>
      </c>
      <c r="Y37">
        <f>HYPERLINK("https://klasma.github.io/Logging_2380/tillsynsmail/A 31122-2025 tillsynsbegäran mail.docx", "A 31122-2025")</f>
        <v/>
      </c>
      <c r="Z37">
        <f>HYPERLINK("https://klasma.github.io/Logging_2380/fåglar/A 31122-2025 prioriterade fågelarter.docx", "A 31122-2025")</f>
        <v/>
      </c>
    </row>
    <row r="38" ht="15" customHeight="1">
      <c r="A38" t="inlineStr">
        <is>
          <t>A 48736-2025</t>
        </is>
      </c>
      <c r="B38" s="1" t="n">
        <v>45936.66547453704</v>
      </c>
      <c r="C38" s="1" t="n">
        <v>45967</v>
      </c>
      <c r="D38" t="inlineStr">
        <is>
          <t>JÄMTLANDS LÄN</t>
        </is>
      </c>
      <c r="E38" t="inlineStr">
        <is>
          <t>ÖSTERSUND</t>
        </is>
      </c>
      <c r="G38" t="n">
        <v>2.8</v>
      </c>
      <c r="H38" t="n">
        <v>3</v>
      </c>
      <c r="I38" t="n">
        <v>3</v>
      </c>
      <c r="J38" t="n">
        <v>2</v>
      </c>
      <c r="K38" t="n">
        <v>1</v>
      </c>
      <c r="L38" t="n">
        <v>0</v>
      </c>
      <c r="M38" t="n">
        <v>0</v>
      </c>
      <c r="N38" t="n">
        <v>0</v>
      </c>
      <c r="O38" t="n">
        <v>3</v>
      </c>
      <c r="P38" t="n">
        <v>1</v>
      </c>
      <c r="Q38" t="n">
        <v>7</v>
      </c>
      <c r="R38" s="2" t="inlineStr">
        <is>
          <t>Knärot
Harticka
Tretåig hackspett
Rödgul trumpetsvamp
Trådticka
Vedticka
Revlummer</t>
        </is>
      </c>
      <c r="S38">
        <f>HYPERLINK("https://klasma.github.io/Logging_2380/artfynd/A 48736-2025 artfynd.xlsx", "A 48736-2025")</f>
        <v/>
      </c>
      <c r="T38">
        <f>HYPERLINK("https://klasma.github.io/Logging_2380/kartor/A 48736-2025 karta.png", "A 48736-2025")</f>
        <v/>
      </c>
      <c r="U38">
        <f>HYPERLINK("https://klasma.github.io/Logging_2380/knärot/A 48736-2025 karta knärot.png", "A 48736-2025")</f>
        <v/>
      </c>
      <c r="V38">
        <f>HYPERLINK("https://klasma.github.io/Logging_2380/klagomål/A 48736-2025 FSC-klagomål.docx", "A 48736-2025")</f>
        <v/>
      </c>
      <c r="W38">
        <f>HYPERLINK("https://klasma.github.io/Logging_2380/klagomålsmail/A 48736-2025 FSC-klagomål mail.docx", "A 48736-2025")</f>
        <v/>
      </c>
      <c r="X38">
        <f>HYPERLINK("https://klasma.github.io/Logging_2380/tillsyn/A 48736-2025 tillsynsbegäran.docx", "A 48736-2025")</f>
        <v/>
      </c>
      <c r="Y38">
        <f>HYPERLINK("https://klasma.github.io/Logging_2380/tillsynsmail/A 48736-2025 tillsynsbegäran mail.docx", "A 48736-2025")</f>
        <v/>
      </c>
      <c r="Z38">
        <f>HYPERLINK("https://klasma.github.io/Logging_2380/fåglar/A 48736-2025 prioriterade fågelarter.docx", "A 48736-2025")</f>
        <v/>
      </c>
    </row>
    <row r="39" ht="15" customHeight="1">
      <c r="A39" t="inlineStr">
        <is>
          <t>A 54608-2023</t>
        </is>
      </c>
      <c r="B39" s="1" t="n">
        <v>45233</v>
      </c>
      <c r="C39" s="1" t="n">
        <v>45967</v>
      </c>
      <c r="D39" t="inlineStr">
        <is>
          <t>JÄMTLANDS LÄN</t>
        </is>
      </c>
      <c r="E39" t="inlineStr">
        <is>
          <t>ÖSTERSUND</t>
        </is>
      </c>
      <c r="F39" t="inlineStr">
        <is>
          <t>SCA</t>
        </is>
      </c>
      <c r="G39" t="n">
        <v>4.3</v>
      </c>
      <c r="H39" t="n">
        <v>1</v>
      </c>
      <c r="I39" t="n">
        <v>5</v>
      </c>
      <c r="J39" t="n">
        <v>2</v>
      </c>
      <c r="K39" t="n">
        <v>0</v>
      </c>
      <c r="L39" t="n">
        <v>0</v>
      </c>
      <c r="M39" t="n">
        <v>0</v>
      </c>
      <c r="N39" t="n">
        <v>0</v>
      </c>
      <c r="O39" t="n">
        <v>2</v>
      </c>
      <c r="P39" t="n">
        <v>0</v>
      </c>
      <c r="Q39" t="n">
        <v>7</v>
      </c>
      <c r="R39" s="2" t="inlineStr">
        <is>
          <t>Granticka
Ullticka
Guckusko
Svavelriska
Trådfräken
Trådticka
Underviol</t>
        </is>
      </c>
      <c r="S39">
        <f>HYPERLINK("https://klasma.github.io/Logging_2380/artfynd/A 54608-2023 artfynd.xlsx", "A 54608-2023")</f>
        <v/>
      </c>
      <c r="T39">
        <f>HYPERLINK("https://klasma.github.io/Logging_2380/kartor/A 54608-2023 karta.png", "A 54608-2023")</f>
        <v/>
      </c>
      <c r="V39">
        <f>HYPERLINK("https://klasma.github.io/Logging_2380/klagomål/A 54608-2023 FSC-klagomål.docx", "A 54608-2023")</f>
        <v/>
      </c>
      <c r="W39">
        <f>HYPERLINK("https://klasma.github.io/Logging_2380/klagomålsmail/A 54608-2023 FSC-klagomål mail.docx", "A 54608-2023")</f>
        <v/>
      </c>
      <c r="X39">
        <f>HYPERLINK("https://klasma.github.io/Logging_2380/tillsyn/A 54608-2023 tillsynsbegäran.docx", "A 54608-2023")</f>
        <v/>
      </c>
      <c r="Y39">
        <f>HYPERLINK("https://klasma.github.io/Logging_2380/tillsynsmail/A 54608-2023 tillsynsbegäran mail.docx", "A 54608-2023")</f>
        <v/>
      </c>
    </row>
    <row r="40" ht="15" customHeight="1">
      <c r="A40" t="inlineStr">
        <is>
          <t>A 26372-2025</t>
        </is>
      </c>
      <c r="B40" s="1" t="n">
        <v>45806.40675925926</v>
      </c>
      <c r="C40" s="1" t="n">
        <v>45967</v>
      </c>
      <c r="D40" t="inlineStr">
        <is>
          <t>JÄMTLANDS LÄN</t>
        </is>
      </c>
      <c r="E40" t="inlineStr">
        <is>
          <t>ÖSTERSUND</t>
        </is>
      </c>
      <c r="G40" t="n">
        <v>4.3</v>
      </c>
      <c r="H40" t="n">
        <v>4</v>
      </c>
      <c r="I40" t="n">
        <v>2</v>
      </c>
      <c r="J40" t="n">
        <v>3</v>
      </c>
      <c r="K40" t="n">
        <v>1</v>
      </c>
      <c r="L40" t="n">
        <v>0</v>
      </c>
      <c r="M40" t="n">
        <v>0</v>
      </c>
      <c r="N40" t="n">
        <v>0</v>
      </c>
      <c r="O40" t="n">
        <v>4</v>
      </c>
      <c r="P40" t="n">
        <v>1</v>
      </c>
      <c r="Q40" t="n">
        <v>7</v>
      </c>
      <c r="R40" s="2" t="inlineStr">
        <is>
          <t>Knärot
Garnlav
Harticka
Tretåig hackspett
Luddlav
Spindelblomster
Kungsfågel</t>
        </is>
      </c>
      <c r="S40">
        <f>HYPERLINK("https://klasma.github.io/Logging_2380/artfynd/A 26372-2025 artfynd.xlsx", "A 26372-2025")</f>
        <v/>
      </c>
      <c r="T40">
        <f>HYPERLINK("https://klasma.github.io/Logging_2380/kartor/A 26372-2025 karta.png", "A 26372-2025")</f>
        <v/>
      </c>
      <c r="U40">
        <f>HYPERLINK("https://klasma.github.io/Logging_2380/knärot/A 26372-2025 karta knärot.png", "A 26372-2025")</f>
        <v/>
      </c>
      <c r="V40">
        <f>HYPERLINK("https://klasma.github.io/Logging_2380/klagomål/A 26372-2025 FSC-klagomål.docx", "A 26372-2025")</f>
        <v/>
      </c>
      <c r="W40">
        <f>HYPERLINK("https://klasma.github.io/Logging_2380/klagomålsmail/A 26372-2025 FSC-klagomål mail.docx", "A 26372-2025")</f>
        <v/>
      </c>
      <c r="X40">
        <f>HYPERLINK("https://klasma.github.io/Logging_2380/tillsyn/A 26372-2025 tillsynsbegäran.docx", "A 26372-2025")</f>
        <v/>
      </c>
      <c r="Y40">
        <f>HYPERLINK("https://klasma.github.io/Logging_2380/tillsynsmail/A 26372-2025 tillsynsbegäran mail.docx", "A 26372-2025")</f>
        <v/>
      </c>
      <c r="Z40">
        <f>HYPERLINK("https://klasma.github.io/Logging_2380/fåglar/A 26372-2025 prioriterade fågelarter.docx", "A 26372-2025")</f>
        <v/>
      </c>
    </row>
    <row r="41" ht="15" customHeight="1">
      <c r="A41" t="inlineStr">
        <is>
          <t>A 44741-2025</t>
        </is>
      </c>
      <c r="B41" s="1" t="n">
        <v>45917.66619212963</v>
      </c>
      <c r="C41" s="1" t="n">
        <v>45967</v>
      </c>
      <c r="D41" t="inlineStr">
        <is>
          <t>JÄMTLANDS LÄN</t>
        </is>
      </c>
      <c r="E41" t="inlineStr">
        <is>
          <t>ÖSTERSUND</t>
        </is>
      </c>
      <c r="G41" t="n">
        <v>14.4</v>
      </c>
      <c r="H41" t="n">
        <v>3</v>
      </c>
      <c r="I41" t="n">
        <v>2</v>
      </c>
      <c r="J41" t="n">
        <v>3</v>
      </c>
      <c r="K41" t="n">
        <v>1</v>
      </c>
      <c r="L41" t="n">
        <v>0</v>
      </c>
      <c r="M41" t="n">
        <v>0</v>
      </c>
      <c r="N41" t="n">
        <v>0</v>
      </c>
      <c r="O41" t="n">
        <v>4</v>
      </c>
      <c r="P41" t="n">
        <v>1</v>
      </c>
      <c r="Q41" t="n">
        <v>7</v>
      </c>
      <c r="R41" s="2" t="inlineStr">
        <is>
          <t>Knärot
Garnlav
Talltita
Ullticka
Kransrams
Svavelriska
Revlummer</t>
        </is>
      </c>
      <c r="S41">
        <f>HYPERLINK("https://klasma.github.io/Logging_2380/artfynd/A 44741-2025 artfynd.xlsx", "A 44741-2025")</f>
        <v/>
      </c>
      <c r="T41">
        <f>HYPERLINK("https://klasma.github.io/Logging_2380/kartor/A 44741-2025 karta.png", "A 44741-2025")</f>
        <v/>
      </c>
      <c r="U41">
        <f>HYPERLINK("https://klasma.github.io/Logging_2380/knärot/A 44741-2025 karta knärot.png", "A 44741-2025")</f>
        <v/>
      </c>
      <c r="V41">
        <f>HYPERLINK("https://klasma.github.io/Logging_2380/klagomål/A 44741-2025 FSC-klagomål.docx", "A 44741-2025")</f>
        <v/>
      </c>
      <c r="W41">
        <f>HYPERLINK("https://klasma.github.io/Logging_2380/klagomålsmail/A 44741-2025 FSC-klagomål mail.docx", "A 44741-2025")</f>
        <v/>
      </c>
      <c r="X41">
        <f>HYPERLINK("https://klasma.github.io/Logging_2380/tillsyn/A 44741-2025 tillsynsbegäran.docx", "A 44741-2025")</f>
        <v/>
      </c>
      <c r="Y41">
        <f>HYPERLINK("https://klasma.github.io/Logging_2380/tillsynsmail/A 44741-2025 tillsynsbegäran mail.docx", "A 44741-2025")</f>
        <v/>
      </c>
      <c r="Z41">
        <f>HYPERLINK("https://klasma.github.io/Logging_2380/fåglar/A 44741-2025 prioriterade fågelarter.docx", "A 44741-2025")</f>
        <v/>
      </c>
    </row>
    <row r="42" ht="15" customHeight="1">
      <c r="A42" t="inlineStr">
        <is>
          <t>A 39586-2025</t>
        </is>
      </c>
      <c r="B42" s="1" t="n">
        <v>45890.50260416666</v>
      </c>
      <c r="C42" s="1" t="n">
        <v>45967</v>
      </c>
      <c r="D42" t="inlineStr">
        <is>
          <t>JÄMTLANDS LÄN</t>
        </is>
      </c>
      <c r="E42" t="inlineStr">
        <is>
          <t>ÖSTERSUND</t>
        </is>
      </c>
      <c r="G42" t="n">
        <v>4.6</v>
      </c>
      <c r="H42" t="n">
        <v>2</v>
      </c>
      <c r="I42" t="n">
        <v>0</v>
      </c>
      <c r="J42" t="n">
        <v>7</v>
      </c>
      <c r="K42" t="n">
        <v>0</v>
      </c>
      <c r="L42" t="n">
        <v>0</v>
      </c>
      <c r="M42" t="n">
        <v>0</v>
      </c>
      <c r="N42" t="n">
        <v>0</v>
      </c>
      <c r="O42" t="n">
        <v>7</v>
      </c>
      <c r="P42" t="n">
        <v>0</v>
      </c>
      <c r="Q42" t="n">
        <v>7</v>
      </c>
      <c r="R42" s="2" t="inlineStr">
        <is>
          <t>Gammelgransskål
Garnlav
Harticka
Talltita
Tretåig hackspett
Vitgrynig nållav
Äggvaxskivling</t>
        </is>
      </c>
      <c r="S42">
        <f>HYPERLINK("https://klasma.github.io/Logging_2380/artfynd/A 39586-2025 artfynd.xlsx", "A 39586-2025")</f>
        <v/>
      </c>
      <c r="T42">
        <f>HYPERLINK("https://klasma.github.io/Logging_2380/kartor/A 39586-2025 karta.png", "A 39586-2025")</f>
        <v/>
      </c>
      <c r="V42">
        <f>HYPERLINK("https://klasma.github.io/Logging_2380/klagomål/A 39586-2025 FSC-klagomål.docx", "A 39586-2025")</f>
        <v/>
      </c>
      <c r="W42">
        <f>HYPERLINK("https://klasma.github.io/Logging_2380/klagomålsmail/A 39586-2025 FSC-klagomål mail.docx", "A 39586-2025")</f>
        <v/>
      </c>
      <c r="X42">
        <f>HYPERLINK("https://klasma.github.io/Logging_2380/tillsyn/A 39586-2025 tillsynsbegäran.docx", "A 39586-2025")</f>
        <v/>
      </c>
      <c r="Y42">
        <f>HYPERLINK("https://klasma.github.io/Logging_2380/tillsynsmail/A 39586-2025 tillsynsbegäran mail.docx", "A 39586-2025")</f>
        <v/>
      </c>
      <c r="Z42">
        <f>HYPERLINK("https://klasma.github.io/Logging_2380/fåglar/A 39586-2025 prioriterade fågelarter.docx", "A 39586-2025")</f>
        <v/>
      </c>
    </row>
    <row r="43" ht="15" customHeight="1">
      <c r="A43" t="inlineStr">
        <is>
          <t>A 53292-2025</t>
        </is>
      </c>
      <c r="B43" s="1" t="n">
        <v>45958</v>
      </c>
      <c r="C43" s="1" t="n">
        <v>45967</v>
      </c>
      <c r="D43" t="inlineStr">
        <is>
          <t>JÄMTLANDS LÄN</t>
        </is>
      </c>
      <c r="E43" t="inlineStr">
        <is>
          <t>ÖSTERSUND</t>
        </is>
      </c>
      <c r="G43" t="n">
        <v>3</v>
      </c>
      <c r="H43" t="n">
        <v>5</v>
      </c>
      <c r="I43" t="n">
        <v>0</v>
      </c>
      <c r="J43" t="n">
        <v>3</v>
      </c>
      <c r="K43" t="n">
        <v>1</v>
      </c>
      <c r="L43" t="n">
        <v>0</v>
      </c>
      <c r="M43" t="n">
        <v>0</v>
      </c>
      <c r="N43" t="n">
        <v>0</v>
      </c>
      <c r="O43" t="n">
        <v>4</v>
      </c>
      <c r="P43" t="n">
        <v>1</v>
      </c>
      <c r="Q43" t="n">
        <v>7</v>
      </c>
      <c r="R43" s="2" t="inlineStr">
        <is>
          <t>Knärot
Garnlav
Granticka
Talltita
Kungsfågel
Blåsippa
Revlummer</t>
        </is>
      </c>
      <c r="S43">
        <f>HYPERLINK("https://klasma.github.io/Logging_2380/artfynd/A 53292-2025 artfynd.xlsx", "A 53292-2025")</f>
        <v/>
      </c>
      <c r="T43">
        <f>HYPERLINK("https://klasma.github.io/Logging_2380/kartor/A 53292-2025 karta.png", "A 53292-2025")</f>
        <v/>
      </c>
      <c r="U43">
        <f>HYPERLINK("https://klasma.github.io/Logging_2380/knärot/A 53292-2025 karta knärot.png", "A 53292-2025")</f>
        <v/>
      </c>
      <c r="V43">
        <f>HYPERLINK("https://klasma.github.io/Logging_2380/klagomål/A 53292-2025 FSC-klagomål.docx", "A 53292-2025")</f>
        <v/>
      </c>
      <c r="W43">
        <f>HYPERLINK("https://klasma.github.io/Logging_2380/klagomålsmail/A 53292-2025 FSC-klagomål mail.docx", "A 53292-2025")</f>
        <v/>
      </c>
      <c r="X43">
        <f>HYPERLINK("https://klasma.github.io/Logging_2380/tillsyn/A 53292-2025 tillsynsbegäran.docx", "A 53292-2025")</f>
        <v/>
      </c>
      <c r="Y43">
        <f>HYPERLINK("https://klasma.github.io/Logging_2380/tillsynsmail/A 53292-2025 tillsynsbegäran mail.docx", "A 53292-2025")</f>
        <v/>
      </c>
      <c r="Z43">
        <f>HYPERLINK("https://klasma.github.io/Logging_2380/fåglar/A 53292-2025 prioriterade fågelarter.docx", "A 53292-2025")</f>
        <v/>
      </c>
    </row>
    <row r="44" ht="15" customHeight="1">
      <c r="A44" t="inlineStr">
        <is>
          <t>A 28512-2021</t>
        </is>
      </c>
      <c r="B44" s="1" t="n">
        <v>44356</v>
      </c>
      <c r="C44" s="1" t="n">
        <v>45967</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47392-2022</t>
        </is>
      </c>
      <c r="B45" s="1" t="n">
        <v>44851</v>
      </c>
      <c r="C45" s="1" t="n">
        <v>45967</v>
      </c>
      <c r="D45" t="inlineStr">
        <is>
          <t>JÄMTLANDS LÄN</t>
        </is>
      </c>
      <c r="E45" t="inlineStr">
        <is>
          <t>ÖSTERSUND</t>
        </is>
      </c>
      <c r="G45" t="n">
        <v>1.6</v>
      </c>
      <c r="H45" t="n">
        <v>4</v>
      </c>
      <c r="I45" t="n">
        <v>3</v>
      </c>
      <c r="J45" t="n">
        <v>1</v>
      </c>
      <c r="K45" t="n">
        <v>1</v>
      </c>
      <c r="L45" t="n">
        <v>0</v>
      </c>
      <c r="M45" t="n">
        <v>0</v>
      </c>
      <c r="N45" t="n">
        <v>0</v>
      </c>
      <c r="O45" t="n">
        <v>2</v>
      </c>
      <c r="P45" t="n">
        <v>1</v>
      </c>
      <c r="Q45" t="n">
        <v>6</v>
      </c>
      <c r="R45" s="2" t="inlineStr">
        <is>
          <t>Knärot
Garnlav
Guckusko
Plattlummer
Trådfräken
Revlummer</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376-2023</t>
        </is>
      </c>
      <c r="B46" s="1" t="n">
        <v>44929</v>
      </c>
      <c r="C46" s="1" t="n">
        <v>45967</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24523-2021</t>
        </is>
      </c>
      <c r="B47" s="1" t="n">
        <v>44337</v>
      </c>
      <c r="C47" s="1" t="n">
        <v>45967</v>
      </c>
      <c r="D47" t="inlineStr">
        <is>
          <t>JÄMTLANDS LÄN</t>
        </is>
      </c>
      <c r="E47" t="inlineStr">
        <is>
          <t>ÖSTERSUND</t>
        </is>
      </c>
      <c r="G47" t="n">
        <v>9.300000000000001</v>
      </c>
      <c r="H47" t="n">
        <v>2</v>
      </c>
      <c r="I47" t="n">
        <v>3</v>
      </c>
      <c r="J47" t="n">
        <v>2</v>
      </c>
      <c r="K47" t="n">
        <v>0</v>
      </c>
      <c r="L47" t="n">
        <v>0</v>
      </c>
      <c r="M47" t="n">
        <v>0</v>
      </c>
      <c r="N47" t="n">
        <v>0</v>
      </c>
      <c r="O47" t="n">
        <v>2</v>
      </c>
      <c r="P47" t="n">
        <v>0</v>
      </c>
      <c r="Q47" t="n">
        <v>6</v>
      </c>
      <c r="R47" s="2" t="inlineStr">
        <is>
          <t>Garnlav
Spillkråka
Svart trolldruva
Tibast
Underviol
Blåsippa</t>
        </is>
      </c>
      <c r="S47">
        <f>HYPERLINK("https://klasma.github.io/Logging_2380/artfynd/A 24523-2021 artfynd.xlsx", "A 24523-2021")</f>
        <v/>
      </c>
      <c r="T47">
        <f>HYPERLINK("https://klasma.github.io/Logging_2380/kartor/A 24523-2021 karta.png", "A 24523-2021")</f>
        <v/>
      </c>
      <c r="V47">
        <f>HYPERLINK("https://klasma.github.io/Logging_2380/klagomål/A 24523-2021 FSC-klagomål.docx", "A 24523-2021")</f>
        <v/>
      </c>
      <c r="W47">
        <f>HYPERLINK("https://klasma.github.io/Logging_2380/klagomålsmail/A 24523-2021 FSC-klagomål mail.docx", "A 24523-2021")</f>
        <v/>
      </c>
      <c r="X47">
        <f>HYPERLINK("https://klasma.github.io/Logging_2380/tillsyn/A 24523-2021 tillsynsbegäran.docx", "A 24523-2021")</f>
        <v/>
      </c>
      <c r="Y47">
        <f>HYPERLINK("https://klasma.github.io/Logging_2380/tillsynsmail/A 24523-2021 tillsynsbegäran mail.docx", "A 24523-2021")</f>
        <v/>
      </c>
      <c r="Z47">
        <f>HYPERLINK("https://klasma.github.io/Logging_2380/fåglar/A 24523-2021 prioriterade fågelarter.docx", "A 24523-2021")</f>
        <v/>
      </c>
    </row>
    <row r="48" ht="15" customHeight="1">
      <c r="A48" t="inlineStr">
        <is>
          <t>A 3995-2025</t>
        </is>
      </c>
      <c r="B48" s="1" t="n">
        <v>45684</v>
      </c>
      <c r="C48" s="1" t="n">
        <v>45967</v>
      </c>
      <c r="D48" t="inlineStr">
        <is>
          <t>JÄMTLANDS LÄN</t>
        </is>
      </c>
      <c r="E48" t="inlineStr">
        <is>
          <t>ÖSTERSUND</t>
        </is>
      </c>
      <c r="G48" t="n">
        <v>6.5</v>
      </c>
      <c r="H48" t="n">
        <v>1</v>
      </c>
      <c r="I48" t="n">
        <v>0</v>
      </c>
      <c r="J48" t="n">
        <v>5</v>
      </c>
      <c r="K48" t="n">
        <v>1</v>
      </c>
      <c r="L48" t="n">
        <v>0</v>
      </c>
      <c r="M48" t="n">
        <v>0</v>
      </c>
      <c r="N48" t="n">
        <v>0</v>
      </c>
      <c r="O48" t="n">
        <v>6</v>
      </c>
      <c r="P48" t="n">
        <v>1</v>
      </c>
      <c r="Q48" t="n">
        <v>6</v>
      </c>
      <c r="R48" s="2" t="inlineStr">
        <is>
          <t>Rynkskinn
Gränsticka
Rosenticka
Tretåig hackspett
Ullticka
Vedtrappmossa</t>
        </is>
      </c>
      <c r="S48">
        <f>HYPERLINK("https://klasma.github.io/Logging_2380/artfynd/A 3995-2025 artfynd.xlsx", "A 3995-2025")</f>
        <v/>
      </c>
      <c r="T48">
        <f>HYPERLINK("https://klasma.github.io/Logging_2380/kartor/A 3995-2025 karta.png", "A 3995-2025")</f>
        <v/>
      </c>
      <c r="V48">
        <f>HYPERLINK("https://klasma.github.io/Logging_2380/klagomål/A 3995-2025 FSC-klagomål.docx", "A 3995-2025")</f>
        <v/>
      </c>
      <c r="W48">
        <f>HYPERLINK("https://klasma.github.io/Logging_2380/klagomålsmail/A 3995-2025 FSC-klagomål mail.docx", "A 3995-2025")</f>
        <v/>
      </c>
      <c r="X48">
        <f>HYPERLINK("https://klasma.github.io/Logging_2380/tillsyn/A 3995-2025 tillsynsbegäran.docx", "A 3995-2025")</f>
        <v/>
      </c>
      <c r="Y48">
        <f>HYPERLINK("https://klasma.github.io/Logging_2380/tillsynsmail/A 3995-2025 tillsynsbegäran mail.docx", "A 3995-2025")</f>
        <v/>
      </c>
      <c r="Z48">
        <f>HYPERLINK("https://klasma.github.io/Logging_2380/fåglar/A 3995-2025 prioriterade fågelarter.docx", "A 3995-2025")</f>
        <v/>
      </c>
    </row>
    <row r="49" ht="15" customHeight="1">
      <c r="A49" t="inlineStr">
        <is>
          <t>A 12712-2021</t>
        </is>
      </c>
      <c r="B49" s="1" t="n">
        <v>44270.58950231481</v>
      </c>
      <c r="C49" s="1" t="n">
        <v>45967</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61153-2024</t>
        </is>
      </c>
      <c r="B50" s="1" t="n">
        <v>45645</v>
      </c>
      <c r="C50" s="1" t="n">
        <v>45967</v>
      </c>
      <c r="D50" t="inlineStr">
        <is>
          <t>JÄMTLANDS LÄN</t>
        </is>
      </c>
      <c r="E50" t="inlineStr">
        <is>
          <t>ÖSTERSUND</t>
        </is>
      </c>
      <c r="G50" t="n">
        <v>8.699999999999999</v>
      </c>
      <c r="H50" t="n">
        <v>5</v>
      </c>
      <c r="I50" t="n">
        <v>0</v>
      </c>
      <c r="J50" t="n">
        <v>4</v>
      </c>
      <c r="K50" t="n">
        <v>1</v>
      </c>
      <c r="L50" t="n">
        <v>0</v>
      </c>
      <c r="M50" t="n">
        <v>0</v>
      </c>
      <c r="N50" t="n">
        <v>0</v>
      </c>
      <c r="O50" t="n">
        <v>5</v>
      </c>
      <c r="P50" t="n">
        <v>1</v>
      </c>
      <c r="Q50" t="n">
        <v>6</v>
      </c>
      <c r="R50" s="2" t="inlineStr">
        <is>
          <t>Knärot
Garnlav
Mindre hackspett
Spillkråka
Talltita
Tjäder</t>
        </is>
      </c>
      <c r="S50">
        <f>HYPERLINK("https://klasma.github.io/Logging_2380/artfynd/A 61153-2024 artfynd.xlsx", "A 61153-2024")</f>
        <v/>
      </c>
      <c r="T50">
        <f>HYPERLINK("https://klasma.github.io/Logging_2380/kartor/A 61153-2024 karta.png", "A 61153-2024")</f>
        <v/>
      </c>
      <c r="U50">
        <f>HYPERLINK("https://klasma.github.io/Logging_2380/knärot/A 61153-2024 karta knärot.png", "A 61153-2024")</f>
        <v/>
      </c>
      <c r="V50">
        <f>HYPERLINK("https://klasma.github.io/Logging_2380/klagomål/A 61153-2024 FSC-klagomål.docx", "A 61153-2024")</f>
        <v/>
      </c>
      <c r="W50">
        <f>HYPERLINK("https://klasma.github.io/Logging_2380/klagomålsmail/A 61153-2024 FSC-klagomål mail.docx", "A 61153-2024")</f>
        <v/>
      </c>
      <c r="X50">
        <f>HYPERLINK("https://klasma.github.io/Logging_2380/tillsyn/A 61153-2024 tillsynsbegäran.docx", "A 61153-2024")</f>
        <v/>
      </c>
      <c r="Y50">
        <f>HYPERLINK("https://klasma.github.io/Logging_2380/tillsynsmail/A 61153-2024 tillsynsbegäran mail.docx", "A 61153-2024")</f>
        <v/>
      </c>
      <c r="Z50">
        <f>HYPERLINK("https://klasma.github.io/Logging_2380/fåglar/A 61153-2024 prioriterade fågelarter.docx", "A 61153-2024")</f>
        <v/>
      </c>
    </row>
    <row r="51" ht="15" customHeight="1">
      <c r="A51" t="inlineStr">
        <is>
          <t>A 40815-2025</t>
        </is>
      </c>
      <c r="B51" s="1" t="n">
        <v>45897</v>
      </c>
      <c r="C51" s="1" t="n">
        <v>45967</v>
      </c>
      <c r="D51" t="inlineStr">
        <is>
          <t>JÄMTLANDS LÄN</t>
        </is>
      </c>
      <c r="E51" t="inlineStr">
        <is>
          <t>ÖSTERSUND</t>
        </is>
      </c>
      <c r="F51" t="inlineStr">
        <is>
          <t>Kommuner</t>
        </is>
      </c>
      <c r="G51" t="n">
        <v>0.8</v>
      </c>
      <c r="H51" t="n">
        <v>2</v>
      </c>
      <c r="I51" t="n">
        <v>2</v>
      </c>
      <c r="J51" t="n">
        <v>2</v>
      </c>
      <c r="K51" t="n">
        <v>0</v>
      </c>
      <c r="L51" t="n">
        <v>0</v>
      </c>
      <c r="M51" t="n">
        <v>0</v>
      </c>
      <c r="N51" t="n">
        <v>0</v>
      </c>
      <c r="O51" t="n">
        <v>2</v>
      </c>
      <c r="P51" t="n">
        <v>0</v>
      </c>
      <c r="Q51" t="n">
        <v>6</v>
      </c>
      <c r="R51" s="2" t="inlineStr">
        <is>
          <t>Granticka
Lunglav
Svart trolldruva
Tibast
Blåsippa
Revlummer</t>
        </is>
      </c>
      <c r="S51">
        <f>HYPERLINK("https://klasma.github.io/Logging_2380/artfynd/A 40815-2025 artfynd.xlsx", "A 40815-2025")</f>
        <v/>
      </c>
      <c r="T51">
        <f>HYPERLINK("https://klasma.github.io/Logging_2380/kartor/A 40815-2025 karta.png", "A 40815-2025")</f>
        <v/>
      </c>
      <c r="V51">
        <f>HYPERLINK("https://klasma.github.io/Logging_2380/klagomål/A 40815-2025 FSC-klagomål.docx", "A 40815-2025")</f>
        <v/>
      </c>
      <c r="W51">
        <f>HYPERLINK("https://klasma.github.io/Logging_2380/klagomålsmail/A 40815-2025 FSC-klagomål mail.docx", "A 40815-2025")</f>
        <v/>
      </c>
      <c r="X51">
        <f>HYPERLINK("https://klasma.github.io/Logging_2380/tillsyn/A 40815-2025 tillsynsbegäran.docx", "A 40815-2025")</f>
        <v/>
      </c>
      <c r="Y51">
        <f>HYPERLINK("https://klasma.github.io/Logging_2380/tillsynsmail/A 40815-2025 tillsynsbegäran mail.docx", "A 40815-2025")</f>
        <v/>
      </c>
    </row>
    <row r="52" ht="15" customHeight="1">
      <c r="A52" t="inlineStr">
        <is>
          <t>A 18338-2025</t>
        </is>
      </c>
      <c r="B52" s="1" t="n">
        <v>45762.51075231482</v>
      </c>
      <c r="C52" s="1" t="n">
        <v>45967</v>
      </c>
      <c r="D52" t="inlineStr">
        <is>
          <t>JÄMTLANDS LÄN</t>
        </is>
      </c>
      <c r="E52" t="inlineStr">
        <is>
          <t>ÖSTERSUND</t>
        </is>
      </c>
      <c r="F52" t="inlineStr">
        <is>
          <t>SCA</t>
        </is>
      </c>
      <c r="G52" t="n">
        <v>5.3</v>
      </c>
      <c r="H52" t="n">
        <v>1</v>
      </c>
      <c r="I52" t="n">
        <v>2</v>
      </c>
      <c r="J52" t="n">
        <v>3</v>
      </c>
      <c r="K52" t="n">
        <v>0</v>
      </c>
      <c r="L52" t="n">
        <v>0</v>
      </c>
      <c r="M52" t="n">
        <v>0</v>
      </c>
      <c r="N52" t="n">
        <v>0</v>
      </c>
      <c r="O52" t="n">
        <v>3</v>
      </c>
      <c r="P52" t="n">
        <v>0</v>
      </c>
      <c r="Q52" t="n">
        <v>6</v>
      </c>
      <c r="R52" s="2" t="inlineStr">
        <is>
          <t>Kolflarnlav
Oljetagging
Vedflamlav
Barkticka
Stor aspticka
Fläcknycklar</t>
        </is>
      </c>
      <c r="S52">
        <f>HYPERLINK("https://klasma.github.io/Logging_2380/artfynd/A 18338-2025 artfynd.xlsx", "A 18338-2025")</f>
        <v/>
      </c>
      <c r="T52">
        <f>HYPERLINK("https://klasma.github.io/Logging_2380/kartor/A 18338-2025 karta.png", "A 18338-2025")</f>
        <v/>
      </c>
      <c r="V52">
        <f>HYPERLINK("https://klasma.github.io/Logging_2380/klagomål/A 18338-2025 FSC-klagomål.docx", "A 18338-2025")</f>
        <v/>
      </c>
      <c r="W52">
        <f>HYPERLINK("https://klasma.github.io/Logging_2380/klagomålsmail/A 18338-2025 FSC-klagomål mail.docx", "A 18338-2025")</f>
        <v/>
      </c>
      <c r="X52">
        <f>HYPERLINK("https://klasma.github.io/Logging_2380/tillsyn/A 18338-2025 tillsynsbegäran.docx", "A 18338-2025")</f>
        <v/>
      </c>
      <c r="Y52">
        <f>HYPERLINK("https://klasma.github.io/Logging_2380/tillsynsmail/A 18338-2025 tillsynsbegäran mail.docx", "A 18338-2025")</f>
        <v/>
      </c>
    </row>
    <row r="53" ht="15" customHeight="1">
      <c r="A53" t="inlineStr">
        <is>
          <t>A 40555-2024</t>
        </is>
      </c>
      <c r="B53" s="1" t="n">
        <v>45555</v>
      </c>
      <c r="C53" s="1" t="n">
        <v>45967</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45967</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54731-2024</t>
        </is>
      </c>
      <c r="B55" s="1" t="n">
        <v>45618.43853009259</v>
      </c>
      <c r="C55" s="1" t="n">
        <v>45967</v>
      </c>
      <c r="D55" t="inlineStr">
        <is>
          <t>JÄMTLANDS LÄN</t>
        </is>
      </c>
      <c r="E55" t="inlineStr">
        <is>
          <t>ÖSTERSUND</t>
        </is>
      </c>
      <c r="F55" t="inlineStr">
        <is>
          <t>SCA</t>
        </is>
      </c>
      <c r="G55" t="n">
        <v>16.8</v>
      </c>
      <c r="H55" t="n">
        <v>1</v>
      </c>
      <c r="I55" t="n">
        <v>1</v>
      </c>
      <c r="J55" t="n">
        <v>4</v>
      </c>
      <c r="K55" t="n">
        <v>0</v>
      </c>
      <c r="L55" t="n">
        <v>0</v>
      </c>
      <c r="M55" t="n">
        <v>0</v>
      </c>
      <c r="N55" t="n">
        <v>0</v>
      </c>
      <c r="O55" t="n">
        <v>4</v>
      </c>
      <c r="P55" t="n">
        <v>0</v>
      </c>
      <c r="Q55" t="n">
        <v>5</v>
      </c>
      <c r="R55" s="2" t="inlineStr">
        <is>
          <t>Granticka
Lunglav
Rödvingetrast
Ullticka
Kransrams</t>
        </is>
      </c>
      <c r="S55">
        <f>HYPERLINK("https://klasma.github.io/Logging_2380/artfynd/A 54731-2024 artfynd.xlsx", "A 54731-2024")</f>
        <v/>
      </c>
      <c r="T55">
        <f>HYPERLINK("https://klasma.github.io/Logging_2380/kartor/A 54731-2024 karta.png", "A 54731-2024")</f>
        <v/>
      </c>
      <c r="V55">
        <f>HYPERLINK("https://klasma.github.io/Logging_2380/klagomål/A 54731-2024 FSC-klagomål.docx", "A 54731-2024")</f>
        <v/>
      </c>
      <c r="W55">
        <f>HYPERLINK("https://klasma.github.io/Logging_2380/klagomålsmail/A 54731-2024 FSC-klagomål mail.docx", "A 54731-2024")</f>
        <v/>
      </c>
      <c r="X55">
        <f>HYPERLINK("https://klasma.github.io/Logging_2380/tillsyn/A 54731-2024 tillsynsbegäran.docx", "A 54731-2024")</f>
        <v/>
      </c>
      <c r="Y55">
        <f>HYPERLINK("https://klasma.github.io/Logging_2380/tillsynsmail/A 54731-2024 tillsynsbegäran mail.docx", "A 54731-2024")</f>
        <v/>
      </c>
      <c r="Z55">
        <f>HYPERLINK("https://klasma.github.io/Logging_2380/fåglar/A 54731-2024 prioriterade fågelarter.docx", "A 54731-2024")</f>
        <v/>
      </c>
    </row>
    <row r="56" ht="15" customHeight="1">
      <c r="A56" t="inlineStr">
        <is>
          <t>A 59537-2023</t>
        </is>
      </c>
      <c r="B56" s="1" t="n">
        <v>45254</v>
      </c>
      <c r="C56" s="1" t="n">
        <v>45967</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39941-2024</t>
        </is>
      </c>
      <c r="B57" s="1" t="n">
        <v>45553</v>
      </c>
      <c r="C57" s="1" t="n">
        <v>45967</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7717-2024</t>
        </is>
      </c>
      <c r="B58" s="1" t="n">
        <v>45349</v>
      </c>
      <c r="C58" s="1" t="n">
        <v>45967</v>
      </c>
      <c r="D58" t="inlineStr">
        <is>
          <t>JÄMTLANDS LÄN</t>
        </is>
      </c>
      <c r="E58" t="inlineStr">
        <is>
          <t>ÖSTERSUND</t>
        </is>
      </c>
      <c r="F58" t="inlineStr">
        <is>
          <t>Övriga Aktiebolag</t>
        </is>
      </c>
      <c r="G58" t="n">
        <v>2.5</v>
      </c>
      <c r="H58" t="n">
        <v>1</v>
      </c>
      <c r="I58" t="n">
        <v>1</v>
      </c>
      <c r="J58" t="n">
        <v>4</v>
      </c>
      <c r="K58" t="n">
        <v>0</v>
      </c>
      <c r="L58" t="n">
        <v>0</v>
      </c>
      <c r="M58" t="n">
        <v>0</v>
      </c>
      <c r="N58" t="n">
        <v>0</v>
      </c>
      <c r="O58" t="n">
        <v>4</v>
      </c>
      <c r="P58" t="n">
        <v>0</v>
      </c>
      <c r="Q58" t="n">
        <v>5</v>
      </c>
      <c r="R58" s="2" t="inlineStr">
        <is>
          <t>Garnlav
Lunglav
Skrovellav
Talltita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c r="Z58">
        <f>HYPERLINK("https://klasma.github.io/Logging_2380/fåglar/A 7717-2024 prioriterade fågelarter.docx", "A 7717-2024")</f>
        <v/>
      </c>
    </row>
    <row r="59" ht="15" customHeight="1">
      <c r="A59" t="inlineStr">
        <is>
          <t>A 45979-2023</t>
        </is>
      </c>
      <c r="B59" s="1" t="n">
        <v>45189</v>
      </c>
      <c r="C59" s="1" t="n">
        <v>45967</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29117-2025</t>
        </is>
      </c>
      <c r="B60" s="1" t="n">
        <v>45821.59243055555</v>
      </c>
      <c r="C60" s="1" t="n">
        <v>45967</v>
      </c>
      <c r="D60" t="inlineStr">
        <is>
          <t>JÄMTLANDS LÄN</t>
        </is>
      </c>
      <c r="E60" t="inlineStr">
        <is>
          <t>ÖSTERSUND</t>
        </is>
      </c>
      <c r="G60" t="n">
        <v>15.4</v>
      </c>
      <c r="H60" t="n">
        <v>5</v>
      </c>
      <c r="I60" t="n">
        <v>2</v>
      </c>
      <c r="J60" t="n">
        <v>0</v>
      </c>
      <c r="K60" t="n">
        <v>1</v>
      </c>
      <c r="L60" t="n">
        <v>0</v>
      </c>
      <c r="M60" t="n">
        <v>0</v>
      </c>
      <c r="N60" t="n">
        <v>0</v>
      </c>
      <c r="O60" t="n">
        <v>1</v>
      </c>
      <c r="P60" t="n">
        <v>1</v>
      </c>
      <c r="Q60" t="n">
        <v>5</v>
      </c>
      <c r="R60" s="2" t="inlineStr">
        <is>
          <t>Knärot
Guckusko
Spindelblomster
Fläcknycklar
Revlummer</t>
        </is>
      </c>
      <c r="S60">
        <f>HYPERLINK("https://klasma.github.io/Logging_2380/artfynd/A 29117-2025 artfynd.xlsx", "A 29117-2025")</f>
        <v/>
      </c>
      <c r="T60">
        <f>HYPERLINK("https://klasma.github.io/Logging_2380/kartor/A 29117-2025 karta.png", "A 29117-2025")</f>
        <v/>
      </c>
      <c r="U60">
        <f>HYPERLINK("https://klasma.github.io/Logging_2380/knärot/A 29117-2025 karta knärot.png", "A 29117-2025")</f>
        <v/>
      </c>
      <c r="V60">
        <f>HYPERLINK("https://klasma.github.io/Logging_2380/klagomål/A 29117-2025 FSC-klagomål.docx", "A 29117-2025")</f>
        <v/>
      </c>
      <c r="W60">
        <f>HYPERLINK("https://klasma.github.io/Logging_2380/klagomålsmail/A 29117-2025 FSC-klagomål mail.docx", "A 29117-2025")</f>
        <v/>
      </c>
      <c r="X60">
        <f>HYPERLINK("https://klasma.github.io/Logging_2380/tillsyn/A 29117-2025 tillsynsbegäran.docx", "A 29117-2025")</f>
        <v/>
      </c>
      <c r="Y60">
        <f>HYPERLINK("https://klasma.github.io/Logging_2380/tillsynsmail/A 29117-2025 tillsynsbegäran mail.docx", "A 29117-2025")</f>
        <v/>
      </c>
    </row>
    <row r="61" ht="15" customHeight="1">
      <c r="A61" t="inlineStr">
        <is>
          <t>A 10747-2024</t>
        </is>
      </c>
      <c r="B61" s="1" t="n">
        <v>45369</v>
      </c>
      <c r="C61" s="1" t="n">
        <v>45967</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2962-2023</t>
        </is>
      </c>
      <c r="B62" s="1" t="n">
        <v>44945</v>
      </c>
      <c r="C62" s="1" t="n">
        <v>45967</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60580-2024</t>
        </is>
      </c>
      <c r="B63" s="1" t="n">
        <v>45644</v>
      </c>
      <c r="C63" s="1" t="n">
        <v>45967</v>
      </c>
      <c r="D63" t="inlineStr">
        <is>
          <t>JÄMTLANDS LÄN</t>
        </is>
      </c>
      <c r="E63" t="inlineStr">
        <is>
          <t>ÖSTERSUND</t>
        </is>
      </c>
      <c r="G63" t="n">
        <v>13.5</v>
      </c>
      <c r="H63" t="n">
        <v>2</v>
      </c>
      <c r="I63" t="n">
        <v>0</v>
      </c>
      <c r="J63" t="n">
        <v>4</v>
      </c>
      <c r="K63" t="n">
        <v>0</v>
      </c>
      <c r="L63" t="n">
        <v>0</v>
      </c>
      <c r="M63" t="n">
        <v>0</v>
      </c>
      <c r="N63" t="n">
        <v>0</v>
      </c>
      <c r="O63" t="n">
        <v>4</v>
      </c>
      <c r="P63" t="n">
        <v>0</v>
      </c>
      <c r="Q63" t="n">
        <v>4</v>
      </c>
      <c r="R63" s="2" t="inlineStr">
        <is>
          <t>Granticka
Lunglav
Spillkråka
Tretåig hackspett</t>
        </is>
      </c>
      <c r="S63">
        <f>HYPERLINK("https://klasma.github.io/Logging_2380/artfynd/A 60580-2024 artfynd.xlsx", "A 60580-2024")</f>
        <v/>
      </c>
      <c r="T63">
        <f>HYPERLINK("https://klasma.github.io/Logging_2380/kartor/A 60580-2024 karta.png", "A 60580-2024")</f>
        <v/>
      </c>
      <c r="V63">
        <f>HYPERLINK("https://klasma.github.io/Logging_2380/klagomål/A 60580-2024 FSC-klagomål.docx", "A 60580-2024")</f>
        <v/>
      </c>
      <c r="W63">
        <f>HYPERLINK("https://klasma.github.io/Logging_2380/klagomålsmail/A 60580-2024 FSC-klagomål mail.docx", "A 60580-2024")</f>
        <v/>
      </c>
      <c r="X63">
        <f>HYPERLINK("https://klasma.github.io/Logging_2380/tillsyn/A 60580-2024 tillsynsbegäran.docx", "A 60580-2024")</f>
        <v/>
      </c>
      <c r="Y63">
        <f>HYPERLINK("https://klasma.github.io/Logging_2380/tillsynsmail/A 60580-2024 tillsynsbegäran mail.docx", "A 60580-2024")</f>
        <v/>
      </c>
      <c r="Z63">
        <f>HYPERLINK("https://klasma.github.io/Logging_2380/fåglar/A 60580-2024 prioriterade fågelarter.docx", "A 60580-2024")</f>
        <v/>
      </c>
    </row>
    <row r="64" ht="15" customHeight="1">
      <c r="A64" t="inlineStr">
        <is>
          <t>A 55344-2023</t>
        </is>
      </c>
      <c r="B64" s="1" t="n">
        <v>45237</v>
      </c>
      <c r="C64" s="1" t="n">
        <v>45967</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31127-2025</t>
        </is>
      </c>
      <c r="B65" s="1" t="n">
        <v>45831</v>
      </c>
      <c r="C65" s="1" t="n">
        <v>45967</v>
      </c>
      <c r="D65" t="inlineStr">
        <is>
          <t>JÄMTLANDS LÄN</t>
        </is>
      </c>
      <c r="E65" t="inlineStr">
        <is>
          <t>ÖSTERSUND</t>
        </is>
      </c>
      <c r="G65" t="n">
        <v>4.3</v>
      </c>
      <c r="H65" t="n">
        <v>2</v>
      </c>
      <c r="I65" t="n">
        <v>1</v>
      </c>
      <c r="J65" t="n">
        <v>2</v>
      </c>
      <c r="K65" t="n">
        <v>0</v>
      </c>
      <c r="L65" t="n">
        <v>0</v>
      </c>
      <c r="M65" t="n">
        <v>0</v>
      </c>
      <c r="N65" t="n">
        <v>0</v>
      </c>
      <c r="O65" t="n">
        <v>2</v>
      </c>
      <c r="P65" t="n">
        <v>0</v>
      </c>
      <c r="Q65" t="n">
        <v>4</v>
      </c>
      <c r="R65" s="2" t="inlineStr">
        <is>
          <t>Granticka
Talltita
Kransrams
Revlummer</t>
        </is>
      </c>
      <c r="S65">
        <f>HYPERLINK("https://klasma.github.io/Logging_2380/artfynd/A 31127-2025 artfynd.xlsx", "A 31127-2025")</f>
        <v/>
      </c>
      <c r="T65">
        <f>HYPERLINK("https://klasma.github.io/Logging_2380/kartor/A 31127-2025 karta.png", "A 31127-2025")</f>
        <v/>
      </c>
      <c r="V65">
        <f>HYPERLINK("https://klasma.github.io/Logging_2380/klagomål/A 31127-2025 FSC-klagomål.docx", "A 31127-2025")</f>
        <v/>
      </c>
      <c r="W65">
        <f>HYPERLINK("https://klasma.github.io/Logging_2380/klagomålsmail/A 31127-2025 FSC-klagomål mail.docx", "A 31127-2025")</f>
        <v/>
      </c>
      <c r="X65">
        <f>HYPERLINK("https://klasma.github.io/Logging_2380/tillsyn/A 31127-2025 tillsynsbegäran.docx", "A 31127-2025")</f>
        <v/>
      </c>
      <c r="Y65">
        <f>HYPERLINK("https://klasma.github.io/Logging_2380/tillsynsmail/A 31127-2025 tillsynsbegäran mail.docx", "A 31127-2025")</f>
        <v/>
      </c>
      <c r="Z65">
        <f>HYPERLINK("https://klasma.github.io/Logging_2380/fåglar/A 31127-2025 prioriterade fågelarter.docx", "A 31127-2025")</f>
        <v/>
      </c>
    </row>
    <row r="66" ht="15" customHeight="1">
      <c r="A66" t="inlineStr">
        <is>
          <t>A 29135-2022</t>
        </is>
      </c>
      <c r="B66" s="1" t="n">
        <v>44750</v>
      </c>
      <c r="C66" s="1" t="n">
        <v>45967</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49192-2025</t>
        </is>
      </c>
      <c r="B67" s="1" t="n">
        <v>45938.40790509259</v>
      </c>
      <c r="C67" s="1" t="n">
        <v>45967</v>
      </c>
      <c r="D67" t="inlineStr">
        <is>
          <t>JÄMTLANDS LÄN</t>
        </is>
      </c>
      <c r="E67" t="inlineStr">
        <is>
          <t>ÖSTERSUND</t>
        </is>
      </c>
      <c r="F67" t="inlineStr">
        <is>
          <t>SCA</t>
        </is>
      </c>
      <c r="G67" t="n">
        <v>2.6</v>
      </c>
      <c r="H67" t="n">
        <v>2</v>
      </c>
      <c r="I67" t="n">
        <v>2</v>
      </c>
      <c r="J67" t="n">
        <v>1</v>
      </c>
      <c r="K67" t="n">
        <v>0</v>
      </c>
      <c r="L67" t="n">
        <v>0</v>
      </c>
      <c r="M67" t="n">
        <v>0</v>
      </c>
      <c r="N67" t="n">
        <v>0</v>
      </c>
      <c r="O67" t="n">
        <v>1</v>
      </c>
      <c r="P67" t="n">
        <v>0</v>
      </c>
      <c r="Q67" t="n">
        <v>4</v>
      </c>
      <c r="R67" s="2" t="inlineStr">
        <is>
          <t>Kolflarnlav
Guckusko
Tibast
Blåsippa</t>
        </is>
      </c>
      <c r="S67">
        <f>HYPERLINK("https://klasma.github.io/Logging_2380/artfynd/A 49192-2025 artfynd.xlsx", "A 49192-2025")</f>
        <v/>
      </c>
      <c r="T67">
        <f>HYPERLINK("https://klasma.github.io/Logging_2380/kartor/A 49192-2025 karta.png", "A 49192-2025")</f>
        <v/>
      </c>
      <c r="V67">
        <f>HYPERLINK("https://klasma.github.io/Logging_2380/klagomål/A 49192-2025 FSC-klagomål.docx", "A 49192-2025")</f>
        <v/>
      </c>
      <c r="W67">
        <f>HYPERLINK("https://klasma.github.io/Logging_2380/klagomålsmail/A 49192-2025 FSC-klagomål mail.docx", "A 49192-2025")</f>
        <v/>
      </c>
      <c r="X67">
        <f>HYPERLINK("https://klasma.github.io/Logging_2380/tillsyn/A 49192-2025 tillsynsbegäran.docx", "A 49192-2025")</f>
        <v/>
      </c>
      <c r="Y67">
        <f>HYPERLINK("https://klasma.github.io/Logging_2380/tillsynsmail/A 49192-2025 tillsynsbegäran mail.docx", "A 49192-2025")</f>
        <v/>
      </c>
    </row>
    <row r="68" ht="15" customHeight="1">
      <c r="A68" t="inlineStr">
        <is>
          <t>A 59291-2022</t>
        </is>
      </c>
      <c r="B68" s="1" t="n">
        <v>44904</v>
      </c>
      <c r="C68" s="1" t="n">
        <v>45967</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41493-2025</t>
        </is>
      </c>
      <c r="B69" s="1" t="n">
        <v>45901.49171296296</v>
      </c>
      <c r="C69" s="1" t="n">
        <v>45967</v>
      </c>
      <c r="D69" t="inlineStr">
        <is>
          <t>JÄMTLANDS LÄN</t>
        </is>
      </c>
      <c r="E69" t="inlineStr">
        <is>
          <t>ÖSTERSUND</t>
        </is>
      </c>
      <c r="F69" t="inlineStr">
        <is>
          <t>Övriga Aktiebolag</t>
        </is>
      </c>
      <c r="G69" t="n">
        <v>0.8</v>
      </c>
      <c r="H69" t="n">
        <v>1</v>
      </c>
      <c r="I69" t="n">
        <v>1</v>
      </c>
      <c r="J69" t="n">
        <v>2</v>
      </c>
      <c r="K69" t="n">
        <v>0</v>
      </c>
      <c r="L69" t="n">
        <v>0</v>
      </c>
      <c r="M69" t="n">
        <v>0</v>
      </c>
      <c r="N69" t="n">
        <v>0</v>
      </c>
      <c r="O69" t="n">
        <v>2</v>
      </c>
      <c r="P69" t="n">
        <v>0</v>
      </c>
      <c r="Q69" t="n">
        <v>4</v>
      </c>
      <c r="R69" s="2" t="inlineStr">
        <is>
          <t>Granticka
Harticka
Trådticka
Revlummer</t>
        </is>
      </c>
      <c r="S69">
        <f>HYPERLINK("https://klasma.github.io/Logging_2380/artfynd/A 41493-2025 artfynd.xlsx", "A 41493-2025")</f>
        <v/>
      </c>
      <c r="T69">
        <f>HYPERLINK("https://klasma.github.io/Logging_2380/kartor/A 41493-2025 karta.png", "A 41493-2025")</f>
        <v/>
      </c>
      <c r="V69">
        <f>HYPERLINK("https://klasma.github.io/Logging_2380/klagomål/A 41493-2025 FSC-klagomål.docx", "A 41493-2025")</f>
        <v/>
      </c>
      <c r="W69">
        <f>HYPERLINK("https://klasma.github.io/Logging_2380/klagomålsmail/A 41493-2025 FSC-klagomål mail.docx", "A 41493-2025")</f>
        <v/>
      </c>
      <c r="X69">
        <f>HYPERLINK("https://klasma.github.io/Logging_2380/tillsyn/A 41493-2025 tillsynsbegäran.docx", "A 41493-2025")</f>
        <v/>
      </c>
      <c r="Y69">
        <f>HYPERLINK("https://klasma.github.io/Logging_2380/tillsynsmail/A 41493-2025 tillsynsbegäran mail.docx", "A 41493-2025")</f>
        <v/>
      </c>
    </row>
    <row r="70" ht="15" customHeight="1">
      <c r="A70" t="inlineStr">
        <is>
          <t>A 7698-2024</t>
        </is>
      </c>
      <c r="B70" s="1" t="n">
        <v>45349</v>
      </c>
      <c r="C70" s="1" t="n">
        <v>45967</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25369-2024</t>
        </is>
      </c>
      <c r="B71" s="1" t="n">
        <v>45462.95982638889</v>
      </c>
      <c r="C71" s="1" t="n">
        <v>45967</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54421-2021</t>
        </is>
      </c>
      <c r="B72" s="1" t="n">
        <v>44473.43114583333</v>
      </c>
      <c r="C72" s="1" t="n">
        <v>45967</v>
      </c>
      <c r="D72" t="inlineStr">
        <is>
          <t>JÄMTLANDS LÄN</t>
        </is>
      </c>
      <c r="E72" t="inlineStr">
        <is>
          <t>ÖSTERSUND</t>
        </is>
      </c>
      <c r="F72" t="inlineStr">
        <is>
          <t>Kommuner</t>
        </is>
      </c>
      <c r="G72" t="n">
        <v>4.6</v>
      </c>
      <c r="H72" t="n">
        <v>2</v>
      </c>
      <c r="I72" t="n">
        <v>1</v>
      </c>
      <c r="J72" t="n">
        <v>2</v>
      </c>
      <c r="K72" t="n">
        <v>0</v>
      </c>
      <c r="L72" t="n">
        <v>0</v>
      </c>
      <c r="M72" t="n">
        <v>0</v>
      </c>
      <c r="N72" t="n">
        <v>0</v>
      </c>
      <c r="O72" t="n">
        <v>2</v>
      </c>
      <c r="P72" t="n">
        <v>0</v>
      </c>
      <c r="Q72" t="n">
        <v>3</v>
      </c>
      <c r="R72" s="2" t="inlineStr">
        <is>
          <t>Granticka
Skogsfru
Spindelblomster</t>
        </is>
      </c>
      <c r="S72">
        <f>HYPERLINK("https://klasma.github.io/Logging_2380/artfynd/A 54421-2021 artfynd.xlsx", "A 54421-2021")</f>
        <v/>
      </c>
      <c r="T72">
        <f>HYPERLINK("https://klasma.github.io/Logging_2380/kartor/A 54421-2021 karta.png", "A 54421-2021")</f>
        <v/>
      </c>
      <c r="U72">
        <f>HYPERLINK("https://klasma.github.io/Logging_2380/knärot/A 54421-2021 karta knärot.png", "A 54421-2021")</f>
        <v/>
      </c>
      <c r="V72">
        <f>HYPERLINK("https://klasma.github.io/Logging_2380/klagomål/A 54421-2021 FSC-klagomål.docx", "A 54421-2021")</f>
        <v/>
      </c>
      <c r="W72">
        <f>HYPERLINK("https://klasma.github.io/Logging_2380/klagomålsmail/A 54421-2021 FSC-klagomål mail.docx", "A 54421-2021")</f>
        <v/>
      </c>
      <c r="X72">
        <f>HYPERLINK("https://klasma.github.io/Logging_2380/tillsyn/A 54421-2021 tillsynsbegäran.docx", "A 54421-2021")</f>
        <v/>
      </c>
      <c r="Y72">
        <f>HYPERLINK("https://klasma.github.io/Logging_2380/tillsynsmail/A 54421-2021 tillsynsbegäran mail.docx", "A 54421-2021")</f>
        <v/>
      </c>
    </row>
    <row r="73" ht="15" customHeight="1">
      <c r="A73" t="inlineStr">
        <is>
          <t>A 43981-2023</t>
        </is>
      </c>
      <c r="B73" s="1" t="n">
        <v>45187</v>
      </c>
      <c r="C73" s="1" t="n">
        <v>45967</v>
      </c>
      <c r="D73" t="inlineStr">
        <is>
          <t>JÄMTLANDS LÄN</t>
        </is>
      </c>
      <c r="E73" t="inlineStr">
        <is>
          <t>ÖSTERSUND</t>
        </is>
      </c>
      <c r="F73" t="inlineStr">
        <is>
          <t>SCA</t>
        </is>
      </c>
      <c r="G73" t="n">
        <v>7.5</v>
      </c>
      <c r="H73" t="n">
        <v>1</v>
      </c>
      <c r="I73" t="n">
        <v>0</v>
      </c>
      <c r="J73" t="n">
        <v>2</v>
      </c>
      <c r="K73" t="n">
        <v>1</v>
      </c>
      <c r="L73" t="n">
        <v>0</v>
      </c>
      <c r="M73" t="n">
        <v>0</v>
      </c>
      <c r="N73" t="n">
        <v>0</v>
      </c>
      <c r="O73" t="n">
        <v>3</v>
      </c>
      <c r="P73" t="n">
        <v>1</v>
      </c>
      <c r="Q73" t="n">
        <v>3</v>
      </c>
      <c r="R73" s="2" t="inlineStr">
        <is>
          <t>Knärot
Lunglav
Ullticka</t>
        </is>
      </c>
      <c r="S73">
        <f>HYPERLINK("https://klasma.github.io/Logging_2380/artfynd/A 43981-2023 artfynd.xlsx", "A 43981-2023")</f>
        <v/>
      </c>
      <c r="T73">
        <f>HYPERLINK("https://klasma.github.io/Logging_2380/kartor/A 43981-2023 karta.png", "A 43981-2023")</f>
        <v/>
      </c>
      <c r="U73">
        <f>HYPERLINK("https://klasma.github.io/Logging_2380/knärot/A 43981-2023 karta knärot.png", "A 43981-2023")</f>
        <v/>
      </c>
      <c r="V73">
        <f>HYPERLINK("https://klasma.github.io/Logging_2380/klagomål/A 43981-2023 FSC-klagomål.docx", "A 43981-2023")</f>
        <v/>
      </c>
      <c r="W73">
        <f>HYPERLINK("https://klasma.github.io/Logging_2380/klagomålsmail/A 43981-2023 FSC-klagomål mail.docx", "A 43981-2023")</f>
        <v/>
      </c>
      <c r="X73">
        <f>HYPERLINK("https://klasma.github.io/Logging_2380/tillsyn/A 43981-2023 tillsynsbegäran.docx", "A 43981-2023")</f>
        <v/>
      </c>
      <c r="Y73">
        <f>HYPERLINK("https://klasma.github.io/Logging_2380/tillsynsmail/A 43981-2023 tillsynsbegäran mail.docx", "A 43981-2023")</f>
        <v/>
      </c>
    </row>
    <row r="74" ht="15" customHeight="1">
      <c r="A74" t="inlineStr">
        <is>
          <t>A 19520-2023</t>
        </is>
      </c>
      <c r="B74" s="1" t="n">
        <v>45049</v>
      </c>
      <c r="C74" s="1" t="n">
        <v>45967</v>
      </c>
      <c r="D74" t="inlineStr">
        <is>
          <t>JÄMTLANDS LÄN</t>
        </is>
      </c>
      <c r="E74" t="inlineStr">
        <is>
          <t>ÖSTERSUND</t>
        </is>
      </c>
      <c r="G74" t="n">
        <v>2</v>
      </c>
      <c r="H74" t="n">
        <v>0</v>
      </c>
      <c r="I74" t="n">
        <v>2</v>
      </c>
      <c r="J74" t="n">
        <v>0</v>
      </c>
      <c r="K74" t="n">
        <v>0</v>
      </c>
      <c r="L74" t="n">
        <v>1</v>
      </c>
      <c r="M74" t="n">
        <v>0</v>
      </c>
      <c r="N74" t="n">
        <v>0</v>
      </c>
      <c r="O74" t="n">
        <v>1</v>
      </c>
      <c r="P74" t="n">
        <v>1</v>
      </c>
      <c r="Q74" t="n">
        <v>3</v>
      </c>
      <c r="R74" s="2" t="inlineStr">
        <is>
          <t>Trolldruvemätare
Svart trolldruva
Svavelriska</t>
        </is>
      </c>
      <c r="S74">
        <f>HYPERLINK("https://klasma.github.io/Logging_2380/artfynd/A 19520-2023 artfynd.xlsx", "A 19520-2023")</f>
        <v/>
      </c>
      <c r="T74">
        <f>HYPERLINK("https://klasma.github.io/Logging_2380/kartor/A 19520-2023 karta.png", "A 19520-2023")</f>
        <v/>
      </c>
      <c r="V74">
        <f>HYPERLINK("https://klasma.github.io/Logging_2380/klagomål/A 19520-2023 FSC-klagomål.docx", "A 19520-2023")</f>
        <v/>
      </c>
      <c r="W74">
        <f>HYPERLINK("https://klasma.github.io/Logging_2380/klagomålsmail/A 19520-2023 FSC-klagomål mail.docx", "A 19520-2023")</f>
        <v/>
      </c>
      <c r="X74">
        <f>HYPERLINK("https://klasma.github.io/Logging_2380/tillsyn/A 19520-2023 tillsynsbegäran.docx", "A 19520-2023")</f>
        <v/>
      </c>
      <c r="Y74">
        <f>HYPERLINK("https://klasma.github.io/Logging_2380/tillsynsmail/A 19520-2023 tillsynsbegäran mail.docx", "A 19520-2023")</f>
        <v/>
      </c>
    </row>
    <row r="75" ht="15" customHeight="1">
      <c r="A75" t="inlineStr">
        <is>
          <t>A 60565-2022</t>
        </is>
      </c>
      <c r="B75" s="1" t="n">
        <v>44904</v>
      </c>
      <c r="C75" s="1" t="n">
        <v>45967</v>
      </c>
      <c r="D75" t="inlineStr">
        <is>
          <t>JÄMTLANDS LÄN</t>
        </is>
      </c>
      <c r="E75" t="inlineStr">
        <is>
          <t>ÖSTERSUND</t>
        </is>
      </c>
      <c r="G75" t="n">
        <v>2.5</v>
      </c>
      <c r="H75" t="n">
        <v>2</v>
      </c>
      <c r="I75" t="n">
        <v>0</v>
      </c>
      <c r="J75" t="n">
        <v>2</v>
      </c>
      <c r="K75" t="n">
        <v>0</v>
      </c>
      <c r="L75" t="n">
        <v>0</v>
      </c>
      <c r="M75" t="n">
        <v>0</v>
      </c>
      <c r="N75" t="n">
        <v>0</v>
      </c>
      <c r="O75" t="n">
        <v>2</v>
      </c>
      <c r="P75" t="n">
        <v>0</v>
      </c>
      <c r="Q75" t="n">
        <v>3</v>
      </c>
      <c r="R75" s="2" t="inlineStr">
        <is>
          <t>Garnlav
Talltita
Revlummer</t>
        </is>
      </c>
      <c r="S75">
        <f>HYPERLINK("https://klasma.github.io/Logging_2380/artfynd/A 60565-2022 artfynd.xlsx", "A 60565-2022")</f>
        <v/>
      </c>
      <c r="T75">
        <f>HYPERLINK("https://klasma.github.io/Logging_2380/kartor/A 60565-2022 karta.png", "A 60565-2022")</f>
        <v/>
      </c>
      <c r="V75">
        <f>HYPERLINK("https://klasma.github.io/Logging_2380/klagomål/A 60565-2022 FSC-klagomål.docx", "A 60565-2022")</f>
        <v/>
      </c>
      <c r="W75">
        <f>HYPERLINK("https://klasma.github.io/Logging_2380/klagomålsmail/A 60565-2022 FSC-klagomål mail.docx", "A 60565-2022")</f>
        <v/>
      </c>
      <c r="X75">
        <f>HYPERLINK("https://klasma.github.io/Logging_2380/tillsyn/A 60565-2022 tillsynsbegäran.docx", "A 60565-2022")</f>
        <v/>
      </c>
      <c r="Y75">
        <f>HYPERLINK("https://klasma.github.io/Logging_2380/tillsynsmail/A 60565-2022 tillsynsbegäran mail.docx", "A 60565-2022")</f>
        <v/>
      </c>
      <c r="Z75">
        <f>HYPERLINK("https://klasma.github.io/Logging_2380/fåglar/A 60565-2022 prioriterade fågelarter.docx", "A 60565-2022")</f>
        <v/>
      </c>
    </row>
    <row r="76" ht="15" customHeight="1">
      <c r="A76" t="inlineStr">
        <is>
          <t>A 3846-2024</t>
        </is>
      </c>
      <c r="B76" s="1" t="n">
        <v>45321</v>
      </c>
      <c r="C76" s="1" t="n">
        <v>45967</v>
      </c>
      <c r="D76" t="inlineStr">
        <is>
          <t>JÄMTLANDS LÄN</t>
        </is>
      </c>
      <c r="E76" t="inlineStr">
        <is>
          <t>ÖSTERSUND</t>
        </is>
      </c>
      <c r="G76" t="n">
        <v>2.2</v>
      </c>
      <c r="H76" t="n">
        <v>0</v>
      </c>
      <c r="I76" t="n">
        <v>2</v>
      </c>
      <c r="J76" t="n">
        <v>1</v>
      </c>
      <c r="K76" t="n">
        <v>0</v>
      </c>
      <c r="L76" t="n">
        <v>0</v>
      </c>
      <c r="M76" t="n">
        <v>0</v>
      </c>
      <c r="N76" t="n">
        <v>0</v>
      </c>
      <c r="O76" t="n">
        <v>1</v>
      </c>
      <c r="P76" t="n">
        <v>0</v>
      </c>
      <c r="Q76" t="n">
        <v>3</v>
      </c>
      <c r="R76" s="2" t="inlineStr">
        <is>
          <t>Granticka
Olivspindling
Svavelriska</t>
        </is>
      </c>
      <c r="S76">
        <f>HYPERLINK("https://klasma.github.io/Logging_2380/artfynd/A 3846-2024 artfynd.xlsx", "A 3846-2024")</f>
        <v/>
      </c>
      <c r="T76">
        <f>HYPERLINK("https://klasma.github.io/Logging_2380/kartor/A 3846-2024 karta.png", "A 3846-2024")</f>
        <v/>
      </c>
      <c r="V76">
        <f>HYPERLINK("https://klasma.github.io/Logging_2380/klagomål/A 3846-2024 FSC-klagomål.docx", "A 3846-2024")</f>
        <v/>
      </c>
      <c r="W76">
        <f>HYPERLINK("https://klasma.github.io/Logging_2380/klagomålsmail/A 3846-2024 FSC-klagomål mail.docx", "A 3846-2024")</f>
        <v/>
      </c>
      <c r="X76">
        <f>HYPERLINK("https://klasma.github.io/Logging_2380/tillsyn/A 3846-2024 tillsynsbegäran.docx", "A 3846-2024")</f>
        <v/>
      </c>
      <c r="Y76">
        <f>HYPERLINK("https://klasma.github.io/Logging_2380/tillsynsmail/A 3846-2024 tillsynsbegäran mail.docx", "A 3846-2024")</f>
        <v/>
      </c>
    </row>
    <row r="77" ht="15" customHeight="1">
      <c r="A77" t="inlineStr">
        <is>
          <t>A 53652-2024</t>
        </is>
      </c>
      <c r="B77" s="1" t="n">
        <v>45615.29761574074</v>
      </c>
      <c r="C77" s="1" t="n">
        <v>45967</v>
      </c>
      <c r="D77" t="inlineStr">
        <is>
          <t>JÄMTLANDS LÄN</t>
        </is>
      </c>
      <c r="E77" t="inlineStr">
        <is>
          <t>ÖSTERSUND</t>
        </is>
      </c>
      <c r="G77" t="n">
        <v>4.2</v>
      </c>
      <c r="H77" t="n">
        <v>1</v>
      </c>
      <c r="I77" t="n">
        <v>1</v>
      </c>
      <c r="J77" t="n">
        <v>1</v>
      </c>
      <c r="K77" t="n">
        <v>0</v>
      </c>
      <c r="L77" t="n">
        <v>0</v>
      </c>
      <c r="M77" t="n">
        <v>0</v>
      </c>
      <c r="N77" t="n">
        <v>0</v>
      </c>
      <c r="O77" t="n">
        <v>1</v>
      </c>
      <c r="P77" t="n">
        <v>0</v>
      </c>
      <c r="Q77" t="n">
        <v>3</v>
      </c>
      <c r="R77" s="2" t="inlineStr">
        <is>
          <t>Flattoppad klubbsvamp
Kransrams
Revlummer</t>
        </is>
      </c>
      <c r="S77">
        <f>HYPERLINK("https://klasma.github.io/Logging_2380/artfynd/A 53652-2024 artfynd.xlsx", "A 53652-2024")</f>
        <v/>
      </c>
      <c r="T77">
        <f>HYPERLINK("https://klasma.github.io/Logging_2380/kartor/A 53652-2024 karta.png", "A 53652-2024")</f>
        <v/>
      </c>
      <c r="V77">
        <f>HYPERLINK("https://klasma.github.io/Logging_2380/klagomål/A 53652-2024 FSC-klagomål.docx", "A 53652-2024")</f>
        <v/>
      </c>
      <c r="W77">
        <f>HYPERLINK("https://klasma.github.io/Logging_2380/klagomålsmail/A 53652-2024 FSC-klagomål mail.docx", "A 53652-2024")</f>
        <v/>
      </c>
      <c r="X77">
        <f>HYPERLINK("https://klasma.github.io/Logging_2380/tillsyn/A 53652-2024 tillsynsbegäran.docx", "A 53652-2024")</f>
        <v/>
      </c>
      <c r="Y77">
        <f>HYPERLINK("https://klasma.github.io/Logging_2380/tillsynsmail/A 53652-2024 tillsynsbegäran mail.docx", "A 53652-2024")</f>
        <v/>
      </c>
    </row>
    <row r="78" ht="15" customHeight="1">
      <c r="A78" t="inlineStr">
        <is>
          <t>A 7965-2025</t>
        </is>
      </c>
      <c r="B78" s="1" t="n">
        <v>45707.45219907408</v>
      </c>
      <c r="C78" s="1" t="n">
        <v>45967</v>
      </c>
      <c r="D78" t="inlineStr">
        <is>
          <t>JÄMTLANDS LÄN</t>
        </is>
      </c>
      <c r="E78" t="inlineStr">
        <is>
          <t>ÖSTERSUND</t>
        </is>
      </c>
      <c r="G78" t="n">
        <v>3.7</v>
      </c>
      <c r="H78" t="n">
        <v>2</v>
      </c>
      <c r="I78" t="n">
        <v>1</v>
      </c>
      <c r="J78" t="n">
        <v>0</v>
      </c>
      <c r="K78" t="n">
        <v>0</v>
      </c>
      <c r="L78" t="n">
        <v>0</v>
      </c>
      <c r="M78" t="n">
        <v>0</v>
      </c>
      <c r="N78" t="n">
        <v>0</v>
      </c>
      <c r="O78" t="n">
        <v>0</v>
      </c>
      <c r="P78" t="n">
        <v>0</v>
      </c>
      <c r="Q78" t="n">
        <v>3</v>
      </c>
      <c r="R78" s="2" t="inlineStr">
        <is>
          <t>Finbräken
Fläcknycklar
Blåsippa</t>
        </is>
      </c>
      <c r="S78">
        <f>HYPERLINK("https://klasma.github.io/Logging_2380/artfynd/A 7965-2025 artfynd.xlsx", "A 7965-2025")</f>
        <v/>
      </c>
      <c r="T78">
        <f>HYPERLINK("https://klasma.github.io/Logging_2380/kartor/A 7965-2025 karta.png", "A 7965-2025")</f>
        <v/>
      </c>
      <c r="V78">
        <f>HYPERLINK("https://klasma.github.io/Logging_2380/klagomål/A 7965-2025 FSC-klagomål.docx", "A 7965-2025")</f>
        <v/>
      </c>
      <c r="W78">
        <f>HYPERLINK("https://klasma.github.io/Logging_2380/klagomålsmail/A 7965-2025 FSC-klagomål mail.docx", "A 7965-2025")</f>
        <v/>
      </c>
      <c r="X78">
        <f>HYPERLINK("https://klasma.github.io/Logging_2380/tillsyn/A 7965-2025 tillsynsbegäran.docx", "A 7965-2025")</f>
        <v/>
      </c>
      <c r="Y78">
        <f>HYPERLINK("https://klasma.github.io/Logging_2380/tillsynsmail/A 7965-2025 tillsynsbegäran mail.docx", "A 7965-2025")</f>
        <v/>
      </c>
    </row>
    <row r="79" ht="15" customHeight="1">
      <c r="A79" t="inlineStr">
        <is>
          <t>A 46705-2023</t>
        </is>
      </c>
      <c r="B79" s="1" t="n">
        <v>45198</v>
      </c>
      <c r="C79" s="1" t="n">
        <v>45967</v>
      </c>
      <c r="D79" t="inlineStr">
        <is>
          <t>JÄMTLANDS LÄN</t>
        </is>
      </c>
      <c r="E79" t="inlineStr">
        <is>
          <t>ÖSTERSUND</t>
        </is>
      </c>
      <c r="F79" t="inlineStr">
        <is>
          <t>Sveaskog</t>
        </is>
      </c>
      <c r="G79" t="n">
        <v>7.5</v>
      </c>
      <c r="H79" t="n">
        <v>1</v>
      </c>
      <c r="I79" t="n">
        <v>3</v>
      </c>
      <c r="J79" t="n">
        <v>0</v>
      </c>
      <c r="K79" t="n">
        <v>0</v>
      </c>
      <c r="L79" t="n">
        <v>0</v>
      </c>
      <c r="M79" t="n">
        <v>0</v>
      </c>
      <c r="N79" t="n">
        <v>0</v>
      </c>
      <c r="O79" t="n">
        <v>0</v>
      </c>
      <c r="P79" t="n">
        <v>0</v>
      </c>
      <c r="Q79" t="n">
        <v>3</v>
      </c>
      <c r="R79" s="2" t="inlineStr">
        <is>
          <t>Finbräken
Guckusko
Ögonpyrola</t>
        </is>
      </c>
      <c r="S79">
        <f>HYPERLINK("https://klasma.github.io/Logging_2380/artfynd/A 46705-2023 artfynd.xlsx", "A 46705-2023")</f>
        <v/>
      </c>
      <c r="T79">
        <f>HYPERLINK("https://klasma.github.io/Logging_2380/kartor/A 46705-2023 karta.png", "A 46705-2023")</f>
        <v/>
      </c>
      <c r="V79">
        <f>HYPERLINK("https://klasma.github.io/Logging_2380/klagomål/A 46705-2023 FSC-klagomål.docx", "A 46705-2023")</f>
        <v/>
      </c>
      <c r="W79">
        <f>HYPERLINK("https://klasma.github.io/Logging_2380/klagomålsmail/A 46705-2023 FSC-klagomål mail.docx", "A 46705-2023")</f>
        <v/>
      </c>
      <c r="X79">
        <f>HYPERLINK("https://klasma.github.io/Logging_2380/tillsyn/A 46705-2023 tillsynsbegäran.docx", "A 46705-2023")</f>
        <v/>
      </c>
      <c r="Y79">
        <f>HYPERLINK("https://klasma.github.io/Logging_2380/tillsynsmail/A 46705-2023 tillsynsbegäran mail.docx", "A 46705-2023")</f>
        <v/>
      </c>
    </row>
    <row r="80" ht="15" customHeight="1">
      <c r="A80" t="inlineStr">
        <is>
          <t>A 36742-2024</t>
        </is>
      </c>
      <c r="B80" s="1" t="n">
        <v>45538.33584490741</v>
      </c>
      <c r="C80" s="1" t="n">
        <v>45967</v>
      </c>
      <c r="D80" t="inlineStr">
        <is>
          <t>JÄMTLANDS LÄN</t>
        </is>
      </c>
      <c r="E80" t="inlineStr">
        <is>
          <t>ÖSTERSUND</t>
        </is>
      </c>
      <c r="G80" t="n">
        <v>13.6</v>
      </c>
      <c r="H80" t="n">
        <v>0</v>
      </c>
      <c r="I80" t="n">
        <v>2</v>
      </c>
      <c r="J80" t="n">
        <v>1</v>
      </c>
      <c r="K80" t="n">
        <v>0</v>
      </c>
      <c r="L80" t="n">
        <v>0</v>
      </c>
      <c r="M80" t="n">
        <v>0</v>
      </c>
      <c r="N80" t="n">
        <v>0</v>
      </c>
      <c r="O80" t="n">
        <v>1</v>
      </c>
      <c r="P80" t="n">
        <v>0</v>
      </c>
      <c r="Q80" t="n">
        <v>3</v>
      </c>
      <c r="R80" s="2" t="inlineStr">
        <is>
          <t>Granticka
Skinnlav
Vedticka</t>
        </is>
      </c>
      <c r="S80">
        <f>HYPERLINK("https://klasma.github.io/Logging_2380/artfynd/A 36742-2024 artfynd.xlsx", "A 36742-2024")</f>
        <v/>
      </c>
      <c r="T80">
        <f>HYPERLINK("https://klasma.github.io/Logging_2380/kartor/A 36742-2024 karta.png", "A 36742-2024")</f>
        <v/>
      </c>
      <c r="V80">
        <f>HYPERLINK("https://klasma.github.io/Logging_2380/klagomål/A 36742-2024 FSC-klagomål.docx", "A 36742-2024")</f>
        <v/>
      </c>
      <c r="W80">
        <f>HYPERLINK("https://klasma.github.io/Logging_2380/klagomålsmail/A 36742-2024 FSC-klagomål mail.docx", "A 36742-2024")</f>
        <v/>
      </c>
      <c r="X80">
        <f>HYPERLINK("https://klasma.github.io/Logging_2380/tillsyn/A 36742-2024 tillsynsbegäran.docx", "A 36742-2024")</f>
        <v/>
      </c>
      <c r="Y80">
        <f>HYPERLINK("https://klasma.github.io/Logging_2380/tillsynsmail/A 36742-2024 tillsynsbegäran mail.docx", "A 36742-2024")</f>
        <v/>
      </c>
    </row>
    <row r="81" ht="15" customHeight="1">
      <c r="A81" t="inlineStr">
        <is>
          <t>A 5100-2023</t>
        </is>
      </c>
      <c r="B81" s="1" t="n">
        <v>44956</v>
      </c>
      <c r="C81" s="1" t="n">
        <v>45967</v>
      </c>
      <c r="D81" t="inlineStr">
        <is>
          <t>JÄMTLANDS LÄN</t>
        </is>
      </c>
      <c r="E81" t="inlineStr">
        <is>
          <t>ÖSTERSUND</t>
        </is>
      </c>
      <c r="G81" t="n">
        <v>2.6</v>
      </c>
      <c r="H81" t="n">
        <v>0</v>
      </c>
      <c r="I81" t="n">
        <v>2</v>
      </c>
      <c r="J81" t="n">
        <v>0</v>
      </c>
      <c r="K81" t="n">
        <v>0</v>
      </c>
      <c r="L81" t="n">
        <v>1</v>
      </c>
      <c r="M81" t="n">
        <v>0</v>
      </c>
      <c r="N81" t="n">
        <v>0</v>
      </c>
      <c r="O81" t="n">
        <v>1</v>
      </c>
      <c r="P81" t="n">
        <v>1</v>
      </c>
      <c r="Q81" t="n">
        <v>3</v>
      </c>
      <c r="R81" s="2" t="inlineStr">
        <is>
          <t>Trolldruvemätare
Svart trolldruva
Tibast</t>
        </is>
      </c>
      <c r="S81">
        <f>HYPERLINK("https://klasma.github.io/Logging_2380/artfynd/A 5100-2023 artfynd.xlsx", "A 5100-2023")</f>
        <v/>
      </c>
      <c r="T81">
        <f>HYPERLINK("https://klasma.github.io/Logging_2380/kartor/A 5100-2023 karta.png", "A 5100-2023")</f>
        <v/>
      </c>
      <c r="V81">
        <f>HYPERLINK("https://klasma.github.io/Logging_2380/klagomål/A 5100-2023 FSC-klagomål.docx", "A 5100-2023")</f>
        <v/>
      </c>
      <c r="W81">
        <f>HYPERLINK("https://klasma.github.io/Logging_2380/klagomålsmail/A 5100-2023 FSC-klagomål mail.docx", "A 5100-2023")</f>
        <v/>
      </c>
      <c r="X81">
        <f>HYPERLINK("https://klasma.github.io/Logging_2380/tillsyn/A 5100-2023 tillsynsbegäran.docx", "A 5100-2023")</f>
        <v/>
      </c>
      <c r="Y81">
        <f>HYPERLINK("https://klasma.github.io/Logging_2380/tillsynsmail/A 5100-2023 tillsynsbegäran mail.docx", "A 5100-2023")</f>
        <v/>
      </c>
    </row>
    <row r="82" ht="15" customHeight="1">
      <c r="A82" t="inlineStr">
        <is>
          <t>A 60565-2022</t>
        </is>
      </c>
      <c r="B82" s="1" t="n">
        <v>44904</v>
      </c>
      <c r="C82" s="1" t="n">
        <v>45967</v>
      </c>
      <c r="D82" t="inlineStr">
        <is>
          <t>JÄMTLANDS LÄN</t>
        </is>
      </c>
      <c r="E82" t="inlineStr">
        <is>
          <t>ÖSTERSUND</t>
        </is>
      </c>
      <c r="G82" t="n">
        <v>2.5</v>
      </c>
      <c r="H82" t="n">
        <v>2</v>
      </c>
      <c r="I82" t="n">
        <v>0</v>
      </c>
      <c r="J82" t="n">
        <v>2</v>
      </c>
      <c r="K82" t="n">
        <v>0</v>
      </c>
      <c r="L82" t="n">
        <v>0</v>
      </c>
      <c r="M82" t="n">
        <v>0</v>
      </c>
      <c r="N82" t="n">
        <v>0</v>
      </c>
      <c r="O82" t="n">
        <v>2</v>
      </c>
      <c r="P82" t="n">
        <v>0</v>
      </c>
      <c r="Q82" t="n">
        <v>3</v>
      </c>
      <c r="R82" s="2" t="inlineStr">
        <is>
          <t>Garnlav
Talltita
Revlummer</t>
        </is>
      </c>
      <c r="S82">
        <f>HYPERLINK("https://klasma.github.io/Logging_2380/artfynd/A 60565-2022 artfynd.xlsx", "A 60565-2022")</f>
        <v/>
      </c>
      <c r="T82">
        <f>HYPERLINK("https://klasma.github.io/Logging_2380/kartor/A 60565-2022 karta.png", "A 60565-2022")</f>
        <v/>
      </c>
      <c r="V82">
        <f>HYPERLINK("https://klasma.github.io/Logging_2380/klagomål/A 60565-2022 FSC-klagomål.docx", "A 60565-2022")</f>
        <v/>
      </c>
      <c r="W82">
        <f>HYPERLINK("https://klasma.github.io/Logging_2380/klagomålsmail/A 60565-2022 FSC-klagomål mail.docx", "A 60565-2022")</f>
        <v/>
      </c>
      <c r="X82">
        <f>HYPERLINK("https://klasma.github.io/Logging_2380/tillsyn/A 60565-2022 tillsynsbegäran.docx", "A 60565-2022")</f>
        <v/>
      </c>
      <c r="Y82">
        <f>HYPERLINK("https://klasma.github.io/Logging_2380/tillsynsmail/A 60565-2022 tillsynsbegäran mail.docx", "A 60565-2022")</f>
        <v/>
      </c>
      <c r="Z82">
        <f>HYPERLINK("https://klasma.github.io/Logging_2380/fåglar/A 60565-2022 prioriterade fågelarter.docx", "A 60565-2022")</f>
        <v/>
      </c>
    </row>
    <row r="83" ht="15" customHeight="1">
      <c r="A83" t="inlineStr">
        <is>
          <t>A 50895-2024</t>
        </is>
      </c>
      <c r="B83" s="1" t="n">
        <v>45602</v>
      </c>
      <c r="C83" s="1" t="n">
        <v>45967</v>
      </c>
      <c r="D83" t="inlineStr">
        <is>
          <t>JÄMTLANDS LÄN</t>
        </is>
      </c>
      <c r="E83" t="inlineStr">
        <is>
          <t>ÖSTERSUND</t>
        </is>
      </c>
      <c r="F83" t="inlineStr">
        <is>
          <t>Kommuner</t>
        </is>
      </c>
      <c r="G83" t="n">
        <v>6</v>
      </c>
      <c r="H83" t="n">
        <v>2</v>
      </c>
      <c r="I83" t="n">
        <v>0</v>
      </c>
      <c r="J83" t="n">
        <v>2</v>
      </c>
      <c r="K83" t="n">
        <v>1</v>
      </c>
      <c r="L83" t="n">
        <v>0</v>
      </c>
      <c r="M83" t="n">
        <v>0</v>
      </c>
      <c r="N83" t="n">
        <v>0</v>
      </c>
      <c r="O83" t="n">
        <v>3</v>
      </c>
      <c r="P83" t="n">
        <v>1</v>
      </c>
      <c r="Q83" t="n">
        <v>3</v>
      </c>
      <c r="R83" s="2" t="inlineStr">
        <is>
          <t>Knärot
Garnlav
Tretåig hackspett</t>
        </is>
      </c>
      <c r="S83">
        <f>HYPERLINK("https://klasma.github.io/Logging_2380/artfynd/A 50895-2024 artfynd.xlsx", "A 50895-2024")</f>
        <v/>
      </c>
      <c r="T83">
        <f>HYPERLINK("https://klasma.github.io/Logging_2380/kartor/A 50895-2024 karta.png", "A 50895-2024")</f>
        <v/>
      </c>
      <c r="U83">
        <f>HYPERLINK("https://klasma.github.io/Logging_2380/knärot/A 50895-2024 karta knärot.png", "A 50895-2024")</f>
        <v/>
      </c>
      <c r="V83">
        <f>HYPERLINK("https://klasma.github.io/Logging_2380/klagomål/A 50895-2024 FSC-klagomål.docx", "A 50895-2024")</f>
        <v/>
      </c>
      <c r="W83">
        <f>HYPERLINK("https://klasma.github.io/Logging_2380/klagomålsmail/A 50895-2024 FSC-klagomål mail.docx", "A 50895-2024")</f>
        <v/>
      </c>
      <c r="X83">
        <f>HYPERLINK("https://klasma.github.io/Logging_2380/tillsyn/A 50895-2024 tillsynsbegäran.docx", "A 50895-2024")</f>
        <v/>
      </c>
      <c r="Y83">
        <f>HYPERLINK("https://klasma.github.io/Logging_2380/tillsynsmail/A 50895-2024 tillsynsbegäran mail.docx", "A 50895-2024")</f>
        <v/>
      </c>
      <c r="Z83">
        <f>HYPERLINK("https://klasma.github.io/Logging_2380/fåglar/A 50895-2024 prioriterade fågelarter.docx", "A 50895-2024")</f>
        <v/>
      </c>
    </row>
    <row r="84" ht="15" customHeight="1">
      <c r="A84" t="inlineStr">
        <is>
          <t>A 40695-2024</t>
        </is>
      </c>
      <c r="B84" s="1" t="n">
        <v>45558</v>
      </c>
      <c r="C84" s="1" t="n">
        <v>45967</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36806-2025</t>
        </is>
      </c>
      <c r="B85" s="1" t="n">
        <v>45873.69988425926</v>
      </c>
      <c r="C85" s="1" t="n">
        <v>45967</v>
      </c>
      <c r="D85" t="inlineStr">
        <is>
          <t>JÄMTLANDS LÄN</t>
        </is>
      </c>
      <c r="E85" t="inlineStr">
        <is>
          <t>ÖSTERSUND</t>
        </is>
      </c>
      <c r="G85" t="n">
        <v>9.800000000000001</v>
      </c>
      <c r="H85" t="n">
        <v>2</v>
      </c>
      <c r="I85" t="n">
        <v>2</v>
      </c>
      <c r="J85" t="n">
        <v>0</v>
      </c>
      <c r="K85" t="n">
        <v>0</v>
      </c>
      <c r="L85" t="n">
        <v>0</v>
      </c>
      <c r="M85" t="n">
        <v>0</v>
      </c>
      <c r="N85" t="n">
        <v>0</v>
      </c>
      <c r="O85" t="n">
        <v>0</v>
      </c>
      <c r="P85" t="n">
        <v>0</v>
      </c>
      <c r="Q85" t="n">
        <v>3</v>
      </c>
      <c r="R85" s="2" t="inlineStr">
        <is>
          <t>Grönkulla
Vårärt
Blåsippa</t>
        </is>
      </c>
      <c r="S85">
        <f>HYPERLINK("https://klasma.github.io/Logging_2380/artfynd/A 36806-2025 artfynd.xlsx", "A 36806-2025")</f>
        <v/>
      </c>
      <c r="T85">
        <f>HYPERLINK("https://klasma.github.io/Logging_2380/kartor/A 36806-2025 karta.png", "A 36806-2025")</f>
        <v/>
      </c>
      <c r="V85">
        <f>HYPERLINK("https://klasma.github.io/Logging_2380/klagomål/A 36806-2025 FSC-klagomål.docx", "A 36806-2025")</f>
        <v/>
      </c>
      <c r="W85">
        <f>HYPERLINK("https://klasma.github.io/Logging_2380/klagomålsmail/A 36806-2025 FSC-klagomål mail.docx", "A 36806-2025")</f>
        <v/>
      </c>
      <c r="X85">
        <f>HYPERLINK("https://klasma.github.io/Logging_2380/tillsyn/A 36806-2025 tillsynsbegäran.docx", "A 36806-2025")</f>
        <v/>
      </c>
      <c r="Y85">
        <f>HYPERLINK("https://klasma.github.io/Logging_2380/tillsynsmail/A 36806-2025 tillsynsbegäran mail.docx", "A 36806-2025")</f>
        <v/>
      </c>
    </row>
    <row r="86" ht="15" customHeight="1">
      <c r="A86" t="inlineStr">
        <is>
          <t>A 52129-2023</t>
        </is>
      </c>
      <c r="B86" s="1" t="n">
        <v>45223</v>
      </c>
      <c r="C86" s="1" t="n">
        <v>45967</v>
      </c>
      <c r="D86" t="inlineStr">
        <is>
          <t>JÄMTLANDS LÄN</t>
        </is>
      </c>
      <c r="E86" t="inlineStr">
        <is>
          <t>ÖSTERSUND</t>
        </is>
      </c>
      <c r="F86" t="inlineStr">
        <is>
          <t>SCA</t>
        </is>
      </c>
      <c r="G86" t="n">
        <v>2</v>
      </c>
      <c r="H86" t="n">
        <v>0</v>
      </c>
      <c r="I86" t="n">
        <v>0</v>
      </c>
      <c r="J86" t="n">
        <v>2</v>
      </c>
      <c r="K86" t="n">
        <v>0</v>
      </c>
      <c r="L86" t="n">
        <v>0</v>
      </c>
      <c r="M86" t="n">
        <v>0</v>
      </c>
      <c r="N86" t="n">
        <v>0</v>
      </c>
      <c r="O86" t="n">
        <v>2</v>
      </c>
      <c r="P86" t="n">
        <v>0</v>
      </c>
      <c r="Q86" t="n">
        <v>2</v>
      </c>
      <c r="R86" s="2" t="inlineStr">
        <is>
          <t>Dvärgbägarlav
Kolflarnlav</t>
        </is>
      </c>
      <c r="S86">
        <f>HYPERLINK("https://klasma.github.io/Logging_2380/artfynd/A 52129-2023 artfynd.xlsx", "A 52129-2023")</f>
        <v/>
      </c>
      <c r="T86">
        <f>HYPERLINK("https://klasma.github.io/Logging_2380/kartor/A 52129-2023 karta.png", "A 52129-2023")</f>
        <v/>
      </c>
      <c r="V86">
        <f>HYPERLINK("https://klasma.github.io/Logging_2380/klagomål/A 52129-2023 FSC-klagomål.docx", "A 52129-2023")</f>
        <v/>
      </c>
      <c r="W86">
        <f>HYPERLINK("https://klasma.github.io/Logging_2380/klagomålsmail/A 52129-2023 FSC-klagomål mail.docx", "A 52129-2023")</f>
        <v/>
      </c>
      <c r="X86">
        <f>HYPERLINK("https://klasma.github.io/Logging_2380/tillsyn/A 52129-2023 tillsynsbegäran.docx", "A 52129-2023")</f>
        <v/>
      </c>
      <c r="Y86">
        <f>HYPERLINK("https://klasma.github.io/Logging_2380/tillsynsmail/A 52129-2023 tillsynsbegäran mail.docx", "A 52129-2023")</f>
        <v/>
      </c>
    </row>
    <row r="87" ht="15" customHeight="1">
      <c r="A87" t="inlineStr">
        <is>
          <t>A 35977-2024</t>
        </is>
      </c>
      <c r="B87" s="1" t="n">
        <v>45533.49601851852</v>
      </c>
      <c r="C87" s="1" t="n">
        <v>45967</v>
      </c>
      <c r="D87" t="inlineStr">
        <is>
          <t>JÄMTLANDS LÄN</t>
        </is>
      </c>
      <c r="E87" t="inlineStr">
        <is>
          <t>ÖSTERSUND</t>
        </is>
      </c>
      <c r="G87" t="n">
        <v>0.7</v>
      </c>
      <c r="H87" t="n">
        <v>0</v>
      </c>
      <c r="I87" t="n">
        <v>2</v>
      </c>
      <c r="J87" t="n">
        <v>0</v>
      </c>
      <c r="K87" t="n">
        <v>0</v>
      </c>
      <c r="L87" t="n">
        <v>0</v>
      </c>
      <c r="M87" t="n">
        <v>0</v>
      </c>
      <c r="N87" t="n">
        <v>0</v>
      </c>
      <c r="O87" t="n">
        <v>0</v>
      </c>
      <c r="P87" t="n">
        <v>0</v>
      </c>
      <c r="Q87" t="n">
        <v>2</v>
      </c>
      <c r="R87" s="2" t="inlineStr">
        <is>
          <t>Tibast
Trådticka</t>
        </is>
      </c>
      <c r="S87">
        <f>HYPERLINK("https://klasma.github.io/Logging_2380/artfynd/A 35977-2024 artfynd.xlsx", "A 35977-2024")</f>
        <v/>
      </c>
      <c r="T87">
        <f>HYPERLINK("https://klasma.github.io/Logging_2380/kartor/A 35977-2024 karta.png", "A 35977-2024")</f>
        <v/>
      </c>
      <c r="V87">
        <f>HYPERLINK("https://klasma.github.io/Logging_2380/klagomål/A 35977-2024 FSC-klagomål.docx", "A 35977-2024")</f>
        <v/>
      </c>
      <c r="W87">
        <f>HYPERLINK("https://klasma.github.io/Logging_2380/klagomålsmail/A 35977-2024 FSC-klagomål mail.docx", "A 35977-2024")</f>
        <v/>
      </c>
      <c r="X87">
        <f>HYPERLINK("https://klasma.github.io/Logging_2380/tillsyn/A 35977-2024 tillsynsbegäran.docx", "A 35977-2024")</f>
        <v/>
      </c>
      <c r="Y87">
        <f>HYPERLINK("https://klasma.github.io/Logging_2380/tillsynsmail/A 35977-2024 tillsynsbegäran mail.docx", "A 35977-2024")</f>
        <v/>
      </c>
    </row>
    <row r="88" ht="15" customHeight="1">
      <c r="A88" t="inlineStr">
        <is>
          <t>A 38334-2023</t>
        </is>
      </c>
      <c r="B88" s="1" t="n">
        <v>45161</v>
      </c>
      <c r="C88" s="1" t="n">
        <v>45967</v>
      </c>
      <c r="D88" t="inlineStr">
        <is>
          <t>JÄMTLANDS LÄN</t>
        </is>
      </c>
      <c r="E88" t="inlineStr">
        <is>
          <t>ÖSTERSUND</t>
        </is>
      </c>
      <c r="G88" t="n">
        <v>10.5</v>
      </c>
      <c r="H88" t="n">
        <v>0</v>
      </c>
      <c r="I88" t="n">
        <v>0</v>
      </c>
      <c r="J88" t="n">
        <v>0</v>
      </c>
      <c r="K88" t="n">
        <v>2</v>
      </c>
      <c r="L88" t="n">
        <v>0</v>
      </c>
      <c r="M88" t="n">
        <v>0</v>
      </c>
      <c r="N88" t="n">
        <v>0</v>
      </c>
      <c r="O88" t="n">
        <v>2</v>
      </c>
      <c r="P88" t="n">
        <v>2</v>
      </c>
      <c r="Q88" t="n">
        <v>2</v>
      </c>
      <c r="R88" s="2" t="inlineStr">
        <is>
          <t>Rynkskinn
Violett fingersvamp</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row>
    <row r="89" ht="15" customHeight="1">
      <c r="A89" t="inlineStr">
        <is>
          <t>A 59793-2022</t>
        </is>
      </c>
      <c r="B89" s="1" t="n">
        <v>44908</v>
      </c>
      <c r="C89" s="1" t="n">
        <v>45967</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50125-2024</t>
        </is>
      </c>
      <c r="B90" s="1" t="n">
        <v>45600.42737268518</v>
      </c>
      <c r="C90" s="1" t="n">
        <v>45967</v>
      </c>
      <c r="D90" t="inlineStr">
        <is>
          <t>JÄMTLANDS LÄN</t>
        </is>
      </c>
      <c r="E90" t="inlineStr">
        <is>
          <t>ÖSTERSUND</t>
        </is>
      </c>
      <c r="F90" t="inlineStr">
        <is>
          <t>SCA</t>
        </is>
      </c>
      <c r="G90" t="n">
        <v>2.4</v>
      </c>
      <c r="H90" t="n">
        <v>0</v>
      </c>
      <c r="I90" t="n">
        <v>1</v>
      </c>
      <c r="J90" t="n">
        <v>1</v>
      </c>
      <c r="K90" t="n">
        <v>0</v>
      </c>
      <c r="L90" t="n">
        <v>0</v>
      </c>
      <c r="M90" t="n">
        <v>0</v>
      </c>
      <c r="N90" t="n">
        <v>0</v>
      </c>
      <c r="O90" t="n">
        <v>1</v>
      </c>
      <c r="P90" t="n">
        <v>0</v>
      </c>
      <c r="Q90" t="n">
        <v>2</v>
      </c>
      <c r="R90" s="2" t="inlineStr">
        <is>
          <t>Dvärgbägarlav
Skinnlav</t>
        </is>
      </c>
      <c r="S90">
        <f>HYPERLINK("https://klasma.github.io/Logging_2380/artfynd/A 50125-2024 artfynd.xlsx", "A 50125-2024")</f>
        <v/>
      </c>
      <c r="T90">
        <f>HYPERLINK("https://klasma.github.io/Logging_2380/kartor/A 50125-2024 karta.png", "A 50125-2024")</f>
        <v/>
      </c>
      <c r="V90">
        <f>HYPERLINK("https://klasma.github.io/Logging_2380/klagomål/A 50125-2024 FSC-klagomål.docx", "A 50125-2024")</f>
        <v/>
      </c>
      <c r="W90">
        <f>HYPERLINK("https://klasma.github.io/Logging_2380/klagomålsmail/A 50125-2024 FSC-klagomål mail.docx", "A 50125-2024")</f>
        <v/>
      </c>
      <c r="X90">
        <f>HYPERLINK("https://klasma.github.io/Logging_2380/tillsyn/A 50125-2024 tillsynsbegäran.docx", "A 50125-2024")</f>
        <v/>
      </c>
      <c r="Y90">
        <f>HYPERLINK("https://klasma.github.io/Logging_2380/tillsynsmail/A 50125-2024 tillsynsbegäran mail.docx", "A 50125-2024")</f>
        <v/>
      </c>
    </row>
    <row r="91" ht="15" customHeight="1">
      <c r="A91" t="inlineStr">
        <is>
          <t>A 63930-2023</t>
        </is>
      </c>
      <c r="B91" s="1" t="n">
        <v>45278</v>
      </c>
      <c r="C91" s="1" t="n">
        <v>45967</v>
      </c>
      <c r="D91" t="inlineStr">
        <is>
          <t>JÄMTLANDS LÄN</t>
        </is>
      </c>
      <c r="E91" t="inlineStr">
        <is>
          <t>ÖSTERSUND</t>
        </is>
      </c>
      <c r="G91" t="n">
        <v>2.1</v>
      </c>
      <c r="H91" t="n">
        <v>0</v>
      </c>
      <c r="I91" t="n">
        <v>2</v>
      </c>
      <c r="J91" t="n">
        <v>0</v>
      </c>
      <c r="K91" t="n">
        <v>0</v>
      </c>
      <c r="L91" t="n">
        <v>0</v>
      </c>
      <c r="M91" t="n">
        <v>0</v>
      </c>
      <c r="N91" t="n">
        <v>0</v>
      </c>
      <c r="O91" t="n">
        <v>0</v>
      </c>
      <c r="P91" t="n">
        <v>0</v>
      </c>
      <c r="Q91" t="n">
        <v>2</v>
      </c>
      <c r="R91" s="2" t="inlineStr">
        <is>
          <t>Strimspindling
Svavelriska</t>
        </is>
      </c>
      <c r="S91">
        <f>HYPERLINK("https://klasma.github.io/Logging_2380/artfynd/A 63930-2023 artfynd.xlsx", "A 63930-2023")</f>
        <v/>
      </c>
      <c r="T91">
        <f>HYPERLINK("https://klasma.github.io/Logging_2380/kartor/A 63930-2023 karta.png", "A 63930-2023")</f>
        <v/>
      </c>
      <c r="V91">
        <f>HYPERLINK("https://klasma.github.io/Logging_2380/klagomål/A 63930-2023 FSC-klagomål.docx", "A 63930-2023")</f>
        <v/>
      </c>
      <c r="W91">
        <f>HYPERLINK("https://klasma.github.io/Logging_2380/klagomålsmail/A 63930-2023 FSC-klagomål mail.docx", "A 63930-2023")</f>
        <v/>
      </c>
      <c r="X91">
        <f>HYPERLINK("https://klasma.github.io/Logging_2380/tillsyn/A 63930-2023 tillsynsbegäran.docx", "A 63930-2023")</f>
        <v/>
      </c>
      <c r="Y91">
        <f>HYPERLINK("https://klasma.github.io/Logging_2380/tillsynsmail/A 63930-2023 tillsynsbegäran mail.docx", "A 63930-2023")</f>
        <v/>
      </c>
    </row>
    <row r="92" ht="15" customHeight="1">
      <c r="A92" t="inlineStr">
        <is>
          <t>A 10529-2025</t>
        </is>
      </c>
      <c r="B92" s="1" t="n">
        <v>45721.44840277778</v>
      </c>
      <c r="C92" s="1" t="n">
        <v>45967</v>
      </c>
      <c r="D92" t="inlineStr">
        <is>
          <t>JÄMTLANDS LÄN</t>
        </is>
      </c>
      <c r="E92" t="inlineStr">
        <is>
          <t>ÖSTERSUND</t>
        </is>
      </c>
      <c r="F92" t="inlineStr">
        <is>
          <t>SCA</t>
        </is>
      </c>
      <c r="G92" t="n">
        <v>1.4</v>
      </c>
      <c r="H92" t="n">
        <v>0</v>
      </c>
      <c r="I92" t="n">
        <v>2</v>
      </c>
      <c r="J92" t="n">
        <v>0</v>
      </c>
      <c r="K92" t="n">
        <v>0</v>
      </c>
      <c r="L92" t="n">
        <v>0</v>
      </c>
      <c r="M92" t="n">
        <v>0</v>
      </c>
      <c r="N92" t="n">
        <v>0</v>
      </c>
      <c r="O92" t="n">
        <v>0</v>
      </c>
      <c r="P92" t="n">
        <v>0</v>
      </c>
      <c r="Q92" t="n">
        <v>2</v>
      </c>
      <c r="R92" s="2" t="inlineStr">
        <is>
          <t>Gräsull
Ögonpyrola</t>
        </is>
      </c>
      <c r="S92">
        <f>HYPERLINK("https://klasma.github.io/Logging_2380/artfynd/A 10529-2025 artfynd.xlsx", "A 10529-2025")</f>
        <v/>
      </c>
      <c r="T92">
        <f>HYPERLINK("https://klasma.github.io/Logging_2380/kartor/A 10529-2025 karta.png", "A 10529-2025")</f>
        <v/>
      </c>
      <c r="V92">
        <f>HYPERLINK("https://klasma.github.io/Logging_2380/klagomål/A 10529-2025 FSC-klagomål.docx", "A 10529-2025")</f>
        <v/>
      </c>
      <c r="W92">
        <f>HYPERLINK("https://klasma.github.io/Logging_2380/klagomålsmail/A 10529-2025 FSC-klagomål mail.docx", "A 10529-2025")</f>
        <v/>
      </c>
      <c r="X92">
        <f>HYPERLINK("https://klasma.github.io/Logging_2380/tillsyn/A 10529-2025 tillsynsbegäran.docx", "A 10529-2025")</f>
        <v/>
      </c>
      <c r="Y92">
        <f>HYPERLINK("https://klasma.github.io/Logging_2380/tillsynsmail/A 10529-2025 tillsynsbegäran mail.docx", "A 10529-2025")</f>
        <v/>
      </c>
    </row>
    <row r="93" ht="15" customHeight="1">
      <c r="A93" t="inlineStr">
        <is>
          <t>A 39968-2024</t>
        </is>
      </c>
      <c r="B93" s="1" t="n">
        <v>45553.59296296296</v>
      </c>
      <c r="C93" s="1" t="n">
        <v>45967</v>
      </c>
      <c r="D93" t="inlineStr">
        <is>
          <t>JÄMTLANDS LÄN</t>
        </is>
      </c>
      <c r="E93" t="inlineStr">
        <is>
          <t>ÖSTERSUND</t>
        </is>
      </c>
      <c r="G93" t="n">
        <v>1.8</v>
      </c>
      <c r="H93" t="n">
        <v>2</v>
      </c>
      <c r="I93" t="n">
        <v>1</v>
      </c>
      <c r="J93" t="n">
        <v>0</v>
      </c>
      <c r="K93" t="n">
        <v>1</v>
      </c>
      <c r="L93" t="n">
        <v>0</v>
      </c>
      <c r="M93" t="n">
        <v>0</v>
      </c>
      <c r="N93" t="n">
        <v>0</v>
      </c>
      <c r="O93" t="n">
        <v>1</v>
      </c>
      <c r="P93" t="n">
        <v>1</v>
      </c>
      <c r="Q93" t="n">
        <v>2</v>
      </c>
      <c r="R93" s="2" t="inlineStr">
        <is>
          <t>Knärot
Spindelblomster</t>
        </is>
      </c>
      <c r="S93">
        <f>HYPERLINK("https://klasma.github.io/Logging_2380/artfynd/A 39968-2024 artfynd.xlsx", "A 39968-2024")</f>
        <v/>
      </c>
      <c r="T93">
        <f>HYPERLINK("https://klasma.github.io/Logging_2380/kartor/A 39968-2024 karta.png", "A 39968-2024")</f>
        <v/>
      </c>
      <c r="U93">
        <f>HYPERLINK("https://klasma.github.io/Logging_2380/knärot/A 39968-2024 karta knärot.png", "A 39968-2024")</f>
        <v/>
      </c>
      <c r="V93">
        <f>HYPERLINK("https://klasma.github.io/Logging_2380/klagomål/A 39968-2024 FSC-klagomål.docx", "A 39968-2024")</f>
        <v/>
      </c>
      <c r="W93">
        <f>HYPERLINK("https://klasma.github.io/Logging_2380/klagomålsmail/A 39968-2024 FSC-klagomål mail.docx", "A 39968-2024")</f>
        <v/>
      </c>
      <c r="X93">
        <f>HYPERLINK("https://klasma.github.io/Logging_2380/tillsyn/A 39968-2024 tillsynsbegäran.docx", "A 39968-2024")</f>
        <v/>
      </c>
      <c r="Y93">
        <f>HYPERLINK("https://klasma.github.io/Logging_2380/tillsynsmail/A 39968-2024 tillsynsbegäran mail.docx", "A 39968-2024")</f>
        <v/>
      </c>
    </row>
    <row r="94" ht="15" customHeight="1">
      <c r="A94" t="inlineStr">
        <is>
          <t>A 56006-2023</t>
        </is>
      </c>
      <c r="B94" s="1" t="n">
        <v>45233</v>
      </c>
      <c r="C94" s="1" t="n">
        <v>45967</v>
      </c>
      <c r="D94" t="inlineStr">
        <is>
          <t>JÄMTLANDS LÄN</t>
        </is>
      </c>
      <c r="E94" t="inlineStr">
        <is>
          <t>ÖSTERSUND</t>
        </is>
      </c>
      <c r="G94" t="n">
        <v>2.3</v>
      </c>
      <c r="H94" t="n">
        <v>0</v>
      </c>
      <c r="I94" t="n">
        <v>2</v>
      </c>
      <c r="J94" t="n">
        <v>0</v>
      </c>
      <c r="K94" t="n">
        <v>0</v>
      </c>
      <c r="L94" t="n">
        <v>0</v>
      </c>
      <c r="M94" t="n">
        <v>0</v>
      </c>
      <c r="N94" t="n">
        <v>0</v>
      </c>
      <c r="O94" t="n">
        <v>0</v>
      </c>
      <c r="P94" t="n">
        <v>0</v>
      </c>
      <c r="Q94" t="n">
        <v>2</v>
      </c>
      <c r="R94" s="2" t="inlineStr">
        <is>
          <t>Korallblylav
Skinnlav</t>
        </is>
      </c>
      <c r="S94">
        <f>HYPERLINK("https://klasma.github.io/Logging_2380/artfynd/A 56006-2023 artfynd.xlsx", "A 56006-2023")</f>
        <v/>
      </c>
      <c r="T94">
        <f>HYPERLINK("https://klasma.github.io/Logging_2380/kartor/A 56006-2023 karta.png", "A 56006-2023")</f>
        <v/>
      </c>
      <c r="V94">
        <f>HYPERLINK("https://klasma.github.io/Logging_2380/klagomål/A 56006-2023 FSC-klagomål.docx", "A 56006-2023")</f>
        <v/>
      </c>
      <c r="W94">
        <f>HYPERLINK("https://klasma.github.io/Logging_2380/klagomålsmail/A 56006-2023 FSC-klagomål mail.docx", "A 56006-2023")</f>
        <v/>
      </c>
      <c r="X94">
        <f>HYPERLINK("https://klasma.github.io/Logging_2380/tillsyn/A 56006-2023 tillsynsbegäran.docx", "A 56006-2023")</f>
        <v/>
      </c>
      <c r="Y94">
        <f>HYPERLINK("https://klasma.github.io/Logging_2380/tillsynsmail/A 56006-2023 tillsynsbegäran mail.docx", "A 56006-2023")</f>
        <v/>
      </c>
    </row>
    <row r="95" ht="15" customHeight="1">
      <c r="A95" t="inlineStr">
        <is>
          <t>A 15700-2025</t>
        </is>
      </c>
      <c r="B95" s="1" t="n">
        <v>45748.47314814815</v>
      </c>
      <c r="C95" s="1" t="n">
        <v>45967</v>
      </c>
      <c r="D95" t="inlineStr">
        <is>
          <t>JÄMTLANDS LÄN</t>
        </is>
      </c>
      <c r="E95" t="inlineStr">
        <is>
          <t>ÖSTERSUND</t>
        </is>
      </c>
      <c r="G95" t="n">
        <v>0.9</v>
      </c>
      <c r="H95" t="n">
        <v>0</v>
      </c>
      <c r="I95" t="n">
        <v>2</v>
      </c>
      <c r="J95" t="n">
        <v>0</v>
      </c>
      <c r="K95" t="n">
        <v>0</v>
      </c>
      <c r="L95" t="n">
        <v>0</v>
      </c>
      <c r="M95" t="n">
        <v>0</v>
      </c>
      <c r="N95" t="n">
        <v>0</v>
      </c>
      <c r="O95" t="n">
        <v>0</v>
      </c>
      <c r="P95" t="n">
        <v>0</v>
      </c>
      <c r="Q95" t="n">
        <v>2</v>
      </c>
      <c r="R95" s="2" t="inlineStr">
        <is>
          <t>Brun klibbskivling
Droppklibbskivling</t>
        </is>
      </c>
      <c r="S95">
        <f>HYPERLINK("https://klasma.github.io/Logging_2380/artfynd/A 15700-2025 artfynd.xlsx", "A 15700-2025")</f>
        <v/>
      </c>
      <c r="T95">
        <f>HYPERLINK("https://klasma.github.io/Logging_2380/kartor/A 15700-2025 karta.png", "A 15700-2025")</f>
        <v/>
      </c>
      <c r="V95">
        <f>HYPERLINK("https://klasma.github.io/Logging_2380/klagomål/A 15700-2025 FSC-klagomål.docx", "A 15700-2025")</f>
        <v/>
      </c>
      <c r="W95">
        <f>HYPERLINK("https://klasma.github.io/Logging_2380/klagomålsmail/A 15700-2025 FSC-klagomål mail.docx", "A 15700-2025")</f>
        <v/>
      </c>
      <c r="X95">
        <f>HYPERLINK("https://klasma.github.io/Logging_2380/tillsyn/A 15700-2025 tillsynsbegäran.docx", "A 15700-2025")</f>
        <v/>
      </c>
      <c r="Y95">
        <f>HYPERLINK("https://klasma.github.io/Logging_2380/tillsynsmail/A 15700-2025 tillsynsbegäran mail.docx", "A 15700-2025")</f>
        <v/>
      </c>
    </row>
    <row r="96" ht="15" customHeight="1">
      <c r="A96" t="inlineStr">
        <is>
          <t>A 60614-2022</t>
        </is>
      </c>
      <c r="B96" s="1" t="n">
        <v>44911</v>
      </c>
      <c r="C96" s="1" t="n">
        <v>45967</v>
      </c>
      <c r="D96" t="inlineStr">
        <is>
          <t>JÄMTLANDS LÄN</t>
        </is>
      </c>
      <c r="E96" t="inlineStr">
        <is>
          <t>ÖSTERSUND</t>
        </is>
      </c>
      <c r="G96" t="n">
        <v>17.6</v>
      </c>
      <c r="H96" t="n">
        <v>1</v>
      </c>
      <c r="I96" t="n">
        <v>1</v>
      </c>
      <c r="J96" t="n">
        <v>0</v>
      </c>
      <c r="K96" t="n">
        <v>0</v>
      </c>
      <c r="L96" t="n">
        <v>0</v>
      </c>
      <c r="M96" t="n">
        <v>0</v>
      </c>
      <c r="N96" t="n">
        <v>0</v>
      </c>
      <c r="O96" t="n">
        <v>0</v>
      </c>
      <c r="P96" t="n">
        <v>0</v>
      </c>
      <c r="Q96" t="n">
        <v>2</v>
      </c>
      <c r="R96" s="2" t="inlineStr">
        <is>
          <t>Dropptaggsvamp
Blåsippa</t>
        </is>
      </c>
      <c r="S96">
        <f>HYPERLINK("https://klasma.github.io/Logging_2380/artfynd/A 60614-2022 artfynd.xlsx", "A 60614-2022")</f>
        <v/>
      </c>
      <c r="T96">
        <f>HYPERLINK("https://klasma.github.io/Logging_2380/kartor/A 60614-2022 karta.png", "A 60614-2022")</f>
        <v/>
      </c>
      <c r="V96">
        <f>HYPERLINK("https://klasma.github.io/Logging_2380/klagomål/A 60614-2022 FSC-klagomål.docx", "A 60614-2022")</f>
        <v/>
      </c>
      <c r="W96">
        <f>HYPERLINK("https://klasma.github.io/Logging_2380/klagomålsmail/A 60614-2022 FSC-klagomål mail.docx", "A 60614-2022")</f>
        <v/>
      </c>
      <c r="X96">
        <f>HYPERLINK("https://klasma.github.io/Logging_2380/tillsyn/A 60614-2022 tillsynsbegäran.docx", "A 60614-2022")</f>
        <v/>
      </c>
      <c r="Y96">
        <f>HYPERLINK("https://klasma.github.io/Logging_2380/tillsynsmail/A 60614-2022 tillsynsbegäran mail.docx", "A 60614-2022")</f>
        <v/>
      </c>
    </row>
    <row r="97" ht="15" customHeight="1">
      <c r="A97" t="inlineStr">
        <is>
          <t>A 40207-2025</t>
        </is>
      </c>
      <c r="B97" s="1" t="n">
        <v>45894.67988425926</v>
      </c>
      <c r="C97" s="1" t="n">
        <v>45967</v>
      </c>
      <c r="D97" t="inlineStr">
        <is>
          <t>JÄMTLANDS LÄN</t>
        </is>
      </c>
      <c r="E97" t="inlineStr">
        <is>
          <t>ÖSTERSUND</t>
        </is>
      </c>
      <c r="G97" t="n">
        <v>5.4</v>
      </c>
      <c r="H97" t="n">
        <v>0</v>
      </c>
      <c r="I97" t="n">
        <v>1</v>
      </c>
      <c r="J97" t="n">
        <v>0</v>
      </c>
      <c r="K97" t="n">
        <v>0</v>
      </c>
      <c r="L97" t="n">
        <v>1</v>
      </c>
      <c r="M97" t="n">
        <v>0</v>
      </c>
      <c r="N97" t="n">
        <v>0</v>
      </c>
      <c r="O97" t="n">
        <v>1</v>
      </c>
      <c r="P97" t="n">
        <v>1</v>
      </c>
      <c r="Q97" t="n">
        <v>2</v>
      </c>
      <c r="R97" s="2" t="inlineStr">
        <is>
          <t>Trolldruvemätare
Tibast</t>
        </is>
      </c>
      <c r="S97">
        <f>HYPERLINK("https://klasma.github.io/Logging_2380/artfynd/A 40207-2025 artfynd.xlsx", "A 40207-2025")</f>
        <v/>
      </c>
      <c r="T97">
        <f>HYPERLINK("https://klasma.github.io/Logging_2380/kartor/A 40207-2025 karta.png", "A 40207-2025")</f>
        <v/>
      </c>
      <c r="V97">
        <f>HYPERLINK("https://klasma.github.io/Logging_2380/klagomål/A 40207-2025 FSC-klagomål.docx", "A 40207-2025")</f>
        <v/>
      </c>
      <c r="W97">
        <f>HYPERLINK("https://klasma.github.io/Logging_2380/klagomålsmail/A 40207-2025 FSC-klagomål mail.docx", "A 40207-2025")</f>
        <v/>
      </c>
      <c r="X97">
        <f>HYPERLINK("https://klasma.github.io/Logging_2380/tillsyn/A 40207-2025 tillsynsbegäran.docx", "A 40207-2025")</f>
        <v/>
      </c>
      <c r="Y97">
        <f>HYPERLINK("https://klasma.github.io/Logging_2380/tillsynsmail/A 40207-2025 tillsynsbegäran mail.docx", "A 40207-2025")</f>
        <v/>
      </c>
    </row>
    <row r="98" ht="15" customHeight="1">
      <c r="A98" t="inlineStr">
        <is>
          <t>A 60534-2022</t>
        </is>
      </c>
      <c r="B98" s="1" t="n">
        <v>44904</v>
      </c>
      <c r="C98" s="1" t="n">
        <v>45967</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47385-2022</t>
        </is>
      </c>
      <c r="B99" s="1" t="n">
        <v>44853</v>
      </c>
      <c r="C99" s="1" t="n">
        <v>45967</v>
      </c>
      <c r="D99" t="inlineStr">
        <is>
          <t>JÄMTLANDS LÄN</t>
        </is>
      </c>
      <c r="E99" t="inlineStr">
        <is>
          <t>ÖSTERSUND</t>
        </is>
      </c>
      <c r="G99" t="n">
        <v>0.9</v>
      </c>
      <c r="H99" t="n">
        <v>0</v>
      </c>
      <c r="I99" t="n">
        <v>0</v>
      </c>
      <c r="J99" t="n">
        <v>2</v>
      </c>
      <c r="K99" t="n">
        <v>0</v>
      </c>
      <c r="L99" t="n">
        <v>0</v>
      </c>
      <c r="M99" t="n">
        <v>0</v>
      </c>
      <c r="N99" t="n">
        <v>0</v>
      </c>
      <c r="O99" t="n">
        <v>2</v>
      </c>
      <c r="P99" t="n">
        <v>0</v>
      </c>
      <c r="Q99" t="n">
        <v>2</v>
      </c>
      <c r="R99" s="2" t="inlineStr">
        <is>
          <t>Garnlav
Ullticka</t>
        </is>
      </c>
      <c r="S99">
        <f>HYPERLINK("https://klasma.github.io/Logging_2380/artfynd/A 47385-2022 artfynd.xlsx", "A 47385-2022")</f>
        <v/>
      </c>
      <c r="T99">
        <f>HYPERLINK("https://klasma.github.io/Logging_2380/kartor/A 47385-2022 karta.png", "A 47385-2022")</f>
        <v/>
      </c>
      <c r="U99">
        <f>HYPERLINK("https://klasma.github.io/Logging_2380/knärot/A 47385-2022 karta knärot.png", "A 47385-2022")</f>
        <v/>
      </c>
      <c r="V99">
        <f>HYPERLINK("https://klasma.github.io/Logging_2380/klagomål/A 47385-2022 FSC-klagomål.docx", "A 47385-2022")</f>
        <v/>
      </c>
      <c r="W99">
        <f>HYPERLINK("https://klasma.github.io/Logging_2380/klagomålsmail/A 47385-2022 FSC-klagomål mail.docx", "A 47385-2022")</f>
        <v/>
      </c>
      <c r="X99">
        <f>HYPERLINK("https://klasma.github.io/Logging_2380/tillsyn/A 47385-2022 tillsynsbegäran.docx", "A 47385-2022")</f>
        <v/>
      </c>
      <c r="Y99">
        <f>HYPERLINK("https://klasma.github.io/Logging_2380/tillsynsmail/A 47385-2022 tillsynsbegäran mail.docx", "A 47385-2022")</f>
        <v/>
      </c>
    </row>
    <row r="100" ht="15" customHeight="1">
      <c r="A100" t="inlineStr">
        <is>
          <t>A 13795-2025</t>
        </is>
      </c>
      <c r="B100" s="1" t="n">
        <v>45737</v>
      </c>
      <c r="C100" s="1" t="n">
        <v>45967</v>
      </c>
      <c r="D100" t="inlineStr">
        <is>
          <t>JÄMTLANDS LÄN</t>
        </is>
      </c>
      <c r="E100" t="inlineStr">
        <is>
          <t>ÖSTERSUND</t>
        </is>
      </c>
      <c r="G100" t="n">
        <v>13.4</v>
      </c>
      <c r="H100" t="n">
        <v>1</v>
      </c>
      <c r="I100" t="n">
        <v>0</v>
      </c>
      <c r="J100" t="n">
        <v>1</v>
      </c>
      <c r="K100" t="n">
        <v>1</v>
      </c>
      <c r="L100" t="n">
        <v>0</v>
      </c>
      <c r="M100" t="n">
        <v>0</v>
      </c>
      <c r="N100" t="n">
        <v>0</v>
      </c>
      <c r="O100" t="n">
        <v>2</v>
      </c>
      <c r="P100" t="n">
        <v>1</v>
      </c>
      <c r="Q100" t="n">
        <v>2</v>
      </c>
      <c r="R100" s="2" t="inlineStr">
        <is>
          <t>Knärot
Lunglav</t>
        </is>
      </c>
      <c r="S100">
        <f>HYPERLINK("https://klasma.github.io/Logging_2380/artfynd/A 13795-2025 artfynd.xlsx", "A 13795-2025")</f>
        <v/>
      </c>
      <c r="T100">
        <f>HYPERLINK("https://klasma.github.io/Logging_2380/kartor/A 13795-2025 karta.png", "A 13795-2025")</f>
        <v/>
      </c>
      <c r="U100">
        <f>HYPERLINK("https://klasma.github.io/Logging_2380/knärot/A 13795-2025 karta knärot.png", "A 13795-2025")</f>
        <v/>
      </c>
      <c r="V100">
        <f>HYPERLINK("https://klasma.github.io/Logging_2380/klagomål/A 13795-2025 FSC-klagomål.docx", "A 13795-2025")</f>
        <v/>
      </c>
      <c r="W100">
        <f>HYPERLINK("https://klasma.github.io/Logging_2380/klagomålsmail/A 13795-2025 FSC-klagomål mail.docx", "A 13795-2025")</f>
        <v/>
      </c>
      <c r="X100">
        <f>HYPERLINK("https://klasma.github.io/Logging_2380/tillsyn/A 13795-2025 tillsynsbegäran.docx", "A 13795-2025")</f>
        <v/>
      </c>
      <c r="Y100">
        <f>HYPERLINK("https://klasma.github.io/Logging_2380/tillsynsmail/A 13795-2025 tillsynsbegäran mail.docx", "A 13795-2025")</f>
        <v/>
      </c>
    </row>
    <row r="101" ht="15" customHeight="1">
      <c r="A101" t="inlineStr">
        <is>
          <t>A 60446-2024</t>
        </is>
      </c>
      <c r="B101" s="1" t="n">
        <v>45643.59420138889</v>
      </c>
      <c r="C101" s="1" t="n">
        <v>45967</v>
      </c>
      <c r="D101" t="inlineStr">
        <is>
          <t>JÄMTLANDS LÄN</t>
        </is>
      </c>
      <c r="E101" t="inlineStr">
        <is>
          <t>ÖSTERSUND</t>
        </is>
      </c>
      <c r="F101" t="inlineStr">
        <is>
          <t>SCA</t>
        </is>
      </c>
      <c r="G101" t="n">
        <v>3.6</v>
      </c>
      <c r="H101" t="n">
        <v>0</v>
      </c>
      <c r="I101" t="n">
        <v>1</v>
      </c>
      <c r="J101" t="n">
        <v>1</v>
      </c>
      <c r="K101" t="n">
        <v>0</v>
      </c>
      <c r="L101" t="n">
        <v>0</v>
      </c>
      <c r="M101" t="n">
        <v>0</v>
      </c>
      <c r="N101" t="n">
        <v>0</v>
      </c>
      <c r="O101" t="n">
        <v>1</v>
      </c>
      <c r="P101" t="n">
        <v>0</v>
      </c>
      <c r="Q101" t="n">
        <v>2</v>
      </c>
      <c r="R101" s="2" t="inlineStr">
        <is>
          <t>Ullticka
Vedticka</t>
        </is>
      </c>
      <c r="S101">
        <f>HYPERLINK("https://klasma.github.io/Logging_2380/artfynd/A 60446-2024 artfynd.xlsx", "A 60446-2024")</f>
        <v/>
      </c>
      <c r="T101">
        <f>HYPERLINK("https://klasma.github.io/Logging_2380/kartor/A 60446-2024 karta.png", "A 60446-2024")</f>
        <v/>
      </c>
      <c r="V101">
        <f>HYPERLINK("https://klasma.github.io/Logging_2380/klagomål/A 60446-2024 FSC-klagomål.docx", "A 60446-2024")</f>
        <v/>
      </c>
      <c r="W101">
        <f>HYPERLINK("https://klasma.github.io/Logging_2380/klagomålsmail/A 60446-2024 FSC-klagomål mail.docx", "A 60446-2024")</f>
        <v/>
      </c>
      <c r="X101">
        <f>HYPERLINK("https://klasma.github.io/Logging_2380/tillsyn/A 60446-2024 tillsynsbegäran.docx", "A 60446-2024")</f>
        <v/>
      </c>
      <c r="Y101">
        <f>HYPERLINK("https://klasma.github.io/Logging_2380/tillsynsmail/A 60446-2024 tillsynsbegäran mail.docx", "A 60446-2024")</f>
        <v/>
      </c>
    </row>
    <row r="102" ht="15" customHeight="1">
      <c r="A102" t="inlineStr">
        <is>
          <t>A 21615-2024</t>
        </is>
      </c>
      <c r="B102" s="1" t="n">
        <v>45441.95357638889</v>
      </c>
      <c r="C102" s="1" t="n">
        <v>45967</v>
      </c>
      <c r="D102" t="inlineStr">
        <is>
          <t>JÄMTLANDS LÄN</t>
        </is>
      </c>
      <c r="E102" t="inlineStr">
        <is>
          <t>ÖSTERSUND</t>
        </is>
      </c>
      <c r="F102" t="inlineStr">
        <is>
          <t>SCA</t>
        </is>
      </c>
      <c r="G102" t="n">
        <v>4.9</v>
      </c>
      <c r="H102" t="n">
        <v>2</v>
      </c>
      <c r="I102" t="n">
        <v>0</v>
      </c>
      <c r="J102" t="n">
        <v>0</v>
      </c>
      <c r="K102" t="n">
        <v>1</v>
      </c>
      <c r="L102" t="n">
        <v>0</v>
      </c>
      <c r="M102" t="n">
        <v>0</v>
      </c>
      <c r="N102" t="n">
        <v>0</v>
      </c>
      <c r="O102" t="n">
        <v>1</v>
      </c>
      <c r="P102" t="n">
        <v>1</v>
      </c>
      <c r="Q102" t="n">
        <v>2</v>
      </c>
      <c r="R102" s="2" t="inlineStr">
        <is>
          <t>Lappuggla
Blåsippa</t>
        </is>
      </c>
      <c r="S102">
        <f>HYPERLINK("https://klasma.github.io/Logging_2380/artfynd/A 21615-2024 artfynd.xlsx", "A 21615-2024")</f>
        <v/>
      </c>
      <c r="T102">
        <f>HYPERLINK("https://klasma.github.io/Logging_2380/kartor/A 21615-2024 karta.png", "A 21615-2024")</f>
        <v/>
      </c>
      <c r="V102">
        <f>HYPERLINK("https://klasma.github.io/Logging_2380/klagomål/A 21615-2024 FSC-klagomål.docx", "A 21615-2024")</f>
        <v/>
      </c>
      <c r="W102">
        <f>HYPERLINK("https://klasma.github.io/Logging_2380/klagomålsmail/A 21615-2024 FSC-klagomål mail.docx", "A 21615-2024")</f>
        <v/>
      </c>
      <c r="X102">
        <f>HYPERLINK("https://klasma.github.io/Logging_2380/tillsyn/A 21615-2024 tillsynsbegäran.docx", "A 21615-2024")</f>
        <v/>
      </c>
      <c r="Y102">
        <f>HYPERLINK("https://klasma.github.io/Logging_2380/tillsynsmail/A 21615-2024 tillsynsbegäran mail.docx", "A 21615-2024")</f>
        <v/>
      </c>
      <c r="Z102">
        <f>HYPERLINK("https://klasma.github.io/Logging_2380/fåglar/A 21615-2024 prioriterade fågelarter.docx", "A 21615-2024")</f>
        <v/>
      </c>
    </row>
    <row r="103" ht="15" customHeight="1">
      <c r="A103" t="inlineStr">
        <is>
          <t>A 4916-2023</t>
        </is>
      </c>
      <c r="B103" s="1" t="n">
        <v>44956</v>
      </c>
      <c r="C103" s="1" t="n">
        <v>45967</v>
      </c>
      <c r="D103" t="inlineStr">
        <is>
          <t>JÄMTLANDS LÄN</t>
        </is>
      </c>
      <c r="E103" t="inlineStr">
        <is>
          <t>ÖSTERSUND</t>
        </is>
      </c>
      <c r="G103" t="n">
        <v>1.2</v>
      </c>
      <c r="H103" t="n">
        <v>0</v>
      </c>
      <c r="I103" t="n">
        <v>1</v>
      </c>
      <c r="J103" t="n">
        <v>0</v>
      </c>
      <c r="K103" t="n">
        <v>0</v>
      </c>
      <c r="L103" t="n">
        <v>1</v>
      </c>
      <c r="M103" t="n">
        <v>0</v>
      </c>
      <c r="N103" t="n">
        <v>0</v>
      </c>
      <c r="O103" t="n">
        <v>1</v>
      </c>
      <c r="P103" t="n">
        <v>1</v>
      </c>
      <c r="Q103" t="n">
        <v>2</v>
      </c>
      <c r="R103" s="2" t="inlineStr">
        <is>
          <t>Trolldruvemätare
Svart trolldruva</t>
        </is>
      </c>
      <c r="S103">
        <f>HYPERLINK("https://klasma.github.io/Logging_2380/artfynd/A 4916-2023 artfynd.xlsx", "A 4916-2023")</f>
        <v/>
      </c>
      <c r="T103">
        <f>HYPERLINK("https://klasma.github.io/Logging_2380/kartor/A 4916-2023 karta.png", "A 4916-2023")</f>
        <v/>
      </c>
      <c r="V103">
        <f>HYPERLINK("https://klasma.github.io/Logging_2380/klagomål/A 4916-2023 FSC-klagomål.docx", "A 4916-2023")</f>
        <v/>
      </c>
      <c r="W103">
        <f>HYPERLINK("https://klasma.github.io/Logging_2380/klagomålsmail/A 4916-2023 FSC-klagomål mail.docx", "A 4916-2023")</f>
        <v/>
      </c>
      <c r="X103">
        <f>HYPERLINK("https://klasma.github.io/Logging_2380/tillsyn/A 4916-2023 tillsynsbegäran.docx", "A 4916-2023")</f>
        <v/>
      </c>
      <c r="Y103">
        <f>HYPERLINK("https://klasma.github.io/Logging_2380/tillsynsmail/A 4916-2023 tillsynsbegäran mail.docx", "A 4916-2023")</f>
        <v/>
      </c>
    </row>
    <row r="104" ht="15" customHeight="1">
      <c r="A104" t="inlineStr">
        <is>
          <t>A 46105-2021</t>
        </is>
      </c>
      <c r="B104" s="1" t="n">
        <v>44441</v>
      </c>
      <c r="C104" s="1" t="n">
        <v>45967</v>
      </c>
      <c r="D104" t="inlineStr">
        <is>
          <t>JÄMTLANDS LÄN</t>
        </is>
      </c>
      <c r="E104" t="inlineStr">
        <is>
          <t>ÖSTERSUND</t>
        </is>
      </c>
      <c r="G104" t="n">
        <v>4.4</v>
      </c>
      <c r="H104" t="n">
        <v>2</v>
      </c>
      <c r="I104" t="n">
        <v>0</v>
      </c>
      <c r="J104" t="n">
        <v>1</v>
      </c>
      <c r="K104" t="n">
        <v>1</v>
      </c>
      <c r="L104" t="n">
        <v>0</v>
      </c>
      <c r="M104" t="n">
        <v>0</v>
      </c>
      <c r="N104" t="n">
        <v>0</v>
      </c>
      <c r="O104" t="n">
        <v>2</v>
      </c>
      <c r="P104" t="n">
        <v>1</v>
      </c>
      <c r="Q104" t="n">
        <v>2</v>
      </c>
      <c r="R104" s="2" t="inlineStr">
        <is>
          <t>Tallbit
Tretåig hackspett</t>
        </is>
      </c>
      <c r="S104">
        <f>HYPERLINK("https://klasma.github.io/Logging_2380/artfynd/A 46105-2021 artfynd.xlsx", "A 46105-2021")</f>
        <v/>
      </c>
      <c r="T104">
        <f>HYPERLINK("https://klasma.github.io/Logging_2380/kartor/A 46105-2021 karta.png", "A 46105-2021")</f>
        <v/>
      </c>
      <c r="V104">
        <f>HYPERLINK("https://klasma.github.io/Logging_2380/klagomål/A 46105-2021 FSC-klagomål.docx", "A 46105-2021")</f>
        <v/>
      </c>
      <c r="W104">
        <f>HYPERLINK("https://klasma.github.io/Logging_2380/klagomålsmail/A 46105-2021 FSC-klagomål mail.docx", "A 46105-2021")</f>
        <v/>
      </c>
      <c r="X104">
        <f>HYPERLINK("https://klasma.github.io/Logging_2380/tillsyn/A 46105-2021 tillsynsbegäran.docx", "A 46105-2021")</f>
        <v/>
      </c>
      <c r="Y104">
        <f>HYPERLINK("https://klasma.github.io/Logging_2380/tillsynsmail/A 46105-2021 tillsynsbegäran mail.docx", "A 46105-2021")</f>
        <v/>
      </c>
      <c r="Z104">
        <f>HYPERLINK("https://klasma.github.io/Logging_2380/fåglar/A 46105-2021 prioriterade fågelarter.docx", "A 46105-2021")</f>
        <v/>
      </c>
    </row>
    <row r="105" ht="15" customHeight="1">
      <c r="A105" t="inlineStr">
        <is>
          <t>A 26612-2025</t>
        </is>
      </c>
      <c r="B105" s="1" t="n">
        <v>45810</v>
      </c>
      <c r="C105" s="1" t="n">
        <v>45967</v>
      </c>
      <c r="D105" t="inlineStr">
        <is>
          <t>JÄMTLANDS LÄN</t>
        </is>
      </c>
      <c r="E105" t="inlineStr">
        <is>
          <t>ÖSTERSUND</t>
        </is>
      </c>
      <c r="G105" t="n">
        <v>20.6</v>
      </c>
      <c r="H105" t="n">
        <v>1</v>
      </c>
      <c r="I105" t="n">
        <v>0</v>
      </c>
      <c r="J105" t="n">
        <v>0</v>
      </c>
      <c r="K105" t="n">
        <v>1</v>
      </c>
      <c r="L105" t="n">
        <v>1</v>
      </c>
      <c r="M105" t="n">
        <v>0</v>
      </c>
      <c r="N105" t="n">
        <v>0</v>
      </c>
      <c r="O105" t="n">
        <v>2</v>
      </c>
      <c r="P105" t="n">
        <v>2</v>
      </c>
      <c r="Q105" t="n">
        <v>2</v>
      </c>
      <c r="R105" s="2" t="inlineStr">
        <is>
          <t>Violett guldvinge
Turkos blåvinge</t>
        </is>
      </c>
      <c r="S105">
        <f>HYPERLINK("https://klasma.github.io/Logging_2380/artfynd/A 26612-2025 artfynd.xlsx", "A 26612-2025")</f>
        <v/>
      </c>
      <c r="T105">
        <f>HYPERLINK("https://klasma.github.io/Logging_2380/kartor/A 26612-2025 karta.png", "A 26612-2025")</f>
        <v/>
      </c>
      <c r="V105">
        <f>HYPERLINK("https://klasma.github.io/Logging_2380/klagomål/A 26612-2025 FSC-klagomål.docx", "A 26612-2025")</f>
        <v/>
      </c>
      <c r="W105">
        <f>HYPERLINK("https://klasma.github.io/Logging_2380/klagomålsmail/A 26612-2025 FSC-klagomål mail.docx", "A 26612-2025")</f>
        <v/>
      </c>
      <c r="X105">
        <f>HYPERLINK("https://klasma.github.io/Logging_2380/tillsyn/A 26612-2025 tillsynsbegäran.docx", "A 26612-2025")</f>
        <v/>
      </c>
      <c r="Y105">
        <f>HYPERLINK("https://klasma.github.io/Logging_2380/tillsynsmail/A 26612-2025 tillsynsbegäran mail.docx", "A 26612-2025")</f>
        <v/>
      </c>
    </row>
    <row r="106" ht="15" customHeight="1">
      <c r="A106" t="inlineStr">
        <is>
          <t>A 45237-2025</t>
        </is>
      </c>
      <c r="B106" s="1" t="n">
        <v>45919.59467592592</v>
      </c>
      <c r="C106" s="1" t="n">
        <v>45967</v>
      </c>
      <c r="D106" t="inlineStr">
        <is>
          <t>JÄMTLANDS LÄN</t>
        </is>
      </c>
      <c r="E106" t="inlineStr">
        <is>
          <t>ÖSTERSUND</t>
        </is>
      </c>
      <c r="F106" t="inlineStr">
        <is>
          <t>SCA</t>
        </is>
      </c>
      <c r="G106" t="n">
        <v>1.5</v>
      </c>
      <c r="H106" t="n">
        <v>0</v>
      </c>
      <c r="I106" t="n">
        <v>0</v>
      </c>
      <c r="J106" t="n">
        <v>2</v>
      </c>
      <c r="K106" t="n">
        <v>0</v>
      </c>
      <c r="L106" t="n">
        <v>0</v>
      </c>
      <c r="M106" t="n">
        <v>0</v>
      </c>
      <c r="N106" t="n">
        <v>0</v>
      </c>
      <c r="O106" t="n">
        <v>2</v>
      </c>
      <c r="P106" t="n">
        <v>0</v>
      </c>
      <c r="Q106" t="n">
        <v>2</v>
      </c>
      <c r="R106" s="2" t="inlineStr">
        <is>
          <t>Dvärgbägarlav
Mörk kolflarnlav</t>
        </is>
      </c>
      <c r="S106">
        <f>HYPERLINK("https://klasma.github.io/Logging_2380/artfynd/A 45237-2025 artfynd.xlsx", "A 45237-2025")</f>
        <v/>
      </c>
      <c r="T106">
        <f>HYPERLINK("https://klasma.github.io/Logging_2380/kartor/A 45237-2025 karta.png", "A 45237-2025")</f>
        <v/>
      </c>
      <c r="V106">
        <f>HYPERLINK("https://klasma.github.io/Logging_2380/klagomål/A 45237-2025 FSC-klagomål.docx", "A 45237-2025")</f>
        <v/>
      </c>
      <c r="W106">
        <f>HYPERLINK("https://klasma.github.io/Logging_2380/klagomålsmail/A 45237-2025 FSC-klagomål mail.docx", "A 45237-2025")</f>
        <v/>
      </c>
      <c r="X106">
        <f>HYPERLINK("https://klasma.github.io/Logging_2380/tillsyn/A 45237-2025 tillsynsbegäran.docx", "A 45237-2025")</f>
        <v/>
      </c>
      <c r="Y106">
        <f>HYPERLINK("https://klasma.github.io/Logging_2380/tillsynsmail/A 45237-2025 tillsynsbegäran mail.docx", "A 45237-2025")</f>
        <v/>
      </c>
    </row>
    <row r="107" ht="15" customHeight="1">
      <c r="A107" t="inlineStr">
        <is>
          <t>A 33137-2021</t>
        </is>
      </c>
      <c r="B107" s="1" t="n">
        <v>44376</v>
      </c>
      <c r="C107" s="1" t="n">
        <v>45967</v>
      </c>
      <c r="D107" t="inlineStr">
        <is>
          <t>JÄMTLANDS LÄN</t>
        </is>
      </c>
      <c r="E107" t="inlineStr">
        <is>
          <t>ÖSTERSUND</t>
        </is>
      </c>
      <c r="F107" t="inlineStr">
        <is>
          <t>Kommuner</t>
        </is>
      </c>
      <c r="G107" t="n">
        <v>3.7</v>
      </c>
      <c r="H107" t="n">
        <v>1</v>
      </c>
      <c r="I107" t="n">
        <v>1</v>
      </c>
      <c r="J107" t="n">
        <v>0</v>
      </c>
      <c r="K107" t="n">
        <v>0</v>
      </c>
      <c r="L107" t="n">
        <v>0</v>
      </c>
      <c r="M107" t="n">
        <v>0</v>
      </c>
      <c r="N107" t="n">
        <v>0</v>
      </c>
      <c r="O107" t="n">
        <v>0</v>
      </c>
      <c r="P107" t="n">
        <v>0</v>
      </c>
      <c r="Q107" t="n">
        <v>1</v>
      </c>
      <c r="R107" s="2" t="inlineStr">
        <is>
          <t>Guckusko</t>
        </is>
      </c>
      <c r="S107">
        <f>HYPERLINK("https://klasma.github.io/Logging_2380/artfynd/A 33137-2021 artfynd.xlsx", "A 33137-2021")</f>
        <v/>
      </c>
      <c r="T107">
        <f>HYPERLINK("https://klasma.github.io/Logging_2380/kartor/A 33137-2021 karta.png", "A 33137-2021")</f>
        <v/>
      </c>
      <c r="V107">
        <f>HYPERLINK("https://klasma.github.io/Logging_2380/klagomål/A 33137-2021 FSC-klagomål.docx", "A 33137-2021")</f>
        <v/>
      </c>
      <c r="W107">
        <f>HYPERLINK("https://klasma.github.io/Logging_2380/klagomålsmail/A 33137-2021 FSC-klagomål mail.docx", "A 33137-2021")</f>
        <v/>
      </c>
      <c r="X107">
        <f>HYPERLINK("https://klasma.github.io/Logging_2380/tillsyn/A 33137-2021 tillsynsbegäran.docx", "A 33137-2021")</f>
        <v/>
      </c>
      <c r="Y107">
        <f>HYPERLINK("https://klasma.github.io/Logging_2380/tillsynsmail/A 33137-2021 tillsynsbegäran mail.docx", "A 33137-2021")</f>
        <v/>
      </c>
    </row>
    <row r="108" ht="15" customHeight="1">
      <c r="A108" t="inlineStr">
        <is>
          <t>A 19798-2022</t>
        </is>
      </c>
      <c r="B108" s="1" t="n">
        <v>44694</v>
      </c>
      <c r="C108" s="1" t="n">
        <v>45967</v>
      </c>
      <c r="D108" t="inlineStr">
        <is>
          <t>JÄMTLANDS LÄN</t>
        </is>
      </c>
      <c r="E108" t="inlineStr">
        <is>
          <t>ÖSTERSUND</t>
        </is>
      </c>
      <c r="F108" t="inlineStr">
        <is>
          <t>SCA</t>
        </is>
      </c>
      <c r="G108" t="n">
        <v>1</v>
      </c>
      <c r="H108" t="n">
        <v>1</v>
      </c>
      <c r="I108" t="n">
        <v>1</v>
      </c>
      <c r="J108" t="n">
        <v>0</v>
      </c>
      <c r="K108" t="n">
        <v>0</v>
      </c>
      <c r="L108" t="n">
        <v>0</v>
      </c>
      <c r="M108" t="n">
        <v>0</v>
      </c>
      <c r="N108" t="n">
        <v>0</v>
      </c>
      <c r="O108" t="n">
        <v>0</v>
      </c>
      <c r="P108" t="n">
        <v>0</v>
      </c>
      <c r="Q108" t="n">
        <v>1</v>
      </c>
      <c r="R108" s="2" t="inlineStr">
        <is>
          <t>Guckusko</t>
        </is>
      </c>
      <c r="S108">
        <f>HYPERLINK("https://klasma.github.io/Logging_2380/artfynd/A 19798-2022 artfynd.xlsx", "A 19798-2022")</f>
        <v/>
      </c>
      <c r="T108">
        <f>HYPERLINK("https://klasma.github.io/Logging_2380/kartor/A 19798-2022 karta.png", "A 19798-2022")</f>
        <v/>
      </c>
      <c r="V108">
        <f>HYPERLINK("https://klasma.github.io/Logging_2380/klagomål/A 19798-2022 FSC-klagomål.docx", "A 19798-2022")</f>
        <v/>
      </c>
      <c r="W108">
        <f>HYPERLINK("https://klasma.github.io/Logging_2380/klagomålsmail/A 19798-2022 FSC-klagomål mail.docx", "A 19798-2022")</f>
        <v/>
      </c>
      <c r="X108">
        <f>HYPERLINK("https://klasma.github.io/Logging_2380/tillsyn/A 19798-2022 tillsynsbegäran.docx", "A 19798-2022")</f>
        <v/>
      </c>
      <c r="Y108">
        <f>HYPERLINK("https://klasma.github.io/Logging_2380/tillsynsmail/A 19798-2022 tillsynsbegäran mail.docx", "A 19798-2022")</f>
        <v/>
      </c>
    </row>
    <row r="109" ht="15" customHeight="1">
      <c r="A109" t="inlineStr">
        <is>
          <t>A 10336-2022</t>
        </is>
      </c>
      <c r="B109" s="1" t="n">
        <v>44623</v>
      </c>
      <c r="C109" s="1" t="n">
        <v>45967</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31883-2024</t>
        </is>
      </c>
      <c r="B110" s="1" t="n">
        <v>45509.9572800926</v>
      </c>
      <c r="C110" s="1" t="n">
        <v>45967</v>
      </c>
      <c r="D110" t="inlineStr">
        <is>
          <t>JÄMTLANDS LÄN</t>
        </is>
      </c>
      <c r="E110" t="inlineStr">
        <is>
          <t>ÖSTERSUND</t>
        </is>
      </c>
      <c r="F110" t="inlineStr">
        <is>
          <t>SCA</t>
        </is>
      </c>
      <c r="G110" t="n">
        <v>3.3</v>
      </c>
      <c r="H110" t="n">
        <v>1</v>
      </c>
      <c r="I110" t="n">
        <v>0</v>
      </c>
      <c r="J110" t="n">
        <v>0</v>
      </c>
      <c r="K110" t="n">
        <v>1</v>
      </c>
      <c r="L110" t="n">
        <v>0</v>
      </c>
      <c r="M110" t="n">
        <v>0</v>
      </c>
      <c r="N110" t="n">
        <v>0</v>
      </c>
      <c r="O110" t="n">
        <v>1</v>
      </c>
      <c r="P110" t="n">
        <v>1</v>
      </c>
      <c r="Q110" t="n">
        <v>1</v>
      </c>
      <c r="R110" s="2" t="inlineStr">
        <is>
          <t>Doftticka</t>
        </is>
      </c>
      <c r="S110">
        <f>HYPERLINK("https://klasma.github.io/Logging_2380/artfynd/A 31883-2024 artfynd.xlsx", "A 31883-2024")</f>
        <v/>
      </c>
      <c r="T110">
        <f>HYPERLINK("https://klasma.github.io/Logging_2380/kartor/A 31883-2024 karta.png", "A 31883-2024")</f>
        <v/>
      </c>
      <c r="V110">
        <f>HYPERLINK("https://klasma.github.io/Logging_2380/klagomål/A 31883-2024 FSC-klagomål.docx", "A 31883-2024")</f>
        <v/>
      </c>
      <c r="W110">
        <f>HYPERLINK("https://klasma.github.io/Logging_2380/klagomålsmail/A 31883-2024 FSC-klagomål mail.docx", "A 31883-2024")</f>
        <v/>
      </c>
      <c r="X110">
        <f>HYPERLINK("https://klasma.github.io/Logging_2380/tillsyn/A 31883-2024 tillsynsbegäran.docx", "A 31883-2024")</f>
        <v/>
      </c>
      <c r="Y110">
        <f>HYPERLINK("https://klasma.github.io/Logging_2380/tillsynsmail/A 31883-2024 tillsynsbegäran mail.docx", "A 31883-2024")</f>
        <v/>
      </c>
    </row>
    <row r="111" ht="15" customHeight="1">
      <c r="A111" t="inlineStr">
        <is>
          <t>A 55821-2021</t>
        </is>
      </c>
      <c r="B111" s="1" t="n">
        <v>44476</v>
      </c>
      <c r="C111" s="1" t="n">
        <v>45967</v>
      </c>
      <c r="D111" t="inlineStr">
        <is>
          <t>JÄMTLANDS LÄN</t>
        </is>
      </c>
      <c r="E111" t="inlineStr">
        <is>
          <t>ÖSTERSUND</t>
        </is>
      </c>
      <c r="G111" t="n">
        <v>7.2</v>
      </c>
      <c r="H111" t="n">
        <v>0</v>
      </c>
      <c r="I111" t="n">
        <v>0</v>
      </c>
      <c r="J111" t="n">
        <v>1</v>
      </c>
      <c r="K111" t="n">
        <v>0</v>
      </c>
      <c r="L111" t="n">
        <v>0</v>
      </c>
      <c r="M111" t="n">
        <v>0</v>
      </c>
      <c r="N111" t="n">
        <v>0</v>
      </c>
      <c r="O111" t="n">
        <v>1</v>
      </c>
      <c r="P111" t="n">
        <v>0</v>
      </c>
      <c r="Q111" t="n">
        <v>1</v>
      </c>
      <c r="R111" s="2" t="inlineStr">
        <is>
          <t>Harticka</t>
        </is>
      </c>
      <c r="S111">
        <f>HYPERLINK("https://klasma.github.io/Logging_2380/artfynd/A 55821-2021 artfynd.xlsx", "A 55821-2021")</f>
        <v/>
      </c>
      <c r="T111">
        <f>HYPERLINK("https://klasma.github.io/Logging_2380/kartor/A 55821-2021 karta.png", "A 55821-2021")</f>
        <v/>
      </c>
      <c r="V111">
        <f>HYPERLINK("https://klasma.github.io/Logging_2380/klagomål/A 55821-2021 FSC-klagomål.docx", "A 55821-2021")</f>
        <v/>
      </c>
      <c r="W111">
        <f>HYPERLINK("https://klasma.github.io/Logging_2380/klagomålsmail/A 55821-2021 FSC-klagomål mail.docx", "A 55821-2021")</f>
        <v/>
      </c>
      <c r="X111">
        <f>HYPERLINK("https://klasma.github.io/Logging_2380/tillsyn/A 55821-2021 tillsynsbegäran.docx", "A 55821-2021")</f>
        <v/>
      </c>
      <c r="Y111">
        <f>HYPERLINK("https://klasma.github.io/Logging_2380/tillsynsmail/A 55821-2021 tillsynsbegäran mail.docx", "A 55821-2021")</f>
        <v/>
      </c>
    </row>
    <row r="112" ht="15" customHeight="1">
      <c r="A112" t="inlineStr">
        <is>
          <t>A 54354-2024</t>
        </is>
      </c>
      <c r="B112" s="1" t="n">
        <v>45617.40244212963</v>
      </c>
      <c r="C112" s="1" t="n">
        <v>45967</v>
      </c>
      <c r="D112" t="inlineStr">
        <is>
          <t>JÄMTLANDS LÄN</t>
        </is>
      </c>
      <c r="E112" t="inlineStr">
        <is>
          <t>ÖSTERSUND</t>
        </is>
      </c>
      <c r="G112" t="n">
        <v>7</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54354-2024 artfynd.xlsx", "A 54354-2024")</f>
        <v/>
      </c>
      <c r="T112">
        <f>HYPERLINK("https://klasma.github.io/Logging_2380/kartor/A 54354-2024 karta.png", "A 54354-2024")</f>
        <v/>
      </c>
      <c r="V112">
        <f>HYPERLINK("https://klasma.github.io/Logging_2380/klagomål/A 54354-2024 FSC-klagomål.docx", "A 54354-2024")</f>
        <v/>
      </c>
      <c r="W112">
        <f>HYPERLINK("https://klasma.github.io/Logging_2380/klagomålsmail/A 54354-2024 FSC-klagomål mail.docx", "A 54354-2024")</f>
        <v/>
      </c>
      <c r="X112">
        <f>HYPERLINK("https://klasma.github.io/Logging_2380/tillsyn/A 54354-2024 tillsynsbegäran.docx", "A 54354-2024")</f>
        <v/>
      </c>
      <c r="Y112">
        <f>HYPERLINK("https://klasma.github.io/Logging_2380/tillsynsmail/A 54354-2024 tillsynsbegäran mail.docx", "A 54354-2024")</f>
        <v/>
      </c>
      <c r="Z112">
        <f>HYPERLINK("https://klasma.github.io/Logging_2380/fåglar/A 54354-2024 prioriterade fågelarter.docx", "A 54354-2024")</f>
        <v/>
      </c>
    </row>
    <row r="113" ht="15" customHeight="1">
      <c r="A113" t="inlineStr">
        <is>
          <t>A 27578-2022</t>
        </is>
      </c>
      <c r="B113" s="1" t="n">
        <v>44742</v>
      </c>
      <c r="C113" s="1" t="n">
        <v>45967</v>
      </c>
      <c r="D113" t="inlineStr">
        <is>
          <t>JÄMTLANDS LÄN</t>
        </is>
      </c>
      <c r="E113" t="inlineStr">
        <is>
          <t>ÖSTERSUND</t>
        </is>
      </c>
      <c r="F113" t="inlineStr">
        <is>
          <t>SCA</t>
        </is>
      </c>
      <c r="G113" t="n">
        <v>2</v>
      </c>
      <c r="H113" t="n">
        <v>1</v>
      </c>
      <c r="I113" t="n">
        <v>0</v>
      </c>
      <c r="J113" t="n">
        <v>0</v>
      </c>
      <c r="K113" t="n">
        <v>0</v>
      </c>
      <c r="L113" t="n">
        <v>0</v>
      </c>
      <c r="M113" t="n">
        <v>0</v>
      </c>
      <c r="N113" t="n">
        <v>0</v>
      </c>
      <c r="O113" t="n">
        <v>0</v>
      </c>
      <c r="P113" t="n">
        <v>0</v>
      </c>
      <c r="Q113" t="n">
        <v>1</v>
      </c>
      <c r="R113" s="2" t="inlineStr">
        <is>
          <t>Blåsippa</t>
        </is>
      </c>
      <c r="S113">
        <f>HYPERLINK("https://klasma.github.io/Logging_2380/artfynd/A 27578-2022 artfynd.xlsx", "A 27578-2022")</f>
        <v/>
      </c>
      <c r="T113">
        <f>HYPERLINK("https://klasma.github.io/Logging_2380/kartor/A 27578-2022 karta.png", "A 27578-2022")</f>
        <v/>
      </c>
      <c r="V113">
        <f>HYPERLINK("https://klasma.github.io/Logging_2380/klagomål/A 27578-2022 FSC-klagomål.docx", "A 27578-2022")</f>
        <v/>
      </c>
      <c r="W113">
        <f>HYPERLINK("https://klasma.github.io/Logging_2380/klagomålsmail/A 27578-2022 FSC-klagomål mail.docx", "A 27578-2022")</f>
        <v/>
      </c>
      <c r="X113">
        <f>HYPERLINK("https://klasma.github.io/Logging_2380/tillsyn/A 27578-2022 tillsynsbegäran.docx", "A 27578-2022")</f>
        <v/>
      </c>
      <c r="Y113">
        <f>HYPERLINK("https://klasma.github.io/Logging_2380/tillsynsmail/A 27578-2022 tillsynsbegäran mail.docx", "A 27578-2022")</f>
        <v/>
      </c>
    </row>
    <row r="114" ht="15" customHeight="1">
      <c r="A114" t="inlineStr">
        <is>
          <t>A 41279-2024</t>
        </is>
      </c>
      <c r="B114" s="1" t="n">
        <v>45559</v>
      </c>
      <c r="C114" s="1" t="n">
        <v>45967</v>
      </c>
      <c r="D114" t="inlineStr">
        <is>
          <t>JÄMTLANDS LÄN</t>
        </is>
      </c>
      <c r="E114" t="inlineStr">
        <is>
          <t>ÖSTERSUND</t>
        </is>
      </c>
      <c r="F114" t="inlineStr">
        <is>
          <t>SCA</t>
        </is>
      </c>
      <c r="G114" t="n">
        <v>1.6</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41279-2024 artfynd.xlsx", "A 41279-2024")</f>
        <v/>
      </c>
      <c r="T114">
        <f>HYPERLINK("https://klasma.github.io/Logging_2380/kartor/A 41279-2024 karta.png", "A 41279-2024")</f>
        <v/>
      </c>
      <c r="V114">
        <f>HYPERLINK("https://klasma.github.io/Logging_2380/klagomål/A 41279-2024 FSC-klagomål.docx", "A 41279-2024")</f>
        <v/>
      </c>
      <c r="W114">
        <f>HYPERLINK("https://klasma.github.io/Logging_2380/klagomålsmail/A 41279-2024 FSC-klagomål mail.docx", "A 41279-2024")</f>
        <v/>
      </c>
      <c r="X114">
        <f>HYPERLINK("https://klasma.github.io/Logging_2380/tillsyn/A 41279-2024 tillsynsbegäran.docx", "A 41279-2024")</f>
        <v/>
      </c>
      <c r="Y114">
        <f>HYPERLINK("https://klasma.github.io/Logging_2380/tillsynsmail/A 41279-2024 tillsynsbegäran mail.docx", "A 41279-2024")</f>
        <v/>
      </c>
    </row>
    <row r="115" ht="15" customHeight="1">
      <c r="A115" t="inlineStr">
        <is>
          <t>A 58181-2022</t>
        </is>
      </c>
      <c r="B115" s="1" t="n">
        <v>44900</v>
      </c>
      <c r="C115" s="1" t="n">
        <v>45967</v>
      </c>
      <c r="D115" t="inlineStr">
        <is>
          <t>JÄMTLANDS LÄN</t>
        </is>
      </c>
      <c r="E115" t="inlineStr">
        <is>
          <t>ÖSTERSUND</t>
        </is>
      </c>
      <c r="G115" t="n">
        <v>14.8</v>
      </c>
      <c r="H115" t="n">
        <v>0</v>
      </c>
      <c r="I115" t="n">
        <v>1</v>
      </c>
      <c r="J115" t="n">
        <v>0</v>
      </c>
      <c r="K115" t="n">
        <v>0</v>
      </c>
      <c r="L115" t="n">
        <v>0</v>
      </c>
      <c r="M115" t="n">
        <v>0</v>
      </c>
      <c r="N115" t="n">
        <v>0</v>
      </c>
      <c r="O115" t="n">
        <v>0</v>
      </c>
      <c r="P115" t="n">
        <v>0</v>
      </c>
      <c r="Q115" t="n">
        <v>1</v>
      </c>
      <c r="R115" s="2" t="inlineStr">
        <is>
          <t>Finbräken</t>
        </is>
      </c>
      <c r="S115">
        <f>HYPERLINK("https://klasma.github.io/Logging_2380/artfynd/A 58181-2022 artfynd.xlsx", "A 58181-2022")</f>
        <v/>
      </c>
      <c r="T115">
        <f>HYPERLINK("https://klasma.github.io/Logging_2380/kartor/A 58181-2022 karta.png", "A 58181-2022")</f>
        <v/>
      </c>
      <c r="V115">
        <f>HYPERLINK("https://klasma.github.io/Logging_2380/klagomål/A 58181-2022 FSC-klagomål.docx", "A 58181-2022")</f>
        <v/>
      </c>
      <c r="W115">
        <f>HYPERLINK("https://klasma.github.io/Logging_2380/klagomålsmail/A 58181-2022 FSC-klagomål mail.docx", "A 58181-2022")</f>
        <v/>
      </c>
      <c r="X115">
        <f>HYPERLINK("https://klasma.github.io/Logging_2380/tillsyn/A 58181-2022 tillsynsbegäran.docx", "A 58181-2022")</f>
        <v/>
      </c>
      <c r="Y115">
        <f>HYPERLINK("https://klasma.github.io/Logging_2380/tillsynsmail/A 58181-2022 tillsynsbegäran mail.docx", "A 58181-2022")</f>
        <v/>
      </c>
    </row>
    <row r="116" ht="15" customHeight="1">
      <c r="A116" t="inlineStr">
        <is>
          <t>A 44049-2024</t>
        </is>
      </c>
      <c r="B116" s="1" t="n">
        <v>45572.59462962963</v>
      </c>
      <c r="C116" s="1" t="n">
        <v>45967</v>
      </c>
      <c r="D116" t="inlineStr">
        <is>
          <t>JÄMTLANDS LÄN</t>
        </is>
      </c>
      <c r="E116" t="inlineStr">
        <is>
          <t>ÖSTERSUND</t>
        </is>
      </c>
      <c r="F116" t="inlineStr">
        <is>
          <t>SCA</t>
        </is>
      </c>
      <c r="G116" t="n">
        <v>4.5</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44049-2024 artfynd.xlsx", "A 44049-2024")</f>
        <v/>
      </c>
      <c r="T116">
        <f>HYPERLINK("https://klasma.github.io/Logging_2380/kartor/A 44049-2024 karta.png", "A 44049-2024")</f>
        <v/>
      </c>
      <c r="V116">
        <f>HYPERLINK("https://klasma.github.io/Logging_2380/klagomål/A 44049-2024 FSC-klagomål.docx", "A 44049-2024")</f>
        <v/>
      </c>
      <c r="W116">
        <f>HYPERLINK("https://klasma.github.io/Logging_2380/klagomålsmail/A 44049-2024 FSC-klagomål mail.docx", "A 44049-2024")</f>
        <v/>
      </c>
      <c r="X116">
        <f>HYPERLINK("https://klasma.github.io/Logging_2380/tillsyn/A 44049-2024 tillsynsbegäran.docx", "A 44049-2024")</f>
        <v/>
      </c>
      <c r="Y116">
        <f>HYPERLINK("https://klasma.github.io/Logging_2380/tillsynsmail/A 44049-2024 tillsynsbegäran mail.docx", "A 44049-2024")</f>
        <v/>
      </c>
    </row>
    <row r="117" ht="15" customHeight="1">
      <c r="A117" t="inlineStr">
        <is>
          <t>A 57065-2024</t>
        </is>
      </c>
      <c r="B117" s="1" t="n">
        <v>45629.35344907407</v>
      </c>
      <c r="C117" s="1" t="n">
        <v>45967</v>
      </c>
      <c r="D117" t="inlineStr">
        <is>
          <t>JÄMTLANDS LÄN</t>
        </is>
      </c>
      <c r="E117" t="inlineStr">
        <is>
          <t>ÖSTERSUND</t>
        </is>
      </c>
      <c r="F117" t="inlineStr">
        <is>
          <t>SCA</t>
        </is>
      </c>
      <c r="G117" t="n">
        <v>6.3</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57065-2024 artfynd.xlsx", "A 57065-2024")</f>
        <v/>
      </c>
      <c r="T117">
        <f>HYPERLINK("https://klasma.github.io/Logging_2380/kartor/A 57065-2024 karta.png", "A 57065-2024")</f>
        <v/>
      </c>
      <c r="V117">
        <f>HYPERLINK("https://klasma.github.io/Logging_2380/klagomål/A 57065-2024 FSC-klagomål.docx", "A 57065-2024")</f>
        <v/>
      </c>
      <c r="W117">
        <f>HYPERLINK("https://klasma.github.io/Logging_2380/klagomålsmail/A 57065-2024 FSC-klagomål mail.docx", "A 57065-2024")</f>
        <v/>
      </c>
      <c r="X117">
        <f>HYPERLINK("https://klasma.github.io/Logging_2380/tillsyn/A 57065-2024 tillsynsbegäran.docx", "A 57065-2024")</f>
        <v/>
      </c>
      <c r="Y117">
        <f>HYPERLINK("https://klasma.github.io/Logging_2380/tillsynsmail/A 57065-2024 tillsynsbegäran mail.docx", "A 57065-2024")</f>
        <v/>
      </c>
      <c r="Z117">
        <f>HYPERLINK("https://klasma.github.io/Logging_2380/fåglar/A 57065-2024 prioriterade fågelarter.docx", "A 57065-2024")</f>
        <v/>
      </c>
    </row>
    <row r="118" ht="15" customHeight="1">
      <c r="A118" t="inlineStr">
        <is>
          <t>A 40692-2024</t>
        </is>
      </c>
      <c r="B118" s="1" t="n">
        <v>45558</v>
      </c>
      <c r="C118" s="1" t="n">
        <v>45967</v>
      </c>
      <c r="D118" t="inlineStr">
        <is>
          <t>JÄMTLANDS LÄN</t>
        </is>
      </c>
      <c r="E118" t="inlineStr">
        <is>
          <t>ÖSTERSUND</t>
        </is>
      </c>
      <c r="F118" t="inlineStr">
        <is>
          <t>SCA</t>
        </is>
      </c>
      <c r="G118" t="n">
        <v>0.9</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40692-2024 artfynd.xlsx", "A 40692-2024")</f>
        <v/>
      </c>
      <c r="T118">
        <f>HYPERLINK("https://klasma.github.io/Logging_2380/kartor/A 40692-2024 karta.png", "A 40692-2024")</f>
        <v/>
      </c>
      <c r="V118">
        <f>HYPERLINK("https://klasma.github.io/Logging_2380/klagomål/A 40692-2024 FSC-klagomål.docx", "A 40692-2024")</f>
        <v/>
      </c>
      <c r="W118">
        <f>HYPERLINK("https://klasma.github.io/Logging_2380/klagomålsmail/A 40692-2024 FSC-klagomål mail.docx", "A 40692-2024")</f>
        <v/>
      </c>
      <c r="X118">
        <f>HYPERLINK("https://klasma.github.io/Logging_2380/tillsyn/A 40692-2024 tillsynsbegäran.docx", "A 40692-2024")</f>
        <v/>
      </c>
      <c r="Y118">
        <f>HYPERLINK("https://klasma.github.io/Logging_2380/tillsynsmail/A 40692-2024 tillsynsbegäran mail.docx", "A 40692-2024")</f>
        <v/>
      </c>
    </row>
    <row r="119" ht="15" customHeight="1">
      <c r="A119" t="inlineStr">
        <is>
          <t>A 63775-2020</t>
        </is>
      </c>
      <c r="B119" s="1" t="n">
        <v>44165</v>
      </c>
      <c r="C119" s="1" t="n">
        <v>45967</v>
      </c>
      <c r="D119" t="inlineStr">
        <is>
          <t>JÄMTLANDS LÄN</t>
        </is>
      </c>
      <c r="E119" t="inlineStr">
        <is>
          <t>ÖSTERSUND</t>
        </is>
      </c>
      <c r="G119" t="n">
        <v>6.2</v>
      </c>
      <c r="H119" t="n">
        <v>1</v>
      </c>
      <c r="I119" t="n">
        <v>0</v>
      </c>
      <c r="J119" t="n">
        <v>0</v>
      </c>
      <c r="K119" t="n">
        <v>0</v>
      </c>
      <c r="L119" t="n">
        <v>0</v>
      </c>
      <c r="M119" t="n">
        <v>0</v>
      </c>
      <c r="N119" t="n">
        <v>0</v>
      </c>
      <c r="O119" t="n">
        <v>0</v>
      </c>
      <c r="P119" t="n">
        <v>0</v>
      </c>
      <c r="Q119" t="n">
        <v>1</v>
      </c>
      <c r="R119" s="2" t="inlineStr">
        <is>
          <t>Fläcknycklar</t>
        </is>
      </c>
      <c r="S119">
        <f>HYPERLINK("https://klasma.github.io/Logging_2380/artfynd/A 63775-2020 artfynd.xlsx", "A 63775-2020")</f>
        <v/>
      </c>
      <c r="T119">
        <f>HYPERLINK("https://klasma.github.io/Logging_2380/kartor/A 63775-2020 karta.png", "A 63775-2020")</f>
        <v/>
      </c>
      <c r="V119">
        <f>HYPERLINK("https://klasma.github.io/Logging_2380/klagomål/A 63775-2020 FSC-klagomål.docx", "A 63775-2020")</f>
        <v/>
      </c>
      <c r="W119">
        <f>HYPERLINK("https://klasma.github.io/Logging_2380/klagomålsmail/A 63775-2020 FSC-klagomål mail.docx", "A 63775-2020")</f>
        <v/>
      </c>
      <c r="X119">
        <f>HYPERLINK("https://klasma.github.io/Logging_2380/tillsyn/A 63775-2020 tillsynsbegäran.docx", "A 63775-2020")</f>
        <v/>
      </c>
      <c r="Y119">
        <f>HYPERLINK("https://klasma.github.io/Logging_2380/tillsynsmail/A 63775-2020 tillsynsbegäran mail.docx", "A 63775-2020")</f>
        <v/>
      </c>
    </row>
    <row r="120" ht="15" customHeight="1">
      <c r="A120" t="inlineStr">
        <is>
          <t>A 43883-2024</t>
        </is>
      </c>
      <c r="B120" s="1" t="n">
        <v>45570</v>
      </c>
      <c r="C120" s="1" t="n">
        <v>45967</v>
      </c>
      <c r="D120" t="inlineStr">
        <is>
          <t>JÄMTLANDS LÄN</t>
        </is>
      </c>
      <c r="E120" t="inlineStr">
        <is>
          <t>ÖSTERSUND</t>
        </is>
      </c>
      <c r="G120" t="n">
        <v>3.8</v>
      </c>
      <c r="H120" t="n">
        <v>0</v>
      </c>
      <c r="I120" t="n">
        <v>0</v>
      </c>
      <c r="J120" t="n">
        <v>0</v>
      </c>
      <c r="K120" t="n">
        <v>1</v>
      </c>
      <c r="L120" t="n">
        <v>0</v>
      </c>
      <c r="M120" t="n">
        <v>0</v>
      </c>
      <c r="N120" t="n">
        <v>0</v>
      </c>
      <c r="O120" t="n">
        <v>1</v>
      </c>
      <c r="P120" t="n">
        <v>1</v>
      </c>
      <c r="Q120" t="n">
        <v>1</v>
      </c>
      <c r="R120" s="2" t="inlineStr">
        <is>
          <t>Frösöstarr</t>
        </is>
      </c>
      <c r="S120">
        <f>HYPERLINK("https://klasma.github.io/Logging_2380/artfynd/A 43883-2024 artfynd.xlsx", "A 43883-2024")</f>
        <v/>
      </c>
      <c r="T120">
        <f>HYPERLINK("https://klasma.github.io/Logging_2380/kartor/A 43883-2024 karta.png", "A 43883-2024")</f>
        <v/>
      </c>
      <c r="V120">
        <f>HYPERLINK("https://klasma.github.io/Logging_2380/klagomål/A 43883-2024 FSC-klagomål.docx", "A 43883-2024")</f>
        <v/>
      </c>
      <c r="W120">
        <f>HYPERLINK("https://klasma.github.io/Logging_2380/klagomålsmail/A 43883-2024 FSC-klagomål mail.docx", "A 43883-2024")</f>
        <v/>
      </c>
      <c r="X120">
        <f>HYPERLINK("https://klasma.github.io/Logging_2380/tillsyn/A 43883-2024 tillsynsbegäran.docx", "A 43883-2024")</f>
        <v/>
      </c>
      <c r="Y120">
        <f>HYPERLINK("https://klasma.github.io/Logging_2380/tillsynsmail/A 43883-2024 tillsynsbegäran mail.docx", "A 43883-2024")</f>
        <v/>
      </c>
    </row>
    <row r="121" ht="15" customHeight="1">
      <c r="A121" t="inlineStr">
        <is>
          <t>A 28980-2023</t>
        </is>
      </c>
      <c r="B121" s="1" t="n">
        <v>45096</v>
      </c>
      <c r="C121" s="1" t="n">
        <v>45967</v>
      </c>
      <c r="D121" t="inlineStr">
        <is>
          <t>JÄMTLANDS LÄN</t>
        </is>
      </c>
      <c r="E121" t="inlineStr">
        <is>
          <t>ÖSTERSUND</t>
        </is>
      </c>
      <c r="G121" t="n">
        <v>2.7</v>
      </c>
      <c r="H121" t="n">
        <v>0</v>
      </c>
      <c r="I121" t="n">
        <v>1</v>
      </c>
      <c r="J121" t="n">
        <v>0</v>
      </c>
      <c r="K121" t="n">
        <v>0</v>
      </c>
      <c r="L121" t="n">
        <v>0</v>
      </c>
      <c r="M121" t="n">
        <v>0</v>
      </c>
      <c r="N121" t="n">
        <v>0</v>
      </c>
      <c r="O121" t="n">
        <v>0</v>
      </c>
      <c r="P121" t="n">
        <v>0</v>
      </c>
      <c r="Q121" t="n">
        <v>1</v>
      </c>
      <c r="R121" s="2" t="inlineStr">
        <is>
          <t>Finbräken</t>
        </is>
      </c>
      <c r="S121">
        <f>HYPERLINK("https://klasma.github.io/Logging_2380/artfynd/A 28980-2023 artfynd.xlsx", "A 28980-2023")</f>
        <v/>
      </c>
      <c r="T121">
        <f>HYPERLINK("https://klasma.github.io/Logging_2380/kartor/A 28980-2023 karta.png", "A 28980-2023")</f>
        <v/>
      </c>
      <c r="V121">
        <f>HYPERLINK("https://klasma.github.io/Logging_2380/klagomål/A 28980-2023 FSC-klagomål.docx", "A 28980-2023")</f>
        <v/>
      </c>
      <c r="W121">
        <f>HYPERLINK("https://klasma.github.io/Logging_2380/klagomålsmail/A 28980-2023 FSC-klagomål mail.docx", "A 28980-2023")</f>
        <v/>
      </c>
      <c r="X121">
        <f>HYPERLINK("https://klasma.github.io/Logging_2380/tillsyn/A 28980-2023 tillsynsbegäran.docx", "A 28980-2023")</f>
        <v/>
      </c>
      <c r="Y121">
        <f>HYPERLINK("https://klasma.github.io/Logging_2380/tillsynsmail/A 28980-2023 tillsynsbegäran mail.docx", "A 28980-2023")</f>
        <v/>
      </c>
    </row>
    <row r="122" ht="15" customHeight="1">
      <c r="A122" t="inlineStr">
        <is>
          <t>A 9739-2022</t>
        </is>
      </c>
      <c r="B122" s="1" t="n">
        <v>44617</v>
      </c>
      <c r="C122" s="1" t="n">
        <v>45967</v>
      </c>
      <c r="D122" t="inlineStr">
        <is>
          <t>JÄMTLANDS LÄN</t>
        </is>
      </c>
      <c r="E122" t="inlineStr">
        <is>
          <t>ÖSTERSUND</t>
        </is>
      </c>
      <c r="F122" t="inlineStr">
        <is>
          <t>SCA</t>
        </is>
      </c>
      <c r="G122" t="n">
        <v>13.5</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9739-2022 artfynd.xlsx", "A 9739-2022")</f>
        <v/>
      </c>
      <c r="T122">
        <f>HYPERLINK("https://klasma.github.io/Logging_2380/kartor/A 9739-2022 karta.png", "A 9739-2022")</f>
        <v/>
      </c>
      <c r="V122">
        <f>HYPERLINK("https://klasma.github.io/Logging_2380/klagomål/A 9739-2022 FSC-klagomål.docx", "A 9739-2022")</f>
        <v/>
      </c>
      <c r="W122">
        <f>HYPERLINK("https://klasma.github.io/Logging_2380/klagomålsmail/A 9739-2022 FSC-klagomål mail.docx", "A 9739-2022")</f>
        <v/>
      </c>
      <c r="X122">
        <f>HYPERLINK("https://klasma.github.io/Logging_2380/tillsyn/A 9739-2022 tillsynsbegäran.docx", "A 9739-2022")</f>
        <v/>
      </c>
      <c r="Y122">
        <f>HYPERLINK("https://klasma.github.io/Logging_2380/tillsynsmail/A 9739-2022 tillsynsbegäran mail.docx", "A 9739-2022")</f>
        <v/>
      </c>
    </row>
    <row r="123" ht="15" customHeight="1">
      <c r="A123" t="inlineStr">
        <is>
          <t>A 41312-2024</t>
        </is>
      </c>
      <c r="B123" s="1" t="n">
        <v>45559.63584490741</v>
      </c>
      <c r="C123" s="1" t="n">
        <v>45967</v>
      </c>
      <c r="D123" t="inlineStr">
        <is>
          <t>JÄMTLANDS LÄN</t>
        </is>
      </c>
      <c r="E123" t="inlineStr">
        <is>
          <t>ÖSTERSUND</t>
        </is>
      </c>
      <c r="F123" t="inlineStr">
        <is>
          <t>SCA</t>
        </is>
      </c>
      <c r="G123" t="n">
        <v>2.6</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41312-2024 artfynd.xlsx", "A 41312-2024")</f>
        <v/>
      </c>
      <c r="T123">
        <f>HYPERLINK("https://klasma.github.io/Logging_2380/kartor/A 41312-2024 karta.png", "A 41312-2024")</f>
        <v/>
      </c>
      <c r="V123">
        <f>HYPERLINK("https://klasma.github.io/Logging_2380/klagomål/A 41312-2024 FSC-klagomål.docx", "A 41312-2024")</f>
        <v/>
      </c>
      <c r="W123">
        <f>HYPERLINK("https://klasma.github.io/Logging_2380/klagomålsmail/A 41312-2024 FSC-klagomål mail.docx", "A 41312-2024")</f>
        <v/>
      </c>
      <c r="X123">
        <f>HYPERLINK("https://klasma.github.io/Logging_2380/tillsyn/A 41312-2024 tillsynsbegäran.docx", "A 41312-2024")</f>
        <v/>
      </c>
      <c r="Y123">
        <f>HYPERLINK("https://klasma.github.io/Logging_2380/tillsynsmail/A 41312-2024 tillsynsbegäran mail.docx", "A 41312-2024")</f>
        <v/>
      </c>
    </row>
    <row r="124" ht="15" customHeight="1">
      <c r="A124" t="inlineStr">
        <is>
          <t>A 47580-2025</t>
        </is>
      </c>
      <c r="B124" s="1" t="n">
        <v>45931.40935185185</v>
      </c>
      <c r="C124" s="1" t="n">
        <v>45967</v>
      </c>
      <c r="D124" t="inlineStr">
        <is>
          <t>JÄMTLANDS LÄN</t>
        </is>
      </c>
      <c r="E124" t="inlineStr">
        <is>
          <t>ÖSTERSUND</t>
        </is>
      </c>
      <c r="G124" t="n">
        <v>4.1</v>
      </c>
      <c r="H124" t="n">
        <v>1</v>
      </c>
      <c r="I124" t="n">
        <v>0</v>
      </c>
      <c r="J124" t="n">
        <v>0</v>
      </c>
      <c r="K124" t="n">
        <v>0</v>
      </c>
      <c r="L124" t="n">
        <v>0</v>
      </c>
      <c r="M124" t="n">
        <v>0</v>
      </c>
      <c r="N124" t="n">
        <v>0</v>
      </c>
      <c r="O124" t="n">
        <v>0</v>
      </c>
      <c r="P124" t="n">
        <v>0</v>
      </c>
      <c r="Q124" t="n">
        <v>1</v>
      </c>
      <c r="R124" s="2" t="inlineStr">
        <is>
          <t>Revlummer</t>
        </is>
      </c>
      <c r="S124">
        <f>HYPERLINK("https://klasma.github.io/Logging_2380/artfynd/A 47580-2025 artfynd.xlsx", "A 47580-2025")</f>
        <v/>
      </c>
      <c r="T124">
        <f>HYPERLINK("https://klasma.github.io/Logging_2380/kartor/A 47580-2025 karta.png", "A 47580-2025")</f>
        <v/>
      </c>
      <c r="V124">
        <f>HYPERLINK("https://klasma.github.io/Logging_2380/klagomål/A 47580-2025 FSC-klagomål.docx", "A 47580-2025")</f>
        <v/>
      </c>
      <c r="W124">
        <f>HYPERLINK("https://klasma.github.io/Logging_2380/klagomålsmail/A 47580-2025 FSC-klagomål mail.docx", "A 47580-2025")</f>
        <v/>
      </c>
      <c r="X124">
        <f>HYPERLINK("https://klasma.github.io/Logging_2380/tillsyn/A 47580-2025 tillsynsbegäran.docx", "A 47580-2025")</f>
        <v/>
      </c>
      <c r="Y124">
        <f>HYPERLINK("https://klasma.github.io/Logging_2380/tillsynsmail/A 47580-2025 tillsynsbegäran mail.docx", "A 47580-2025")</f>
        <v/>
      </c>
    </row>
    <row r="125" ht="15" customHeight="1">
      <c r="A125" t="inlineStr">
        <is>
          <t>A 56201-2024</t>
        </is>
      </c>
      <c r="B125" s="1" t="n">
        <v>45624.59462962963</v>
      </c>
      <c r="C125" s="1" t="n">
        <v>45967</v>
      </c>
      <c r="D125" t="inlineStr">
        <is>
          <t>JÄMTLANDS LÄN</t>
        </is>
      </c>
      <c r="E125" t="inlineStr">
        <is>
          <t>ÖSTERSUND</t>
        </is>
      </c>
      <c r="F125" t="inlineStr">
        <is>
          <t>SCA</t>
        </is>
      </c>
      <c r="G125" t="n">
        <v>5.9</v>
      </c>
      <c r="H125" t="n">
        <v>1</v>
      </c>
      <c r="I125" t="n">
        <v>0</v>
      </c>
      <c r="J125" t="n">
        <v>0</v>
      </c>
      <c r="K125" t="n">
        <v>1</v>
      </c>
      <c r="L125" t="n">
        <v>0</v>
      </c>
      <c r="M125" t="n">
        <v>0</v>
      </c>
      <c r="N125" t="n">
        <v>0</v>
      </c>
      <c r="O125" t="n">
        <v>1</v>
      </c>
      <c r="P125" t="n">
        <v>1</v>
      </c>
      <c r="Q125" t="n">
        <v>1</v>
      </c>
      <c r="R125" s="2" t="inlineStr">
        <is>
          <t>Doftticka</t>
        </is>
      </c>
      <c r="S125">
        <f>HYPERLINK("https://klasma.github.io/Logging_2380/artfynd/A 56201-2024 artfynd.xlsx", "A 56201-2024")</f>
        <v/>
      </c>
      <c r="T125">
        <f>HYPERLINK("https://klasma.github.io/Logging_2380/kartor/A 56201-2024 karta.png", "A 56201-2024")</f>
        <v/>
      </c>
      <c r="V125">
        <f>HYPERLINK("https://klasma.github.io/Logging_2380/klagomål/A 56201-2024 FSC-klagomål.docx", "A 56201-2024")</f>
        <v/>
      </c>
      <c r="W125">
        <f>HYPERLINK("https://klasma.github.io/Logging_2380/klagomålsmail/A 56201-2024 FSC-klagomål mail.docx", "A 56201-2024")</f>
        <v/>
      </c>
      <c r="X125">
        <f>HYPERLINK("https://klasma.github.io/Logging_2380/tillsyn/A 56201-2024 tillsynsbegäran.docx", "A 56201-2024")</f>
        <v/>
      </c>
      <c r="Y125">
        <f>HYPERLINK("https://klasma.github.io/Logging_2380/tillsynsmail/A 56201-2024 tillsynsbegäran mail.docx", "A 56201-2024")</f>
        <v/>
      </c>
    </row>
    <row r="126" ht="15" customHeight="1">
      <c r="A126" t="inlineStr">
        <is>
          <t>A 59108-2024</t>
        </is>
      </c>
      <c r="B126" s="1" t="n">
        <v>45637.34469907408</v>
      </c>
      <c r="C126" s="1" t="n">
        <v>45967</v>
      </c>
      <c r="D126" t="inlineStr">
        <is>
          <t>JÄMTLANDS LÄN</t>
        </is>
      </c>
      <c r="E126" t="inlineStr">
        <is>
          <t>ÖSTERSUND</t>
        </is>
      </c>
      <c r="F126" t="inlineStr">
        <is>
          <t>SCA</t>
        </is>
      </c>
      <c r="G126" t="n">
        <v>10.6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59108-2024 artfynd.xlsx", "A 59108-2024")</f>
        <v/>
      </c>
      <c r="T126">
        <f>HYPERLINK("https://klasma.github.io/Logging_2380/kartor/A 59108-2024 karta.png", "A 59108-2024")</f>
        <v/>
      </c>
      <c r="V126">
        <f>HYPERLINK("https://klasma.github.io/Logging_2380/klagomål/A 59108-2024 FSC-klagomål.docx", "A 59108-2024")</f>
        <v/>
      </c>
      <c r="W126">
        <f>HYPERLINK("https://klasma.github.io/Logging_2380/klagomålsmail/A 59108-2024 FSC-klagomål mail.docx", "A 59108-2024")</f>
        <v/>
      </c>
      <c r="X126">
        <f>HYPERLINK("https://klasma.github.io/Logging_2380/tillsyn/A 59108-2024 tillsynsbegäran.docx", "A 59108-2024")</f>
        <v/>
      </c>
      <c r="Y126">
        <f>HYPERLINK("https://klasma.github.io/Logging_2380/tillsynsmail/A 59108-2024 tillsynsbegäran mail.docx", "A 59108-2024")</f>
        <v/>
      </c>
      <c r="Z126">
        <f>HYPERLINK("https://klasma.github.io/Logging_2380/fåglar/A 59108-2024 prioriterade fågelarter.docx", "A 59108-2024")</f>
        <v/>
      </c>
    </row>
    <row r="127" ht="15" customHeight="1">
      <c r="A127" t="inlineStr">
        <is>
          <t>A 11513-2024</t>
        </is>
      </c>
      <c r="B127" s="1" t="n">
        <v>45372</v>
      </c>
      <c r="C127" s="1" t="n">
        <v>45967</v>
      </c>
      <c r="D127" t="inlineStr">
        <is>
          <t>JÄMTLANDS LÄN</t>
        </is>
      </c>
      <c r="E127" t="inlineStr">
        <is>
          <t>ÖSTERSUND</t>
        </is>
      </c>
      <c r="G127" t="n">
        <v>21.2</v>
      </c>
      <c r="H127" t="n">
        <v>0</v>
      </c>
      <c r="I127" t="n">
        <v>1</v>
      </c>
      <c r="J127" t="n">
        <v>0</v>
      </c>
      <c r="K127" t="n">
        <v>0</v>
      </c>
      <c r="L127" t="n">
        <v>0</v>
      </c>
      <c r="M127" t="n">
        <v>0</v>
      </c>
      <c r="N127" t="n">
        <v>0</v>
      </c>
      <c r="O127" t="n">
        <v>0</v>
      </c>
      <c r="P127" t="n">
        <v>0</v>
      </c>
      <c r="Q127" t="n">
        <v>1</v>
      </c>
      <c r="R127" s="2" t="inlineStr">
        <is>
          <t>Tibast</t>
        </is>
      </c>
      <c r="S127">
        <f>HYPERLINK("https://klasma.github.io/Logging_2380/artfynd/A 11513-2024 artfynd.xlsx", "A 11513-2024")</f>
        <v/>
      </c>
      <c r="T127">
        <f>HYPERLINK("https://klasma.github.io/Logging_2380/kartor/A 11513-2024 karta.png", "A 11513-2024")</f>
        <v/>
      </c>
      <c r="V127">
        <f>HYPERLINK("https://klasma.github.io/Logging_2380/klagomål/A 11513-2024 FSC-klagomål.docx", "A 11513-2024")</f>
        <v/>
      </c>
      <c r="W127">
        <f>HYPERLINK("https://klasma.github.io/Logging_2380/klagomålsmail/A 11513-2024 FSC-klagomål mail.docx", "A 11513-2024")</f>
        <v/>
      </c>
      <c r="X127">
        <f>HYPERLINK("https://klasma.github.io/Logging_2380/tillsyn/A 11513-2024 tillsynsbegäran.docx", "A 11513-2024")</f>
        <v/>
      </c>
      <c r="Y127">
        <f>HYPERLINK("https://klasma.github.io/Logging_2380/tillsynsmail/A 11513-2024 tillsynsbegäran mail.docx", "A 11513-2024")</f>
        <v/>
      </c>
    </row>
    <row r="128" ht="15" customHeight="1">
      <c r="A128" t="inlineStr">
        <is>
          <t>A 40781-2025</t>
        </is>
      </c>
      <c r="B128" s="1" t="n">
        <v>45897</v>
      </c>
      <c r="C128" s="1" t="n">
        <v>45967</v>
      </c>
      <c r="D128" t="inlineStr">
        <is>
          <t>JÄMTLANDS LÄN</t>
        </is>
      </c>
      <c r="E128" t="inlineStr">
        <is>
          <t>ÖSTERSUND</t>
        </is>
      </c>
      <c r="F128" t="inlineStr">
        <is>
          <t>Övriga Aktiebolag</t>
        </is>
      </c>
      <c r="G128" t="n">
        <v>2.2</v>
      </c>
      <c r="H128" t="n">
        <v>1</v>
      </c>
      <c r="I128" t="n">
        <v>0</v>
      </c>
      <c r="J128" t="n">
        <v>0</v>
      </c>
      <c r="K128" t="n">
        <v>0</v>
      </c>
      <c r="L128" t="n">
        <v>0</v>
      </c>
      <c r="M128" t="n">
        <v>0</v>
      </c>
      <c r="N128" t="n">
        <v>0</v>
      </c>
      <c r="O128" t="n">
        <v>0</v>
      </c>
      <c r="P128" t="n">
        <v>0</v>
      </c>
      <c r="Q128" t="n">
        <v>1</v>
      </c>
      <c r="R128" s="2" t="inlineStr">
        <is>
          <t>Blåsippa</t>
        </is>
      </c>
      <c r="S128">
        <f>HYPERLINK("https://klasma.github.io/Logging_2380/artfynd/A 40781-2025 artfynd.xlsx", "A 40781-2025")</f>
        <v/>
      </c>
      <c r="T128">
        <f>HYPERLINK("https://klasma.github.io/Logging_2380/kartor/A 40781-2025 karta.png", "A 40781-2025")</f>
        <v/>
      </c>
      <c r="V128">
        <f>HYPERLINK("https://klasma.github.io/Logging_2380/klagomål/A 40781-2025 FSC-klagomål.docx", "A 40781-2025")</f>
        <v/>
      </c>
      <c r="W128">
        <f>HYPERLINK("https://klasma.github.io/Logging_2380/klagomålsmail/A 40781-2025 FSC-klagomål mail.docx", "A 40781-2025")</f>
        <v/>
      </c>
      <c r="X128">
        <f>HYPERLINK("https://klasma.github.io/Logging_2380/tillsyn/A 40781-2025 tillsynsbegäran.docx", "A 40781-2025")</f>
        <v/>
      </c>
      <c r="Y128">
        <f>HYPERLINK("https://klasma.github.io/Logging_2380/tillsynsmail/A 40781-2025 tillsynsbegäran mail.docx", "A 40781-2025")</f>
        <v/>
      </c>
    </row>
    <row r="129" ht="15" customHeight="1">
      <c r="A129" t="inlineStr">
        <is>
          <t>A 41770-2024</t>
        </is>
      </c>
      <c r="B129" s="1" t="n">
        <v>45561.34641203703</v>
      </c>
      <c r="C129" s="1" t="n">
        <v>45967</v>
      </c>
      <c r="D129" t="inlineStr">
        <is>
          <t>JÄMTLANDS LÄN</t>
        </is>
      </c>
      <c r="E129" t="inlineStr">
        <is>
          <t>ÖSTERSUND</t>
        </is>
      </c>
      <c r="F129" t="inlineStr">
        <is>
          <t>SCA</t>
        </is>
      </c>
      <c r="G129" t="n">
        <v>4.4</v>
      </c>
      <c r="H129" t="n">
        <v>0</v>
      </c>
      <c r="I129" t="n">
        <v>1</v>
      </c>
      <c r="J129" t="n">
        <v>0</v>
      </c>
      <c r="K129" t="n">
        <v>0</v>
      </c>
      <c r="L129" t="n">
        <v>0</v>
      </c>
      <c r="M129" t="n">
        <v>0</v>
      </c>
      <c r="N129" t="n">
        <v>0</v>
      </c>
      <c r="O129" t="n">
        <v>0</v>
      </c>
      <c r="P129" t="n">
        <v>0</v>
      </c>
      <c r="Q129" t="n">
        <v>1</v>
      </c>
      <c r="R129" s="2" t="inlineStr">
        <is>
          <t>Vedticka</t>
        </is>
      </c>
      <c r="S129">
        <f>HYPERLINK("https://klasma.github.io/Logging_2380/artfynd/A 41770-2024 artfynd.xlsx", "A 41770-2024")</f>
        <v/>
      </c>
      <c r="T129">
        <f>HYPERLINK("https://klasma.github.io/Logging_2380/kartor/A 41770-2024 karta.png", "A 41770-2024")</f>
        <v/>
      </c>
      <c r="V129">
        <f>HYPERLINK("https://klasma.github.io/Logging_2380/klagomål/A 41770-2024 FSC-klagomål.docx", "A 41770-2024")</f>
        <v/>
      </c>
      <c r="W129">
        <f>HYPERLINK("https://klasma.github.io/Logging_2380/klagomålsmail/A 41770-2024 FSC-klagomål mail.docx", "A 41770-2024")</f>
        <v/>
      </c>
      <c r="X129">
        <f>HYPERLINK("https://klasma.github.io/Logging_2380/tillsyn/A 41770-2024 tillsynsbegäran.docx", "A 41770-2024")</f>
        <v/>
      </c>
      <c r="Y129">
        <f>HYPERLINK("https://klasma.github.io/Logging_2380/tillsynsmail/A 41770-2024 tillsynsbegäran mail.docx", "A 41770-2024")</f>
        <v/>
      </c>
    </row>
    <row r="130" ht="15" customHeight="1">
      <c r="A130" t="inlineStr">
        <is>
          <t>A 40694-2024</t>
        </is>
      </c>
      <c r="B130" s="1" t="n">
        <v>45558</v>
      </c>
      <c r="C130" s="1" t="n">
        <v>45967</v>
      </c>
      <c r="D130" t="inlineStr">
        <is>
          <t>JÄMTLANDS LÄN</t>
        </is>
      </c>
      <c r="E130" t="inlineStr">
        <is>
          <t>ÖSTERSUND</t>
        </is>
      </c>
      <c r="F130" t="inlineStr">
        <is>
          <t>SCA</t>
        </is>
      </c>
      <c r="G130" t="n">
        <v>6.2</v>
      </c>
      <c r="H130" t="n">
        <v>0</v>
      </c>
      <c r="I130" t="n">
        <v>0</v>
      </c>
      <c r="J130" t="n">
        <v>1</v>
      </c>
      <c r="K130" t="n">
        <v>0</v>
      </c>
      <c r="L130" t="n">
        <v>0</v>
      </c>
      <c r="M130" t="n">
        <v>0</v>
      </c>
      <c r="N130" t="n">
        <v>0</v>
      </c>
      <c r="O130" t="n">
        <v>1</v>
      </c>
      <c r="P130" t="n">
        <v>0</v>
      </c>
      <c r="Q130" t="n">
        <v>1</v>
      </c>
      <c r="R130" s="2" t="inlineStr">
        <is>
          <t>Reliktbock</t>
        </is>
      </c>
      <c r="S130">
        <f>HYPERLINK("https://klasma.github.io/Logging_2380/artfynd/A 40694-2024 artfynd.xlsx", "A 40694-2024")</f>
        <v/>
      </c>
      <c r="T130">
        <f>HYPERLINK("https://klasma.github.io/Logging_2380/kartor/A 40694-2024 karta.png", "A 40694-2024")</f>
        <v/>
      </c>
      <c r="V130">
        <f>HYPERLINK("https://klasma.github.io/Logging_2380/klagomål/A 40694-2024 FSC-klagomål.docx", "A 40694-2024")</f>
        <v/>
      </c>
      <c r="W130">
        <f>HYPERLINK("https://klasma.github.io/Logging_2380/klagomålsmail/A 40694-2024 FSC-klagomål mail.docx", "A 40694-2024")</f>
        <v/>
      </c>
      <c r="X130">
        <f>HYPERLINK("https://klasma.github.io/Logging_2380/tillsyn/A 40694-2024 tillsynsbegäran.docx", "A 40694-2024")</f>
        <v/>
      </c>
      <c r="Y130">
        <f>HYPERLINK("https://klasma.github.io/Logging_2380/tillsynsmail/A 40694-2024 tillsynsbegäran mail.docx", "A 40694-2024")</f>
        <v/>
      </c>
    </row>
    <row r="131" ht="15" customHeight="1">
      <c r="A131" t="inlineStr">
        <is>
          <t>A 46163-2021</t>
        </is>
      </c>
      <c r="B131" s="1" t="n">
        <v>44441</v>
      </c>
      <c r="C131" s="1" t="n">
        <v>45967</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43188-2025</t>
        </is>
      </c>
      <c r="B132" s="1" t="n">
        <v>45910.41201388889</v>
      </c>
      <c r="C132" s="1" t="n">
        <v>45967</v>
      </c>
      <c r="D132" t="inlineStr">
        <is>
          <t>JÄMTLANDS LÄN</t>
        </is>
      </c>
      <c r="E132" t="inlineStr">
        <is>
          <t>ÖSTERSUND</t>
        </is>
      </c>
      <c r="G132" t="n">
        <v>8.6</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43188-2025 artfynd.xlsx", "A 43188-2025")</f>
        <v/>
      </c>
      <c r="T132">
        <f>HYPERLINK("https://klasma.github.io/Logging_2380/kartor/A 43188-2025 karta.png", "A 43188-2025")</f>
        <v/>
      </c>
      <c r="V132">
        <f>HYPERLINK("https://klasma.github.io/Logging_2380/klagomål/A 43188-2025 FSC-klagomål.docx", "A 43188-2025")</f>
        <v/>
      </c>
      <c r="W132">
        <f>HYPERLINK("https://klasma.github.io/Logging_2380/klagomålsmail/A 43188-2025 FSC-klagomål mail.docx", "A 43188-2025")</f>
        <v/>
      </c>
      <c r="X132">
        <f>HYPERLINK("https://klasma.github.io/Logging_2380/tillsyn/A 43188-2025 tillsynsbegäran.docx", "A 43188-2025")</f>
        <v/>
      </c>
      <c r="Y132">
        <f>HYPERLINK("https://klasma.github.io/Logging_2380/tillsynsmail/A 43188-2025 tillsynsbegäran mail.docx", "A 43188-2025")</f>
        <v/>
      </c>
      <c r="Z132">
        <f>HYPERLINK("https://klasma.github.io/Logging_2380/fåglar/A 43188-2025 prioriterade fågelarter.docx", "A 43188-2025")</f>
        <v/>
      </c>
    </row>
    <row r="133" ht="15" customHeight="1">
      <c r="A133" t="inlineStr">
        <is>
          <t>A 33267-2022</t>
        </is>
      </c>
      <c r="B133" s="1" t="n">
        <v>44785</v>
      </c>
      <c r="C133" s="1" t="n">
        <v>45967</v>
      </c>
      <c r="D133" t="inlineStr">
        <is>
          <t>JÄMTLANDS LÄN</t>
        </is>
      </c>
      <c r="E133" t="inlineStr">
        <is>
          <t>ÖSTERSUND</t>
        </is>
      </c>
      <c r="G133" t="n">
        <v>0.9</v>
      </c>
      <c r="H133" t="n">
        <v>1</v>
      </c>
      <c r="I133" t="n">
        <v>0</v>
      </c>
      <c r="J133" t="n">
        <v>1</v>
      </c>
      <c r="K133" t="n">
        <v>0</v>
      </c>
      <c r="L133" t="n">
        <v>0</v>
      </c>
      <c r="M133" t="n">
        <v>0</v>
      </c>
      <c r="N133" t="n">
        <v>0</v>
      </c>
      <c r="O133" t="n">
        <v>1</v>
      </c>
      <c r="P133" t="n">
        <v>0</v>
      </c>
      <c r="Q133" t="n">
        <v>1</v>
      </c>
      <c r="R133" s="2" t="inlineStr">
        <is>
          <t>Talltita</t>
        </is>
      </c>
      <c r="S133">
        <f>HYPERLINK("https://klasma.github.io/Logging_2380/artfynd/A 33267-2022 artfynd.xlsx", "A 33267-2022")</f>
        <v/>
      </c>
      <c r="T133">
        <f>HYPERLINK("https://klasma.github.io/Logging_2380/kartor/A 33267-2022 karta.png", "A 33267-2022")</f>
        <v/>
      </c>
      <c r="V133">
        <f>HYPERLINK("https://klasma.github.io/Logging_2380/klagomål/A 33267-2022 FSC-klagomål.docx", "A 33267-2022")</f>
        <v/>
      </c>
      <c r="W133">
        <f>HYPERLINK("https://klasma.github.io/Logging_2380/klagomålsmail/A 33267-2022 FSC-klagomål mail.docx", "A 33267-2022")</f>
        <v/>
      </c>
      <c r="X133">
        <f>HYPERLINK("https://klasma.github.io/Logging_2380/tillsyn/A 33267-2022 tillsynsbegäran.docx", "A 33267-2022")</f>
        <v/>
      </c>
      <c r="Y133">
        <f>HYPERLINK("https://klasma.github.io/Logging_2380/tillsynsmail/A 33267-2022 tillsynsbegäran mail.docx", "A 33267-2022")</f>
        <v/>
      </c>
      <c r="Z133">
        <f>HYPERLINK("https://klasma.github.io/Logging_2380/fåglar/A 33267-2022 prioriterade fågelarter.docx", "A 33267-2022")</f>
        <v/>
      </c>
    </row>
    <row r="134" ht="15" customHeight="1">
      <c r="A134" t="inlineStr">
        <is>
          <t>A 64380-2023</t>
        </is>
      </c>
      <c r="B134" s="1" t="n">
        <v>45280.56451388889</v>
      </c>
      <c r="C134" s="1" t="n">
        <v>45967</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40696-2024</t>
        </is>
      </c>
      <c r="B135" s="1" t="n">
        <v>45558</v>
      </c>
      <c r="C135" s="1" t="n">
        <v>45967</v>
      </c>
      <c r="D135" t="inlineStr">
        <is>
          <t>JÄMTLANDS LÄN</t>
        </is>
      </c>
      <c r="E135" t="inlineStr">
        <is>
          <t>ÖSTERSUND</t>
        </is>
      </c>
      <c r="F135" t="inlineStr">
        <is>
          <t>SCA</t>
        </is>
      </c>
      <c r="G135" t="n">
        <v>2.7</v>
      </c>
      <c r="H135" t="n">
        <v>0</v>
      </c>
      <c r="I135" t="n">
        <v>0</v>
      </c>
      <c r="J135" t="n">
        <v>1</v>
      </c>
      <c r="K135" t="n">
        <v>0</v>
      </c>
      <c r="L135" t="n">
        <v>0</v>
      </c>
      <c r="M135" t="n">
        <v>0</v>
      </c>
      <c r="N135" t="n">
        <v>0</v>
      </c>
      <c r="O135" t="n">
        <v>1</v>
      </c>
      <c r="P135" t="n">
        <v>0</v>
      </c>
      <c r="Q135" t="n">
        <v>1</v>
      </c>
      <c r="R135" s="2" t="inlineStr">
        <is>
          <t>Lunglav</t>
        </is>
      </c>
      <c r="S135">
        <f>HYPERLINK("https://klasma.github.io/Logging_2380/artfynd/A 40696-2024 artfynd.xlsx", "A 40696-2024")</f>
        <v/>
      </c>
      <c r="T135">
        <f>HYPERLINK("https://klasma.github.io/Logging_2380/kartor/A 40696-2024 karta.png", "A 40696-2024")</f>
        <v/>
      </c>
      <c r="V135">
        <f>HYPERLINK("https://klasma.github.io/Logging_2380/klagomål/A 40696-2024 FSC-klagomål.docx", "A 40696-2024")</f>
        <v/>
      </c>
      <c r="W135">
        <f>HYPERLINK("https://klasma.github.io/Logging_2380/klagomålsmail/A 40696-2024 FSC-klagomål mail.docx", "A 40696-2024")</f>
        <v/>
      </c>
      <c r="X135">
        <f>HYPERLINK("https://klasma.github.io/Logging_2380/tillsyn/A 40696-2024 tillsynsbegäran.docx", "A 40696-2024")</f>
        <v/>
      </c>
      <c r="Y135">
        <f>HYPERLINK("https://klasma.github.io/Logging_2380/tillsynsmail/A 40696-2024 tillsynsbegäran mail.docx", "A 40696-2024")</f>
        <v/>
      </c>
    </row>
    <row r="136" ht="15" customHeight="1">
      <c r="A136" t="inlineStr">
        <is>
          <t>A 59433-2021</t>
        </is>
      </c>
      <c r="B136" s="1" t="n">
        <v>44491</v>
      </c>
      <c r="C136" s="1" t="n">
        <v>45967</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53300-2025</t>
        </is>
      </c>
      <c r="B137" s="1" t="n">
        <v>45959.32394675926</v>
      </c>
      <c r="C137" s="1" t="n">
        <v>45967</v>
      </c>
      <c r="D137" t="inlineStr">
        <is>
          <t>JÄMTLANDS LÄN</t>
        </is>
      </c>
      <c r="E137" t="inlineStr">
        <is>
          <t>ÖSTERSUND</t>
        </is>
      </c>
      <c r="F137" t="inlineStr">
        <is>
          <t>Sveaskog</t>
        </is>
      </c>
      <c r="G137" t="n">
        <v>12.2</v>
      </c>
      <c r="H137" t="n">
        <v>0</v>
      </c>
      <c r="I137" t="n">
        <v>1</v>
      </c>
      <c r="J137" t="n">
        <v>0</v>
      </c>
      <c r="K137" t="n">
        <v>0</v>
      </c>
      <c r="L137" t="n">
        <v>0</v>
      </c>
      <c r="M137" t="n">
        <v>0</v>
      </c>
      <c r="N137" t="n">
        <v>0</v>
      </c>
      <c r="O137" t="n">
        <v>0</v>
      </c>
      <c r="P137" t="n">
        <v>0</v>
      </c>
      <c r="Q137" t="n">
        <v>1</v>
      </c>
      <c r="R137" s="2" t="inlineStr">
        <is>
          <t>Rödgul trumpetsvamp</t>
        </is>
      </c>
      <c r="S137">
        <f>HYPERLINK("https://klasma.github.io/Logging_2380/artfynd/A 53300-2025 artfynd.xlsx", "A 53300-2025")</f>
        <v/>
      </c>
      <c r="T137">
        <f>HYPERLINK("https://klasma.github.io/Logging_2380/kartor/A 53300-2025 karta.png", "A 53300-2025")</f>
        <v/>
      </c>
      <c r="V137">
        <f>HYPERLINK("https://klasma.github.io/Logging_2380/klagomål/A 53300-2025 FSC-klagomål.docx", "A 53300-2025")</f>
        <v/>
      </c>
      <c r="W137">
        <f>HYPERLINK("https://klasma.github.io/Logging_2380/klagomålsmail/A 53300-2025 FSC-klagomål mail.docx", "A 53300-2025")</f>
        <v/>
      </c>
      <c r="X137">
        <f>HYPERLINK("https://klasma.github.io/Logging_2380/tillsyn/A 53300-2025 tillsynsbegäran.docx", "A 53300-2025")</f>
        <v/>
      </c>
      <c r="Y137">
        <f>HYPERLINK("https://klasma.github.io/Logging_2380/tillsynsmail/A 53300-2025 tillsynsbegäran mail.docx", "A 53300-2025")</f>
        <v/>
      </c>
    </row>
    <row r="138" ht="15" customHeight="1">
      <c r="A138" t="inlineStr">
        <is>
          <t>A 55-2023</t>
        </is>
      </c>
      <c r="B138" s="1" t="n">
        <v>44928</v>
      </c>
      <c r="C138" s="1" t="n">
        <v>45967</v>
      </c>
      <c r="D138" t="inlineStr">
        <is>
          <t>JÄMTLANDS LÄN</t>
        </is>
      </c>
      <c r="E138" t="inlineStr">
        <is>
          <t>ÖSTERSUND</t>
        </is>
      </c>
      <c r="G138" t="n">
        <v>4</v>
      </c>
      <c r="H138" t="n">
        <v>1</v>
      </c>
      <c r="I138" t="n">
        <v>0</v>
      </c>
      <c r="J138" t="n">
        <v>0</v>
      </c>
      <c r="K138" t="n">
        <v>1</v>
      </c>
      <c r="L138" t="n">
        <v>0</v>
      </c>
      <c r="M138" t="n">
        <v>0</v>
      </c>
      <c r="N138" t="n">
        <v>0</v>
      </c>
      <c r="O138" t="n">
        <v>1</v>
      </c>
      <c r="P138" t="n">
        <v>1</v>
      </c>
      <c r="Q138" t="n">
        <v>1</v>
      </c>
      <c r="R138" s="2" t="inlineStr">
        <is>
          <t>Knärot</t>
        </is>
      </c>
      <c r="S138">
        <f>HYPERLINK("https://klasma.github.io/Logging_2380/artfynd/A 55-2023 artfynd.xlsx", "A 55-2023")</f>
        <v/>
      </c>
      <c r="T138">
        <f>HYPERLINK("https://klasma.github.io/Logging_2380/kartor/A 55-2023 karta.png", "A 55-2023")</f>
        <v/>
      </c>
      <c r="U138">
        <f>HYPERLINK("https://klasma.github.io/Logging_2380/knärot/A 55-2023 karta knärot.png", "A 55-2023")</f>
        <v/>
      </c>
      <c r="V138">
        <f>HYPERLINK("https://klasma.github.io/Logging_2380/klagomål/A 55-2023 FSC-klagomål.docx", "A 55-2023")</f>
        <v/>
      </c>
      <c r="W138">
        <f>HYPERLINK("https://klasma.github.io/Logging_2380/klagomålsmail/A 55-2023 FSC-klagomål mail.docx", "A 55-2023")</f>
        <v/>
      </c>
      <c r="X138">
        <f>HYPERLINK("https://klasma.github.io/Logging_2380/tillsyn/A 55-2023 tillsynsbegäran.docx", "A 55-2023")</f>
        <v/>
      </c>
      <c r="Y138">
        <f>HYPERLINK("https://klasma.github.io/Logging_2380/tillsynsmail/A 55-2023 tillsynsbegäran mail.docx", "A 55-2023")</f>
        <v/>
      </c>
    </row>
    <row r="139" ht="15" customHeight="1">
      <c r="A139" t="inlineStr">
        <is>
          <t>A 17217-2021</t>
        </is>
      </c>
      <c r="B139" s="1" t="n">
        <v>44298</v>
      </c>
      <c r="C139" s="1" t="n">
        <v>45967</v>
      </c>
      <c r="D139" t="inlineStr">
        <is>
          <t>JÄMTLANDS LÄN</t>
        </is>
      </c>
      <c r="E139" t="inlineStr">
        <is>
          <t>ÖSTERSUND</t>
        </is>
      </c>
      <c r="G139" t="n">
        <v>10.4</v>
      </c>
      <c r="H139" t="n">
        <v>0</v>
      </c>
      <c r="I139" t="n">
        <v>0</v>
      </c>
      <c r="J139" t="n">
        <v>1</v>
      </c>
      <c r="K139" t="n">
        <v>0</v>
      </c>
      <c r="L139" t="n">
        <v>0</v>
      </c>
      <c r="M139" t="n">
        <v>0</v>
      </c>
      <c r="N139" t="n">
        <v>0</v>
      </c>
      <c r="O139" t="n">
        <v>1</v>
      </c>
      <c r="P139" t="n">
        <v>0</v>
      </c>
      <c r="Q139" t="n">
        <v>1</v>
      </c>
      <c r="R139" s="2" t="inlineStr">
        <is>
          <t>Rödbrun klubbdyna</t>
        </is>
      </c>
      <c r="S139">
        <f>HYPERLINK("https://klasma.github.io/Logging_2380/artfynd/A 17217-2021 artfynd.xlsx", "A 17217-2021")</f>
        <v/>
      </c>
      <c r="T139">
        <f>HYPERLINK("https://klasma.github.io/Logging_2380/kartor/A 17217-2021 karta.png", "A 17217-2021")</f>
        <v/>
      </c>
      <c r="V139">
        <f>HYPERLINK("https://klasma.github.io/Logging_2380/klagomål/A 17217-2021 FSC-klagomål.docx", "A 17217-2021")</f>
        <v/>
      </c>
      <c r="W139">
        <f>HYPERLINK("https://klasma.github.io/Logging_2380/klagomålsmail/A 17217-2021 FSC-klagomål mail.docx", "A 17217-2021")</f>
        <v/>
      </c>
      <c r="X139">
        <f>HYPERLINK("https://klasma.github.io/Logging_2380/tillsyn/A 17217-2021 tillsynsbegäran.docx", "A 17217-2021")</f>
        <v/>
      </c>
      <c r="Y139">
        <f>HYPERLINK("https://klasma.github.io/Logging_2380/tillsynsmail/A 17217-2021 tillsynsbegäran mail.docx", "A 17217-2021")</f>
        <v/>
      </c>
    </row>
    <row r="140" ht="15" customHeight="1">
      <c r="A140" t="inlineStr">
        <is>
          <t>A 33550-2025</t>
        </is>
      </c>
      <c r="B140" s="1" t="n">
        <v>45841.57331018519</v>
      </c>
      <c r="C140" s="1" t="n">
        <v>45967</v>
      </c>
      <c r="D140" t="inlineStr">
        <is>
          <t>JÄMTLANDS LÄN</t>
        </is>
      </c>
      <c r="E140" t="inlineStr">
        <is>
          <t>ÖSTERSUND</t>
        </is>
      </c>
      <c r="F140" t="inlineStr">
        <is>
          <t>SCA</t>
        </is>
      </c>
      <c r="G140" t="n">
        <v>7.3</v>
      </c>
      <c r="H140" t="n">
        <v>0</v>
      </c>
      <c r="I140" t="n">
        <v>1</v>
      </c>
      <c r="J140" t="n">
        <v>0</v>
      </c>
      <c r="K140" t="n">
        <v>0</v>
      </c>
      <c r="L140" t="n">
        <v>0</v>
      </c>
      <c r="M140" t="n">
        <v>0</v>
      </c>
      <c r="N140" t="n">
        <v>0</v>
      </c>
      <c r="O140" t="n">
        <v>0</v>
      </c>
      <c r="P140" t="n">
        <v>0</v>
      </c>
      <c r="Q140" t="n">
        <v>1</v>
      </c>
      <c r="R140" s="2" t="inlineStr">
        <is>
          <t>Dropptaggsvamp</t>
        </is>
      </c>
      <c r="S140">
        <f>HYPERLINK("https://klasma.github.io/Logging_2380/artfynd/A 33550-2025 artfynd.xlsx", "A 33550-2025")</f>
        <v/>
      </c>
      <c r="T140">
        <f>HYPERLINK("https://klasma.github.io/Logging_2380/kartor/A 33550-2025 karta.png", "A 33550-2025")</f>
        <v/>
      </c>
      <c r="V140">
        <f>HYPERLINK("https://klasma.github.io/Logging_2380/klagomål/A 33550-2025 FSC-klagomål.docx", "A 33550-2025")</f>
        <v/>
      </c>
      <c r="W140">
        <f>HYPERLINK("https://klasma.github.io/Logging_2380/klagomålsmail/A 33550-2025 FSC-klagomål mail.docx", "A 33550-2025")</f>
        <v/>
      </c>
      <c r="X140">
        <f>HYPERLINK("https://klasma.github.io/Logging_2380/tillsyn/A 33550-2025 tillsynsbegäran.docx", "A 33550-2025")</f>
        <v/>
      </c>
      <c r="Y140">
        <f>HYPERLINK("https://klasma.github.io/Logging_2380/tillsynsmail/A 33550-2025 tillsynsbegäran mail.docx", "A 33550-2025")</f>
        <v/>
      </c>
    </row>
    <row r="141" ht="15" customHeight="1">
      <c r="A141" t="inlineStr">
        <is>
          <t>A 36225-2025</t>
        </is>
      </c>
      <c r="B141" s="1" t="n">
        <v>45867.51128472222</v>
      </c>
      <c r="C141" s="1" t="n">
        <v>45967</v>
      </c>
      <c r="D141" t="inlineStr">
        <is>
          <t>JÄMTLANDS LÄN</t>
        </is>
      </c>
      <c r="E141" t="inlineStr">
        <is>
          <t>ÖSTERSUND</t>
        </is>
      </c>
      <c r="F141" t="inlineStr">
        <is>
          <t>SCA</t>
        </is>
      </c>
      <c r="G141" t="n">
        <v>1.8</v>
      </c>
      <c r="H141" t="n">
        <v>0</v>
      </c>
      <c r="I141" t="n">
        <v>0</v>
      </c>
      <c r="J141" t="n">
        <v>1</v>
      </c>
      <c r="K141" t="n">
        <v>0</v>
      </c>
      <c r="L141" t="n">
        <v>0</v>
      </c>
      <c r="M141" t="n">
        <v>0</v>
      </c>
      <c r="N141" t="n">
        <v>0</v>
      </c>
      <c r="O141" t="n">
        <v>1</v>
      </c>
      <c r="P141" t="n">
        <v>0</v>
      </c>
      <c r="Q141" t="n">
        <v>1</v>
      </c>
      <c r="R141" s="2" t="inlineStr">
        <is>
          <t>Kolflarnlav</t>
        </is>
      </c>
      <c r="S141">
        <f>HYPERLINK("https://klasma.github.io/Logging_2380/artfynd/A 36225-2025 artfynd.xlsx", "A 36225-2025")</f>
        <v/>
      </c>
      <c r="T141">
        <f>HYPERLINK("https://klasma.github.io/Logging_2380/kartor/A 36225-2025 karta.png", "A 36225-2025")</f>
        <v/>
      </c>
      <c r="V141">
        <f>HYPERLINK("https://klasma.github.io/Logging_2380/klagomål/A 36225-2025 FSC-klagomål.docx", "A 36225-2025")</f>
        <v/>
      </c>
      <c r="W141">
        <f>HYPERLINK("https://klasma.github.io/Logging_2380/klagomålsmail/A 36225-2025 FSC-klagomål mail.docx", "A 36225-2025")</f>
        <v/>
      </c>
      <c r="X141">
        <f>HYPERLINK("https://klasma.github.io/Logging_2380/tillsyn/A 36225-2025 tillsynsbegäran.docx", "A 36225-2025")</f>
        <v/>
      </c>
      <c r="Y141">
        <f>HYPERLINK("https://klasma.github.io/Logging_2380/tillsynsmail/A 36225-2025 tillsynsbegäran mail.docx", "A 36225-2025")</f>
        <v/>
      </c>
    </row>
    <row r="142" ht="15" customHeight="1">
      <c r="A142" t="inlineStr">
        <is>
          <t>A 24368-2025</t>
        </is>
      </c>
      <c r="B142" s="1" t="n">
        <v>45797.60623842593</v>
      </c>
      <c r="C142" s="1" t="n">
        <v>45967</v>
      </c>
      <c r="D142" t="inlineStr">
        <is>
          <t>JÄMTLANDS LÄN</t>
        </is>
      </c>
      <c r="E142" t="inlineStr">
        <is>
          <t>ÖSTERSUND</t>
        </is>
      </c>
      <c r="G142" t="n">
        <v>2.9</v>
      </c>
      <c r="H142" t="n">
        <v>0</v>
      </c>
      <c r="I142" t="n">
        <v>0</v>
      </c>
      <c r="J142" t="n">
        <v>0</v>
      </c>
      <c r="K142" t="n">
        <v>1</v>
      </c>
      <c r="L142" t="n">
        <v>0</v>
      </c>
      <c r="M142" t="n">
        <v>0</v>
      </c>
      <c r="N142" t="n">
        <v>0</v>
      </c>
      <c r="O142" t="n">
        <v>1</v>
      </c>
      <c r="P142" t="n">
        <v>1</v>
      </c>
      <c r="Q142" t="n">
        <v>1</v>
      </c>
      <c r="R142" s="2" t="inlineStr">
        <is>
          <t>Fjällfotad fingersvamp</t>
        </is>
      </c>
      <c r="S142">
        <f>HYPERLINK("https://klasma.github.io/Logging_2380/artfynd/A 24368-2025 artfynd.xlsx", "A 24368-2025")</f>
        <v/>
      </c>
      <c r="T142">
        <f>HYPERLINK("https://klasma.github.io/Logging_2380/kartor/A 24368-2025 karta.png", "A 24368-2025")</f>
        <v/>
      </c>
      <c r="V142">
        <f>HYPERLINK("https://klasma.github.io/Logging_2380/klagomål/A 24368-2025 FSC-klagomål.docx", "A 24368-2025")</f>
        <v/>
      </c>
      <c r="W142">
        <f>HYPERLINK("https://klasma.github.io/Logging_2380/klagomålsmail/A 24368-2025 FSC-klagomål mail.docx", "A 24368-2025")</f>
        <v/>
      </c>
      <c r="X142">
        <f>HYPERLINK("https://klasma.github.io/Logging_2380/tillsyn/A 24368-2025 tillsynsbegäran.docx", "A 24368-2025")</f>
        <v/>
      </c>
      <c r="Y142">
        <f>HYPERLINK("https://klasma.github.io/Logging_2380/tillsynsmail/A 24368-2025 tillsynsbegäran mail.docx", "A 24368-2025")</f>
        <v/>
      </c>
    </row>
    <row r="143" ht="15" customHeight="1">
      <c r="A143" t="inlineStr">
        <is>
          <t>A 20620-2021</t>
        </is>
      </c>
      <c r="B143" s="1" t="n">
        <v>44316</v>
      </c>
      <c r="C143" s="1" t="n">
        <v>45967</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66288-2020</t>
        </is>
      </c>
      <c r="B144" s="1" t="n">
        <v>44174</v>
      </c>
      <c r="C144" s="1" t="n">
        <v>45967</v>
      </c>
      <c r="D144" t="inlineStr">
        <is>
          <t>JÄMTLANDS LÄN</t>
        </is>
      </c>
      <c r="E144" t="inlineStr">
        <is>
          <t>ÖSTERSUND</t>
        </is>
      </c>
      <c r="F144" t="inlineStr">
        <is>
          <t>Övriga statliga verk och myndigheter</t>
        </is>
      </c>
      <c r="G144" t="n">
        <v>1.2</v>
      </c>
      <c r="H144" t="n">
        <v>0</v>
      </c>
      <c r="I144" t="n">
        <v>0</v>
      </c>
      <c r="J144" t="n">
        <v>0</v>
      </c>
      <c r="K144" t="n">
        <v>0</v>
      </c>
      <c r="L144" t="n">
        <v>0</v>
      </c>
      <c r="M144" t="n">
        <v>0</v>
      </c>
      <c r="N144" t="n">
        <v>0</v>
      </c>
      <c r="O144" t="n">
        <v>0</v>
      </c>
      <c r="P144" t="n">
        <v>0</v>
      </c>
      <c r="Q144" t="n">
        <v>0</v>
      </c>
      <c r="R144" s="2" t="inlineStr"/>
    </row>
    <row r="145" ht="15" customHeight="1">
      <c r="A145" t="inlineStr">
        <is>
          <t>A 43310-2021</t>
        </is>
      </c>
      <c r="B145" s="1" t="n">
        <v>44432</v>
      </c>
      <c r="C145" s="1" t="n">
        <v>45967</v>
      </c>
      <c r="D145" t="inlineStr">
        <is>
          <t>JÄMTLANDS LÄN</t>
        </is>
      </c>
      <c r="E145" t="inlineStr">
        <is>
          <t>ÖSTERSUND</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501-2021</t>
        </is>
      </c>
      <c r="B146" s="1" t="n">
        <v>44200</v>
      </c>
      <c r="C146" s="1" t="n">
        <v>45967</v>
      </c>
      <c r="D146" t="inlineStr">
        <is>
          <t>JÄMTLANDS LÄN</t>
        </is>
      </c>
      <c r="E146" t="inlineStr">
        <is>
          <t>ÖSTERSUND</t>
        </is>
      </c>
      <c r="G146" t="n">
        <v>0.5</v>
      </c>
      <c r="H146" t="n">
        <v>0</v>
      </c>
      <c r="I146" t="n">
        <v>0</v>
      </c>
      <c r="J146" t="n">
        <v>0</v>
      </c>
      <c r="K146" t="n">
        <v>0</v>
      </c>
      <c r="L146" t="n">
        <v>0</v>
      </c>
      <c r="M146" t="n">
        <v>0</v>
      </c>
      <c r="N146" t="n">
        <v>0</v>
      </c>
      <c r="O146" t="n">
        <v>0</v>
      </c>
      <c r="P146" t="n">
        <v>0</v>
      </c>
      <c r="Q146" t="n">
        <v>0</v>
      </c>
      <c r="R146" s="2" t="inlineStr"/>
    </row>
    <row r="147" ht="15" customHeight="1">
      <c r="A147" t="inlineStr">
        <is>
          <t>A 23187-2021</t>
        </is>
      </c>
      <c r="B147" s="1" t="n">
        <v>44328</v>
      </c>
      <c r="C147" s="1" t="n">
        <v>45967</v>
      </c>
      <c r="D147" t="inlineStr">
        <is>
          <t>JÄMTLANDS LÄN</t>
        </is>
      </c>
      <c r="E147" t="inlineStr">
        <is>
          <t>ÖSTERSUND</t>
        </is>
      </c>
      <c r="G147" t="n">
        <v>1.8</v>
      </c>
      <c r="H147" t="n">
        <v>0</v>
      </c>
      <c r="I147" t="n">
        <v>0</v>
      </c>
      <c r="J147" t="n">
        <v>0</v>
      </c>
      <c r="K147" t="n">
        <v>0</v>
      </c>
      <c r="L147" t="n">
        <v>0</v>
      </c>
      <c r="M147" t="n">
        <v>0</v>
      </c>
      <c r="N147" t="n">
        <v>0</v>
      </c>
      <c r="O147" t="n">
        <v>0</v>
      </c>
      <c r="P147" t="n">
        <v>0</v>
      </c>
      <c r="Q147" t="n">
        <v>0</v>
      </c>
      <c r="R147" s="2" t="inlineStr"/>
    </row>
    <row r="148" ht="15" customHeight="1">
      <c r="A148" t="inlineStr">
        <is>
          <t>A 53453-2022</t>
        </is>
      </c>
      <c r="B148" s="1" t="n">
        <v>44879.49488425926</v>
      </c>
      <c r="C148" s="1" t="n">
        <v>45967</v>
      </c>
      <c r="D148" t="inlineStr">
        <is>
          <t>JÄMTLANDS LÄN</t>
        </is>
      </c>
      <c r="E148" t="inlineStr">
        <is>
          <t>ÖSTERSUND</t>
        </is>
      </c>
      <c r="G148" t="n">
        <v>22.2</v>
      </c>
      <c r="H148" t="n">
        <v>0</v>
      </c>
      <c r="I148" t="n">
        <v>0</v>
      </c>
      <c r="J148" t="n">
        <v>0</v>
      </c>
      <c r="K148" t="n">
        <v>0</v>
      </c>
      <c r="L148" t="n">
        <v>0</v>
      </c>
      <c r="M148" t="n">
        <v>0</v>
      </c>
      <c r="N148" t="n">
        <v>0</v>
      </c>
      <c r="O148" t="n">
        <v>0</v>
      </c>
      <c r="P148" t="n">
        <v>0</v>
      </c>
      <c r="Q148" t="n">
        <v>0</v>
      </c>
      <c r="R148" s="2" t="inlineStr"/>
    </row>
    <row r="149" ht="15" customHeight="1">
      <c r="A149" t="inlineStr">
        <is>
          <t>A 8396-2021</t>
        </is>
      </c>
      <c r="B149" s="1" t="n">
        <v>44238</v>
      </c>
      <c r="C149" s="1" t="n">
        <v>45967</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64092-2021</t>
        </is>
      </c>
      <c r="B150" s="1" t="n">
        <v>44510.44064814815</v>
      </c>
      <c r="C150" s="1" t="n">
        <v>45967</v>
      </c>
      <c r="D150" t="inlineStr">
        <is>
          <t>JÄMTLANDS LÄN</t>
        </is>
      </c>
      <c r="E150" t="inlineStr">
        <is>
          <t>ÖSTERSUND</t>
        </is>
      </c>
      <c r="G150" t="n">
        <v>5.6</v>
      </c>
      <c r="H150" t="n">
        <v>0</v>
      </c>
      <c r="I150" t="n">
        <v>0</v>
      </c>
      <c r="J150" t="n">
        <v>0</v>
      </c>
      <c r="K150" t="n">
        <v>0</v>
      </c>
      <c r="L150" t="n">
        <v>0</v>
      </c>
      <c r="M150" t="n">
        <v>0</v>
      </c>
      <c r="N150" t="n">
        <v>0</v>
      </c>
      <c r="O150" t="n">
        <v>0</v>
      </c>
      <c r="P150" t="n">
        <v>0</v>
      </c>
      <c r="Q150" t="n">
        <v>0</v>
      </c>
      <c r="R150" s="2" t="inlineStr"/>
    </row>
    <row r="151" ht="15" customHeight="1">
      <c r="A151" t="inlineStr">
        <is>
          <t>A 40038-2021</t>
        </is>
      </c>
      <c r="B151" s="1" t="n">
        <v>44418.45925925926</v>
      </c>
      <c r="C151" s="1" t="n">
        <v>45967</v>
      </c>
      <c r="D151" t="inlineStr">
        <is>
          <t>JÄMTLANDS LÄN</t>
        </is>
      </c>
      <c r="E151" t="inlineStr">
        <is>
          <t>ÖSTERSUND</t>
        </is>
      </c>
      <c r="G151" t="n">
        <v>7</v>
      </c>
      <c r="H151" t="n">
        <v>0</v>
      </c>
      <c r="I151" t="n">
        <v>0</v>
      </c>
      <c r="J151" t="n">
        <v>0</v>
      </c>
      <c r="K151" t="n">
        <v>0</v>
      </c>
      <c r="L151" t="n">
        <v>0</v>
      </c>
      <c r="M151" t="n">
        <v>0</v>
      </c>
      <c r="N151" t="n">
        <v>0</v>
      </c>
      <c r="O151" t="n">
        <v>0</v>
      </c>
      <c r="P151" t="n">
        <v>0</v>
      </c>
      <c r="Q151" t="n">
        <v>0</v>
      </c>
      <c r="R151" s="2" t="inlineStr"/>
    </row>
    <row r="152" ht="15" customHeight="1">
      <c r="A152" t="inlineStr">
        <is>
          <t>A 67695-2021</t>
        </is>
      </c>
      <c r="B152" s="1" t="n">
        <v>44524.94607638889</v>
      </c>
      <c r="C152" s="1" t="n">
        <v>45967</v>
      </c>
      <c r="D152" t="inlineStr">
        <is>
          <t>JÄMTLANDS LÄN</t>
        </is>
      </c>
      <c r="E152" t="inlineStr">
        <is>
          <t>ÖSTERSUND</t>
        </is>
      </c>
      <c r="F152" t="inlineStr">
        <is>
          <t>SCA</t>
        </is>
      </c>
      <c r="G152" t="n">
        <v>2.2</v>
      </c>
      <c r="H152" t="n">
        <v>0</v>
      </c>
      <c r="I152" t="n">
        <v>0</v>
      </c>
      <c r="J152" t="n">
        <v>0</v>
      </c>
      <c r="K152" t="n">
        <v>0</v>
      </c>
      <c r="L152" t="n">
        <v>0</v>
      </c>
      <c r="M152" t="n">
        <v>0</v>
      </c>
      <c r="N152" t="n">
        <v>0</v>
      </c>
      <c r="O152" t="n">
        <v>0</v>
      </c>
      <c r="P152" t="n">
        <v>0</v>
      </c>
      <c r="Q152" t="n">
        <v>0</v>
      </c>
      <c r="R152" s="2" t="inlineStr"/>
    </row>
    <row r="153" ht="15" customHeight="1">
      <c r="A153" t="inlineStr">
        <is>
          <t>A 32986-2021</t>
        </is>
      </c>
      <c r="B153" s="1" t="n">
        <v>44375</v>
      </c>
      <c r="C153" s="1" t="n">
        <v>45967</v>
      </c>
      <c r="D153" t="inlineStr">
        <is>
          <t>JÄMTLANDS LÄN</t>
        </is>
      </c>
      <c r="E153" t="inlineStr">
        <is>
          <t>ÖSTERSUND</t>
        </is>
      </c>
      <c r="G153" t="n">
        <v>0.5</v>
      </c>
      <c r="H153" t="n">
        <v>0</v>
      </c>
      <c r="I153" t="n">
        <v>0</v>
      </c>
      <c r="J153" t="n">
        <v>0</v>
      </c>
      <c r="K153" t="n">
        <v>0</v>
      </c>
      <c r="L153" t="n">
        <v>0</v>
      </c>
      <c r="M153" t="n">
        <v>0</v>
      </c>
      <c r="N153" t="n">
        <v>0</v>
      </c>
      <c r="O153" t="n">
        <v>0</v>
      </c>
      <c r="P153" t="n">
        <v>0</v>
      </c>
      <c r="Q153" t="n">
        <v>0</v>
      </c>
      <c r="R153" s="2" t="inlineStr"/>
    </row>
    <row r="154" ht="15" customHeight="1">
      <c r="A154" t="inlineStr">
        <is>
          <t>A 29707-2021</t>
        </is>
      </c>
      <c r="B154" s="1" t="n">
        <v>44362</v>
      </c>
      <c r="C154" s="1" t="n">
        <v>45967</v>
      </c>
      <c r="D154" t="inlineStr">
        <is>
          <t>JÄMTLANDS LÄN</t>
        </is>
      </c>
      <c r="E154" t="inlineStr">
        <is>
          <t>ÖSTERSUND</t>
        </is>
      </c>
      <c r="G154" t="n">
        <v>4</v>
      </c>
      <c r="H154" t="n">
        <v>0</v>
      </c>
      <c r="I154" t="n">
        <v>0</v>
      </c>
      <c r="J154" t="n">
        <v>0</v>
      </c>
      <c r="K154" t="n">
        <v>0</v>
      </c>
      <c r="L154" t="n">
        <v>0</v>
      </c>
      <c r="M154" t="n">
        <v>0</v>
      </c>
      <c r="N154" t="n">
        <v>0</v>
      </c>
      <c r="O154" t="n">
        <v>0</v>
      </c>
      <c r="P154" t="n">
        <v>0</v>
      </c>
      <c r="Q154" t="n">
        <v>0</v>
      </c>
      <c r="R154" s="2" t="inlineStr"/>
    </row>
    <row r="155" ht="15" customHeight="1">
      <c r="A155" t="inlineStr">
        <is>
          <t>A 72089-2021</t>
        </is>
      </c>
      <c r="B155" s="1" t="n">
        <v>44540</v>
      </c>
      <c r="C155" s="1" t="n">
        <v>45967</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33808-2022</t>
        </is>
      </c>
      <c r="B156" s="1" t="n">
        <v>44790</v>
      </c>
      <c r="C156" s="1" t="n">
        <v>45967</v>
      </c>
      <c r="D156" t="inlineStr">
        <is>
          <t>JÄMTLANDS LÄN</t>
        </is>
      </c>
      <c r="E156" t="inlineStr">
        <is>
          <t>ÖSTERSUND</t>
        </is>
      </c>
      <c r="G156" t="n">
        <v>4.1</v>
      </c>
      <c r="H156" t="n">
        <v>0</v>
      </c>
      <c r="I156" t="n">
        <v>0</v>
      </c>
      <c r="J156" t="n">
        <v>0</v>
      </c>
      <c r="K156" t="n">
        <v>0</v>
      </c>
      <c r="L156" t="n">
        <v>0</v>
      </c>
      <c r="M156" t="n">
        <v>0</v>
      </c>
      <c r="N156" t="n">
        <v>0</v>
      </c>
      <c r="O156" t="n">
        <v>0</v>
      </c>
      <c r="P156" t="n">
        <v>0</v>
      </c>
      <c r="Q156" t="n">
        <v>0</v>
      </c>
      <c r="R156" s="2" t="inlineStr"/>
    </row>
    <row r="157" ht="15" customHeight="1">
      <c r="A157" t="inlineStr">
        <is>
          <t>A 8647-2022</t>
        </is>
      </c>
      <c r="B157" s="1" t="n">
        <v>44613</v>
      </c>
      <c r="C157" s="1" t="n">
        <v>45967</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43951-2022</t>
        </is>
      </c>
      <c r="B158" s="1" t="n">
        <v>44838</v>
      </c>
      <c r="C158" s="1" t="n">
        <v>45967</v>
      </c>
      <c r="D158" t="inlineStr">
        <is>
          <t>JÄMTLANDS LÄN</t>
        </is>
      </c>
      <c r="E158" t="inlineStr">
        <is>
          <t>ÖSTERSUND</t>
        </is>
      </c>
      <c r="F158" t="inlineStr">
        <is>
          <t>Övriga Aktiebolag</t>
        </is>
      </c>
      <c r="G158" t="n">
        <v>2.9</v>
      </c>
      <c r="H158" t="n">
        <v>0</v>
      </c>
      <c r="I158" t="n">
        <v>0</v>
      </c>
      <c r="J158" t="n">
        <v>0</v>
      </c>
      <c r="K158" t="n">
        <v>0</v>
      </c>
      <c r="L158" t="n">
        <v>0</v>
      </c>
      <c r="M158" t="n">
        <v>0</v>
      </c>
      <c r="N158" t="n">
        <v>0</v>
      </c>
      <c r="O158" t="n">
        <v>0</v>
      </c>
      <c r="P158" t="n">
        <v>0</v>
      </c>
      <c r="Q158" t="n">
        <v>0</v>
      </c>
      <c r="R158" s="2" t="inlineStr"/>
    </row>
    <row r="159" ht="15" customHeight="1">
      <c r="A159" t="inlineStr">
        <is>
          <t>A 66286-2020</t>
        </is>
      </c>
      <c r="B159" s="1" t="n">
        <v>44174</v>
      </c>
      <c r="C159" s="1" t="n">
        <v>45967</v>
      </c>
      <c r="D159" t="inlineStr">
        <is>
          <t>JÄMTLANDS LÄN</t>
        </is>
      </c>
      <c r="E159" t="inlineStr">
        <is>
          <t>ÖSTERSUND</t>
        </is>
      </c>
      <c r="F159" t="inlineStr">
        <is>
          <t>Övriga statliga verk och myndigheter</t>
        </is>
      </c>
      <c r="G159" t="n">
        <v>1.1</v>
      </c>
      <c r="H159" t="n">
        <v>0</v>
      </c>
      <c r="I159" t="n">
        <v>0</v>
      </c>
      <c r="J159" t="n">
        <v>0</v>
      </c>
      <c r="K159" t="n">
        <v>0</v>
      </c>
      <c r="L159" t="n">
        <v>0</v>
      </c>
      <c r="M159" t="n">
        <v>0</v>
      </c>
      <c r="N159" t="n">
        <v>0</v>
      </c>
      <c r="O159" t="n">
        <v>0</v>
      </c>
      <c r="P159" t="n">
        <v>0</v>
      </c>
      <c r="Q159" t="n">
        <v>0</v>
      </c>
      <c r="R159" s="2" t="inlineStr"/>
    </row>
    <row r="160" ht="15" customHeight="1">
      <c r="A160" t="inlineStr">
        <is>
          <t>A 126-2021</t>
        </is>
      </c>
      <c r="B160" s="1" t="n">
        <v>44200</v>
      </c>
      <c r="C160" s="1" t="n">
        <v>45967</v>
      </c>
      <c r="D160" t="inlineStr">
        <is>
          <t>JÄMTLANDS LÄN</t>
        </is>
      </c>
      <c r="E160" t="inlineStr">
        <is>
          <t>ÖSTERSUND</t>
        </is>
      </c>
      <c r="G160" t="n">
        <v>1.6</v>
      </c>
      <c r="H160" t="n">
        <v>0</v>
      </c>
      <c r="I160" t="n">
        <v>0</v>
      </c>
      <c r="J160" t="n">
        <v>0</v>
      </c>
      <c r="K160" t="n">
        <v>0</v>
      </c>
      <c r="L160" t="n">
        <v>0</v>
      </c>
      <c r="M160" t="n">
        <v>0</v>
      </c>
      <c r="N160" t="n">
        <v>0</v>
      </c>
      <c r="O160" t="n">
        <v>0</v>
      </c>
      <c r="P160" t="n">
        <v>0</v>
      </c>
      <c r="Q160" t="n">
        <v>0</v>
      </c>
      <c r="R160" s="2" t="inlineStr"/>
    </row>
    <row r="161" ht="15" customHeight="1">
      <c r="A161" t="inlineStr">
        <is>
          <t>A 2763-2022</t>
        </is>
      </c>
      <c r="B161" s="1" t="n">
        <v>44580</v>
      </c>
      <c r="C161" s="1" t="n">
        <v>45967</v>
      </c>
      <c r="D161" t="inlineStr">
        <is>
          <t>JÄMTLANDS LÄN</t>
        </is>
      </c>
      <c r="E161" t="inlineStr">
        <is>
          <t>ÖSTERSUND</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19541-2021</t>
        </is>
      </c>
      <c r="B162" s="1" t="n">
        <v>44312.41724537037</v>
      </c>
      <c r="C162" s="1" t="n">
        <v>45967</v>
      </c>
      <c r="D162" t="inlineStr">
        <is>
          <t>JÄMTLANDS LÄN</t>
        </is>
      </c>
      <c r="E162" t="inlineStr">
        <is>
          <t>ÖSTERSUND</t>
        </is>
      </c>
      <c r="G162" t="n">
        <v>0.7</v>
      </c>
      <c r="H162" t="n">
        <v>0</v>
      </c>
      <c r="I162" t="n">
        <v>0</v>
      </c>
      <c r="J162" t="n">
        <v>0</v>
      </c>
      <c r="K162" t="n">
        <v>0</v>
      </c>
      <c r="L162" t="n">
        <v>0</v>
      </c>
      <c r="M162" t="n">
        <v>0</v>
      </c>
      <c r="N162" t="n">
        <v>0</v>
      </c>
      <c r="O162" t="n">
        <v>0</v>
      </c>
      <c r="P162" t="n">
        <v>0</v>
      </c>
      <c r="Q162" t="n">
        <v>0</v>
      </c>
      <c r="R162" s="2" t="inlineStr"/>
    </row>
    <row r="163" ht="15" customHeight="1">
      <c r="A163" t="inlineStr">
        <is>
          <t>A 2880-2022</t>
        </is>
      </c>
      <c r="B163" s="1" t="n">
        <v>44581</v>
      </c>
      <c r="C163" s="1" t="n">
        <v>45967</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10834-2021</t>
        </is>
      </c>
      <c r="B164" s="1" t="n">
        <v>44259</v>
      </c>
      <c r="C164" s="1" t="n">
        <v>45967</v>
      </c>
      <c r="D164" t="inlineStr">
        <is>
          <t>JÄMTLANDS LÄN</t>
        </is>
      </c>
      <c r="E164" t="inlineStr">
        <is>
          <t>ÖSTERSUND</t>
        </is>
      </c>
      <c r="G164" t="n">
        <v>12.2</v>
      </c>
      <c r="H164" t="n">
        <v>0</v>
      </c>
      <c r="I164" t="n">
        <v>0</v>
      </c>
      <c r="J164" t="n">
        <v>0</v>
      </c>
      <c r="K164" t="n">
        <v>0</v>
      </c>
      <c r="L164" t="n">
        <v>0</v>
      </c>
      <c r="M164" t="n">
        <v>0</v>
      </c>
      <c r="N164" t="n">
        <v>0</v>
      </c>
      <c r="O164" t="n">
        <v>0</v>
      </c>
      <c r="P164" t="n">
        <v>0</v>
      </c>
      <c r="Q164" t="n">
        <v>0</v>
      </c>
      <c r="R164" s="2" t="inlineStr"/>
    </row>
    <row r="165" ht="15" customHeight="1">
      <c r="A165" t="inlineStr">
        <is>
          <t>A 47295-2022</t>
        </is>
      </c>
      <c r="B165" s="1" t="n">
        <v>44852</v>
      </c>
      <c r="C165" s="1" t="n">
        <v>45967</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67646-2020</t>
        </is>
      </c>
      <c r="B166" s="1" t="n">
        <v>44180</v>
      </c>
      <c r="C166" s="1" t="n">
        <v>45967</v>
      </c>
      <c r="D166" t="inlineStr">
        <is>
          <t>JÄMTLANDS LÄN</t>
        </is>
      </c>
      <c r="E166" t="inlineStr">
        <is>
          <t>ÖSTERSUND</t>
        </is>
      </c>
      <c r="G166" t="n">
        <v>1.9</v>
      </c>
      <c r="H166" t="n">
        <v>0</v>
      </c>
      <c r="I166" t="n">
        <v>0</v>
      </c>
      <c r="J166" t="n">
        <v>0</v>
      </c>
      <c r="K166" t="n">
        <v>0</v>
      </c>
      <c r="L166" t="n">
        <v>0</v>
      </c>
      <c r="M166" t="n">
        <v>0</v>
      </c>
      <c r="N166" t="n">
        <v>0</v>
      </c>
      <c r="O166" t="n">
        <v>0</v>
      </c>
      <c r="P166" t="n">
        <v>0</v>
      </c>
      <c r="Q166" t="n">
        <v>0</v>
      </c>
      <c r="R166" s="2" t="inlineStr"/>
    </row>
    <row r="167" ht="15" customHeight="1">
      <c r="A167" t="inlineStr">
        <is>
          <t>A 67400-2020</t>
        </is>
      </c>
      <c r="B167" s="1" t="n">
        <v>44181</v>
      </c>
      <c r="C167" s="1" t="n">
        <v>45967</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154-2022</t>
        </is>
      </c>
      <c r="B168" s="1" t="n">
        <v>44561</v>
      </c>
      <c r="C168" s="1" t="n">
        <v>45967</v>
      </c>
      <c r="D168" t="inlineStr">
        <is>
          <t>JÄMTLANDS LÄN</t>
        </is>
      </c>
      <c r="E168" t="inlineStr">
        <is>
          <t>ÖSTERSUND</t>
        </is>
      </c>
      <c r="G168" t="n">
        <v>4.2</v>
      </c>
      <c r="H168" t="n">
        <v>0</v>
      </c>
      <c r="I168" t="n">
        <v>0</v>
      </c>
      <c r="J168" t="n">
        <v>0</v>
      </c>
      <c r="K168" t="n">
        <v>0</v>
      </c>
      <c r="L168" t="n">
        <v>0</v>
      </c>
      <c r="M168" t="n">
        <v>0</v>
      </c>
      <c r="N168" t="n">
        <v>0</v>
      </c>
      <c r="O168" t="n">
        <v>0</v>
      </c>
      <c r="P168" t="n">
        <v>0</v>
      </c>
      <c r="Q168" t="n">
        <v>0</v>
      </c>
      <c r="R168" s="2" t="inlineStr"/>
    </row>
    <row r="169" ht="15" customHeight="1">
      <c r="A169" t="inlineStr">
        <is>
          <t>A 14155-2021</t>
        </is>
      </c>
      <c r="B169" s="1" t="n">
        <v>44278.42459490741</v>
      </c>
      <c r="C169" s="1" t="n">
        <v>45967</v>
      </c>
      <c r="D169" t="inlineStr">
        <is>
          <t>JÄMTLANDS LÄN</t>
        </is>
      </c>
      <c r="E169" t="inlineStr">
        <is>
          <t>ÖSTERSUND</t>
        </is>
      </c>
      <c r="G169" t="n">
        <v>2.6</v>
      </c>
      <c r="H169" t="n">
        <v>0</v>
      </c>
      <c r="I169" t="n">
        <v>0</v>
      </c>
      <c r="J169" t="n">
        <v>0</v>
      </c>
      <c r="K169" t="n">
        <v>0</v>
      </c>
      <c r="L169" t="n">
        <v>0</v>
      </c>
      <c r="M169" t="n">
        <v>0</v>
      </c>
      <c r="N169" t="n">
        <v>0</v>
      </c>
      <c r="O169" t="n">
        <v>0</v>
      </c>
      <c r="P169" t="n">
        <v>0</v>
      </c>
      <c r="Q169" t="n">
        <v>0</v>
      </c>
      <c r="R169" s="2" t="inlineStr"/>
    </row>
    <row r="170" ht="15" customHeight="1">
      <c r="A170" t="inlineStr">
        <is>
          <t>A 26254-2021</t>
        </is>
      </c>
      <c r="B170" s="1" t="n">
        <v>44347</v>
      </c>
      <c r="C170" s="1" t="n">
        <v>45967</v>
      </c>
      <c r="D170" t="inlineStr">
        <is>
          <t>JÄMTLANDS LÄN</t>
        </is>
      </c>
      <c r="E170" t="inlineStr">
        <is>
          <t>ÖSTERSUND</t>
        </is>
      </c>
      <c r="G170" t="n">
        <v>1.1</v>
      </c>
      <c r="H170" t="n">
        <v>0</v>
      </c>
      <c r="I170" t="n">
        <v>0</v>
      </c>
      <c r="J170" t="n">
        <v>0</v>
      </c>
      <c r="K170" t="n">
        <v>0</v>
      </c>
      <c r="L170" t="n">
        <v>0</v>
      </c>
      <c r="M170" t="n">
        <v>0</v>
      </c>
      <c r="N170" t="n">
        <v>0</v>
      </c>
      <c r="O170" t="n">
        <v>0</v>
      </c>
      <c r="P170" t="n">
        <v>0</v>
      </c>
      <c r="Q170" t="n">
        <v>0</v>
      </c>
      <c r="R170" s="2" t="inlineStr"/>
    </row>
    <row r="171" ht="15" customHeight="1">
      <c r="A171" t="inlineStr">
        <is>
          <t>A 35032-2021</t>
        </is>
      </c>
      <c r="B171" s="1" t="n">
        <v>44383.85295138889</v>
      </c>
      <c r="C171" s="1" t="n">
        <v>45967</v>
      </c>
      <c r="D171" t="inlineStr">
        <is>
          <t>JÄMTLANDS LÄN</t>
        </is>
      </c>
      <c r="E171" t="inlineStr">
        <is>
          <t>ÖSTERSUND</t>
        </is>
      </c>
      <c r="G171" t="n">
        <v>0.9</v>
      </c>
      <c r="H171" t="n">
        <v>0</v>
      </c>
      <c r="I171" t="n">
        <v>0</v>
      </c>
      <c r="J171" t="n">
        <v>0</v>
      </c>
      <c r="K171" t="n">
        <v>0</v>
      </c>
      <c r="L171" t="n">
        <v>0</v>
      </c>
      <c r="M171" t="n">
        <v>0</v>
      </c>
      <c r="N171" t="n">
        <v>0</v>
      </c>
      <c r="O171" t="n">
        <v>0</v>
      </c>
      <c r="P171" t="n">
        <v>0</v>
      </c>
      <c r="Q171" t="n">
        <v>0</v>
      </c>
      <c r="R171" s="2" t="inlineStr"/>
    </row>
    <row r="172" ht="15" customHeight="1">
      <c r="A172" t="inlineStr">
        <is>
          <t>A 46002-2021</t>
        </is>
      </c>
      <c r="B172" s="1" t="n">
        <v>44441.80453703704</v>
      </c>
      <c r="C172" s="1" t="n">
        <v>45967</v>
      </c>
      <c r="D172" t="inlineStr">
        <is>
          <t>JÄMTLANDS LÄN</t>
        </is>
      </c>
      <c r="E172" t="inlineStr">
        <is>
          <t>ÖSTERSUND</t>
        </is>
      </c>
      <c r="G172" t="n">
        <v>3.6</v>
      </c>
      <c r="H172" t="n">
        <v>0</v>
      </c>
      <c r="I172" t="n">
        <v>0</v>
      </c>
      <c r="J172" t="n">
        <v>0</v>
      </c>
      <c r="K172" t="n">
        <v>0</v>
      </c>
      <c r="L172" t="n">
        <v>0</v>
      </c>
      <c r="M172" t="n">
        <v>0</v>
      </c>
      <c r="N172" t="n">
        <v>0</v>
      </c>
      <c r="O172" t="n">
        <v>0</v>
      </c>
      <c r="P172" t="n">
        <v>0</v>
      </c>
      <c r="Q172" t="n">
        <v>0</v>
      </c>
      <c r="R172" s="2" t="inlineStr"/>
    </row>
    <row r="173" ht="15" customHeight="1">
      <c r="A173" t="inlineStr">
        <is>
          <t>A 24706-2021</t>
        </is>
      </c>
      <c r="B173" s="1" t="n">
        <v>44340</v>
      </c>
      <c r="C173" s="1" t="n">
        <v>45967</v>
      </c>
      <c r="D173" t="inlineStr">
        <is>
          <t>JÄMTLANDS LÄN</t>
        </is>
      </c>
      <c r="E173" t="inlineStr">
        <is>
          <t>ÖSTERSUND</t>
        </is>
      </c>
      <c r="G173" t="n">
        <v>5.6</v>
      </c>
      <c r="H173" t="n">
        <v>0</v>
      </c>
      <c r="I173" t="n">
        <v>0</v>
      </c>
      <c r="J173" t="n">
        <v>0</v>
      </c>
      <c r="K173" t="n">
        <v>0</v>
      </c>
      <c r="L173" t="n">
        <v>0</v>
      </c>
      <c r="M173" t="n">
        <v>0</v>
      </c>
      <c r="N173" t="n">
        <v>0</v>
      </c>
      <c r="O173" t="n">
        <v>0</v>
      </c>
      <c r="P173" t="n">
        <v>0</v>
      </c>
      <c r="Q173" t="n">
        <v>0</v>
      </c>
      <c r="R173" s="2" t="inlineStr"/>
    </row>
    <row r="174" ht="15" customHeight="1">
      <c r="A174" t="inlineStr">
        <is>
          <t>A 48947-2021</t>
        </is>
      </c>
      <c r="B174" s="1" t="n">
        <v>44453</v>
      </c>
      <c r="C174" s="1" t="n">
        <v>45967</v>
      </c>
      <c r="D174" t="inlineStr">
        <is>
          <t>JÄMTLANDS LÄN</t>
        </is>
      </c>
      <c r="E174" t="inlineStr">
        <is>
          <t>ÖSTERSUND</t>
        </is>
      </c>
      <c r="G174" t="n">
        <v>22.3</v>
      </c>
      <c r="H174" t="n">
        <v>0</v>
      </c>
      <c r="I174" t="n">
        <v>0</v>
      </c>
      <c r="J174" t="n">
        <v>0</v>
      </c>
      <c r="K174" t="n">
        <v>0</v>
      </c>
      <c r="L174" t="n">
        <v>0</v>
      </c>
      <c r="M174" t="n">
        <v>0</v>
      </c>
      <c r="N174" t="n">
        <v>0</v>
      </c>
      <c r="O174" t="n">
        <v>0</v>
      </c>
      <c r="P174" t="n">
        <v>0</v>
      </c>
      <c r="Q174" t="n">
        <v>0</v>
      </c>
      <c r="R174" s="2" t="inlineStr"/>
    </row>
    <row r="175" ht="15" customHeight="1">
      <c r="A175" t="inlineStr">
        <is>
          <t>A 27061-2021</t>
        </is>
      </c>
      <c r="B175" s="1" t="n">
        <v>44349</v>
      </c>
      <c r="C175" s="1" t="n">
        <v>45967</v>
      </c>
      <c r="D175" t="inlineStr">
        <is>
          <t>JÄMTLANDS LÄN</t>
        </is>
      </c>
      <c r="E175" t="inlineStr">
        <is>
          <t>ÖSTERSUND</t>
        </is>
      </c>
      <c r="G175" t="n">
        <v>3.2</v>
      </c>
      <c r="H175" t="n">
        <v>0</v>
      </c>
      <c r="I175" t="n">
        <v>0</v>
      </c>
      <c r="J175" t="n">
        <v>0</v>
      </c>
      <c r="K175" t="n">
        <v>0</v>
      </c>
      <c r="L175" t="n">
        <v>0</v>
      </c>
      <c r="M175" t="n">
        <v>0</v>
      </c>
      <c r="N175" t="n">
        <v>0</v>
      </c>
      <c r="O175" t="n">
        <v>0</v>
      </c>
      <c r="P175" t="n">
        <v>0</v>
      </c>
      <c r="Q175" t="n">
        <v>0</v>
      </c>
      <c r="R175" s="2" t="inlineStr"/>
    </row>
    <row r="176" ht="15" customHeight="1">
      <c r="A176" t="inlineStr">
        <is>
          <t>A 17362-2021</t>
        </is>
      </c>
      <c r="B176" s="1" t="n">
        <v>44298</v>
      </c>
      <c r="C176" s="1" t="n">
        <v>45967</v>
      </c>
      <c r="D176" t="inlineStr">
        <is>
          <t>JÄMTLANDS LÄN</t>
        </is>
      </c>
      <c r="E176" t="inlineStr">
        <is>
          <t>ÖSTERSUND</t>
        </is>
      </c>
      <c r="G176" t="n">
        <v>3.7</v>
      </c>
      <c r="H176" t="n">
        <v>0</v>
      </c>
      <c r="I176" t="n">
        <v>0</v>
      </c>
      <c r="J176" t="n">
        <v>0</v>
      </c>
      <c r="K176" t="n">
        <v>0</v>
      </c>
      <c r="L176" t="n">
        <v>0</v>
      </c>
      <c r="M176" t="n">
        <v>0</v>
      </c>
      <c r="N176" t="n">
        <v>0</v>
      </c>
      <c r="O176" t="n">
        <v>0</v>
      </c>
      <c r="P176" t="n">
        <v>0</v>
      </c>
      <c r="Q176" t="n">
        <v>0</v>
      </c>
      <c r="R176" s="2" t="inlineStr"/>
    </row>
    <row r="177" ht="15" customHeight="1">
      <c r="A177" t="inlineStr">
        <is>
          <t>A 26259-2021</t>
        </is>
      </c>
      <c r="B177" s="1" t="n">
        <v>44347</v>
      </c>
      <c r="C177" s="1" t="n">
        <v>45967</v>
      </c>
      <c r="D177" t="inlineStr">
        <is>
          <t>JÄMTLANDS LÄN</t>
        </is>
      </c>
      <c r="E177" t="inlineStr">
        <is>
          <t>ÖSTERSUND</t>
        </is>
      </c>
      <c r="G177" t="n">
        <v>4.3</v>
      </c>
      <c r="H177" t="n">
        <v>0</v>
      </c>
      <c r="I177" t="n">
        <v>0</v>
      </c>
      <c r="J177" t="n">
        <v>0</v>
      </c>
      <c r="K177" t="n">
        <v>0</v>
      </c>
      <c r="L177" t="n">
        <v>0</v>
      </c>
      <c r="M177" t="n">
        <v>0</v>
      </c>
      <c r="N177" t="n">
        <v>0</v>
      </c>
      <c r="O177" t="n">
        <v>0</v>
      </c>
      <c r="P177" t="n">
        <v>0</v>
      </c>
      <c r="Q177" t="n">
        <v>0</v>
      </c>
      <c r="R177" s="2" t="inlineStr"/>
    </row>
    <row r="178" ht="15" customHeight="1">
      <c r="A178" t="inlineStr">
        <is>
          <t>A 695-2022</t>
        </is>
      </c>
      <c r="B178" s="1" t="n">
        <v>44566</v>
      </c>
      <c r="C178" s="1" t="n">
        <v>45967</v>
      </c>
      <c r="D178" t="inlineStr">
        <is>
          <t>JÄMTLANDS LÄN</t>
        </is>
      </c>
      <c r="E178" t="inlineStr">
        <is>
          <t>ÖSTERSUND</t>
        </is>
      </c>
      <c r="G178" t="n">
        <v>14.9</v>
      </c>
      <c r="H178" t="n">
        <v>0</v>
      </c>
      <c r="I178" t="n">
        <v>0</v>
      </c>
      <c r="J178" t="n">
        <v>0</v>
      </c>
      <c r="K178" t="n">
        <v>0</v>
      </c>
      <c r="L178" t="n">
        <v>0</v>
      </c>
      <c r="M178" t="n">
        <v>0</v>
      </c>
      <c r="N178" t="n">
        <v>0</v>
      </c>
      <c r="O178" t="n">
        <v>0</v>
      </c>
      <c r="P178" t="n">
        <v>0</v>
      </c>
      <c r="Q178" t="n">
        <v>0</v>
      </c>
      <c r="R178" s="2" t="inlineStr"/>
    </row>
    <row r="179" ht="15" customHeight="1">
      <c r="A179" t="inlineStr">
        <is>
          <t>A 29828-2022</t>
        </is>
      </c>
      <c r="B179" s="1" t="n">
        <v>44755</v>
      </c>
      <c r="C179" s="1" t="n">
        <v>45967</v>
      </c>
      <c r="D179" t="inlineStr">
        <is>
          <t>JÄMTLANDS LÄN</t>
        </is>
      </c>
      <c r="E179" t="inlineStr">
        <is>
          <t>ÖSTERSUND</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44267-2021</t>
        </is>
      </c>
      <c r="B180" s="1" t="n">
        <v>44434</v>
      </c>
      <c r="C180" s="1" t="n">
        <v>45967</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47296-2022</t>
        </is>
      </c>
      <c r="B181" s="1" t="n">
        <v>44852.95248842592</v>
      </c>
      <c r="C181" s="1" t="n">
        <v>45967</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72041-2021</t>
        </is>
      </c>
      <c r="B182" s="1" t="n">
        <v>44540</v>
      </c>
      <c r="C182" s="1" t="n">
        <v>45967</v>
      </c>
      <c r="D182" t="inlineStr">
        <is>
          <t>JÄMTLANDS LÄN</t>
        </is>
      </c>
      <c r="E182" t="inlineStr">
        <is>
          <t>ÖSTERSUND</t>
        </is>
      </c>
      <c r="G182" t="n">
        <v>0.4</v>
      </c>
      <c r="H182" t="n">
        <v>0</v>
      </c>
      <c r="I182" t="n">
        <v>0</v>
      </c>
      <c r="J182" t="n">
        <v>0</v>
      </c>
      <c r="K182" t="n">
        <v>0</v>
      </c>
      <c r="L182" t="n">
        <v>0</v>
      </c>
      <c r="M182" t="n">
        <v>0</v>
      </c>
      <c r="N182" t="n">
        <v>0</v>
      </c>
      <c r="O182" t="n">
        <v>0</v>
      </c>
      <c r="P182" t="n">
        <v>0</v>
      </c>
      <c r="Q182" t="n">
        <v>0</v>
      </c>
      <c r="R182" s="2" t="inlineStr"/>
    </row>
    <row r="183" ht="15" customHeight="1">
      <c r="A183" t="inlineStr">
        <is>
          <t>A 17596-2021</t>
        </is>
      </c>
      <c r="B183" s="1" t="n">
        <v>44299</v>
      </c>
      <c r="C183" s="1" t="n">
        <v>45967</v>
      </c>
      <c r="D183" t="inlineStr">
        <is>
          <t>JÄMTLANDS LÄN</t>
        </is>
      </c>
      <c r="E183" t="inlineStr">
        <is>
          <t>ÖSTERSUND</t>
        </is>
      </c>
      <c r="G183" t="n">
        <v>3.7</v>
      </c>
      <c r="H183" t="n">
        <v>0</v>
      </c>
      <c r="I183" t="n">
        <v>0</v>
      </c>
      <c r="J183" t="n">
        <v>0</v>
      </c>
      <c r="K183" t="n">
        <v>0</v>
      </c>
      <c r="L183" t="n">
        <v>0</v>
      </c>
      <c r="M183" t="n">
        <v>0</v>
      </c>
      <c r="N183" t="n">
        <v>0</v>
      </c>
      <c r="O183" t="n">
        <v>0</v>
      </c>
      <c r="P183" t="n">
        <v>0</v>
      </c>
      <c r="Q183" t="n">
        <v>0</v>
      </c>
      <c r="R183" s="2" t="inlineStr"/>
    </row>
    <row r="184" ht="15" customHeight="1">
      <c r="A184" t="inlineStr">
        <is>
          <t>A 23895-2021</t>
        </is>
      </c>
      <c r="B184" s="1" t="n">
        <v>44335</v>
      </c>
      <c r="C184" s="1" t="n">
        <v>45967</v>
      </c>
      <c r="D184" t="inlineStr">
        <is>
          <t>JÄMTLANDS LÄN</t>
        </is>
      </c>
      <c r="E184" t="inlineStr">
        <is>
          <t>ÖSTERSUND</t>
        </is>
      </c>
      <c r="G184" t="n">
        <v>0.6</v>
      </c>
      <c r="H184" t="n">
        <v>0</v>
      </c>
      <c r="I184" t="n">
        <v>0</v>
      </c>
      <c r="J184" t="n">
        <v>0</v>
      </c>
      <c r="K184" t="n">
        <v>0</v>
      </c>
      <c r="L184" t="n">
        <v>0</v>
      </c>
      <c r="M184" t="n">
        <v>0</v>
      </c>
      <c r="N184" t="n">
        <v>0</v>
      </c>
      <c r="O184" t="n">
        <v>0</v>
      </c>
      <c r="P184" t="n">
        <v>0</v>
      </c>
      <c r="Q184" t="n">
        <v>0</v>
      </c>
      <c r="R184" s="2" t="inlineStr"/>
    </row>
    <row r="185" ht="15" customHeight="1">
      <c r="A185" t="inlineStr">
        <is>
          <t>A 70816-2021</t>
        </is>
      </c>
      <c r="B185" s="1" t="n">
        <v>44537.935</v>
      </c>
      <c r="C185" s="1" t="n">
        <v>45967</v>
      </c>
      <c r="D185" t="inlineStr">
        <is>
          <t>JÄMTLANDS LÄN</t>
        </is>
      </c>
      <c r="E185" t="inlineStr">
        <is>
          <t>ÖSTERSUND</t>
        </is>
      </c>
      <c r="G185" t="n">
        <v>0.5</v>
      </c>
      <c r="H185" t="n">
        <v>0</v>
      </c>
      <c r="I185" t="n">
        <v>0</v>
      </c>
      <c r="J185" t="n">
        <v>0</v>
      </c>
      <c r="K185" t="n">
        <v>0</v>
      </c>
      <c r="L185" t="n">
        <v>0</v>
      </c>
      <c r="M185" t="n">
        <v>0</v>
      </c>
      <c r="N185" t="n">
        <v>0</v>
      </c>
      <c r="O185" t="n">
        <v>0</v>
      </c>
      <c r="P185" t="n">
        <v>0</v>
      </c>
      <c r="Q185" t="n">
        <v>0</v>
      </c>
      <c r="R185" s="2" t="inlineStr"/>
    </row>
    <row r="186" ht="15" customHeight="1">
      <c r="A186" t="inlineStr">
        <is>
          <t>A 6458-2022</t>
        </is>
      </c>
      <c r="B186" s="1" t="n">
        <v>44601.36165509259</v>
      </c>
      <c r="C186" s="1" t="n">
        <v>45967</v>
      </c>
      <c r="D186" t="inlineStr">
        <is>
          <t>JÄMTLANDS LÄN</t>
        </is>
      </c>
      <c r="E186" t="inlineStr">
        <is>
          <t>ÖSTERSUND</t>
        </is>
      </c>
      <c r="G186" t="n">
        <v>3.1</v>
      </c>
      <c r="H186" t="n">
        <v>0</v>
      </c>
      <c r="I186" t="n">
        <v>0</v>
      </c>
      <c r="J186" t="n">
        <v>0</v>
      </c>
      <c r="K186" t="n">
        <v>0</v>
      </c>
      <c r="L186" t="n">
        <v>0</v>
      </c>
      <c r="M186" t="n">
        <v>0</v>
      </c>
      <c r="N186" t="n">
        <v>0</v>
      </c>
      <c r="O186" t="n">
        <v>0</v>
      </c>
      <c r="P186" t="n">
        <v>0</v>
      </c>
      <c r="Q186" t="n">
        <v>0</v>
      </c>
      <c r="R186" s="2" t="inlineStr"/>
    </row>
    <row r="187" ht="15" customHeight="1">
      <c r="A187" t="inlineStr">
        <is>
          <t>A 32994-2021</t>
        </is>
      </c>
      <c r="B187" s="1" t="n">
        <v>44375</v>
      </c>
      <c r="C187" s="1" t="n">
        <v>45967</v>
      </c>
      <c r="D187" t="inlineStr">
        <is>
          <t>JÄMTLANDS LÄN</t>
        </is>
      </c>
      <c r="E187" t="inlineStr">
        <is>
          <t>ÖSTERSUND</t>
        </is>
      </c>
      <c r="G187" t="n">
        <v>0.1</v>
      </c>
      <c r="H187" t="n">
        <v>0</v>
      </c>
      <c r="I187" t="n">
        <v>0</v>
      </c>
      <c r="J187" t="n">
        <v>0</v>
      </c>
      <c r="K187" t="n">
        <v>0</v>
      </c>
      <c r="L187" t="n">
        <v>0</v>
      </c>
      <c r="M187" t="n">
        <v>0</v>
      </c>
      <c r="N187" t="n">
        <v>0</v>
      </c>
      <c r="O187" t="n">
        <v>0</v>
      </c>
      <c r="P187" t="n">
        <v>0</v>
      </c>
      <c r="Q187" t="n">
        <v>0</v>
      </c>
      <c r="R187" s="2" t="inlineStr"/>
    </row>
    <row r="188" ht="15" customHeight="1">
      <c r="A188" t="inlineStr">
        <is>
          <t>A 23992-2022</t>
        </is>
      </c>
      <c r="B188" s="1" t="n">
        <v>44722</v>
      </c>
      <c r="C188" s="1" t="n">
        <v>45967</v>
      </c>
      <c r="D188" t="inlineStr">
        <is>
          <t>JÄMTLANDS LÄN</t>
        </is>
      </c>
      <c r="E188" t="inlineStr">
        <is>
          <t>ÖSTERSUND</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23993-2022</t>
        </is>
      </c>
      <c r="B189" s="1" t="n">
        <v>44722.94023148148</v>
      </c>
      <c r="C189" s="1" t="n">
        <v>45967</v>
      </c>
      <c r="D189" t="inlineStr">
        <is>
          <t>JÄMTLANDS LÄN</t>
        </is>
      </c>
      <c r="E189" t="inlineStr">
        <is>
          <t>ÖSTERSUND</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23551-2022</t>
        </is>
      </c>
      <c r="B190" s="1" t="n">
        <v>44721</v>
      </c>
      <c r="C190" s="1" t="n">
        <v>45967</v>
      </c>
      <c r="D190" t="inlineStr">
        <is>
          <t>JÄMTLANDS LÄN</t>
        </is>
      </c>
      <c r="E190" t="inlineStr">
        <is>
          <t>ÖSTERSUND</t>
        </is>
      </c>
      <c r="G190" t="n">
        <v>0.3</v>
      </c>
      <c r="H190" t="n">
        <v>0</v>
      </c>
      <c r="I190" t="n">
        <v>0</v>
      </c>
      <c r="J190" t="n">
        <v>0</v>
      </c>
      <c r="K190" t="n">
        <v>0</v>
      </c>
      <c r="L190" t="n">
        <v>0</v>
      </c>
      <c r="M190" t="n">
        <v>0</v>
      </c>
      <c r="N190" t="n">
        <v>0</v>
      </c>
      <c r="O190" t="n">
        <v>0</v>
      </c>
      <c r="P190" t="n">
        <v>0</v>
      </c>
      <c r="Q190" t="n">
        <v>0</v>
      </c>
      <c r="R190" s="2" t="inlineStr"/>
    </row>
    <row r="191" ht="15" customHeight="1">
      <c r="A191" t="inlineStr">
        <is>
          <t>A 45654-2022</t>
        </is>
      </c>
      <c r="B191" s="1" t="n">
        <v>44845.67710648148</v>
      </c>
      <c r="C191" s="1" t="n">
        <v>45967</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68408-2020</t>
        </is>
      </c>
      <c r="B192" s="1" t="n">
        <v>44186</v>
      </c>
      <c r="C192" s="1" t="n">
        <v>45967</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8227-2022</t>
        </is>
      </c>
      <c r="B193" s="1" t="n">
        <v>44609.93075231482</v>
      </c>
      <c r="C193" s="1" t="n">
        <v>45967</v>
      </c>
      <c r="D193" t="inlineStr">
        <is>
          <t>JÄMTLANDS LÄN</t>
        </is>
      </c>
      <c r="E193" t="inlineStr">
        <is>
          <t>ÖSTERSUND</t>
        </is>
      </c>
      <c r="G193" t="n">
        <v>6.6</v>
      </c>
      <c r="H193" t="n">
        <v>0</v>
      </c>
      <c r="I193" t="n">
        <v>0</v>
      </c>
      <c r="J193" t="n">
        <v>0</v>
      </c>
      <c r="K193" t="n">
        <v>0</v>
      </c>
      <c r="L193" t="n">
        <v>0</v>
      </c>
      <c r="M193" t="n">
        <v>0</v>
      </c>
      <c r="N193" t="n">
        <v>0</v>
      </c>
      <c r="O193" t="n">
        <v>0</v>
      </c>
      <c r="P193" t="n">
        <v>0</v>
      </c>
      <c r="Q193" t="n">
        <v>0</v>
      </c>
      <c r="R193" s="2" t="inlineStr"/>
    </row>
    <row r="194" ht="15" customHeight="1">
      <c r="A194" t="inlineStr">
        <is>
          <t>A 52898-2022</t>
        </is>
      </c>
      <c r="B194" s="1" t="n">
        <v>44875</v>
      </c>
      <c r="C194" s="1" t="n">
        <v>45967</v>
      </c>
      <c r="D194" t="inlineStr">
        <is>
          <t>JÄMTLANDS LÄN</t>
        </is>
      </c>
      <c r="E194" t="inlineStr">
        <is>
          <t>ÖSTERSUND</t>
        </is>
      </c>
      <c r="F194" t="inlineStr">
        <is>
          <t>Övriga Aktiebolag</t>
        </is>
      </c>
      <c r="G194" t="n">
        <v>12.1</v>
      </c>
      <c r="H194" t="n">
        <v>0</v>
      </c>
      <c r="I194" t="n">
        <v>0</v>
      </c>
      <c r="J194" t="n">
        <v>0</v>
      </c>
      <c r="K194" t="n">
        <v>0</v>
      </c>
      <c r="L194" t="n">
        <v>0</v>
      </c>
      <c r="M194" t="n">
        <v>0</v>
      </c>
      <c r="N194" t="n">
        <v>0</v>
      </c>
      <c r="O194" t="n">
        <v>0</v>
      </c>
      <c r="P194" t="n">
        <v>0</v>
      </c>
      <c r="Q194" t="n">
        <v>0</v>
      </c>
      <c r="R194" s="2" t="inlineStr"/>
    </row>
    <row r="195" ht="15" customHeight="1">
      <c r="A195" t="inlineStr">
        <is>
          <t>A 56148-2022</t>
        </is>
      </c>
      <c r="B195" s="1" t="n">
        <v>44889.89929398148</v>
      </c>
      <c r="C195" s="1" t="n">
        <v>45967</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2627-2024</t>
        </is>
      </c>
      <c r="B196" s="1" t="n">
        <v>45313.9496875</v>
      </c>
      <c r="C196" s="1" t="n">
        <v>45967</v>
      </c>
      <c r="D196" t="inlineStr">
        <is>
          <t>JÄMTLANDS LÄN</t>
        </is>
      </c>
      <c r="E196" t="inlineStr">
        <is>
          <t>ÖSTERSUND</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55105-2022</t>
        </is>
      </c>
      <c r="B197" s="1" t="n">
        <v>44886.63148148148</v>
      </c>
      <c r="C197" s="1" t="n">
        <v>45967</v>
      </c>
      <c r="D197" t="inlineStr">
        <is>
          <t>JÄMTLANDS LÄN</t>
        </is>
      </c>
      <c r="E197" t="inlineStr">
        <is>
          <t>ÖSTERSUND</t>
        </is>
      </c>
      <c r="F197" t="inlineStr">
        <is>
          <t>Övriga Aktiebolag</t>
        </is>
      </c>
      <c r="G197" t="n">
        <v>2.4</v>
      </c>
      <c r="H197" t="n">
        <v>0</v>
      </c>
      <c r="I197" t="n">
        <v>0</v>
      </c>
      <c r="J197" t="n">
        <v>0</v>
      </c>
      <c r="K197" t="n">
        <v>0</v>
      </c>
      <c r="L197" t="n">
        <v>0</v>
      </c>
      <c r="M197" t="n">
        <v>0</v>
      </c>
      <c r="N197" t="n">
        <v>0</v>
      </c>
      <c r="O197" t="n">
        <v>0</v>
      </c>
      <c r="P197" t="n">
        <v>0</v>
      </c>
      <c r="Q197" t="n">
        <v>0</v>
      </c>
      <c r="R197" s="2" t="inlineStr"/>
      <c r="U197">
        <f>HYPERLINK("https://klasma.github.io/Logging_2380/knärot/A 55105-2022 karta knärot.png", "A 55105-2022")</f>
        <v/>
      </c>
      <c r="V197">
        <f>HYPERLINK("https://klasma.github.io/Logging_2380/klagomål/A 55105-2022 FSC-klagomål.docx", "A 55105-2022")</f>
        <v/>
      </c>
      <c r="W197">
        <f>HYPERLINK("https://klasma.github.io/Logging_2380/klagomålsmail/A 55105-2022 FSC-klagomål mail.docx", "A 55105-2022")</f>
        <v/>
      </c>
      <c r="X197">
        <f>HYPERLINK("https://klasma.github.io/Logging_2380/tillsyn/A 55105-2022 tillsynsbegäran.docx", "A 55105-2022")</f>
        <v/>
      </c>
      <c r="Y197">
        <f>HYPERLINK("https://klasma.github.io/Logging_2380/tillsynsmail/A 55105-2022 tillsynsbegäran mail.docx", "A 55105-2022")</f>
        <v/>
      </c>
    </row>
    <row r="198" ht="15" customHeight="1">
      <c r="A198" t="inlineStr">
        <is>
          <t>A 42832-2021</t>
        </is>
      </c>
      <c r="B198" s="1" t="n">
        <v>44430</v>
      </c>
      <c r="C198" s="1" t="n">
        <v>45967</v>
      </c>
      <c r="D198" t="inlineStr">
        <is>
          <t>JÄMTLANDS LÄN</t>
        </is>
      </c>
      <c r="E198" t="inlineStr">
        <is>
          <t>ÖSTERSUND</t>
        </is>
      </c>
      <c r="G198" t="n">
        <v>9</v>
      </c>
      <c r="H198" t="n">
        <v>0</v>
      </c>
      <c r="I198" t="n">
        <v>0</v>
      </c>
      <c r="J198" t="n">
        <v>0</v>
      </c>
      <c r="K198" t="n">
        <v>0</v>
      </c>
      <c r="L198" t="n">
        <v>0</v>
      </c>
      <c r="M198" t="n">
        <v>0</v>
      </c>
      <c r="N198" t="n">
        <v>0</v>
      </c>
      <c r="O198" t="n">
        <v>0</v>
      </c>
      <c r="P198" t="n">
        <v>0</v>
      </c>
      <c r="Q198" t="n">
        <v>0</v>
      </c>
      <c r="R198" s="2" t="inlineStr"/>
    </row>
    <row r="199" ht="15" customHeight="1">
      <c r="A199" t="inlineStr">
        <is>
          <t>A 35755-2021</t>
        </is>
      </c>
      <c r="B199" s="1" t="n">
        <v>44385</v>
      </c>
      <c r="C199" s="1" t="n">
        <v>45967</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66269-2020</t>
        </is>
      </c>
      <c r="B200" s="1" t="n">
        <v>44174</v>
      </c>
      <c r="C200" s="1" t="n">
        <v>45967</v>
      </c>
      <c r="D200" t="inlineStr">
        <is>
          <t>JÄMTLANDS LÄN</t>
        </is>
      </c>
      <c r="E200" t="inlineStr">
        <is>
          <t>ÖSTERSUND</t>
        </is>
      </c>
      <c r="F200" t="inlineStr">
        <is>
          <t>Övriga statliga verk och myndigheter</t>
        </is>
      </c>
      <c r="G200" t="n">
        <v>10</v>
      </c>
      <c r="H200" t="n">
        <v>0</v>
      </c>
      <c r="I200" t="n">
        <v>0</v>
      </c>
      <c r="J200" t="n">
        <v>0</v>
      </c>
      <c r="K200" t="n">
        <v>0</v>
      </c>
      <c r="L200" t="n">
        <v>0</v>
      </c>
      <c r="M200" t="n">
        <v>0</v>
      </c>
      <c r="N200" t="n">
        <v>0</v>
      </c>
      <c r="O200" t="n">
        <v>0</v>
      </c>
      <c r="P200" t="n">
        <v>0</v>
      </c>
      <c r="Q200" t="n">
        <v>0</v>
      </c>
      <c r="R200" s="2" t="inlineStr"/>
    </row>
    <row r="201" ht="15" customHeight="1">
      <c r="A201" t="inlineStr">
        <is>
          <t>A 65428-2021</t>
        </is>
      </c>
      <c r="B201" s="1" t="n">
        <v>44515</v>
      </c>
      <c r="C201" s="1" t="n">
        <v>45967</v>
      </c>
      <c r="D201" t="inlineStr">
        <is>
          <t>JÄMTLANDS LÄN</t>
        </is>
      </c>
      <c r="E201" t="inlineStr">
        <is>
          <t>ÖSTERSUND</t>
        </is>
      </c>
      <c r="F201" t="inlineStr">
        <is>
          <t>SCA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65410-2020</t>
        </is>
      </c>
      <c r="B202" s="1" t="n">
        <v>44173</v>
      </c>
      <c r="C202" s="1" t="n">
        <v>45967</v>
      </c>
      <c r="D202" t="inlineStr">
        <is>
          <t>JÄMTLANDS LÄN</t>
        </is>
      </c>
      <c r="E202" t="inlineStr">
        <is>
          <t>ÖSTERSUND</t>
        </is>
      </c>
      <c r="F202" t="inlineStr">
        <is>
          <t>Kommuner</t>
        </is>
      </c>
      <c r="G202" t="n">
        <v>0.8</v>
      </c>
      <c r="H202" t="n">
        <v>0</v>
      </c>
      <c r="I202" t="n">
        <v>0</v>
      </c>
      <c r="J202" t="n">
        <v>0</v>
      </c>
      <c r="K202" t="n">
        <v>0</v>
      </c>
      <c r="L202" t="n">
        <v>0</v>
      </c>
      <c r="M202" t="n">
        <v>0</v>
      </c>
      <c r="N202" t="n">
        <v>0</v>
      </c>
      <c r="O202" t="n">
        <v>0</v>
      </c>
      <c r="P202" t="n">
        <v>0</v>
      </c>
      <c r="Q202" t="n">
        <v>0</v>
      </c>
      <c r="R202" s="2" t="inlineStr"/>
    </row>
    <row r="203" ht="15" customHeight="1">
      <c r="A203" t="inlineStr">
        <is>
          <t>A 65866-2021</t>
        </is>
      </c>
      <c r="B203" s="1" t="n">
        <v>44516</v>
      </c>
      <c r="C203" s="1" t="n">
        <v>45967</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71956-2021</t>
        </is>
      </c>
      <c r="B204" s="1" t="n">
        <v>44544</v>
      </c>
      <c r="C204" s="1" t="n">
        <v>45967</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29094-2022</t>
        </is>
      </c>
      <c r="B205" s="1" t="n">
        <v>44750</v>
      </c>
      <c r="C205" s="1" t="n">
        <v>45967</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5145-2022</t>
        </is>
      </c>
      <c r="B206" s="1" t="n">
        <v>44594</v>
      </c>
      <c r="C206" s="1" t="n">
        <v>45967</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27575-2022</t>
        </is>
      </c>
      <c r="B207" s="1" t="n">
        <v>44742</v>
      </c>
      <c r="C207" s="1" t="n">
        <v>45967</v>
      </c>
      <c r="D207" t="inlineStr">
        <is>
          <t>JÄMTLANDS LÄN</t>
        </is>
      </c>
      <c r="E207" t="inlineStr">
        <is>
          <t>ÖSTERSUND</t>
        </is>
      </c>
      <c r="F207" t="inlineStr">
        <is>
          <t>SCA</t>
        </is>
      </c>
      <c r="G207" t="n">
        <v>2.4</v>
      </c>
      <c r="H207" t="n">
        <v>0</v>
      </c>
      <c r="I207" t="n">
        <v>0</v>
      </c>
      <c r="J207" t="n">
        <v>0</v>
      </c>
      <c r="K207" t="n">
        <v>0</v>
      </c>
      <c r="L207" t="n">
        <v>0</v>
      </c>
      <c r="M207" t="n">
        <v>0</v>
      </c>
      <c r="N207" t="n">
        <v>0</v>
      </c>
      <c r="O207" t="n">
        <v>0</v>
      </c>
      <c r="P207" t="n">
        <v>0</v>
      </c>
      <c r="Q207" t="n">
        <v>0</v>
      </c>
      <c r="R207" s="2" t="inlineStr"/>
      <c r="U207">
        <f>HYPERLINK("https://klasma.github.io/Logging_2380/knärot/A 27575-2022 karta knärot.png", "A 27575-2022")</f>
        <v/>
      </c>
      <c r="V207">
        <f>HYPERLINK("https://klasma.github.io/Logging_2380/klagomål/A 27575-2022 FSC-klagomål.docx", "A 27575-2022")</f>
        <v/>
      </c>
      <c r="W207">
        <f>HYPERLINK("https://klasma.github.io/Logging_2380/klagomålsmail/A 27575-2022 FSC-klagomål mail.docx", "A 27575-2022")</f>
        <v/>
      </c>
      <c r="X207">
        <f>HYPERLINK("https://klasma.github.io/Logging_2380/tillsyn/A 27575-2022 tillsynsbegäran.docx", "A 27575-2022")</f>
        <v/>
      </c>
      <c r="Y207">
        <f>HYPERLINK("https://klasma.github.io/Logging_2380/tillsynsmail/A 27575-2022 tillsynsbegäran mail.docx", "A 27575-2022")</f>
        <v/>
      </c>
    </row>
    <row r="208" ht="15" customHeight="1">
      <c r="A208" t="inlineStr">
        <is>
          <t>A 57791-2020</t>
        </is>
      </c>
      <c r="B208" s="1" t="n">
        <v>44141</v>
      </c>
      <c r="C208" s="1" t="n">
        <v>45967</v>
      </c>
      <c r="D208" t="inlineStr">
        <is>
          <t>JÄMTLANDS LÄN</t>
        </is>
      </c>
      <c r="E208" t="inlineStr">
        <is>
          <t>ÖSTERSUND</t>
        </is>
      </c>
      <c r="F208" t="inlineStr">
        <is>
          <t>Övriga Aktiebolag</t>
        </is>
      </c>
      <c r="G208" t="n">
        <v>0.8</v>
      </c>
      <c r="H208" t="n">
        <v>0</v>
      </c>
      <c r="I208" t="n">
        <v>0</v>
      </c>
      <c r="J208" t="n">
        <v>0</v>
      </c>
      <c r="K208" t="n">
        <v>0</v>
      </c>
      <c r="L208" t="n">
        <v>0</v>
      </c>
      <c r="M208" t="n">
        <v>0</v>
      </c>
      <c r="N208" t="n">
        <v>0</v>
      </c>
      <c r="O208" t="n">
        <v>0</v>
      </c>
      <c r="P208" t="n">
        <v>0</v>
      </c>
      <c r="Q208" t="n">
        <v>0</v>
      </c>
      <c r="R208" s="2" t="inlineStr"/>
    </row>
    <row r="209" ht="15" customHeight="1">
      <c r="A209" t="inlineStr">
        <is>
          <t>A 65991-2021</t>
        </is>
      </c>
      <c r="B209" s="1" t="n">
        <v>44517.55134259259</v>
      </c>
      <c r="C209" s="1" t="n">
        <v>45967</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57771-2020</t>
        </is>
      </c>
      <c r="B210" s="1" t="n">
        <v>44141</v>
      </c>
      <c r="C210" s="1" t="n">
        <v>45967</v>
      </c>
      <c r="D210" t="inlineStr">
        <is>
          <t>JÄMTLANDS LÄN</t>
        </is>
      </c>
      <c r="E210" t="inlineStr">
        <is>
          <t>ÖSTERSUND</t>
        </is>
      </c>
      <c r="F210" t="inlineStr">
        <is>
          <t>Övriga Aktiebolag</t>
        </is>
      </c>
      <c r="G210" t="n">
        <v>0.8</v>
      </c>
      <c r="H210" t="n">
        <v>0</v>
      </c>
      <c r="I210" t="n">
        <v>0</v>
      </c>
      <c r="J210" t="n">
        <v>0</v>
      </c>
      <c r="K210" t="n">
        <v>0</v>
      </c>
      <c r="L210" t="n">
        <v>0</v>
      </c>
      <c r="M210" t="n">
        <v>0</v>
      </c>
      <c r="N210" t="n">
        <v>0</v>
      </c>
      <c r="O210" t="n">
        <v>0</v>
      </c>
      <c r="P210" t="n">
        <v>0</v>
      </c>
      <c r="Q210" t="n">
        <v>0</v>
      </c>
      <c r="R210" s="2" t="inlineStr"/>
    </row>
    <row r="211" ht="15" customHeight="1">
      <c r="A211" t="inlineStr">
        <is>
          <t>A 10590-2021</t>
        </is>
      </c>
      <c r="B211" s="1" t="n">
        <v>44258</v>
      </c>
      <c r="C211" s="1" t="n">
        <v>45967</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32990-2021</t>
        </is>
      </c>
      <c r="B212" s="1" t="n">
        <v>44375</v>
      </c>
      <c r="C212" s="1" t="n">
        <v>45967</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45967</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21667-2024</t>
        </is>
      </c>
      <c r="B214" s="1" t="n">
        <v>45442.38511574074</v>
      </c>
      <c r="C214" s="1" t="n">
        <v>45967</v>
      </c>
      <c r="D214" t="inlineStr">
        <is>
          <t>JÄMTLANDS LÄN</t>
        </is>
      </c>
      <c r="E214" t="inlineStr">
        <is>
          <t>ÖSTERSUND</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21211-2022</t>
        </is>
      </c>
      <c r="B215" s="1" t="n">
        <v>44704.94370370371</v>
      </c>
      <c r="C215" s="1" t="n">
        <v>45967</v>
      </c>
      <c r="D215" t="inlineStr">
        <is>
          <t>JÄMTLANDS LÄN</t>
        </is>
      </c>
      <c r="E215" t="inlineStr">
        <is>
          <t>ÖSTERSUND</t>
        </is>
      </c>
      <c r="F215" t="inlineStr">
        <is>
          <t>SCA</t>
        </is>
      </c>
      <c r="G215" t="n">
        <v>3</v>
      </c>
      <c r="H215" t="n">
        <v>0</v>
      </c>
      <c r="I215" t="n">
        <v>0</v>
      </c>
      <c r="J215" t="n">
        <v>0</v>
      </c>
      <c r="K215" t="n">
        <v>0</v>
      </c>
      <c r="L215" t="n">
        <v>0</v>
      </c>
      <c r="M215" t="n">
        <v>0</v>
      </c>
      <c r="N215" t="n">
        <v>0</v>
      </c>
      <c r="O215" t="n">
        <v>0</v>
      </c>
      <c r="P215" t="n">
        <v>0</v>
      </c>
      <c r="Q215" t="n">
        <v>0</v>
      </c>
      <c r="R215" s="2" t="inlineStr"/>
    </row>
    <row r="216" ht="15" customHeight="1">
      <c r="A216" t="inlineStr">
        <is>
          <t>A 2756-2024</t>
        </is>
      </c>
      <c r="B216" s="1" t="n">
        <v>45314.58785879629</v>
      </c>
      <c r="C216" s="1" t="n">
        <v>45967</v>
      </c>
      <c r="D216" t="inlineStr">
        <is>
          <t>JÄMTLANDS LÄN</t>
        </is>
      </c>
      <c r="E216" t="inlineStr">
        <is>
          <t>ÖSTERSUND</t>
        </is>
      </c>
      <c r="G216" t="n">
        <v>15</v>
      </c>
      <c r="H216" t="n">
        <v>0</v>
      </c>
      <c r="I216" t="n">
        <v>0</v>
      </c>
      <c r="J216" t="n">
        <v>0</v>
      </c>
      <c r="K216" t="n">
        <v>0</v>
      </c>
      <c r="L216" t="n">
        <v>0</v>
      </c>
      <c r="M216" t="n">
        <v>0</v>
      </c>
      <c r="N216" t="n">
        <v>0</v>
      </c>
      <c r="O216" t="n">
        <v>0</v>
      </c>
      <c r="P216" t="n">
        <v>0</v>
      </c>
      <c r="Q216" t="n">
        <v>0</v>
      </c>
      <c r="R216" s="2" t="inlineStr"/>
    </row>
    <row r="217" ht="15" customHeight="1">
      <c r="A217" t="inlineStr">
        <is>
          <t>A 55002-2024</t>
        </is>
      </c>
      <c r="B217" s="1" t="n">
        <v>45621</v>
      </c>
      <c r="C217" s="1" t="n">
        <v>45967</v>
      </c>
      <c r="D217" t="inlineStr">
        <is>
          <t>JÄMTLANDS LÄN</t>
        </is>
      </c>
      <c r="E217" t="inlineStr">
        <is>
          <t>ÖSTERSUND</t>
        </is>
      </c>
      <c r="F217" t="inlineStr">
        <is>
          <t>Övriga Aktiebolag</t>
        </is>
      </c>
      <c r="G217" t="n">
        <v>0.3</v>
      </c>
      <c r="H217" t="n">
        <v>0</v>
      </c>
      <c r="I217" t="n">
        <v>0</v>
      </c>
      <c r="J217" t="n">
        <v>0</v>
      </c>
      <c r="K217" t="n">
        <v>0</v>
      </c>
      <c r="L217" t="n">
        <v>0</v>
      </c>
      <c r="M217" t="n">
        <v>0</v>
      </c>
      <c r="N217" t="n">
        <v>0</v>
      </c>
      <c r="O217" t="n">
        <v>0</v>
      </c>
      <c r="P217" t="n">
        <v>0</v>
      </c>
      <c r="Q217" t="n">
        <v>0</v>
      </c>
      <c r="R217" s="2" t="inlineStr"/>
    </row>
    <row r="218" ht="15" customHeight="1">
      <c r="A218" t="inlineStr">
        <is>
          <t>A 21849-2021</t>
        </is>
      </c>
      <c r="B218" s="1" t="n">
        <v>44322</v>
      </c>
      <c r="C218" s="1" t="n">
        <v>45967</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24721-2021</t>
        </is>
      </c>
      <c r="B219" s="1" t="n">
        <v>44340</v>
      </c>
      <c r="C219" s="1" t="n">
        <v>45967</v>
      </c>
      <c r="D219" t="inlineStr">
        <is>
          <t>JÄMTLANDS LÄN</t>
        </is>
      </c>
      <c r="E219" t="inlineStr">
        <is>
          <t>ÖSTERSUND</t>
        </is>
      </c>
      <c r="G219" t="n">
        <v>2.7</v>
      </c>
      <c r="H219" t="n">
        <v>0</v>
      </c>
      <c r="I219" t="n">
        <v>0</v>
      </c>
      <c r="J219" t="n">
        <v>0</v>
      </c>
      <c r="K219" t="n">
        <v>0</v>
      </c>
      <c r="L219" t="n">
        <v>0</v>
      </c>
      <c r="M219" t="n">
        <v>0</v>
      </c>
      <c r="N219" t="n">
        <v>0</v>
      </c>
      <c r="O219" t="n">
        <v>0</v>
      </c>
      <c r="P219" t="n">
        <v>0</v>
      </c>
      <c r="Q219" t="n">
        <v>0</v>
      </c>
      <c r="R219" s="2" t="inlineStr"/>
    </row>
    <row r="220" ht="15" customHeight="1">
      <c r="A220" t="inlineStr">
        <is>
          <t>A 2228-2024</t>
        </is>
      </c>
      <c r="B220" s="1" t="n">
        <v>45309</v>
      </c>
      <c r="C220" s="1" t="n">
        <v>45967</v>
      </c>
      <c r="D220" t="inlineStr">
        <is>
          <t>JÄMTLANDS LÄN</t>
        </is>
      </c>
      <c r="E220" t="inlineStr">
        <is>
          <t>ÖSTERSUND</t>
        </is>
      </c>
      <c r="G220" t="n">
        <v>2.5</v>
      </c>
      <c r="H220" t="n">
        <v>0</v>
      </c>
      <c r="I220" t="n">
        <v>0</v>
      </c>
      <c r="J220" t="n">
        <v>0</v>
      </c>
      <c r="K220" t="n">
        <v>0</v>
      </c>
      <c r="L220" t="n">
        <v>0</v>
      </c>
      <c r="M220" t="n">
        <v>0</v>
      </c>
      <c r="N220" t="n">
        <v>0</v>
      </c>
      <c r="O220" t="n">
        <v>0</v>
      </c>
      <c r="P220" t="n">
        <v>0</v>
      </c>
      <c r="Q220" t="n">
        <v>0</v>
      </c>
      <c r="R220" s="2" t="inlineStr"/>
    </row>
    <row r="221" ht="15" customHeight="1">
      <c r="A221" t="inlineStr">
        <is>
          <t>A 27294-2023</t>
        </is>
      </c>
      <c r="B221" s="1" t="n">
        <v>45092</v>
      </c>
      <c r="C221" s="1" t="n">
        <v>45967</v>
      </c>
      <c r="D221" t="inlineStr">
        <is>
          <t>JÄMTLANDS LÄN</t>
        </is>
      </c>
      <c r="E221" t="inlineStr">
        <is>
          <t>ÖSTERSUND</t>
        </is>
      </c>
      <c r="G221" t="n">
        <v>2.8</v>
      </c>
      <c r="H221" t="n">
        <v>0</v>
      </c>
      <c r="I221" t="n">
        <v>0</v>
      </c>
      <c r="J221" t="n">
        <v>0</v>
      </c>
      <c r="K221" t="n">
        <v>0</v>
      </c>
      <c r="L221" t="n">
        <v>0</v>
      </c>
      <c r="M221" t="n">
        <v>0</v>
      </c>
      <c r="N221" t="n">
        <v>0</v>
      </c>
      <c r="O221" t="n">
        <v>0</v>
      </c>
      <c r="P221" t="n">
        <v>0</v>
      </c>
      <c r="Q221" t="n">
        <v>0</v>
      </c>
      <c r="R221" s="2" t="inlineStr"/>
    </row>
    <row r="222" ht="15" customHeight="1">
      <c r="A222" t="inlineStr">
        <is>
          <t>A 24246-2024</t>
        </is>
      </c>
      <c r="B222" s="1" t="n">
        <v>45457.37893518519</v>
      </c>
      <c r="C222" s="1" t="n">
        <v>45967</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6351-2024</t>
        </is>
      </c>
      <c r="B223" s="1" t="n">
        <v>45338</v>
      </c>
      <c r="C223" s="1" t="n">
        <v>45967</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20400-2024</t>
        </is>
      </c>
      <c r="B224" s="1" t="n">
        <v>45435.55372685185</v>
      </c>
      <c r="C224" s="1" t="n">
        <v>45967</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1670-2024</t>
        </is>
      </c>
      <c r="B225" s="1" t="n">
        <v>45306</v>
      </c>
      <c r="C225" s="1" t="n">
        <v>45967</v>
      </c>
      <c r="D225" t="inlineStr">
        <is>
          <t>JÄMTLANDS LÄN</t>
        </is>
      </c>
      <c r="E225" t="inlineStr">
        <is>
          <t>ÖSTERSUND</t>
        </is>
      </c>
      <c r="G225" t="n">
        <v>1.2</v>
      </c>
      <c r="H225" t="n">
        <v>0</v>
      </c>
      <c r="I225" t="n">
        <v>0</v>
      </c>
      <c r="J225" t="n">
        <v>0</v>
      </c>
      <c r="K225" t="n">
        <v>0</v>
      </c>
      <c r="L225" t="n">
        <v>0</v>
      </c>
      <c r="M225" t="n">
        <v>0</v>
      </c>
      <c r="N225" t="n">
        <v>0</v>
      </c>
      <c r="O225" t="n">
        <v>0</v>
      </c>
      <c r="P225" t="n">
        <v>0</v>
      </c>
      <c r="Q225" t="n">
        <v>0</v>
      </c>
      <c r="R225" s="2" t="inlineStr"/>
    </row>
    <row r="226" ht="15" customHeight="1">
      <c r="A226" t="inlineStr">
        <is>
          <t>A 14867-2025</t>
        </is>
      </c>
      <c r="B226" s="1" t="n">
        <v>45743.44207175926</v>
      </c>
      <c r="C226" s="1" t="n">
        <v>45967</v>
      </c>
      <c r="D226" t="inlineStr">
        <is>
          <t>JÄMTLANDS LÄN</t>
        </is>
      </c>
      <c r="E226" t="inlineStr">
        <is>
          <t>ÖSTERSUND</t>
        </is>
      </c>
      <c r="G226" t="n">
        <v>3.3</v>
      </c>
      <c r="H226" t="n">
        <v>0</v>
      </c>
      <c r="I226" t="n">
        <v>0</v>
      </c>
      <c r="J226" t="n">
        <v>0</v>
      </c>
      <c r="K226" t="n">
        <v>0</v>
      </c>
      <c r="L226" t="n">
        <v>0</v>
      </c>
      <c r="M226" t="n">
        <v>0</v>
      </c>
      <c r="N226" t="n">
        <v>0</v>
      </c>
      <c r="O226" t="n">
        <v>0</v>
      </c>
      <c r="P226" t="n">
        <v>0</v>
      </c>
      <c r="Q226" t="n">
        <v>0</v>
      </c>
      <c r="R226" s="2" t="inlineStr"/>
    </row>
    <row r="227" ht="15" customHeight="1">
      <c r="A227" t="inlineStr">
        <is>
          <t>A 14947-2025</t>
        </is>
      </c>
      <c r="B227" s="1" t="n">
        <v>45743.57336805556</v>
      </c>
      <c r="C227" s="1" t="n">
        <v>45967</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28179-2024</t>
        </is>
      </c>
      <c r="B228" s="1" t="n">
        <v>45477.26746527778</v>
      </c>
      <c r="C228" s="1" t="n">
        <v>45967</v>
      </c>
      <c r="D228" t="inlineStr">
        <is>
          <t>JÄMTLANDS LÄN</t>
        </is>
      </c>
      <c r="E228" t="inlineStr">
        <is>
          <t>ÖSTERSUND</t>
        </is>
      </c>
      <c r="G228" t="n">
        <v>2.2</v>
      </c>
      <c r="H228" t="n">
        <v>0</v>
      </c>
      <c r="I228" t="n">
        <v>0</v>
      </c>
      <c r="J228" t="n">
        <v>0</v>
      </c>
      <c r="K228" t="n">
        <v>0</v>
      </c>
      <c r="L228" t="n">
        <v>0</v>
      </c>
      <c r="M228" t="n">
        <v>0</v>
      </c>
      <c r="N228" t="n">
        <v>0</v>
      </c>
      <c r="O228" t="n">
        <v>0</v>
      </c>
      <c r="P228" t="n">
        <v>0</v>
      </c>
      <c r="Q228" t="n">
        <v>0</v>
      </c>
      <c r="R228" s="2" t="inlineStr"/>
    </row>
    <row r="229" ht="15" customHeight="1">
      <c r="A229" t="inlineStr">
        <is>
          <t>A 14518-2023</t>
        </is>
      </c>
      <c r="B229" s="1" t="n">
        <v>45012</v>
      </c>
      <c r="C229" s="1" t="n">
        <v>45967</v>
      </c>
      <c r="D229" t="inlineStr">
        <is>
          <t>JÄMTLANDS LÄN</t>
        </is>
      </c>
      <c r="E229" t="inlineStr">
        <is>
          <t>ÖSTERSUND</t>
        </is>
      </c>
      <c r="G229" t="n">
        <v>14.4</v>
      </c>
      <c r="H229" t="n">
        <v>0</v>
      </c>
      <c r="I229" t="n">
        <v>0</v>
      </c>
      <c r="J229" t="n">
        <v>0</v>
      </c>
      <c r="K229" t="n">
        <v>0</v>
      </c>
      <c r="L229" t="n">
        <v>0</v>
      </c>
      <c r="M229" t="n">
        <v>0</v>
      </c>
      <c r="N229" t="n">
        <v>0</v>
      </c>
      <c r="O229" t="n">
        <v>0</v>
      </c>
      <c r="P229" t="n">
        <v>0</v>
      </c>
      <c r="Q229" t="n">
        <v>0</v>
      </c>
      <c r="R229" s="2" t="inlineStr"/>
    </row>
    <row r="230" ht="15" customHeight="1">
      <c r="A230" t="inlineStr">
        <is>
          <t>A 49192-2024</t>
        </is>
      </c>
      <c r="B230" s="1" t="n">
        <v>45595.34762731481</v>
      </c>
      <c r="C230" s="1" t="n">
        <v>45967</v>
      </c>
      <c r="D230" t="inlineStr">
        <is>
          <t>JÄMTLANDS LÄN</t>
        </is>
      </c>
      <c r="E230" t="inlineStr">
        <is>
          <t>ÖSTERSUND</t>
        </is>
      </c>
      <c r="G230" t="n">
        <v>1.1</v>
      </c>
      <c r="H230" t="n">
        <v>0</v>
      </c>
      <c r="I230" t="n">
        <v>0</v>
      </c>
      <c r="J230" t="n">
        <v>0</v>
      </c>
      <c r="K230" t="n">
        <v>0</v>
      </c>
      <c r="L230" t="n">
        <v>0</v>
      </c>
      <c r="M230" t="n">
        <v>0</v>
      </c>
      <c r="N230" t="n">
        <v>0</v>
      </c>
      <c r="O230" t="n">
        <v>0</v>
      </c>
      <c r="P230" t="n">
        <v>0</v>
      </c>
      <c r="Q230" t="n">
        <v>0</v>
      </c>
      <c r="R230" s="2" t="inlineStr"/>
    </row>
    <row r="231" ht="15" customHeight="1">
      <c r="A231" t="inlineStr">
        <is>
          <t>A 54237-2024</t>
        </is>
      </c>
      <c r="B231" s="1" t="n">
        <v>45616.67833333334</v>
      </c>
      <c r="C231" s="1" t="n">
        <v>45967</v>
      </c>
      <c r="D231" t="inlineStr">
        <is>
          <t>JÄMTLANDS LÄN</t>
        </is>
      </c>
      <c r="E231" t="inlineStr">
        <is>
          <t>ÖSTERSUND</t>
        </is>
      </c>
      <c r="F231" t="inlineStr">
        <is>
          <t>SCA</t>
        </is>
      </c>
      <c r="G231" t="n">
        <v>8.9</v>
      </c>
      <c r="H231" t="n">
        <v>0</v>
      </c>
      <c r="I231" t="n">
        <v>0</v>
      </c>
      <c r="J231" t="n">
        <v>0</v>
      </c>
      <c r="K231" t="n">
        <v>0</v>
      </c>
      <c r="L231" t="n">
        <v>0</v>
      </c>
      <c r="M231" t="n">
        <v>0</v>
      </c>
      <c r="N231" t="n">
        <v>0</v>
      </c>
      <c r="O231" t="n">
        <v>0</v>
      </c>
      <c r="P231" t="n">
        <v>0</v>
      </c>
      <c r="Q231" t="n">
        <v>0</v>
      </c>
      <c r="R231" s="2" t="inlineStr"/>
    </row>
    <row r="232" ht="15" customHeight="1">
      <c r="A232" t="inlineStr">
        <is>
          <t>A 44013-2021</t>
        </is>
      </c>
      <c r="B232" s="1" t="n">
        <v>44434</v>
      </c>
      <c r="C232" s="1" t="n">
        <v>45967</v>
      </c>
      <c r="D232" t="inlineStr">
        <is>
          <t>JÄMTLANDS LÄN</t>
        </is>
      </c>
      <c r="E232" t="inlineStr">
        <is>
          <t>ÖSTERSUND</t>
        </is>
      </c>
      <c r="G232" t="n">
        <v>1.9</v>
      </c>
      <c r="H232" t="n">
        <v>0</v>
      </c>
      <c r="I232" t="n">
        <v>0</v>
      </c>
      <c r="J232" t="n">
        <v>0</v>
      </c>
      <c r="K232" t="n">
        <v>0</v>
      </c>
      <c r="L232" t="n">
        <v>0</v>
      </c>
      <c r="M232" t="n">
        <v>0</v>
      </c>
      <c r="N232" t="n">
        <v>0</v>
      </c>
      <c r="O232" t="n">
        <v>0</v>
      </c>
      <c r="P232" t="n">
        <v>0</v>
      </c>
      <c r="Q232" t="n">
        <v>0</v>
      </c>
      <c r="R232" s="2" t="inlineStr"/>
    </row>
    <row r="233" ht="15" customHeight="1">
      <c r="A233" t="inlineStr">
        <is>
          <t>A 11182-2025</t>
        </is>
      </c>
      <c r="B233" s="1" t="n">
        <v>45725.44297453704</v>
      </c>
      <c r="C233" s="1" t="n">
        <v>45967</v>
      </c>
      <c r="D233" t="inlineStr">
        <is>
          <t>JÄMTLANDS LÄN</t>
        </is>
      </c>
      <c r="E233" t="inlineStr">
        <is>
          <t>ÖSTERSUND</t>
        </is>
      </c>
      <c r="G233" t="n">
        <v>3.3</v>
      </c>
      <c r="H233" t="n">
        <v>0</v>
      </c>
      <c r="I233" t="n">
        <v>0</v>
      </c>
      <c r="J233" t="n">
        <v>0</v>
      </c>
      <c r="K233" t="n">
        <v>0</v>
      </c>
      <c r="L233" t="n">
        <v>0</v>
      </c>
      <c r="M233" t="n">
        <v>0</v>
      </c>
      <c r="N233" t="n">
        <v>0</v>
      </c>
      <c r="O233" t="n">
        <v>0</v>
      </c>
      <c r="P233" t="n">
        <v>0</v>
      </c>
      <c r="Q233" t="n">
        <v>0</v>
      </c>
      <c r="R233" s="2" t="inlineStr"/>
    </row>
    <row r="234" ht="15" customHeight="1">
      <c r="A234" t="inlineStr">
        <is>
          <t>A 27906-2024</t>
        </is>
      </c>
      <c r="B234" s="1" t="n">
        <v>45475.94585648148</v>
      </c>
      <c r="C234" s="1" t="n">
        <v>45967</v>
      </c>
      <c r="D234" t="inlineStr">
        <is>
          <t>JÄMTLANDS LÄN</t>
        </is>
      </c>
      <c r="E234" t="inlineStr">
        <is>
          <t>ÖSTERSUND</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52128-2023</t>
        </is>
      </c>
      <c r="B235" s="1" t="n">
        <v>45223</v>
      </c>
      <c r="C235" s="1" t="n">
        <v>45967</v>
      </c>
      <c r="D235" t="inlineStr">
        <is>
          <t>JÄMTLANDS LÄN</t>
        </is>
      </c>
      <c r="E235" t="inlineStr">
        <is>
          <t>ÖSTERSUND</t>
        </is>
      </c>
      <c r="F235" t="inlineStr">
        <is>
          <t>SCA</t>
        </is>
      </c>
      <c r="G235" t="n">
        <v>11.9</v>
      </c>
      <c r="H235" t="n">
        <v>0</v>
      </c>
      <c r="I235" t="n">
        <v>0</v>
      </c>
      <c r="J235" t="n">
        <v>0</v>
      </c>
      <c r="K235" t="n">
        <v>0</v>
      </c>
      <c r="L235" t="n">
        <v>0</v>
      </c>
      <c r="M235" t="n">
        <v>0</v>
      </c>
      <c r="N235" t="n">
        <v>0</v>
      </c>
      <c r="O235" t="n">
        <v>0</v>
      </c>
      <c r="P235" t="n">
        <v>0</v>
      </c>
      <c r="Q235" t="n">
        <v>0</v>
      </c>
      <c r="R235" s="2" t="inlineStr"/>
    </row>
    <row r="236" ht="15" customHeight="1">
      <c r="A236" t="inlineStr">
        <is>
          <t>A 69190-2021</t>
        </is>
      </c>
      <c r="B236" s="1" t="n">
        <v>44529</v>
      </c>
      <c r="C236" s="1" t="n">
        <v>45967</v>
      </c>
      <c r="D236" t="inlineStr">
        <is>
          <t>JÄMTLANDS LÄN</t>
        </is>
      </c>
      <c r="E236" t="inlineStr">
        <is>
          <t>ÖSTERSUND</t>
        </is>
      </c>
      <c r="G236" t="n">
        <v>4.2</v>
      </c>
      <c r="H236" t="n">
        <v>0</v>
      </c>
      <c r="I236" t="n">
        <v>0</v>
      </c>
      <c r="J236" t="n">
        <v>0</v>
      </c>
      <c r="K236" t="n">
        <v>0</v>
      </c>
      <c r="L236" t="n">
        <v>0</v>
      </c>
      <c r="M236" t="n">
        <v>0</v>
      </c>
      <c r="N236" t="n">
        <v>0</v>
      </c>
      <c r="O236" t="n">
        <v>0</v>
      </c>
      <c r="P236" t="n">
        <v>0</v>
      </c>
      <c r="Q236" t="n">
        <v>0</v>
      </c>
      <c r="R236" s="2" t="inlineStr"/>
    </row>
    <row r="237" ht="15" customHeight="1">
      <c r="A237" t="inlineStr">
        <is>
          <t>A 13166-2023</t>
        </is>
      </c>
      <c r="B237" s="1" t="n">
        <v>45002</v>
      </c>
      <c r="C237" s="1" t="n">
        <v>45967</v>
      </c>
      <c r="D237" t="inlineStr">
        <is>
          <t>JÄMTLANDS LÄN</t>
        </is>
      </c>
      <c r="E237" t="inlineStr">
        <is>
          <t>ÖSTERSUND</t>
        </is>
      </c>
      <c r="F237" t="inlineStr">
        <is>
          <t>Övriga statliga verk och myndigheter</t>
        </is>
      </c>
      <c r="G237" t="n">
        <v>1</v>
      </c>
      <c r="H237" t="n">
        <v>0</v>
      </c>
      <c r="I237" t="n">
        <v>0</v>
      </c>
      <c r="J237" t="n">
        <v>0</v>
      </c>
      <c r="K237" t="n">
        <v>0</v>
      </c>
      <c r="L237" t="n">
        <v>0</v>
      </c>
      <c r="M237" t="n">
        <v>0</v>
      </c>
      <c r="N237" t="n">
        <v>0</v>
      </c>
      <c r="O237" t="n">
        <v>0</v>
      </c>
      <c r="P237" t="n">
        <v>0</v>
      </c>
      <c r="Q237" t="n">
        <v>0</v>
      </c>
      <c r="R237" s="2" t="inlineStr"/>
    </row>
    <row r="238" ht="15" customHeight="1">
      <c r="A238" t="inlineStr">
        <is>
          <t>A 30217-2022</t>
        </is>
      </c>
      <c r="B238" s="1" t="n">
        <v>44757.92671296297</v>
      </c>
      <c r="C238" s="1" t="n">
        <v>45967</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4707-2024</t>
        </is>
      </c>
      <c r="B239" s="1" t="n">
        <v>45328</v>
      </c>
      <c r="C239" s="1" t="n">
        <v>45967</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9109-2024</t>
        </is>
      </c>
      <c r="B240" s="1" t="n">
        <v>45357.96106481482</v>
      </c>
      <c r="C240" s="1" t="n">
        <v>45967</v>
      </c>
      <c r="D240" t="inlineStr">
        <is>
          <t>JÄMTLANDS LÄN</t>
        </is>
      </c>
      <c r="E240" t="inlineStr">
        <is>
          <t>ÖSTERSUND</t>
        </is>
      </c>
      <c r="G240" t="n">
        <v>17.1</v>
      </c>
      <c r="H240" t="n">
        <v>0</v>
      </c>
      <c r="I240" t="n">
        <v>0</v>
      </c>
      <c r="J240" t="n">
        <v>0</v>
      </c>
      <c r="K240" t="n">
        <v>0</v>
      </c>
      <c r="L240" t="n">
        <v>0</v>
      </c>
      <c r="M240" t="n">
        <v>0</v>
      </c>
      <c r="N240" t="n">
        <v>0</v>
      </c>
      <c r="O240" t="n">
        <v>0</v>
      </c>
      <c r="P240" t="n">
        <v>0</v>
      </c>
      <c r="Q240" t="n">
        <v>0</v>
      </c>
      <c r="R240" s="2" t="inlineStr"/>
    </row>
    <row r="241" ht="15" customHeight="1">
      <c r="A241" t="inlineStr">
        <is>
          <t>A 17066-2024</t>
        </is>
      </c>
      <c r="B241" s="1" t="n">
        <v>45412.46636574074</v>
      </c>
      <c r="C241" s="1" t="n">
        <v>45967</v>
      </c>
      <c r="D241" t="inlineStr">
        <is>
          <t>JÄMTLANDS LÄN</t>
        </is>
      </c>
      <c r="E241" t="inlineStr">
        <is>
          <t>ÖSTERSUND</t>
        </is>
      </c>
      <c r="G241" t="n">
        <v>4.2</v>
      </c>
      <c r="H241" t="n">
        <v>0</v>
      </c>
      <c r="I241" t="n">
        <v>0</v>
      </c>
      <c r="J241" t="n">
        <v>0</v>
      </c>
      <c r="K241" t="n">
        <v>0</v>
      </c>
      <c r="L241" t="n">
        <v>0</v>
      </c>
      <c r="M241" t="n">
        <v>0</v>
      </c>
      <c r="N241" t="n">
        <v>0</v>
      </c>
      <c r="O241" t="n">
        <v>0</v>
      </c>
      <c r="P241" t="n">
        <v>0</v>
      </c>
      <c r="Q241" t="n">
        <v>0</v>
      </c>
      <c r="R241" s="2" t="inlineStr"/>
    </row>
    <row r="242" ht="15" customHeight="1">
      <c r="A242" t="inlineStr">
        <is>
          <t>A 46732-2024</t>
        </is>
      </c>
      <c r="B242" s="1" t="n">
        <v>45583.46936342592</v>
      </c>
      <c r="C242" s="1" t="n">
        <v>45967</v>
      </c>
      <c r="D242" t="inlineStr">
        <is>
          <t>JÄMTLANDS LÄN</t>
        </is>
      </c>
      <c r="E242" t="inlineStr">
        <is>
          <t>ÖSTERSUND</t>
        </is>
      </c>
      <c r="G242" t="n">
        <v>3.3</v>
      </c>
      <c r="H242" t="n">
        <v>0</v>
      </c>
      <c r="I242" t="n">
        <v>0</v>
      </c>
      <c r="J242" t="n">
        <v>0</v>
      </c>
      <c r="K242" t="n">
        <v>0</v>
      </c>
      <c r="L242" t="n">
        <v>0</v>
      </c>
      <c r="M242" t="n">
        <v>0</v>
      </c>
      <c r="N242" t="n">
        <v>0</v>
      </c>
      <c r="O242" t="n">
        <v>0</v>
      </c>
      <c r="P242" t="n">
        <v>0</v>
      </c>
      <c r="Q242" t="n">
        <v>0</v>
      </c>
      <c r="R242" s="2" t="inlineStr"/>
    </row>
    <row r="243" ht="15" customHeight="1">
      <c r="A243" t="inlineStr">
        <is>
          <t>A 45895-2024</t>
        </is>
      </c>
      <c r="B243" s="1" t="n">
        <v>45580.42736111111</v>
      </c>
      <c r="C243" s="1" t="n">
        <v>45967</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61256-2022</t>
        </is>
      </c>
      <c r="B244" s="1" t="n">
        <v>44909</v>
      </c>
      <c r="C244" s="1" t="n">
        <v>45967</v>
      </c>
      <c r="D244" t="inlineStr">
        <is>
          <t>JÄMTLANDS LÄN</t>
        </is>
      </c>
      <c r="E244" t="inlineStr">
        <is>
          <t>ÖSTERSUND</t>
        </is>
      </c>
      <c r="G244" t="n">
        <v>3.9</v>
      </c>
      <c r="H244" t="n">
        <v>0</v>
      </c>
      <c r="I244" t="n">
        <v>0</v>
      </c>
      <c r="J244" t="n">
        <v>0</v>
      </c>
      <c r="K244" t="n">
        <v>0</v>
      </c>
      <c r="L244" t="n">
        <v>0</v>
      </c>
      <c r="M244" t="n">
        <v>0</v>
      </c>
      <c r="N244" t="n">
        <v>0</v>
      </c>
      <c r="O244" t="n">
        <v>0</v>
      </c>
      <c r="P244" t="n">
        <v>0</v>
      </c>
      <c r="Q244" t="n">
        <v>0</v>
      </c>
      <c r="R244" s="2" t="inlineStr"/>
    </row>
    <row r="245" ht="15" customHeight="1">
      <c r="A245" t="inlineStr">
        <is>
          <t>A 4350-2024</t>
        </is>
      </c>
      <c r="B245" s="1" t="n">
        <v>45324.93804398148</v>
      </c>
      <c r="C245" s="1" t="n">
        <v>45967</v>
      </c>
      <c r="D245" t="inlineStr">
        <is>
          <t>JÄMTLANDS LÄN</t>
        </is>
      </c>
      <c r="E245" t="inlineStr">
        <is>
          <t>ÖSTERSUND</t>
        </is>
      </c>
      <c r="F245" t="inlineStr">
        <is>
          <t>SCA</t>
        </is>
      </c>
      <c r="G245" t="n">
        <v>6</v>
      </c>
      <c r="H245" t="n">
        <v>0</v>
      </c>
      <c r="I245" t="n">
        <v>0</v>
      </c>
      <c r="J245" t="n">
        <v>0</v>
      </c>
      <c r="K245" t="n">
        <v>0</v>
      </c>
      <c r="L245" t="n">
        <v>0</v>
      </c>
      <c r="M245" t="n">
        <v>0</v>
      </c>
      <c r="N245" t="n">
        <v>0</v>
      </c>
      <c r="O245" t="n">
        <v>0</v>
      </c>
      <c r="P245" t="n">
        <v>0</v>
      </c>
      <c r="Q245" t="n">
        <v>0</v>
      </c>
      <c r="R245" s="2" t="inlineStr"/>
    </row>
    <row r="246" ht="15" customHeight="1">
      <c r="A246" t="inlineStr">
        <is>
          <t>A 72061-2021</t>
        </is>
      </c>
      <c r="B246" s="1" t="n">
        <v>44540</v>
      </c>
      <c r="C246" s="1" t="n">
        <v>45967</v>
      </c>
      <c r="D246" t="inlineStr">
        <is>
          <t>JÄMTLANDS LÄN</t>
        </is>
      </c>
      <c r="E246" t="inlineStr">
        <is>
          <t>ÖSTERSUND</t>
        </is>
      </c>
      <c r="G246" t="n">
        <v>5.3</v>
      </c>
      <c r="H246" t="n">
        <v>0</v>
      </c>
      <c r="I246" t="n">
        <v>0</v>
      </c>
      <c r="J246" t="n">
        <v>0</v>
      </c>
      <c r="K246" t="n">
        <v>0</v>
      </c>
      <c r="L246" t="n">
        <v>0</v>
      </c>
      <c r="M246" t="n">
        <v>0</v>
      </c>
      <c r="N246" t="n">
        <v>0</v>
      </c>
      <c r="O246" t="n">
        <v>0</v>
      </c>
      <c r="P246" t="n">
        <v>0</v>
      </c>
      <c r="Q246" t="n">
        <v>0</v>
      </c>
      <c r="R246" s="2" t="inlineStr"/>
    </row>
    <row r="247" ht="15" customHeight="1">
      <c r="A247" t="inlineStr">
        <is>
          <t>A 60560-2022</t>
        </is>
      </c>
      <c r="B247" s="1" t="n">
        <v>44911.54984953703</v>
      </c>
      <c r="C247" s="1" t="n">
        <v>45967</v>
      </c>
      <c r="D247" t="inlineStr">
        <is>
          <t>JÄMTLANDS LÄN</t>
        </is>
      </c>
      <c r="E247" t="inlineStr">
        <is>
          <t>ÖSTERSUND</t>
        </is>
      </c>
      <c r="G247" t="n">
        <v>0.9</v>
      </c>
      <c r="H247" t="n">
        <v>0</v>
      </c>
      <c r="I247" t="n">
        <v>0</v>
      </c>
      <c r="J247" t="n">
        <v>0</v>
      </c>
      <c r="K247" t="n">
        <v>0</v>
      </c>
      <c r="L247" t="n">
        <v>0</v>
      </c>
      <c r="M247" t="n">
        <v>0</v>
      </c>
      <c r="N247" t="n">
        <v>0</v>
      </c>
      <c r="O247" t="n">
        <v>0</v>
      </c>
      <c r="P247" t="n">
        <v>0</v>
      </c>
      <c r="Q247" t="n">
        <v>0</v>
      </c>
      <c r="R247" s="2" t="inlineStr"/>
    </row>
    <row r="248" ht="15" customHeight="1">
      <c r="A248" t="inlineStr">
        <is>
          <t>A 25187-2024</t>
        </is>
      </c>
      <c r="B248" s="1" t="n">
        <v>45462.56172453704</v>
      </c>
      <c r="C248" s="1" t="n">
        <v>45967</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38335-2023</t>
        </is>
      </c>
      <c r="B249" s="1" t="n">
        <v>45161</v>
      </c>
      <c r="C249" s="1" t="n">
        <v>45967</v>
      </c>
      <c r="D249" t="inlineStr">
        <is>
          <t>JÄMTLANDS LÄN</t>
        </is>
      </c>
      <c r="E249" t="inlineStr">
        <is>
          <t>ÖSTERSUND</t>
        </is>
      </c>
      <c r="G249" t="n">
        <v>15.1</v>
      </c>
      <c r="H249" t="n">
        <v>0</v>
      </c>
      <c r="I249" t="n">
        <v>0</v>
      </c>
      <c r="J249" t="n">
        <v>0</v>
      </c>
      <c r="K249" t="n">
        <v>0</v>
      </c>
      <c r="L249" t="n">
        <v>0</v>
      </c>
      <c r="M249" t="n">
        <v>0</v>
      </c>
      <c r="N249" t="n">
        <v>0</v>
      </c>
      <c r="O249" t="n">
        <v>0</v>
      </c>
      <c r="P249" t="n">
        <v>0</v>
      </c>
      <c r="Q249" t="n">
        <v>0</v>
      </c>
      <c r="R249" s="2" t="inlineStr"/>
    </row>
    <row r="250" ht="15" customHeight="1">
      <c r="A250" t="inlineStr">
        <is>
          <t>A 14657-2022</t>
        </is>
      </c>
      <c r="B250" s="1" t="n">
        <v>44655</v>
      </c>
      <c r="C250" s="1" t="n">
        <v>45967</v>
      </c>
      <c r="D250" t="inlineStr">
        <is>
          <t>JÄMTLANDS LÄN</t>
        </is>
      </c>
      <c r="E250" t="inlineStr">
        <is>
          <t>ÖSTERSUND</t>
        </is>
      </c>
      <c r="G250" t="n">
        <v>1.1</v>
      </c>
      <c r="H250" t="n">
        <v>0</v>
      </c>
      <c r="I250" t="n">
        <v>0</v>
      </c>
      <c r="J250" t="n">
        <v>0</v>
      </c>
      <c r="K250" t="n">
        <v>0</v>
      </c>
      <c r="L250" t="n">
        <v>0</v>
      </c>
      <c r="M250" t="n">
        <v>0</v>
      </c>
      <c r="N250" t="n">
        <v>0</v>
      </c>
      <c r="O250" t="n">
        <v>0</v>
      </c>
      <c r="P250" t="n">
        <v>0</v>
      </c>
      <c r="Q250" t="n">
        <v>0</v>
      </c>
      <c r="R250" s="2" t="inlineStr"/>
    </row>
    <row r="251" ht="15" customHeight="1">
      <c r="A251" t="inlineStr">
        <is>
          <t>A 37597-2023</t>
        </is>
      </c>
      <c r="B251" s="1" t="n">
        <v>45159.42180555555</v>
      </c>
      <c r="C251" s="1" t="n">
        <v>45967</v>
      </c>
      <c r="D251" t="inlineStr">
        <is>
          <t>JÄMTLANDS LÄN</t>
        </is>
      </c>
      <c r="E251" t="inlineStr">
        <is>
          <t>ÖSTERSUND</t>
        </is>
      </c>
      <c r="G251" t="n">
        <v>4.7</v>
      </c>
      <c r="H251" t="n">
        <v>0</v>
      </c>
      <c r="I251" t="n">
        <v>0</v>
      </c>
      <c r="J251" t="n">
        <v>0</v>
      </c>
      <c r="K251" t="n">
        <v>0</v>
      </c>
      <c r="L251" t="n">
        <v>0</v>
      </c>
      <c r="M251" t="n">
        <v>0</v>
      </c>
      <c r="N251" t="n">
        <v>0</v>
      </c>
      <c r="O251" t="n">
        <v>0</v>
      </c>
      <c r="P251" t="n">
        <v>0</v>
      </c>
      <c r="Q251" t="n">
        <v>0</v>
      </c>
      <c r="R251" s="2" t="inlineStr"/>
    </row>
    <row r="252" ht="15" customHeight="1">
      <c r="A252" t="inlineStr">
        <is>
          <t>A 3997-2025</t>
        </is>
      </c>
      <c r="B252" s="1" t="n">
        <v>45684.56725694444</v>
      </c>
      <c r="C252" s="1" t="n">
        <v>45967</v>
      </c>
      <c r="D252" t="inlineStr">
        <is>
          <t>JÄMTLANDS LÄN</t>
        </is>
      </c>
      <c r="E252" t="inlineStr">
        <is>
          <t>ÖSTERSUND</t>
        </is>
      </c>
      <c r="G252" t="n">
        <v>1.9</v>
      </c>
      <c r="H252" t="n">
        <v>0</v>
      </c>
      <c r="I252" t="n">
        <v>0</v>
      </c>
      <c r="J252" t="n">
        <v>0</v>
      </c>
      <c r="K252" t="n">
        <v>0</v>
      </c>
      <c r="L252" t="n">
        <v>0</v>
      </c>
      <c r="M252" t="n">
        <v>0</v>
      </c>
      <c r="N252" t="n">
        <v>0</v>
      </c>
      <c r="O252" t="n">
        <v>0</v>
      </c>
      <c r="P252" t="n">
        <v>0</v>
      </c>
      <c r="Q252" t="n">
        <v>0</v>
      </c>
      <c r="R252" s="2" t="inlineStr"/>
    </row>
    <row r="253" ht="15" customHeight="1">
      <c r="A253" t="inlineStr">
        <is>
          <t>A 55064-2024</t>
        </is>
      </c>
      <c r="B253" s="1" t="n">
        <v>45621.41050925926</v>
      </c>
      <c r="C253" s="1" t="n">
        <v>45967</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45338-2024</t>
        </is>
      </c>
      <c r="B254" s="1" t="n">
        <v>45576.46905092592</v>
      </c>
      <c r="C254" s="1" t="n">
        <v>45967</v>
      </c>
      <c r="D254" t="inlineStr">
        <is>
          <t>JÄMTLANDS LÄN</t>
        </is>
      </c>
      <c r="E254" t="inlineStr">
        <is>
          <t>ÖSTERSUND</t>
        </is>
      </c>
      <c r="G254" t="n">
        <v>1.4</v>
      </c>
      <c r="H254" t="n">
        <v>0</v>
      </c>
      <c r="I254" t="n">
        <v>0</v>
      </c>
      <c r="J254" t="n">
        <v>0</v>
      </c>
      <c r="K254" t="n">
        <v>0</v>
      </c>
      <c r="L254" t="n">
        <v>0</v>
      </c>
      <c r="M254" t="n">
        <v>0</v>
      </c>
      <c r="N254" t="n">
        <v>0</v>
      </c>
      <c r="O254" t="n">
        <v>0</v>
      </c>
      <c r="P254" t="n">
        <v>0</v>
      </c>
      <c r="Q254" t="n">
        <v>0</v>
      </c>
      <c r="R254" s="2" t="inlineStr"/>
    </row>
    <row r="255" ht="15" customHeight="1">
      <c r="A255" t="inlineStr">
        <is>
          <t>A 10116-2025</t>
        </is>
      </c>
      <c r="B255" s="1" t="n">
        <v>45719.59836805556</v>
      </c>
      <c r="C255" s="1" t="n">
        <v>45967</v>
      </c>
      <c r="D255" t="inlineStr">
        <is>
          <t>JÄMTLANDS LÄN</t>
        </is>
      </c>
      <c r="E255" t="inlineStr">
        <is>
          <t>ÖSTERSUND</t>
        </is>
      </c>
      <c r="G255" t="n">
        <v>11.1</v>
      </c>
      <c r="H255" t="n">
        <v>0</v>
      </c>
      <c r="I255" t="n">
        <v>0</v>
      </c>
      <c r="J255" t="n">
        <v>0</v>
      </c>
      <c r="K255" t="n">
        <v>0</v>
      </c>
      <c r="L255" t="n">
        <v>0</v>
      </c>
      <c r="M255" t="n">
        <v>0</v>
      </c>
      <c r="N255" t="n">
        <v>0</v>
      </c>
      <c r="O255" t="n">
        <v>0</v>
      </c>
      <c r="P255" t="n">
        <v>0</v>
      </c>
      <c r="Q255" t="n">
        <v>0</v>
      </c>
      <c r="R255" s="2" t="inlineStr"/>
    </row>
    <row r="256" ht="15" customHeight="1">
      <c r="A256" t="inlineStr">
        <is>
          <t>A 61449-2024</t>
        </is>
      </c>
      <c r="B256" s="1" t="n">
        <v>45646.48988425926</v>
      </c>
      <c r="C256" s="1" t="n">
        <v>45967</v>
      </c>
      <c r="D256" t="inlineStr">
        <is>
          <t>JÄMTLANDS LÄN</t>
        </is>
      </c>
      <c r="E256" t="inlineStr">
        <is>
          <t>ÖSTERSUND</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61450-2024</t>
        </is>
      </c>
      <c r="B257" s="1" t="n">
        <v>45646.49012731481</v>
      </c>
      <c r="C257" s="1" t="n">
        <v>45967</v>
      </c>
      <c r="D257" t="inlineStr">
        <is>
          <t>JÄMTLANDS LÄN</t>
        </is>
      </c>
      <c r="E257" t="inlineStr">
        <is>
          <t>ÖSTERSUND</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61451-2024</t>
        </is>
      </c>
      <c r="B258" s="1" t="n">
        <v>45646.49017361111</v>
      </c>
      <c r="C258" s="1" t="n">
        <v>45967</v>
      </c>
      <c r="D258" t="inlineStr">
        <is>
          <t>JÄMTLANDS LÄN</t>
        </is>
      </c>
      <c r="E258" t="inlineStr">
        <is>
          <t>ÖSTERSUND</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7233-2025</t>
        </is>
      </c>
      <c r="B259" s="1" t="n">
        <v>45702.51765046296</v>
      </c>
      <c r="C259" s="1" t="n">
        <v>45967</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38142-2021</t>
        </is>
      </c>
      <c r="B260" s="1" t="n">
        <v>44405</v>
      </c>
      <c r="C260" s="1" t="n">
        <v>45967</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11052-2024</t>
        </is>
      </c>
      <c r="B261" s="1" t="n">
        <v>45370</v>
      </c>
      <c r="C261" s="1" t="n">
        <v>45967</v>
      </c>
      <c r="D261" t="inlineStr">
        <is>
          <t>JÄMTLANDS LÄN</t>
        </is>
      </c>
      <c r="E261" t="inlineStr">
        <is>
          <t>ÖSTERSUND</t>
        </is>
      </c>
      <c r="G261" t="n">
        <v>2.3</v>
      </c>
      <c r="H261" t="n">
        <v>0</v>
      </c>
      <c r="I261" t="n">
        <v>0</v>
      </c>
      <c r="J261" t="n">
        <v>0</v>
      </c>
      <c r="K261" t="n">
        <v>0</v>
      </c>
      <c r="L261" t="n">
        <v>0</v>
      </c>
      <c r="M261" t="n">
        <v>0</v>
      </c>
      <c r="N261" t="n">
        <v>0</v>
      </c>
      <c r="O261" t="n">
        <v>0</v>
      </c>
      <c r="P261" t="n">
        <v>0</v>
      </c>
      <c r="Q261" t="n">
        <v>0</v>
      </c>
      <c r="R261" s="2" t="inlineStr"/>
    </row>
    <row r="262" ht="15" customHeight="1">
      <c r="A262" t="inlineStr">
        <is>
          <t>A 8027-2022</t>
        </is>
      </c>
      <c r="B262" s="1" t="n">
        <v>44609</v>
      </c>
      <c r="C262" s="1" t="n">
        <v>45967</v>
      </c>
      <c r="D262" t="inlineStr">
        <is>
          <t>JÄMTLANDS LÄN</t>
        </is>
      </c>
      <c r="E262" t="inlineStr">
        <is>
          <t>ÖSTERSUND</t>
        </is>
      </c>
      <c r="G262" t="n">
        <v>1.6</v>
      </c>
      <c r="H262" t="n">
        <v>0</v>
      </c>
      <c r="I262" t="n">
        <v>0</v>
      </c>
      <c r="J262" t="n">
        <v>0</v>
      </c>
      <c r="K262" t="n">
        <v>0</v>
      </c>
      <c r="L262" t="n">
        <v>0</v>
      </c>
      <c r="M262" t="n">
        <v>0</v>
      </c>
      <c r="N262" t="n">
        <v>0</v>
      </c>
      <c r="O262" t="n">
        <v>0</v>
      </c>
      <c r="P262" t="n">
        <v>0</v>
      </c>
      <c r="Q262" t="n">
        <v>0</v>
      </c>
      <c r="R262" s="2" t="inlineStr"/>
    </row>
    <row r="263" ht="15" customHeight="1">
      <c r="A263" t="inlineStr">
        <is>
          <t>A 19323-2024</t>
        </is>
      </c>
      <c r="B263" s="1" t="n">
        <v>45428.92486111111</v>
      </c>
      <c r="C263" s="1" t="n">
        <v>45967</v>
      </c>
      <c r="D263" t="inlineStr">
        <is>
          <t>JÄMTLANDS LÄN</t>
        </is>
      </c>
      <c r="E263" t="inlineStr">
        <is>
          <t>ÖSTERSUND</t>
        </is>
      </c>
      <c r="F263" t="inlineStr">
        <is>
          <t>Kommuner</t>
        </is>
      </c>
      <c r="G263" t="n">
        <v>0.2</v>
      </c>
      <c r="H263" t="n">
        <v>0</v>
      </c>
      <c r="I263" t="n">
        <v>0</v>
      </c>
      <c r="J263" t="n">
        <v>0</v>
      </c>
      <c r="K263" t="n">
        <v>0</v>
      </c>
      <c r="L263" t="n">
        <v>0</v>
      </c>
      <c r="M263" t="n">
        <v>0</v>
      </c>
      <c r="N263" t="n">
        <v>0</v>
      </c>
      <c r="O263" t="n">
        <v>0</v>
      </c>
      <c r="P263" t="n">
        <v>0</v>
      </c>
      <c r="Q263" t="n">
        <v>0</v>
      </c>
      <c r="R263" s="2" t="inlineStr"/>
    </row>
    <row r="264" ht="15" customHeight="1">
      <c r="A264" t="inlineStr">
        <is>
          <t>A 28181-2024</t>
        </is>
      </c>
      <c r="B264" s="1" t="n">
        <v>45477.28482638889</v>
      </c>
      <c r="C264" s="1" t="n">
        <v>45967</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55302-2021</t>
        </is>
      </c>
      <c r="B265" s="1" t="n">
        <v>44475</v>
      </c>
      <c r="C265" s="1" t="n">
        <v>45967</v>
      </c>
      <c r="D265" t="inlineStr">
        <is>
          <t>JÄMTLANDS LÄN</t>
        </is>
      </c>
      <c r="E265" t="inlineStr">
        <is>
          <t>ÖSTERSUND</t>
        </is>
      </c>
      <c r="G265" t="n">
        <v>0.3</v>
      </c>
      <c r="H265" t="n">
        <v>0</v>
      </c>
      <c r="I265" t="n">
        <v>0</v>
      </c>
      <c r="J265" t="n">
        <v>0</v>
      </c>
      <c r="K265" t="n">
        <v>0</v>
      </c>
      <c r="L265" t="n">
        <v>0</v>
      </c>
      <c r="M265" t="n">
        <v>0</v>
      </c>
      <c r="N265" t="n">
        <v>0</v>
      </c>
      <c r="O265" t="n">
        <v>0</v>
      </c>
      <c r="P265" t="n">
        <v>0</v>
      </c>
      <c r="Q265" t="n">
        <v>0</v>
      </c>
      <c r="R265" s="2" t="inlineStr"/>
    </row>
    <row r="266" ht="15" customHeight="1">
      <c r="A266" t="inlineStr">
        <is>
          <t>A 14831-2025</t>
        </is>
      </c>
      <c r="B266" s="1" t="n">
        <v>45743.37109953703</v>
      </c>
      <c r="C266" s="1" t="n">
        <v>45967</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846-2024</t>
        </is>
      </c>
      <c r="B267" s="1" t="n">
        <v>45300</v>
      </c>
      <c r="C267" s="1" t="n">
        <v>45967</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49592-2024</t>
        </is>
      </c>
      <c r="B268" s="1" t="n">
        <v>45596.55266203704</v>
      </c>
      <c r="C268" s="1" t="n">
        <v>45967</v>
      </c>
      <c r="D268" t="inlineStr">
        <is>
          <t>JÄMTLANDS LÄN</t>
        </is>
      </c>
      <c r="E268" t="inlineStr">
        <is>
          <t>ÖSTERSUND</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56847-2024</t>
        </is>
      </c>
      <c r="B269" s="1" t="n">
        <v>45628.53381944444</v>
      </c>
      <c r="C269" s="1" t="n">
        <v>45967</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53060-2024</t>
        </is>
      </c>
      <c r="B270" s="1" t="n">
        <v>45611.46912037037</v>
      </c>
      <c r="C270" s="1" t="n">
        <v>45967</v>
      </c>
      <c r="D270" t="inlineStr">
        <is>
          <t>JÄMTLANDS LÄN</t>
        </is>
      </c>
      <c r="E270" t="inlineStr">
        <is>
          <t>ÖSTERSUND</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44798-2023</t>
        </is>
      </c>
      <c r="B271" s="1" t="n">
        <v>45190</v>
      </c>
      <c r="C271" s="1" t="n">
        <v>45967</v>
      </c>
      <c r="D271" t="inlineStr">
        <is>
          <t>JÄMTLANDS LÄN</t>
        </is>
      </c>
      <c r="E271" t="inlineStr">
        <is>
          <t>ÖSTERSUND</t>
        </is>
      </c>
      <c r="G271" t="n">
        <v>1.1</v>
      </c>
      <c r="H271" t="n">
        <v>0</v>
      </c>
      <c r="I271" t="n">
        <v>0</v>
      </c>
      <c r="J271" t="n">
        <v>0</v>
      </c>
      <c r="K271" t="n">
        <v>0</v>
      </c>
      <c r="L271" t="n">
        <v>0</v>
      </c>
      <c r="M271" t="n">
        <v>0</v>
      </c>
      <c r="N271" t="n">
        <v>0</v>
      </c>
      <c r="O271" t="n">
        <v>0</v>
      </c>
      <c r="P271" t="n">
        <v>0</v>
      </c>
      <c r="Q271" t="n">
        <v>0</v>
      </c>
      <c r="R271" s="2" t="inlineStr"/>
    </row>
    <row r="272" ht="15" customHeight="1">
      <c r="A272" t="inlineStr">
        <is>
          <t>A 15669-2025</t>
        </is>
      </c>
      <c r="B272" s="1" t="n">
        <v>45748.4396412037</v>
      </c>
      <c r="C272" s="1" t="n">
        <v>45967</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2984-2024</t>
        </is>
      </c>
      <c r="B273" s="1" t="n">
        <v>45315</v>
      </c>
      <c r="C273" s="1" t="n">
        <v>45967</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61376-2024</t>
        </is>
      </c>
      <c r="B274" s="1" t="n">
        <v>45646.39434027778</v>
      </c>
      <c r="C274" s="1" t="n">
        <v>45967</v>
      </c>
      <c r="D274" t="inlineStr">
        <is>
          <t>JÄMTLANDS LÄN</t>
        </is>
      </c>
      <c r="E274" t="inlineStr">
        <is>
          <t>ÖSTERSUND</t>
        </is>
      </c>
      <c r="G274" t="n">
        <v>4.6</v>
      </c>
      <c r="H274" t="n">
        <v>0</v>
      </c>
      <c r="I274" t="n">
        <v>0</v>
      </c>
      <c r="J274" t="n">
        <v>0</v>
      </c>
      <c r="K274" t="n">
        <v>0</v>
      </c>
      <c r="L274" t="n">
        <v>0</v>
      </c>
      <c r="M274" t="n">
        <v>0</v>
      </c>
      <c r="N274" t="n">
        <v>0</v>
      </c>
      <c r="O274" t="n">
        <v>0</v>
      </c>
      <c r="P274" t="n">
        <v>0</v>
      </c>
      <c r="Q274" t="n">
        <v>0</v>
      </c>
      <c r="R274" s="2" t="inlineStr"/>
    </row>
    <row r="275" ht="15" customHeight="1">
      <c r="A275" t="inlineStr">
        <is>
          <t>A 6013-2022</t>
        </is>
      </c>
      <c r="B275" s="1" t="n">
        <v>44599.45850694444</v>
      </c>
      <c r="C275" s="1" t="n">
        <v>45967</v>
      </c>
      <c r="D275" t="inlineStr">
        <is>
          <t>JÄMTLANDS LÄN</t>
        </is>
      </c>
      <c r="E275" t="inlineStr">
        <is>
          <t>ÖSTERSUND</t>
        </is>
      </c>
      <c r="G275" t="n">
        <v>2.5</v>
      </c>
      <c r="H275" t="n">
        <v>0</v>
      </c>
      <c r="I275" t="n">
        <v>0</v>
      </c>
      <c r="J275" t="n">
        <v>0</v>
      </c>
      <c r="K275" t="n">
        <v>0</v>
      </c>
      <c r="L275" t="n">
        <v>0</v>
      </c>
      <c r="M275" t="n">
        <v>0</v>
      </c>
      <c r="N275" t="n">
        <v>0</v>
      </c>
      <c r="O275" t="n">
        <v>0</v>
      </c>
      <c r="P275" t="n">
        <v>0</v>
      </c>
      <c r="Q275" t="n">
        <v>0</v>
      </c>
      <c r="R275" s="2" t="inlineStr"/>
    </row>
    <row r="276" ht="15" customHeight="1">
      <c r="A276" t="inlineStr">
        <is>
          <t>A 49788-2024</t>
        </is>
      </c>
      <c r="B276" s="1" t="n">
        <v>45597.36623842592</v>
      </c>
      <c r="C276" s="1" t="n">
        <v>45967</v>
      </c>
      <c r="D276" t="inlineStr">
        <is>
          <t>JÄMTLANDS LÄN</t>
        </is>
      </c>
      <c r="E276" t="inlineStr">
        <is>
          <t>ÖSTERSUND</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58406-2024</t>
        </is>
      </c>
      <c r="B277" s="1" t="n">
        <v>45634.70898148148</v>
      </c>
      <c r="C277" s="1" t="n">
        <v>45967</v>
      </c>
      <c r="D277" t="inlineStr">
        <is>
          <t>JÄMTLANDS LÄN</t>
        </is>
      </c>
      <c r="E277" t="inlineStr">
        <is>
          <t>ÖSTERSUND</t>
        </is>
      </c>
      <c r="G277" t="n">
        <v>3.8</v>
      </c>
      <c r="H277" t="n">
        <v>0</v>
      </c>
      <c r="I277" t="n">
        <v>0</v>
      </c>
      <c r="J277" t="n">
        <v>0</v>
      </c>
      <c r="K277" t="n">
        <v>0</v>
      </c>
      <c r="L277" t="n">
        <v>0</v>
      </c>
      <c r="M277" t="n">
        <v>0</v>
      </c>
      <c r="N277" t="n">
        <v>0</v>
      </c>
      <c r="O277" t="n">
        <v>0</v>
      </c>
      <c r="P277" t="n">
        <v>0</v>
      </c>
      <c r="Q277" t="n">
        <v>0</v>
      </c>
      <c r="R277" s="2" t="inlineStr"/>
    </row>
    <row r="278" ht="15" customHeight="1">
      <c r="A278" t="inlineStr">
        <is>
          <t>A 61002-2024</t>
        </is>
      </c>
      <c r="B278" s="1" t="n">
        <v>45645.44158564815</v>
      </c>
      <c r="C278" s="1" t="n">
        <v>45967</v>
      </c>
      <c r="D278" t="inlineStr">
        <is>
          <t>JÄMTLANDS LÄN</t>
        </is>
      </c>
      <c r="E278" t="inlineStr">
        <is>
          <t>ÖSTERSUND</t>
        </is>
      </c>
      <c r="G278" t="n">
        <v>4.1</v>
      </c>
      <c r="H278" t="n">
        <v>0</v>
      </c>
      <c r="I278" t="n">
        <v>0</v>
      </c>
      <c r="J278" t="n">
        <v>0</v>
      </c>
      <c r="K278" t="n">
        <v>0</v>
      </c>
      <c r="L278" t="n">
        <v>0</v>
      </c>
      <c r="M278" t="n">
        <v>0</v>
      </c>
      <c r="N278" t="n">
        <v>0</v>
      </c>
      <c r="O278" t="n">
        <v>0</v>
      </c>
      <c r="P278" t="n">
        <v>0</v>
      </c>
      <c r="Q278" t="n">
        <v>0</v>
      </c>
      <c r="R278" s="2" t="inlineStr"/>
    </row>
    <row r="279" ht="15" customHeight="1">
      <c r="A279" t="inlineStr">
        <is>
          <t>A 25385-2024</t>
        </is>
      </c>
      <c r="B279" s="1" t="n">
        <v>45462.96347222223</v>
      </c>
      <c r="C279" s="1" t="n">
        <v>45967</v>
      </c>
      <c r="D279" t="inlineStr">
        <is>
          <t>JÄMTLANDS LÄN</t>
        </is>
      </c>
      <c r="E279" t="inlineStr">
        <is>
          <t>ÖSTERSUND</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33002-2021</t>
        </is>
      </c>
      <c r="B280" s="1" t="n">
        <v>44375</v>
      </c>
      <c r="C280" s="1" t="n">
        <v>45967</v>
      </c>
      <c r="D280" t="inlineStr">
        <is>
          <t>JÄMTLANDS LÄN</t>
        </is>
      </c>
      <c r="E280" t="inlineStr">
        <is>
          <t>ÖSTERSUND</t>
        </is>
      </c>
      <c r="G280" t="n">
        <v>0.2</v>
      </c>
      <c r="H280" t="n">
        <v>0</v>
      </c>
      <c r="I280" t="n">
        <v>0</v>
      </c>
      <c r="J280" t="n">
        <v>0</v>
      </c>
      <c r="K280" t="n">
        <v>0</v>
      </c>
      <c r="L280" t="n">
        <v>0</v>
      </c>
      <c r="M280" t="n">
        <v>0</v>
      </c>
      <c r="N280" t="n">
        <v>0</v>
      </c>
      <c r="O280" t="n">
        <v>0</v>
      </c>
      <c r="P280" t="n">
        <v>0</v>
      </c>
      <c r="Q280" t="n">
        <v>0</v>
      </c>
      <c r="R280" s="2" t="inlineStr"/>
    </row>
    <row r="281" ht="15" customHeight="1">
      <c r="A281" t="inlineStr">
        <is>
          <t>A 33501-2023</t>
        </is>
      </c>
      <c r="B281" s="1" t="n">
        <v>45118</v>
      </c>
      <c r="C281" s="1" t="n">
        <v>45967</v>
      </c>
      <c r="D281" t="inlineStr">
        <is>
          <t>JÄMTLANDS LÄN</t>
        </is>
      </c>
      <c r="E281" t="inlineStr">
        <is>
          <t>ÖSTERSUND</t>
        </is>
      </c>
      <c r="G281" t="n">
        <v>5.8</v>
      </c>
      <c r="H281" t="n">
        <v>0</v>
      </c>
      <c r="I281" t="n">
        <v>0</v>
      </c>
      <c r="J281" t="n">
        <v>0</v>
      </c>
      <c r="K281" t="n">
        <v>0</v>
      </c>
      <c r="L281" t="n">
        <v>0</v>
      </c>
      <c r="M281" t="n">
        <v>0</v>
      </c>
      <c r="N281" t="n">
        <v>0</v>
      </c>
      <c r="O281" t="n">
        <v>0</v>
      </c>
      <c r="P281" t="n">
        <v>0</v>
      </c>
      <c r="Q281" t="n">
        <v>0</v>
      </c>
      <c r="R281" s="2" t="inlineStr"/>
    </row>
    <row r="282" ht="15" customHeight="1">
      <c r="A282" t="inlineStr">
        <is>
          <t>A 231-2022</t>
        </is>
      </c>
      <c r="B282" s="1" t="n">
        <v>44564.93909722222</v>
      </c>
      <c r="C282" s="1" t="n">
        <v>45967</v>
      </c>
      <c r="D282" t="inlineStr">
        <is>
          <t>JÄMTLANDS LÄN</t>
        </is>
      </c>
      <c r="E282" t="inlineStr">
        <is>
          <t>ÖSTERSUND</t>
        </is>
      </c>
      <c r="G282" t="n">
        <v>1.9</v>
      </c>
      <c r="H282" t="n">
        <v>0</v>
      </c>
      <c r="I282" t="n">
        <v>0</v>
      </c>
      <c r="J282" t="n">
        <v>0</v>
      </c>
      <c r="K282" t="n">
        <v>0</v>
      </c>
      <c r="L282" t="n">
        <v>0</v>
      </c>
      <c r="M282" t="n">
        <v>0</v>
      </c>
      <c r="N282" t="n">
        <v>0</v>
      </c>
      <c r="O282" t="n">
        <v>0</v>
      </c>
      <c r="P282" t="n">
        <v>0</v>
      </c>
      <c r="Q282" t="n">
        <v>0</v>
      </c>
      <c r="R282" s="2" t="inlineStr"/>
    </row>
    <row r="283" ht="15" customHeight="1">
      <c r="A283" t="inlineStr">
        <is>
          <t>A 52854-2024</t>
        </is>
      </c>
      <c r="B283" s="1" t="n">
        <v>45610.61030092592</v>
      </c>
      <c r="C283" s="1" t="n">
        <v>45967</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58952-2024</t>
        </is>
      </c>
      <c r="B284" s="1" t="n">
        <v>45636.5674537037</v>
      </c>
      <c r="C284" s="1" t="n">
        <v>45967</v>
      </c>
      <c r="D284" t="inlineStr">
        <is>
          <t>JÄMTLANDS LÄN</t>
        </is>
      </c>
      <c r="E284" t="inlineStr">
        <is>
          <t>ÖSTERSUND</t>
        </is>
      </c>
      <c r="G284" t="n">
        <v>3.7</v>
      </c>
      <c r="H284" t="n">
        <v>0</v>
      </c>
      <c r="I284" t="n">
        <v>0</v>
      </c>
      <c r="J284" t="n">
        <v>0</v>
      </c>
      <c r="K284" t="n">
        <v>0</v>
      </c>
      <c r="L284" t="n">
        <v>0</v>
      </c>
      <c r="M284" t="n">
        <v>0</v>
      </c>
      <c r="N284" t="n">
        <v>0</v>
      </c>
      <c r="O284" t="n">
        <v>0</v>
      </c>
      <c r="P284" t="n">
        <v>0</v>
      </c>
      <c r="Q284" t="n">
        <v>0</v>
      </c>
      <c r="R284" s="2" t="inlineStr"/>
    </row>
    <row r="285" ht="15" customHeight="1">
      <c r="A285" t="inlineStr">
        <is>
          <t>A 43082-2024</t>
        </is>
      </c>
      <c r="B285" s="1" t="n">
        <v>45567.51068287037</v>
      </c>
      <c r="C285" s="1" t="n">
        <v>45967</v>
      </c>
      <c r="D285" t="inlineStr">
        <is>
          <t>JÄMTLANDS LÄN</t>
        </is>
      </c>
      <c r="E285" t="inlineStr">
        <is>
          <t>ÖSTERSUND</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54587-2024</t>
        </is>
      </c>
      <c r="B286" s="1" t="n">
        <v>45617.65800925926</v>
      </c>
      <c r="C286" s="1" t="n">
        <v>45967</v>
      </c>
      <c r="D286" t="inlineStr">
        <is>
          <t>JÄMTLANDS LÄN</t>
        </is>
      </c>
      <c r="E286" t="inlineStr">
        <is>
          <t>ÖSTERSUND</t>
        </is>
      </c>
      <c r="G286" t="n">
        <v>14</v>
      </c>
      <c r="H286" t="n">
        <v>0</v>
      </c>
      <c r="I286" t="n">
        <v>0</v>
      </c>
      <c r="J286" t="n">
        <v>0</v>
      </c>
      <c r="K286" t="n">
        <v>0</v>
      </c>
      <c r="L286" t="n">
        <v>0</v>
      </c>
      <c r="M286" t="n">
        <v>0</v>
      </c>
      <c r="N286" t="n">
        <v>0</v>
      </c>
      <c r="O286" t="n">
        <v>0</v>
      </c>
      <c r="P286" t="n">
        <v>0</v>
      </c>
      <c r="Q286" t="n">
        <v>0</v>
      </c>
      <c r="R286" s="2" t="inlineStr"/>
    </row>
    <row r="287" ht="15" customHeight="1">
      <c r="A287" t="inlineStr">
        <is>
          <t>A 8216-2025</t>
        </is>
      </c>
      <c r="B287" s="1" t="n">
        <v>45708.44947916667</v>
      </c>
      <c r="C287" s="1" t="n">
        <v>45967</v>
      </c>
      <c r="D287" t="inlineStr">
        <is>
          <t>JÄMTLANDS LÄN</t>
        </is>
      </c>
      <c r="E287" t="inlineStr">
        <is>
          <t>ÖSTERSUND</t>
        </is>
      </c>
      <c r="F287" t="inlineStr">
        <is>
          <t>Övriga Aktiebolag</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5544-2025</t>
        </is>
      </c>
      <c r="B288" s="1" t="n">
        <v>45693</v>
      </c>
      <c r="C288" s="1" t="n">
        <v>45967</v>
      </c>
      <c r="D288" t="inlineStr">
        <is>
          <t>JÄMTLANDS LÄN</t>
        </is>
      </c>
      <c r="E288" t="inlineStr">
        <is>
          <t>ÖSTERSUND</t>
        </is>
      </c>
      <c r="G288" t="n">
        <v>5.8</v>
      </c>
      <c r="H288" t="n">
        <v>0</v>
      </c>
      <c r="I288" t="n">
        <v>0</v>
      </c>
      <c r="J288" t="n">
        <v>0</v>
      </c>
      <c r="K288" t="n">
        <v>0</v>
      </c>
      <c r="L288" t="n">
        <v>0</v>
      </c>
      <c r="M288" t="n">
        <v>0</v>
      </c>
      <c r="N288" t="n">
        <v>0</v>
      </c>
      <c r="O288" t="n">
        <v>0</v>
      </c>
      <c r="P288" t="n">
        <v>0</v>
      </c>
      <c r="Q288" t="n">
        <v>0</v>
      </c>
      <c r="R288" s="2" t="inlineStr"/>
    </row>
    <row r="289" ht="15" customHeight="1">
      <c r="A289" t="inlineStr">
        <is>
          <t>A 3615-2025</t>
        </is>
      </c>
      <c r="B289" s="1" t="n">
        <v>45681.36493055556</v>
      </c>
      <c r="C289" s="1" t="n">
        <v>45967</v>
      </c>
      <c r="D289" t="inlineStr">
        <is>
          <t>JÄMTLANDS LÄN</t>
        </is>
      </c>
      <c r="E289" t="inlineStr">
        <is>
          <t>ÖSTERSUND</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3651-2025</t>
        </is>
      </c>
      <c r="B290" s="1" t="n">
        <v>45681.40689814815</v>
      </c>
      <c r="C290" s="1" t="n">
        <v>45967</v>
      </c>
      <c r="D290" t="inlineStr">
        <is>
          <t>JÄMTLANDS LÄN</t>
        </is>
      </c>
      <c r="E290" t="inlineStr">
        <is>
          <t>ÖSTERSUND</t>
        </is>
      </c>
      <c r="F290" t="inlineStr">
        <is>
          <t>SCA</t>
        </is>
      </c>
      <c r="G290" t="n">
        <v>9.6</v>
      </c>
      <c r="H290" t="n">
        <v>0</v>
      </c>
      <c r="I290" t="n">
        <v>0</v>
      </c>
      <c r="J290" t="n">
        <v>0</v>
      </c>
      <c r="K290" t="n">
        <v>0</v>
      </c>
      <c r="L290" t="n">
        <v>0</v>
      </c>
      <c r="M290" t="n">
        <v>0</v>
      </c>
      <c r="N290" t="n">
        <v>0</v>
      </c>
      <c r="O290" t="n">
        <v>0</v>
      </c>
      <c r="P290" t="n">
        <v>0</v>
      </c>
      <c r="Q290" t="n">
        <v>0</v>
      </c>
      <c r="R290" s="2" t="inlineStr"/>
    </row>
    <row r="291" ht="15" customHeight="1">
      <c r="A291" t="inlineStr">
        <is>
          <t>A 3664-2025</t>
        </is>
      </c>
      <c r="B291" s="1" t="n">
        <v>45681.4275462963</v>
      </c>
      <c r="C291" s="1" t="n">
        <v>45967</v>
      </c>
      <c r="D291" t="inlineStr">
        <is>
          <t>JÄMTLANDS LÄN</t>
        </is>
      </c>
      <c r="E291" t="inlineStr">
        <is>
          <t>ÖSTERSUND</t>
        </is>
      </c>
      <c r="F291" t="inlineStr">
        <is>
          <t>SCA</t>
        </is>
      </c>
      <c r="G291" t="n">
        <v>10.9</v>
      </c>
      <c r="H291" t="n">
        <v>0</v>
      </c>
      <c r="I291" t="n">
        <v>0</v>
      </c>
      <c r="J291" t="n">
        <v>0</v>
      </c>
      <c r="K291" t="n">
        <v>0</v>
      </c>
      <c r="L291" t="n">
        <v>0</v>
      </c>
      <c r="M291" t="n">
        <v>0</v>
      </c>
      <c r="N291" t="n">
        <v>0</v>
      </c>
      <c r="O291" t="n">
        <v>0</v>
      </c>
      <c r="P291" t="n">
        <v>0</v>
      </c>
      <c r="Q291" t="n">
        <v>0</v>
      </c>
      <c r="R291" s="2" t="inlineStr"/>
    </row>
    <row r="292" ht="15" customHeight="1">
      <c r="A292" t="inlineStr">
        <is>
          <t>A 12429-2025</t>
        </is>
      </c>
      <c r="B292" s="1" t="n">
        <v>45730.45930555555</v>
      </c>
      <c r="C292" s="1" t="n">
        <v>45967</v>
      </c>
      <c r="D292" t="inlineStr">
        <is>
          <t>JÄMTLANDS LÄN</t>
        </is>
      </c>
      <c r="E292" t="inlineStr">
        <is>
          <t>ÖSTERSUND</t>
        </is>
      </c>
      <c r="F292" t="inlineStr">
        <is>
          <t>Övriga Aktiebolag</t>
        </is>
      </c>
      <c r="G292" t="n">
        <v>4.4</v>
      </c>
      <c r="H292" t="n">
        <v>0</v>
      </c>
      <c r="I292" t="n">
        <v>0</v>
      </c>
      <c r="J292" t="n">
        <v>0</v>
      </c>
      <c r="K292" t="n">
        <v>0</v>
      </c>
      <c r="L292" t="n">
        <v>0</v>
      </c>
      <c r="M292" t="n">
        <v>0</v>
      </c>
      <c r="N292" t="n">
        <v>0</v>
      </c>
      <c r="O292" t="n">
        <v>0</v>
      </c>
      <c r="P292" t="n">
        <v>0</v>
      </c>
      <c r="Q292" t="n">
        <v>0</v>
      </c>
      <c r="R292" s="2" t="inlineStr"/>
    </row>
    <row r="293" ht="15" customHeight="1">
      <c r="A293" t="inlineStr">
        <is>
          <t>A 61506-2023</t>
        </is>
      </c>
      <c r="B293" s="1" t="n">
        <v>45264</v>
      </c>
      <c r="C293" s="1" t="n">
        <v>45967</v>
      </c>
      <c r="D293" t="inlineStr">
        <is>
          <t>JÄMTLANDS LÄN</t>
        </is>
      </c>
      <c r="E293" t="inlineStr">
        <is>
          <t>ÖSTERSUND</t>
        </is>
      </c>
      <c r="G293" t="n">
        <v>3</v>
      </c>
      <c r="H293" t="n">
        <v>0</v>
      </c>
      <c r="I293" t="n">
        <v>0</v>
      </c>
      <c r="J293" t="n">
        <v>0</v>
      </c>
      <c r="K293" t="n">
        <v>0</v>
      </c>
      <c r="L293" t="n">
        <v>0</v>
      </c>
      <c r="M293" t="n">
        <v>0</v>
      </c>
      <c r="N293" t="n">
        <v>0</v>
      </c>
      <c r="O293" t="n">
        <v>0</v>
      </c>
      <c r="P293" t="n">
        <v>0</v>
      </c>
      <c r="Q293" t="n">
        <v>0</v>
      </c>
      <c r="R293" s="2" t="inlineStr"/>
    </row>
    <row r="294" ht="15" customHeight="1">
      <c r="A294" t="inlineStr">
        <is>
          <t>A 16336-2025</t>
        </is>
      </c>
      <c r="B294" s="1" t="n">
        <v>45751.36519675926</v>
      </c>
      <c r="C294" s="1" t="n">
        <v>45967</v>
      </c>
      <c r="D294" t="inlineStr">
        <is>
          <t>JÄMTLANDS LÄN</t>
        </is>
      </c>
      <c r="E294" t="inlineStr">
        <is>
          <t>ÖSTERSUND</t>
        </is>
      </c>
      <c r="G294" t="n">
        <v>0.9</v>
      </c>
      <c r="H294" t="n">
        <v>0</v>
      </c>
      <c r="I294" t="n">
        <v>0</v>
      </c>
      <c r="J294" t="n">
        <v>0</v>
      </c>
      <c r="K294" t="n">
        <v>0</v>
      </c>
      <c r="L294" t="n">
        <v>0</v>
      </c>
      <c r="M294" t="n">
        <v>0</v>
      </c>
      <c r="N294" t="n">
        <v>0</v>
      </c>
      <c r="O294" t="n">
        <v>0</v>
      </c>
      <c r="P294" t="n">
        <v>0</v>
      </c>
      <c r="Q294" t="n">
        <v>0</v>
      </c>
      <c r="R294" s="2" t="inlineStr"/>
    </row>
    <row r="295" ht="15" customHeight="1">
      <c r="A295" t="inlineStr">
        <is>
          <t>A 58407-2024</t>
        </is>
      </c>
      <c r="B295" s="1" t="n">
        <v>45634.72633101852</v>
      </c>
      <c r="C295" s="1" t="n">
        <v>45967</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46139-2021</t>
        </is>
      </c>
      <c r="B296" s="1" t="n">
        <v>44441</v>
      </c>
      <c r="C296" s="1" t="n">
        <v>45967</v>
      </c>
      <c r="D296" t="inlineStr">
        <is>
          <t>JÄMTLANDS LÄN</t>
        </is>
      </c>
      <c r="E296" t="inlineStr">
        <is>
          <t>ÖSTERSUND</t>
        </is>
      </c>
      <c r="G296" t="n">
        <v>12.8</v>
      </c>
      <c r="H296" t="n">
        <v>0</v>
      </c>
      <c r="I296" t="n">
        <v>0</v>
      </c>
      <c r="J296" t="n">
        <v>0</v>
      </c>
      <c r="K296" t="n">
        <v>0</v>
      </c>
      <c r="L296" t="n">
        <v>0</v>
      </c>
      <c r="M296" t="n">
        <v>0</v>
      </c>
      <c r="N296" t="n">
        <v>0</v>
      </c>
      <c r="O296" t="n">
        <v>0</v>
      </c>
      <c r="P296" t="n">
        <v>0</v>
      </c>
      <c r="Q296" t="n">
        <v>0</v>
      </c>
      <c r="R296" s="2" t="inlineStr"/>
    </row>
    <row r="297" ht="15" customHeight="1">
      <c r="A297" t="inlineStr">
        <is>
          <t>A 17732-2022</t>
        </is>
      </c>
      <c r="B297" s="1" t="n">
        <v>44680.92873842592</v>
      </c>
      <c r="C297" s="1" t="n">
        <v>45967</v>
      </c>
      <c r="D297" t="inlineStr">
        <is>
          <t>JÄMTLANDS LÄN</t>
        </is>
      </c>
      <c r="E297" t="inlineStr">
        <is>
          <t>ÖSTERSUND</t>
        </is>
      </c>
      <c r="G297" t="n">
        <v>5.4</v>
      </c>
      <c r="H297" t="n">
        <v>0</v>
      </c>
      <c r="I297" t="n">
        <v>0</v>
      </c>
      <c r="J297" t="n">
        <v>0</v>
      </c>
      <c r="K297" t="n">
        <v>0</v>
      </c>
      <c r="L297" t="n">
        <v>0</v>
      </c>
      <c r="M297" t="n">
        <v>0</v>
      </c>
      <c r="N297" t="n">
        <v>0</v>
      </c>
      <c r="O297" t="n">
        <v>0</v>
      </c>
      <c r="P297" t="n">
        <v>0</v>
      </c>
      <c r="Q297" t="n">
        <v>0</v>
      </c>
      <c r="R297" s="2" t="inlineStr"/>
    </row>
    <row r="298" ht="15" customHeight="1">
      <c r="A298" t="inlineStr">
        <is>
          <t>A 5140-2025</t>
        </is>
      </c>
      <c r="B298" s="1" t="n">
        <v>45691</v>
      </c>
      <c r="C298" s="1" t="n">
        <v>45967</v>
      </c>
      <c r="D298" t="inlineStr">
        <is>
          <t>JÄMTLANDS LÄN</t>
        </is>
      </c>
      <c r="E298" t="inlineStr">
        <is>
          <t>ÖSTERSUND</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29703-2023</t>
        </is>
      </c>
      <c r="B299" s="1" t="n">
        <v>45107</v>
      </c>
      <c r="C299" s="1" t="n">
        <v>45967</v>
      </c>
      <c r="D299" t="inlineStr">
        <is>
          <t>JÄMTLANDS LÄN</t>
        </is>
      </c>
      <c r="E299" t="inlineStr">
        <is>
          <t>ÖSTERSUND</t>
        </is>
      </c>
      <c r="G299" t="n">
        <v>0.3</v>
      </c>
      <c r="H299" t="n">
        <v>0</v>
      </c>
      <c r="I299" t="n">
        <v>0</v>
      </c>
      <c r="J299" t="n">
        <v>0</v>
      </c>
      <c r="K299" t="n">
        <v>0</v>
      </c>
      <c r="L299" t="n">
        <v>0</v>
      </c>
      <c r="M299" t="n">
        <v>0</v>
      </c>
      <c r="N299" t="n">
        <v>0</v>
      </c>
      <c r="O299" t="n">
        <v>0</v>
      </c>
      <c r="P299" t="n">
        <v>0</v>
      </c>
      <c r="Q299" t="n">
        <v>0</v>
      </c>
      <c r="R299" s="2" t="inlineStr"/>
    </row>
    <row r="300" ht="15" customHeight="1">
      <c r="A300" t="inlineStr">
        <is>
          <t>A 52913-2021</t>
        </is>
      </c>
      <c r="B300" s="1" t="n">
        <v>44466</v>
      </c>
      <c r="C300" s="1" t="n">
        <v>45967</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18429-2025</t>
        </is>
      </c>
      <c r="B301" s="1" t="n">
        <v>45762.63375</v>
      </c>
      <c r="C301" s="1" t="n">
        <v>45967</v>
      </c>
      <c r="D301" t="inlineStr">
        <is>
          <t>JÄMTLANDS LÄN</t>
        </is>
      </c>
      <c r="E301" t="inlineStr">
        <is>
          <t>ÖSTERSUND</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51479-2023</t>
        </is>
      </c>
      <c r="B302" s="1" t="n">
        <v>45221.92429398148</v>
      </c>
      <c r="C302" s="1" t="n">
        <v>45967</v>
      </c>
      <c r="D302" t="inlineStr">
        <is>
          <t>JÄMTLANDS LÄN</t>
        </is>
      </c>
      <c r="E302" t="inlineStr">
        <is>
          <t>ÖSTERSUND</t>
        </is>
      </c>
      <c r="G302" t="n">
        <v>1.9</v>
      </c>
      <c r="H302" t="n">
        <v>0</v>
      </c>
      <c r="I302" t="n">
        <v>0</v>
      </c>
      <c r="J302" t="n">
        <v>0</v>
      </c>
      <c r="K302" t="n">
        <v>0</v>
      </c>
      <c r="L302" t="n">
        <v>0</v>
      </c>
      <c r="M302" t="n">
        <v>0</v>
      </c>
      <c r="N302" t="n">
        <v>0</v>
      </c>
      <c r="O302" t="n">
        <v>0</v>
      </c>
      <c r="P302" t="n">
        <v>0</v>
      </c>
      <c r="Q302" t="n">
        <v>0</v>
      </c>
      <c r="R302" s="2" t="inlineStr"/>
    </row>
    <row r="303" ht="15" customHeight="1">
      <c r="A303" t="inlineStr">
        <is>
          <t>A 11933-2022</t>
        </is>
      </c>
      <c r="B303" s="1" t="n">
        <v>44635</v>
      </c>
      <c r="C303" s="1" t="n">
        <v>45967</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54883-2023</t>
        </is>
      </c>
      <c r="B304" s="1" t="n">
        <v>45236.62300925926</v>
      </c>
      <c r="C304" s="1" t="n">
        <v>45967</v>
      </c>
      <c r="D304" t="inlineStr">
        <is>
          <t>JÄMTLANDS LÄN</t>
        </is>
      </c>
      <c r="E304" t="inlineStr">
        <is>
          <t>ÖSTERSUND</t>
        </is>
      </c>
      <c r="F304" t="inlineStr">
        <is>
          <t>Övriga Aktiebolag</t>
        </is>
      </c>
      <c r="G304" t="n">
        <v>3.2</v>
      </c>
      <c r="H304" t="n">
        <v>0</v>
      </c>
      <c r="I304" t="n">
        <v>0</v>
      </c>
      <c r="J304" t="n">
        <v>0</v>
      </c>
      <c r="K304" t="n">
        <v>0</v>
      </c>
      <c r="L304" t="n">
        <v>0</v>
      </c>
      <c r="M304" t="n">
        <v>0</v>
      </c>
      <c r="N304" t="n">
        <v>0</v>
      </c>
      <c r="O304" t="n">
        <v>0</v>
      </c>
      <c r="P304" t="n">
        <v>0</v>
      </c>
      <c r="Q304" t="n">
        <v>0</v>
      </c>
      <c r="R304" s="2" t="inlineStr"/>
    </row>
    <row r="305" ht="15" customHeight="1">
      <c r="A305" t="inlineStr">
        <is>
          <t>A 3122-2025</t>
        </is>
      </c>
      <c r="B305" s="1" t="n">
        <v>45678</v>
      </c>
      <c r="C305" s="1" t="n">
        <v>45967</v>
      </c>
      <c r="D305" t="inlineStr">
        <is>
          <t>JÄMTLANDS LÄN</t>
        </is>
      </c>
      <c r="E305" t="inlineStr">
        <is>
          <t>ÖSTERSUND</t>
        </is>
      </c>
      <c r="G305" t="n">
        <v>1.3</v>
      </c>
      <c r="H305" t="n">
        <v>0</v>
      </c>
      <c r="I305" t="n">
        <v>0</v>
      </c>
      <c r="J305" t="n">
        <v>0</v>
      </c>
      <c r="K305" t="n">
        <v>0</v>
      </c>
      <c r="L305" t="n">
        <v>0</v>
      </c>
      <c r="M305" t="n">
        <v>0</v>
      </c>
      <c r="N305" t="n">
        <v>0</v>
      </c>
      <c r="O305" t="n">
        <v>0</v>
      </c>
      <c r="P305" t="n">
        <v>0</v>
      </c>
      <c r="Q305" t="n">
        <v>0</v>
      </c>
      <c r="R305" s="2" t="inlineStr"/>
    </row>
    <row r="306" ht="15" customHeight="1">
      <c r="A306" t="inlineStr">
        <is>
          <t>A 45980-2023</t>
        </is>
      </c>
      <c r="B306" s="1" t="n">
        <v>45189</v>
      </c>
      <c r="C306" s="1" t="n">
        <v>45967</v>
      </c>
      <c r="D306" t="inlineStr">
        <is>
          <t>JÄMTLANDS LÄN</t>
        </is>
      </c>
      <c r="E306" t="inlineStr">
        <is>
          <t>ÖSTERSUND</t>
        </is>
      </c>
      <c r="G306" t="n">
        <v>0.5</v>
      </c>
      <c r="H306" t="n">
        <v>0</v>
      </c>
      <c r="I306" t="n">
        <v>0</v>
      </c>
      <c r="J306" t="n">
        <v>0</v>
      </c>
      <c r="K306" t="n">
        <v>0</v>
      </c>
      <c r="L306" t="n">
        <v>0</v>
      </c>
      <c r="M306" t="n">
        <v>0</v>
      </c>
      <c r="N306" t="n">
        <v>0</v>
      </c>
      <c r="O306" t="n">
        <v>0</v>
      </c>
      <c r="P306" t="n">
        <v>0</v>
      </c>
      <c r="Q306" t="n">
        <v>0</v>
      </c>
      <c r="R306" s="2" t="inlineStr"/>
    </row>
    <row r="307" ht="15" customHeight="1">
      <c r="A307" t="inlineStr">
        <is>
          <t>A 53660-2024</t>
        </is>
      </c>
      <c r="B307" s="1" t="n">
        <v>45615.31297453704</v>
      </c>
      <c r="C307" s="1" t="n">
        <v>45967</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19566-2024</t>
        </is>
      </c>
      <c r="B308" s="1" t="n">
        <v>45429.92313657407</v>
      </c>
      <c r="C308" s="1" t="n">
        <v>45967</v>
      </c>
      <c r="D308" t="inlineStr">
        <is>
          <t>JÄMTLANDS LÄN</t>
        </is>
      </c>
      <c r="E308" t="inlineStr">
        <is>
          <t>ÖSTERSUND</t>
        </is>
      </c>
      <c r="G308" t="n">
        <v>0</v>
      </c>
      <c r="H308" t="n">
        <v>0</v>
      </c>
      <c r="I308" t="n">
        <v>0</v>
      </c>
      <c r="J308" t="n">
        <v>0</v>
      </c>
      <c r="K308" t="n">
        <v>0</v>
      </c>
      <c r="L308" t="n">
        <v>0</v>
      </c>
      <c r="M308" t="n">
        <v>0</v>
      </c>
      <c r="N308" t="n">
        <v>0</v>
      </c>
      <c r="O308" t="n">
        <v>0</v>
      </c>
      <c r="P308" t="n">
        <v>0</v>
      </c>
      <c r="Q308" t="n">
        <v>0</v>
      </c>
      <c r="R308" s="2" t="inlineStr"/>
    </row>
    <row r="309" ht="15" customHeight="1">
      <c r="A309" t="inlineStr">
        <is>
          <t>A 62222-2022</t>
        </is>
      </c>
      <c r="B309" s="1" t="n">
        <v>44922</v>
      </c>
      <c r="C309" s="1" t="n">
        <v>45967</v>
      </c>
      <c r="D309" t="inlineStr">
        <is>
          <t>JÄMTLANDS LÄN</t>
        </is>
      </c>
      <c r="E309" t="inlineStr">
        <is>
          <t>ÖSTERSUND</t>
        </is>
      </c>
      <c r="G309" t="n">
        <v>4.1</v>
      </c>
      <c r="H309" t="n">
        <v>0</v>
      </c>
      <c r="I309" t="n">
        <v>0</v>
      </c>
      <c r="J309" t="n">
        <v>0</v>
      </c>
      <c r="K309" t="n">
        <v>0</v>
      </c>
      <c r="L309" t="n">
        <v>0</v>
      </c>
      <c r="M309" t="n">
        <v>0</v>
      </c>
      <c r="N309" t="n">
        <v>0</v>
      </c>
      <c r="O309" t="n">
        <v>0</v>
      </c>
      <c r="P309" t="n">
        <v>0</v>
      </c>
      <c r="Q309" t="n">
        <v>0</v>
      </c>
      <c r="R309" s="2" t="inlineStr"/>
    </row>
    <row r="310" ht="15" customHeight="1">
      <c r="A310" t="inlineStr">
        <is>
          <t>A 41280-2024</t>
        </is>
      </c>
      <c r="B310" s="1" t="n">
        <v>45559.59476851852</v>
      </c>
      <c r="C310" s="1" t="n">
        <v>45967</v>
      </c>
      <c r="D310" t="inlineStr">
        <is>
          <t>JÄMTLANDS LÄN</t>
        </is>
      </c>
      <c r="E310" t="inlineStr">
        <is>
          <t>ÖSTERSUND</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7224-2024</t>
        </is>
      </c>
      <c r="B311" s="1" t="n">
        <v>45344</v>
      </c>
      <c r="C311" s="1" t="n">
        <v>45967</v>
      </c>
      <c r="D311" t="inlineStr">
        <is>
          <t>JÄMTLANDS LÄN</t>
        </is>
      </c>
      <c r="E311" t="inlineStr">
        <is>
          <t>ÖSTERSUND</t>
        </is>
      </c>
      <c r="G311" t="n">
        <v>2.9</v>
      </c>
      <c r="H311" t="n">
        <v>0</v>
      </c>
      <c r="I311" t="n">
        <v>0</v>
      </c>
      <c r="J311" t="n">
        <v>0</v>
      </c>
      <c r="K311" t="n">
        <v>0</v>
      </c>
      <c r="L311" t="n">
        <v>0</v>
      </c>
      <c r="M311" t="n">
        <v>0</v>
      </c>
      <c r="N311" t="n">
        <v>0</v>
      </c>
      <c r="O311" t="n">
        <v>0</v>
      </c>
      <c r="P311" t="n">
        <v>0</v>
      </c>
      <c r="Q311" t="n">
        <v>0</v>
      </c>
      <c r="R311" s="2" t="inlineStr"/>
    </row>
    <row r="312" ht="15" customHeight="1">
      <c r="A312" t="inlineStr">
        <is>
          <t>A 8675-2023</t>
        </is>
      </c>
      <c r="B312" s="1" t="n">
        <v>44977.98629629629</v>
      </c>
      <c r="C312" s="1" t="n">
        <v>45967</v>
      </c>
      <c r="D312" t="inlineStr">
        <is>
          <t>JÄMTLANDS LÄN</t>
        </is>
      </c>
      <c r="E312" t="inlineStr">
        <is>
          <t>ÖSTERSUND</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12-2023</t>
        </is>
      </c>
      <c r="B313" s="1" t="n">
        <v>44927.88021990741</v>
      </c>
      <c r="C313" s="1" t="n">
        <v>45967</v>
      </c>
      <c r="D313" t="inlineStr">
        <is>
          <t>JÄMTLANDS LÄN</t>
        </is>
      </c>
      <c r="E313" t="inlineStr">
        <is>
          <t>ÖSTERSUND</t>
        </is>
      </c>
      <c r="G313" t="n">
        <v>4.7</v>
      </c>
      <c r="H313" t="n">
        <v>0</v>
      </c>
      <c r="I313" t="n">
        <v>0</v>
      </c>
      <c r="J313" t="n">
        <v>0</v>
      </c>
      <c r="K313" t="n">
        <v>0</v>
      </c>
      <c r="L313" t="n">
        <v>0</v>
      </c>
      <c r="M313" t="n">
        <v>0</v>
      </c>
      <c r="N313" t="n">
        <v>0</v>
      </c>
      <c r="O313" t="n">
        <v>0</v>
      </c>
      <c r="P313" t="n">
        <v>0</v>
      </c>
      <c r="Q313" t="n">
        <v>0</v>
      </c>
      <c r="R313" s="2" t="inlineStr"/>
    </row>
    <row r="314" ht="15" customHeight="1">
      <c r="A314" t="inlineStr">
        <is>
          <t>A 55666-2023</t>
        </is>
      </c>
      <c r="B314" s="1" t="n">
        <v>45238.96770833333</v>
      </c>
      <c r="C314" s="1" t="n">
        <v>45967</v>
      </c>
      <c r="D314" t="inlineStr">
        <is>
          <t>JÄMTLANDS LÄN</t>
        </is>
      </c>
      <c r="E314" t="inlineStr">
        <is>
          <t>ÖSTERSUND</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207-2025</t>
        </is>
      </c>
      <c r="B315" s="1" t="n">
        <v>45660.32672453704</v>
      </c>
      <c r="C315" s="1" t="n">
        <v>45967</v>
      </c>
      <c r="D315" t="inlineStr">
        <is>
          <t>JÄMTLANDS LÄN</t>
        </is>
      </c>
      <c r="E315" t="inlineStr">
        <is>
          <t>ÖSTERSUND</t>
        </is>
      </c>
      <c r="G315" t="n">
        <v>4</v>
      </c>
      <c r="H315" t="n">
        <v>0</v>
      </c>
      <c r="I315" t="n">
        <v>0</v>
      </c>
      <c r="J315" t="n">
        <v>0</v>
      </c>
      <c r="K315" t="n">
        <v>0</v>
      </c>
      <c r="L315" t="n">
        <v>0</v>
      </c>
      <c r="M315" t="n">
        <v>0</v>
      </c>
      <c r="N315" t="n">
        <v>0</v>
      </c>
      <c r="O315" t="n">
        <v>0</v>
      </c>
      <c r="P315" t="n">
        <v>0</v>
      </c>
      <c r="Q315" t="n">
        <v>0</v>
      </c>
      <c r="R315" s="2" t="inlineStr"/>
    </row>
    <row r="316" ht="15" customHeight="1">
      <c r="A316" t="inlineStr">
        <is>
          <t>A 21495-2022</t>
        </is>
      </c>
      <c r="B316" s="1" t="n">
        <v>44706</v>
      </c>
      <c r="C316" s="1" t="n">
        <v>45967</v>
      </c>
      <c r="D316" t="inlineStr">
        <is>
          <t>JÄMTLANDS LÄN</t>
        </is>
      </c>
      <c r="E316" t="inlineStr">
        <is>
          <t>ÖSTERSUND</t>
        </is>
      </c>
      <c r="G316" t="n">
        <v>1.3</v>
      </c>
      <c r="H316" t="n">
        <v>0</v>
      </c>
      <c r="I316" t="n">
        <v>0</v>
      </c>
      <c r="J316" t="n">
        <v>0</v>
      </c>
      <c r="K316" t="n">
        <v>0</v>
      </c>
      <c r="L316" t="n">
        <v>0</v>
      </c>
      <c r="M316" t="n">
        <v>0</v>
      </c>
      <c r="N316" t="n">
        <v>0</v>
      </c>
      <c r="O316" t="n">
        <v>0</v>
      </c>
      <c r="P316" t="n">
        <v>0</v>
      </c>
      <c r="Q316" t="n">
        <v>0</v>
      </c>
      <c r="R316" s="2" t="inlineStr"/>
    </row>
    <row r="317" ht="15" customHeight="1">
      <c r="A317" t="inlineStr">
        <is>
          <t>A 51481-2023</t>
        </is>
      </c>
      <c r="B317" s="1" t="n">
        <v>45221.92440972223</v>
      </c>
      <c r="C317" s="1" t="n">
        <v>45967</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55140-2023</t>
        </is>
      </c>
      <c r="B318" s="1" t="n">
        <v>45237.50966435186</v>
      </c>
      <c r="C318" s="1" t="n">
        <v>45967</v>
      </c>
      <c r="D318" t="inlineStr">
        <is>
          <t>JÄMTLANDS LÄN</t>
        </is>
      </c>
      <c r="E318" t="inlineStr">
        <is>
          <t>ÖSTERSUND</t>
        </is>
      </c>
      <c r="G318" t="n">
        <v>1.8</v>
      </c>
      <c r="H318" t="n">
        <v>0</v>
      </c>
      <c r="I318" t="n">
        <v>0</v>
      </c>
      <c r="J318" t="n">
        <v>0</v>
      </c>
      <c r="K318" t="n">
        <v>0</v>
      </c>
      <c r="L318" t="n">
        <v>0</v>
      </c>
      <c r="M318" t="n">
        <v>0</v>
      </c>
      <c r="N318" t="n">
        <v>0</v>
      </c>
      <c r="O318" t="n">
        <v>0</v>
      </c>
      <c r="P318" t="n">
        <v>0</v>
      </c>
      <c r="Q318" t="n">
        <v>0</v>
      </c>
      <c r="R318" s="2" t="inlineStr"/>
    </row>
    <row r="319" ht="15" customHeight="1">
      <c r="A319" t="inlineStr">
        <is>
          <t>A 12102-2025</t>
        </is>
      </c>
      <c r="B319" s="1" t="n">
        <v>45729.3425</v>
      </c>
      <c r="C319" s="1" t="n">
        <v>45967</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45967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60623-2022</t>
        </is>
      </c>
      <c r="B321" s="1" t="n">
        <v>44911.6459837963</v>
      </c>
      <c r="C321" s="1" t="n">
        <v>45967</v>
      </c>
      <c r="D321" t="inlineStr">
        <is>
          <t>JÄMTLANDS LÄN</t>
        </is>
      </c>
      <c r="E321" t="inlineStr">
        <is>
          <t>ÖSTERSUND</t>
        </is>
      </c>
      <c r="G321" t="n">
        <v>10.9</v>
      </c>
      <c r="H321" t="n">
        <v>0</v>
      </c>
      <c r="I321" t="n">
        <v>0</v>
      </c>
      <c r="J321" t="n">
        <v>0</v>
      </c>
      <c r="K321" t="n">
        <v>0</v>
      </c>
      <c r="L321" t="n">
        <v>0</v>
      </c>
      <c r="M321" t="n">
        <v>0</v>
      </c>
      <c r="N321" t="n">
        <v>0</v>
      </c>
      <c r="O321" t="n">
        <v>0</v>
      </c>
      <c r="P321" t="n">
        <v>0</v>
      </c>
      <c r="Q321" t="n">
        <v>0</v>
      </c>
      <c r="R321" s="2" t="inlineStr"/>
    </row>
    <row r="322" ht="15" customHeight="1">
      <c r="A322" t="inlineStr">
        <is>
          <t>A 38871-2025</t>
        </is>
      </c>
      <c r="B322" s="1" t="n">
        <v>45887.57407407407</v>
      </c>
      <c r="C322" s="1" t="n">
        <v>45967</v>
      </c>
      <c r="D322" t="inlineStr">
        <is>
          <t>JÄMTLANDS LÄN</t>
        </is>
      </c>
      <c r="E322" t="inlineStr">
        <is>
          <t>ÖSTERSUND</t>
        </is>
      </c>
      <c r="G322" t="n">
        <v>3</v>
      </c>
      <c r="H322" t="n">
        <v>0</v>
      </c>
      <c r="I322" t="n">
        <v>0</v>
      </c>
      <c r="J322" t="n">
        <v>0</v>
      </c>
      <c r="K322" t="n">
        <v>0</v>
      </c>
      <c r="L322" t="n">
        <v>0</v>
      </c>
      <c r="M322" t="n">
        <v>0</v>
      </c>
      <c r="N322" t="n">
        <v>0</v>
      </c>
      <c r="O322" t="n">
        <v>0</v>
      </c>
      <c r="P322" t="n">
        <v>0</v>
      </c>
      <c r="Q322" t="n">
        <v>0</v>
      </c>
      <c r="R322" s="2" t="inlineStr"/>
    </row>
    <row r="323" ht="15" customHeight="1">
      <c r="A323" t="inlineStr">
        <is>
          <t>A 39030-2025</t>
        </is>
      </c>
      <c r="B323" s="1" t="n">
        <v>45888.40700231482</v>
      </c>
      <c r="C323" s="1" t="n">
        <v>45967</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51818-2024</t>
        </is>
      </c>
      <c r="B324" s="1" t="n">
        <v>45607.49265046296</v>
      </c>
      <c r="C324" s="1" t="n">
        <v>45967</v>
      </c>
      <c r="D324" t="inlineStr">
        <is>
          <t>JÄMTLANDS LÄN</t>
        </is>
      </c>
      <c r="E324" t="inlineStr">
        <is>
          <t>ÖSTERSUND</t>
        </is>
      </c>
      <c r="G324" t="n">
        <v>4.6</v>
      </c>
      <c r="H324" t="n">
        <v>0</v>
      </c>
      <c r="I324" t="n">
        <v>0</v>
      </c>
      <c r="J324" t="n">
        <v>0</v>
      </c>
      <c r="K324" t="n">
        <v>0</v>
      </c>
      <c r="L324" t="n">
        <v>0</v>
      </c>
      <c r="M324" t="n">
        <v>0</v>
      </c>
      <c r="N324" t="n">
        <v>0</v>
      </c>
      <c r="O324" t="n">
        <v>0</v>
      </c>
      <c r="P324" t="n">
        <v>0</v>
      </c>
      <c r="Q324" t="n">
        <v>0</v>
      </c>
      <c r="R324" s="2" t="inlineStr"/>
    </row>
    <row r="325" ht="15" customHeight="1">
      <c r="A325" t="inlineStr">
        <is>
          <t>A 61332-2024</t>
        </is>
      </c>
      <c r="B325" s="1" t="n">
        <v>45646.35685185185</v>
      </c>
      <c r="C325" s="1" t="n">
        <v>45967</v>
      </c>
      <c r="D325" t="inlineStr">
        <is>
          <t>JÄMTLANDS LÄN</t>
        </is>
      </c>
      <c r="E325" t="inlineStr">
        <is>
          <t>ÖSTERSUND</t>
        </is>
      </c>
      <c r="G325" t="n">
        <v>3.2</v>
      </c>
      <c r="H325" t="n">
        <v>0</v>
      </c>
      <c r="I325" t="n">
        <v>0</v>
      </c>
      <c r="J325" t="n">
        <v>0</v>
      </c>
      <c r="K325" t="n">
        <v>0</v>
      </c>
      <c r="L325" t="n">
        <v>0</v>
      </c>
      <c r="M325" t="n">
        <v>0</v>
      </c>
      <c r="N325" t="n">
        <v>0</v>
      </c>
      <c r="O325" t="n">
        <v>0</v>
      </c>
      <c r="P325" t="n">
        <v>0</v>
      </c>
      <c r="Q325" t="n">
        <v>0</v>
      </c>
      <c r="R325" s="2" t="inlineStr"/>
    </row>
    <row r="326" ht="15" customHeight="1">
      <c r="A326" t="inlineStr">
        <is>
          <t>A 17709-2024</t>
        </is>
      </c>
      <c r="B326" s="1" t="n">
        <v>45418.4843287037</v>
      </c>
      <c r="C326" s="1" t="n">
        <v>45967</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14653-2022</t>
        </is>
      </c>
      <c r="B327" s="1" t="n">
        <v>44655.69303240741</v>
      </c>
      <c r="C327" s="1" t="n">
        <v>45967</v>
      </c>
      <c r="D327" t="inlineStr">
        <is>
          <t>JÄMTLANDS LÄN</t>
        </is>
      </c>
      <c r="E327" t="inlineStr">
        <is>
          <t>ÖSTERSUND</t>
        </is>
      </c>
      <c r="G327" t="n">
        <v>1.6</v>
      </c>
      <c r="H327" t="n">
        <v>0</v>
      </c>
      <c r="I327" t="n">
        <v>0</v>
      </c>
      <c r="J327" t="n">
        <v>0</v>
      </c>
      <c r="K327" t="n">
        <v>0</v>
      </c>
      <c r="L327" t="n">
        <v>0</v>
      </c>
      <c r="M327" t="n">
        <v>0</v>
      </c>
      <c r="N327" t="n">
        <v>0</v>
      </c>
      <c r="O327" t="n">
        <v>0</v>
      </c>
      <c r="P327" t="n">
        <v>0</v>
      </c>
      <c r="Q327" t="n">
        <v>0</v>
      </c>
      <c r="R327" s="2" t="inlineStr"/>
    </row>
    <row r="328" ht="15" customHeight="1">
      <c r="A328" t="inlineStr">
        <is>
          <t>A 48106-2024</t>
        </is>
      </c>
      <c r="B328" s="1" t="n">
        <v>45589.62625</v>
      </c>
      <c r="C328" s="1" t="n">
        <v>45967</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7005-2025</t>
        </is>
      </c>
      <c r="B329" s="1" t="n">
        <v>45701.60046296296</v>
      </c>
      <c r="C329" s="1" t="n">
        <v>45967</v>
      </c>
      <c r="D329" t="inlineStr">
        <is>
          <t>JÄMTLANDS LÄN</t>
        </is>
      </c>
      <c r="E329" t="inlineStr">
        <is>
          <t>ÖSTERSUND</t>
        </is>
      </c>
      <c r="G329" t="n">
        <v>3.3</v>
      </c>
      <c r="H329" t="n">
        <v>0</v>
      </c>
      <c r="I329" t="n">
        <v>0</v>
      </c>
      <c r="J329" t="n">
        <v>0</v>
      </c>
      <c r="K329" t="n">
        <v>0</v>
      </c>
      <c r="L329" t="n">
        <v>0</v>
      </c>
      <c r="M329" t="n">
        <v>0</v>
      </c>
      <c r="N329" t="n">
        <v>0</v>
      </c>
      <c r="O329" t="n">
        <v>0</v>
      </c>
      <c r="P329" t="n">
        <v>0</v>
      </c>
      <c r="Q329" t="n">
        <v>0</v>
      </c>
      <c r="R329" s="2" t="inlineStr"/>
    </row>
    <row r="330" ht="15" customHeight="1">
      <c r="A330" t="inlineStr">
        <is>
          <t>A 60126-2020</t>
        </is>
      </c>
      <c r="B330" s="1" t="n">
        <v>44152</v>
      </c>
      <c r="C330" s="1" t="n">
        <v>45967</v>
      </c>
      <c r="D330" t="inlineStr">
        <is>
          <t>JÄMTLANDS LÄN</t>
        </is>
      </c>
      <c r="E330" t="inlineStr">
        <is>
          <t>ÖSTERSUND</t>
        </is>
      </c>
      <c r="G330" t="n">
        <v>1</v>
      </c>
      <c r="H330" t="n">
        <v>0</v>
      </c>
      <c r="I330" t="n">
        <v>0</v>
      </c>
      <c r="J330" t="n">
        <v>0</v>
      </c>
      <c r="K330" t="n">
        <v>0</v>
      </c>
      <c r="L330" t="n">
        <v>0</v>
      </c>
      <c r="M330" t="n">
        <v>0</v>
      </c>
      <c r="N330" t="n">
        <v>0</v>
      </c>
      <c r="O330" t="n">
        <v>0</v>
      </c>
      <c r="P330" t="n">
        <v>0</v>
      </c>
      <c r="Q330" t="n">
        <v>0</v>
      </c>
      <c r="R330" s="2" t="inlineStr"/>
    </row>
    <row r="331" ht="15" customHeight="1">
      <c r="A331" t="inlineStr">
        <is>
          <t>A 20960-2022</t>
        </is>
      </c>
      <c r="B331" s="1" t="n">
        <v>44701.94034722223</v>
      </c>
      <c r="C331" s="1" t="n">
        <v>45967</v>
      </c>
      <c r="D331" t="inlineStr">
        <is>
          <t>JÄMTLANDS LÄN</t>
        </is>
      </c>
      <c r="E331" t="inlineStr">
        <is>
          <t>ÖSTERSUND</t>
        </is>
      </c>
      <c r="G331" t="n">
        <v>3.6</v>
      </c>
      <c r="H331" t="n">
        <v>0</v>
      </c>
      <c r="I331" t="n">
        <v>0</v>
      </c>
      <c r="J331" t="n">
        <v>0</v>
      </c>
      <c r="K331" t="n">
        <v>0</v>
      </c>
      <c r="L331" t="n">
        <v>0</v>
      </c>
      <c r="M331" t="n">
        <v>0</v>
      </c>
      <c r="N331" t="n">
        <v>0</v>
      </c>
      <c r="O331" t="n">
        <v>0</v>
      </c>
      <c r="P331" t="n">
        <v>0</v>
      </c>
      <c r="Q331" t="n">
        <v>0</v>
      </c>
      <c r="R331" s="2" t="inlineStr"/>
    </row>
    <row r="332" ht="15" customHeight="1">
      <c r="A332" t="inlineStr">
        <is>
          <t>A 60780-2023</t>
        </is>
      </c>
      <c r="B332" s="1" t="n">
        <v>45260</v>
      </c>
      <c r="C332" s="1" t="n">
        <v>45967</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57556-2024</t>
        </is>
      </c>
      <c r="B333" s="1" t="n">
        <v>45630</v>
      </c>
      <c r="C333" s="1" t="n">
        <v>45967</v>
      </c>
      <c r="D333" t="inlineStr">
        <is>
          <t>JÄMTLANDS LÄN</t>
        </is>
      </c>
      <c r="E333" t="inlineStr">
        <is>
          <t>ÖSTERSUND</t>
        </is>
      </c>
      <c r="G333" t="n">
        <v>5.5</v>
      </c>
      <c r="H333" t="n">
        <v>0</v>
      </c>
      <c r="I333" t="n">
        <v>0</v>
      </c>
      <c r="J333" t="n">
        <v>0</v>
      </c>
      <c r="K333" t="n">
        <v>0</v>
      </c>
      <c r="L333" t="n">
        <v>0</v>
      </c>
      <c r="M333" t="n">
        <v>0</v>
      </c>
      <c r="N333" t="n">
        <v>0</v>
      </c>
      <c r="O333" t="n">
        <v>0</v>
      </c>
      <c r="P333" t="n">
        <v>0</v>
      </c>
      <c r="Q333" t="n">
        <v>0</v>
      </c>
      <c r="R333" s="2" t="inlineStr"/>
    </row>
    <row r="334" ht="15" customHeight="1">
      <c r="A334" t="inlineStr">
        <is>
          <t>A 38853-2025</t>
        </is>
      </c>
      <c r="B334" s="1" t="n">
        <v>45887.55666666666</v>
      </c>
      <c r="C334" s="1" t="n">
        <v>45967</v>
      </c>
      <c r="D334" t="inlineStr">
        <is>
          <t>JÄMTLANDS LÄN</t>
        </is>
      </c>
      <c r="E334" t="inlineStr">
        <is>
          <t>ÖSTERSUND</t>
        </is>
      </c>
      <c r="G334" t="n">
        <v>2.5</v>
      </c>
      <c r="H334" t="n">
        <v>0</v>
      </c>
      <c r="I334" t="n">
        <v>0</v>
      </c>
      <c r="J334" t="n">
        <v>0</v>
      </c>
      <c r="K334" t="n">
        <v>0</v>
      </c>
      <c r="L334" t="n">
        <v>0</v>
      </c>
      <c r="M334" t="n">
        <v>0</v>
      </c>
      <c r="N334" t="n">
        <v>0</v>
      </c>
      <c r="O334" t="n">
        <v>0</v>
      </c>
      <c r="P334" t="n">
        <v>0</v>
      </c>
      <c r="Q334" t="n">
        <v>0</v>
      </c>
      <c r="R334" s="2" t="inlineStr"/>
    </row>
    <row r="335" ht="15" customHeight="1">
      <c r="A335" t="inlineStr">
        <is>
          <t>A 16335-2025</t>
        </is>
      </c>
      <c r="B335" s="1" t="n">
        <v>45751.36518518518</v>
      </c>
      <c r="C335" s="1" t="n">
        <v>45967</v>
      </c>
      <c r="D335" t="inlineStr">
        <is>
          <t>JÄMTLANDS LÄN</t>
        </is>
      </c>
      <c r="E335" t="inlineStr">
        <is>
          <t>ÖSTERSUND</t>
        </is>
      </c>
      <c r="G335" t="n">
        <v>3.7</v>
      </c>
      <c r="H335" t="n">
        <v>0</v>
      </c>
      <c r="I335" t="n">
        <v>0</v>
      </c>
      <c r="J335" t="n">
        <v>0</v>
      </c>
      <c r="K335" t="n">
        <v>0</v>
      </c>
      <c r="L335" t="n">
        <v>0</v>
      </c>
      <c r="M335" t="n">
        <v>0</v>
      </c>
      <c r="N335" t="n">
        <v>0</v>
      </c>
      <c r="O335" t="n">
        <v>0</v>
      </c>
      <c r="P335" t="n">
        <v>0</v>
      </c>
      <c r="Q335" t="n">
        <v>0</v>
      </c>
      <c r="R335" s="2" t="inlineStr"/>
    </row>
    <row r="336" ht="15" customHeight="1">
      <c r="A336" t="inlineStr">
        <is>
          <t>A 57589-2024</t>
        </is>
      </c>
      <c r="B336" s="1" t="n">
        <v>45630.49710648148</v>
      </c>
      <c r="C336" s="1" t="n">
        <v>45967</v>
      </c>
      <c r="D336" t="inlineStr">
        <is>
          <t>JÄMTLANDS LÄN</t>
        </is>
      </c>
      <c r="E336" t="inlineStr">
        <is>
          <t>ÖSTERSUND</t>
        </is>
      </c>
      <c r="G336" t="n">
        <v>1.8</v>
      </c>
      <c r="H336" t="n">
        <v>0</v>
      </c>
      <c r="I336" t="n">
        <v>0</v>
      </c>
      <c r="J336" t="n">
        <v>0</v>
      </c>
      <c r="K336" t="n">
        <v>0</v>
      </c>
      <c r="L336" t="n">
        <v>0</v>
      </c>
      <c r="M336" t="n">
        <v>0</v>
      </c>
      <c r="N336" t="n">
        <v>0</v>
      </c>
      <c r="O336" t="n">
        <v>0</v>
      </c>
      <c r="P336" t="n">
        <v>0</v>
      </c>
      <c r="Q336" t="n">
        <v>0</v>
      </c>
      <c r="R336" s="2" t="inlineStr"/>
    </row>
    <row r="337" ht="15" customHeight="1">
      <c r="A337" t="inlineStr">
        <is>
          <t>A 56646-2024</t>
        </is>
      </c>
      <c r="B337" s="1" t="n">
        <v>45625</v>
      </c>
      <c r="C337" s="1" t="n">
        <v>45967</v>
      </c>
      <c r="D337" t="inlineStr">
        <is>
          <t>JÄMTLANDS LÄN</t>
        </is>
      </c>
      <c r="E337" t="inlineStr">
        <is>
          <t>ÖSTERSUND</t>
        </is>
      </c>
      <c r="G337" t="n">
        <v>18.9</v>
      </c>
      <c r="H337" t="n">
        <v>0</v>
      </c>
      <c r="I337" t="n">
        <v>0</v>
      </c>
      <c r="J337" t="n">
        <v>0</v>
      </c>
      <c r="K337" t="n">
        <v>0</v>
      </c>
      <c r="L337" t="n">
        <v>0</v>
      </c>
      <c r="M337" t="n">
        <v>0</v>
      </c>
      <c r="N337" t="n">
        <v>0</v>
      </c>
      <c r="O337" t="n">
        <v>0</v>
      </c>
      <c r="P337" t="n">
        <v>0</v>
      </c>
      <c r="Q337" t="n">
        <v>0</v>
      </c>
      <c r="R337" s="2" t="inlineStr"/>
    </row>
    <row r="338" ht="15" customHeight="1">
      <c r="A338" t="inlineStr">
        <is>
          <t>A 47128-2025</t>
        </is>
      </c>
      <c r="B338" s="1" t="n">
        <v>45929.69074074074</v>
      </c>
      <c r="C338" s="1" t="n">
        <v>45967</v>
      </c>
      <c r="D338" t="inlineStr">
        <is>
          <t>JÄMTLANDS LÄN</t>
        </is>
      </c>
      <c r="E338" t="inlineStr">
        <is>
          <t>ÖSTERSUND</t>
        </is>
      </c>
      <c r="G338" t="n">
        <v>4.1</v>
      </c>
      <c r="H338" t="n">
        <v>0</v>
      </c>
      <c r="I338" t="n">
        <v>0</v>
      </c>
      <c r="J338" t="n">
        <v>0</v>
      </c>
      <c r="K338" t="n">
        <v>0</v>
      </c>
      <c r="L338" t="n">
        <v>0</v>
      </c>
      <c r="M338" t="n">
        <v>0</v>
      </c>
      <c r="N338" t="n">
        <v>0</v>
      </c>
      <c r="O338" t="n">
        <v>0</v>
      </c>
      <c r="P338" t="n">
        <v>0</v>
      </c>
      <c r="Q338" t="n">
        <v>0</v>
      </c>
      <c r="R338" s="2" t="inlineStr"/>
    </row>
    <row r="339" ht="15" customHeight="1">
      <c r="A339" t="inlineStr">
        <is>
          <t>A 15686-2025</t>
        </is>
      </c>
      <c r="B339" s="1" t="n">
        <v>45748.46021990741</v>
      </c>
      <c r="C339" s="1" t="n">
        <v>45967</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8389-2025</t>
        </is>
      </c>
      <c r="B340" s="1" t="n">
        <v>45709.36497685185</v>
      </c>
      <c r="C340" s="1" t="n">
        <v>45967</v>
      </c>
      <c r="D340" t="inlineStr">
        <is>
          <t>JÄMTLANDS LÄN</t>
        </is>
      </c>
      <c r="E340" t="inlineStr">
        <is>
          <t>ÖSTERSUND</t>
        </is>
      </c>
      <c r="F340" t="inlineStr">
        <is>
          <t>SCA</t>
        </is>
      </c>
      <c r="G340" t="n">
        <v>6.3</v>
      </c>
      <c r="H340" t="n">
        <v>0</v>
      </c>
      <c r="I340" t="n">
        <v>0</v>
      </c>
      <c r="J340" t="n">
        <v>0</v>
      </c>
      <c r="K340" t="n">
        <v>0</v>
      </c>
      <c r="L340" t="n">
        <v>0</v>
      </c>
      <c r="M340" t="n">
        <v>0</v>
      </c>
      <c r="N340" t="n">
        <v>0</v>
      </c>
      <c r="O340" t="n">
        <v>0</v>
      </c>
      <c r="P340" t="n">
        <v>0</v>
      </c>
      <c r="Q340" t="n">
        <v>0</v>
      </c>
      <c r="R340" s="2" t="inlineStr"/>
    </row>
    <row r="341" ht="15" customHeight="1">
      <c r="A341" t="inlineStr">
        <is>
          <t>A 11740-2022</t>
        </is>
      </c>
      <c r="B341" s="1" t="n">
        <v>44634.52982638889</v>
      </c>
      <c r="C341" s="1" t="n">
        <v>45967</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44048-2024</t>
        </is>
      </c>
      <c r="B342" s="1" t="n">
        <v>45572.59430555555</v>
      </c>
      <c r="C342" s="1" t="n">
        <v>45967</v>
      </c>
      <c r="D342" t="inlineStr">
        <is>
          <t>JÄMTLANDS LÄN</t>
        </is>
      </c>
      <c r="E342" t="inlineStr">
        <is>
          <t>ÖSTERSUND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38926-2024</t>
        </is>
      </c>
      <c r="B343" s="1" t="n">
        <v>45547.90777777778</v>
      </c>
      <c r="C343" s="1" t="n">
        <v>45967</v>
      </c>
      <c r="D343" t="inlineStr">
        <is>
          <t>JÄMTLANDS LÄN</t>
        </is>
      </c>
      <c r="E343" t="inlineStr">
        <is>
          <t>ÖSTERSUND</t>
        </is>
      </c>
      <c r="G343" t="n">
        <v>0.4</v>
      </c>
      <c r="H343" t="n">
        <v>0</v>
      </c>
      <c r="I343" t="n">
        <v>0</v>
      </c>
      <c r="J343" t="n">
        <v>0</v>
      </c>
      <c r="K343" t="n">
        <v>0</v>
      </c>
      <c r="L343" t="n">
        <v>0</v>
      </c>
      <c r="M343" t="n">
        <v>0</v>
      </c>
      <c r="N343" t="n">
        <v>0</v>
      </c>
      <c r="O343" t="n">
        <v>0</v>
      </c>
      <c r="P343" t="n">
        <v>0</v>
      </c>
      <c r="Q343" t="n">
        <v>0</v>
      </c>
      <c r="R343" s="2" t="inlineStr"/>
    </row>
    <row r="344" ht="15" customHeight="1">
      <c r="A344" t="inlineStr">
        <is>
          <t>A 20588-2023</t>
        </is>
      </c>
      <c r="B344" s="1" t="n">
        <v>45057</v>
      </c>
      <c r="C344" s="1" t="n">
        <v>45967</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39103-2025</t>
        </is>
      </c>
      <c r="B345" s="1" t="n">
        <v>45888.52440972222</v>
      </c>
      <c r="C345" s="1" t="n">
        <v>45967</v>
      </c>
      <c r="D345" t="inlineStr">
        <is>
          <t>JÄMTLANDS LÄN</t>
        </is>
      </c>
      <c r="E345" t="inlineStr">
        <is>
          <t>ÖSTERSUND</t>
        </is>
      </c>
      <c r="G345" t="n">
        <v>23.9</v>
      </c>
      <c r="H345" t="n">
        <v>0</v>
      </c>
      <c r="I345" t="n">
        <v>0</v>
      </c>
      <c r="J345" t="n">
        <v>0</v>
      </c>
      <c r="K345" t="n">
        <v>0</v>
      </c>
      <c r="L345" t="n">
        <v>0</v>
      </c>
      <c r="M345" t="n">
        <v>0</v>
      </c>
      <c r="N345" t="n">
        <v>0</v>
      </c>
      <c r="O345" t="n">
        <v>0</v>
      </c>
      <c r="P345" t="n">
        <v>0</v>
      </c>
      <c r="Q345" t="n">
        <v>0</v>
      </c>
      <c r="R345" s="2" t="inlineStr"/>
    </row>
    <row r="346" ht="15" customHeight="1">
      <c r="A346" t="inlineStr">
        <is>
          <t>A 26321-2022</t>
        </is>
      </c>
      <c r="B346" s="1" t="n">
        <v>44735</v>
      </c>
      <c r="C346" s="1" t="n">
        <v>45967</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14542-2025</t>
        </is>
      </c>
      <c r="B347" s="1" t="n">
        <v>45741.68631944444</v>
      </c>
      <c r="C347" s="1" t="n">
        <v>45967</v>
      </c>
      <c r="D347" t="inlineStr">
        <is>
          <t>JÄMTLANDS LÄN</t>
        </is>
      </c>
      <c r="E347" t="inlineStr">
        <is>
          <t>ÖSTERSUND</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55235-2023</t>
        </is>
      </c>
      <c r="B348" s="1" t="n">
        <v>45231</v>
      </c>
      <c r="C348" s="1" t="n">
        <v>45967</v>
      </c>
      <c r="D348" t="inlineStr">
        <is>
          <t>JÄMTLANDS LÄN</t>
        </is>
      </c>
      <c r="E348" t="inlineStr">
        <is>
          <t>ÖSTERSUND</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4063-2025</t>
        </is>
      </c>
      <c r="B349" s="1" t="n">
        <v>45684</v>
      </c>
      <c r="C349" s="1" t="n">
        <v>45967</v>
      </c>
      <c r="D349" t="inlineStr">
        <is>
          <t>JÄMTLANDS LÄN</t>
        </is>
      </c>
      <c r="E349" t="inlineStr">
        <is>
          <t>ÖSTERSUND</t>
        </is>
      </c>
      <c r="G349" t="n">
        <v>2.9</v>
      </c>
      <c r="H349" t="n">
        <v>0</v>
      </c>
      <c r="I349" t="n">
        <v>0</v>
      </c>
      <c r="J349" t="n">
        <v>0</v>
      </c>
      <c r="K349" t="n">
        <v>0</v>
      </c>
      <c r="L349" t="n">
        <v>0</v>
      </c>
      <c r="M349" t="n">
        <v>0</v>
      </c>
      <c r="N349" t="n">
        <v>0</v>
      </c>
      <c r="O349" t="n">
        <v>0</v>
      </c>
      <c r="P349" t="n">
        <v>0</v>
      </c>
      <c r="Q349" t="n">
        <v>0</v>
      </c>
      <c r="R349" s="2" t="inlineStr"/>
    </row>
    <row r="350" ht="15" customHeight="1">
      <c r="A350" t="inlineStr">
        <is>
          <t>A 25221-2025</t>
        </is>
      </c>
      <c r="B350" s="1" t="n">
        <v>45800.47802083333</v>
      </c>
      <c r="C350" s="1" t="n">
        <v>45967</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47579-2025</t>
        </is>
      </c>
      <c r="B351" s="1" t="n">
        <v>45931.40671296296</v>
      </c>
      <c r="C351" s="1" t="n">
        <v>45967</v>
      </c>
      <c r="D351" t="inlineStr">
        <is>
          <t>JÄMTLANDS LÄN</t>
        </is>
      </c>
      <c r="E351" t="inlineStr">
        <is>
          <t>ÖSTERSUND</t>
        </is>
      </c>
      <c r="G351" t="n">
        <v>5.8</v>
      </c>
      <c r="H351" t="n">
        <v>0</v>
      </c>
      <c r="I351" t="n">
        <v>0</v>
      </c>
      <c r="J351" t="n">
        <v>0</v>
      </c>
      <c r="K351" t="n">
        <v>0</v>
      </c>
      <c r="L351" t="n">
        <v>0</v>
      </c>
      <c r="M351" t="n">
        <v>0</v>
      </c>
      <c r="N351" t="n">
        <v>0</v>
      </c>
      <c r="O351" t="n">
        <v>0</v>
      </c>
      <c r="P351" t="n">
        <v>0</v>
      </c>
      <c r="Q351" t="n">
        <v>0</v>
      </c>
      <c r="R351" s="2" t="inlineStr"/>
    </row>
    <row r="352" ht="15" customHeight="1">
      <c r="A352" t="inlineStr">
        <is>
          <t>A 4936-2025</t>
        </is>
      </c>
      <c r="B352" s="1" t="n">
        <v>45688.69356481481</v>
      </c>
      <c r="C352" s="1" t="n">
        <v>45967</v>
      </c>
      <c r="D352" t="inlineStr">
        <is>
          <t>JÄMTLANDS LÄN</t>
        </is>
      </c>
      <c r="E352" t="inlineStr">
        <is>
          <t>ÖSTERSUND</t>
        </is>
      </c>
      <c r="G352" t="n">
        <v>8.1</v>
      </c>
      <c r="H352" t="n">
        <v>0</v>
      </c>
      <c r="I352" t="n">
        <v>0</v>
      </c>
      <c r="J352" t="n">
        <v>0</v>
      </c>
      <c r="K352" t="n">
        <v>0</v>
      </c>
      <c r="L352" t="n">
        <v>0</v>
      </c>
      <c r="M352" t="n">
        <v>0</v>
      </c>
      <c r="N352" t="n">
        <v>0</v>
      </c>
      <c r="O352" t="n">
        <v>0</v>
      </c>
      <c r="P352" t="n">
        <v>0</v>
      </c>
      <c r="Q352" t="n">
        <v>0</v>
      </c>
      <c r="R352" s="2" t="inlineStr"/>
    </row>
    <row r="353" ht="15" customHeight="1">
      <c r="A353" t="inlineStr">
        <is>
          <t>A 11181-2025</t>
        </is>
      </c>
      <c r="B353" s="1" t="n">
        <v>45725.44039351852</v>
      </c>
      <c r="C353" s="1" t="n">
        <v>45967</v>
      </c>
      <c r="D353" t="inlineStr">
        <is>
          <t>JÄMTLANDS LÄN</t>
        </is>
      </c>
      <c r="E353" t="inlineStr">
        <is>
          <t>ÖSTERSUND</t>
        </is>
      </c>
      <c r="G353" t="n">
        <v>15.4</v>
      </c>
      <c r="H353" t="n">
        <v>0</v>
      </c>
      <c r="I353" t="n">
        <v>0</v>
      </c>
      <c r="J353" t="n">
        <v>0</v>
      </c>
      <c r="K353" t="n">
        <v>0</v>
      </c>
      <c r="L353" t="n">
        <v>0</v>
      </c>
      <c r="M353" t="n">
        <v>0</v>
      </c>
      <c r="N353" t="n">
        <v>0</v>
      </c>
      <c r="O353" t="n">
        <v>0</v>
      </c>
      <c r="P353" t="n">
        <v>0</v>
      </c>
      <c r="Q353" t="n">
        <v>0</v>
      </c>
      <c r="R353" s="2" t="inlineStr"/>
    </row>
    <row r="354" ht="15" customHeight="1">
      <c r="A354" t="inlineStr">
        <is>
          <t>A 47575-2025</t>
        </is>
      </c>
      <c r="B354" s="1" t="n">
        <v>45931.40100694444</v>
      </c>
      <c r="C354" s="1" t="n">
        <v>45967</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7936-2025</t>
        </is>
      </c>
      <c r="B355" s="1" t="n">
        <v>45707</v>
      </c>
      <c r="C355" s="1" t="n">
        <v>45967</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7940-2025</t>
        </is>
      </c>
      <c r="B356" s="1" t="n">
        <v>45707.40493055555</v>
      </c>
      <c r="C356" s="1" t="n">
        <v>45967</v>
      </c>
      <c r="D356" t="inlineStr">
        <is>
          <t>JÄMTLANDS LÄN</t>
        </is>
      </c>
      <c r="E356" t="inlineStr">
        <is>
          <t>ÖSTERSUND</t>
        </is>
      </c>
      <c r="F356" t="inlineStr">
        <is>
          <t>Övriga Aktiebolag</t>
        </is>
      </c>
      <c r="G356" t="n">
        <v>48.1</v>
      </c>
      <c r="H356" t="n">
        <v>0</v>
      </c>
      <c r="I356" t="n">
        <v>0</v>
      </c>
      <c r="J356" t="n">
        <v>0</v>
      </c>
      <c r="K356" t="n">
        <v>0</v>
      </c>
      <c r="L356" t="n">
        <v>0</v>
      </c>
      <c r="M356" t="n">
        <v>0</v>
      </c>
      <c r="N356" t="n">
        <v>0</v>
      </c>
      <c r="O356" t="n">
        <v>0</v>
      </c>
      <c r="P356" t="n">
        <v>0</v>
      </c>
      <c r="Q356" t="n">
        <v>0</v>
      </c>
      <c r="R356" s="2" t="inlineStr"/>
    </row>
    <row r="357" ht="15" customHeight="1">
      <c r="A357" t="inlineStr">
        <is>
          <t>A 12946-2022</t>
        </is>
      </c>
      <c r="B357" s="1" t="n">
        <v>44642.93471064815</v>
      </c>
      <c r="C357" s="1" t="n">
        <v>45967</v>
      </c>
      <c r="D357" t="inlineStr">
        <is>
          <t>JÄMTLANDS LÄN</t>
        </is>
      </c>
      <c r="E357" t="inlineStr">
        <is>
          <t>ÖSTERSUND</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79-2025</t>
        </is>
      </c>
      <c r="B358" s="1" t="n">
        <v>45659.44413194444</v>
      </c>
      <c r="C358" s="1" t="n">
        <v>45967</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31040-2021</t>
        </is>
      </c>
      <c r="B359" s="1" t="n">
        <v>44368</v>
      </c>
      <c r="C359" s="1" t="n">
        <v>45967</v>
      </c>
      <c r="D359" t="inlineStr">
        <is>
          <t>JÄMTLANDS LÄN</t>
        </is>
      </c>
      <c r="E359" t="inlineStr">
        <is>
          <t>ÖSTERSUND</t>
        </is>
      </c>
      <c r="G359" t="n">
        <v>4.3</v>
      </c>
      <c r="H359" t="n">
        <v>0</v>
      </c>
      <c r="I359" t="n">
        <v>0</v>
      </c>
      <c r="J359" t="n">
        <v>0</v>
      </c>
      <c r="K359" t="n">
        <v>0</v>
      </c>
      <c r="L359" t="n">
        <v>0</v>
      </c>
      <c r="M359" t="n">
        <v>0</v>
      </c>
      <c r="N359" t="n">
        <v>0</v>
      </c>
      <c r="O359" t="n">
        <v>0</v>
      </c>
      <c r="P359" t="n">
        <v>0</v>
      </c>
      <c r="Q359" t="n">
        <v>0</v>
      </c>
      <c r="R359" s="2" t="inlineStr"/>
    </row>
    <row r="360" ht="15" customHeight="1">
      <c r="A360" t="inlineStr">
        <is>
          <t>A 2753-2025</t>
        </is>
      </c>
      <c r="B360" s="1" t="n">
        <v>45677.47302083333</v>
      </c>
      <c r="C360" s="1" t="n">
        <v>45967</v>
      </c>
      <c r="D360" t="inlineStr">
        <is>
          <t>JÄMTLANDS LÄN</t>
        </is>
      </c>
      <c r="E360" t="inlineStr">
        <is>
          <t>ÖSTERSUND</t>
        </is>
      </c>
      <c r="G360" t="n">
        <v>6.4</v>
      </c>
      <c r="H360" t="n">
        <v>0</v>
      </c>
      <c r="I360" t="n">
        <v>0</v>
      </c>
      <c r="J360" t="n">
        <v>0</v>
      </c>
      <c r="K360" t="n">
        <v>0</v>
      </c>
      <c r="L360" t="n">
        <v>0</v>
      </c>
      <c r="M360" t="n">
        <v>0</v>
      </c>
      <c r="N360" t="n">
        <v>0</v>
      </c>
      <c r="O360" t="n">
        <v>0</v>
      </c>
      <c r="P360" t="n">
        <v>0</v>
      </c>
      <c r="Q360" t="n">
        <v>0</v>
      </c>
      <c r="R360" s="2" t="inlineStr"/>
    </row>
    <row r="361" ht="15" customHeight="1">
      <c r="A361" t="inlineStr">
        <is>
          <t>A 48059-2025</t>
        </is>
      </c>
      <c r="B361" s="1" t="n">
        <v>45932.67961805555</v>
      </c>
      <c r="C361" s="1" t="n">
        <v>45967</v>
      </c>
      <c r="D361" t="inlineStr">
        <is>
          <t>JÄMTLANDS LÄN</t>
        </is>
      </c>
      <c r="E361" t="inlineStr">
        <is>
          <t>ÖSTERSUND</t>
        </is>
      </c>
      <c r="G361" t="n">
        <v>12.2</v>
      </c>
      <c r="H361" t="n">
        <v>0</v>
      </c>
      <c r="I361" t="n">
        <v>0</v>
      </c>
      <c r="J361" t="n">
        <v>0</v>
      </c>
      <c r="K361" t="n">
        <v>0</v>
      </c>
      <c r="L361" t="n">
        <v>0</v>
      </c>
      <c r="M361" t="n">
        <v>0</v>
      </c>
      <c r="N361" t="n">
        <v>0</v>
      </c>
      <c r="O361" t="n">
        <v>0</v>
      </c>
      <c r="P361" t="n">
        <v>0</v>
      </c>
      <c r="Q361" t="n">
        <v>0</v>
      </c>
      <c r="R361" s="2" t="inlineStr"/>
    </row>
    <row r="362" ht="15" customHeight="1">
      <c r="A362" t="inlineStr">
        <is>
          <t>A 47563-2025</t>
        </is>
      </c>
      <c r="B362" s="1" t="n">
        <v>45931.38956018518</v>
      </c>
      <c r="C362" s="1" t="n">
        <v>45967</v>
      </c>
      <c r="D362" t="inlineStr">
        <is>
          <t>JÄMTLANDS LÄN</t>
        </is>
      </c>
      <c r="E362" t="inlineStr">
        <is>
          <t>ÖSTERSUND</t>
        </is>
      </c>
      <c r="G362" t="n">
        <v>2.3</v>
      </c>
      <c r="H362" t="n">
        <v>0</v>
      </c>
      <c r="I362" t="n">
        <v>0</v>
      </c>
      <c r="J362" t="n">
        <v>0</v>
      </c>
      <c r="K362" t="n">
        <v>0</v>
      </c>
      <c r="L362" t="n">
        <v>0</v>
      </c>
      <c r="M362" t="n">
        <v>0</v>
      </c>
      <c r="N362" t="n">
        <v>0</v>
      </c>
      <c r="O362" t="n">
        <v>0</v>
      </c>
      <c r="P362" t="n">
        <v>0</v>
      </c>
      <c r="Q362" t="n">
        <v>0</v>
      </c>
      <c r="R362" s="2" t="inlineStr"/>
    </row>
    <row r="363" ht="15" customHeight="1">
      <c r="A363" t="inlineStr">
        <is>
          <t>A 47759-2025</t>
        </is>
      </c>
      <c r="B363" s="1" t="n">
        <v>45931.67381944445</v>
      </c>
      <c r="C363" s="1" t="n">
        <v>45967</v>
      </c>
      <c r="D363" t="inlineStr">
        <is>
          <t>JÄMTLANDS LÄN</t>
        </is>
      </c>
      <c r="E363" t="inlineStr">
        <is>
          <t>ÖSTERSUND</t>
        </is>
      </c>
      <c r="G363" t="n">
        <v>1.9</v>
      </c>
      <c r="H363" t="n">
        <v>0</v>
      </c>
      <c r="I363" t="n">
        <v>0</v>
      </c>
      <c r="J363" t="n">
        <v>0</v>
      </c>
      <c r="K363" t="n">
        <v>0</v>
      </c>
      <c r="L363" t="n">
        <v>0</v>
      </c>
      <c r="M363" t="n">
        <v>0</v>
      </c>
      <c r="N363" t="n">
        <v>0</v>
      </c>
      <c r="O363" t="n">
        <v>0</v>
      </c>
      <c r="P363" t="n">
        <v>0</v>
      </c>
      <c r="Q363" t="n">
        <v>0</v>
      </c>
      <c r="R363" s="2" t="inlineStr"/>
    </row>
    <row r="364" ht="15" customHeight="1">
      <c r="A364" t="inlineStr">
        <is>
          <t>A 21060-2025</t>
        </is>
      </c>
      <c r="B364" s="1" t="n">
        <v>45777.58025462963</v>
      </c>
      <c r="C364" s="1" t="n">
        <v>45967</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44327-2023</t>
        </is>
      </c>
      <c r="B365" s="1" t="n">
        <v>45188</v>
      </c>
      <c r="C365" s="1" t="n">
        <v>45967</v>
      </c>
      <c r="D365" t="inlineStr">
        <is>
          <t>JÄMTLANDS LÄN</t>
        </is>
      </c>
      <c r="E365" t="inlineStr">
        <is>
          <t>ÖSTERSUND</t>
        </is>
      </c>
      <c r="G365" t="n">
        <v>1.5</v>
      </c>
      <c r="H365" t="n">
        <v>0</v>
      </c>
      <c r="I365" t="n">
        <v>0</v>
      </c>
      <c r="J365" t="n">
        <v>0</v>
      </c>
      <c r="K365" t="n">
        <v>0</v>
      </c>
      <c r="L365" t="n">
        <v>0</v>
      </c>
      <c r="M365" t="n">
        <v>0</v>
      </c>
      <c r="N365" t="n">
        <v>0</v>
      </c>
      <c r="O365" t="n">
        <v>0</v>
      </c>
      <c r="P365" t="n">
        <v>0</v>
      </c>
      <c r="Q365" t="n">
        <v>0</v>
      </c>
      <c r="R365" s="2" t="inlineStr"/>
    </row>
    <row r="366" ht="15" customHeight="1">
      <c r="A366" t="inlineStr">
        <is>
          <t>A 27780-2022</t>
        </is>
      </c>
      <c r="B366" s="1" t="n">
        <v>44743</v>
      </c>
      <c r="C366" s="1" t="n">
        <v>45967</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23555-2022</t>
        </is>
      </c>
      <c r="B367" s="1" t="n">
        <v>44721</v>
      </c>
      <c r="C367" s="1" t="n">
        <v>45967</v>
      </c>
      <c r="D367" t="inlineStr">
        <is>
          <t>JÄMTLANDS LÄN</t>
        </is>
      </c>
      <c r="E367" t="inlineStr">
        <is>
          <t>ÖSTERSUND</t>
        </is>
      </c>
      <c r="G367" t="n">
        <v>1.2</v>
      </c>
      <c r="H367" t="n">
        <v>0</v>
      </c>
      <c r="I367" t="n">
        <v>0</v>
      </c>
      <c r="J367" t="n">
        <v>0</v>
      </c>
      <c r="K367" t="n">
        <v>0</v>
      </c>
      <c r="L367" t="n">
        <v>0</v>
      </c>
      <c r="M367" t="n">
        <v>0</v>
      </c>
      <c r="N367" t="n">
        <v>0</v>
      </c>
      <c r="O367" t="n">
        <v>0</v>
      </c>
      <c r="P367" t="n">
        <v>0</v>
      </c>
      <c r="Q367" t="n">
        <v>0</v>
      </c>
      <c r="R367" s="2" t="inlineStr"/>
    </row>
    <row r="368" ht="15" customHeight="1">
      <c r="A368" t="inlineStr">
        <is>
          <t>A 12821-2023</t>
        </is>
      </c>
      <c r="B368" s="1" t="n">
        <v>45000</v>
      </c>
      <c r="C368" s="1" t="n">
        <v>45967</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10267-2025</t>
        </is>
      </c>
      <c r="B369" s="1" t="n">
        <v>45720.3859375</v>
      </c>
      <c r="C369" s="1" t="n">
        <v>45967</v>
      </c>
      <c r="D369" t="inlineStr">
        <is>
          <t>JÄMTLANDS LÄN</t>
        </is>
      </c>
      <c r="E369" t="inlineStr">
        <is>
          <t>ÖSTERSUND</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10493-2025</t>
        </is>
      </c>
      <c r="B370" s="1" t="n">
        <v>45721.36320601852</v>
      </c>
      <c r="C370" s="1" t="n">
        <v>45967</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21094-2025</t>
        </is>
      </c>
      <c r="B371" s="1" t="n">
        <v>45777.62665509259</v>
      </c>
      <c r="C371" s="1" t="n">
        <v>45967</v>
      </c>
      <c r="D371" t="inlineStr">
        <is>
          <t>JÄMTLANDS LÄN</t>
        </is>
      </c>
      <c r="E371" t="inlineStr">
        <is>
          <t>ÖSTERSUND</t>
        </is>
      </c>
      <c r="G371" t="n">
        <v>3.3</v>
      </c>
      <c r="H371" t="n">
        <v>0</v>
      </c>
      <c r="I371" t="n">
        <v>0</v>
      </c>
      <c r="J371" t="n">
        <v>0</v>
      </c>
      <c r="K371" t="n">
        <v>0</v>
      </c>
      <c r="L371" t="n">
        <v>0</v>
      </c>
      <c r="M371" t="n">
        <v>0</v>
      </c>
      <c r="N371" t="n">
        <v>0</v>
      </c>
      <c r="O371" t="n">
        <v>0</v>
      </c>
      <c r="P371" t="n">
        <v>0</v>
      </c>
      <c r="Q371" t="n">
        <v>0</v>
      </c>
      <c r="R371" s="2" t="inlineStr"/>
    </row>
    <row r="372" ht="15" customHeight="1">
      <c r="A372" t="inlineStr">
        <is>
          <t>A 50088-2024</t>
        </is>
      </c>
      <c r="B372" s="1" t="n">
        <v>45600.38585648148</v>
      </c>
      <c r="C372" s="1" t="n">
        <v>45967</v>
      </c>
      <c r="D372" t="inlineStr">
        <is>
          <t>JÄMTLANDS LÄN</t>
        </is>
      </c>
      <c r="E372" t="inlineStr">
        <is>
          <t>ÖSTERSUND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21237-2025</t>
        </is>
      </c>
      <c r="B373" s="1" t="n">
        <v>45779</v>
      </c>
      <c r="C373" s="1" t="n">
        <v>45967</v>
      </c>
      <c r="D373" t="inlineStr">
        <is>
          <t>JÄMTLANDS LÄN</t>
        </is>
      </c>
      <c r="E373" t="inlineStr">
        <is>
          <t>ÖSTERSUND</t>
        </is>
      </c>
      <c r="G373" t="n">
        <v>0.4</v>
      </c>
      <c r="H373" t="n">
        <v>0</v>
      </c>
      <c r="I373" t="n">
        <v>0</v>
      </c>
      <c r="J373" t="n">
        <v>0</v>
      </c>
      <c r="K373" t="n">
        <v>0</v>
      </c>
      <c r="L373" t="n">
        <v>0</v>
      </c>
      <c r="M373" t="n">
        <v>0</v>
      </c>
      <c r="N373" t="n">
        <v>0</v>
      </c>
      <c r="O373" t="n">
        <v>0</v>
      </c>
      <c r="P373" t="n">
        <v>0</v>
      </c>
      <c r="Q373" t="n">
        <v>0</v>
      </c>
      <c r="R373" s="2" t="inlineStr"/>
    </row>
    <row r="374" ht="15" customHeight="1">
      <c r="A374" t="inlineStr">
        <is>
          <t>A 14848-2025</t>
        </is>
      </c>
      <c r="B374" s="1" t="n">
        <v>45743.39528935185</v>
      </c>
      <c r="C374" s="1" t="n">
        <v>45967</v>
      </c>
      <c r="D374" t="inlineStr">
        <is>
          <t>JÄMTLANDS LÄN</t>
        </is>
      </c>
      <c r="E374" t="inlineStr">
        <is>
          <t>ÖSTERSUND</t>
        </is>
      </c>
      <c r="G374" t="n">
        <v>12.1</v>
      </c>
      <c r="H374" t="n">
        <v>0</v>
      </c>
      <c r="I374" t="n">
        <v>0</v>
      </c>
      <c r="J374" t="n">
        <v>0</v>
      </c>
      <c r="K374" t="n">
        <v>0</v>
      </c>
      <c r="L374" t="n">
        <v>0</v>
      </c>
      <c r="M374" t="n">
        <v>0</v>
      </c>
      <c r="N374" t="n">
        <v>0</v>
      </c>
      <c r="O374" t="n">
        <v>0</v>
      </c>
      <c r="P374" t="n">
        <v>0</v>
      </c>
      <c r="Q374" t="n">
        <v>0</v>
      </c>
      <c r="R374" s="2" t="inlineStr"/>
    </row>
    <row r="375" ht="15" customHeight="1">
      <c r="A375" t="inlineStr">
        <is>
          <t>A 16812-2025</t>
        </is>
      </c>
      <c r="B375" s="1" t="n">
        <v>45754</v>
      </c>
      <c r="C375" s="1" t="n">
        <v>45967</v>
      </c>
      <c r="D375" t="inlineStr">
        <is>
          <t>JÄMTLANDS LÄN</t>
        </is>
      </c>
      <c r="E375" t="inlineStr">
        <is>
          <t>ÖSTERSUND</t>
        </is>
      </c>
      <c r="F375" t="inlineStr">
        <is>
          <t>Övriga statliga verk och myndigheter</t>
        </is>
      </c>
      <c r="G375" t="n">
        <v>3.7</v>
      </c>
      <c r="H375" t="n">
        <v>0</v>
      </c>
      <c r="I375" t="n">
        <v>0</v>
      </c>
      <c r="J375" t="n">
        <v>0</v>
      </c>
      <c r="K375" t="n">
        <v>0</v>
      </c>
      <c r="L375" t="n">
        <v>0</v>
      </c>
      <c r="M375" t="n">
        <v>0</v>
      </c>
      <c r="N375" t="n">
        <v>0</v>
      </c>
      <c r="O375" t="n">
        <v>0</v>
      </c>
      <c r="P375" t="n">
        <v>0</v>
      </c>
      <c r="Q375" t="n">
        <v>0</v>
      </c>
      <c r="R375" s="2" t="inlineStr"/>
    </row>
    <row r="376" ht="15" customHeight="1">
      <c r="A376" t="inlineStr">
        <is>
          <t>A 16725-2025</t>
        </is>
      </c>
      <c r="B376" s="1" t="n">
        <v>45754</v>
      </c>
      <c r="C376" s="1" t="n">
        <v>45967</v>
      </c>
      <c r="D376" t="inlineStr">
        <is>
          <t>JÄMTLANDS LÄN</t>
        </is>
      </c>
      <c r="E376" t="inlineStr">
        <is>
          <t>ÖSTERSUND</t>
        </is>
      </c>
      <c r="F376" t="inlineStr">
        <is>
          <t>Övriga statliga verk och myndigheter</t>
        </is>
      </c>
      <c r="G376" t="n">
        <v>3.7</v>
      </c>
      <c r="H376" t="n">
        <v>0</v>
      </c>
      <c r="I376" t="n">
        <v>0</v>
      </c>
      <c r="J376" t="n">
        <v>0</v>
      </c>
      <c r="K376" t="n">
        <v>0</v>
      </c>
      <c r="L376" t="n">
        <v>0</v>
      </c>
      <c r="M376" t="n">
        <v>0</v>
      </c>
      <c r="N376" t="n">
        <v>0</v>
      </c>
      <c r="O376" t="n">
        <v>0</v>
      </c>
      <c r="P376" t="n">
        <v>0</v>
      </c>
      <c r="Q376" t="n">
        <v>0</v>
      </c>
      <c r="R376" s="2" t="inlineStr"/>
    </row>
    <row r="377" ht="15" customHeight="1">
      <c r="A377" t="inlineStr">
        <is>
          <t>A 3844-2024</t>
        </is>
      </c>
      <c r="B377" s="1" t="n">
        <v>45321</v>
      </c>
      <c r="C377" s="1" t="n">
        <v>45967</v>
      </c>
      <c r="D377" t="inlineStr">
        <is>
          <t>JÄMTLANDS LÄN</t>
        </is>
      </c>
      <c r="E377" t="inlineStr">
        <is>
          <t>ÖSTERSUND</t>
        </is>
      </c>
      <c r="G377" t="n">
        <v>2.2</v>
      </c>
      <c r="H377" t="n">
        <v>0</v>
      </c>
      <c r="I377" t="n">
        <v>0</v>
      </c>
      <c r="J377" t="n">
        <v>0</v>
      </c>
      <c r="K377" t="n">
        <v>0</v>
      </c>
      <c r="L377" t="n">
        <v>0</v>
      </c>
      <c r="M377" t="n">
        <v>0</v>
      </c>
      <c r="N377" t="n">
        <v>0</v>
      </c>
      <c r="O377" t="n">
        <v>0</v>
      </c>
      <c r="P377" t="n">
        <v>0</v>
      </c>
      <c r="Q377" t="n">
        <v>0</v>
      </c>
      <c r="R377" s="2" t="inlineStr"/>
    </row>
    <row r="378" ht="15" customHeight="1">
      <c r="A378" t="inlineStr">
        <is>
          <t>A 59648-2022</t>
        </is>
      </c>
      <c r="B378" s="1" t="n">
        <v>44907</v>
      </c>
      <c r="C378" s="1" t="n">
        <v>45967</v>
      </c>
      <c r="D378" t="inlineStr">
        <is>
          <t>JÄMTLANDS LÄN</t>
        </is>
      </c>
      <c r="E378" t="inlineStr">
        <is>
          <t>ÖSTERSUND</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24786-2024</t>
        </is>
      </c>
      <c r="B379" s="1" t="n">
        <v>45460.81277777778</v>
      </c>
      <c r="C379" s="1" t="n">
        <v>45967</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13024-2022</t>
        </is>
      </c>
      <c r="B380" s="1" t="n">
        <v>44643</v>
      </c>
      <c r="C380" s="1" t="n">
        <v>45967</v>
      </c>
      <c r="D380" t="inlineStr">
        <is>
          <t>JÄMTLANDS LÄN</t>
        </is>
      </c>
      <c r="E380" t="inlineStr">
        <is>
          <t>ÖSTERSUND</t>
        </is>
      </c>
      <c r="G380" t="n">
        <v>0.9</v>
      </c>
      <c r="H380" t="n">
        <v>0</v>
      </c>
      <c r="I380" t="n">
        <v>0</v>
      </c>
      <c r="J380" t="n">
        <v>0</v>
      </c>
      <c r="K380" t="n">
        <v>0</v>
      </c>
      <c r="L380" t="n">
        <v>0</v>
      </c>
      <c r="M380" t="n">
        <v>0</v>
      </c>
      <c r="N380" t="n">
        <v>0</v>
      </c>
      <c r="O380" t="n">
        <v>0</v>
      </c>
      <c r="P380" t="n">
        <v>0</v>
      </c>
      <c r="Q380" t="n">
        <v>0</v>
      </c>
      <c r="R380" s="2" t="inlineStr"/>
    </row>
    <row r="381" ht="15" customHeight="1">
      <c r="A381" t="inlineStr">
        <is>
          <t>A 2978-2024</t>
        </is>
      </c>
      <c r="B381" s="1" t="n">
        <v>45315</v>
      </c>
      <c r="C381" s="1" t="n">
        <v>45967</v>
      </c>
      <c r="D381" t="inlineStr">
        <is>
          <t>JÄMTLANDS LÄN</t>
        </is>
      </c>
      <c r="E381" t="inlineStr">
        <is>
          <t>ÖSTERSUND</t>
        </is>
      </c>
      <c r="G381" t="n">
        <v>1.7</v>
      </c>
      <c r="H381" t="n">
        <v>0</v>
      </c>
      <c r="I381" t="n">
        <v>0</v>
      </c>
      <c r="J381" t="n">
        <v>0</v>
      </c>
      <c r="K381" t="n">
        <v>0</v>
      </c>
      <c r="L381" t="n">
        <v>0</v>
      </c>
      <c r="M381" t="n">
        <v>0</v>
      </c>
      <c r="N381" t="n">
        <v>0</v>
      </c>
      <c r="O381" t="n">
        <v>0</v>
      </c>
      <c r="P381" t="n">
        <v>0</v>
      </c>
      <c r="Q381" t="n">
        <v>0</v>
      </c>
      <c r="R381" s="2" t="inlineStr"/>
    </row>
    <row r="382" ht="15" customHeight="1">
      <c r="A382" t="inlineStr">
        <is>
          <t>A 61791-2023</t>
        </is>
      </c>
      <c r="B382" s="1" t="n">
        <v>45265.95795138889</v>
      </c>
      <c r="C382" s="1" t="n">
        <v>45967</v>
      </c>
      <c r="D382" t="inlineStr">
        <is>
          <t>JÄMTLANDS LÄN</t>
        </is>
      </c>
      <c r="E382" t="inlineStr">
        <is>
          <t>ÖSTERSUND</t>
        </is>
      </c>
      <c r="F382" t="inlineStr">
        <is>
          <t>SCA</t>
        </is>
      </c>
      <c r="G382" t="n">
        <v>11.4</v>
      </c>
      <c r="H382" t="n">
        <v>0</v>
      </c>
      <c r="I382" t="n">
        <v>0</v>
      </c>
      <c r="J382" t="n">
        <v>0</v>
      </c>
      <c r="K382" t="n">
        <v>0</v>
      </c>
      <c r="L382" t="n">
        <v>0</v>
      </c>
      <c r="M382" t="n">
        <v>0</v>
      </c>
      <c r="N382" t="n">
        <v>0</v>
      </c>
      <c r="O382" t="n">
        <v>0</v>
      </c>
      <c r="P382" t="n">
        <v>0</v>
      </c>
      <c r="Q382" t="n">
        <v>0</v>
      </c>
      <c r="R382" s="2" t="inlineStr"/>
    </row>
    <row r="383" ht="15" customHeight="1">
      <c r="A383" t="inlineStr">
        <is>
          <t>A 29128-2022</t>
        </is>
      </c>
      <c r="B383" s="1" t="n">
        <v>44750</v>
      </c>
      <c r="C383" s="1" t="n">
        <v>45967</v>
      </c>
      <c r="D383" t="inlineStr">
        <is>
          <t>JÄMTLANDS LÄN</t>
        </is>
      </c>
      <c r="E383" t="inlineStr">
        <is>
          <t>ÖSTERSUND</t>
        </is>
      </c>
      <c r="G383" t="n">
        <v>3</v>
      </c>
      <c r="H383" t="n">
        <v>0</v>
      </c>
      <c r="I383" t="n">
        <v>0</v>
      </c>
      <c r="J383" t="n">
        <v>0</v>
      </c>
      <c r="K383" t="n">
        <v>0</v>
      </c>
      <c r="L383" t="n">
        <v>0</v>
      </c>
      <c r="M383" t="n">
        <v>0</v>
      </c>
      <c r="N383" t="n">
        <v>0</v>
      </c>
      <c r="O383" t="n">
        <v>0</v>
      </c>
      <c r="P383" t="n">
        <v>0</v>
      </c>
      <c r="Q383" t="n">
        <v>0</v>
      </c>
      <c r="R383" s="2" t="inlineStr"/>
    </row>
    <row r="384" ht="15" customHeight="1">
      <c r="A384" t="inlineStr">
        <is>
          <t>A 24312-2021</t>
        </is>
      </c>
      <c r="B384" s="1" t="n">
        <v>44336</v>
      </c>
      <c r="C384" s="1" t="n">
        <v>45967</v>
      </c>
      <c r="D384" t="inlineStr">
        <is>
          <t>JÄMTLANDS LÄN</t>
        </is>
      </c>
      <c r="E384" t="inlineStr">
        <is>
          <t>ÖSTERSUND</t>
        </is>
      </c>
      <c r="G384" t="n">
        <v>10.6</v>
      </c>
      <c r="H384" t="n">
        <v>0</v>
      </c>
      <c r="I384" t="n">
        <v>0</v>
      </c>
      <c r="J384" t="n">
        <v>0</v>
      </c>
      <c r="K384" t="n">
        <v>0</v>
      </c>
      <c r="L384" t="n">
        <v>0</v>
      </c>
      <c r="M384" t="n">
        <v>0</v>
      </c>
      <c r="N384" t="n">
        <v>0</v>
      </c>
      <c r="O384" t="n">
        <v>0</v>
      </c>
      <c r="P384" t="n">
        <v>0</v>
      </c>
      <c r="Q384" t="n">
        <v>0</v>
      </c>
      <c r="R384" s="2" t="inlineStr"/>
    </row>
    <row r="385" ht="15" customHeight="1">
      <c r="A385" t="inlineStr">
        <is>
          <t>A 40360-2025</t>
        </is>
      </c>
      <c r="B385" s="1" t="n">
        <v>45895.49024305555</v>
      </c>
      <c r="C385" s="1" t="n">
        <v>45967</v>
      </c>
      <c r="D385" t="inlineStr">
        <is>
          <t>JÄMTLANDS LÄN</t>
        </is>
      </c>
      <c r="E385" t="inlineStr">
        <is>
          <t>ÖSTERSUND</t>
        </is>
      </c>
      <c r="G385" t="n">
        <v>3.7</v>
      </c>
      <c r="H385" t="n">
        <v>0</v>
      </c>
      <c r="I385" t="n">
        <v>0</v>
      </c>
      <c r="J385" t="n">
        <v>0</v>
      </c>
      <c r="K385" t="n">
        <v>0</v>
      </c>
      <c r="L385" t="n">
        <v>0</v>
      </c>
      <c r="M385" t="n">
        <v>0</v>
      </c>
      <c r="N385" t="n">
        <v>0</v>
      </c>
      <c r="O385" t="n">
        <v>0</v>
      </c>
      <c r="P385" t="n">
        <v>0</v>
      </c>
      <c r="Q385" t="n">
        <v>0</v>
      </c>
      <c r="R385" s="2" t="inlineStr"/>
    </row>
    <row r="386" ht="15" customHeight="1">
      <c r="A386" t="inlineStr">
        <is>
          <t>A 3255-2025</t>
        </is>
      </c>
      <c r="B386" s="1" t="n">
        <v>45679.55256944444</v>
      </c>
      <c r="C386" s="1" t="n">
        <v>45967</v>
      </c>
      <c r="D386" t="inlineStr">
        <is>
          <t>JÄMTLANDS LÄN</t>
        </is>
      </c>
      <c r="E386" t="inlineStr">
        <is>
          <t>ÖSTERSUND</t>
        </is>
      </c>
      <c r="F386" t="inlineStr">
        <is>
          <t>SCA</t>
        </is>
      </c>
      <c r="G386" t="n">
        <v>16.7</v>
      </c>
      <c r="H386" t="n">
        <v>0</v>
      </c>
      <c r="I386" t="n">
        <v>0</v>
      </c>
      <c r="J386" t="n">
        <v>0</v>
      </c>
      <c r="K386" t="n">
        <v>0</v>
      </c>
      <c r="L386" t="n">
        <v>0</v>
      </c>
      <c r="M386" t="n">
        <v>0</v>
      </c>
      <c r="N386" t="n">
        <v>0</v>
      </c>
      <c r="O386" t="n">
        <v>0</v>
      </c>
      <c r="P386" t="n">
        <v>0</v>
      </c>
      <c r="Q386" t="n">
        <v>0</v>
      </c>
      <c r="R386" s="2" t="inlineStr"/>
    </row>
    <row r="387" ht="15" customHeight="1">
      <c r="A387" t="inlineStr">
        <is>
          <t>A 40325-2025</t>
        </is>
      </c>
      <c r="B387" s="1" t="n">
        <v>45895.4484837963</v>
      </c>
      <c r="C387" s="1" t="n">
        <v>45967</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2615-2024</t>
        </is>
      </c>
      <c r="B388" s="1" t="n">
        <v>45313</v>
      </c>
      <c r="C388" s="1" t="n">
        <v>45967</v>
      </c>
      <c r="D388" t="inlineStr">
        <is>
          <t>JÄMTLANDS LÄN</t>
        </is>
      </c>
      <c r="E388" t="inlineStr">
        <is>
          <t>ÖSTERSUND</t>
        </is>
      </c>
      <c r="G388" t="n">
        <v>1.5</v>
      </c>
      <c r="H388" t="n">
        <v>0</v>
      </c>
      <c r="I388" t="n">
        <v>0</v>
      </c>
      <c r="J388" t="n">
        <v>0</v>
      </c>
      <c r="K388" t="n">
        <v>0</v>
      </c>
      <c r="L388" t="n">
        <v>0</v>
      </c>
      <c r="M388" t="n">
        <v>0</v>
      </c>
      <c r="N388" t="n">
        <v>0</v>
      </c>
      <c r="O388" t="n">
        <v>0</v>
      </c>
      <c r="P388" t="n">
        <v>0</v>
      </c>
      <c r="Q388" t="n">
        <v>0</v>
      </c>
      <c r="R388" s="2" t="inlineStr"/>
    </row>
    <row r="389" ht="15" customHeight="1">
      <c r="A389" t="inlineStr">
        <is>
          <t>A 4480-2025</t>
        </is>
      </c>
      <c r="B389" s="1" t="n">
        <v>45686.64175925926</v>
      </c>
      <c r="C389" s="1" t="n">
        <v>45967</v>
      </c>
      <c r="D389" t="inlineStr">
        <is>
          <t>JÄMTLANDS LÄN</t>
        </is>
      </c>
      <c r="E389" t="inlineStr">
        <is>
          <t>ÖSTERSUND</t>
        </is>
      </c>
      <c r="G389" t="n">
        <v>27.7</v>
      </c>
      <c r="H389" t="n">
        <v>0</v>
      </c>
      <c r="I389" t="n">
        <v>0</v>
      </c>
      <c r="J389" t="n">
        <v>0</v>
      </c>
      <c r="K389" t="n">
        <v>0</v>
      </c>
      <c r="L389" t="n">
        <v>0</v>
      </c>
      <c r="M389" t="n">
        <v>0</v>
      </c>
      <c r="N389" t="n">
        <v>0</v>
      </c>
      <c r="O389" t="n">
        <v>0</v>
      </c>
      <c r="P389" t="n">
        <v>0</v>
      </c>
      <c r="Q389" t="n">
        <v>0</v>
      </c>
      <c r="R389" s="2" t="inlineStr"/>
    </row>
    <row r="390" ht="15" customHeight="1">
      <c r="A390" t="inlineStr">
        <is>
          <t>A 15659-2021</t>
        </is>
      </c>
      <c r="B390" s="1" t="n">
        <v>44298</v>
      </c>
      <c r="C390" s="1" t="n">
        <v>45967</v>
      </c>
      <c r="D390" t="inlineStr">
        <is>
          <t>JÄMTLANDS LÄN</t>
        </is>
      </c>
      <c r="E390" t="inlineStr">
        <is>
          <t>ÖSTERSUND</t>
        </is>
      </c>
      <c r="G390" t="n">
        <v>13.3</v>
      </c>
      <c r="H390" t="n">
        <v>0</v>
      </c>
      <c r="I390" t="n">
        <v>0</v>
      </c>
      <c r="J390" t="n">
        <v>0</v>
      </c>
      <c r="K390" t="n">
        <v>0</v>
      </c>
      <c r="L390" t="n">
        <v>0</v>
      </c>
      <c r="M390" t="n">
        <v>0</v>
      </c>
      <c r="N390" t="n">
        <v>0</v>
      </c>
      <c r="O390" t="n">
        <v>0</v>
      </c>
      <c r="P390" t="n">
        <v>0</v>
      </c>
      <c r="Q390" t="n">
        <v>0</v>
      </c>
      <c r="R390" s="2" t="inlineStr"/>
    </row>
    <row r="391" ht="15" customHeight="1">
      <c r="A391" t="inlineStr">
        <is>
          <t>A 40361-2025</t>
        </is>
      </c>
      <c r="B391" s="1" t="n">
        <v>45895.49026620371</v>
      </c>
      <c r="C391" s="1" t="n">
        <v>45967</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49056-2025</t>
        </is>
      </c>
      <c r="B392" s="1" t="n">
        <v>45937.64063657408</v>
      </c>
      <c r="C392" s="1" t="n">
        <v>45967</v>
      </c>
      <c r="D392" t="inlineStr">
        <is>
          <t>JÄMTLANDS LÄN</t>
        </is>
      </c>
      <c r="E392" t="inlineStr">
        <is>
          <t>ÖSTERSUND</t>
        </is>
      </c>
      <c r="G392" t="n">
        <v>6.1</v>
      </c>
      <c r="H392" t="n">
        <v>0</v>
      </c>
      <c r="I392" t="n">
        <v>0</v>
      </c>
      <c r="J392" t="n">
        <v>0</v>
      </c>
      <c r="K392" t="n">
        <v>0</v>
      </c>
      <c r="L392" t="n">
        <v>0</v>
      </c>
      <c r="M392" t="n">
        <v>0</v>
      </c>
      <c r="N392" t="n">
        <v>0</v>
      </c>
      <c r="O392" t="n">
        <v>0</v>
      </c>
      <c r="P392" t="n">
        <v>0</v>
      </c>
      <c r="Q392" t="n">
        <v>0</v>
      </c>
      <c r="R392" s="2" t="inlineStr"/>
    </row>
    <row r="393" ht="15" customHeight="1">
      <c r="A393" t="inlineStr">
        <is>
          <t>A 49124-2025</t>
        </is>
      </c>
      <c r="B393" s="1" t="n">
        <v>45937.8647337963</v>
      </c>
      <c r="C393" s="1" t="n">
        <v>45967</v>
      </c>
      <c r="D393" t="inlineStr">
        <is>
          <t>JÄMTLANDS LÄN</t>
        </is>
      </c>
      <c r="E393" t="inlineStr">
        <is>
          <t>ÖSTERSUND</t>
        </is>
      </c>
      <c r="G393" t="n">
        <v>5.2</v>
      </c>
      <c r="H393" t="n">
        <v>0</v>
      </c>
      <c r="I393" t="n">
        <v>0</v>
      </c>
      <c r="J393" t="n">
        <v>0</v>
      </c>
      <c r="K393" t="n">
        <v>0</v>
      </c>
      <c r="L393" t="n">
        <v>0</v>
      </c>
      <c r="M393" t="n">
        <v>0</v>
      </c>
      <c r="N393" t="n">
        <v>0</v>
      </c>
      <c r="O393" t="n">
        <v>0</v>
      </c>
      <c r="P393" t="n">
        <v>0</v>
      </c>
      <c r="Q393" t="n">
        <v>0</v>
      </c>
      <c r="R393" s="2" t="inlineStr"/>
    </row>
    <row r="394" ht="15" customHeight="1">
      <c r="A394" t="inlineStr">
        <is>
          <t>A 5341-2025</t>
        </is>
      </c>
      <c r="B394" s="1" t="n">
        <v>45692.55256944444</v>
      </c>
      <c r="C394" s="1" t="n">
        <v>45967</v>
      </c>
      <c r="D394" t="inlineStr">
        <is>
          <t>JÄMTLANDS LÄN</t>
        </is>
      </c>
      <c r="E394" t="inlineStr">
        <is>
          <t>ÖSTERSUND</t>
        </is>
      </c>
      <c r="G394" t="n">
        <v>2.6</v>
      </c>
      <c r="H394" t="n">
        <v>0</v>
      </c>
      <c r="I394" t="n">
        <v>0</v>
      </c>
      <c r="J394" t="n">
        <v>0</v>
      </c>
      <c r="K394" t="n">
        <v>0</v>
      </c>
      <c r="L394" t="n">
        <v>0</v>
      </c>
      <c r="M394" t="n">
        <v>0</v>
      </c>
      <c r="N394" t="n">
        <v>0</v>
      </c>
      <c r="O394" t="n">
        <v>0</v>
      </c>
      <c r="P394" t="n">
        <v>0</v>
      </c>
      <c r="Q394" t="n">
        <v>0</v>
      </c>
      <c r="R394" s="2" t="inlineStr"/>
    </row>
    <row r="395" ht="15" customHeight="1">
      <c r="A395" t="inlineStr">
        <is>
          <t>A 1159-2024</t>
        </is>
      </c>
      <c r="B395" s="1" t="n">
        <v>45302.52006944444</v>
      </c>
      <c r="C395" s="1" t="n">
        <v>45967</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40326-2025</t>
        </is>
      </c>
      <c r="B396" s="1" t="n">
        <v>45895.44856481482</v>
      </c>
      <c r="C396" s="1" t="n">
        <v>45967</v>
      </c>
      <c r="D396" t="inlineStr">
        <is>
          <t>JÄMTLANDS LÄN</t>
        </is>
      </c>
      <c r="E396" t="inlineStr">
        <is>
          <t>ÖSTERSUND</t>
        </is>
      </c>
      <c r="G396" t="n">
        <v>1.6</v>
      </c>
      <c r="H396" t="n">
        <v>0</v>
      </c>
      <c r="I396" t="n">
        <v>0</v>
      </c>
      <c r="J396" t="n">
        <v>0</v>
      </c>
      <c r="K396" t="n">
        <v>0</v>
      </c>
      <c r="L396" t="n">
        <v>0</v>
      </c>
      <c r="M396" t="n">
        <v>0</v>
      </c>
      <c r="N396" t="n">
        <v>0</v>
      </c>
      <c r="O396" t="n">
        <v>0</v>
      </c>
      <c r="P396" t="n">
        <v>0</v>
      </c>
      <c r="Q396" t="n">
        <v>0</v>
      </c>
      <c r="R396" s="2" t="inlineStr"/>
    </row>
    <row r="397" ht="15" customHeight="1">
      <c r="A397" t="inlineStr">
        <is>
          <t>A 48893-2025</t>
        </is>
      </c>
      <c r="B397" s="1" t="n">
        <v>45937.47302083333</v>
      </c>
      <c r="C397" s="1" t="n">
        <v>45967</v>
      </c>
      <c r="D397" t="inlineStr">
        <is>
          <t>JÄMTLANDS LÄN</t>
        </is>
      </c>
      <c r="E397" t="inlineStr">
        <is>
          <t>ÖSTERSUND</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35556-2022</t>
        </is>
      </c>
      <c r="B398" s="1" t="n">
        <v>44799</v>
      </c>
      <c r="C398" s="1" t="n">
        <v>45967</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48959-2025</t>
        </is>
      </c>
      <c r="B399" s="1" t="n">
        <v>45937.55055555556</v>
      </c>
      <c r="C399" s="1" t="n">
        <v>45967</v>
      </c>
      <c r="D399" t="inlineStr">
        <is>
          <t>JÄMTLANDS LÄN</t>
        </is>
      </c>
      <c r="E399" t="inlineStr">
        <is>
          <t>ÖSTERSUND</t>
        </is>
      </c>
      <c r="G399" t="n">
        <v>10.5</v>
      </c>
      <c r="H399" t="n">
        <v>0</v>
      </c>
      <c r="I399" t="n">
        <v>0</v>
      </c>
      <c r="J399" t="n">
        <v>0</v>
      </c>
      <c r="K399" t="n">
        <v>0</v>
      </c>
      <c r="L399" t="n">
        <v>0</v>
      </c>
      <c r="M399" t="n">
        <v>0</v>
      </c>
      <c r="N399" t="n">
        <v>0</v>
      </c>
      <c r="O399" t="n">
        <v>0</v>
      </c>
      <c r="P399" t="n">
        <v>0</v>
      </c>
      <c r="Q399" t="n">
        <v>0</v>
      </c>
      <c r="R399" s="2" t="inlineStr"/>
    </row>
    <row r="400" ht="15" customHeight="1">
      <c r="A400" t="inlineStr">
        <is>
          <t>A 14182-2025</t>
        </is>
      </c>
      <c r="B400" s="1" t="n">
        <v>45740.54168981482</v>
      </c>
      <c r="C400" s="1" t="n">
        <v>45967</v>
      </c>
      <c r="D400" t="inlineStr">
        <is>
          <t>JÄMTLANDS LÄN</t>
        </is>
      </c>
      <c r="E400" t="inlineStr">
        <is>
          <t>ÖSTERSUND</t>
        </is>
      </c>
      <c r="F400" t="inlineStr">
        <is>
          <t>Övriga Aktiebolag</t>
        </is>
      </c>
      <c r="G400" t="n">
        <v>20.1</v>
      </c>
      <c r="H400" t="n">
        <v>0</v>
      </c>
      <c r="I400" t="n">
        <v>0</v>
      </c>
      <c r="J400" t="n">
        <v>0</v>
      </c>
      <c r="K400" t="n">
        <v>0</v>
      </c>
      <c r="L400" t="n">
        <v>0</v>
      </c>
      <c r="M400" t="n">
        <v>0</v>
      </c>
      <c r="N400" t="n">
        <v>0</v>
      </c>
      <c r="O400" t="n">
        <v>0</v>
      </c>
      <c r="P400" t="n">
        <v>0</v>
      </c>
      <c r="Q400" t="n">
        <v>0</v>
      </c>
      <c r="R400" s="2" t="inlineStr"/>
    </row>
    <row r="401" ht="15" customHeight="1">
      <c r="A401" t="inlineStr">
        <is>
          <t>A 49039-2025</t>
        </is>
      </c>
      <c r="B401" s="1" t="n">
        <v>45937.63275462963</v>
      </c>
      <c r="C401" s="1" t="n">
        <v>45967</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55235-2023</t>
        </is>
      </c>
      <c r="B402" s="1" t="n">
        <v>45231</v>
      </c>
      <c r="C402" s="1" t="n">
        <v>45967</v>
      </c>
      <c r="D402" t="inlineStr">
        <is>
          <t>JÄMTLANDS LÄN</t>
        </is>
      </c>
      <c r="E402" t="inlineStr">
        <is>
          <t>ÖSTERSUND</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49572-2025</t>
        </is>
      </c>
      <c r="B403" s="1" t="n">
        <v>45939.49018518518</v>
      </c>
      <c r="C403" s="1" t="n">
        <v>45967</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60794-2023</t>
        </is>
      </c>
      <c r="B404" s="1" t="n">
        <v>45260</v>
      </c>
      <c r="C404" s="1" t="n">
        <v>45967</v>
      </c>
      <c r="D404" t="inlineStr">
        <is>
          <t>JÄMTLANDS LÄN</t>
        </is>
      </c>
      <c r="E404" t="inlineStr">
        <is>
          <t>ÖSTERSUND</t>
        </is>
      </c>
      <c r="G404" t="n">
        <v>3.6</v>
      </c>
      <c r="H404" t="n">
        <v>0</v>
      </c>
      <c r="I404" t="n">
        <v>0</v>
      </c>
      <c r="J404" t="n">
        <v>0</v>
      </c>
      <c r="K404" t="n">
        <v>0</v>
      </c>
      <c r="L404" t="n">
        <v>0</v>
      </c>
      <c r="M404" t="n">
        <v>0</v>
      </c>
      <c r="N404" t="n">
        <v>0</v>
      </c>
      <c r="O404" t="n">
        <v>0</v>
      </c>
      <c r="P404" t="n">
        <v>0</v>
      </c>
      <c r="Q404" t="n">
        <v>0</v>
      </c>
      <c r="R404" s="2" t="inlineStr"/>
    </row>
    <row r="405" ht="15" customHeight="1">
      <c r="A405" t="inlineStr">
        <is>
          <t>A 1255-2025</t>
        </is>
      </c>
      <c r="B405" s="1" t="n">
        <v>45667.46922453704</v>
      </c>
      <c r="C405" s="1" t="n">
        <v>45967</v>
      </c>
      <c r="D405" t="inlineStr">
        <is>
          <t>JÄMTLANDS LÄN</t>
        </is>
      </c>
      <c r="E405" t="inlineStr">
        <is>
          <t>ÖSTERSUND</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5549-2025</t>
        </is>
      </c>
      <c r="B406" s="1" t="n">
        <v>45693</v>
      </c>
      <c r="C406" s="1" t="n">
        <v>45967</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33831-2021</t>
        </is>
      </c>
      <c r="B407" s="1" t="n">
        <v>44378</v>
      </c>
      <c r="C407" s="1" t="n">
        <v>45967</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10756-2025</t>
        </is>
      </c>
      <c r="B408" s="1" t="n">
        <v>45722.44892361111</v>
      </c>
      <c r="C408" s="1" t="n">
        <v>45967</v>
      </c>
      <c r="D408" t="inlineStr">
        <is>
          <t>JÄMTLANDS LÄN</t>
        </is>
      </c>
      <c r="E408" t="inlineStr">
        <is>
          <t>ÖSTERSUND</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22612-2025</t>
        </is>
      </c>
      <c r="B409" s="1" t="n">
        <v>45789.42538194444</v>
      </c>
      <c r="C409" s="1" t="n">
        <v>45967</v>
      </c>
      <c r="D409" t="inlineStr">
        <is>
          <t>JÄMTLANDS LÄN</t>
        </is>
      </c>
      <c r="E409" t="inlineStr">
        <is>
          <t>ÖSTERSUND</t>
        </is>
      </c>
      <c r="G409" t="n">
        <v>0.7</v>
      </c>
      <c r="H409" t="n">
        <v>0</v>
      </c>
      <c r="I409" t="n">
        <v>0</v>
      </c>
      <c r="J409" t="n">
        <v>0</v>
      </c>
      <c r="K409" t="n">
        <v>0</v>
      </c>
      <c r="L409" t="n">
        <v>0</v>
      </c>
      <c r="M409" t="n">
        <v>0</v>
      </c>
      <c r="N409" t="n">
        <v>0</v>
      </c>
      <c r="O409" t="n">
        <v>0</v>
      </c>
      <c r="P409" t="n">
        <v>0</v>
      </c>
      <c r="Q409" t="n">
        <v>0</v>
      </c>
      <c r="R409" s="2" t="inlineStr"/>
    </row>
    <row r="410" ht="15" customHeight="1">
      <c r="A410" t="inlineStr">
        <is>
          <t>A 9971-2025</t>
        </is>
      </c>
      <c r="B410" s="1" t="n">
        <v>45719.38630787037</v>
      </c>
      <c r="C410" s="1" t="n">
        <v>45967</v>
      </c>
      <c r="D410" t="inlineStr">
        <is>
          <t>JÄMTLANDS LÄN</t>
        </is>
      </c>
      <c r="E410" t="inlineStr">
        <is>
          <t>ÖSTERSUND</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63099-2023</t>
        </is>
      </c>
      <c r="B411" s="1" t="n">
        <v>45273</v>
      </c>
      <c r="C411" s="1" t="n">
        <v>45967</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16682-2023</t>
        </is>
      </c>
      <c r="B412" s="1" t="n">
        <v>45028</v>
      </c>
      <c r="C412" s="1" t="n">
        <v>45967</v>
      </c>
      <c r="D412" t="inlineStr">
        <is>
          <t>JÄMTLANDS LÄN</t>
        </is>
      </c>
      <c r="E412" t="inlineStr">
        <is>
          <t>ÖSTERSUND</t>
        </is>
      </c>
      <c r="G412" t="n">
        <v>7.9</v>
      </c>
      <c r="H412" t="n">
        <v>0</v>
      </c>
      <c r="I412" t="n">
        <v>0</v>
      </c>
      <c r="J412" t="n">
        <v>0</v>
      </c>
      <c r="K412" t="n">
        <v>0</v>
      </c>
      <c r="L412" t="n">
        <v>0</v>
      </c>
      <c r="M412" t="n">
        <v>0</v>
      </c>
      <c r="N412" t="n">
        <v>0</v>
      </c>
      <c r="O412" t="n">
        <v>0</v>
      </c>
      <c r="P412" t="n">
        <v>0</v>
      </c>
      <c r="Q412" t="n">
        <v>0</v>
      </c>
      <c r="R412" s="2" t="inlineStr"/>
    </row>
    <row r="413" ht="15" customHeight="1">
      <c r="A413" t="inlineStr">
        <is>
          <t>A 46748-2023</t>
        </is>
      </c>
      <c r="B413" s="1" t="n">
        <v>45198</v>
      </c>
      <c r="C413" s="1" t="n">
        <v>45967</v>
      </c>
      <c r="D413" t="inlineStr">
        <is>
          <t>JÄMTLANDS LÄN</t>
        </is>
      </c>
      <c r="E413" t="inlineStr">
        <is>
          <t>ÖSTERSUND</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46763-2023</t>
        </is>
      </c>
      <c r="B414" s="1" t="n">
        <v>45198</v>
      </c>
      <c r="C414" s="1" t="n">
        <v>45967</v>
      </c>
      <c r="D414" t="inlineStr">
        <is>
          <t>JÄMTLANDS LÄN</t>
        </is>
      </c>
      <c r="E414" t="inlineStr">
        <is>
          <t>ÖSTERSUND</t>
        </is>
      </c>
      <c r="F414" t="inlineStr">
        <is>
          <t>Sveaskog</t>
        </is>
      </c>
      <c r="G414" t="n">
        <v>13.3</v>
      </c>
      <c r="H414" t="n">
        <v>0</v>
      </c>
      <c r="I414" t="n">
        <v>0</v>
      </c>
      <c r="J414" t="n">
        <v>0</v>
      </c>
      <c r="K414" t="n">
        <v>0</v>
      </c>
      <c r="L414" t="n">
        <v>0</v>
      </c>
      <c r="M414" t="n">
        <v>0</v>
      </c>
      <c r="N414" t="n">
        <v>0</v>
      </c>
      <c r="O414" t="n">
        <v>0</v>
      </c>
      <c r="P414" t="n">
        <v>0</v>
      </c>
      <c r="Q414" t="n">
        <v>0</v>
      </c>
      <c r="R414" s="2" t="inlineStr"/>
    </row>
    <row r="415" ht="15" customHeight="1">
      <c r="A415" t="inlineStr">
        <is>
          <t>A 70256-2021</t>
        </is>
      </c>
      <c r="B415" s="1" t="n">
        <v>44533</v>
      </c>
      <c r="C415" s="1" t="n">
        <v>45967</v>
      </c>
      <c r="D415" t="inlineStr">
        <is>
          <t>JÄMTLANDS LÄN</t>
        </is>
      </c>
      <c r="E415" t="inlineStr">
        <is>
          <t>ÖSTERSUND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22384-2025</t>
        </is>
      </c>
      <c r="B416" s="1" t="n">
        <v>45786</v>
      </c>
      <c r="C416" s="1" t="n">
        <v>45967</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57398-2023</t>
        </is>
      </c>
      <c r="B417" s="1" t="n">
        <v>45245</v>
      </c>
      <c r="C417" s="1" t="n">
        <v>45967</v>
      </c>
      <c r="D417" t="inlineStr">
        <is>
          <t>JÄMTLANDS LÄN</t>
        </is>
      </c>
      <c r="E417" t="inlineStr">
        <is>
          <t>ÖSTERSUND</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8972-2022</t>
        </is>
      </c>
      <c r="B418" s="1" t="n">
        <v>44614.91989583334</v>
      </c>
      <c r="C418" s="1" t="n">
        <v>45967</v>
      </c>
      <c r="D418" t="inlineStr">
        <is>
          <t>JÄMTLANDS LÄN</t>
        </is>
      </c>
      <c r="E418" t="inlineStr">
        <is>
          <t>ÖSTERSUND</t>
        </is>
      </c>
      <c r="G418" t="n">
        <v>0.8</v>
      </c>
      <c r="H418" t="n">
        <v>0</v>
      </c>
      <c r="I418" t="n">
        <v>0</v>
      </c>
      <c r="J418" t="n">
        <v>0</v>
      </c>
      <c r="K418" t="n">
        <v>0</v>
      </c>
      <c r="L418" t="n">
        <v>0</v>
      </c>
      <c r="M418" t="n">
        <v>0</v>
      </c>
      <c r="N418" t="n">
        <v>0</v>
      </c>
      <c r="O418" t="n">
        <v>0</v>
      </c>
      <c r="P418" t="n">
        <v>0</v>
      </c>
      <c r="Q418" t="n">
        <v>0</v>
      </c>
      <c r="R418" s="2" t="inlineStr"/>
    </row>
    <row r="419" ht="15" customHeight="1">
      <c r="A419" t="inlineStr">
        <is>
          <t>A 5024-2025</t>
        </is>
      </c>
      <c r="B419" s="1" t="n">
        <v>45691.40832175926</v>
      </c>
      <c r="C419" s="1" t="n">
        <v>45967</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5025-2025</t>
        </is>
      </c>
      <c r="B420" s="1" t="n">
        <v>45691.40836805556</v>
      </c>
      <c r="C420" s="1" t="n">
        <v>45967</v>
      </c>
      <c r="D420" t="inlineStr">
        <is>
          <t>JÄMTLANDS LÄN</t>
        </is>
      </c>
      <c r="E420" t="inlineStr">
        <is>
          <t>ÖSTERSUND</t>
        </is>
      </c>
      <c r="G420" t="n">
        <v>0.1</v>
      </c>
      <c r="H420" t="n">
        <v>0</v>
      </c>
      <c r="I420" t="n">
        <v>0</v>
      </c>
      <c r="J420" t="n">
        <v>0</v>
      </c>
      <c r="K420" t="n">
        <v>0</v>
      </c>
      <c r="L420" t="n">
        <v>0</v>
      </c>
      <c r="M420" t="n">
        <v>0</v>
      </c>
      <c r="N420" t="n">
        <v>0</v>
      </c>
      <c r="O420" t="n">
        <v>0</v>
      </c>
      <c r="P420" t="n">
        <v>0</v>
      </c>
      <c r="Q420" t="n">
        <v>0</v>
      </c>
      <c r="R420" s="2" t="inlineStr"/>
    </row>
    <row r="421" ht="15" customHeight="1">
      <c r="A421" t="inlineStr">
        <is>
          <t>A 17948-2025</t>
        </is>
      </c>
      <c r="B421" s="1" t="n">
        <v>45760.66995370371</v>
      </c>
      <c r="C421" s="1" t="n">
        <v>45967</v>
      </c>
      <c r="D421" t="inlineStr">
        <is>
          <t>JÄMTLANDS LÄN</t>
        </is>
      </c>
      <c r="E421" t="inlineStr">
        <is>
          <t>ÖSTERSUND</t>
        </is>
      </c>
      <c r="G421" t="n">
        <v>3.9</v>
      </c>
      <c r="H421" t="n">
        <v>0</v>
      </c>
      <c r="I421" t="n">
        <v>0</v>
      </c>
      <c r="J421" t="n">
        <v>0</v>
      </c>
      <c r="K421" t="n">
        <v>0</v>
      </c>
      <c r="L421" t="n">
        <v>0</v>
      </c>
      <c r="M421" t="n">
        <v>0</v>
      </c>
      <c r="N421" t="n">
        <v>0</v>
      </c>
      <c r="O421" t="n">
        <v>0</v>
      </c>
      <c r="P421" t="n">
        <v>0</v>
      </c>
      <c r="Q421" t="n">
        <v>0</v>
      </c>
      <c r="R421" s="2" t="inlineStr"/>
    </row>
    <row r="422" ht="15" customHeight="1">
      <c r="A422" t="inlineStr">
        <is>
          <t>A 7327-2023</t>
        </is>
      </c>
      <c r="B422" s="1" t="n">
        <v>44970.97871527778</v>
      </c>
      <c r="C422" s="1" t="n">
        <v>45967</v>
      </c>
      <c r="D422" t="inlineStr">
        <is>
          <t>JÄMTLANDS LÄN</t>
        </is>
      </c>
      <c r="E422" t="inlineStr">
        <is>
          <t>ÖSTERSUND</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7022-2025</t>
        </is>
      </c>
      <c r="B423" s="1" t="n">
        <v>45701.61899305556</v>
      </c>
      <c r="C423" s="1" t="n">
        <v>45967</v>
      </c>
      <c r="D423" t="inlineStr">
        <is>
          <t>JÄMTLANDS LÄN</t>
        </is>
      </c>
      <c r="E423" t="inlineStr">
        <is>
          <t>ÖSTERSUND</t>
        </is>
      </c>
      <c r="G423" t="n">
        <v>4.8</v>
      </c>
      <c r="H423" t="n">
        <v>0</v>
      </c>
      <c r="I423" t="n">
        <v>0</v>
      </c>
      <c r="J423" t="n">
        <v>0</v>
      </c>
      <c r="K423" t="n">
        <v>0</v>
      </c>
      <c r="L423" t="n">
        <v>0</v>
      </c>
      <c r="M423" t="n">
        <v>0</v>
      </c>
      <c r="N423" t="n">
        <v>0</v>
      </c>
      <c r="O423" t="n">
        <v>0</v>
      </c>
      <c r="P423" t="n">
        <v>0</v>
      </c>
      <c r="Q423" t="n">
        <v>0</v>
      </c>
      <c r="R423" s="2" t="inlineStr"/>
    </row>
    <row r="424" ht="15" customHeight="1">
      <c r="A424" t="inlineStr">
        <is>
          <t>A 4520-2025</t>
        </is>
      </c>
      <c r="B424" s="1" t="n">
        <v>45686.92384259259</v>
      </c>
      <c r="C424" s="1" t="n">
        <v>45967</v>
      </c>
      <c r="D424" t="inlineStr">
        <is>
          <t>JÄMTLANDS LÄN</t>
        </is>
      </c>
      <c r="E424" t="inlineStr">
        <is>
          <t>ÖSTERSUND</t>
        </is>
      </c>
      <c r="G424" t="n">
        <v>15.2</v>
      </c>
      <c r="H424" t="n">
        <v>0</v>
      </c>
      <c r="I424" t="n">
        <v>0</v>
      </c>
      <c r="J424" t="n">
        <v>0</v>
      </c>
      <c r="K424" t="n">
        <v>0</v>
      </c>
      <c r="L424" t="n">
        <v>0</v>
      </c>
      <c r="M424" t="n">
        <v>0</v>
      </c>
      <c r="N424" t="n">
        <v>0</v>
      </c>
      <c r="O424" t="n">
        <v>0</v>
      </c>
      <c r="P424" t="n">
        <v>0</v>
      </c>
      <c r="Q424" t="n">
        <v>0</v>
      </c>
      <c r="R424" s="2" t="inlineStr"/>
    </row>
    <row r="425" ht="15" customHeight="1">
      <c r="A425" t="inlineStr">
        <is>
          <t>A 4523-2025</t>
        </is>
      </c>
      <c r="B425" s="1" t="n">
        <v>45686.92864583333</v>
      </c>
      <c r="C425" s="1" t="n">
        <v>45967</v>
      </c>
      <c r="D425" t="inlineStr">
        <is>
          <t>JÄMTLANDS LÄN</t>
        </is>
      </c>
      <c r="E425" t="inlineStr">
        <is>
          <t>ÖSTERSUND</t>
        </is>
      </c>
      <c r="G425" t="n">
        <v>15.2</v>
      </c>
      <c r="H425" t="n">
        <v>0</v>
      </c>
      <c r="I425" t="n">
        <v>0</v>
      </c>
      <c r="J425" t="n">
        <v>0</v>
      </c>
      <c r="K425" t="n">
        <v>0</v>
      </c>
      <c r="L425" t="n">
        <v>0</v>
      </c>
      <c r="M425" t="n">
        <v>0</v>
      </c>
      <c r="N425" t="n">
        <v>0</v>
      </c>
      <c r="O425" t="n">
        <v>0</v>
      </c>
      <c r="P425" t="n">
        <v>0</v>
      </c>
      <c r="Q425" t="n">
        <v>0</v>
      </c>
      <c r="R425" s="2" t="inlineStr"/>
    </row>
    <row r="426" ht="15" customHeight="1">
      <c r="A426" t="inlineStr">
        <is>
          <t>A 50168-2025</t>
        </is>
      </c>
      <c r="B426" s="1" t="n">
        <v>45943.59442129629</v>
      </c>
      <c r="C426" s="1" t="n">
        <v>45967</v>
      </c>
      <c r="D426" t="inlineStr">
        <is>
          <t>JÄMTLANDS LÄN</t>
        </is>
      </c>
      <c r="E426" t="inlineStr">
        <is>
          <t>ÖSTERSUND</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22713-2025</t>
        </is>
      </c>
      <c r="B427" s="1" t="n">
        <v>45789.56414351852</v>
      </c>
      <c r="C427" s="1" t="n">
        <v>45967</v>
      </c>
      <c r="D427" t="inlineStr">
        <is>
          <t>JÄMTLANDS LÄN</t>
        </is>
      </c>
      <c r="E427" t="inlineStr">
        <is>
          <t>ÖSTERSUND</t>
        </is>
      </c>
      <c r="G427" t="n">
        <v>0.8</v>
      </c>
      <c r="H427" t="n">
        <v>0</v>
      </c>
      <c r="I427" t="n">
        <v>0</v>
      </c>
      <c r="J427" t="n">
        <v>0</v>
      </c>
      <c r="K427" t="n">
        <v>0</v>
      </c>
      <c r="L427" t="n">
        <v>0</v>
      </c>
      <c r="M427" t="n">
        <v>0</v>
      </c>
      <c r="N427" t="n">
        <v>0</v>
      </c>
      <c r="O427" t="n">
        <v>0</v>
      </c>
      <c r="P427" t="n">
        <v>0</v>
      </c>
      <c r="Q427" t="n">
        <v>0</v>
      </c>
      <c r="R427" s="2" t="inlineStr"/>
    </row>
    <row r="428" ht="15" customHeight="1">
      <c r="A428" t="inlineStr">
        <is>
          <t>A 45533-2025</t>
        </is>
      </c>
      <c r="B428" s="1" t="n">
        <v>45922</v>
      </c>
      <c r="C428" s="1" t="n">
        <v>45967</v>
      </c>
      <c r="D428" t="inlineStr">
        <is>
          <t>JÄMTLANDS LÄN</t>
        </is>
      </c>
      <c r="E428" t="inlineStr">
        <is>
          <t>ÖSTERSUND</t>
        </is>
      </c>
      <c r="F428" t="inlineStr">
        <is>
          <t>Övriga statliga verk och myndigheter</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41675-2025</t>
        </is>
      </c>
      <c r="B429" s="1" t="n">
        <v>45902.36641203704</v>
      </c>
      <c r="C429" s="1" t="n">
        <v>45967</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41708-2025</t>
        </is>
      </c>
      <c r="B430" s="1" t="n">
        <v>45902.42280092592</v>
      </c>
      <c r="C430" s="1" t="n">
        <v>45967</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47627-2024</t>
        </is>
      </c>
      <c r="B431" s="1" t="n">
        <v>45588.3440625</v>
      </c>
      <c r="C431" s="1" t="n">
        <v>45967</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47628-2024</t>
        </is>
      </c>
      <c r="B432" s="1" t="n">
        <v>45588.34418981482</v>
      </c>
      <c r="C432" s="1" t="n">
        <v>45967</v>
      </c>
      <c r="D432" t="inlineStr">
        <is>
          <t>JÄMTLANDS LÄN</t>
        </is>
      </c>
      <c r="E432" t="inlineStr">
        <is>
          <t>ÖSTERSUND</t>
        </is>
      </c>
      <c r="G432" t="n">
        <v>1.9</v>
      </c>
      <c r="H432" t="n">
        <v>0</v>
      </c>
      <c r="I432" t="n">
        <v>0</v>
      </c>
      <c r="J432" t="n">
        <v>0</v>
      </c>
      <c r="K432" t="n">
        <v>0</v>
      </c>
      <c r="L432" t="n">
        <v>0</v>
      </c>
      <c r="M432" t="n">
        <v>0</v>
      </c>
      <c r="N432" t="n">
        <v>0</v>
      </c>
      <c r="O432" t="n">
        <v>0</v>
      </c>
      <c r="P432" t="n">
        <v>0</v>
      </c>
      <c r="Q432" t="n">
        <v>0</v>
      </c>
      <c r="R432" s="2" t="inlineStr"/>
    </row>
    <row r="433" ht="15" customHeight="1">
      <c r="A433" t="inlineStr">
        <is>
          <t>A 22822-2025</t>
        </is>
      </c>
      <c r="B433" s="1" t="n">
        <v>45789</v>
      </c>
      <c r="C433" s="1" t="n">
        <v>45967</v>
      </c>
      <c r="D433" t="inlineStr">
        <is>
          <t>JÄMTLANDS LÄN</t>
        </is>
      </c>
      <c r="E433" t="inlineStr">
        <is>
          <t>ÖSTERSUND</t>
        </is>
      </c>
      <c r="G433" t="n">
        <v>2.2</v>
      </c>
      <c r="H433" t="n">
        <v>0</v>
      </c>
      <c r="I433" t="n">
        <v>0</v>
      </c>
      <c r="J433" t="n">
        <v>0</v>
      </c>
      <c r="K433" t="n">
        <v>0</v>
      </c>
      <c r="L433" t="n">
        <v>0</v>
      </c>
      <c r="M433" t="n">
        <v>0</v>
      </c>
      <c r="N433" t="n">
        <v>0</v>
      </c>
      <c r="O433" t="n">
        <v>0</v>
      </c>
      <c r="P433" t="n">
        <v>0</v>
      </c>
      <c r="Q433" t="n">
        <v>0</v>
      </c>
      <c r="R433" s="2" t="inlineStr"/>
    </row>
    <row r="434" ht="15" customHeight="1">
      <c r="A434" t="inlineStr">
        <is>
          <t>A 4311-2025</t>
        </is>
      </c>
      <c r="B434" s="1" t="n">
        <v>45685.69267361111</v>
      </c>
      <c r="C434" s="1" t="n">
        <v>45967</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41582-2025</t>
        </is>
      </c>
      <c r="B435" s="1" t="n">
        <v>45901</v>
      </c>
      <c r="C435" s="1" t="n">
        <v>45967</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8003-2025</t>
        </is>
      </c>
      <c r="B436" s="1" t="n">
        <v>45707</v>
      </c>
      <c r="C436" s="1" t="n">
        <v>45967</v>
      </c>
      <c r="D436" t="inlineStr">
        <is>
          <t>JÄMTLANDS LÄN</t>
        </is>
      </c>
      <c r="E436" t="inlineStr">
        <is>
          <t>ÖSTERSUND</t>
        </is>
      </c>
      <c r="F436" t="inlineStr">
        <is>
          <t>Övriga Aktiebolag</t>
        </is>
      </c>
      <c r="G436" t="n">
        <v>35.1</v>
      </c>
      <c r="H436" t="n">
        <v>0</v>
      </c>
      <c r="I436" t="n">
        <v>0</v>
      </c>
      <c r="J436" t="n">
        <v>0</v>
      </c>
      <c r="K436" t="n">
        <v>0</v>
      </c>
      <c r="L436" t="n">
        <v>0</v>
      </c>
      <c r="M436" t="n">
        <v>0</v>
      </c>
      <c r="N436" t="n">
        <v>0</v>
      </c>
      <c r="O436" t="n">
        <v>0</v>
      </c>
      <c r="P436" t="n">
        <v>0</v>
      </c>
      <c r="Q436" t="n">
        <v>0</v>
      </c>
      <c r="R436" s="2" t="inlineStr"/>
    </row>
    <row r="437" ht="15" customHeight="1">
      <c r="A437" t="inlineStr">
        <is>
          <t>A 45004-2022</t>
        </is>
      </c>
      <c r="B437" s="1" t="n">
        <v>44840</v>
      </c>
      <c r="C437" s="1" t="n">
        <v>45967</v>
      </c>
      <c r="D437" t="inlineStr">
        <is>
          <t>JÄMTLANDS LÄN</t>
        </is>
      </c>
      <c r="E437" t="inlineStr">
        <is>
          <t>ÖSTERSUND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38644-2021</t>
        </is>
      </c>
      <c r="B438" s="1" t="n">
        <v>44410.35376157407</v>
      </c>
      <c r="C438" s="1" t="n">
        <v>45967</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50428-2025</t>
        </is>
      </c>
      <c r="B439" s="1" t="n">
        <v>45944.67787037037</v>
      </c>
      <c r="C439" s="1" t="n">
        <v>45967</v>
      </c>
      <c r="D439" t="inlineStr">
        <is>
          <t>JÄMTLANDS LÄN</t>
        </is>
      </c>
      <c r="E439" t="inlineStr">
        <is>
          <t>ÖSTERSUND</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22920-2025</t>
        </is>
      </c>
      <c r="B440" s="1" t="n">
        <v>45790.43905092592</v>
      </c>
      <c r="C440" s="1" t="n">
        <v>45967</v>
      </c>
      <c r="D440" t="inlineStr">
        <is>
          <t>JÄMTLANDS LÄN</t>
        </is>
      </c>
      <c r="E440" t="inlineStr">
        <is>
          <t>ÖSTERSUND</t>
        </is>
      </c>
      <c r="G440" t="n">
        <v>0.4</v>
      </c>
      <c r="H440" t="n">
        <v>0</v>
      </c>
      <c r="I440" t="n">
        <v>0</v>
      </c>
      <c r="J440" t="n">
        <v>0</v>
      </c>
      <c r="K440" t="n">
        <v>0</v>
      </c>
      <c r="L440" t="n">
        <v>0</v>
      </c>
      <c r="M440" t="n">
        <v>0</v>
      </c>
      <c r="N440" t="n">
        <v>0</v>
      </c>
      <c r="O440" t="n">
        <v>0</v>
      </c>
      <c r="P440" t="n">
        <v>0</v>
      </c>
      <c r="Q440" t="n">
        <v>0</v>
      </c>
      <c r="R440" s="2" t="inlineStr"/>
    </row>
    <row r="441" ht="15" customHeight="1">
      <c r="A441" t="inlineStr">
        <is>
          <t>A 19581-2025</t>
        </is>
      </c>
      <c r="B441" s="1" t="n">
        <v>45770.56363425926</v>
      </c>
      <c r="C441" s="1" t="n">
        <v>45967</v>
      </c>
      <c r="D441" t="inlineStr">
        <is>
          <t>JÄMTLANDS LÄN</t>
        </is>
      </c>
      <c r="E441" t="inlineStr">
        <is>
          <t>ÖSTERSUND</t>
        </is>
      </c>
      <c r="G441" t="n">
        <v>17.2</v>
      </c>
      <c r="H441" t="n">
        <v>0</v>
      </c>
      <c r="I441" t="n">
        <v>0</v>
      </c>
      <c r="J441" t="n">
        <v>0</v>
      </c>
      <c r="K441" t="n">
        <v>0</v>
      </c>
      <c r="L441" t="n">
        <v>0</v>
      </c>
      <c r="M441" t="n">
        <v>0</v>
      </c>
      <c r="N441" t="n">
        <v>0</v>
      </c>
      <c r="O441" t="n">
        <v>0</v>
      </c>
      <c r="P441" t="n">
        <v>0</v>
      </c>
      <c r="Q441" t="n">
        <v>0</v>
      </c>
      <c r="R441" s="2" t="inlineStr"/>
    </row>
    <row r="442" ht="15" customHeight="1">
      <c r="A442" t="inlineStr">
        <is>
          <t>A 53378-2023</t>
        </is>
      </c>
      <c r="B442" s="1" t="n">
        <v>45223</v>
      </c>
      <c r="C442" s="1" t="n">
        <v>45967</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49576-2025</t>
        </is>
      </c>
      <c r="B443" s="1" t="n">
        <v>45939</v>
      </c>
      <c r="C443" s="1" t="n">
        <v>45967</v>
      </c>
      <c r="D443" t="inlineStr">
        <is>
          <t>JÄMTLANDS LÄN</t>
        </is>
      </c>
      <c r="E443" t="inlineStr">
        <is>
          <t>ÖSTERSUND</t>
        </is>
      </c>
      <c r="F443" t="inlineStr">
        <is>
          <t>SCA</t>
        </is>
      </c>
      <c r="G443" t="n">
        <v>17.1</v>
      </c>
      <c r="H443" t="n">
        <v>0</v>
      </c>
      <c r="I443" t="n">
        <v>0</v>
      </c>
      <c r="J443" t="n">
        <v>0</v>
      </c>
      <c r="K443" t="n">
        <v>0</v>
      </c>
      <c r="L443" t="n">
        <v>0</v>
      </c>
      <c r="M443" t="n">
        <v>0</v>
      </c>
      <c r="N443" t="n">
        <v>0</v>
      </c>
      <c r="O443" t="n">
        <v>0</v>
      </c>
      <c r="P443" t="n">
        <v>0</v>
      </c>
      <c r="Q443" t="n">
        <v>0</v>
      </c>
      <c r="R443" s="2" t="inlineStr"/>
    </row>
    <row r="444" ht="15" customHeight="1">
      <c r="A444" t="inlineStr">
        <is>
          <t>A 62111-2024</t>
        </is>
      </c>
      <c r="B444" s="1" t="n">
        <v>45656.53215277778</v>
      </c>
      <c r="C444" s="1" t="n">
        <v>45967</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22082-2022</t>
        </is>
      </c>
      <c r="B445" s="1" t="n">
        <v>44711.9403587963</v>
      </c>
      <c r="C445" s="1" t="n">
        <v>45967</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2747-2025</t>
        </is>
      </c>
      <c r="B446" s="1" t="n">
        <v>45677.4649537037</v>
      </c>
      <c r="C446" s="1" t="n">
        <v>45967</v>
      </c>
      <c r="D446" t="inlineStr">
        <is>
          <t>JÄMTLANDS LÄN</t>
        </is>
      </c>
      <c r="E446" t="inlineStr">
        <is>
          <t>ÖSTERSUND</t>
        </is>
      </c>
      <c r="F446" t="inlineStr">
        <is>
          <t>Sveaskog</t>
        </is>
      </c>
      <c r="G446" t="n">
        <v>6.4</v>
      </c>
      <c r="H446" t="n">
        <v>0</v>
      </c>
      <c r="I446" t="n">
        <v>0</v>
      </c>
      <c r="J446" t="n">
        <v>0</v>
      </c>
      <c r="K446" t="n">
        <v>0</v>
      </c>
      <c r="L446" t="n">
        <v>0</v>
      </c>
      <c r="M446" t="n">
        <v>0</v>
      </c>
      <c r="N446" t="n">
        <v>0</v>
      </c>
      <c r="O446" t="n">
        <v>0</v>
      </c>
      <c r="P446" t="n">
        <v>0</v>
      </c>
      <c r="Q446" t="n">
        <v>0</v>
      </c>
      <c r="R446" s="2" t="inlineStr"/>
    </row>
    <row r="447" ht="15" customHeight="1">
      <c r="A447" t="inlineStr">
        <is>
          <t>A 33801-2022</t>
        </is>
      </c>
      <c r="B447" s="1" t="n">
        <v>44790</v>
      </c>
      <c r="C447" s="1" t="n">
        <v>45967</v>
      </c>
      <c r="D447" t="inlineStr">
        <is>
          <t>JÄMTLANDS LÄN</t>
        </is>
      </c>
      <c r="E447" t="inlineStr">
        <is>
          <t>ÖSTERSUND</t>
        </is>
      </c>
      <c r="G447" t="n">
        <v>7.6</v>
      </c>
      <c r="H447" t="n">
        <v>0</v>
      </c>
      <c r="I447" t="n">
        <v>0</v>
      </c>
      <c r="J447" t="n">
        <v>0</v>
      </c>
      <c r="K447" t="n">
        <v>0</v>
      </c>
      <c r="L447" t="n">
        <v>0</v>
      </c>
      <c r="M447" t="n">
        <v>0</v>
      </c>
      <c r="N447" t="n">
        <v>0</v>
      </c>
      <c r="O447" t="n">
        <v>0</v>
      </c>
      <c r="P447" t="n">
        <v>0</v>
      </c>
      <c r="Q447" t="n">
        <v>0</v>
      </c>
      <c r="R447" s="2" t="inlineStr"/>
    </row>
    <row r="448" ht="15" customHeight="1">
      <c r="A448" t="inlineStr">
        <is>
          <t>A 41802-2021</t>
        </is>
      </c>
      <c r="B448" s="1" t="n">
        <v>44425</v>
      </c>
      <c r="C448" s="1" t="n">
        <v>45967</v>
      </c>
      <c r="D448" t="inlineStr">
        <is>
          <t>JÄMTLANDS LÄN</t>
        </is>
      </c>
      <c r="E448" t="inlineStr">
        <is>
          <t>ÖSTERSUND</t>
        </is>
      </c>
      <c r="G448" t="n">
        <v>1.7</v>
      </c>
      <c r="H448" t="n">
        <v>0</v>
      </c>
      <c r="I448" t="n">
        <v>0</v>
      </c>
      <c r="J448" t="n">
        <v>0</v>
      </c>
      <c r="K448" t="n">
        <v>0</v>
      </c>
      <c r="L448" t="n">
        <v>0</v>
      </c>
      <c r="M448" t="n">
        <v>0</v>
      </c>
      <c r="N448" t="n">
        <v>0</v>
      </c>
      <c r="O448" t="n">
        <v>0</v>
      </c>
      <c r="P448" t="n">
        <v>0</v>
      </c>
      <c r="Q448" t="n">
        <v>0</v>
      </c>
      <c r="R448" s="2" t="inlineStr"/>
    </row>
    <row r="449" ht="15" customHeight="1">
      <c r="A449" t="inlineStr">
        <is>
          <t>A 42129-2025</t>
        </is>
      </c>
      <c r="B449" s="1" t="n">
        <v>45904.3452662037</v>
      </c>
      <c r="C449" s="1" t="n">
        <v>45967</v>
      </c>
      <c r="D449" t="inlineStr">
        <is>
          <t>JÄMTLANDS LÄN</t>
        </is>
      </c>
      <c r="E449" t="inlineStr">
        <is>
          <t>ÖSTERSUND</t>
        </is>
      </c>
      <c r="G449" t="n">
        <v>0.4</v>
      </c>
      <c r="H449" t="n">
        <v>0</v>
      </c>
      <c r="I449" t="n">
        <v>0</v>
      </c>
      <c r="J449" t="n">
        <v>0</v>
      </c>
      <c r="K449" t="n">
        <v>0</v>
      </c>
      <c r="L449" t="n">
        <v>0</v>
      </c>
      <c r="M449" t="n">
        <v>0</v>
      </c>
      <c r="N449" t="n">
        <v>0</v>
      </c>
      <c r="O449" t="n">
        <v>0</v>
      </c>
      <c r="P449" t="n">
        <v>0</v>
      </c>
      <c r="Q449" t="n">
        <v>0</v>
      </c>
      <c r="R449" s="2" t="inlineStr"/>
    </row>
    <row r="450" ht="15" customHeight="1">
      <c r="A450" t="inlineStr">
        <is>
          <t>A 7953-2025</t>
        </is>
      </c>
      <c r="B450" s="1" t="n">
        <v>45707.42392361111</v>
      </c>
      <c r="C450" s="1" t="n">
        <v>45967</v>
      </c>
      <c r="D450" t="inlineStr">
        <is>
          <t>JÄMTLANDS LÄN</t>
        </is>
      </c>
      <c r="E450" t="inlineStr">
        <is>
          <t>ÖSTERSUND</t>
        </is>
      </c>
      <c r="G450" t="n">
        <v>1.8</v>
      </c>
      <c r="H450" t="n">
        <v>0</v>
      </c>
      <c r="I450" t="n">
        <v>0</v>
      </c>
      <c r="J450" t="n">
        <v>0</v>
      </c>
      <c r="K450" t="n">
        <v>0</v>
      </c>
      <c r="L450" t="n">
        <v>0</v>
      </c>
      <c r="M450" t="n">
        <v>0</v>
      </c>
      <c r="N450" t="n">
        <v>0</v>
      </c>
      <c r="O450" t="n">
        <v>0</v>
      </c>
      <c r="P450" t="n">
        <v>0</v>
      </c>
      <c r="Q450" t="n">
        <v>0</v>
      </c>
      <c r="R450" s="2" t="inlineStr"/>
    </row>
    <row r="451" ht="15" customHeight="1">
      <c r="A451" t="inlineStr">
        <is>
          <t>A 13738-2025</t>
        </is>
      </c>
      <c r="B451" s="1" t="n">
        <v>45737.40131944444</v>
      </c>
      <c r="C451" s="1" t="n">
        <v>45967</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50528-2025</t>
        </is>
      </c>
      <c r="B452" s="1" t="n">
        <v>45945.47097222223</v>
      </c>
      <c r="C452" s="1" t="n">
        <v>45967</v>
      </c>
      <c r="D452" t="inlineStr">
        <is>
          <t>JÄMTLANDS LÄN</t>
        </is>
      </c>
      <c r="E452" t="inlineStr">
        <is>
          <t>ÖSTERSUND</t>
        </is>
      </c>
      <c r="G452" t="n">
        <v>3.4</v>
      </c>
      <c r="H452" t="n">
        <v>0</v>
      </c>
      <c r="I452" t="n">
        <v>0</v>
      </c>
      <c r="J452" t="n">
        <v>0</v>
      </c>
      <c r="K452" t="n">
        <v>0</v>
      </c>
      <c r="L452" t="n">
        <v>0</v>
      </c>
      <c r="M452" t="n">
        <v>0</v>
      </c>
      <c r="N452" t="n">
        <v>0</v>
      </c>
      <c r="O452" t="n">
        <v>0</v>
      </c>
      <c r="P452" t="n">
        <v>0</v>
      </c>
      <c r="Q452" t="n">
        <v>0</v>
      </c>
      <c r="R452" s="2" t="inlineStr"/>
    </row>
    <row r="453" ht="15" customHeight="1">
      <c r="A453" t="inlineStr">
        <is>
          <t>A 50529-2025</t>
        </is>
      </c>
      <c r="B453" s="1" t="n">
        <v>45945.47331018518</v>
      </c>
      <c r="C453" s="1" t="n">
        <v>45967</v>
      </c>
      <c r="D453" t="inlineStr">
        <is>
          <t>JÄMTLANDS LÄN</t>
        </is>
      </c>
      <c r="E453" t="inlineStr">
        <is>
          <t>ÖSTERSUND</t>
        </is>
      </c>
      <c r="G453" t="n">
        <v>7</v>
      </c>
      <c r="H453" t="n">
        <v>0</v>
      </c>
      <c r="I453" t="n">
        <v>0</v>
      </c>
      <c r="J453" t="n">
        <v>0</v>
      </c>
      <c r="K453" t="n">
        <v>0</v>
      </c>
      <c r="L453" t="n">
        <v>0</v>
      </c>
      <c r="M453" t="n">
        <v>0</v>
      </c>
      <c r="N453" t="n">
        <v>0</v>
      </c>
      <c r="O453" t="n">
        <v>0</v>
      </c>
      <c r="P453" t="n">
        <v>0</v>
      </c>
      <c r="Q453" t="n">
        <v>0</v>
      </c>
      <c r="R453" s="2" t="inlineStr"/>
    </row>
    <row r="454" ht="15" customHeight="1">
      <c r="A454" t="inlineStr">
        <is>
          <t>A 23249-2025</t>
        </is>
      </c>
      <c r="B454" s="1" t="n">
        <v>45791</v>
      </c>
      <c r="C454" s="1" t="n">
        <v>45967</v>
      </c>
      <c r="D454" t="inlineStr">
        <is>
          <t>JÄMTLANDS LÄN</t>
        </is>
      </c>
      <c r="E454" t="inlineStr">
        <is>
          <t>ÖSTERSUND</t>
        </is>
      </c>
      <c r="G454" t="n">
        <v>10</v>
      </c>
      <c r="H454" t="n">
        <v>0</v>
      </c>
      <c r="I454" t="n">
        <v>0</v>
      </c>
      <c r="J454" t="n">
        <v>0</v>
      </c>
      <c r="K454" t="n">
        <v>0</v>
      </c>
      <c r="L454" t="n">
        <v>0</v>
      </c>
      <c r="M454" t="n">
        <v>0</v>
      </c>
      <c r="N454" t="n">
        <v>0</v>
      </c>
      <c r="O454" t="n">
        <v>0</v>
      </c>
      <c r="P454" t="n">
        <v>0</v>
      </c>
      <c r="Q454" t="n">
        <v>0</v>
      </c>
      <c r="R454" s="2" t="inlineStr"/>
    </row>
    <row r="455" ht="15" customHeight="1">
      <c r="A455" t="inlineStr">
        <is>
          <t>A 55365-2024</t>
        </is>
      </c>
      <c r="B455" s="1" t="n">
        <v>45621.86827546296</v>
      </c>
      <c r="C455" s="1" t="n">
        <v>45967</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60349-2024</t>
        </is>
      </c>
      <c r="B456" s="1" t="n">
        <v>45643.42986111111</v>
      </c>
      <c r="C456" s="1" t="n">
        <v>45967</v>
      </c>
      <c r="D456" t="inlineStr">
        <is>
          <t>JÄMTLANDS LÄN</t>
        </is>
      </c>
      <c r="E456" t="inlineStr">
        <is>
          <t>ÖSTERSUND</t>
        </is>
      </c>
      <c r="F456" t="inlineStr">
        <is>
          <t>Sveaskog</t>
        </is>
      </c>
      <c r="G456" t="n">
        <v>16.6</v>
      </c>
      <c r="H456" t="n">
        <v>0</v>
      </c>
      <c r="I456" t="n">
        <v>0</v>
      </c>
      <c r="J456" t="n">
        <v>0</v>
      </c>
      <c r="K456" t="n">
        <v>0</v>
      </c>
      <c r="L456" t="n">
        <v>0</v>
      </c>
      <c r="M456" t="n">
        <v>0</v>
      </c>
      <c r="N456" t="n">
        <v>0</v>
      </c>
      <c r="O456" t="n">
        <v>0</v>
      </c>
      <c r="P456" t="n">
        <v>0</v>
      </c>
      <c r="Q456" t="n">
        <v>0</v>
      </c>
      <c r="R456" s="2" t="inlineStr"/>
    </row>
    <row r="457" ht="15" customHeight="1">
      <c r="A457" t="inlineStr">
        <is>
          <t>A 27689-2024</t>
        </is>
      </c>
      <c r="B457" s="1" t="n">
        <v>45475.3378125</v>
      </c>
      <c r="C457" s="1" t="n">
        <v>45967</v>
      </c>
      <c r="D457" t="inlineStr">
        <is>
          <t>JÄMTLANDS LÄN</t>
        </is>
      </c>
      <c r="E457" t="inlineStr">
        <is>
          <t>ÖSTERSUND</t>
        </is>
      </c>
      <c r="G457" t="n">
        <v>0.6</v>
      </c>
      <c r="H457" t="n">
        <v>0</v>
      </c>
      <c r="I457" t="n">
        <v>0</v>
      </c>
      <c r="J457" t="n">
        <v>0</v>
      </c>
      <c r="K457" t="n">
        <v>0</v>
      </c>
      <c r="L457" t="n">
        <v>0</v>
      </c>
      <c r="M457" t="n">
        <v>0</v>
      </c>
      <c r="N457" t="n">
        <v>0</v>
      </c>
      <c r="O457" t="n">
        <v>0</v>
      </c>
      <c r="P457" t="n">
        <v>0</v>
      </c>
      <c r="Q457" t="n">
        <v>0</v>
      </c>
      <c r="R457" s="2" t="inlineStr"/>
    </row>
    <row r="458" ht="15" customHeight="1">
      <c r="A458" t="inlineStr">
        <is>
          <t>A 19664-2025</t>
        </is>
      </c>
      <c r="B458" s="1" t="n">
        <v>45770.6925462963</v>
      </c>
      <c r="C458" s="1" t="n">
        <v>45967</v>
      </c>
      <c r="D458" t="inlineStr">
        <is>
          <t>JÄMTLANDS LÄN</t>
        </is>
      </c>
      <c r="E458" t="inlineStr">
        <is>
          <t>ÖSTERSUND</t>
        </is>
      </c>
      <c r="G458" t="n">
        <v>8.6</v>
      </c>
      <c r="H458" t="n">
        <v>0</v>
      </c>
      <c r="I458" t="n">
        <v>0</v>
      </c>
      <c r="J458" t="n">
        <v>0</v>
      </c>
      <c r="K458" t="n">
        <v>0</v>
      </c>
      <c r="L458" t="n">
        <v>0</v>
      </c>
      <c r="M458" t="n">
        <v>0</v>
      </c>
      <c r="N458" t="n">
        <v>0</v>
      </c>
      <c r="O458" t="n">
        <v>0</v>
      </c>
      <c r="P458" t="n">
        <v>0</v>
      </c>
      <c r="Q458" t="n">
        <v>0</v>
      </c>
      <c r="R458" s="2" t="inlineStr"/>
    </row>
    <row r="459" ht="15" customHeight="1">
      <c r="A459" t="inlineStr">
        <is>
          <t>A 31464-2024</t>
        </is>
      </c>
      <c r="B459" s="1" t="n">
        <v>45505.95078703704</v>
      </c>
      <c r="C459" s="1" t="n">
        <v>45967</v>
      </c>
      <c r="D459" t="inlineStr">
        <is>
          <t>JÄMTLANDS LÄN</t>
        </is>
      </c>
      <c r="E459" t="inlineStr">
        <is>
          <t>ÖSTERSUND</t>
        </is>
      </c>
      <c r="F459" t="inlineStr">
        <is>
          <t>SCA</t>
        </is>
      </c>
      <c r="G459" t="n">
        <v>8.1</v>
      </c>
      <c r="H459" t="n">
        <v>0</v>
      </c>
      <c r="I459" t="n">
        <v>0</v>
      </c>
      <c r="J459" t="n">
        <v>0</v>
      </c>
      <c r="K459" t="n">
        <v>0</v>
      </c>
      <c r="L459" t="n">
        <v>0</v>
      </c>
      <c r="M459" t="n">
        <v>0</v>
      </c>
      <c r="N459" t="n">
        <v>0</v>
      </c>
      <c r="O459" t="n">
        <v>0</v>
      </c>
      <c r="P459" t="n">
        <v>0</v>
      </c>
      <c r="Q459" t="n">
        <v>0</v>
      </c>
      <c r="R459" s="2" t="inlineStr"/>
    </row>
    <row r="460" ht="15" customHeight="1">
      <c r="A460" t="inlineStr">
        <is>
          <t>A 23100-2025</t>
        </is>
      </c>
      <c r="B460" s="1" t="n">
        <v>45791.35212962963</v>
      </c>
      <c r="C460" s="1" t="n">
        <v>45967</v>
      </c>
      <c r="D460" t="inlineStr">
        <is>
          <t>JÄMTLANDS LÄN</t>
        </is>
      </c>
      <c r="E460" t="inlineStr">
        <is>
          <t>ÖSTERSUND</t>
        </is>
      </c>
      <c r="G460" t="n">
        <v>4.5</v>
      </c>
      <c r="H460" t="n">
        <v>0</v>
      </c>
      <c r="I460" t="n">
        <v>0</v>
      </c>
      <c r="J460" t="n">
        <v>0</v>
      </c>
      <c r="K460" t="n">
        <v>0</v>
      </c>
      <c r="L460" t="n">
        <v>0</v>
      </c>
      <c r="M460" t="n">
        <v>0</v>
      </c>
      <c r="N460" t="n">
        <v>0</v>
      </c>
      <c r="O460" t="n">
        <v>0</v>
      </c>
      <c r="P460" t="n">
        <v>0</v>
      </c>
      <c r="Q460" t="n">
        <v>0</v>
      </c>
      <c r="R460" s="2" t="inlineStr"/>
    </row>
    <row r="461" ht="15" customHeight="1">
      <c r="A461" t="inlineStr">
        <is>
          <t>A 4966-2025</t>
        </is>
      </c>
      <c r="B461" s="1" t="n">
        <v>45690.63628472222</v>
      </c>
      <c r="C461" s="1" t="n">
        <v>45967</v>
      </c>
      <c r="D461" t="inlineStr">
        <is>
          <t>JÄMTLANDS LÄN</t>
        </is>
      </c>
      <c r="E461" t="inlineStr">
        <is>
          <t>ÖSTERSUND</t>
        </is>
      </c>
      <c r="G461" t="n">
        <v>3.4</v>
      </c>
      <c r="H461" t="n">
        <v>0</v>
      </c>
      <c r="I461" t="n">
        <v>0</v>
      </c>
      <c r="J461" t="n">
        <v>0</v>
      </c>
      <c r="K461" t="n">
        <v>0</v>
      </c>
      <c r="L461" t="n">
        <v>0</v>
      </c>
      <c r="M461" t="n">
        <v>0</v>
      </c>
      <c r="N461" t="n">
        <v>0</v>
      </c>
      <c r="O461" t="n">
        <v>0</v>
      </c>
      <c r="P461" t="n">
        <v>0</v>
      </c>
      <c r="Q461" t="n">
        <v>0</v>
      </c>
      <c r="R461" s="2" t="inlineStr"/>
    </row>
    <row r="462" ht="15" customHeight="1">
      <c r="A462" t="inlineStr">
        <is>
          <t>A 25995-2025</t>
        </is>
      </c>
      <c r="B462" s="1" t="n">
        <v>45804.656875</v>
      </c>
      <c r="C462" s="1" t="n">
        <v>45967</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23078-2025</t>
        </is>
      </c>
      <c r="B463" s="1" t="n">
        <v>45791.27984953704</v>
      </c>
      <c r="C463" s="1" t="n">
        <v>45967</v>
      </c>
      <c r="D463" t="inlineStr">
        <is>
          <t>JÄMTLANDS LÄN</t>
        </is>
      </c>
      <c r="E463" t="inlineStr">
        <is>
          <t>ÖSTERSUND</t>
        </is>
      </c>
      <c r="G463" t="n">
        <v>2.8</v>
      </c>
      <c r="H463" t="n">
        <v>0</v>
      </c>
      <c r="I463" t="n">
        <v>0</v>
      </c>
      <c r="J463" t="n">
        <v>0</v>
      </c>
      <c r="K463" t="n">
        <v>0</v>
      </c>
      <c r="L463" t="n">
        <v>0</v>
      </c>
      <c r="M463" t="n">
        <v>0</v>
      </c>
      <c r="N463" t="n">
        <v>0</v>
      </c>
      <c r="O463" t="n">
        <v>0</v>
      </c>
      <c r="P463" t="n">
        <v>0</v>
      </c>
      <c r="Q463" t="n">
        <v>0</v>
      </c>
      <c r="R463" s="2" t="inlineStr"/>
    </row>
    <row r="464" ht="15" customHeight="1">
      <c r="A464" t="inlineStr">
        <is>
          <t>A 23110-2025</t>
        </is>
      </c>
      <c r="B464" s="1" t="n">
        <v>45791.36526620371</v>
      </c>
      <c r="C464" s="1" t="n">
        <v>45967</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6877-2024</t>
        </is>
      </c>
      <c r="B465" s="1" t="n">
        <v>45342</v>
      </c>
      <c r="C465" s="1" t="n">
        <v>45967</v>
      </c>
      <c r="D465" t="inlineStr">
        <is>
          <t>JÄMTLANDS LÄN</t>
        </is>
      </c>
      <c r="E465" t="inlineStr">
        <is>
          <t>ÖSTERSUND</t>
        </is>
      </c>
      <c r="F465" t="inlineStr">
        <is>
          <t>Kyrkan</t>
        </is>
      </c>
      <c r="G465" t="n">
        <v>0.9</v>
      </c>
      <c r="H465" t="n">
        <v>0</v>
      </c>
      <c r="I465" t="n">
        <v>0</v>
      </c>
      <c r="J465" t="n">
        <v>0</v>
      </c>
      <c r="K465" t="n">
        <v>0</v>
      </c>
      <c r="L465" t="n">
        <v>0</v>
      </c>
      <c r="M465" t="n">
        <v>0</v>
      </c>
      <c r="N465" t="n">
        <v>0</v>
      </c>
      <c r="O465" t="n">
        <v>0</v>
      </c>
      <c r="P465" t="n">
        <v>0</v>
      </c>
      <c r="Q465" t="n">
        <v>0</v>
      </c>
      <c r="R465" s="2" t="inlineStr"/>
    </row>
    <row r="466" ht="15" customHeight="1">
      <c r="A466" t="inlineStr">
        <is>
          <t>A 18627-2024</t>
        </is>
      </c>
      <c r="B466" s="1" t="n">
        <v>45425.96443287037</v>
      </c>
      <c r="C466" s="1" t="n">
        <v>45967</v>
      </c>
      <c r="D466" t="inlineStr">
        <is>
          <t>JÄMTLANDS LÄN</t>
        </is>
      </c>
      <c r="E466" t="inlineStr">
        <is>
          <t>ÖSTERSUND</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47022-2024</t>
        </is>
      </c>
      <c r="B467" s="1" t="n">
        <v>45586.40660879629</v>
      </c>
      <c r="C467" s="1" t="n">
        <v>45967</v>
      </c>
      <c r="D467" t="inlineStr">
        <is>
          <t>JÄMTLANDS LÄN</t>
        </is>
      </c>
      <c r="E467" t="inlineStr">
        <is>
          <t>ÖSTERSUND</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62225-2022</t>
        </is>
      </c>
      <c r="B468" s="1" t="n">
        <v>44922</v>
      </c>
      <c r="C468" s="1" t="n">
        <v>45967</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9552-2025</t>
        </is>
      </c>
      <c r="B469" s="1" t="n">
        <v>45715.59545138889</v>
      </c>
      <c r="C469" s="1" t="n">
        <v>45967</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7938-2025</t>
        </is>
      </c>
      <c r="B470" s="1" t="n">
        <v>45707</v>
      </c>
      <c r="C470" s="1" t="n">
        <v>45967</v>
      </c>
      <c r="D470" t="inlineStr">
        <is>
          <t>JÄMTLANDS LÄN</t>
        </is>
      </c>
      <c r="E470" t="inlineStr">
        <is>
          <t>ÖSTERSUND</t>
        </is>
      </c>
      <c r="G470" t="n">
        <v>3</v>
      </c>
      <c r="H470" t="n">
        <v>0</v>
      </c>
      <c r="I470" t="n">
        <v>0</v>
      </c>
      <c r="J470" t="n">
        <v>0</v>
      </c>
      <c r="K470" t="n">
        <v>0</v>
      </c>
      <c r="L470" t="n">
        <v>0</v>
      </c>
      <c r="M470" t="n">
        <v>0</v>
      </c>
      <c r="N470" t="n">
        <v>0</v>
      </c>
      <c r="O470" t="n">
        <v>0</v>
      </c>
      <c r="P470" t="n">
        <v>0</v>
      </c>
      <c r="Q470" t="n">
        <v>0</v>
      </c>
      <c r="R470" s="2" t="inlineStr"/>
    </row>
    <row r="471" ht="15" customHeight="1">
      <c r="A471" t="inlineStr">
        <is>
          <t>A 36099-2025</t>
        </is>
      </c>
      <c r="B471" s="1" t="n">
        <v>45866.51630787037</v>
      </c>
      <c r="C471" s="1" t="n">
        <v>45967</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4500-2025</t>
        </is>
      </c>
      <c r="B472" s="1" t="n">
        <v>45686.6859375</v>
      </c>
      <c r="C472" s="1" t="n">
        <v>45967</v>
      </c>
      <c r="D472" t="inlineStr">
        <is>
          <t>JÄMTLANDS LÄN</t>
        </is>
      </c>
      <c r="E472" t="inlineStr">
        <is>
          <t>ÖSTERSUND</t>
        </is>
      </c>
      <c r="G472" t="n">
        <v>28.4</v>
      </c>
      <c r="H472" t="n">
        <v>0</v>
      </c>
      <c r="I472" t="n">
        <v>0</v>
      </c>
      <c r="J472" t="n">
        <v>0</v>
      </c>
      <c r="K472" t="n">
        <v>0</v>
      </c>
      <c r="L472" t="n">
        <v>0</v>
      </c>
      <c r="M472" t="n">
        <v>0</v>
      </c>
      <c r="N472" t="n">
        <v>0</v>
      </c>
      <c r="O472" t="n">
        <v>0</v>
      </c>
      <c r="P472" t="n">
        <v>0</v>
      </c>
      <c r="Q472" t="n">
        <v>0</v>
      </c>
      <c r="R472" s="2" t="inlineStr"/>
    </row>
    <row r="473" ht="15" customHeight="1">
      <c r="A473" t="inlineStr">
        <is>
          <t>A 4136-2023</t>
        </is>
      </c>
      <c r="B473" s="1" t="n">
        <v>44952</v>
      </c>
      <c r="C473" s="1" t="n">
        <v>45967</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44051-2021</t>
        </is>
      </c>
      <c r="B474" s="1" t="n">
        <v>44434</v>
      </c>
      <c r="C474" s="1" t="n">
        <v>45967</v>
      </c>
      <c r="D474" t="inlineStr">
        <is>
          <t>JÄMTLANDS LÄN</t>
        </is>
      </c>
      <c r="E474" t="inlineStr">
        <is>
          <t>ÖSTERSUND</t>
        </is>
      </c>
      <c r="G474" t="n">
        <v>2.9</v>
      </c>
      <c r="H474" t="n">
        <v>0</v>
      </c>
      <c r="I474" t="n">
        <v>0</v>
      </c>
      <c r="J474" t="n">
        <v>0</v>
      </c>
      <c r="K474" t="n">
        <v>0</v>
      </c>
      <c r="L474" t="n">
        <v>0</v>
      </c>
      <c r="M474" t="n">
        <v>0</v>
      </c>
      <c r="N474" t="n">
        <v>0</v>
      </c>
      <c r="O474" t="n">
        <v>0</v>
      </c>
      <c r="P474" t="n">
        <v>0</v>
      </c>
      <c r="Q474" t="n">
        <v>0</v>
      </c>
      <c r="R474" s="2" t="inlineStr"/>
    </row>
    <row r="475" ht="15" customHeight="1">
      <c r="A475" t="inlineStr">
        <is>
          <t>A 4872-2023</t>
        </is>
      </c>
      <c r="B475" s="1" t="n">
        <v>44957</v>
      </c>
      <c r="C475" s="1" t="n">
        <v>45967</v>
      </c>
      <c r="D475" t="inlineStr">
        <is>
          <t>JÄMTLANDS LÄN</t>
        </is>
      </c>
      <c r="E475" t="inlineStr">
        <is>
          <t>ÖSTERSUND</t>
        </is>
      </c>
      <c r="G475" t="n">
        <v>10.7</v>
      </c>
      <c r="H475" t="n">
        <v>0</v>
      </c>
      <c r="I475" t="n">
        <v>0</v>
      </c>
      <c r="J475" t="n">
        <v>0</v>
      </c>
      <c r="K475" t="n">
        <v>0</v>
      </c>
      <c r="L475" t="n">
        <v>0</v>
      </c>
      <c r="M475" t="n">
        <v>0</v>
      </c>
      <c r="N475" t="n">
        <v>0</v>
      </c>
      <c r="O475" t="n">
        <v>0</v>
      </c>
      <c r="P475" t="n">
        <v>0</v>
      </c>
      <c r="Q475" t="n">
        <v>0</v>
      </c>
      <c r="R475" s="2" t="inlineStr"/>
    </row>
    <row r="476" ht="15" customHeight="1">
      <c r="A476" t="inlineStr">
        <is>
          <t>A 13921-2023</t>
        </is>
      </c>
      <c r="B476" s="1" t="n">
        <v>45008</v>
      </c>
      <c r="C476" s="1" t="n">
        <v>45967</v>
      </c>
      <c r="D476" t="inlineStr">
        <is>
          <t>JÄMTLANDS LÄN</t>
        </is>
      </c>
      <c r="E476" t="inlineStr">
        <is>
          <t>ÖSTERSUND</t>
        </is>
      </c>
      <c r="G476" t="n">
        <v>0.3</v>
      </c>
      <c r="H476" t="n">
        <v>0</v>
      </c>
      <c r="I476" t="n">
        <v>0</v>
      </c>
      <c r="J476" t="n">
        <v>0</v>
      </c>
      <c r="K476" t="n">
        <v>0</v>
      </c>
      <c r="L476" t="n">
        <v>0</v>
      </c>
      <c r="M476" t="n">
        <v>0</v>
      </c>
      <c r="N476" t="n">
        <v>0</v>
      </c>
      <c r="O476" t="n">
        <v>0</v>
      </c>
      <c r="P476" t="n">
        <v>0</v>
      </c>
      <c r="Q476" t="n">
        <v>0</v>
      </c>
      <c r="R476" s="2" t="inlineStr"/>
    </row>
    <row r="477" ht="15" customHeight="1">
      <c r="A477" t="inlineStr">
        <is>
          <t>A 41780-2024</t>
        </is>
      </c>
      <c r="B477" s="1" t="n">
        <v>45561.34908564815</v>
      </c>
      <c r="C477" s="1" t="n">
        <v>45967</v>
      </c>
      <c r="D477" t="inlineStr">
        <is>
          <t>JÄMTLANDS LÄN</t>
        </is>
      </c>
      <c r="E477" t="inlineStr">
        <is>
          <t>ÖSTERSUND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42989-2025</t>
        </is>
      </c>
      <c r="B478" s="1" t="n">
        <v>45909.44971064815</v>
      </c>
      <c r="C478" s="1" t="n">
        <v>45967</v>
      </c>
      <c r="D478" t="inlineStr">
        <is>
          <t>JÄMTLANDS LÄN</t>
        </is>
      </c>
      <c r="E478" t="inlineStr">
        <is>
          <t>ÖSTERSUND</t>
        </is>
      </c>
      <c r="G478" t="n">
        <v>3</v>
      </c>
      <c r="H478" t="n">
        <v>0</v>
      </c>
      <c r="I478" t="n">
        <v>0</v>
      </c>
      <c r="J478" t="n">
        <v>0</v>
      </c>
      <c r="K478" t="n">
        <v>0</v>
      </c>
      <c r="L478" t="n">
        <v>0</v>
      </c>
      <c r="M478" t="n">
        <v>0</v>
      </c>
      <c r="N478" t="n">
        <v>0</v>
      </c>
      <c r="O478" t="n">
        <v>0</v>
      </c>
      <c r="P478" t="n">
        <v>0</v>
      </c>
      <c r="Q478" t="n">
        <v>0</v>
      </c>
      <c r="R478" s="2" t="inlineStr"/>
    </row>
    <row r="479" ht="15" customHeight="1">
      <c r="A479" t="inlineStr">
        <is>
          <t>A 52003-2025</t>
        </is>
      </c>
      <c r="B479" s="1" t="n">
        <v>45952.5909375</v>
      </c>
      <c r="C479" s="1" t="n">
        <v>45967</v>
      </c>
      <c r="D479" t="inlineStr">
        <is>
          <t>JÄMTLANDS LÄN</t>
        </is>
      </c>
      <c r="E479" t="inlineStr">
        <is>
          <t>ÖSTERSUND</t>
        </is>
      </c>
      <c r="G479" t="n">
        <v>5.7</v>
      </c>
      <c r="H479" t="n">
        <v>0</v>
      </c>
      <c r="I479" t="n">
        <v>0</v>
      </c>
      <c r="J479" t="n">
        <v>0</v>
      </c>
      <c r="K479" t="n">
        <v>0</v>
      </c>
      <c r="L479" t="n">
        <v>0</v>
      </c>
      <c r="M479" t="n">
        <v>0</v>
      </c>
      <c r="N479" t="n">
        <v>0</v>
      </c>
      <c r="O479" t="n">
        <v>0</v>
      </c>
      <c r="P479" t="n">
        <v>0</v>
      </c>
      <c r="Q479" t="n">
        <v>0</v>
      </c>
      <c r="R479" s="2" t="inlineStr"/>
    </row>
    <row r="480" ht="15" customHeight="1">
      <c r="A480" t="inlineStr">
        <is>
          <t>A 11877-2024</t>
        </is>
      </c>
      <c r="B480" s="1" t="n">
        <v>45376</v>
      </c>
      <c r="C480" s="1" t="n">
        <v>45967</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61653-2022</t>
        </is>
      </c>
      <c r="B481" s="1" t="n">
        <v>44916</v>
      </c>
      <c r="C481" s="1" t="n">
        <v>45967</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23877-2025</t>
        </is>
      </c>
      <c r="B482" s="1" t="n">
        <v>45793.68469907407</v>
      </c>
      <c r="C482" s="1" t="n">
        <v>45967</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12285-2022</t>
        </is>
      </c>
      <c r="B483" s="1" t="n">
        <v>44637</v>
      </c>
      <c r="C483" s="1" t="n">
        <v>45967</v>
      </c>
      <c r="D483" t="inlineStr">
        <is>
          <t>JÄMTLANDS LÄN</t>
        </is>
      </c>
      <c r="E483" t="inlineStr">
        <is>
          <t>ÖSTERSUND</t>
        </is>
      </c>
      <c r="G483" t="n">
        <v>1.4</v>
      </c>
      <c r="H483" t="n">
        <v>0</v>
      </c>
      <c r="I483" t="n">
        <v>0</v>
      </c>
      <c r="J483" t="n">
        <v>0</v>
      </c>
      <c r="K483" t="n">
        <v>0</v>
      </c>
      <c r="L483" t="n">
        <v>0</v>
      </c>
      <c r="M483" t="n">
        <v>0</v>
      </c>
      <c r="N483" t="n">
        <v>0</v>
      </c>
      <c r="O483" t="n">
        <v>0</v>
      </c>
      <c r="P483" t="n">
        <v>0</v>
      </c>
      <c r="Q483" t="n">
        <v>0</v>
      </c>
      <c r="R483" s="2" t="inlineStr"/>
    </row>
    <row r="484" ht="15" customHeight="1">
      <c r="A484" t="inlineStr">
        <is>
          <t>A 16753-2025</t>
        </is>
      </c>
      <c r="B484" s="1" t="n">
        <v>45754.56839120371</v>
      </c>
      <c r="C484" s="1" t="n">
        <v>45967</v>
      </c>
      <c r="D484" t="inlineStr">
        <is>
          <t>JÄMTLANDS LÄN</t>
        </is>
      </c>
      <c r="E484" t="inlineStr">
        <is>
          <t>ÖSTERSUND</t>
        </is>
      </c>
      <c r="G484" t="n">
        <v>0.5</v>
      </c>
      <c r="H484" t="n">
        <v>0</v>
      </c>
      <c r="I484" t="n">
        <v>0</v>
      </c>
      <c r="J484" t="n">
        <v>0</v>
      </c>
      <c r="K484" t="n">
        <v>0</v>
      </c>
      <c r="L484" t="n">
        <v>0</v>
      </c>
      <c r="M484" t="n">
        <v>0</v>
      </c>
      <c r="N484" t="n">
        <v>0</v>
      </c>
      <c r="O484" t="n">
        <v>0</v>
      </c>
      <c r="P484" t="n">
        <v>0</v>
      </c>
      <c r="Q484" t="n">
        <v>0</v>
      </c>
      <c r="R484" s="2" t="inlineStr"/>
    </row>
    <row r="485" ht="15" customHeight="1">
      <c r="A485" t="inlineStr">
        <is>
          <t>A 24403-2025</t>
        </is>
      </c>
      <c r="B485" s="1" t="n">
        <v>45797.65025462963</v>
      </c>
      <c r="C485" s="1" t="n">
        <v>45967</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43225-2025</t>
        </is>
      </c>
      <c r="B486" s="1" t="n">
        <v>45910.4900462963</v>
      </c>
      <c r="C486" s="1" t="n">
        <v>45967</v>
      </c>
      <c r="D486" t="inlineStr">
        <is>
          <t>JÄMTLANDS LÄN</t>
        </is>
      </c>
      <c r="E486" t="inlineStr">
        <is>
          <t>ÖSTERSUND</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24523-2025</t>
        </is>
      </c>
      <c r="B487" s="1" t="n">
        <v>45798.42108796296</v>
      </c>
      <c r="C487" s="1" t="n">
        <v>45967</v>
      </c>
      <c r="D487" t="inlineStr">
        <is>
          <t>JÄMTLANDS LÄN</t>
        </is>
      </c>
      <c r="E487" t="inlineStr">
        <is>
          <t>ÖSTERSUND</t>
        </is>
      </c>
      <c r="G487" t="n">
        <v>13.7</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45967</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60174-2022</t>
        </is>
      </c>
      <c r="B489" s="1" t="n">
        <v>44909.9640162037</v>
      </c>
      <c r="C489" s="1" t="n">
        <v>45967</v>
      </c>
      <c r="D489" t="inlineStr">
        <is>
          <t>JÄMTLANDS LÄN</t>
        </is>
      </c>
      <c r="E489" t="inlineStr">
        <is>
          <t>ÖSTERSUND</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44889.59378472222</v>
      </c>
      <c r="C490" s="1" t="n">
        <v>45967</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53802-2022</t>
        </is>
      </c>
      <c r="B491" s="1" t="n">
        <v>44875</v>
      </c>
      <c r="C491" s="1" t="n">
        <v>45967</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24568-2025</t>
        </is>
      </c>
      <c r="B492" s="1" t="n">
        <v>45798.46913194445</v>
      </c>
      <c r="C492" s="1" t="n">
        <v>45967</v>
      </c>
      <c r="D492" t="inlineStr">
        <is>
          <t>JÄMTLANDS LÄN</t>
        </is>
      </c>
      <c r="E492" t="inlineStr">
        <is>
          <t>ÖSTERSUND</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20634-2023</t>
        </is>
      </c>
      <c r="B493" s="1" t="n">
        <v>45057.9441087963</v>
      </c>
      <c r="C493" s="1" t="n">
        <v>45967</v>
      </c>
      <c r="D493" t="inlineStr">
        <is>
          <t>JÄMTLANDS LÄN</t>
        </is>
      </c>
      <c r="E493" t="inlineStr">
        <is>
          <t>ÖSTERSUND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53176-2024</t>
        </is>
      </c>
      <c r="B494" s="1" t="n">
        <v>45611.66655092593</v>
      </c>
      <c r="C494" s="1" t="n">
        <v>45967</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8423-2023</t>
        </is>
      </c>
      <c r="B495" s="1" t="n">
        <v>44977</v>
      </c>
      <c r="C495" s="1" t="n">
        <v>45967</v>
      </c>
      <c r="D495" t="inlineStr">
        <is>
          <t>JÄMTLANDS LÄN</t>
        </is>
      </c>
      <c r="E495" t="inlineStr">
        <is>
          <t>ÖSTERSUND</t>
        </is>
      </c>
      <c r="F495" t="inlineStr">
        <is>
          <t>Övriga Aktiebolag</t>
        </is>
      </c>
      <c r="G495" t="n">
        <v>53.1</v>
      </c>
      <c r="H495" t="n">
        <v>0</v>
      </c>
      <c r="I495" t="n">
        <v>0</v>
      </c>
      <c r="J495" t="n">
        <v>0</v>
      </c>
      <c r="K495" t="n">
        <v>0</v>
      </c>
      <c r="L495" t="n">
        <v>0</v>
      </c>
      <c r="M495" t="n">
        <v>0</v>
      </c>
      <c r="N495" t="n">
        <v>0</v>
      </c>
      <c r="O495" t="n">
        <v>0</v>
      </c>
      <c r="P495" t="n">
        <v>0</v>
      </c>
      <c r="Q495" t="n">
        <v>0</v>
      </c>
      <c r="R495" s="2" t="inlineStr"/>
    </row>
    <row r="496" ht="15" customHeight="1">
      <c r="A496" t="inlineStr">
        <is>
          <t>A 3749-2023</t>
        </is>
      </c>
      <c r="B496" s="1" t="n">
        <v>44949</v>
      </c>
      <c r="C496" s="1" t="n">
        <v>45967</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52297-2025</t>
        </is>
      </c>
      <c r="B497" s="1" t="n">
        <v>45953.61092592592</v>
      </c>
      <c r="C497" s="1" t="n">
        <v>45967</v>
      </c>
      <c r="D497" t="inlineStr">
        <is>
          <t>JÄMTLANDS LÄN</t>
        </is>
      </c>
      <c r="E497" t="inlineStr">
        <is>
          <t>ÖSTERSUND</t>
        </is>
      </c>
      <c r="G497" t="n">
        <v>2.3</v>
      </c>
      <c r="H497" t="n">
        <v>0</v>
      </c>
      <c r="I497" t="n">
        <v>0</v>
      </c>
      <c r="J497" t="n">
        <v>0</v>
      </c>
      <c r="K497" t="n">
        <v>0</v>
      </c>
      <c r="L497" t="n">
        <v>0</v>
      </c>
      <c r="M497" t="n">
        <v>0</v>
      </c>
      <c r="N497" t="n">
        <v>0</v>
      </c>
      <c r="O497" t="n">
        <v>0</v>
      </c>
      <c r="P497" t="n">
        <v>0</v>
      </c>
      <c r="Q497" t="n">
        <v>0</v>
      </c>
      <c r="R497" s="2" t="inlineStr"/>
    </row>
    <row r="498" ht="15" customHeight="1">
      <c r="A498" t="inlineStr">
        <is>
          <t>A 52286-2025</t>
        </is>
      </c>
      <c r="B498" s="1" t="n">
        <v>45953.58497685185</v>
      </c>
      <c r="C498" s="1" t="n">
        <v>45967</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64309-2023</t>
        </is>
      </c>
      <c r="B499" s="1" t="n">
        <v>45280</v>
      </c>
      <c r="C499" s="1" t="n">
        <v>45967</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24946-2025</t>
        </is>
      </c>
      <c r="B500" s="1" t="n">
        <v>45799.56515046296</v>
      </c>
      <c r="C500" s="1" t="n">
        <v>45967</v>
      </c>
      <c r="D500" t="inlineStr">
        <is>
          <t>JÄMTLANDS LÄN</t>
        </is>
      </c>
      <c r="E500" t="inlineStr">
        <is>
          <t>ÖSTERSUND</t>
        </is>
      </c>
      <c r="G500" t="n">
        <v>4.8</v>
      </c>
      <c r="H500" t="n">
        <v>0</v>
      </c>
      <c r="I500" t="n">
        <v>0</v>
      </c>
      <c r="J500" t="n">
        <v>0</v>
      </c>
      <c r="K500" t="n">
        <v>0</v>
      </c>
      <c r="L500" t="n">
        <v>0</v>
      </c>
      <c r="M500" t="n">
        <v>0</v>
      </c>
      <c r="N500" t="n">
        <v>0</v>
      </c>
      <c r="O500" t="n">
        <v>0</v>
      </c>
      <c r="P500" t="n">
        <v>0</v>
      </c>
      <c r="Q500" t="n">
        <v>0</v>
      </c>
      <c r="R500" s="2" t="inlineStr"/>
    </row>
    <row r="501" ht="15" customHeight="1">
      <c r="A501" t="inlineStr">
        <is>
          <t>A 27124-2023</t>
        </is>
      </c>
      <c r="B501" s="1" t="n">
        <v>45096</v>
      </c>
      <c r="C501" s="1" t="n">
        <v>45967</v>
      </c>
      <c r="D501" t="inlineStr">
        <is>
          <t>JÄMTLANDS LÄN</t>
        </is>
      </c>
      <c r="E501" t="inlineStr">
        <is>
          <t>ÖSTERSUND</t>
        </is>
      </c>
      <c r="G501" t="n">
        <v>1.9</v>
      </c>
      <c r="H501" t="n">
        <v>0</v>
      </c>
      <c r="I501" t="n">
        <v>0</v>
      </c>
      <c r="J501" t="n">
        <v>0</v>
      </c>
      <c r="K501" t="n">
        <v>0</v>
      </c>
      <c r="L501" t="n">
        <v>0</v>
      </c>
      <c r="M501" t="n">
        <v>0</v>
      </c>
      <c r="N501" t="n">
        <v>0</v>
      </c>
      <c r="O501" t="n">
        <v>0</v>
      </c>
      <c r="P501" t="n">
        <v>0</v>
      </c>
      <c r="Q501" t="n">
        <v>0</v>
      </c>
      <c r="R501" s="2" t="inlineStr"/>
    </row>
    <row r="502" ht="15" customHeight="1">
      <c r="A502" t="inlineStr">
        <is>
          <t>A 25210-2025</t>
        </is>
      </c>
      <c r="B502" s="1" t="n">
        <v>45800.46960648148</v>
      </c>
      <c r="C502" s="1" t="n">
        <v>45967</v>
      </c>
      <c r="D502" t="inlineStr">
        <is>
          <t>JÄMTLANDS LÄN</t>
        </is>
      </c>
      <c r="E502" t="inlineStr">
        <is>
          <t>ÖSTERSUND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25058-2025</t>
        </is>
      </c>
      <c r="B503" s="1" t="n">
        <v>45799.68418981481</v>
      </c>
      <c r="C503" s="1" t="n">
        <v>45967</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53714-2022</t>
        </is>
      </c>
      <c r="B504" s="1" t="n">
        <v>44880</v>
      </c>
      <c r="C504" s="1" t="n">
        <v>45967</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52247-2025</t>
        </is>
      </c>
      <c r="B505" s="1" t="n">
        <v>45953.47575231481</v>
      </c>
      <c r="C505" s="1" t="n">
        <v>45967</v>
      </c>
      <c r="D505" t="inlineStr">
        <is>
          <t>JÄMTLANDS LÄN</t>
        </is>
      </c>
      <c r="E505" t="inlineStr">
        <is>
          <t>ÖSTERSUND</t>
        </is>
      </c>
      <c r="G505" t="n">
        <v>8.4</v>
      </c>
      <c r="H505" t="n">
        <v>0</v>
      </c>
      <c r="I505" t="n">
        <v>0</v>
      </c>
      <c r="J505" t="n">
        <v>0</v>
      </c>
      <c r="K505" t="n">
        <v>0</v>
      </c>
      <c r="L505" t="n">
        <v>0</v>
      </c>
      <c r="M505" t="n">
        <v>0</v>
      </c>
      <c r="N505" t="n">
        <v>0</v>
      </c>
      <c r="O505" t="n">
        <v>0</v>
      </c>
      <c r="P505" t="n">
        <v>0</v>
      </c>
      <c r="Q505" t="n">
        <v>0</v>
      </c>
      <c r="R505" s="2" t="inlineStr"/>
    </row>
    <row r="506" ht="15" customHeight="1">
      <c r="A506" t="inlineStr">
        <is>
          <t>A 43411-2025</t>
        </is>
      </c>
      <c r="B506" s="1" t="n">
        <v>45911.40074074074</v>
      </c>
      <c r="C506" s="1" t="n">
        <v>45967</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52280-2025</t>
        </is>
      </c>
      <c r="B507" s="1" t="n">
        <v>45953.56976851852</v>
      </c>
      <c r="C507" s="1" t="n">
        <v>45967</v>
      </c>
      <c r="D507" t="inlineStr">
        <is>
          <t>JÄMTLANDS LÄN</t>
        </is>
      </c>
      <c r="E507" t="inlineStr">
        <is>
          <t>ÖSTERSUND</t>
        </is>
      </c>
      <c r="G507" t="n">
        <v>1.6</v>
      </c>
      <c r="H507" t="n">
        <v>0</v>
      </c>
      <c r="I507" t="n">
        <v>0</v>
      </c>
      <c r="J507" t="n">
        <v>0</v>
      </c>
      <c r="K507" t="n">
        <v>0</v>
      </c>
      <c r="L507" t="n">
        <v>0</v>
      </c>
      <c r="M507" t="n">
        <v>0</v>
      </c>
      <c r="N507" t="n">
        <v>0</v>
      </c>
      <c r="O507" t="n">
        <v>0</v>
      </c>
      <c r="P507" t="n">
        <v>0</v>
      </c>
      <c r="Q507" t="n">
        <v>0</v>
      </c>
      <c r="R507" s="2" t="inlineStr"/>
    </row>
    <row r="508" ht="15" customHeight="1">
      <c r="A508" t="inlineStr">
        <is>
          <t>A 25252-2025</t>
        </is>
      </c>
      <c r="B508" s="1" t="n">
        <v>45800.50355324074</v>
      </c>
      <c r="C508" s="1" t="n">
        <v>45967</v>
      </c>
      <c r="D508" t="inlineStr">
        <is>
          <t>JÄMTLANDS LÄN</t>
        </is>
      </c>
      <c r="E508" t="inlineStr">
        <is>
          <t>ÖSTERSUND</t>
        </is>
      </c>
      <c r="G508" t="n">
        <v>2.7</v>
      </c>
      <c r="H508" t="n">
        <v>0</v>
      </c>
      <c r="I508" t="n">
        <v>0</v>
      </c>
      <c r="J508" t="n">
        <v>0</v>
      </c>
      <c r="K508" t="n">
        <v>0</v>
      </c>
      <c r="L508" t="n">
        <v>0</v>
      </c>
      <c r="M508" t="n">
        <v>0</v>
      </c>
      <c r="N508" t="n">
        <v>0</v>
      </c>
      <c r="O508" t="n">
        <v>0</v>
      </c>
      <c r="P508" t="n">
        <v>0</v>
      </c>
      <c r="Q508" t="n">
        <v>0</v>
      </c>
      <c r="R508" s="2" t="inlineStr"/>
    </row>
    <row r="509" ht="15" customHeight="1">
      <c r="A509" t="inlineStr">
        <is>
          <t>A 43548-2025</t>
        </is>
      </c>
      <c r="B509" s="1" t="n">
        <v>45911.61579861111</v>
      </c>
      <c r="C509" s="1" t="n">
        <v>45967</v>
      </c>
      <c r="D509" t="inlineStr">
        <is>
          <t>JÄMTLANDS LÄN</t>
        </is>
      </c>
      <c r="E509" t="inlineStr">
        <is>
          <t>ÖSTERSUND</t>
        </is>
      </c>
      <c r="F509" t="inlineStr">
        <is>
          <t>SCA</t>
        </is>
      </c>
      <c r="G509" t="n">
        <v>17.3</v>
      </c>
      <c r="H509" t="n">
        <v>0</v>
      </c>
      <c r="I509" t="n">
        <v>0</v>
      </c>
      <c r="J509" t="n">
        <v>0</v>
      </c>
      <c r="K509" t="n">
        <v>0</v>
      </c>
      <c r="L509" t="n">
        <v>0</v>
      </c>
      <c r="M509" t="n">
        <v>0</v>
      </c>
      <c r="N509" t="n">
        <v>0</v>
      </c>
      <c r="O509" t="n">
        <v>0</v>
      </c>
      <c r="P509" t="n">
        <v>0</v>
      </c>
      <c r="Q509" t="n">
        <v>0</v>
      </c>
      <c r="R509" s="2" t="inlineStr"/>
    </row>
    <row r="510" ht="15" customHeight="1">
      <c r="A510" t="inlineStr">
        <is>
          <t>A 43519-2025</t>
        </is>
      </c>
      <c r="B510" s="1" t="n">
        <v>45911.57349537037</v>
      </c>
      <c r="C510" s="1" t="n">
        <v>45967</v>
      </c>
      <c r="D510" t="inlineStr">
        <is>
          <t>JÄMTLANDS LÄN</t>
        </is>
      </c>
      <c r="E510" t="inlineStr">
        <is>
          <t>ÖSTERSUND</t>
        </is>
      </c>
      <c r="F510" t="inlineStr">
        <is>
          <t>SCA</t>
        </is>
      </c>
      <c r="G510" t="n">
        <v>14.4</v>
      </c>
      <c r="H510" t="n">
        <v>0</v>
      </c>
      <c r="I510" t="n">
        <v>0</v>
      </c>
      <c r="J510" t="n">
        <v>0</v>
      </c>
      <c r="K510" t="n">
        <v>0</v>
      </c>
      <c r="L510" t="n">
        <v>0</v>
      </c>
      <c r="M510" t="n">
        <v>0</v>
      </c>
      <c r="N510" t="n">
        <v>0</v>
      </c>
      <c r="O510" t="n">
        <v>0</v>
      </c>
      <c r="P510" t="n">
        <v>0</v>
      </c>
      <c r="Q510" t="n">
        <v>0</v>
      </c>
      <c r="R510" s="2" t="inlineStr"/>
    </row>
    <row r="511" ht="15" customHeight="1">
      <c r="A511" t="inlineStr">
        <is>
          <t>A 25059-2025</t>
        </is>
      </c>
      <c r="B511" s="1" t="n">
        <v>45799.69116898148</v>
      </c>
      <c r="C511" s="1" t="n">
        <v>45967</v>
      </c>
      <c r="D511" t="inlineStr">
        <is>
          <t>JÄMTLANDS LÄN</t>
        </is>
      </c>
      <c r="E511" t="inlineStr">
        <is>
          <t>ÖSTERSUND</t>
        </is>
      </c>
      <c r="G511" t="n">
        <v>2.7</v>
      </c>
      <c r="H511" t="n">
        <v>0</v>
      </c>
      <c r="I511" t="n">
        <v>0</v>
      </c>
      <c r="J511" t="n">
        <v>0</v>
      </c>
      <c r="K511" t="n">
        <v>0</v>
      </c>
      <c r="L511" t="n">
        <v>0</v>
      </c>
      <c r="M511" t="n">
        <v>0</v>
      </c>
      <c r="N511" t="n">
        <v>0</v>
      </c>
      <c r="O511" t="n">
        <v>0</v>
      </c>
      <c r="P511" t="n">
        <v>0</v>
      </c>
      <c r="Q511" t="n">
        <v>0</v>
      </c>
      <c r="R511" s="2" t="inlineStr"/>
    </row>
    <row r="512" ht="15" customHeight="1">
      <c r="A512" t="inlineStr">
        <is>
          <t>A 52620-2025</t>
        </is>
      </c>
      <c r="B512" s="1" t="n">
        <v>45954.68207175926</v>
      </c>
      <c r="C512" s="1" t="n">
        <v>45967</v>
      </c>
      <c r="D512" t="inlineStr">
        <is>
          <t>JÄMTLANDS LÄN</t>
        </is>
      </c>
      <c r="E512" t="inlineStr">
        <is>
          <t>ÖSTERSUND</t>
        </is>
      </c>
      <c r="G512" t="n">
        <v>4.6</v>
      </c>
      <c r="H512" t="n">
        <v>0</v>
      </c>
      <c r="I512" t="n">
        <v>0</v>
      </c>
      <c r="J512" t="n">
        <v>0</v>
      </c>
      <c r="K512" t="n">
        <v>0</v>
      </c>
      <c r="L512" t="n">
        <v>0</v>
      </c>
      <c r="M512" t="n">
        <v>0</v>
      </c>
      <c r="N512" t="n">
        <v>0</v>
      </c>
      <c r="O512" t="n">
        <v>0</v>
      </c>
      <c r="P512" t="n">
        <v>0</v>
      </c>
      <c r="Q512" t="n">
        <v>0</v>
      </c>
      <c r="R512" s="2" t="inlineStr"/>
    </row>
    <row r="513" ht="15" customHeight="1">
      <c r="A513" t="inlineStr">
        <is>
          <t>A 60767-2022</t>
        </is>
      </c>
      <c r="B513" s="1" t="n">
        <v>44914.35599537037</v>
      </c>
      <c r="C513" s="1" t="n">
        <v>45967</v>
      </c>
      <c r="D513" t="inlineStr">
        <is>
          <t>JÄMTLANDS LÄN</t>
        </is>
      </c>
      <c r="E513" t="inlineStr">
        <is>
          <t>ÖSTERSUND</t>
        </is>
      </c>
      <c r="G513" t="n">
        <v>1.6</v>
      </c>
      <c r="H513" t="n">
        <v>0</v>
      </c>
      <c r="I513" t="n">
        <v>0</v>
      </c>
      <c r="J513" t="n">
        <v>0</v>
      </c>
      <c r="K513" t="n">
        <v>0</v>
      </c>
      <c r="L513" t="n">
        <v>0</v>
      </c>
      <c r="M513" t="n">
        <v>0</v>
      </c>
      <c r="N513" t="n">
        <v>0</v>
      </c>
      <c r="O513" t="n">
        <v>0</v>
      </c>
      <c r="P513" t="n">
        <v>0</v>
      </c>
      <c r="Q513" t="n">
        <v>0</v>
      </c>
      <c r="R513" s="2" t="inlineStr"/>
    </row>
    <row r="514" ht="15" customHeight="1">
      <c r="A514" t="inlineStr">
        <is>
          <t>A 25069-2025</t>
        </is>
      </c>
      <c r="B514" s="1" t="n">
        <v>45799.7372337963</v>
      </c>
      <c r="C514" s="1" t="n">
        <v>45967</v>
      </c>
      <c r="D514" t="inlineStr">
        <is>
          <t>JÄMTLANDS LÄN</t>
        </is>
      </c>
      <c r="E514" t="inlineStr">
        <is>
          <t>ÖSTERSUND</t>
        </is>
      </c>
      <c r="G514" t="n">
        <v>3.5</v>
      </c>
      <c r="H514" t="n">
        <v>0</v>
      </c>
      <c r="I514" t="n">
        <v>0</v>
      </c>
      <c r="J514" t="n">
        <v>0</v>
      </c>
      <c r="K514" t="n">
        <v>0</v>
      </c>
      <c r="L514" t="n">
        <v>0</v>
      </c>
      <c r="M514" t="n">
        <v>0</v>
      </c>
      <c r="N514" t="n">
        <v>0</v>
      </c>
      <c r="O514" t="n">
        <v>0</v>
      </c>
      <c r="P514" t="n">
        <v>0</v>
      </c>
      <c r="Q514" t="n">
        <v>0</v>
      </c>
      <c r="R514" s="2" t="inlineStr"/>
    </row>
    <row r="515" ht="15" customHeight="1">
      <c r="A515" t="inlineStr">
        <is>
          <t>A 25572-2025</t>
        </is>
      </c>
      <c r="B515" s="1" t="n">
        <v>45803</v>
      </c>
      <c r="C515" s="1" t="n">
        <v>45967</v>
      </c>
      <c r="D515" t="inlineStr">
        <is>
          <t>JÄMTLANDS LÄN</t>
        </is>
      </c>
      <c r="E515" t="inlineStr">
        <is>
          <t>ÖSTERSUND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61530-2023</t>
        </is>
      </c>
      <c r="B516" s="1" t="n">
        <v>45261</v>
      </c>
      <c r="C516" s="1" t="n">
        <v>45967</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26144-2025</t>
        </is>
      </c>
      <c r="B517" s="1" t="n">
        <v>45805.42827546296</v>
      </c>
      <c r="C517" s="1" t="n">
        <v>45967</v>
      </c>
      <c r="D517" t="inlineStr">
        <is>
          <t>JÄMTLANDS LÄN</t>
        </is>
      </c>
      <c r="E517" t="inlineStr">
        <is>
          <t>ÖSTERSUND</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47357-2024</t>
        </is>
      </c>
      <c r="B518" s="1" t="n">
        <v>45587.42835648148</v>
      </c>
      <c r="C518" s="1" t="n">
        <v>45967</v>
      </c>
      <c r="D518" t="inlineStr">
        <is>
          <t>JÄMTLANDS LÄN</t>
        </is>
      </c>
      <c r="E518" t="inlineStr">
        <is>
          <t>ÖSTERSUND</t>
        </is>
      </c>
      <c r="G518" t="n">
        <v>2.4</v>
      </c>
      <c r="H518" t="n">
        <v>0</v>
      </c>
      <c r="I518" t="n">
        <v>0</v>
      </c>
      <c r="J518" t="n">
        <v>0</v>
      </c>
      <c r="K518" t="n">
        <v>0</v>
      </c>
      <c r="L518" t="n">
        <v>0</v>
      </c>
      <c r="M518" t="n">
        <v>0</v>
      </c>
      <c r="N518" t="n">
        <v>0</v>
      </c>
      <c r="O518" t="n">
        <v>0</v>
      </c>
      <c r="P518" t="n">
        <v>0</v>
      </c>
      <c r="Q518" t="n">
        <v>0</v>
      </c>
      <c r="R518" s="2" t="inlineStr"/>
    </row>
    <row r="519" ht="15" customHeight="1">
      <c r="A519" t="inlineStr">
        <is>
          <t>A 26373-2025</t>
        </is>
      </c>
      <c r="B519" s="1" t="n">
        <v>45806.40677083333</v>
      </c>
      <c r="C519" s="1" t="n">
        <v>45967</v>
      </c>
      <c r="D519" t="inlineStr">
        <is>
          <t>JÄMTLANDS LÄN</t>
        </is>
      </c>
      <c r="E519" t="inlineStr">
        <is>
          <t>ÖSTERSUND</t>
        </is>
      </c>
      <c r="G519" t="n">
        <v>3.6</v>
      </c>
      <c r="H519" t="n">
        <v>0</v>
      </c>
      <c r="I519" t="n">
        <v>0</v>
      </c>
      <c r="J519" t="n">
        <v>0</v>
      </c>
      <c r="K519" t="n">
        <v>0</v>
      </c>
      <c r="L519" t="n">
        <v>0</v>
      </c>
      <c r="M519" t="n">
        <v>0</v>
      </c>
      <c r="N519" t="n">
        <v>0</v>
      </c>
      <c r="O519" t="n">
        <v>0</v>
      </c>
      <c r="P519" t="n">
        <v>0</v>
      </c>
      <c r="Q519" t="n">
        <v>0</v>
      </c>
      <c r="R519" s="2" t="inlineStr"/>
    </row>
    <row r="520" ht="15" customHeight="1">
      <c r="A520" t="inlineStr">
        <is>
          <t>A 52975-2025</t>
        </is>
      </c>
      <c r="B520" s="1" t="n">
        <v>45957.67876157408</v>
      </c>
      <c r="C520" s="1" t="n">
        <v>45967</v>
      </c>
      <c r="D520" t="inlineStr">
        <is>
          <t>JÄMTLANDS LÄN</t>
        </is>
      </c>
      <c r="E520" t="inlineStr">
        <is>
          <t>ÖSTERSUND</t>
        </is>
      </c>
      <c r="F520" t="inlineStr">
        <is>
          <t>SCA</t>
        </is>
      </c>
      <c r="G520" t="n">
        <v>7.5</v>
      </c>
      <c r="H520" t="n">
        <v>0</v>
      </c>
      <c r="I520" t="n">
        <v>0</v>
      </c>
      <c r="J520" t="n">
        <v>0</v>
      </c>
      <c r="K520" t="n">
        <v>0</v>
      </c>
      <c r="L520" t="n">
        <v>0</v>
      </c>
      <c r="M520" t="n">
        <v>0</v>
      </c>
      <c r="N520" t="n">
        <v>0</v>
      </c>
      <c r="O520" t="n">
        <v>0</v>
      </c>
      <c r="P520" t="n">
        <v>0</v>
      </c>
      <c r="Q520" t="n">
        <v>0</v>
      </c>
      <c r="R520" s="2" t="inlineStr"/>
    </row>
    <row r="521" ht="15" customHeight="1">
      <c r="A521" t="inlineStr">
        <is>
          <t>A 5135-2025</t>
        </is>
      </c>
      <c r="B521" s="1" t="n">
        <v>45691</v>
      </c>
      <c r="C521" s="1" t="n">
        <v>45967</v>
      </c>
      <c r="D521" t="inlineStr">
        <is>
          <t>JÄMTLANDS LÄN</t>
        </is>
      </c>
      <c r="E521" t="inlineStr">
        <is>
          <t>ÖSTERSUND</t>
        </is>
      </c>
      <c r="F521" t="inlineStr">
        <is>
          <t>Övriga Aktiebolag</t>
        </is>
      </c>
      <c r="G521" t="n">
        <v>126.9</v>
      </c>
      <c r="H521" t="n">
        <v>0</v>
      </c>
      <c r="I521" t="n">
        <v>0</v>
      </c>
      <c r="J521" t="n">
        <v>0</v>
      </c>
      <c r="K521" t="n">
        <v>0</v>
      </c>
      <c r="L521" t="n">
        <v>0</v>
      </c>
      <c r="M521" t="n">
        <v>0</v>
      </c>
      <c r="N521" t="n">
        <v>0</v>
      </c>
      <c r="O521" t="n">
        <v>0</v>
      </c>
      <c r="P521" t="n">
        <v>0</v>
      </c>
      <c r="Q521" t="n">
        <v>0</v>
      </c>
      <c r="R521" s="2" t="inlineStr"/>
    </row>
    <row r="522" ht="15" customHeight="1">
      <c r="A522" t="inlineStr">
        <is>
          <t>A 1322-2021</t>
        </is>
      </c>
      <c r="B522" s="1" t="n">
        <v>44208</v>
      </c>
      <c r="C522" s="1" t="n">
        <v>45967</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39510-2024</t>
        </is>
      </c>
      <c r="B523" s="1" t="n">
        <v>45551.67761574074</v>
      </c>
      <c r="C523" s="1" t="n">
        <v>45967</v>
      </c>
      <c r="D523" t="inlineStr">
        <is>
          <t>JÄMTLANDS LÄN</t>
        </is>
      </c>
      <c r="E523" t="inlineStr">
        <is>
          <t>ÖSTERSUND</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14118-2025</t>
        </is>
      </c>
      <c r="B524" s="1" t="n">
        <v>45740.46325231482</v>
      </c>
      <c r="C524" s="1" t="n">
        <v>45967</v>
      </c>
      <c r="D524" t="inlineStr">
        <is>
          <t>JÄMTLANDS LÄN</t>
        </is>
      </c>
      <c r="E524" t="inlineStr">
        <is>
          <t>ÖSTERSUND</t>
        </is>
      </c>
      <c r="G524" t="n">
        <v>3.6</v>
      </c>
      <c r="H524" t="n">
        <v>0</v>
      </c>
      <c r="I524" t="n">
        <v>0</v>
      </c>
      <c r="J524" t="n">
        <v>0</v>
      </c>
      <c r="K524" t="n">
        <v>0</v>
      </c>
      <c r="L524" t="n">
        <v>0</v>
      </c>
      <c r="M524" t="n">
        <v>0</v>
      </c>
      <c r="N524" t="n">
        <v>0</v>
      </c>
      <c r="O524" t="n">
        <v>0</v>
      </c>
      <c r="P524" t="n">
        <v>0</v>
      </c>
      <c r="Q524" t="n">
        <v>0</v>
      </c>
      <c r="R524" s="2" t="inlineStr"/>
    </row>
    <row r="525" ht="15" customHeight="1">
      <c r="A525" t="inlineStr">
        <is>
          <t>A 10064-2024</t>
        </is>
      </c>
      <c r="B525" s="1" t="n">
        <v>45364.3874074074</v>
      </c>
      <c r="C525" s="1" t="n">
        <v>45967</v>
      </c>
      <c r="D525" t="inlineStr">
        <is>
          <t>JÄMTLANDS LÄN</t>
        </is>
      </c>
      <c r="E525" t="inlineStr">
        <is>
          <t>ÖSTERSUND</t>
        </is>
      </c>
      <c r="G525" t="n">
        <v>13.9</v>
      </c>
      <c r="H525" t="n">
        <v>0</v>
      </c>
      <c r="I525" t="n">
        <v>0</v>
      </c>
      <c r="J525" t="n">
        <v>0</v>
      </c>
      <c r="K525" t="n">
        <v>0</v>
      </c>
      <c r="L525" t="n">
        <v>0</v>
      </c>
      <c r="M525" t="n">
        <v>0</v>
      </c>
      <c r="N525" t="n">
        <v>0</v>
      </c>
      <c r="O525" t="n">
        <v>0</v>
      </c>
      <c r="P525" t="n">
        <v>0</v>
      </c>
      <c r="Q525" t="n">
        <v>0</v>
      </c>
      <c r="R525" s="2" t="inlineStr"/>
    </row>
    <row r="526" ht="15" customHeight="1">
      <c r="A526" t="inlineStr">
        <is>
          <t>A 3610-2024</t>
        </is>
      </c>
      <c r="B526" s="1" t="n">
        <v>45320.92060185185</v>
      </c>
      <c r="C526" s="1" t="n">
        <v>45967</v>
      </c>
      <c r="D526" t="inlineStr">
        <is>
          <t>JÄMTLANDS LÄN</t>
        </is>
      </c>
      <c r="E526" t="inlineStr">
        <is>
          <t>ÖSTERSUND</t>
        </is>
      </c>
      <c r="G526" t="n">
        <v>6.2</v>
      </c>
      <c r="H526" t="n">
        <v>0</v>
      </c>
      <c r="I526" t="n">
        <v>0</v>
      </c>
      <c r="J526" t="n">
        <v>0</v>
      </c>
      <c r="K526" t="n">
        <v>0</v>
      </c>
      <c r="L526" t="n">
        <v>0</v>
      </c>
      <c r="M526" t="n">
        <v>0</v>
      </c>
      <c r="N526" t="n">
        <v>0</v>
      </c>
      <c r="O526" t="n">
        <v>0</v>
      </c>
      <c r="P526" t="n">
        <v>0</v>
      </c>
      <c r="Q526" t="n">
        <v>0</v>
      </c>
      <c r="R526" s="2" t="inlineStr"/>
    </row>
    <row r="527" ht="15" customHeight="1">
      <c r="A527" t="inlineStr">
        <is>
          <t>A 55678-2023</t>
        </is>
      </c>
      <c r="B527" s="1" t="n">
        <v>45239.33032407407</v>
      </c>
      <c r="C527" s="1" t="n">
        <v>45967</v>
      </c>
      <c r="D527" t="inlineStr">
        <is>
          <t>JÄMTLANDS LÄN</t>
        </is>
      </c>
      <c r="E527" t="inlineStr">
        <is>
          <t>ÖSTERSUND</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26492-2025</t>
        </is>
      </c>
      <c r="B528" s="1" t="n">
        <v>45807</v>
      </c>
      <c r="C528" s="1" t="n">
        <v>45967</v>
      </c>
      <c r="D528" t="inlineStr">
        <is>
          <t>JÄMTLANDS LÄN</t>
        </is>
      </c>
      <c r="E528" t="inlineStr">
        <is>
          <t>ÖSTERSUND</t>
        </is>
      </c>
      <c r="G528" t="n">
        <v>7</v>
      </c>
      <c r="H528" t="n">
        <v>0</v>
      </c>
      <c r="I528" t="n">
        <v>0</v>
      </c>
      <c r="J528" t="n">
        <v>0</v>
      </c>
      <c r="K528" t="n">
        <v>0</v>
      </c>
      <c r="L528" t="n">
        <v>0</v>
      </c>
      <c r="M528" t="n">
        <v>0</v>
      </c>
      <c r="N528" t="n">
        <v>0</v>
      </c>
      <c r="O528" t="n">
        <v>0</v>
      </c>
      <c r="P528" t="n">
        <v>0</v>
      </c>
      <c r="Q528" t="n">
        <v>0</v>
      </c>
      <c r="R528" s="2" t="inlineStr"/>
    </row>
    <row r="529" ht="15" customHeight="1">
      <c r="A529" t="inlineStr">
        <is>
          <t>A 26500-2025</t>
        </is>
      </c>
      <c r="B529" s="1" t="n">
        <v>45807</v>
      </c>
      <c r="C529" s="1" t="n">
        <v>45967</v>
      </c>
      <c r="D529" t="inlineStr">
        <is>
          <t>JÄMTLANDS LÄN</t>
        </is>
      </c>
      <c r="E529" t="inlineStr">
        <is>
          <t>ÖSTERSUND</t>
        </is>
      </c>
      <c r="G529" t="n">
        <v>1.7</v>
      </c>
      <c r="H529" t="n">
        <v>0</v>
      </c>
      <c r="I529" t="n">
        <v>0</v>
      </c>
      <c r="J529" t="n">
        <v>0</v>
      </c>
      <c r="K529" t="n">
        <v>0</v>
      </c>
      <c r="L529" t="n">
        <v>0</v>
      </c>
      <c r="M529" t="n">
        <v>0</v>
      </c>
      <c r="N529" t="n">
        <v>0</v>
      </c>
      <c r="O529" t="n">
        <v>0</v>
      </c>
      <c r="P529" t="n">
        <v>0</v>
      </c>
      <c r="Q529" t="n">
        <v>0</v>
      </c>
      <c r="R529" s="2" t="inlineStr"/>
    </row>
    <row r="530" ht="15" customHeight="1">
      <c r="A530" t="inlineStr">
        <is>
          <t>A 23563-2022</t>
        </is>
      </c>
      <c r="B530" s="1" t="n">
        <v>44721.47241898148</v>
      </c>
      <c r="C530" s="1" t="n">
        <v>45967</v>
      </c>
      <c r="D530" t="inlineStr">
        <is>
          <t>JÄMTLANDS LÄN</t>
        </is>
      </c>
      <c r="E530" t="inlineStr">
        <is>
          <t>ÖSTERSUND</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53380-2023</t>
        </is>
      </c>
      <c r="B531" s="1" t="n">
        <v>45223</v>
      </c>
      <c r="C531" s="1" t="n">
        <v>45967</v>
      </c>
      <c r="D531" t="inlineStr">
        <is>
          <t>JÄMTLANDS LÄN</t>
        </is>
      </c>
      <c r="E531" t="inlineStr">
        <is>
          <t>ÖSTERSUND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26587-2025</t>
        </is>
      </c>
      <c r="B532" s="1" t="n">
        <v>45807.75076388889</v>
      </c>
      <c r="C532" s="1" t="n">
        <v>45967</v>
      </c>
      <c r="D532" t="inlineStr">
        <is>
          <t>JÄMTLANDS LÄN</t>
        </is>
      </c>
      <c r="E532" t="inlineStr">
        <is>
          <t>ÖSTERSUND</t>
        </is>
      </c>
      <c r="G532" t="n">
        <v>0.5</v>
      </c>
      <c r="H532" t="n">
        <v>0</v>
      </c>
      <c r="I532" t="n">
        <v>0</v>
      </c>
      <c r="J532" t="n">
        <v>0</v>
      </c>
      <c r="K532" t="n">
        <v>0</v>
      </c>
      <c r="L532" t="n">
        <v>0</v>
      </c>
      <c r="M532" t="n">
        <v>0</v>
      </c>
      <c r="N532" t="n">
        <v>0</v>
      </c>
      <c r="O532" t="n">
        <v>0</v>
      </c>
      <c r="P532" t="n">
        <v>0</v>
      </c>
      <c r="Q532" t="n">
        <v>0</v>
      </c>
      <c r="R532" s="2" t="inlineStr"/>
    </row>
    <row r="533" ht="15" customHeight="1">
      <c r="A533" t="inlineStr">
        <is>
          <t>A 25535-2023</t>
        </is>
      </c>
      <c r="B533" s="1" t="n">
        <v>45089.54944444444</v>
      </c>
      <c r="C533" s="1" t="n">
        <v>45967</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44446-2025</t>
        </is>
      </c>
      <c r="B534" s="1" t="n">
        <v>45916.59773148148</v>
      </c>
      <c r="C534" s="1" t="n">
        <v>45967</v>
      </c>
      <c r="D534" t="inlineStr">
        <is>
          <t>JÄMTLANDS LÄN</t>
        </is>
      </c>
      <c r="E534" t="inlineStr">
        <is>
          <t>ÖSTERSUND</t>
        </is>
      </c>
      <c r="G534" t="n">
        <v>1.9</v>
      </c>
      <c r="H534" t="n">
        <v>0</v>
      </c>
      <c r="I534" t="n">
        <v>0</v>
      </c>
      <c r="J534" t="n">
        <v>0</v>
      </c>
      <c r="K534" t="n">
        <v>0</v>
      </c>
      <c r="L534" t="n">
        <v>0</v>
      </c>
      <c r="M534" t="n">
        <v>0</v>
      </c>
      <c r="N534" t="n">
        <v>0</v>
      </c>
      <c r="O534" t="n">
        <v>0</v>
      </c>
      <c r="P534" t="n">
        <v>0</v>
      </c>
      <c r="Q534" t="n">
        <v>0</v>
      </c>
      <c r="R534" s="2" t="inlineStr"/>
    </row>
    <row r="535" ht="15" customHeight="1">
      <c r="A535" t="inlineStr">
        <is>
          <t>A 52935-2025</t>
        </is>
      </c>
      <c r="B535" s="1" t="n">
        <v>45957.62978009259</v>
      </c>
      <c r="C535" s="1" t="n">
        <v>45967</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6048-2024</t>
        </is>
      </c>
      <c r="B536" s="1" t="n">
        <v>45336</v>
      </c>
      <c r="C536" s="1" t="n">
        <v>45967</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44429-2025</t>
        </is>
      </c>
      <c r="B537" s="1" t="n">
        <v>45916.57010416667</v>
      </c>
      <c r="C537" s="1" t="n">
        <v>45967</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64645-2021</t>
        </is>
      </c>
      <c r="B538" s="1" t="n">
        <v>44511.94629629629</v>
      </c>
      <c r="C538" s="1" t="n">
        <v>45967</v>
      </c>
      <c r="D538" t="inlineStr">
        <is>
          <t>JÄMTLANDS LÄN</t>
        </is>
      </c>
      <c r="E538" t="inlineStr">
        <is>
          <t>ÖSTERSUND</t>
        </is>
      </c>
      <c r="G538" t="n">
        <v>3.2</v>
      </c>
      <c r="H538" t="n">
        <v>0</v>
      </c>
      <c r="I538" t="n">
        <v>0</v>
      </c>
      <c r="J538" t="n">
        <v>0</v>
      </c>
      <c r="K538" t="n">
        <v>0</v>
      </c>
      <c r="L538" t="n">
        <v>0</v>
      </c>
      <c r="M538" t="n">
        <v>0</v>
      </c>
      <c r="N538" t="n">
        <v>0</v>
      </c>
      <c r="O538" t="n">
        <v>0</v>
      </c>
      <c r="P538" t="n">
        <v>0</v>
      </c>
      <c r="Q538" t="n">
        <v>0</v>
      </c>
      <c r="R538" s="2" t="inlineStr"/>
    </row>
    <row r="539" ht="15" customHeight="1">
      <c r="A539" t="inlineStr">
        <is>
          <t>A 53054-2025</t>
        </is>
      </c>
      <c r="B539" s="1" t="n">
        <v>45958.36498842593</v>
      </c>
      <c r="C539" s="1" t="n">
        <v>45967</v>
      </c>
      <c r="D539" t="inlineStr">
        <is>
          <t>JÄMTLANDS LÄN</t>
        </is>
      </c>
      <c r="E539" t="inlineStr">
        <is>
          <t>ÖSTERSUND</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53057-2025</t>
        </is>
      </c>
      <c r="B540" s="1" t="n">
        <v>45958.36537037037</v>
      </c>
      <c r="C540" s="1" t="n">
        <v>45967</v>
      </c>
      <c r="D540" t="inlineStr">
        <is>
          <t>JÄMTLANDS LÄN</t>
        </is>
      </c>
      <c r="E540" t="inlineStr">
        <is>
          <t>ÖSTERSUND</t>
        </is>
      </c>
      <c r="F540" t="inlineStr">
        <is>
          <t>SCA</t>
        </is>
      </c>
      <c r="G540" t="n">
        <v>47.8</v>
      </c>
      <c r="H540" t="n">
        <v>0</v>
      </c>
      <c r="I540" t="n">
        <v>0</v>
      </c>
      <c r="J540" t="n">
        <v>0</v>
      </c>
      <c r="K540" t="n">
        <v>0</v>
      </c>
      <c r="L540" t="n">
        <v>0</v>
      </c>
      <c r="M540" t="n">
        <v>0</v>
      </c>
      <c r="N540" t="n">
        <v>0</v>
      </c>
      <c r="O540" t="n">
        <v>0</v>
      </c>
      <c r="P540" t="n">
        <v>0</v>
      </c>
      <c r="Q540" t="n">
        <v>0</v>
      </c>
      <c r="R540" s="2" t="inlineStr"/>
    </row>
    <row r="541" ht="15" customHeight="1">
      <c r="A541" t="inlineStr">
        <is>
          <t>A 54913-2024</t>
        </is>
      </c>
      <c r="B541" s="1" t="n">
        <v>45618.6917824074</v>
      </c>
      <c r="C541" s="1" t="n">
        <v>45967</v>
      </c>
      <c r="D541" t="inlineStr">
        <is>
          <t>JÄMTLANDS LÄN</t>
        </is>
      </c>
      <c r="E541" t="inlineStr">
        <is>
          <t>ÖSTERSUND</t>
        </is>
      </c>
      <c r="G541" t="n">
        <v>4.7</v>
      </c>
      <c r="H541" t="n">
        <v>0</v>
      </c>
      <c r="I541" t="n">
        <v>0</v>
      </c>
      <c r="J541" t="n">
        <v>0</v>
      </c>
      <c r="K541" t="n">
        <v>0</v>
      </c>
      <c r="L541" t="n">
        <v>0</v>
      </c>
      <c r="M541" t="n">
        <v>0</v>
      </c>
      <c r="N541" t="n">
        <v>0</v>
      </c>
      <c r="O541" t="n">
        <v>0</v>
      </c>
      <c r="P541" t="n">
        <v>0</v>
      </c>
      <c r="Q541" t="n">
        <v>0</v>
      </c>
      <c r="R541" s="2" t="inlineStr"/>
    </row>
    <row r="542" ht="15" customHeight="1">
      <c r="A542" t="inlineStr">
        <is>
          <t>A 50218-2024</t>
        </is>
      </c>
      <c r="B542" s="1" t="n">
        <v>45600.53160879629</v>
      </c>
      <c r="C542" s="1" t="n">
        <v>45967</v>
      </c>
      <c r="D542" t="inlineStr">
        <is>
          <t>JÄMTLANDS LÄN</t>
        </is>
      </c>
      <c r="E542" t="inlineStr">
        <is>
          <t>ÖSTERSUND</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51908-2025</t>
        </is>
      </c>
      <c r="B543" s="1" t="n">
        <v>45952.46650462963</v>
      </c>
      <c r="C543" s="1" t="n">
        <v>45967</v>
      </c>
      <c r="D543" t="inlineStr">
        <is>
          <t>JÄMTLANDS LÄN</t>
        </is>
      </c>
      <c r="E543" t="inlineStr">
        <is>
          <t>ÖSTERSUND</t>
        </is>
      </c>
      <c r="G543" t="n">
        <v>14.4</v>
      </c>
      <c r="H543" t="n">
        <v>0</v>
      </c>
      <c r="I543" t="n">
        <v>0</v>
      </c>
      <c r="J543" t="n">
        <v>0</v>
      </c>
      <c r="K543" t="n">
        <v>0</v>
      </c>
      <c r="L543" t="n">
        <v>0</v>
      </c>
      <c r="M543" t="n">
        <v>0</v>
      </c>
      <c r="N543" t="n">
        <v>0</v>
      </c>
      <c r="O543" t="n">
        <v>0</v>
      </c>
      <c r="P543" t="n">
        <v>0</v>
      </c>
      <c r="Q543" t="n">
        <v>0</v>
      </c>
      <c r="R543" s="2" t="inlineStr"/>
    </row>
    <row r="544" ht="15" customHeight="1">
      <c r="A544" t="inlineStr">
        <is>
          <t>A 30602-2023</t>
        </is>
      </c>
      <c r="B544" s="1" t="n">
        <v>45112</v>
      </c>
      <c r="C544" s="1" t="n">
        <v>45967</v>
      </c>
      <c r="D544" t="inlineStr">
        <is>
          <t>JÄMTLANDS LÄN</t>
        </is>
      </c>
      <c r="E544" t="inlineStr">
        <is>
          <t>ÖSTERSUND</t>
        </is>
      </c>
      <c r="G544" t="n">
        <v>0.5</v>
      </c>
      <c r="H544" t="n">
        <v>0</v>
      </c>
      <c r="I544" t="n">
        <v>0</v>
      </c>
      <c r="J544" t="n">
        <v>0</v>
      </c>
      <c r="K544" t="n">
        <v>0</v>
      </c>
      <c r="L544" t="n">
        <v>0</v>
      </c>
      <c r="M544" t="n">
        <v>0</v>
      </c>
      <c r="N544" t="n">
        <v>0</v>
      </c>
      <c r="O544" t="n">
        <v>0</v>
      </c>
      <c r="P544" t="n">
        <v>0</v>
      </c>
      <c r="Q544" t="n">
        <v>0</v>
      </c>
      <c r="R544" s="2" t="inlineStr"/>
    </row>
    <row r="545" ht="15" customHeight="1">
      <c r="A545" t="inlineStr">
        <is>
          <t>A 1893-2023</t>
        </is>
      </c>
      <c r="B545" s="1" t="n">
        <v>44937</v>
      </c>
      <c r="C545" s="1" t="n">
        <v>45967</v>
      </c>
      <c r="D545" t="inlineStr">
        <is>
          <t>JÄMTLANDS LÄN</t>
        </is>
      </c>
      <c r="E545" t="inlineStr">
        <is>
          <t>ÖSTERSUND</t>
        </is>
      </c>
      <c r="G545" t="n">
        <v>11</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45967</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7233-2024</t>
        </is>
      </c>
      <c r="B547" s="1" t="n">
        <v>45344</v>
      </c>
      <c r="C547" s="1" t="n">
        <v>45967</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48737-2024</t>
        </is>
      </c>
      <c r="B548" s="1" t="n">
        <v>45593.57327546296</v>
      </c>
      <c r="C548" s="1" t="n">
        <v>45967</v>
      </c>
      <c r="D548" t="inlineStr">
        <is>
          <t>JÄMTLANDS LÄN</t>
        </is>
      </c>
      <c r="E548" t="inlineStr">
        <is>
          <t>ÖSTERSUND</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10305-2023</t>
        </is>
      </c>
      <c r="B549" s="1" t="n">
        <v>44986</v>
      </c>
      <c r="C549" s="1" t="n">
        <v>45967</v>
      </c>
      <c r="D549" t="inlineStr">
        <is>
          <t>JÄMTLANDS LÄN</t>
        </is>
      </c>
      <c r="E549" t="inlineStr">
        <is>
          <t>ÖSTERSUND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27118-2023</t>
        </is>
      </c>
      <c r="B550" s="1" t="n">
        <v>45096</v>
      </c>
      <c r="C550" s="1" t="n">
        <v>45967</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39493-2023</t>
        </is>
      </c>
      <c r="B551" s="1" t="n">
        <v>45166.9569675926</v>
      </c>
      <c r="C551" s="1" t="n">
        <v>45967</v>
      </c>
      <c r="D551" t="inlineStr">
        <is>
          <t>JÄMTLANDS LÄN</t>
        </is>
      </c>
      <c r="E551" t="inlineStr">
        <is>
          <t>ÖSTERSUND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16306-2025</t>
        </is>
      </c>
      <c r="B552" s="1" t="n">
        <v>45751.34664351852</v>
      </c>
      <c r="C552" s="1" t="n">
        <v>45967</v>
      </c>
      <c r="D552" t="inlineStr">
        <is>
          <t>JÄMTLANDS LÄN</t>
        </is>
      </c>
      <c r="E552" t="inlineStr">
        <is>
          <t>ÖSTERSUND</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7573-2022</t>
        </is>
      </c>
      <c r="B553" s="1" t="n">
        <v>44607</v>
      </c>
      <c r="C553" s="1" t="n">
        <v>45967</v>
      </c>
      <c r="D553" t="inlineStr">
        <is>
          <t>JÄMTLANDS LÄN</t>
        </is>
      </c>
      <c r="E553" t="inlineStr">
        <is>
          <t>ÖSTERSUND</t>
        </is>
      </c>
      <c r="G553" t="n">
        <v>0.5</v>
      </c>
      <c r="H553" t="n">
        <v>0</v>
      </c>
      <c r="I553" t="n">
        <v>0</v>
      </c>
      <c r="J553" t="n">
        <v>0</v>
      </c>
      <c r="K553" t="n">
        <v>0</v>
      </c>
      <c r="L553" t="n">
        <v>0</v>
      </c>
      <c r="M553" t="n">
        <v>0</v>
      </c>
      <c r="N553" t="n">
        <v>0</v>
      </c>
      <c r="O553" t="n">
        <v>0</v>
      </c>
      <c r="P553" t="n">
        <v>0</v>
      </c>
      <c r="Q553" t="n">
        <v>0</v>
      </c>
      <c r="R553" s="2" t="inlineStr"/>
    </row>
    <row r="554" ht="15" customHeight="1">
      <c r="A554" t="inlineStr">
        <is>
          <t>A 27343-2022</t>
        </is>
      </c>
      <c r="B554" s="1" t="n">
        <v>44742</v>
      </c>
      <c r="C554" s="1" t="n">
        <v>45967</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43557-2024</t>
        </is>
      </c>
      <c r="B555" s="1" t="n">
        <v>45569.39229166666</v>
      </c>
      <c r="C555" s="1" t="n">
        <v>45967</v>
      </c>
      <c r="D555" t="inlineStr">
        <is>
          <t>JÄMTLANDS LÄN</t>
        </is>
      </c>
      <c r="E555" t="inlineStr">
        <is>
          <t>ÖSTERSUND</t>
        </is>
      </c>
      <c r="G555" t="n">
        <v>3.6</v>
      </c>
      <c r="H555" t="n">
        <v>0</v>
      </c>
      <c r="I555" t="n">
        <v>0</v>
      </c>
      <c r="J555" t="n">
        <v>0</v>
      </c>
      <c r="K555" t="n">
        <v>0</v>
      </c>
      <c r="L555" t="n">
        <v>0</v>
      </c>
      <c r="M555" t="n">
        <v>0</v>
      </c>
      <c r="N555" t="n">
        <v>0</v>
      </c>
      <c r="O555" t="n">
        <v>0</v>
      </c>
      <c r="P555" t="n">
        <v>0</v>
      </c>
      <c r="Q555" t="n">
        <v>0</v>
      </c>
      <c r="R555" s="2" t="inlineStr"/>
    </row>
    <row r="556" ht="15" customHeight="1">
      <c r="A556" t="inlineStr">
        <is>
          <t>A 36406-2023</t>
        </is>
      </c>
      <c r="B556" s="1" t="n">
        <v>45149</v>
      </c>
      <c r="C556" s="1" t="n">
        <v>45967</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45391-2025</t>
        </is>
      </c>
      <c r="B557" s="1" t="n">
        <v>45922.4077662037</v>
      </c>
      <c r="C557" s="1" t="n">
        <v>45967</v>
      </c>
      <c r="D557" t="inlineStr">
        <is>
          <t>JÄMTLANDS LÄN</t>
        </is>
      </c>
      <c r="E557" t="inlineStr">
        <is>
          <t>ÖSTERSUND</t>
        </is>
      </c>
      <c r="F557" t="inlineStr">
        <is>
          <t>SCA</t>
        </is>
      </c>
      <c r="G557" t="n">
        <v>5</v>
      </c>
      <c r="H557" t="n">
        <v>0</v>
      </c>
      <c r="I557" t="n">
        <v>0</v>
      </c>
      <c r="J557" t="n">
        <v>0</v>
      </c>
      <c r="K557" t="n">
        <v>0</v>
      </c>
      <c r="L557" t="n">
        <v>0</v>
      </c>
      <c r="M557" t="n">
        <v>0</v>
      </c>
      <c r="N557" t="n">
        <v>0</v>
      </c>
      <c r="O557" t="n">
        <v>0</v>
      </c>
      <c r="P557" t="n">
        <v>0</v>
      </c>
      <c r="Q557" t="n">
        <v>0</v>
      </c>
      <c r="R557" s="2" t="inlineStr"/>
    </row>
    <row r="558" ht="15" customHeight="1">
      <c r="A558" t="inlineStr">
        <is>
          <t>A 45389-2025</t>
        </is>
      </c>
      <c r="B558" s="1" t="n">
        <v>45922.4075</v>
      </c>
      <c r="C558" s="1" t="n">
        <v>45967</v>
      </c>
      <c r="D558" t="inlineStr">
        <is>
          <t>JÄMTLANDS LÄN</t>
        </is>
      </c>
      <c r="E558" t="inlineStr">
        <is>
          <t>ÖSTERSUND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59691-2024</t>
        </is>
      </c>
      <c r="B559" s="1" t="n">
        <v>45639.40684027778</v>
      </c>
      <c r="C559" s="1" t="n">
        <v>45967</v>
      </c>
      <c r="D559" t="inlineStr">
        <is>
          <t>JÄMTLANDS LÄN</t>
        </is>
      </c>
      <c r="E559" t="inlineStr">
        <is>
          <t>ÖSTERSUND</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26605-2025</t>
        </is>
      </c>
      <c r="B560" s="1" t="n">
        <v>45809.86790509259</v>
      </c>
      <c r="C560" s="1" t="n">
        <v>45967</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13651-2025</t>
        </is>
      </c>
      <c r="B561" s="1" t="n">
        <v>45736.71818287037</v>
      </c>
      <c r="C561" s="1" t="n">
        <v>45967</v>
      </c>
      <c r="D561" t="inlineStr">
        <is>
          <t>JÄMTLANDS LÄN</t>
        </is>
      </c>
      <c r="E561" t="inlineStr">
        <is>
          <t>ÖSTERSUND</t>
        </is>
      </c>
      <c r="G561" t="n">
        <v>3.7</v>
      </c>
      <c r="H561" t="n">
        <v>0</v>
      </c>
      <c r="I561" t="n">
        <v>0</v>
      </c>
      <c r="J561" t="n">
        <v>0</v>
      </c>
      <c r="K561" t="n">
        <v>0</v>
      </c>
      <c r="L561" t="n">
        <v>0</v>
      </c>
      <c r="M561" t="n">
        <v>0</v>
      </c>
      <c r="N561" t="n">
        <v>0</v>
      </c>
      <c r="O561" t="n">
        <v>0</v>
      </c>
      <c r="P561" t="n">
        <v>0</v>
      </c>
      <c r="Q561" t="n">
        <v>0</v>
      </c>
      <c r="R561" s="2" t="inlineStr"/>
    </row>
    <row r="562" ht="15" customHeight="1">
      <c r="A562" t="inlineStr">
        <is>
          <t>A 27035-2025</t>
        </is>
      </c>
      <c r="B562" s="1" t="n">
        <v>45811.5928587963</v>
      </c>
      <c r="C562" s="1" t="n">
        <v>45967</v>
      </c>
      <c r="D562" t="inlineStr">
        <is>
          <t>JÄMTLANDS LÄN</t>
        </is>
      </c>
      <c r="E562" t="inlineStr">
        <is>
          <t>ÖSTERSUND</t>
        </is>
      </c>
      <c r="G562" t="n">
        <v>2.8</v>
      </c>
      <c r="H562" t="n">
        <v>0</v>
      </c>
      <c r="I562" t="n">
        <v>0</v>
      </c>
      <c r="J562" t="n">
        <v>0</v>
      </c>
      <c r="K562" t="n">
        <v>0</v>
      </c>
      <c r="L562" t="n">
        <v>0</v>
      </c>
      <c r="M562" t="n">
        <v>0</v>
      </c>
      <c r="N562" t="n">
        <v>0</v>
      </c>
      <c r="O562" t="n">
        <v>0</v>
      </c>
      <c r="P562" t="n">
        <v>0</v>
      </c>
      <c r="Q562" t="n">
        <v>0</v>
      </c>
      <c r="R562" s="2" t="inlineStr"/>
    </row>
    <row r="563" ht="15" customHeight="1">
      <c r="A563" t="inlineStr">
        <is>
          <t>A 54133-2025</t>
        </is>
      </c>
      <c r="B563" s="1" t="n">
        <v>45964.46944444445</v>
      </c>
      <c r="C563" s="1" t="n">
        <v>45967</v>
      </c>
      <c r="D563" t="inlineStr">
        <is>
          <t>JÄMTLANDS LÄN</t>
        </is>
      </c>
      <c r="E563" t="inlineStr">
        <is>
          <t>ÖSTERSUND</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45558-2025</t>
        </is>
      </c>
      <c r="B564" s="1" t="n">
        <v>45922</v>
      </c>
      <c r="C564" s="1" t="n">
        <v>45967</v>
      </c>
      <c r="D564" t="inlineStr">
        <is>
          <t>JÄMTLANDS LÄN</t>
        </is>
      </c>
      <c r="E564" t="inlineStr">
        <is>
          <t>ÖSTERSUND</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45297-2025</t>
        </is>
      </c>
      <c r="B565" s="1" t="n">
        <v>45920.8446412037</v>
      </c>
      <c r="C565" s="1" t="n">
        <v>45967</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45386-2025</t>
        </is>
      </c>
      <c r="B566" s="1" t="n">
        <v>45922.40697916667</v>
      </c>
      <c r="C566" s="1" t="n">
        <v>45967</v>
      </c>
      <c r="D566" t="inlineStr">
        <is>
          <t>JÄMTLANDS LÄN</t>
        </is>
      </c>
      <c r="E566" t="inlineStr">
        <is>
          <t>ÖSTERSUND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45388-2025</t>
        </is>
      </c>
      <c r="B567" s="1" t="n">
        <v>45922.4074537037</v>
      </c>
      <c r="C567" s="1" t="n">
        <v>45967</v>
      </c>
      <c r="D567" t="inlineStr">
        <is>
          <t>JÄMTLANDS LÄN</t>
        </is>
      </c>
      <c r="E567" t="inlineStr">
        <is>
          <t>ÖSTERSUND</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45385-2025</t>
        </is>
      </c>
      <c r="B568" s="1" t="n">
        <v>45922.40680555555</v>
      </c>
      <c r="C568" s="1" t="n">
        <v>45967</v>
      </c>
      <c r="D568" t="inlineStr">
        <is>
          <t>JÄMTLANDS LÄN</t>
        </is>
      </c>
      <c r="E568" t="inlineStr">
        <is>
          <t>ÖSTERSUND</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45481-2025</t>
        </is>
      </c>
      <c r="B569" s="1" t="n">
        <v>45922.53217592592</v>
      </c>
      <c r="C569" s="1" t="n">
        <v>45967</v>
      </c>
      <c r="D569" t="inlineStr">
        <is>
          <t>JÄMTLANDS LÄN</t>
        </is>
      </c>
      <c r="E569" t="inlineStr">
        <is>
          <t>ÖSTERSUND</t>
        </is>
      </c>
      <c r="G569" t="n">
        <v>3</v>
      </c>
      <c r="H569" t="n">
        <v>0</v>
      </c>
      <c r="I569" t="n">
        <v>0</v>
      </c>
      <c r="J569" t="n">
        <v>0</v>
      </c>
      <c r="K569" t="n">
        <v>0</v>
      </c>
      <c r="L569" t="n">
        <v>0</v>
      </c>
      <c r="M569" t="n">
        <v>0</v>
      </c>
      <c r="N569" t="n">
        <v>0</v>
      </c>
      <c r="O569" t="n">
        <v>0</v>
      </c>
      <c r="P569" t="n">
        <v>0</v>
      </c>
      <c r="Q569" t="n">
        <v>0</v>
      </c>
      <c r="R569" s="2" t="inlineStr"/>
    </row>
    <row r="570" ht="15" customHeight="1">
      <c r="A570" t="inlineStr">
        <is>
          <t>A 12998-2025</t>
        </is>
      </c>
      <c r="B570" s="1" t="n">
        <v>45734.48991898148</v>
      </c>
      <c r="C570" s="1" t="n">
        <v>45967</v>
      </c>
      <c r="D570" t="inlineStr">
        <is>
          <t>JÄMTLANDS LÄN</t>
        </is>
      </c>
      <c r="E570" t="inlineStr">
        <is>
          <t>ÖSTERSUND</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32225-2024</t>
        </is>
      </c>
      <c r="B571" s="1" t="n">
        <v>45511.92825231481</v>
      </c>
      <c r="C571" s="1" t="n">
        <v>45967</v>
      </c>
      <c r="D571" t="inlineStr">
        <is>
          <t>JÄMTLANDS LÄN</t>
        </is>
      </c>
      <c r="E571" t="inlineStr">
        <is>
          <t>ÖSTERSUND</t>
        </is>
      </c>
      <c r="G571" t="n">
        <v>2</v>
      </c>
      <c r="H571" t="n">
        <v>0</v>
      </c>
      <c r="I571" t="n">
        <v>0</v>
      </c>
      <c r="J571" t="n">
        <v>0</v>
      </c>
      <c r="K571" t="n">
        <v>0</v>
      </c>
      <c r="L571" t="n">
        <v>0</v>
      </c>
      <c r="M571" t="n">
        <v>0</v>
      </c>
      <c r="N571" t="n">
        <v>0</v>
      </c>
      <c r="O571" t="n">
        <v>0</v>
      </c>
      <c r="P571" t="n">
        <v>0</v>
      </c>
      <c r="Q571" t="n">
        <v>0</v>
      </c>
      <c r="R571" s="2" t="inlineStr"/>
    </row>
    <row r="572" ht="15" customHeight="1">
      <c r="A572" t="inlineStr">
        <is>
          <t>A 27034-2025</t>
        </is>
      </c>
      <c r="B572" s="1" t="n">
        <v>45811.59258101852</v>
      </c>
      <c r="C572" s="1" t="n">
        <v>45967</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43252-2023</t>
        </is>
      </c>
      <c r="B573" s="1" t="n">
        <v>45183</v>
      </c>
      <c r="C573" s="1" t="n">
        <v>45967</v>
      </c>
      <c r="D573" t="inlineStr">
        <is>
          <t>JÄMTLANDS LÄN</t>
        </is>
      </c>
      <c r="E573" t="inlineStr">
        <is>
          <t>ÖSTERSUND</t>
        </is>
      </c>
      <c r="G573" t="n">
        <v>2.9</v>
      </c>
      <c r="H573" t="n">
        <v>0</v>
      </c>
      <c r="I573" t="n">
        <v>0</v>
      </c>
      <c r="J573" t="n">
        <v>0</v>
      </c>
      <c r="K573" t="n">
        <v>0</v>
      </c>
      <c r="L573" t="n">
        <v>0</v>
      </c>
      <c r="M573" t="n">
        <v>0</v>
      </c>
      <c r="N573" t="n">
        <v>0</v>
      </c>
      <c r="O573" t="n">
        <v>0</v>
      </c>
      <c r="P573" t="n">
        <v>0</v>
      </c>
      <c r="Q573" t="n">
        <v>0</v>
      </c>
      <c r="R573" s="2" t="inlineStr"/>
    </row>
    <row r="574" ht="15" customHeight="1">
      <c r="A574" t="inlineStr">
        <is>
          <t>A 46152-2025</t>
        </is>
      </c>
      <c r="B574" s="1" t="n">
        <v>45924.61512731481</v>
      </c>
      <c r="C574" s="1" t="n">
        <v>45967</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60088-2024</t>
        </is>
      </c>
      <c r="B575" s="1" t="n">
        <v>45642.54847222222</v>
      </c>
      <c r="C575" s="1" t="n">
        <v>45967</v>
      </c>
      <c r="D575" t="inlineStr">
        <is>
          <t>JÄMTLANDS LÄN</t>
        </is>
      </c>
      <c r="E575" t="inlineStr">
        <is>
          <t>ÖSTERSUND</t>
        </is>
      </c>
      <c r="G575" t="n">
        <v>5</v>
      </c>
      <c r="H575" t="n">
        <v>0</v>
      </c>
      <c r="I575" t="n">
        <v>0</v>
      </c>
      <c r="J575" t="n">
        <v>0</v>
      </c>
      <c r="K575" t="n">
        <v>0</v>
      </c>
      <c r="L575" t="n">
        <v>0</v>
      </c>
      <c r="M575" t="n">
        <v>0</v>
      </c>
      <c r="N575" t="n">
        <v>0</v>
      </c>
      <c r="O575" t="n">
        <v>0</v>
      </c>
      <c r="P575" t="n">
        <v>0</v>
      </c>
      <c r="Q575" t="n">
        <v>0</v>
      </c>
      <c r="R575" s="2" t="inlineStr"/>
    </row>
    <row r="576" ht="15" customHeight="1">
      <c r="A576" t="inlineStr">
        <is>
          <t>A 27517-2025</t>
        </is>
      </c>
      <c r="B576" s="1" t="n">
        <v>45813.43966435185</v>
      </c>
      <c r="C576" s="1" t="n">
        <v>45967</v>
      </c>
      <c r="D576" t="inlineStr">
        <is>
          <t>JÄMTLANDS LÄN</t>
        </is>
      </c>
      <c r="E576" t="inlineStr">
        <is>
          <t>ÖSTERSUND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54528-2025</t>
        </is>
      </c>
      <c r="B577" s="1" t="n">
        <v>45965.63496527778</v>
      </c>
      <c r="C577" s="1" t="n">
        <v>45967</v>
      </c>
      <c r="D577" t="inlineStr">
        <is>
          <t>JÄMTLANDS LÄN</t>
        </is>
      </c>
      <c r="E577" t="inlineStr">
        <is>
          <t>ÖSTERSUND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10266-2025</t>
        </is>
      </c>
      <c r="B578" s="1" t="n">
        <v>45720.38576388889</v>
      </c>
      <c r="C578" s="1" t="n">
        <v>45967</v>
      </c>
      <c r="D578" t="inlineStr">
        <is>
          <t>JÄMTLANDS LÄN</t>
        </is>
      </c>
      <c r="E578" t="inlineStr">
        <is>
          <t>ÖSTERSUND</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46202-2025</t>
        </is>
      </c>
      <c r="B579" s="1" t="n">
        <v>45924.70346064815</v>
      </c>
      <c r="C579" s="1" t="n">
        <v>45967</v>
      </c>
      <c r="D579" t="inlineStr">
        <is>
          <t>JÄMTLANDS LÄN</t>
        </is>
      </c>
      <c r="E579" t="inlineStr">
        <is>
          <t>ÖSTERSUND</t>
        </is>
      </c>
      <c r="G579" t="n">
        <v>1</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45967</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7956-2025</t>
        </is>
      </c>
      <c r="B581" s="1" t="n">
        <v>45707.42825231481</v>
      </c>
      <c r="C581" s="1" t="n">
        <v>45967</v>
      </c>
      <c r="D581" t="inlineStr">
        <is>
          <t>JÄMTLANDS LÄN</t>
        </is>
      </c>
      <c r="E581" t="inlineStr">
        <is>
          <t>ÖSTERSUND</t>
        </is>
      </c>
      <c r="F581" t="inlineStr">
        <is>
          <t>Övriga Aktiebolag</t>
        </is>
      </c>
      <c r="G581" t="n">
        <v>111.2</v>
      </c>
      <c r="H581" t="n">
        <v>0</v>
      </c>
      <c r="I581" t="n">
        <v>0</v>
      </c>
      <c r="J581" t="n">
        <v>0</v>
      </c>
      <c r="K581" t="n">
        <v>0</v>
      </c>
      <c r="L581" t="n">
        <v>0</v>
      </c>
      <c r="M581" t="n">
        <v>0</v>
      </c>
      <c r="N581" t="n">
        <v>0</v>
      </c>
      <c r="O581" t="n">
        <v>0</v>
      </c>
      <c r="P581" t="n">
        <v>0</v>
      </c>
      <c r="Q581" t="n">
        <v>0</v>
      </c>
      <c r="R581" s="2" t="inlineStr"/>
    </row>
    <row r="582" ht="15" customHeight="1">
      <c r="A582" t="inlineStr">
        <is>
          <t>A 7549-2025</t>
        </is>
      </c>
      <c r="B582" s="1" t="n">
        <v>45705.57454861111</v>
      </c>
      <c r="C582" s="1" t="n">
        <v>45967</v>
      </c>
      <c r="D582" t="inlineStr">
        <is>
          <t>JÄMTLANDS LÄN</t>
        </is>
      </c>
      <c r="E582" t="inlineStr">
        <is>
          <t>ÖSTERSUND</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46132-2025</t>
        </is>
      </c>
      <c r="B583" s="1" t="n">
        <v>45924.59484953704</v>
      </c>
      <c r="C583" s="1" t="n">
        <v>45967</v>
      </c>
      <c r="D583" t="inlineStr">
        <is>
          <t>JÄMTLANDS LÄN</t>
        </is>
      </c>
      <c r="E583" t="inlineStr">
        <is>
          <t>ÖSTERSUND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54667-2025</t>
        </is>
      </c>
      <c r="B584" s="1" t="n">
        <v>45966.4077662037</v>
      </c>
      <c r="C584" s="1" t="n">
        <v>45967</v>
      </c>
      <c r="D584" t="inlineStr">
        <is>
          <t>JÄMTLANDS LÄN</t>
        </is>
      </c>
      <c r="E584" t="inlineStr">
        <is>
          <t>ÖSTERSUND</t>
        </is>
      </c>
      <c r="G584" t="n">
        <v>6.8</v>
      </c>
      <c r="H584" t="n">
        <v>0</v>
      </c>
      <c r="I584" t="n">
        <v>0</v>
      </c>
      <c r="J584" t="n">
        <v>0</v>
      </c>
      <c r="K584" t="n">
        <v>0</v>
      </c>
      <c r="L584" t="n">
        <v>0</v>
      </c>
      <c r="M584" t="n">
        <v>0</v>
      </c>
      <c r="N584" t="n">
        <v>0</v>
      </c>
      <c r="O584" t="n">
        <v>0</v>
      </c>
      <c r="P584" t="n">
        <v>0</v>
      </c>
      <c r="Q584" t="n">
        <v>0</v>
      </c>
      <c r="R584" s="2" t="inlineStr"/>
    </row>
    <row r="585" ht="15" customHeight="1">
      <c r="A585" t="inlineStr">
        <is>
          <t>A 28025-2025</t>
        </is>
      </c>
      <c r="B585" s="1" t="n">
        <v>45817</v>
      </c>
      <c r="C585" s="1" t="n">
        <v>45967</v>
      </c>
      <c r="D585" t="inlineStr">
        <is>
          <t>JÄMTLANDS LÄN</t>
        </is>
      </c>
      <c r="E585" t="inlineStr">
        <is>
          <t>ÖSTERSUND</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28185-2025</t>
        </is>
      </c>
      <c r="B586" s="1" t="n">
        <v>45818.40337962963</v>
      </c>
      <c r="C586" s="1" t="n">
        <v>45967</v>
      </c>
      <c r="D586" t="inlineStr">
        <is>
          <t>JÄMTLANDS LÄN</t>
        </is>
      </c>
      <c r="E586" t="inlineStr">
        <is>
          <t>ÖSTERSUND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6067-2025</t>
        </is>
      </c>
      <c r="B587" s="1" t="n">
        <v>45696.34405092592</v>
      </c>
      <c r="C587" s="1" t="n">
        <v>45967</v>
      </c>
      <c r="D587" t="inlineStr">
        <is>
          <t>JÄMTLANDS LÄN</t>
        </is>
      </c>
      <c r="E587" t="inlineStr">
        <is>
          <t>ÖSTERSUND</t>
        </is>
      </c>
      <c r="G587" t="n">
        <v>2.1</v>
      </c>
      <c r="H587" t="n">
        <v>0</v>
      </c>
      <c r="I587" t="n">
        <v>0</v>
      </c>
      <c r="J587" t="n">
        <v>0</v>
      </c>
      <c r="K587" t="n">
        <v>0</v>
      </c>
      <c r="L587" t="n">
        <v>0</v>
      </c>
      <c r="M587" t="n">
        <v>0</v>
      </c>
      <c r="N587" t="n">
        <v>0</v>
      </c>
      <c r="O587" t="n">
        <v>0</v>
      </c>
      <c r="P587" t="n">
        <v>0</v>
      </c>
      <c r="Q587" t="n">
        <v>0</v>
      </c>
      <c r="R587" s="2" t="inlineStr"/>
    </row>
    <row r="588" ht="15" customHeight="1">
      <c r="A588" t="inlineStr">
        <is>
          <t>A 54663-2022</t>
        </is>
      </c>
      <c r="B588" s="1" t="n">
        <v>44883.44737268519</v>
      </c>
      <c r="C588" s="1" t="n">
        <v>45967</v>
      </c>
      <c r="D588" t="inlineStr">
        <is>
          <t>JÄMTLANDS LÄN</t>
        </is>
      </c>
      <c r="E588" t="inlineStr">
        <is>
          <t>ÖSTERSUND</t>
        </is>
      </c>
      <c r="G588" t="n">
        <v>0.8</v>
      </c>
      <c r="H588" t="n">
        <v>0</v>
      </c>
      <c r="I588" t="n">
        <v>0</v>
      </c>
      <c r="J588" t="n">
        <v>0</v>
      </c>
      <c r="K588" t="n">
        <v>0</v>
      </c>
      <c r="L588" t="n">
        <v>0</v>
      </c>
      <c r="M588" t="n">
        <v>0</v>
      </c>
      <c r="N588" t="n">
        <v>0</v>
      </c>
      <c r="O588" t="n">
        <v>0</v>
      </c>
      <c r="P588" t="n">
        <v>0</v>
      </c>
      <c r="Q588" t="n">
        <v>0</v>
      </c>
      <c r="R588" s="2" t="inlineStr"/>
    </row>
    <row r="589" ht="15" customHeight="1">
      <c r="A589" t="inlineStr">
        <is>
          <t>A 18578-2025</t>
        </is>
      </c>
      <c r="B589" s="1" t="n">
        <v>45763</v>
      </c>
      <c r="C589" s="1" t="n">
        <v>45967</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43511-2022</t>
        </is>
      </c>
      <c r="B590" s="1" t="n">
        <v>44837.36724537037</v>
      </c>
      <c r="C590" s="1" t="n">
        <v>45967</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28595-2025</t>
        </is>
      </c>
      <c r="B591" s="1" t="n">
        <v>45819.59429398148</v>
      </c>
      <c r="C591" s="1" t="n">
        <v>45967</v>
      </c>
      <c r="D591" t="inlineStr">
        <is>
          <t>JÄMTLANDS LÄN</t>
        </is>
      </c>
      <c r="E591" t="inlineStr">
        <is>
          <t>ÖSTERSUND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2730-2025</t>
        </is>
      </c>
      <c r="B592" s="1" t="n">
        <v>45677.44393518518</v>
      </c>
      <c r="C592" s="1" t="n">
        <v>45967</v>
      </c>
      <c r="D592" t="inlineStr">
        <is>
          <t>JÄMTLANDS LÄN</t>
        </is>
      </c>
      <c r="E592" t="inlineStr">
        <is>
          <t>ÖSTERSUND</t>
        </is>
      </c>
      <c r="G592" t="n">
        <v>2.5</v>
      </c>
      <c r="H592" t="n">
        <v>0</v>
      </c>
      <c r="I592" t="n">
        <v>0</v>
      </c>
      <c r="J592" t="n">
        <v>0</v>
      </c>
      <c r="K592" t="n">
        <v>0</v>
      </c>
      <c r="L592" t="n">
        <v>0</v>
      </c>
      <c r="M592" t="n">
        <v>0</v>
      </c>
      <c r="N592" t="n">
        <v>0</v>
      </c>
      <c r="O592" t="n">
        <v>0</v>
      </c>
      <c r="P592" t="n">
        <v>0</v>
      </c>
      <c r="Q592" t="n">
        <v>0</v>
      </c>
      <c r="R592" s="2" t="inlineStr"/>
    </row>
    <row r="593" ht="15" customHeight="1">
      <c r="A593" t="inlineStr">
        <is>
          <t>A 42151-2023</t>
        </is>
      </c>
      <c r="B593" s="1" t="n">
        <v>45177.93612268518</v>
      </c>
      <c r="C593" s="1" t="n">
        <v>45967</v>
      </c>
      <c r="D593" t="inlineStr">
        <is>
          <t>JÄMTLANDS LÄN</t>
        </is>
      </c>
      <c r="E593" t="inlineStr">
        <is>
          <t>ÖSTERSUND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43016-2024</t>
        </is>
      </c>
      <c r="B594" s="1" t="n">
        <v>45567.39192129629</v>
      </c>
      <c r="C594" s="1" t="n">
        <v>45967</v>
      </c>
      <c r="D594" t="inlineStr">
        <is>
          <t>JÄMTLANDS LÄN</t>
        </is>
      </c>
      <c r="E594" t="inlineStr">
        <is>
          <t>ÖSTERSUND</t>
        </is>
      </c>
      <c r="G594" t="n">
        <v>5.3</v>
      </c>
      <c r="H594" t="n">
        <v>0</v>
      </c>
      <c r="I594" t="n">
        <v>0</v>
      </c>
      <c r="J594" t="n">
        <v>0</v>
      </c>
      <c r="K594" t="n">
        <v>0</v>
      </c>
      <c r="L594" t="n">
        <v>0</v>
      </c>
      <c r="M594" t="n">
        <v>0</v>
      </c>
      <c r="N594" t="n">
        <v>0</v>
      </c>
      <c r="O594" t="n">
        <v>0</v>
      </c>
      <c r="P594" t="n">
        <v>0</v>
      </c>
      <c r="Q594" t="n">
        <v>0</v>
      </c>
      <c r="R594" s="2" t="inlineStr"/>
    </row>
    <row r="595" ht="15" customHeight="1">
      <c r="A595" t="inlineStr">
        <is>
          <t>A 51865-2024</t>
        </is>
      </c>
      <c r="B595" s="1" t="n">
        <v>45607.55260416667</v>
      </c>
      <c r="C595" s="1" t="n">
        <v>45967</v>
      </c>
      <c r="D595" t="inlineStr">
        <is>
          <t>JÄMTLANDS LÄN</t>
        </is>
      </c>
      <c r="E595" t="inlineStr">
        <is>
          <t>ÖSTERSUND</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58364-2024</t>
        </is>
      </c>
      <c r="B596" s="1" t="n">
        <v>45632.68814814815</v>
      </c>
      <c r="C596" s="1" t="n">
        <v>45967</v>
      </c>
      <c r="D596" t="inlineStr">
        <is>
          <t>JÄMTLANDS LÄN</t>
        </is>
      </c>
      <c r="E596" t="inlineStr">
        <is>
          <t>ÖSTERSUND</t>
        </is>
      </c>
      <c r="G596" t="n">
        <v>5.5</v>
      </c>
      <c r="H596" t="n">
        <v>0</v>
      </c>
      <c r="I596" t="n">
        <v>0</v>
      </c>
      <c r="J596" t="n">
        <v>0</v>
      </c>
      <c r="K596" t="n">
        <v>0</v>
      </c>
      <c r="L596" t="n">
        <v>0</v>
      </c>
      <c r="M596" t="n">
        <v>0</v>
      </c>
      <c r="N596" t="n">
        <v>0</v>
      </c>
      <c r="O596" t="n">
        <v>0</v>
      </c>
      <c r="P596" t="n">
        <v>0</v>
      </c>
      <c r="Q596" t="n">
        <v>0</v>
      </c>
      <c r="R596" s="2" t="inlineStr"/>
    </row>
    <row r="597" ht="15" customHeight="1">
      <c r="A597" t="inlineStr">
        <is>
          <t>A 7941-2025</t>
        </is>
      </c>
      <c r="B597" s="1" t="n">
        <v>45707</v>
      </c>
      <c r="C597" s="1" t="n">
        <v>45967</v>
      </c>
      <c r="D597" t="inlineStr">
        <is>
          <t>JÄMTLANDS LÄN</t>
        </is>
      </c>
      <c r="E597" t="inlineStr">
        <is>
          <t>ÖSTERSUND</t>
        </is>
      </c>
      <c r="G597" t="n">
        <v>2</v>
      </c>
      <c r="H597" t="n">
        <v>0</v>
      </c>
      <c r="I597" t="n">
        <v>0</v>
      </c>
      <c r="J597" t="n">
        <v>0</v>
      </c>
      <c r="K597" t="n">
        <v>0</v>
      </c>
      <c r="L597" t="n">
        <v>0</v>
      </c>
      <c r="M597" t="n">
        <v>0</v>
      </c>
      <c r="N597" t="n">
        <v>0</v>
      </c>
      <c r="O597" t="n">
        <v>0</v>
      </c>
      <c r="P597" t="n">
        <v>0</v>
      </c>
      <c r="Q597" t="n">
        <v>0</v>
      </c>
      <c r="R597" s="2" t="inlineStr"/>
    </row>
    <row r="598" ht="15" customHeight="1">
      <c r="A598" t="inlineStr">
        <is>
          <t>A 24781-2024</t>
        </is>
      </c>
      <c r="B598" s="1" t="n">
        <v>45460.7772800926</v>
      </c>
      <c r="C598" s="1" t="n">
        <v>45967</v>
      </c>
      <c r="D598" t="inlineStr">
        <is>
          <t>JÄMTLANDS LÄN</t>
        </is>
      </c>
      <c r="E598" t="inlineStr">
        <is>
          <t>ÖSTERSUND</t>
        </is>
      </c>
      <c r="G598" t="n">
        <v>2.2</v>
      </c>
      <c r="H598" t="n">
        <v>0</v>
      </c>
      <c r="I598" t="n">
        <v>0</v>
      </c>
      <c r="J598" t="n">
        <v>0</v>
      </c>
      <c r="K598" t="n">
        <v>0</v>
      </c>
      <c r="L598" t="n">
        <v>0</v>
      </c>
      <c r="M598" t="n">
        <v>0</v>
      </c>
      <c r="N598" t="n">
        <v>0</v>
      </c>
      <c r="O598" t="n">
        <v>0</v>
      </c>
      <c r="P598" t="n">
        <v>0</v>
      </c>
      <c r="Q598" t="n">
        <v>0</v>
      </c>
      <c r="R598" s="2" t="inlineStr"/>
    </row>
    <row r="599" ht="15" customHeight="1">
      <c r="A599" t="inlineStr">
        <is>
          <t>A 44489-2024</t>
        </is>
      </c>
      <c r="B599" s="1" t="n">
        <v>45574.38943287037</v>
      </c>
      <c r="C599" s="1" t="n">
        <v>45967</v>
      </c>
      <c r="D599" t="inlineStr">
        <is>
          <t>JÄMTLANDS LÄN</t>
        </is>
      </c>
      <c r="E599" t="inlineStr">
        <is>
          <t>ÖSTERSUND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56111-2022</t>
        </is>
      </c>
      <c r="B600" s="1" t="n">
        <v>44889</v>
      </c>
      <c r="C600" s="1" t="n">
        <v>45967</v>
      </c>
      <c r="D600" t="inlineStr">
        <is>
          <t>JÄMTLANDS LÄN</t>
        </is>
      </c>
      <c r="E600" t="inlineStr">
        <is>
          <t>ÖSTERSUND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4521-2025</t>
        </is>
      </c>
      <c r="B601" s="1" t="n">
        <v>45686</v>
      </c>
      <c r="C601" s="1" t="n">
        <v>45967</v>
      </c>
      <c r="D601" t="inlineStr">
        <is>
          <t>JÄMTLANDS LÄN</t>
        </is>
      </c>
      <c r="E601" t="inlineStr">
        <is>
          <t>ÖSTERSUND</t>
        </is>
      </c>
      <c r="G601" t="n">
        <v>28.4</v>
      </c>
      <c r="H601" t="n">
        <v>0</v>
      </c>
      <c r="I601" t="n">
        <v>0</v>
      </c>
      <c r="J601" t="n">
        <v>0</v>
      </c>
      <c r="K601" t="n">
        <v>0</v>
      </c>
      <c r="L601" t="n">
        <v>0</v>
      </c>
      <c r="M601" t="n">
        <v>0</v>
      </c>
      <c r="N601" t="n">
        <v>0</v>
      </c>
      <c r="O601" t="n">
        <v>0</v>
      </c>
      <c r="P601" t="n">
        <v>0</v>
      </c>
      <c r="Q601" t="n">
        <v>0</v>
      </c>
      <c r="R601" s="2" t="inlineStr"/>
    </row>
    <row r="602" ht="15" customHeight="1">
      <c r="A602" t="inlineStr">
        <is>
          <t>A 6578-2021</t>
        </is>
      </c>
      <c r="B602" s="1" t="n">
        <v>44236</v>
      </c>
      <c r="C602" s="1" t="n">
        <v>45967</v>
      </c>
      <c r="D602" t="inlineStr">
        <is>
          <t>JÄMTLANDS LÄN</t>
        </is>
      </c>
      <c r="E602" t="inlineStr">
        <is>
          <t>ÖSTERSUND</t>
        </is>
      </c>
      <c r="G602" t="n">
        <v>1.4</v>
      </c>
      <c r="H602" t="n">
        <v>0</v>
      </c>
      <c r="I602" t="n">
        <v>0</v>
      </c>
      <c r="J602" t="n">
        <v>0</v>
      </c>
      <c r="K602" t="n">
        <v>0</v>
      </c>
      <c r="L602" t="n">
        <v>0</v>
      </c>
      <c r="M602" t="n">
        <v>0</v>
      </c>
      <c r="N602" t="n">
        <v>0</v>
      </c>
      <c r="O602" t="n">
        <v>0</v>
      </c>
      <c r="P602" t="n">
        <v>0</v>
      </c>
      <c r="Q602" t="n">
        <v>0</v>
      </c>
      <c r="R602" s="2" t="inlineStr"/>
    </row>
    <row r="603" ht="15" customHeight="1">
      <c r="A603" t="inlineStr">
        <is>
          <t>A 51826-2024</t>
        </is>
      </c>
      <c r="B603" s="1" t="n">
        <v>45607.50137731482</v>
      </c>
      <c r="C603" s="1" t="n">
        <v>45967</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30320-2025</t>
        </is>
      </c>
      <c r="B604" s="1" t="n">
        <v>45827.49415509259</v>
      </c>
      <c r="C604" s="1" t="n">
        <v>45967</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17570-2025</t>
        </is>
      </c>
      <c r="B605" s="1" t="n">
        <v>45757.64563657407</v>
      </c>
      <c r="C605" s="1" t="n">
        <v>45967</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60681-2022</t>
        </is>
      </c>
      <c r="B606" s="1" t="n">
        <v>44911.93994212963</v>
      </c>
      <c r="C606" s="1" t="n">
        <v>45967</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30210-2025</t>
        </is>
      </c>
      <c r="B607" s="1" t="n">
        <v>45827.36590277778</v>
      </c>
      <c r="C607" s="1" t="n">
        <v>45967</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48696-2024</t>
        </is>
      </c>
      <c r="B608" s="1" t="n">
        <v>45593.51123842593</v>
      </c>
      <c r="C608" s="1" t="n">
        <v>45967</v>
      </c>
      <c r="D608" t="inlineStr">
        <is>
          <t>JÄMTLANDS LÄN</t>
        </is>
      </c>
      <c r="E608" t="inlineStr">
        <is>
          <t>ÖSTERSUND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22126-2021</t>
        </is>
      </c>
      <c r="B609" s="1" t="n">
        <v>44323</v>
      </c>
      <c r="C609" s="1" t="n">
        <v>45967</v>
      </c>
      <c r="D609" t="inlineStr">
        <is>
          <t>JÄMTLANDS LÄN</t>
        </is>
      </c>
      <c r="E609" t="inlineStr">
        <is>
          <t>ÖSTERSUND</t>
        </is>
      </c>
      <c r="G609" t="n">
        <v>1.4</v>
      </c>
      <c r="H609" t="n">
        <v>0</v>
      </c>
      <c r="I609" t="n">
        <v>0</v>
      </c>
      <c r="J609" t="n">
        <v>0</v>
      </c>
      <c r="K609" t="n">
        <v>0</v>
      </c>
      <c r="L609" t="n">
        <v>0</v>
      </c>
      <c r="M609" t="n">
        <v>0</v>
      </c>
      <c r="N609" t="n">
        <v>0</v>
      </c>
      <c r="O609" t="n">
        <v>0</v>
      </c>
      <c r="P609" t="n">
        <v>0</v>
      </c>
      <c r="Q609" t="n">
        <v>0</v>
      </c>
      <c r="R609" s="2" t="inlineStr"/>
    </row>
    <row r="610" ht="15" customHeight="1">
      <c r="A610" t="inlineStr">
        <is>
          <t>A 39975-2024</t>
        </is>
      </c>
      <c r="B610" s="1" t="n">
        <v>45553.60474537037</v>
      </c>
      <c r="C610" s="1" t="n">
        <v>45967</v>
      </c>
      <c r="D610" t="inlineStr">
        <is>
          <t>JÄMTLANDS LÄN</t>
        </is>
      </c>
      <c r="E610" t="inlineStr">
        <is>
          <t>ÖSTERSUND</t>
        </is>
      </c>
      <c r="G610" t="n">
        <v>3.8</v>
      </c>
      <c r="H610" t="n">
        <v>0</v>
      </c>
      <c r="I610" t="n">
        <v>0</v>
      </c>
      <c r="J610" t="n">
        <v>0</v>
      </c>
      <c r="K610" t="n">
        <v>0</v>
      </c>
      <c r="L610" t="n">
        <v>0</v>
      </c>
      <c r="M610" t="n">
        <v>0</v>
      </c>
      <c r="N610" t="n">
        <v>0</v>
      </c>
      <c r="O610" t="n">
        <v>0</v>
      </c>
      <c r="P610" t="n">
        <v>0</v>
      </c>
      <c r="Q610" t="n">
        <v>0</v>
      </c>
      <c r="R610" s="2" t="inlineStr"/>
    </row>
    <row r="611" ht="15" customHeight="1">
      <c r="A611" t="inlineStr">
        <is>
          <t>A 51936-2023</t>
        </is>
      </c>
      <c r="B611" s="1" t="n">
        <v>45223.5036574074</v>
      </c>
      <c r="C611" s="1" t="n">
        <v>45967</v>
      </c>
      <c r="D611" t="inlineStr">
        <is>
          <t>JÄMTLANDS LÄN</t>
        </is>
      </c>
      <c r="E611" t="inlineStr">
        <is>
          <t>ÖSTERSUND</t>
        </is>
      </c>
      <c r="G611" t="n">
        <v>8.4</v>
      </c>
      <c r="H611" t="n">
        <v>0</v>
      </c>
      <c r="I611" t="n">
        <v>0</v>
      </c>
      <c r="J611" t="n">
        <v>0</v>
      </c>
      <c r="K611" t="n">
        <v>0</v>
      </c>
      <c r="L611" t="n">
        <v>0</v>
      </c>
      <c r="M611" t="n">
        <v>0</v>
      </c>
      <c r="N611" t="n">
        <v>0</v>
      </c>
      <c r="O611" t="n">
        <v>0</v>
      </c>
      <c r="P611" t="n">
        <v>0</v>
      </c>
      <c r="Q611" t="n">
        <v>0</v>
      </c>
      <c r="R611" s="2" t="inlineStr"/>
    </row>
    <row r="612" ht="15" customHeight="1">
      <c r="A612" t="inlineStr">
        <is>
          <t>A 51941-2023</t>
        </is>
      </c>
      <c r="B612" s="1" t="n">
        <v>45223</v>
      </c>
      <c r="C612" s="1" t="n">
        <v>45967</v>
      </c>
      <c r="D612" t="inlineStr">
        <is>
          <t>JÄMTLANDS LÄN</t>
        </is>
      </c>
      <c r="E612" t="inlineStr">
        <is>
          <t>ÖSTERSUND</t>
        </is>
      </c>
      <c r="G612" t="n">
        <v>4.6</v>
      </c>
      <c r="H612" t="n">
        <v>0</v>
      </c>
      <c r="I612" t="n">
        <v>0</v>
      </c>
      <c r="J612" t="n">
        <v>0</v>
      </c>
      <c r="K612" t="n">
        <v>0</v>
      </c>
      <c r="L612" t="n">
        <v>0</v>
      </c>
      <c r="M612" t="n">
        <v>0</v>
      </c>
      <c r="N612" t="n">
        <v>0</v>
      </c>
      <c r="O612" t="n">
        <v>0</v>
      </c>
      <c r="P612" t="n">
        <v>0</v>
      </c>
      <c r="Q612" t="n">
        <v>0</v>
      </c>
      <c r="R612" s="2" t="inlineStr"/>
    </row>
    <row r="613" ht="15" customHeight="1">
      <c r="A613" t="inlineStr">
        <is>
          <t>A 14523-2023</t>
        </is>
      </c>
      <c r="B613" s="1" t="n">
        <v>45012</v>
      </c>
      <c r="C613" s="1" t="n">
        <v>45967</v>
      </c>
      <c r="D613" t="inlineStr">
        <is>
          <t>JÄMTLANDS LÄN</t>
        </is>
      </c>
      <c r="E613" t="inlineStr">
        <is>
          <t>ÖSTERSUND</t>
        </is>
      </c>
      <c r="G613" t="n">
        <v>4.5</v>
      </c>
      <c r="H613" t="n">
        <v>0</v>
      </c>
      <c r="I613" t="n">
        <v>0</v>
      </c>
      <c r="J613" t="n">
        <v>0</v>
      </c>
      <c r="K613" t="n">
        <v>0</v>
      </c>
      <c r="L613" t="n">
        <v>0</v>
      </c>
      <c r="M613" t="n">
        <v>0</v>
      </c>
      <c r="N613" t="n">
        <v>0</v>
      </c>
      <c r="O613" t="n">
        <v>0</v>
      </c>
      <c r="P613" t="n">
        <v>0</v>
      </c>
      <c r="Q613" t="n">
        <v>0</v>
      </c>
      <c r="R613" s="2" t="inlineStr"/>
    </row>
    <row r="614" ht="15" customHeight="1">
      <c r="A614" t="inlineStr">
        <is>
          <t>A 13282-2023</t>
        </is>
      </c>
      <c r="B614" s="1" t="n">
        <v>45004</v>
      </c>
      <c r="C614" s="1" t="n">
        <v>45967</v>
      </c>
      <c r="D614" t="inlineStr">
        <is>
          <t>JÄMTLANDS LÄN</t>
        </is>
      </c>
      <c r="E614" t="inlineStr">
        <is>
          <t>ÖSTERSUND</t>
        </is>
      </c>
      <c r="G614" t="n">
        <v>28.5</v>
      </c>
      <c r="H614" t="n">
        <v>0</v>
      </c>
      <c r="I614" t="n">
        <v>0</v>
      </c>
      <c r="J614" t="n">
        <v>0</v>
      </c>
      <c r="K614" t="n">
        <v>0</v>
      </c>
      <c r="L614" t="n">
        <v>0</v>
      </c>
      <c r="M614" t="n">
        <v>0</v>
      </c>
      <c r="N614" t="n">
        <v>0</v>
      </c>
      <c r="O614" t="n">
        <v>0</v>
      </c>
      <c r="P614" t="n">
        <v>0</v>
      </c>
      <c r="Q614" t="n">
        <v>0</v>
      </c>
      <c r="R614" s="2" t="inlineStr"/>
    </row>
    <row r="615" ht="15" customHeight="1">
      <c r="A615" t="inlineStr">
        <is>
          <t>A 54973-2023</t>
        </is>
      </c>
      <c r="B615" s="1" t="n">
        <v>45236.92776620371</v>
      </c>
      <c r="C615" s="1" t="n">
        <v>45967</v>
      </c>
      <c r="D615" t="inlineStr">
        <is>
          <t>JÄMTLANDS LÄN</t>
        </is>
      </c>
      <c r="E615" t="inlineStr">
        <is>
          <t>ÖSTERSUND</t>
        </is>
      </c>
      <c r="G615" t="n">
        <v>15.4</v>
      </c>
      <c r="H615" t="n">
        <v>0</v>
      </c>
      <c r="I615" t="n">
        <v>0</v>
      </c>
      <c r="J615" t="n">
        <v>0</v>
      </c>
      <c r="K615" t="n">
        <v>0</v>
      </c>
      <c r="L615" t="n">
        <v>0</v>
      </c>
      <c r="M615" t="n">
        <v>0</v>
      </c>
      <c r="N615" t="n">
        <v>0</v>
      </c>
      <c r="O615" t="n">
        <v>0</v>
      </c>
      <c r="P615" t="n">
        <v>0</v>
      </c>
      <c r="Q615" t="n">
        <v>0</v>
      </c>
      <c r="R615" s="2" t="inlineStr"/>
    </row>
    <row r="616" ht="15" customHeight="1">
      <c r="A616" t="inlineStr">
        <is>
          <t>A 4901-2025</t>
        </is>
      </c>
      <c r="B616" s="1" t="n">
        <v>45688.67965277778</v>
      </c>
      <c r="C616" s="1" t="n">
        <v>45967</v>
      </c>
      <c r="D616" t="inlineStr">
        <is>
          <t>JÄMTLANDS LÄN</t>
        </is>
      </c>
      <c r="E616" t="inlineStr">
        <is>
          <t>ÖSTERSUND</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47727-2023</t>
        </is>
      </c>
      <c r="B617" s="1" t="n">
        <v>45203</v>
      </c>
      <c r="C617" s="1" t="n">
        <v>45967</v>
      </c>
      <c r="D617" t="inlineStr">
        <is>
          <t>JÄMTLANDS LÄN</t>
        </is>
      </c>
      <c r="E617" t="inlineStr">
        <is>
          <t>ÖSTERSUND</t>
        </is>
      </c>
      <c r="G617" t="n">
        <v>2.6</v>
      </c>
      <c r="H617" t="n">
        <v>0</v>
      </c>
      <c r="I617" t="n">
        <v>0</v>
      </c>
      <c r="J617" t="n">
        <v>0</v>
      </c>
      <c r="K617" t="n">
        <v>0</v>
      </c>
      <c r="L617" t="n">
        <v>0</v>
      </c>
      <c r="M617" t="n">
        <v>0</v>
      </c>
      <c r="N617" t="n">
        <v>0</v>
      </c>
      <c r="O617" t="n">
        <v>0</v>
      </c>
      <c r="P617" t="n">
        <v>0</v>
      </c>
      <c r="Q617" t="n">
        <v>0</v>
      </c>
      <c r="R617" s="2" t="inlineStr"/>
    </row>
    <row r="618" ht="15" customHeight="1">
      <c r="A618" t="inlineStr">
        <is>
          <t>A 47804-2024</t>
        </is>
      </c>
      <c r="B618" s="1" t="n">
        <v>45588.61498842593</v>
      </c>
      <c r="C618" s="1" t="n">
        <v>45967</v>
      </c>
      <c r="D618" t="inlineStr">
        <is>
          <t>JÄMTLANDS LÄN</t>
        </is>
      </c>
      <c r="E618" t="inlineStr">
        <is>
          <t>ÖSTERSUND</t>
        </is>
      </c>
      <c r="F618" t="inlineStr">
        <is>
          <t>SCA</t>
        </is>
      </c>
      <c r="G618" t="n">
        <v>7.3</v>
      </c>
      <c r="H618" t="n">
        <v>0</v>
      </c>
      <c r="I618" t="n">
        <v>0</v>
      </c>
      <c r="J618" t="n">
        <v>0</v>
      </c>
      <c r="K618" t="n">
        <v>0</v>
      </c>
      <c r="L618" t="n">
        <v>0</v>
      </c>
      <c r="M618" t="n">
        <v>0</v>
      </c>
      <c r="N618" t="n">
        <v>0</v>
      </c>
      <c r="O618" t="n">
        <v>0</v>
      </c>
      <c r="P618" t="n">
        <v>0</v>
      </c>
      <c r="Q618" t="n">
        <v>0</v>
      </c>
      <c r="R618" s="2" t="inlineStr"/>
    </row>
    <row r="619" ht="15" customHeight="1">
      <c r="A619" t="inlineStr">
        <is>
          <t>A 47805-2024</t>
        </is>
      </c>
      <c r="B619" s="1" t="n">
        <v>45588.61512731481</v>
      </c>
      <c r="C619" s="1" t="n">
        <v>45967</v>
      </c>
      <c r="D619" t="inlineStr">
        <is>
          <t>JÄMTLANDS LÄN</t>
        </is>
      </c>
      <c r="E619" t="inlineStr">
        <is>
          <t>ÖSTERSUND</t>
        </is>
      </c>
      <c r="G619" t="n">
        <v>7.4</v>
      </c>
      <c r="H619" t="n">
        <v>0</v>
      </c>
      <c r="I619" t="n">
        <v>0</v>
      </c>
      <c r="J619" t="n">
        <v>0</v>
      </c>
      <c r="K619" t="n">
        <v>0</v>
      </c>
      <c r="L619" t="n">
        <v>0</v>
      </c>
      <c r="M619" t="n">
        <v>0</v>
      </c>
      <c r="N619" t="n">
        <v>0</v>
      </c>
      <c r="O619" t="n">
        <v>0</v>
      </c>
      <c r="P619" t="n">
        <v>0</v>
      </c>
      <c r="Q619" t="n">
        <v>0</v>
      </c>
      <c r="R619" s="2" t="inlineStr"/>
    </row>
    <row r="620" ht="15" customHeight="1">
      <c r="A620" t="inlineStr">
        <is>
          <t>A 10306-2023</t>
        </is>
      </c>
      <c r="B620" s="1" t="n">
        <v>44986.94196759259</v>
      </c>
      <c r="C620" s="1" t="n">
        <v>45967</v>
      </c>
      <c r="D620" t="inlineStr">
        <is>
          <t>JÄMTLANDS LÄN</t>
        </is>
      </c>
      <c r="E620" t="inlineStr">
        <is>
          <t>ÖSTERSUND</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32279-2025</t>
        </is>
      </c>
      <c r="B621" s="1" t="n">
        <v>45835.67109953704</v>
      </c>
      <c r="C621" s="1" t="n">
        <v>45967</v>
      </c>
      <c r="D621" t="inlineStr">
        <is>
          <t>JÄMTLANDS LÄN</t>
        </is>
      </c>
      <c r="E621" t="inlineStr">
        <is>
          <t>ÖSTERSUND</t>
        </is>
      </c>
      <c r="G621" t="n">
        <v>3.5</v>
      </c>
      <c r="H621" t="n">
        <v>0</v>
      </c>
      <c r="I621" t="n">
        <v>0</v>
      </c>
      <c r="J621" t="n">
        <v>0</v>
      </c>
      <c r="K621" t="n">
        <v>0</v>
      </c>
      <c r="L621" t="n">
        <v>0</v>
      </c>
      <c r="M621" t="n">
        <v>0</v>
      </c>
      <c r="N621" t="n">
        <v>0</v>
      </c>
      <c r="O621" t="n">
        <v>0</v>
      </c>
      <c r="P621" t="n">
        <v>0</v>
      </c>
      <c r="Q621" t="n">
        <v>0</v>
      </c>
      <c r="R621" s="2" t="inlineStr"/>
    </row>
    <row r="622" ht="15" customHeight="1">
      <c r="A622" t="inlineStr">
        <is>
          <t>A 32353-2025</t>
        </is>
      </c>
      <c r="B622" s="1" t="n">
        <v>45837.51741898148</v>
      </c>
      <c r="C622" s="1" t="n">
        <v>45967</v>
      </c>
      <c r="D622" t="inlineStr">
        <is>
          <t>JÄMTLANDS LÄN</t>
        </is>
      </c>
      <c r="E622" t="inlineStr">
        <is>
          <t>ÖSTERSUND</t>
        </is>
      </c>
      <c r="F622" t="inlineStr">
        <is>
          <t>Övriga Aktiebolag</t>
        </is>
      </c>
      <c r="G622" t="n">
        <v>4.8</v>
      </c>
      <c r="H622" t="n">
        <v>0</v>
      </c>
      <c r="I622" t="n">
        <v>0</v>
      </c>
      <c r="J622" t="n">
        <v>0</v>
      </c>
      <c r="K622" t="n">
        <v>0</v>
      </c>
      <c r="L622" t="n">
        <v>0</v>
      </c>
      <c r="M622" t="n">
        <v>0</v>
      </c>
      <c r="N622" t="n">
        <v>0</v>
      </c>
      <c r="O622" t="n">
        <v>0</v>
      </c>
      <c r="P622" t="n">
        <v>0</v>
      </c>
      <c r="Q622" t="n">
        <v>0</v>
      </c>
      <c r="R622" s="2" t="inlineStr"/>
    </row>
    <row r="623" ht="15" customHeight="1">
      <c r="A623" t="inlineStr">
        <is>
          <t>A 32358-2025</t>
        </is>
      </c>
      <c r="B623" s="1" t="n">
        <v>45837.57481481481</v>
      </c>
      <c r="C623" s="1" t="n">
        <v>45967</v>
      </c>
      <c r="D623" t="inlineStr">
        <is>
          <t>JÄMTLANDS LÄN</t>
        </is>
      </c>
      <c r="E623" t="inlineStr">
        <is>
          <t>ÖSTERSUND</t>
        </is>
      </c>
      <c r="F623" t="inlineStr">
        <is>
          <t>Övriga Aktiebolag</t>
        </is>
      </c>
      <c r="G623" t="n">
        <v>4.8</v>
      </c>
      <c r="H623" t="n">
        <v>0</v>
      </c>
      <c r="I623" t="n">
        <v>0</v>
      </c>
      <c r="J623" t="n">
        <v>0</v>
      </c>
      <c r="K623" t="n">
        <v>0</v>
      </c>
      <c r="L623" t="n">
        <v>0</v>
      </c>
      <c r="M623" t="n">
        <v>0</v>
      </c>
      <c r="N623" t="n">
        <v>0</v>
      </c>
      <c r="O623" t="n">
        <v>0</v>
      </c>
      <c r="P623" t="n">
        <v>0</v>
      </c>
      <c r="Q623" t="n">
        <v>0</v>
      </c>
      <c r="R623" s="2" t="inlineStr"/>
    </row>
    <row r="624" ht="15" customHeight="1">
      <c r="A624" t="inlineStr">
        <is>
          <t>A 32369-2025</t>
        </is>
      </c>
      <c r="B624" s="1" t="n">
        <v>45837.67381944445</v>
      </c>
      <c r="C624" s="1" t="n">
        <v>45967</v>
      </c>
      <c r="D624" t="inlineStr">
        <is>
          <t>JÄMTLANDS LÄN</t>
        </is>
      </c>
      <c r="E624" t="inlineStr">
        <is>
          <t>ÖSTERSUND</t>
        </is>
      </c>
      <c r="F624" t="inlineStr">
        <is>
          <t>Övriga Aktiebolag</t>
        </is>
      </c>
      <c r="G624" t="n">
        <v>5.7</v>
      </c>
      <c r="H624" t="n">
        <v>0</v>
      </c>
      <c r="I624" t="n">
        <v>0</v>
      </c>
      <c r="J624" t="n">
        <v>0</v>
      </c>
      <c r="K624" t="n">
        <v>0</v>
      </c>
      <c r="L624" t="n">
        <v>0</v>
      </c>
      <c r="M624" t="n">
        <v>0</v>
      </c>
      <c r="N624" t="n">
        <v>0</v>
      </c>
      <c r="O624" t="n">
        <v>0</v>
      </c>
      <c r="P624" t="n">
        <v>0</v>
      </c>
      <c r="Q624" t="n">
        <v>0</v>
      </c>
      <c r="R624" s="2" t="inlineStr"/>
    </row>
    <row r="625" ht="15" customHeight="1">
      <c r="A625" t="inlineStr">
        <is>
          <t>A 8261-2025</t>
        </is>
      </c>
      <c r="B625" s="1" t="n">
        <v>45708.50256944444</v>
      </c>
      <c r="C625" s="1" t="n">
        <v>45967</v>
      </c>
      <c r="D625" t="inlineStr">
        <is>
          <t>JÄMTLANDS LÄN</t>
        </is>
      </c>
      <c r="E625" t="inlineStr">
        <is>
          <t>ÖSTERSUND</t>
        </is>
      </c>
      <c r="G625" t="n">
        <v>5.4</v>
      </c>
      <c r="H625" t="n">
        <v>0</v>
      </c>
      <c r="I625" t="n">
        <v>0</v>
      </c>
      <c r="J625" t="n">
        <v>0</v>
      </c>
      <c r="K625" t="n">
        <v>0</v>
      </c>
      <c r="L625" t="n">
        <v>0</v>
      </c>
      <c r="M625" t="n">
        <v>0</v>
      </c>
      <c r="N625" t="n">
        <v>0</v>
      </c>
      <c r="O625" t="n">
        <v>0</v>
      </c>
      <c r="P625" t="n">
        <v>0</v>
      </c>
      <c r="Q625" t="n">
        <v>0</v>
      </c>
      <c r="R625" s="2" t="inlineStr"/>
    </row>
    <row r="626" ht="15" customHeight="1">
      <c r="A626" t="inlineStr">
        <is>
          <t>A 12352-2025</t>
        </is>
      </c>
      <c r="B626" s="1" t="n">
        <v>45730.36263888889</v>
      </c>
      <c r="C626" s="1" t="n">
        <v>45967</v>
      </c>
      <c r="D626" t="inlineStr">
        <is>
          <t>JÄMTLANDS LÄN</t>
        </is>
      </c>
      <c r="E626" t="inlineStr">
        <is>
          <t>ÖSTERSUND</t>
        </is>
      </c>
      <c r="G626" t="n">
        <v>7.8</v>
      </c>
      <c r="H626" t="n">
        <v>0</v>
      </c>
      <c r="I626" t="n">
        <v>0</v>
      </c>
      <c r="J626" t="n">
        <v>0</v>
      </c>
      <c r="K626" t="n">
        <v>0</v>
      </c>
      <c r="L626" t="n">
        <v>0</v>
      </c>
      <c r="M626" t="n">
        <v>0</v>
      </c>
      <c r="N626" t="n">
        <v>0</v>
      </c>
      <c r="O626" t="n">
        <v>0</v>
      </c>
      <c r="P626" t="n">
        <v>0</v>
      </c>
      <c r="Q626" t="n">
        <v>0</v>
      </c>
      <c r="R626" s="2" t="inlineStr"/>
    </row>
    <row r="627" ht="15" customHeight="1">
      <c r="A627" t="inlineStr">
        <is>
          <t>A 296-2023</t>
        </is>
      </c>
      <c r="B627" s="1" t="n">
        <v>44922</v>
      </c>
      <c r="C627" s="1" t="n">
        <v>45967</v>
      </c>
      <c r="D627" t="inlineStr">
        <is>
          <t>JÄMTLANDS LÄN</t>
        </is>
      </c>
      <c r="E627" t="inlineStr">
        <is>
          <t>ÖSTERSUND</t>
        </is>
      </c>
      <c r="G627" t="n">
        <v>0.8</v>
      </c>
      <c r="H627" t="n">
        <v>0</v>
      </c>
      <c r="I627" t="n">
        <v>0</v>
      </c>
      <c r="J627" t="n">
        <v>0</v>
      </c>
      <c r="K627" t="n">
        <v>0</v>
      </c>
      <c r="L627" t="n">
        <v>0</v>
      </c>
      <c r="M627" t="n">
        <v>0</v>
      </c>
      <c r="N627" t="n">
        <v>0</v>
      </c>
      <c r="O627" t="n">
        <v>0</v>
      </c>
      <c r="P627" t="n">
        <v>0</v>
      </c>
      <c r="Q627" t="n">
        <v>0</v>
      </c>
      <c r="R627" s="2" t="inlineStr"/>
    </row>
    <row r="628" ht="15" customHeight="1">
      <c r="A628" t="inlineStr">
        <is>
          <t>A 5553-2025</t>
        </is>
      </c>
      <c r="B628" s="1" t="n">
        <v>45693</v>
      </c>
      <c r="C628" s="1" t="n">
        <v>45967</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32368-2025</t>
        </is>
      </c>
      <c r="B629" s="1" t="n">
        <v>45837.66230324074</v>
      </c>
      <c r="C629" s="1" t="n">
        <v>45967</v>
      </c>
      <c r="D629" t="inlineStr">
        <is>
          <t>JÄMTLANDS LÄN</t>
        </is>
      </c>
      <c r="E629" t="inlineStr">
        <is>
          <t>ÖSTERSUND</t>
        </is>
      </c>
      <c r="F629" t="inlineStr">
        <is>
          <t>Övriga Aktiebolag</t>
        </is>
      </c>
      <c r="G629" t="n">
        <v>19.5</v>
      </c>
      <c r="H629" t="n">
        <v>0</v>
      </c>
      <c r="I629" t="n">
        <v>0</v>
      </c>
      <c r="J629" t="n">
        <v>0</v>
      </c>
      <c r="K629" t="n">
        <v>0</v>
      </c>
      <c r="L629" t="n">
        <v>0</v>
      </c>
      <c r="M629" t="n">
        <v>0</v>
      </c>
      <c r="N629" t="n">
        <v>0</v>
      </c>
      <c r="O629" t="n">
        <v>0</v>
      </c>
      <c r="P629" t="n">
        <v>0</v>
      </c>
      <c r="Q629" t="n">
        <v>0</v>
      </c>
      <c r="R629" s="2" t="inlineStr"/>
    </row>
    <row r="630" ht="15" customHeight="1">
      <c r="A630" t="inlineStr">
        <is>
          <t>A 32071-2025</t>
        </is>
      </c>
      <c r="B630" s="1" t="n">
        <v>45835.4491087963</v>
      </c>
      <c r="C630" s="1" t="n">
        <v>45967</v>
      </c>
      <c r="D630" t="inlineStr">
        <is>
          <t>JÄMTLANDS LÄN</t>
        </is>
      </c>
      <c r="E630" t="inlineStr">
        <is>
          <t>ÖSTERSUND</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64314-2023</t>
        </is>
      </c>
      <c r="B631" s="1" t="n">
        <v>45280</v>
      </c>
      <c r="C631" s="1" t="n">
        <v>45967</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13655-2025</t>
        </is>
      </c>
      <c r="B632" s="1" t="n">
        <v>45736.71956018519</v>
      </c>
      <c r="C632" s="1" t="n">
        <v>45967</v>
      </c>
      <c r="D632" t="inlineStr">
        <is>
          <t>JÄMTLANDS LÄN</t>
        </is>
      </c>
      <c r="E632" t="inlineStr">
        <is>
          <t>ÖSTERSUND</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33358-2025</t>
        </is>
      </c>
      <c r="B633" s="1" t="n">
        <v>45841.38054398148</v>
      </c>
      <c r="C633" s="1" t="n">
        <v>45967</v>
      </c>
      <c r="D633" t="inlineStr">
        <is>
          <t>JÄMTLANDS LÄN</t>
        </is>
      </c>
      <c r="E633" t="inlineStr">
        <is>
          <t>ÖSTERSUND</t>
        </is>
      </c>
      <c r="G633" t="n">
        <v>1</v>
      </c>
      <c r="H633" t="n">
        <v>0</v>
      </c>
      <c r="I633" t="n">
        <v>0</v>
      </c>
      <c r="J633" t="n">
        <v>0</v>
      </c>
      <c r="K633" t="n">
        <v>0</v>
      </c>
      <c r="L633" t="n">
        <v>0</v>
      </c>
      <c r="M633" t="n">
        <v>0</v>
      </c>
      <c r="N633" t="n">
        <v>0</v>
      </c>
      <c r="O633" t="n">
        <v>0</v>
      </c>
      <c r="P633" t="n">
        <v>0</v>
      </c>
      <c r="Q633" t="n">
        <v>0</v>
      </c>
      <c r="R633" s="2" t="inlineStr"/>
    </row>
    <row r="634" ht="15" customHeight="1">
      <c r="A634" t="inlineStr">
        <is>
          <t>A 32998-2021</t>
        </is>
      </c>
      <c r="B634" s="1" t="n">
        <v>44375</v>
      </c>
      <c r="C634" s="1" t="n">
        <v>45967</v>
      </c>
      <c r="D634" t="inlineStr">
        <is>
          <t>JÄMTLANDS LÄN</t>
        </is>
      </c>
      <c r="E634" t="inlineStr">
        <is>
          <t>ÖSTERSUND</t>
        </is>
      </c>
      <c r="G634" t="n">
        <v>0.1</v>
      </c>
      <c r="H634" t="n">
        <v>0</v>
      </c>
      <c r="I634" t="n">
        <v>0</v>
      </c>
      <c r="J634" t="n">
        <v>0</v>
      </c>
      <c r="K634" t="n">
        <v>0</v>
      </c>
      <c r="L634" t="n">
        <v>0</v>
      </c>
      <c r="M634" t="n">
        <v>0</v>
      </c>
      <c r="N634" t="n">
        <v>0</v>
      </c>
      <c r="O634" t="n">
        <v>0</v>
      </c>
      <c r="P634" t="n">
        <v>0</v>
      </c>
      <c r="Q634" t="n">
        <v>0</v>
      </c>
      <c r="R634" s="2" t="inlineStr"/>
    </row>
    <row r="635" ht="15" customHeight="1">
      <c r="A635" t="inlineStr">
        <is>
          <t>A 60575-2022</t>
        </is>
      </c>
      <c r="B635" s="1" t="n">
        <v>44911.5662037037</v>
      </c>
      <c r="C635" s="1" t="n">
        <v>45967</v>
      </c>
      <c r="D635" t="inlineStr">
        <is>
          <t>JÄMTLANDS LÄN</t>
        </is>
      </c>
      <c r="E635" t="inlineStr">
        <is>
          <t>ÖSTERSUND</t>
        </is>
      </c>
      <c r="G635" t="n">
        <v>1</v>
      </c>
      <c r="H635" t="n">
        <v>0</v>
      </c>
      <c r="I635" t="n">
        <v>0</v>
      </c>
      <c r="J635" t="n">
        <v>0</v>
      </c>
      <c r="K635" t="n">
        <v>0</v>
      </c>
      <c r="L635" t="n">
        <v>0</v>
      </c>
      <c r="M635" t="n">
        <v>0</v>
      </c>
      <c r="N635" t="n">
        <v>0</v>
      </c>
      <c r="O635" t="n">
        <v>0</v>
      </c>
      <c r="P635" t="n">
        <v>0</v>
      </c>
      <c r="Q635" t="n">
        <v>0</v>
      </c>
      <c r="R635" s="2" t="inlineStr"/>
    </row>
    <row r="636" ht="15" customHeight="1">
      <c r="A636" t="inlineStr">
        <is>
          <t>A 1211-2025</t>
        </is>
      </c>
      <c r="B636" s="1" t="n">
        <v>45667.40662037037</v>
      </c>
      <c r="C636" s="1" t="n">
        <v>45967</v>
      </c>
      <c r="D636" t="inlineStr">
        <is>
          <t>JÄMTLANDS LÄN</t>
        </is>
      </c>
      <c r="E636" t="inlineStr">
        <is>
          <t>ÖSTERSUND</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34331-2025</t>
        </is>
      </c>
      <c r="B637" s="1" t="n">
        <v>45846.44827546296</v>
      </c>
      <c r="C637" s="1" t="n">
        <v>45967</v>
      </c>
      <c r="D637" t="inlineStr">
        <is>
          <t>JÄMTLANDS LÄN</t>
        </is>
      </c>
      <c r="E637" t="inlineStr">
        <is>
          <t>ÖSTERSUND</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34490-2025</t>
        </is>
      </c>
      <c r="B638" s="1" t="n">
        <v>45847.40722222222</v>
      </c>
      <c r="C638" s="1" t="n">
        <v>45967</v>
      </c>
      <c r="D638" t="inlineStr">
        <is>
          <t>JÄMTLANDS LÄN</t>
        </is>
      </c>
      <c r="E638" t="inlineStr">
        <is>
          <t>ÖSTERSUND</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34589-2025</t>
        </is>
      </c>
      <c r="B639" s="1" t="n">
        <v>45847.61561342593</v>
      </c>
      <c r="C639" s="1" t="n">
        <v>45967</v>
      </c>
      <c r="D639" t="inlineStr">
        <is>
          <t>JÄMTLANDS LÄN</t>
        </is>
      </c>
      <c r="E639" t="inlineStr">
        <is>
          <t>ÖSTERSUND</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34587-2025</t>
        </is>
      </c>
      <c r="B640" s="1" t="n">
        <v>45847.61533564814</v>
      </c>
      <c r="C640" s="1" t="n">
        <v>45967</v>
      </c>
      <c r="D640" t="inlineStr">
        <is>
          <t>JÄMTLANDS LÄN</t>
        </is>
      </c>
      <c r="E640" t="inlineStr">
        <is>
          <t>ÖSTERSUND</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25228-2025</t>
        </is>
      </c>
      <c r="B641" s="1" t="n">
        <v>45800.48368055555</v>
      </c>
      <c r="C641" s="1" t="n">
        <v>45967</v>
      </c>
      <c r="D641" t="inlineStr">
        <is>
          <t>JÄMTLANDS LÄN</t>
        </is>
      </c>
      <c r="E641" t="inlineStr">
        <is>
          <t>ÖSTERSUND</t>
        </is>
      </c>
      <c r="G641" t="n">
        <v>1.6</v>
      </c>
      <c r="H641" t="n">
        <v>0</v>
      </c>
      <c r="I641" t="n">
        <v>0</v>
      </c>
      <c r="J641" t="n">
        <v>0</v>
      </c>
      <c r="K641" t="n">
        <v>0</v>
      </c>
      <c r="L641" t="n">
        <v>0</v>
      </c>
      <c r="M641" t="n">
        <v>0</v>
      </c>
      <c r="N641" t="n">
        <v>0</v>
      </c>
      <c r="O641" t="n">
        <v>0</v>
      </c>
      <c r="P641" t="n">
        <v>0</v>
      </c>
      <c r="Q641" t="n">
        <v>0</v>
      </c>
      <c r="R641" s="2" t="inlineStr"/>
    </row>
    <row r="642" ht="15" customHeight="1">
      <c r="A642" t="inlineStr">
        <is>
          <t>A 34923-2025</t>
        </is>
      </c>
      <c r="B642" s="1" t="n">
        <v>45849.55601851852</v>
      </c>
      <c r="C642" s="1" t="n">
        <v>45967</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36098-2025</t>
        </is>
      </c>
      <c r="B643" s="1" t="n">
        <v>45866.50549768518</v>
      </c>
      <c r="C643" s="1" t="n">
        <v>45967</v>
      </c>
      <c r="D643" t="inlineStr">
        <is>
          <t>JÄMTLANDS LÄN</t>
        </is>
      </c>
      <c r="E643" t="inlineStr">
        <is>
          <t>ÖSTERSUND</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26586-2025</t>
        </is>
      </c>
      <c r="B644" s="1" t="n">
        <v>45807.74140046296</v>
      </c>
      <c r="C644" s="1" t="n">
        <v>45967</v>
      </c>
      <c r="D644" t="inlineStr">
        <is>
          <t>JÄMTLANDS LÄN</t>
        </is>
      </c>
      <c r="E644" t="inlineStr">
        <is>
          <t>ÖSTERSUND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36211-2025</t>
        </is>
      </c>
      <c r="B645" s="1" t="n">
        <v>45867.46946759259</v>
      </c>
      <c r="C645" s="1" t="n">
        <v>45967</v>
      </c>
      <c r="D645" t="inlineStr">
        <is>
          <t>JÄMTLANDS LÄN</t>
        </is>
      </c>
      <c r="E645" t="inlineStr">
        <is>
          <t>ÖSTERSUND</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36566-2025</t>
        </is>
      </c>
      <c r="B646" s="1" t="n">
        <v>45869</v>
      </c>
      <c r="C646" s="1" t="n">
        <v>45967</v>
      </c>
      <c r="D646" t="inlineStr">
        <is>
          <t>JÄMTLANDS LÄN</t>
        </is>
      </c>
      <c r="E646" t="inlineStr">
        <is>
          <t>ÖSTERSUND</t>
        </is>
      </c>
      <c r="F646" t="inlineStr">
        <is>
          <t>Sveaskog</t>
        </is>
      </c>
      <c r="G646" t="n">
        <v>6.9</v>
      </c>
      <c r="H646" t="n">
        <v>0</v>
      </c>
      <c r="I646" t="n">
        <v>0</v>
      </c>
      <c r="J646" t="n">
        <v>0</v>
      </c>
      <c r="K646" t="n">
        <v>0</v>
      </c>
      <c r="L646" t="n">
        <v>0</v>
      </c>
      <c r="M646" t="n">
        <v>0</v>
      </c>
      <c r="N646" t="n">
        <v>0</v>
      </c>
      <c r="O646" t="n">
        <v>0</v>
      </c>
      <c r="P646" t="n">
        <v>0</v>
      </c>
      <c r="Q646" t="n">
        <v>0</v>
      </c>
      <c r="R646" s="2" t="inlineStr"/>
    </row>
    <row r="647">
      <c r="A647" t="inlineStr">
        <is>
          <t>A 37085-2025</t>
        </is>
      </c>
      <c r="B647" s="1" t="n">
        <v>45875.44840277778</v>
      </c>
      <c r="C647" s="1" t="n">
        <v>45967</v>
      </c>
      <c r="D647" t="inlineStr">
        <is>
          <t>JÄMTLANDS LÄN</t>
        </is>
      </c>
      <c r="E647" t="inlineStr">
        <is>
          <t>ÖSTERSUND</t>
        </is>
      </c>
      <c r="G647" t="n">
        <v>5.5</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2025-11-06T10:16:51Z</dcterms:created>
  <dcterms:modified xmlns:dcterms="http://purl.org/dc/terms/" xmlns:xsi="http://www.w3.org/2001/XMLSchema-instance" xsi:type="dcterms:W3CDTF">2025-11-06T10:16:51Z</dcterms:modified>
</cp:coreProperties>
</file>