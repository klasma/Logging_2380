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45732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45732</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45732</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45732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45732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45732</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45732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45732</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45732</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45732</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45732</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45732</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45732</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45732</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45732</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45732</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45732</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45732</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45732</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45732</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45732</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45732</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45732</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45732</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45732</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45732</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45732</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45732</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45732</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45732</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45732</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45732</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45732</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45732</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45732</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45732</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45732</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45732</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45732</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45732</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45732</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45732</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45732</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45732</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45732</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45732</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45732</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45732</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45732</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45732</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45732</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376-2023</t>
        </is>
      </c>
      <c r="B54" s="1" t="n">
        <v>44929</v>
      </c>
      <c r="C54" s="1" t="n">
        <v>45732</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40555-2024</t>
        </is>
      </c>
      <c r="B55" s="1" t="n">
        <v>45555</v>
      </c>
      <c r="C55" s="1" t="n">
        <v>45732</v>
      </c>
      <c r="D55" t="inlineStr">
        <is>
          <t>JÄMTLANDS LÄN</t>
        </is>
      </c>
      <c r="E55" t="inlineStr">
        <is>
          <t>ÖSTERSUND</t>
        </is>
      </c>
      <c r="G55" t="n">
        <v>7.7</v>
      </c>
      <c r="H55" t="n">
        <v>3</v>
      </c>
      <c r="I55" t="n">
        <v>3</v>
      </c>
      <c r="J55" t="n">
        <v>2</v>
      </c>
      <c r="K55" t="n">
        <v>1</v>
      </c>
      <c r="L55" t="n">
        <v>0</v>
      </c>
      <c r="M55" t="n">
        <v>0</v>
      </c>
      <c r="N55" t="n">
        <v>0</v>
      </c>
      <c r="O55" t="n">
        <v>3</v>
      </c>
      <c r="P55" t="n">
        <v>1</v>
      </c>
      <c r="Q55" t="n">
        <v>6</v>
      </c>
      <c r="R55" s="2" t="inlineStr">
        <is>
          <t>Knärot
Lunglav
Talltita
Guckusko
Luddlav
Skinnlav</t>
        </is>
      </c>
      <c r="S55">
        <f>HYPERLINK("https://klasma.github.io/Logging_2380/artfynd/A 40555-2024 artfynd.xlsx", "A 40555-2024")</f>
        <v/>
      </c>
      <c r="T55">
        <f>HYPERLINK("https://klasma.github.io/Logging_2380/kartor/A 40555-2024 karta.png", "A 40555-2024")</f>
        <v/>
      </c>
      <c r="U55">
        <f>HYPERLINK("https://klasma.github.io/Logging_2380/knärot/A 40555-2024 karta knärot.png", "A 40555-2024")</f>
        <v/>
      </c>
      <c r="V55">
        <f>HYPERLINK("https://klasma.github.io/Logging_2380/klagomål/A 40555-2024 FSC-klagomål.docx", "A 40555-2024")</f>
        <v/>
      </c>
      <c r="W55">
        <f>HYPERLINK("https://klasma.github.io/Logging_2380/klagomålsmail/A 40555-2024 FSC-klagomål mail.docx", "A 40555-2024")</f>
        <v/>
      </c>
      <c r="X55">
        <f>HYPERLINK("https://klasma.github.io/Logging_2380/tillsyn/A 40555-2024 tillsynsbegäran.docx", "A 40555-2024")</f>
        <v/>
      </c>
      <c r="Y55">
        <f>HYPERLINK("https://klasma.github.io/Logging_2380/tillsynsmail/A 40555-2024 tillsynsbegäran mail.docx", "A 40555-2024")</f>
        <v/>
      </c>
      <c r="Z55">
        <f>HYPERLINK("https://klasma.github.io/Logging_2380/fåglar/A 40555-2024 prioriterade fågelarter.docx", "A 40555-2024")</f>
        <v/>
      </c>
    </row>
    <row r="56" ht="15" customHeight="1">
      <c r="A56" t="inlineStr">
        <is>
          <t>A 54508-2024</t>
        </is>
      </c>
      <c r="B56" s="1" t="n">
        <v>45617</v>
      </c>
      <c r="C56" s="1" t="n">
        <v>45732</v>
      </c>
      <c r="D56" t="inlineStr">
        <is>
          <t>JÄMTLANDS LÄN</t>
        </is>
      </c>
      <c r="E56" t="inlineStr">
        <is>
          <t>ÖSTERSUND</t>
        </is>
      </c>
      <c r="G56" t="n">
        <v>7.6</v>
      </c>
      <c r="H56" t="n">
        <v>3</v>
      </c>
      <c r="I56" t="n">
        <v>0</v>
      </c>
      <c r="J56" t="n">
        <v>5</v>
      </c>
      <c r="K56" t="n">
        <v>1</v>
      </c>
      <c r="L56" t="n">
        <v>0</v>
      </c>
      <c r="M56" t="n">
        <v>0</v>
      </c>
      <c r="N56" t="n">
        <v>0</v>
      </c>
      <c r="O56" t="n">
        <v>6</v>
      </c>
      <c r="P56" t="n">
        <v>1</v>
      </c>
      <c r="Q56" t="n">
        <v>6</v>
      </c>
      <c r="R56" s="2" t="inlineStr">
        <is>
          <t>Knärot
Granticka
Harticka
Spillkråka
Talltita
Ullticka</t>
        </is>
      </c>
      <c r="S56">
        <f>HYPERLINK("https://klasma.github.io/Logging_2380/artfynd/A 54508-2024 artfynd.xlsx", "A 54508-2024")</f>
        <v/>
      </c>
      <c r="T56">
        <f>HYPERLINK("https://klasma.github.io/Logging_2380/kartor/A 54508-2024 karta.png", "A 54508-2024")</f>
        <v/>
      </c>
      <c r="U56">
        <f>HYPERLINK("https://klasma.github.io/Logging_2380/knärot/A 54508-2024 karta knärot.png", "A 54508-2024")</f>
        <v/>
      </c>
      <c r="V56">
        <f>HYPERLINK("https://klasma.github.io/Logging_2380/klagomål/A 54508-2024 FSC-klagomål.docx", "A 54508-2024")</f>
        <v/>
      </c>
      <c r="W56">
        <f>HYPERLINK("https://klasma.github.io/Logging_2380/klagomålsmail/A 54508-2024 FSC-klagomål mail.docx", "A 54508-2024")</f>
        <v/>
      </c>
      <c r="X56">
        <f>HYPERLINK("https://klasma.github.io/Logging_2380/tillsyn/A 54508-2024 tillsynsbegäran.docx", "A 54508-2024")</f>
        <v/>
      </c>
      <c r="Y56">
        <f>HYPERLINK("https://klasma.github.io/Logging_2380/tillsynsmail/A 54508-2024 tillsynsbegäran mail.docx", "A 54508-2024")</f>
        <v/>
      </c>
      <c r="Z56">
        <f>HYPERLINK("https://klasma.github.io/Logging_2380/fåglar/A 54508-2024 prioriterade fågelarter.docx", "A 54508-2024")</f>
        <v/>
      </c>
    </row>
    <row r="57" ht="15" customHeight="1">
      <c r="A57" t="inlineStr">
        <is>
          <t>A 2513-2025</t>
        </is>
      </c>
      <c r="B57" s="1" t="n">
        <v>45674</v>
      </c>
      <c r="C57" s="1" t="n">
        <v>45732</v>
      </c>
      <c r="D57" t="inlineStr">
        <is>
          <t>JÄMTLANDS LÄN</t>
        </is>
      </c>
      <c r="E57" t="inlineStr">
        <is>
          <t>ÖSTERSUND</t>
        </is>
      </c>
      <c r="G57" t="n">
        <v>30</v>
      </c>
      <c r="H57" t="n">
        <v>2</v>
      </c>
      <c r="I57" t="n">
        <v>1</v>
      </c>
      <c r="J57" t="n">
        <v>5</v>
      </c>
      <c r="K57" t="n">
        <v>0</v>
      </c>
      <c r="L57" t="n">
        <v>0</v>
      </c>
      <c r="M57" t="n">
        <v>0</v>
      </c>
      <c r="N57" t="n">
        <v>0</v>
      </c>
      <c r="O57" t="n">
        <v>5</v>
      </c>
      <c r="P57" t="n">
        <v>0</v>
      </c>
      <c r="Q57" t="n">
        <v>6</v>
      </c>
      <c r="R57" s="2" t="inlineStr">
        <is>
          <t>Garnlav
Granticka
Lunglav
Spillkråka
Tretåig hackspett
Stor aspticka</t>
        </is>
      </c>
      <c r="S57">
        <f>HYPERLINK("https://klasma.github.io/Logging_2380/artfynd/A 2513-2025 artfynd.xlsx", "A 2513-2025")</f>
        <v/>
      </c>
      <c r="T57">
        <f>HYPERLINK("https://klasma.github.io/Logging_2380/kartor/A 2513-2025 karta.png", "A 2513-2025")</f>
        <v/>
      </c>
      <c r="V57">
        <f>HYPERLINK("https://klasma.github.io/Logging_2380/klagomål/A 2513-2025 FSC-klagomål.docx", "A 2513-2025")</f>
        <v/>
      </c>
      <c r="W57">
        <f>HYPERLINK("https://klasma.github.io/Logging_2380/klagomålsmail/A 2513-2025 FSC-klagomål mail.docx", "A 2513-2025")</f>
        <v/>
      </c>
      <c r="X57">
        <f>HYPERLINK("https://klasma.github.io/Logging_2380/tillsyn/A 2513-2025 tillsynsbegäran.docx", "A 2513-2025")</f>
        <v/>
      </c>
      <c r="Y57">
        <f>HYPERLINK("https://klasma.github.io/Logging_2380/tillsynsmail/A 2513-2025 tillsynsbegäran mail.docx", "A 2513-2025")</f>
        <v/>
      </c>
      <c r="Z57">
        <f>HYPERLINK("https://klasma.github.io/Logging_2380/fåglar/A 2513-2025 prioriterade fågelarter.docx", "A 2513-2025")</f>
        <v/>
      </c>
    </row>
    <row r="58" ht="15" customHeight="1">
      <c r="A58" t="inlineStr">
        <is>
          <t>A 27577-2022</t>
        </is>
      </c>
      <c r="B58" s="1" t="n">
        <v>44742</v>
      </c>
      <c r="C58" s="1" t="n">
        <v>45732</v>
      </c>
      <c r="D58" t="inlineStr">
        <is>
          <t>JÄMTLANDS LÄN</t>
        </is>
      </c>
      <c r="E58" t="inlineStr">
        <is>
          <t>ÖSTERSUND</t>
        </is>
      </c>
      <c r="F58" t="inlineStr">
        <is>
          <t>SCA</t>
        </is>
      </c>
      <c r="G58" t="n">
        <v>12</v>
      </c>
      <c r="H58" t="n">
        <v>2</v>
      </c>
      <c r="I58" t="n">
        <v>3</v>
      </c>
      <c r="J58" t="n">
        <v>1</v>
      </c>
      <c r="K58" t="n">
        <v>0</v>
      </c>
      <c r="L58" t="n">
        <v>0</v>
      </c>
      <c r="M58" t="n">
        <v>0</v>
      </c>
      <c r="N58" t="n">
        <v>0</v>
      </c>
      <c r="O58" t="n">
        <v>1</v>
      </c>
      <c r="P58" t="n">
        <v>0</v>
      </c>
      <c r="Q58" t="n">
        <v>5</v>
      </c>
      <c r="R58" s="2" t="inlineStr">
        <is>
          <t>Granticka
Tibast
Tvåblad
Underviol
Blåsippa</t>
        </is>
      </c>
      <c r="S58">
        <f>HYPERLINK("https://klasma.github.io/Logging_2380/artfynd/A 27577-2022 artfynd.xlsx", "A 27577-2022")</f>
        <v/>
      </c>
      <c r="T58">
        <f>HYPERLINK("https://klasma.github.io/Logging_2380/kartor/A 27577-2022 karta.png", "A 27577-2022")</f>
        <v/>
      </c>
      <c r="V58">
        <f>HYPERLINK("https://klasma.github.io/Logging_2380/klagomål/A 27577-2022 FSC-klagomål.docx", "A 27577-2022")</f>
        <v/>
      </c>
      <c r="W58">
        <f>HYPERLINK("https://klasma.github.io/Logging_2380/klagomålsmail/A 27577-2022 FSC-klagomål mail.docx", "A 27577-2022")</f>
        <v/>
      </c>
      <c r="X58">
        <f>HYPERLINK("https://klasma.github.io/Logging_2380/tillsyn/A 27577-2022 tillsynsbegäran.docx", "A 27577-2022")</f>
        <v/>
      </c>
      <c r="Y58">
        <f>HYPERLINK("https://klasma.github.io/Logging_2380/tillsynsmail/A 27577-2022 tillsynsbegäran mail.docx", "A 27577-2022")</f>
        <v/>
      </c>
    </row>
    <row r="59" ht="15" customHeight="1">
      <c r="A59" t="inlineStr">
        <is>
          <t>A 47392-2022</t>
        </is>
      </c>
      <c r="B59" s="1" t="n">
        <v>44851</v>
      </c>
      <c r="C59" s="1" t="n">
        <v>45732</v>
      </c>
      <c r="D59" t="inlineStr">
        <is>
          <t>JÄMTLANDS LÄN</t>
        </is>
      </c>
      <c r="E59" t="inlineStr">
        <is>
          <t>ÖSTERSUND</t>
        </is>
      </c>
      <c r="G59" t="n">
        <v>1.6</v>
      </c>
      <c r="H59" t="n">
        <v>3</v>
      </c>
      <c r="I59" t="n">
        <v>3</v>
      </c>
      <c r="J59" t="n">
        <v>1</v>
      </c>
      <c r="K59" t="n">
        <v>1</v>
      </c>
      <c r="L59" t="n">
        <v>0</v>
      </c>
      <c r="M59" t="n">
        <v>0</v>
      </c>
      <c r="N59" t="n">
        <v>0</v>
      </c>
      <c r="O59" t="n">
        <v>2</v>
      </c>
      <c r="P59" t="n">
        <v>1</v>
      </c>
      <c r="Q59" t="n">
        <v>5</v>
      </c>
      <c r="R59" s="2" t="inlineStr">
        <is>
          <t>Knärot
Garnlav
Guckusko
Plattlummer
Trådfräken</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56096-2022</t>
        </is>
      </c>
      <c r="B60" s="1" t="n">
        <v>44889</v>
      </c>
      <c r="C60" s="1" t="n">
        <v>45732</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45732</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45732</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45732</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45732</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45732</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45732</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45732</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45732</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45732</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45732</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45732</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45732</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45732</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25369-2024</t>
        </is>
      </c>
      <c r="B74" s="1" t="n">
        <v>45463</v>
      </c>
      <c r="C74" s="1" t="n">
        <v>45732</v>
      </c>
      <c r="D74" t="inlineStr">
        <is>
          <t>JÄMTLANDS LÄN</t>
        </is>
      </c>
      <c r="E74" t="inlineStr">
        <is>
          <t>ÖSTERSUND</t>
        </is>
      </c>
      <c r="G74" t="n">
        <v>14.7</v>
      </c>
      <c r="H74" t="n">
        <v>1</v>
      </c>
      <c r="I74" t="n">
        <v>2</v>
      </c>
      <c r="J74" t="n">
        <v>1</v>
      </c>
      <c r="K74" t="n">
        <v>0</v>
      </c>
      <c r="L74" t="n">
        <v>0</v>
      </c>
      <c r="M74" t="n">
        <v>0</v>
      </c>
      <c r="N74" t="n">
        <v>0</v>
      </c>
      <c r="O74" t="n">
        <v>1</v>
      </c>
      <c r="P74" t="n">
        <v>0</v>
      </c>
      <c r="Q74" t="n">
        <v>4</v>
      </c>
      <c r="R74" s="2" t="inlineStr">
        <is>
          <t>Ullticka
Kransrams
Underviol
Blåsippa</t>
        </is>
      </c>
      <c r="S74">
        <f>HYPERLINK("https://klasma.github.io/Logging_2380/artfynd/A 25369-2024 artfynd.xlsx", "A 25369-2024")</f>
        <v/>
      </c>
      <c r="T74">
        <f>HYPERLINK("https://klasma.github.io/Logging_2380/kartor/A 25369-2024 karta.png", "A 25369-2024")</f>
        <v/>
      </c>
      <c r="V74">
        <f>HYPERLINK("https://klasma.github.io/Logging_2380/klagomål/A 25369-2024 FSC-klagomål.docx", "A 25369-2024")</f>
        <v/>
      </c>
      <c r="W74">
        <f>HYPERLINK("https://klasma.github.io/Logging_2380/klagomålsmail/A 25369-2024 FSC-klagomål mail.docx", "A 25369-2024")</f>
        <v/>
      </c>
      <c r="X74">
        <f>HYPERLINK("https://klasma.github.io/Logging_2380/tillsyn/A 25369-2024 tillsynsbegäran.docx", "A 25369-2024")</f>
        <v/>
      </c>
      <c r="Y74">
        <f>HYPERLINK("https://klasma.github.io/Logging_2380/tillsynsmail/A 25369-2024 tillsynsbegäran mail.docx", "A 25369-2024")</f>
        <v/>
      </c>
    </row>
    <row r="75" ht="15" customHeight="1">
      <c r="A75" t="inlineStr">
        <is>
          <t>A 41754-2024</t>
        </is>
      </c>
      <c r="B75" s="1" t="n">
        <v>45561</v>
      </c>
      <c r="C75" s="1" t="n">
        <v>45732</v>
      </c>
      <c r="D75" t="inlineStr">
        <is>
          <t>JÄMTLANDS LÄN</t>
        </is>
      </c>
      <c r="E75" t="inlineStr">
        <is>
          <t>ÖSTERSUND</t>
        </is>
      </c>
      <c r="F75" t="inlineStr">
        <is>
          <t>SCA</t>
        </is>
      </c>
      <c r="G75" t="n">
        <v>2.3</v>
      </c>
      <c r="H75" t="n">
        <v>0</v>
      </c>
      <c r="I75" t="n">
        <v>1</v>
      </c>
      <c r="J75" t="n">
        <v>3</v>
      </c>
      <c r="K75" t="n">
        <v>0</v>
      </c>
      <c r="L75" t="n">
        <v>0</v>
      </c>
      <c r="M75" t="n">
        <v>0</v>
      </c>
      <c r="N75" t="n">
        <v>0</v>
      </c>
      <c r="O75" t="n">
        <v>3</v>
      </c>
      <c r="P75" t="n">
        <v>0</v>
      </c>
      <c r="Q75" t="n">
        <v>4</v>
      </c>
      <c r="R75" s="2" t="inlineStr">
        <is>
          <t>Dvärgbägarlav
Kolflarnlav
Lunglav
Dropptaggsvamp</t>
        </is>
      </c>
      <c r="S75">
        <f>HYPERLINK("https://klasma.github.io/Logging_2380/artfynd/A 41754-2024 artfynd.xlsx", "A 41754-2024")</f>
        <v/>
      </c>
      <c r="T75">
        <f>HYPERLINK("https://klasma.github.io/Logging_2380/kartor/A 41754-2024 karta.png", "A 41754-2024")</f>
        <v/>
      </c>
      <c r="V75">
        <f>HYPERLINK("https://klasma.github.io/Logging_2380/klagomål/A 41754-2024 FSC-klagomål.docx", "A 41754-2024")</f>
        <v/>
      </c>
      <c r="W75">
        <f>HYPERLINK("https://klasma.github.io/Logging_2380/klagomålsmail/A 41754-2024 FSC-klagomål mail.docx", "A 41754-2024")</f>
        <v/>
      </c>
      <c r="X75">
        <f>HYPERLINK("https://klasma.github.io/Logging_2380/tillsyn/A 41754-2024 tillsynsbegäran.docx", "A 41754-2024")</f>
        <v/>
      </c>
      <c r="Y75">
        <f>HYPERLINK("https://klasma.github.io/Logging_2380/tillsynsmail/A 41754-2024 tillsynsbegäran mail.docx", "A 41754-2024")</f>
        <v/>
      </c>
    </row>
    <row r="76" ht="15" customHeight="1">
      <c r="A76" t="inlineStr">
        <is>
          <t>A 48753-2024</t>
        </is>
      </c>
      <c r="B76" s="1" t="n">
        <v>45593</v>
      </c>
      <c r="C76" s="1" t="n">
        <v>45732</v>
      </c>
      <c r="D76" t="inlineStr">
        <is>
          <t>JÄMTLANDS LÄN</t>
        </is>
      </c>
      <c r="E76" t="inlineStr">
        <is>
          <t>ÖSTERSUND</t>
        </is>
      </c>
      <c r="F76" t="inlineStr">
        <is>
          <t>Övriga statliga verk och myndigheter</t>
        </is>
      </c>
      <c r="G76" t="n">
        <v>2.2</v>
      </c>
      <c r="H76" t="n">
        <v>1</v>
      </c>
      <c r="I76" t="n">
        <v>0</v>
      </c>
      <c r="J76" t="n">
        <v>3</v>
      </c>
      <c r="K76" t="n">
        <v>0</v>
      </c>
      <c r="L76" t="n">
        <v>0</v>
      </c>
      <c r="M76" t="n">
        <v>0</v>
      </c>
      <c r="N76" t="n">
        <v>0</v>
      </c>
      <c r="O76" t="n">
        <v>3</v>
      </c>
      <c r="P76" t="n">
        <v>0</v>
      </c>
      <c r="Q76" t="n">
        <v>4</v>
      </c>
      <c r="R76" s="2" t="inlineStr">
        <is>
          <t>Granticka
Gränsticka
Ullticka
Revlummer</t>
        </is>
      </c>
      <c r="S76">
        <f>HYPERLINK("https://klasma.github.io/Logging_2380/artfynd/A 48753-2024 artfynd.xlsx", "A 48753-2024")</f>
        <v/>
      </c>
      <c r="T76">
        <f>HYPERLINK("https://klasma.github.io/Logging_2380/kartor/A 48753-2024 karta.png", "A 48753-2024")</f>
        <v/>
      </c>
      <c r="V76">
        <f>HYPERLINK("https://klasma.github.io/Logging_2380/klagomål/A 48753-2024 FSC-klagomål.docx", "A 48753-2024")</f>
        <v/>
      </c>
      <c r="W76">
        <f>HYPERLINK("https://klasma.github.io/Logging_2380/klagomålsmail/A 48753-2024 FSC-klagomål mail.docx", "A 48753-2024")</f>
        <v/>
      </c>
      <c r="X76">
        <f>HYPERLINK("https://klasma.github.io/Logging_2380/tillsyn/A 48753-2024 tillsynsbegäran.docx", "A 48753-2024")</f>
        <v/>
      </c>
      <c r="Y76">
        <f>HYPERLINK("https://klasma.github.io/Logging_2380/tillsynsmail/A 48753-2024 tillsynsbegäran mail.docx", "A 48753-2024")</f>
        <v/>
      </c>
    </row>
    <row r="77" ht="15" customHeight="1">
      <c r="A77" t="inlineStr">
        <is>
          <t>A 55818-2024</t>
        </is>
      </c>
      <c r="B77" s="1" t="n">
        <v>45623</v>
      </c>
      <c r="C77" s="1" t="n">
        <v>45732</v>
      </c>
      <c r="D77" t="inlineStr">
        <is>
          <t>JÄMTLANDS LÄN</t>
        </is>
      </c>
      <c r="E77" t="inlineStr">
        <is>
          <t>ÖSTERSUND</t>
        </is>
      </c>
      <c r="G77" t="n">
        <v>9.5</v>
      </c>
      <c r="H77" t="n">
        <v>0</v>
      </c>
      <c r="I77" t="n">
        <v>1</v>
      </c>
      <c r="J77" t="n">
        <v>2</v>
      </c>
      <c r="K77" t="n">
        <v>1</v>
      </c>
      <c r="L77" t="n">
        <v>0</v>
      </c>
      <c r="M77" t="n">
        <v>0</v>
      </c>
      <c r="N77" t="n">
        <v>0</v>
      </c>
      <c r="O77" t="n">
        <v>3</v>
      </c>
      <c r="P77" t="n">
        <v>1</v>
      </c>
      <c r="Q77" t="n">
        <v>4</v>
      </c>
      <c r="R77" s="2" t="inlineStr">
        <is>
          <t>Gräddporing
Kolflarnlav
Lunglav
Dropptaggsvamp</t>
        </is>
      </c>
      <c r="S77">
        <f>HYPERLINK("https://klasma.github.io/Logging_2380/artfynd/A 55818-2024 artfynd.xlsx", "A 55818-2024")</f>
        <v/>
      </c>
      <c r="T77">
        <f>HYPERLINK("https://klasma.github.io/Logging_2380/kartor/A 55818-2024 karta.png", "A 55818-2024")</f>
        <v/>
      </c>
      <c r="V77">
        <f>HYPERLINK("https://klasma.github.io/Logging_2380/klagomål/A 55818-2024 FSC-klagomål.docx", "A 55818-2024")</f>
        <v/>
      </c>
      <c r="W77">
        <f>HYPERLINK("https://klasma.github.io/Logging_2380/klagomålsmail/A 55818-2024 FSC-klagomål mail.docx", "A 55818-2024")</f>
        <v/>
      </c>
      <c r="X77">
        <f>HYPERLINK("https://klasma.github.io/Logging_2380/tillsyn/A 55818-2024 tillsynsbegäran.docx", "A 55818-2024")</f>
        <v/>
      </c>
      <c r="Y77">
        <f>HYPERLINK("https://klasma.github.io/Logging_2380/tillsynsmail/A 55818-2024 tillsynsbegäran mail.docx", "A 55818-2024")</f>
        <v/>
      </c>
    </row>
    <row r="78" ht="15" customHeight="1">
      <c r="A78" t="inlineStr">
        <is>
          <t>A 60109-2024</t>
        </is>
      </c>
      <c r="B78" s="1" t="n">
        <v>45642</v>
      </c>
      <c r="C78" s="1" t="n">
        <v>45732</v>
      </c>
      <c r="D78" t="inlineStr">
        <is>
          <t>JÄMTLANDS LÄN</t>
        </is>
      </c>
      <c r="E78" t="inlineStr">
        <is>
          <t>ÖSTERSUND</t>
        </is>
      </c>
      <c r="G78" t="n">
        <v>10.2</v>
      </c>
      <c r="H78" t="n">
        <v>1</v>
      </c>
      <c r="I78" t="n">
        <v>0</v>
      </c>
      <c r="J78" t="n">
        <v>4</v>
      </c>
      <c r="K78" t="n">
        <v>0</v>
      </c>
      <c r="L78" t="n">
        <v>0</v>
      </c>
      <c r="M78" t="n">
        <v>0</v>
      </c>
      <c r="N78" t="n">
        <v>0</v>
      </c>
      <c r="O78" t="n">
        <v>4</v>
      </c>
      <c r="P78" t="n">
        <v>0</v>
      </c>
      <c r="Q78" t="n">
        <v>4</v>
      </c>
      <c r="R78" s="2" t="inlineStr">
        <is>
          <t>Garnlav
Granticka
Spillkråka
Ullticka</t>
        </is>
      </c>
      <c r="S78">
        <f>HYPERLINK("https://klasma.github.io/Logging_2380/artfynd/A 60109-2024 artfynd.xlsx", "A 60109-2024")</f>
        <v/>
      </c>
      <c r="T78">
        <f>HYPERLINK("https://klasma.github.io/Logging_2380/kartor/A 60109-2024 karta.png", "A 60109-2024")</f>
        <v/>
      </c>
      <c r="V78">
        <f>HYPERLINK("https://klasma.github.io/Logging_2380/klagomål/A 60109-2024 FSC-klagomål.docx", "A 60109-2024")</f>
        <v/>
      </c>
      <c r="W78">
        <f>HYPERLINK("https://klasma.github.io/Logging_2380/klagomålsmail/A 60109-2024 FSC-klagomål mail.docx", "A 60109-2024")</f>
        <v/>
      </c>
      <c r="X78">
        <f>HYPERLINK("https://klasma.github.io/Logging_2380/tillsyn/A 60109-2024 tillsynsbegäran.docx", "A 60109-2024")</f>
        <v/>
      </c>
      <c r="Y78">
        <f>HYPERLINK("https://klasma.github.io/Logging_2380/tillsynsmail/A 60109-2024 tillsynsbegäran mail.docx", "A 60109-2024")</f>
        <v/>
      </c>
      <c r="Z78">
        <f>HYPERLINK("https://klasma.github.io/Logging_2380/fåglar/A 60109-2024 prioriterade fågelarter.docx", "A 60109-2024")</f>
        <v/>
      </c>
    </row>
    <row r="79" ht="15" customHeight="1">
      <c r="A79" t="inlineStr">
        <is>
          <t>A 60580-2024</t>
        </is>
      </c>
      <c r="B79" s="1" t="n">
        <v>45644</v>
      </c>
      <c r="C79" s="1" t="n">
        <v>45732</v>
      </c>
      <c r="D79" t="inlineStr">
        <is>
          <t>JÄMTLANDS LÄN</t>
        </is>
      </c>
      <c r="E79" t="inlineStr">
        <is>
          <t>ÖSTERSUND</t>
        </is>
      </c>
      <c r="G79" t="n">
        <v>13.5</v>
      </c>
      <c r="H79" t="n">
        <v>2</v>
      </c>
      <c r="I79" t="n">
        <v>0</v>
      </c>
      <c r="J79" t="n">
        <v>4</v>
      </c>
      <c r="K79" t="n">
        <v>0</v>
      </c>
      <c r="L79" t="n">
        <v>0</v>
      </c>
      <c r="M79" t="n">
        <v>0</v>
      </c>
      <c r="N79" t="n">
        <v>0</v>
      </c>
      <c r="O79" t="n">
        <v>4</v>
      </c>
      <c r="P79" t="n">
        <v>0</v>
      </c>
      <c r="Q79" t="n">
        <v>4</v>
      </c>
      <c r="R79" s="2" t="inlineStr">
        <is>
          <t>Granticka
Lunglav
Spillkråka
Tretåig hackspett</t>
        </is>
      </c>
      <c r="S79">
        <f>HYPERLINK("https://klasma.github.io/Logging_2380/artfynd/A 60580-2024 artfynd.xlsx", "A 60580-2024")</f>
        <v/>
      </c>
      <c r="T79">
        <f>HYPERLINK("https://klasma.github.io/Logging_2380/kartor/A 60580-2024 karta.png", "A 60580-2024")</f>
        <v/>
      </c>
      <c r="V79">
        <f>HYPERLINK("https://klasma.github.io/Logging_2380/klagomål/A 60580-2024 FSC-klagomål.docx", "A 60580-2024")</f>
        <v/>
      </c>
      <c r="W79">
        <f>HYPERLINK("https://klasma.github.io/Logging_2380/klagomålsmail/A 60580-2024 FSC-klagomål mail.docx", "A 60580-2024")</f>
        <v/>
      </c>
      <c r="X79">
        <f>HYPERLINK("https://klasma.github.io/Logging_2380/tillsyn/A 60580-2024 tillsynsbegäran.docx", "A 60580-2024")</f>
        <v/>
      </c>
      <c r="Y79">
        <f>HYPERLINK("https://klasma.github.io/Logging_2380/tillsynsmail/A 60580-2024 tillsynsbegäran mail.docx", "A 60580-2024")</f>
        <v/>
      </c>
      <c r="Z79">
        <f>HYPERLINK("https://klasma.github.io/Logging_2380/fåglar/A 60580-2024 prioriterade fågelarter.docx", "A 60580-2024")</f>
        <v/>
      </c>
    </row>
    <row r="80" ht="15" customHeight="1">
      <c r="A80" t="inlineStr">
        <is>
          <t>A 23410-2019</t>
        </is>
      </c>
      <c r="B80" s="1" t="n">
        <v>43592</v>
      </c>
      <c r="C80" s="1" t="n">
        <v>45732</v>
      </c>
      <c r="D80" t="inlineStr">
        <is>
          <t>JÄMTLANDS LÄN</t>
        </is>
      </c>
      <c r="E80" t="inlineStr">
        <is>
          <t>ÖSTERSUND</t>
        </is>
      </c>
      <c r="G80" t="n">
        <v>10.6</v>
      </c>
      <c r="H80" t="n">
        <v>3</v>
      </c>
      <c r="I80" t="n">
        <v>2</v>
      </c>
      <c r="J80" t="n">
        <v>0</v>
      </c>
      <c r="K80" t="n">
        <v>0</v>
      </c>
      <c r="L80" t="n">
        <v>0</v>
      </c>
      <c r="M80" t="n">
        <v>0</v>
      </c>
      <c r="N80" t="n">
        <v>0</v>
      </c>
      <c r="O80" t="n">
        <v>0</v>
      </c>
      <c r="P80" t="n">
        <v>0</v>
      </c>
      <c r="Q80" t="n">
        <v>3</v>
      </c>
      <c r="R80" s="2" t="inlineStr">
        <is>
          <t>Guckusko
Tvåblad
Fläcknycklar</t>
        </is>
      </c>
      <c r="S80">
        <f>HYPERLINK("https://klasma.github.io/Logging_2380/artfynd/A 23410-2019 artfynd.xlsx", "A 23410-2019")</f>
        <v/>
      </c>
      <c r="T80">
        <f>HYPERLINK("https://klasma.github.io/Logging_2380/kartor/A 23410-2019 karta.png", "A 23410-2019")</f>
        <v/>
      </c>
      <c r="V80">
        <f>HYPERLINK("https://klasma.github.io/Logging_2380/klagomål/A 23410-2019 FSC-klagomål.docx", "A 23410-2019")</f>
        <v/>
      </c>
      <c r="W80">
        <f>HYPERLINK("https://klasma.github.io/Logging_2380/klagomålsmail/A 23410-2019 FSC-klagomål mail.docx", "A 23410-2019")</f>
        <v/>
      </c>
      <c r="X80">
        <f>HYPERLINK("https://klasma.github.io/Logging_2380/tillsyn/A 23410-2019 tillsynsbegäran.docx", "A 23410-2019")</f>
        <v/>
      </c>
      <c r="Y80">
        <f>HYPERLINK("https://klasma.github.io/Logging_2380/tillsynsmail/A 23410-2019 tillsynsbegäran mail.docx", "A 23410-2019")</f>
        <v/>
      </c>
    </row>
    <row r="81" ht="15" customHeight="1">
      <c r="A81" t="inlineStr">
        <is>
          <t>A 26741-2019</t>
        </is>
      </c>
      <c r="B81" s="1" t="n">
        <v>43607</v>
      </c>
      <c r="C81" s="1" t="n">
        <v>45732</v>
      </c>
      <c r="D81" t="inlineStr">
        <is>
          <t>JÄMTLANDS LÄN</t>
        </is>
      </c>
      <c r="E81" t="inlineStr">
        <is>
          <t>ÖSTERSUND</t>
        </is>
      </c>
      <c r="F81" t="inlineStr">
        <is>
          <t>Övriga statliga verk och myndigheter</t>
        </is>
      </c>
      <c r="G81" t="n">
        <v>4.5</v>
      </c>
      <c r="H81" t="n">
        <v>0</v>
      </c>
      <c r="I81" t="n">
        <v>1</v>
      </c>
      <c r="J81" t="n">
        <v>1</v>
      </c>
      <c r="K81" t="n">
        <v>0</v>
      </c>
      <c r="L81" t="n">
        <v>1</v>
      </c>
      <c r="M81" t="n">
        <v>0</v>
      </c>
      <c r="N81" t="n">
        <v>0</v>
      </c>
      <c r="O81" t="n">
        <v>2</v>
      </c>
      <c r="P81" t="n">
        <v>1</v>
      </c>
      <c r="Q81" t="n">
        <v>3</v>
      </c>
      <c r="R81" s="2" t="inlineStr">
        <is>
          <t>Trolldruvemätare
Lunglav
Svart trolldruva</t>
        </is>
      </c>
      <c r="S81">
        <f>HYPERLINK("https://klasma.github.io/Logging_2380/artfynd/A 26741-2019 artfynd.xlsx", "A 26741-2019")</f>
        <v/>
      </c>
      <c r="T81">
        <f>HYPERLINK("https://klasma.github.io/Logging_2380/kartor/A 26741-2019 karta.png", "A 26741-2019")</f>
        <v/>
      </c>
      <c r="V81">
        <f>HYPERLINK("https://klasma.github.io/Logging_2380/klagomål/A 26741-2019 FSC-klagomål.docx", "A 26741-2019")</f>
        <v/>
      </c>
      <c r="W81">
        <f>HYPERLINK("https://klasma.github.io/Logging_2380/klagomålsmail/A 26741-2019 FSC-klagomål mail.docx", "A 26741-2019")</f>
        <v/>
      </c>
      <c r="X81">
        <f>HYPERLINK("https://klasma.github.io/Logging_2380/tillsyn/A 26741-2019 tillsynsbegäran.docx", "A 26741-2019")</f>
        <v/>
      </c>
      <c r="Y81">
        <f>HYPERLINK("https://klasma.github.io/Logging_2380/tillsynsmail/A 26741-2019 tillsynsbegäran mail.docx", "A 26741-2019")</f>
        <v/>
      </c>
    </row>
    <row r="82" ht="15" customHeight="1">
      <c r="A82" t="inlineStr">
        <is>
          <t>A 36815-2019</t>
        </is>
      </c>
      <c r="B82" s="1" t="n">
        <v>43672</v>
      </c>
      <c r="C82" s="1" t="n">
        <v>45732</v>
      </c>
      <c r="D82" t="inlineStr">
        <is>
          <t>JÄMTLANDS LÄN</t>
        </is>
      </c>
      <c r="E82" t="inlineStr">
        <is>
          <t>ÖSTERSUND</t>
        </is>
      </c>
      <c r="F82" t="inlineStr">
        <is>
          <t>SCA</t>
        </is>
      </c>
      <c r="G82" t="n">
        <v>7.4</v>
      </c>
      <c r="H82" t="n">
        <v>1</v>
      </c>
      <c r="I82" t="n">
        <v>0</v>
      </c>
      <c r="J82" t="n">
        <v>2</v>
      </c>
      <c r="K82" t="n">
        <v>0</v>
      </c>
      <c r="L82" t="n">
        <v>0</v>
      </c>
      <c r="M82" t="n">
        <v>0</v>
      </c>
      <c r="N82" t="n">
        <v>0</v>
      </c>
      <c r="O82" t="n">
        <v>2</v>
      </c>
      <c r="P82" t="n">
        <v>0</v>
      </c>
      <c r="Q82" t="n">
        <v>3</v>
      </c>
      <c r="R82" s="2" t="inlineStr">
        <is>
          <t>Lunglav
Skrovellav
Blåsippa</t>
        </is>
      </c>
      <c r="S82">
        <f>HYPERLINK("https://klasma.github.io/Logging_2380/artfynd/A 36815-2019 artfynd.xlsx", "A 36815-2019")</f>
        <v/>
      </c>
      <c r="T82">
        <f>HYPERLINK("https://klasma.github.io/Logging_2380/kartor/A 36815-2019 karta.png", "A 36815-2019")</f>
        <v/>
      </c>
      <c r="V82">
        <f>HYPERLINK("https://klasma.github.io/Logging_2380/klagomål/A 36815-2019 FSC-klagomål.docx", "A 36815-2019")</f>
        <v/>
      </c>
      <c r="W82">
        <f>HYPERLINK("https://klasma.github.io/Logging_2380/klagomålsmail/A 36815-2019 FSC-klagomål mail.docx", "A 36815-2019")</f>
        <v/>
      </c>
      <c r="X82">
        <f>HYPERLINK("https://klasma.github.io/Logging_2380/tillsyn/A 36815-2019 tillsynsbegäran.docx", "A 36815-2019")</f>
        <v/>
      </c>
      <c r="Y82">
        <f>HYPERLINK("https://klasma.github.io/Logging_2380/tillsynsmail/A 36815-2019 tillsynsbegäran mail.docx", "A 36815-2019")</f>
        <v/>
      </c>
    </row>
    <row r="83" ht="15" customHeight="1">
      <c r="A83" t="inlineStr">
        <is>
          <t>A 62240-2019</t>
        </is>
      </c>
      <c r="B83" s="1" t="n">
        <v>43784</v>
      </c>
      <c r="C83" s="1" t="n">
        <v>45732</v>
      </c>
      <c r="D83" t="inlineStr">
        <is>
          <t>JÄMTLANDS LÄN</t>
        </is>
      </c>
      <c r="E83" t="inlineStr">
        <is>
          <t>ÖSTERSUND</t>
        </is>
      </c>
      <c r="G83" t="n">
        <v>2</v>
      </c>
      <c r="H83" t="n">
        <v>1</v>
      </c>
      <c r="I83" t="n">
        <v>2</v>
      </c>
      <c r="J83" t="n">
        <v>0</v>
      </c>
      <c r="K83" t="n">
        <v>0</v>
      </c>
      <c r="L83" t="n">
        <v>0</v>
      </c>
      <c r="M83" t="n">
        <v>0</v>
      </c>
      <c r="N83" t="n">
        <v>0</v>
      </c>
      <c r="O83" t="n">
        <v>0</v>
      </c>
      <c r="P83" t="n">
        <v>0</v>
      </c>
      <c r="Q83" t="n">
        <v>3</v>
      </c>
      <c r="R83" s="2" t="inlineStr">
        <is>
          <t>Tibast
Ögonpyrola
Blåsippa</t>
        </is>
      </c>
      <c r="S83">
        <f>HYPERLINK("https://klasma.github.io/Logging_2380/artfynd/A 62240-2019 artfynd.xlsx", "A 62240-2019")</f>
        <v/>
      </c>
      <c r="T83">
        <f>HYPERLINK("https://klasma.github.io/Logging_2380/kartor/A 62240-2019 karta.png", "A 62240-2019")</f>
        <v/>
      </c>
      <c r="V83">
        <f>HYPERLINK("https://klasma.github.io/Logging_2380/klagomål/A 62240-2019 FSC-klagomål.docx", "A 62240-2019")</f>
        <v/>
      </c>
      <c r="W83">
        <f>HYPERLINK("https://klasma.github.io/Logging_2380/klagomålsmail/A 62240-2019 FSC-klagomål mail.docx", "A 62240-2019")</f>
        <v/>
      </c>
      <c r="X83">
        <f>HYPERLINK("https://klasma.github.io/Logging_2380/tillsyn/A 62240-2019 tillsynsbegäran.docx", "A 62240-2019")</f>
        <v/>
      </c>
      <c r="Y83">
        <f>HYPERLINK("https://klasma.github.io/Logging_2380/tillsynsmail/A 62240-2019 tillsynsbegäran mail.docx", "A 62240-2019")</f>
        <v/>
      </c>
    </row>
    <row r="84" ht="15" customHeight="1">
      <c r="A84" t="inlineStr">
        <is>
          <t>A 7877-2021</t>
        </is>
      </c>
      <c r="B84" s="1" t="n">
        <v>44242</v>
      </c>
      <c r="C84" s="1" t="n">
        <v>45732</v>
      </c>
      <c r="D84" t="inlineStr">
        <is>
          <t>JÄMTLANDS LÄN</t>
        </is>
      </c>
      <c r="E84" t="inlineStr">
        <is>
          <t>ÖSTERSUND</t>
        </is>
      </c>
      <c r="G84" t="n">
        <v>18.2</v>
      </c>
      <c r="H84" t="n">
        <v>2</v>
      </c>
      <c r="I84" t="n">
        <v>2</v>
      </c>
      <c r="J84" t="n">
        <v>0</v>
      </c>
      <c r="K84" t="n">
        <v>1</v>
      </c>
      <c r="L84" t="n">
        <v>0</v>
      </c>
      <c r="M84" t="n">
        <v>0</v>
      </c>
      <c r="N84" t="n">
        <v>0</v>
      </c>
      <c r="O84" t="n">
        <v>1</v>
      </c>
      <c r="P84" t="n">
        <v>1</v>
      </c>
      <c r="Q84" t="n">
        <v>3</v>
      </c>
      <c r="R84" s="2" t="inlineStr">
        <is>
          <t>Knärot
Grönpyrola
Spindelblomster</t>
        </is>
      </c>
      <c r="S84">
        <f>HYPERLINK("https://klasma.github.io/Logging_2380/artfynd/A 7877-2021 artfynd.xlsx", "A 7877-2021")</f>
        <v/>
      </c>
      <c r="T84">
        <f>HYPERLINK("https://klasma.github.io/Logging_2380/kartor/A 7877-2021 karta.png", "A 7877-2021")</f>
        <v/>
      </c>
      <c r="U84">
        <f>HYPERLINK("https://klasma.github.io/Logging_2380/knärot/A 7877-2021 karta knärot.png", "A 7877-2021")</f>
        <v/>
      </c>
      <c r="V84">
        <f>HYPERLINK("https://klasma.github.io/Logging_2380/klagomål/A 7877-2021 FSC-klagomål.docx", "A 7877-2021")</f>
        <v/>
      </c>
      <c r="W84">
        <f>HYPERLINK("https://klasma.github.io/Logging_2380/klagomålsmail/A 7877-2021 FSC-klagomål mail.docx", "A 7877-2021")</f>
        <v/>
      </c>
      <c r="X84">
        <f>HYPERLINK("https://klasma.github.io/Logging_2380/tillsyn/A 7877-2021 tillsynsbegäran.docx", "A 7877-2021")</f>
        <v/>
      </c>
      <c r="Y84">
        <f>HYPERLINK("https://klasma.github.io/Logging_2380/tillsynsmail/A 7877-2021 tillsynsbegäran mail.docx", "A 7877-2021")</f>
        <v/>
      </c>
    </row>
    <row r="85" ht="15" customHeight="1">
      <c r="A85" t="inlineStr">
        <is>
          <t>A 54421-2021</t>
        </is>
      </c>
      <c r="B85" s="1" t="n">
        <v>44473</v>
      </c>
      <c r="C85" s="1" t="n">
        <v>45732</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29349-2022</t>
        </is>
      </c>
      <c r="B86" s="1" t="n">
        <v>44750</v>
      </c>
      <c r="C86" s="1" t="n">
        <v>45732</v>
      </c>
      <c r="D86" t="inlineStr">
        <is>
          <t>JÄMTLANDS LÄN</t>
        </is>
      </c>
      <c r="E86" t="inlineStr">
        <is>
          <t>ÖSTERSUND</t>
        </is>
      </c>
      <c r="G86" t="n">
        <v>9.9</v>
      </c>
      <c r="H86" t="n">
        <v>1</v>
      </c>
      <c r="I86" t="n">
        <v>3</v>
      </c>
      <c r="J86" t="n">
        <v>0</v>
      </c>
      <c r="K86" t="n">
        <v>0</v>
      </c>
      <c r="L86" t="n">
        <v>0</v>
      </c>
      <c r="M86" t="n">
        <v>0</v>
      </c>
      <c r="N86" t="n">
        <v>0</v>
      </c>
      <c r="O86" t="n">
        <v>0</v>
      </c>
      <c r="P86" t="n">
        <v>0</v>
      </c>
      <c r="Q86" t="n">
        <v>3</v>
      </c>
      <c r="R86" s="2" t="inlineStr">
        <is>
          <t>Finbräken
Grönkulla
Kransrams</t>
        </is>
      </c>
      <c r="S86">
        <f>HYPERLINK("https://klasma.github.io/Logging_2380/artfynd/A 29349-2022 artfynd.xlsx", "A 29349-2022")</f>
        <v/>
      </c>
      <c r="T86">
        <f>HYPERLINK("https://klasma.github.io/Logging_2380/kartor/A 29349-2022 karta.png", "A 29349-2022")</f>
        <v/>
      </c>
      <c r="V86">
        <f>HYPERLINK("https://klasma.github.io/Logging_2380/klagomål/A 29349-2022 FSC-klagomål.docx", "A 29349-2022")</f>
        <v/>
      </c>
      <c r="W86">
        <f>HYPERLINK("https://klasma.github.io/Logging_2380/klagomålsmail/A 29349-2022 FSC-klagomål mail.docx", "A 29349-2022")</f>
        <v/>
      </c>
      <c r="X86">
        <f>HYPERLINK("https://klasma.github.io/Logging_2380/tillsyn/A 29349-2022 tillsynsbegäran.docx", "A 29349-2022")</f>
        <v/>
      </c>
      <c r="Y86">
        <f>HYPERLINK("https://klasma.github.io/Logging_2380/tillsynsmail/A 29349-2022 tillsynsbegäran mail.docx", "A 29349-2022")</f>
        <v/>
      </c>
    </row>
    <row r="87" ht="15" customHeight="1">
      <c r="A87" t="inlineStr">
        <is>
          <t>A 39641-2022</t>
        </is>
      </c>
      <c r="B87" s="1" t="n">
        <v>44817</v>
      </c>
      <c r="C87" s="1" t="n">
        <v>45732</v>
      </c>
      <c r="D87" t="inlineStr">
        <is>
          <t>JÄMTLANDS LÄN</t>
        </is>
      </c>
      <c r="E87" t="inlineStr">
        <is>
          <t>ÖSTERSUND</t>
        </is>
      </c>
      <c r="G87" t="n">
        <v>6</v>
      </c>
      <c r="H87" t="n">
        <v>2</v>
      </c>
      <c r="I87" t="n">
        <v>1</v>
      </c>
      <c r="J87" t="n">
        <v>1</v>
      </c>
      <c r="K87" t="n">
        <v>1</v>
      </c>
      <c r="L87" t="n">
        <v>0</v>
      </c>
      <c r="M87" t="n">
        <v>0</v>
      </c>
      <c r="N87" t="n">
        <v>0</v>
      </c>
      <c r="O87" t="n">
        <v>2</v>
      </c>
      <c r="P87" t="n">
        <v>1</v>
      </c>
      <c r="Q87" t="n">
        <v>3</v>
      </c>
      <c r="R87" s="2" t="inlineStr">
        <is>
          <t>Knärot
Tretåig hackspett
Kransrams</t>
        </is>
      </c>
      <c r="S87">
        <f>HYPERLINK("https://klasma.github.io/Logging_2380/artfynd/A 39641-2022 artfynd.xlsx", "A 39641-2022")</f>
        <v/>
      </c>
      <c r="T87">
        <f>HYPERLINK("https://klasma.github.io/Logging_2380/kartor/A 39641-2022 karta.png", "A 39641-2022")</f>
        <v/>
      </c>
      <c r="U87">
        <f>HYPERLINK("https://klasma.github.io/Logging_2380/knärot/A 39641-2022 karta knärot.png", "A 39641-2022")</f>
        <v/>
      </c>
      <c r="V87">
        <f>HYPERLINK("https://klasma.github.io/Logging_2380/klagomål/A 39641-2022 FSC-klagomål.docx", "A 39641-2022")</f>
        <v/>
      </c>
      <c r="W87">
        <f>HYPERLINK("https://klasma.github.io/Logging_2380/klagomålsmail/A 39641-2022 FSC-klagomål mail.docx", "A 39641-2022")</f>
        <v/>
      </c>
      <c r="X87">
        <f>HYPERLINK("https://klasma.github.io/Logging_2380/tillsyn/A 39641-2022 tillsynsbegäran.docx", "A 39641-2022")</f>
        <v/>
      </c>
      <c r="Y87">
        <f>HYPERLINK("https://klasma.github.io/Logging_2380/tillsynsmail/A 39641-2022 tillsynsbegäran mail.docx", "A 39641-2022")</f>
        <v/>
      </c>
      <c r="Z87">
        <f>HYPERLINK("https://klasma.github.io/Logging_2380/fåglar/A 39641-2022 prioriterade fågelarter.docx", "A 39641-2022")</f>
        <v/>
      </c>
    </row>
    <row r="88" ht="15" customHeight="1">
      <c r="A88" t="inlineStr">
        <is>
          <t>A 60565-2022</t>
        </is>
      </c>
      <c r="B88" s="1" t="n">
        <v>44904</v>
      </c>
      <c r="C88" s="1" t="n">
        <v>45732</v>
      </c>
      <c r="D88" t="inlineStr">
        <is>
          <t>JÄMTLANDS LÄN</t>
        </is>
      </c>
      <c r="E88" t="inlineStr">
        <is>
          <t>ÖSTERSUND</t>
        </is>
      </c>
      <c r="G88" t="n">
        <v>2.5</v>
      </c>
      <c r="H88" t="n">
        <v>2</v>
      </c>
      <c r="I88" t="n">
        <v>0</v>
      </c>
      <c r="J88" t="n">
        <v>2</v>
      </c>
      <c r="K88" t="n">
        <v>0</v>
      </c>
      <c r="L88" t="n">
        <v>0</v>
      </c>
      <c r="M88" t="n">
        <v>0</v>
      </c>
      <c r="N88" t="n">
        <v>0</v>
      </c>
      <c r="O88" t="n">
        <v>2</v>
      </c>
      <c r="P88" t="n">
        <v>0</v>
      </c>
      <c r="Q88" t="n">
        <v>3</v>
      </c>
      <c r="R88" s="2" t="inlineStr">
        <is>
          <t>Garnlav
Talltita
Revlummer</t>
        </is>
      </c>
      <c r="S88">
        <f>HYPERLINK("https://klasma.github.io/Logging_2380/artfynd/A 60565-2022 artfynd.xlsx", "A 60565-2022")</f>
        <v/>
      </c>
      <c r="T88">
        <f>HYPERLINK("https://klasma.github.io/Logging_2380/kartor/A 60565-2022 karta.png", "A 60565-2022")</f>
        <v/>
      </c>
      <c r="V88">
        <f>HYPERLINK("https://klasma.github.io/Logging_2380/klagomål/A 60565-2022 FSC-klagomål.docx", "A 60565-2022")</f>
        <v/>
      </c>
      <c r="W88">
        <f>HYPERLINK("https://klasma.github.io/Logging_2380/klagomålsmail/A 60565-2022 FSC-klagomål mail.docx", "A 60565-2022")</f>
        <v/>
      </c>
      <c r="X88">
        <f>HYPERLINK("https://klasma.github.io/Logging_2380/tillsyn/A 60565-2022 tillsynsbegäran.docx", "A 60565-2022")</f>
        <v/>
      </c>
      <c r="Y88">
        <f>HYPERLINK("https://klasma.github.io/Logging_2380/tillsynsmail/A 60565-2022 tillsynsbegäran mail.docx", "A 60565-2022")</f>
        <v/>
      </c>
      <c r="Z88">
        <f>HYPERLINK("https://klasma.github.io/Logging_2380/fåglar/A 60565-2022 prioriterade fågelarter.docx", "A 60565-2022")</f>
        <v/>
      </c>
    </row>
    <row r="89" ht="15" customHeight="1">
      <c r="A89" t="inlineStr">
        <is>
          <t>A 5100-2023</t>
        </is>
      </c>
      <c r="B89" s="1" t="n">
        <v>44956</v>
      </c>
      <c r="C89" s="1" t="n">
        <v>45732</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19520-2023</t>
        </is>
      </c>
      <c r="B90" s="1" t="n">
        <v>45049</v>
      </c>
      <c r="C90" s="1" t="n">
        <v>45732</v>
      </c>
      <c r="D90" t="inlineStr">
        <is>
          <t>JÄMTLANDS LÄN</t>
        </is>
      </c>
      <c r="E90" t="inlineStr">
        <is>
          <t>ÖSTERSUND</t>
        </is>
      </c>
      <c r="G90" t="n">
        <v>2</v>
      </c>
      <c r="H90" t="n">
        <v>0</v>
      </c>
      <c r="I90" t="n">
        <v>2</v>
      </c>
      <c r="J90" t="n">
        <v>0</v>
      </c>
      <c r="K90" t="n">
        <v>0</v>
      </c>
      <c r="L90" t="n">
        <v>1</v>
      </c>
      <c r="M90" t="n">
        <v>0</v>
      </c>
      <c r="N90" t="n">
        <v>0</v>
      </c>
      <c r="O90" t="n">
        <v>1</v>
      </c>
      <c r="P90" t="n">
        <v>1</v>
      </c>
      <c r="Q90" t="n">
        <v>3</v>
      </c>
      <c r="R90" s="2" t="inlineStr">
        <is>
          <t>Trolldruvemätare
Svart trolldruva
Svavelriska</t>
        </is>
      </c>
      <c r="S90">
        <f>HYPERLINK("https://klasma.github.io/Logging_2380/artfynd/A 19520-2023 artfynd.xlsx", "A 19520-2023")</f>
        <v/>
      </c>
      <c r="T90">
        <f>HYPERLINK("https://klasma.github.io/Logging_2380/kartor/A 19520-2023 karta.png", "A 19520-2023")</f>
        <v/>
      </c>
      <c r="V90">
        <f>HYPERLINK("https://klasma.github.io/Logging_2380/klagomål/A 19520-2023 FSC-klagomål.docx", "A 19520-2023")</f>
        <v/>
      </c>
      <c r="W90">
        <f>HYPERLINK("https://klasma.github.io/Logging_2380/klagomålsmail/A 19520-2023 FSC-klagomål mail.docx", "A 19520-2023")</f>
        <v/>
      </c>
      <c r="X90">
        <f>HYPERLINK("https://klasma.github.io/Logging_2380/tillsyn/A 19520-2023 tillsynsbegäran.docx", "A 19520-2023")</f>
        <v/>
      </c>
      <c r="Y90">
        <f>HYPERLINK("https://klasma.github.io/Logging_2380/tillsynsmail/A 19520-2023 tillsynsbegäran mail.docx", "A 19520-2023")</f>
        <v/>
      </c>
    </row>
    <row r="91" ht="15" customHeight="1">
      <c r="A91" t="inlineStr">
        <is>
          <t>A 21752-2023</t>
        </is>
      </c>
      <c r="B91" s="1" t="n">
        <v>45063</v>
      </c>
      <c r="C91" s="1" t="n">
        <v>45732</v>
      </c>
      <c r="D91" t="inlineStr">
        <is>
          <t>JÄMTLANDS LÄN</t>
        </is>
      </c>
      <c r="E91" t="inlineStr">
        <is>
          <t>ÖSTERSUND</t>
        </is>
      </c>
      <c r="G91" t="n">
        <v>1.5</v>
      </c>
      <c r="H91" t="n">
        <v>3</v>
      </c>
      <c r="I91" t="n">
        <v>1</v>
      </c>
      <c r="J91" t="n">
        <v>0</v>
      </c>
      <c r="K91" t="n">
        <v>1</v>
      </c>
      <c r="L91" t="n">
        <v>0</v>
      </c>
      <c r="M91" t="n">
        <v>0</v>
      </c>
      <c r="N91" t="n">
        <v>0</v>
      </c>
      <c r="O91" t="n">
        <v>1</v>
      </c>
      <c r="P91" t="n">
        <v>1</v>
      </c>
      <c r="Q91" t="n">
        <v>3</v>
      </c>
      <c r="R91" s="2" t="inlineStr">
        <is>
          <t>Knärot
Spindelblomster
Fläcknycklar</t>
        </is>
      </c>
      <c r="S91">
        <f>HYPERLINK("https://klasma.github.io/Logging_2380/artfynd/A 21752-2023 artfynd.xlsx", "A 21752-2023")</f>
        <v/>
      </c>
      <c r="T91">
        <f>HYPERLINK("https://klasma.github.io/Logging_2380/kartor/A 21752-2023 karta.png", "A 21752-2023")</f>
        <v/>
      </c>
      <c r="U91">
        <f>HYPERLINK("https://klasma.github.io/Logging_2380/knärot/A 21752-2023 karta knärot.png", "A 21752-2023")</f>
        <v/>
      </c>
      <c r="V91">
        <f>HYPERLINK("https://klasma.github.io/Logging_2380/klagomål/A 21752-2023 FSC-klagomål.docx", "A 21752-2023")</f>
        <v/>
      </c>
      <c r="W91">
        <f>HYPERLINK("https://klasma.github.io/Logging_2380/klagomålsmail/A 21752-2023 FSC-klagomål mail.docx", "A 21752-2023")</f>
        <v/>
      </c>
      <c r="X91">
        <f>HYPERLINK("https://klasma.github.io/Logging_2380/tillsyn/A 21752-2023 tillsynsbegäran.docx", "A 21752-2023")</f>
        <v/>
      </c>
      <c r="Y91">
        <f>HYPERLINK("https://klasma.github.io/Logging_2380/tillsynsmail/A 21752-2023 tillsynsbegäran mail.docx", "A 21752-2023")</f>
        <v/>
      </c>
    </row>
    <row r="92" ht="15" customHeight="1">
      <c r="A92" t="inlineStr">
        <is>
          <t>A 43981-2023</t>
        </is>
      </c>
      <c r="B92" s="1" t="n">
        <v>45187</v>
      </c>
      <c r="C92" s="1" t="n">
        <v>45732</v>
      </c>
      <c r="D92" t="inlineStr">
        <is>
          <t>JÄMTLANDS LÄN</t>
        </is>
      </c>
      <c r="E92" t="inlineStr">
        <is>
          <t>ÖSTERSUND</t>
        </is>
      </c>
      <c r="F92" t="inlineStr">
        <is>
          <t>SCA</t>
        </is>
      </c>
      <c r="G92" t="n">
        <v>7.5</v>
      </c>
      <c r="H92" t="n">
        <v>1</v>
      </c>
      <c r="I92" t="n">
        <v>0</v>
      </c>
      <c r="J92" t="n">
        <v>2</v>
      </c>
      <c r="K92" t="n">
        <v>1</v>
      </c>
      <c r="L92" t="n">
        <v>0</v>
      </c>
      <c r="M92" t="n">
        <v>0</v>
      </c>
      <c r="N92" t="n">
        <v>0</v>
      </c>
      <c r="O92" t="n">
        <v>3</v>
      </c>
      <c r="P92" t="n">
        <v>1</v>
      </c>
      <c r="Q92" t="n">
        <v>3</v>
      </c>
      <c r="R92" s="2" t="inlineStr">
        <is>
          <t>Knärot
Lunglav
Ullticka</t>
        </is>
      </c>
      <c r="S92">
        <f>HYPERLINK("https://klasma.github.io/Logging_2380/artfynd/A 43981-2023 artfynd.xlsx", "A 43981-2023")</f>
        <v/>
      </c>
      <c r="T92">
        <f>HYPERLINK("https://klasma.github.io/Logging_2380/kartor/A 43981-2023 karta.png", "A 43981-2023")</f>
        <v/>
      </c>
      <c r="U92">
        <f>HYPERLINK("https://klasma.github.io/Logging_2380/knärot/A 43981-2023 karta knärot.png", "A 43981-2023")</f>
        <v/>
      </c>
      <c r="V92">
        <f>HYPERLINK("https://klasma.github.io/Logging_2380/klagomål/A 43981-2023 FSC-klagomål.docx", "A 43981-2023")</f>
        <v/>
      </c>
      <c r="W92">
        <f>HYPERLINK("https://klasma.github.io/Logging_2380/klagomålsmail/A 43981-2023 FSC-klagomål mail.docx", "A 43981-2023")</f>
        <v/>
      </c>
      <c r="X92">
        <f>HYPERLINK("https://klasma.github.io/Logging_2380/tillsyn/A 43981-2023 tillsynsbegäran.docx", "A 43981-2023")</f>
        <v/>
      </c>
      <c r="Y92">
        <f>HYPERLINK("https://klasma.github.io/Logging_2380/tillsynsmail/A 43981-2023 tillsynsbegäran mail.docx", "A 43981-2023")</f>
        <v/>
      </c>
    </row>
    <row r="93" ht="15" customHeight="1">
      <c r="A93" t="inlineStr">
        <is>
          <t>A 46705-2023</t>
        </is>
      </c>
      <c r="B93" s="1" t="n">
        <v>45198</v>
      </c>
      <c r="C93" s="1" t="n">
        <v>45732</v>
      </c>
      <c r="D93" t="inlineStr">
        <is>
          <t>JÄMTLANDS LÄN</t>
        </is>
      </c>
      <c r="E93" t="inlineStr">
        <is>
          <t>ÖSTERSUND</t>
        </is>
      </c>
      <c r="F93" t="inlineStr">
        <is>
          <t>Sveaskog</t>
        </is>
      </c>
      <c r="G93" t="n">
        <v>7.5</v>
      </c>
      <c r="H93" t="n">
        <v>1</v>
      </c>
      <c r="I93" t="n">
        <v>3</v>
      </c>
      <c r="J93" t="n">
        <v>0</v>
      </c>
      <c r="K93" t="n">
        <v>0</v>
      </c>
      <c r="L93" t="n">
        <v>0</v>
      </c>
      <c r="M93" t="n">
        <v>0</v>
      </c>
      <c r="N93" t="n">
        <v>0</v>
      </c>
      <c r="O93" t="n">
        <v>0</v>
      </c>
      <c r="P93" t="n">
        <v>0</v>
      </c>
      <c r="Q93" t="n">
        <v>3</v>
      </c>
      <c r="R93" s="2" t="inlineStr">
        <is>
          <t>Finbräken
Guckusko
Ögonpyrola</t>
        </is>
      </c>
      <c r="S93">
        <f>HYPERLINK("https://klasma.github.io/Logging_2380/artfynd/A 46705-2023 artfynd.xlsx", "A 46705-2023")</f>
        <v/>
      </c>
      <c r="T93">
        <f>HYPERLINK("https://klasma.github.io/Logging_2380/kartor/A 46705-2023 karta.png", "A 46705-2023")</f>
        <v/>
      </c>
      <c r="V93">
        <f>HYPERLINK("https://klasma.github.io/Logging_2380/klagomål/A 46705-2023 FSC-klagomål.docx", "A 46705-2023")</f>
        <v/>
      </c>
      <c r="W93">
        <f>HYPERLINK("https://klasma.github.io/Logging_2380/klagomålsmail/A 46705-2023 FSC-klagomål mail.docx", "A 46705-2023")</f>
        <v/>
      </c>
      <c r="X93">
        <f>HYPERLINK("https://klasma.github.io/Logging_2380/tillsyn/A 46705-2023 tillsynsbegäran.docx", "A 46705-2023")</f>
        <v/>
      </c>
      <c r="Y93">
        <f>HYPERLINK("https://klasma.github.io/Logging_2380/tillsynsmail/A 46705-2023 tillsynsbegäran mail.docx", "A 46705-2023")</f>
        <v/>
      </c>
    </row>
    <row r="94" ht="15" customHeight="1">
      <c r="A94" t="inlineStr">
        <is>
          <t>A 51877-2023</t>
        </is>
      </c>
      <c r="B94" s="1" t="n">
        <v>45215</v>
      </c>
      <c r="C94" s="1" t="n">
        <v>45732</v>
      </c>
      <c r="D94" t="inlineStr">
        <is>
          <t>JÄMTLANDS LÄN</t>
        </is>
      </c>
      <c r="E94" t="inlineStr">
        <is>
          <t>ÖSTERSUND</t>
        </is>
      </c>
      <c r="G94" t="n">
        <v>10.5</v>
      </c>
      <c r="H94" t="n">
        <v>1</v>
      </c>
      <c r="I94" t="n">
        <v>1</v>
      </c>
      <c r="J94" t="n">
        <v>2</v>
      </c>
      <c r="K94" t="n">
        <v>0</v>
      </c>
      <c r="L94" t="n">
        <v>0</v>
      </c>
      <c r="M94" t="n">
        <v>0</v>
      </c>
      <c r="N94" t="n">
        <v>0</v>
      </c>
      <c r="O94" t="n">
        <v>2</v>
      </c>
      <c r="P94" t="n">
        <v>0</v>
      </c>
      <c r="Q94" t="n">
        <v>3</v>
      </c>
      <c r="R94" s="2" t="inlineStr">
        <is>
          <t>Garnlav
Talltita
Nästlav</t>
        </is>
      </c>
      <c r="S94">
        <f>HYPERLINK("https://klasma.github.io/Logging_2380/artfynd/A 51877-2023 artfynd.xlsx", "A 51877-2023")</f>
        <v/>
      </c>
      <c r="T94">
        <f>HYPERLINK("https://klasma.github.io/Logging_2380/kartor/A 51877-2023 karta.png", "A 51877-2023")</f>
        <v/>
      </c>
      <c r="V94">
        <f>HYPERLINK("https://klasma.github.io/Logging_2380/klagomål/A 51877-2023 FSC-klagomål.docx", "A 51877-2023")</f>
        <v/>
      </c>
      <c r="W94">
        <f>HYPERLINK("https://klasma.github.io/Logging_2380/klagomålsmail/A 51877-2023 FSC-klagomål mail.docx", "A 51877-2023")</f>
        <v/>
      </c>
      <c r="X94">
        <f>HYPERLINK("https://klasma.github.io/Logging_2380/tillsyn/A 51877-2023 tillsynsbegäran.docx", "A 51877-2023")</f>
        <v/>
      </c>
      <c r="Y94">
        <f>HYPERLINK("https://klasma.github.io/Logging_2380/tillsynsmail/A 51877-2023 tillsynsbegäran mail.docx", "A 51877-2023")</f>
        <v/>
      </c>
      <c r="Z94">
        <f>HYPERLINK("https://klasma.github.io/Logging_2380/fåglar/A 51877-2023 prioriterade fågelarter.docx", "A 51877-2023")</f>
        <v/>
      </c>
    </row>
    <row r="95" ht="15" customHeight="1">
      <c r="A95" t="inlineStr">
        <is>
          <t>A 3846-2024</t>
        </is>
      </c>
      <c r="B95" s="1" t="n">
        <v>45321</v>
      </c>
      <c r="C95" s="1" t="n">
        <v>45732</v>
      </c>
      <c r="D95" t="inlineStr">
        <is>
          <t>JÄMTLANDS LÄN</t>
        </is>
      </c>
      <c r="E95" t="inlineStr">
        <is>
          <t>ÖSTERSUND</t>
        </is>
      </c>
      <c r="G95" t="n">
        <v>2.2</v>
      </c>
      <c r="H95" t="n">
        <v>0</v>
      </c>
      <c r="I95" t="n">
        <v>2</v>
      </c>
      <c r="J95" t="n">
        <v>1</v>
      </c>
      <c r="K95" t="n">
        <v>0</v>
      </c>
      <c r="L95" t="n">
        <v>0</v>
      </c>
      <c r="M95" t="n">
        <v>0</v>
      </c>
      <c r="N95" t="n">
        <v>0</v>
      </c>
      <c r="O95" t="n">
        <v>1</v>
      </c>
      <c r="P95" t="n">
        <v>0</v>
      </c>
      <c r="Q95" t="n">
        <v>3</v>
      </c>
      <c r="R95" s="2" t="inlineStr">
        <is>
          <t>Granticka
Olivspindling
Svavelriska</t>
        </is>
      </c>
      <c r="S95">
        <f>HYPERLINK("https://klasma.github.io/Logging_2380/artfynd/A 3846-2024 artfynd.xlsx", "A 3846-2024")</f>
        <v/>
      </c>
      <c r="T95">
        <f>HYPERLINK("https://klasma.github.io/Logging_2380/kartor/A 3846-2024 karta.png", "A 3846-2024")</f>
        <v/>
      </c>
      <c r="V95">
        <f>HYPERLINK("https://klasma.github.io/Logging_2380/klagomål/A 3846-2024 FSC-klagomål.docx", "A 3846-2024")</f>
        <v/>
      </c>
      <c r="W95">
        <f>HYPERLINK("https://klasma.github.io/Logging_2380/klagomålsmail/A 3846-2024 FSC-klagomål mail.docx", "A 3846-2024")</f>
        <v/>
      </c>
      <c r="X95">
        <f>HYPERLINK("https://klasma.github.io/Logging_2380/tillsyn/A 3846-2024 tillsynsbegäran.docx", "A 3846-2024")</f>
        <v/>
      </c>
      <c r="Y95">
        <f>HYPERLINK("https://klasma.github.io/Logging_2380/tillsynsmail/A 3846-2024 tillsynsbegäran mail.docx", "A 3846-2024")</f>
        <v/>
      </c>
    </row>
    <row r="96" ht="15" customHeight="1">
      <c r="A96" t="inlineStr">
        <is>
          <t>A 31448-2024</t>
        </is>
      </c>
      <c r="B96" s="1" t="n">
        <v>45506</v>
      </c>
      <c r="C96" s="1" t="n">
        <v>45732</v>
      </c>
      <c r="D96" t="inlineStr">
        <is>
          <t>JÄMTLANDS LÄN</t>
        </is>
      </c>
      <c r="E96" t="inlineStr">
        <is>
          <t>ÖSTERSUND</t>
        </is>
      </c>
      <c r="G96" t="n">
        <v>10</v>
      </c>
      <c r="H96" t="n">
        <v>1</v>
      </c>
      <c r="I96" t="n">
        <v>0</v>
      </c>
      <c r="J96" t="n">
        <v>3</v>
      </c>
      <c r="K96" t="n">
        <v>0</v>
      </c>
      <c r="L96" t="n">
        <v>0</v>
      </c>
      <c r="M96" t="n">
        <v>0</v>
      </c>
      <c r="N96" t="n">
        <v>0</v>
      </c>
      <c r="O96" t="n">
        <v>3</v>
      </c>
      <c r="P96" t="n">
        <v>0</v>
      </c>
      <c r="Q96" t="n">
        <v>3</v>
      </c>
      <c r="R96" s="2" t="inlineStr">
        <is>
          <t>Garnlav
Granticka
Spillkråka</t>
        </is>
      </c>
      <c r="S96">
        <f>HYPERLINK("https://klasma.github.io/Logging_2380/artfynd/A 31448-2024 artfynd.xlsx", "A 31448-2024")</f>
        <v/>
      </c>
      <c r="T96">
        <f>HYPERLINK("https://klasma.github.io/Logging_2380/kartor/A 31448-2024 karta.png", "A 31448-2024")</f>
        <v/>
      </c>
      <c r="V96">
        <f>HYPERLINK("https://klasma.github.io/Logging_2380/klagomål/A 31448-2024 FSC-klagomål.docx", "A 31448-2024")</f>
        <v/>
      </c>
      <c r="W96">
        <f>HYPERLINK("https://klasma.github.io/Logging_2380/klagomålsmail/A 31448-2024 FSC-klagomål mail.docx", "A 31448-2024")</f>
        <v/>
      </c>
      <c r="X96">
        <f>HYPERLINK("https://klasma.github.io/Logging_2380/tillsyn/A 31448-2024 tillsynsbegäran.docx", "A 31448-2024")</f>
        <v/>
      </c>
      <c r="Y96">
        <f>HYPERLINK("https://klasma.github.io/Logging_2380/tillsynsmail/A 31448-2024 tillsynsbegäran mail.docx", "A 31448-2024")</f>
        <v/>
      </c>
      <c r="Z96">
        <f>HYPERLINK("https://klasma.github.io/Logging_2380/fåglar/A 31448-2024 prioriterade fågelarter.docx", "A 31448-2024")</f>
        <v/>
      </c>
    </row>
    <row r="97" ht="15" customHeight="1">
      <c r="A97" t="inlineStr">
        <is>
          <t>A 36742-2024</t>
        </is>
      </c>
      <c r="B97" s="1" t="n">
        <v>45538</v>
      </c>
      <c r="C97" s="1" t="n">
        <v>45732</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40695-2024</t>
        </is>
      </c>
      <c r="B98" s="1" t="n">
        <v>45558</v>
      </c>
      <c r="C98" s="1" t="n">
        <v>45732</v>
      </c>
      <c r="D98" t="inlineStr">
        <is>
          <t>JÄMTLANDS LÄN</t>
        </is>
      </c>
      <c r="E98" t="inlineStr">
        <is>
          <t>ÖSTERSUND</t>
        </is>
      </c>
      <c r="F98" t="inlineStr">
        <is>
          <t>SCA</t>
        </is>
      </c>
      <c r="G98" t="n">
        <v>2.9</v>
      </c>
      <c r="H98" t="n">
        <v>0</v>
      </c>
      <c r="I98" t="n">
        <v>2</v>
      </c>
      <c r="J98" t="n">
        <v>1</v>
      </c>
      <c r="K98" t="n">
        <v>0</v>
      </c>
      <c r="L98" t="n">
        <v>0</v>
      </c>
      <c r="M98" t="n">
        <v>0</v>
      </c>
      <c r="N98" t="n">
        <v>0</v>
      </c>
      <c r="O98" t="n">
        <v>1</v>
      </c>
      <c r="P98" t="n">
        <v>0</v>
      </c>
      <c r="Q98" t="n">
        <v>3</v>
      </c>
      <c r="R98" s="2" t="inlineStr">
        <is>
          <t>Lunglav
Dropptaggsvamp
Skinnlav</t>
        </is>
      </c>
      <c r="S98">
        <f>HYPERLINK("https://klasma.github.io/Logging_2380/artfynd/A 40695-2024 artfynd.xlsx", "A 40695-2024")</f>
        <v/>
      </c>
      <c r="T98">
        <f>HYPERLINK("https://klasma.github.io/Logging_2380/kartor/A 40695-2024 karta.png", "A 40695-2024")</f>
        <v/>
      </c>
      <c r="V98">
        <f>HYPERLINK("https://klasma.github.io/Logging_2380/klagomål/A 40695-2024 FSC-klagomål.docx", "A 40695-2024")</f>
        <v/>
      </c>
      <c r="W98">
        <f>HYPERLINK("https://klasma.github.io/Logging_2380/klagomålsmail/A 40695-2024 FSC-klagomål mail.docx", "A 40695-2024")</f>
        <v/>
      </c>
      <c r="X98">
        <f>HYPERLINK("https://klasma.github.io/Logging_2380/tillsyn/A 40695-2024 tillsynsbegäran.docx", "A 40695-2024")</f>
        <v/>
      </c>
      <c r="Y98">
        <f>HYPERLINK("https://klasma.github.io/Logging_2380/tillsynsmail/A 40695-2024 tillsynsbegäran mail.docx", "A 40695-2024")</f>
        <v/>
      </c>
    </row>
    <row r="99" ht="15" customHeight="1">
      <c r="A99" t="inlineStr">
        <is>
          <t>A 41282-2024</t>
        </is>
      </c>
      <c r="B99" s="1" t="n">
        <v>45559</v>
      </c>
      <c r="C99" s="1" t="n">
        <v>45732</v>
      </c>
      <c r="D99" t="inlineStr">
        <is>
          <t>JÄMTLANDS LÄN</t>
        </is>
      </c>
      <c r="E99" t="inlineStr">
        <is>
          <t>ÖSTERSUND</t>
        </is>
      </c>
      <c r="F99" t="inlineStr">
        <is>
          <t>SCA</t>
        </is>
      </c>
      <c r="G99" t="n">
        <v>2.4</v>
      </c>
      <c r="H99" t="n">
        <v>0</v>
      </c>
      <c r="I99" t="n">
        <v>1</v>
      </c>
      <c r="J99" t="n">
        <v>2</v>
      </c>
      <c r="K99" t="n">
        <v>0</v>
      </c>
      <c r="L99" t="n">
        <v>0</v>
      </c>
      <c r="M99" t="n">
        <v>0</v>
      </c>
      <c r="N99" t="n">
        <v>0</v>
      </c>
      <c r="O99" t="n">
        <v>2</v>
      </c>
      <c r="P99" t="n">
        <v>0</v>
      </c>
      <c r="Q99" t="n">
        <v>3</v>
      </c>
      <c r="R99" s="2" t="inlineStr">
        <is>
          <t>Mörk kolflarnlav
Vitgrynig nållav
Dropptaggsvamp</t>
        </is>
      </c>
      <c r="S99">
        <f>HYPERLINK("https://klasma.github.io/Logging_2380/artfynd/A 41282-2024 artfynd.xlsx", "A 41282-2024")</f>
        <v/>
      </c>
      <c r="T99">
        <f>HYPERLINK("https://klasma.github.io/Logging_2380/kartor/A 41282-2024 karta.png", "A 41282-2024")</f>
        <v/>
      </c>
      <c r="V99">
        <f>HYPERLINK("https://klasma.github.io/Logging_2380/klagomål/A 41282-2024 FSC-klagomål.docx", "A 41282-2024")</f>
        <v/>
      </c>
      <c r="W99">
        <f>HYPERLINK("https://klasma.github.io/Logging_2380/klagomålsmail/A 41282-2024 FSC-klagomål mail.docx", "A 41282-2024")</f>
        <v/>
      </c>
      <c r="X99">
        <f>HYPERLINK("https://klasma.github.io/Logging_2380/tillsyn/A 41282-2024 tillsynsbegäran.docx", "A 41282-2024")</f>
        <v/>
      </c>
      <c r="Y99">
        <f>HYPERLINK("https://klasma.github.io/Logging_2380/tillsynsmail/A 41282-2024 tillsynsbegäran mail.docx", "A 41282-2024")</f>
        <v/>
      </c>
    </row>
    <row r="100" ht="15" customHeight="1">
      <c r="A100" t="inlineStr">
        <is>
          <t>A 44047-2024</t>
        </is>
      </c>
      <c r="B100" s="1" t="n">
        <v>45572</v>
      </c>
      <c r="C100" s="1" t="n">
        <v>45732</v>
      </c>
      <c r="D100" t="inlineStr">
        <is>
          <t>JÄMTLANDS LÄN</t>
        </is>
      </c>
      <c r="E100" t="inlineStr">
        <is>
          <t>ÖSTERSUND</t>
        </is>
      </c>
      <c r="F100" t="inlineStr">
        <is>
          <t>SCA</t>
        </is>
      </c>
      <c r="G100" t="n">
        <v>5.8</v>
      </c>
      <c r="H100" t="n">
        <v>1</v>
      </c>
      <c r="I100" t="n">
        <v>0</v>
      </c>
      <c r="J100" t="n">
        <v>2</v>
      </c>
      <c r="K100" t="n">
        <v>1</v>
      </c>
      <c r="L100" t="n">
        <v>0</v>
      </c>
      <c r="M100" t="n">
        <v>0</v>
      </c>
      <c r="N100" t="n">
        <v>0</v>
      </c>
      <c r="O100" t="n">
        <v>3</v>
      </c>
      <c r="P100" t="n">
        <v>1</v>
      </c>
      <c r="Q100" t="n">
        <v>3</v>
      </c>
      <c r="R100" s="2" t="inlineStr">
        <is>
          <t>Knärot
Lunglav
Motaggsvamp</t>
        </is>
      </c>
      <c r="S100">
        <f>HYPERLINK("https://klasma.github.io/Logging_2380/artfynd/A 44047-2024 artfynd.xlsx", "A 44047-2024")</f>
        <v/>
      </c>
      <c r="T100">
        <f>HYPERLINK("https://klasma.github.io/Logging_2380/kartor/A 44047-2024 karta.png", "A 44047-2024")</f>
        <v/>
      </c>
      <c r="U100">
        <f>HYPERLINK("https://klasma.github.io/Logging_2380/knärot/A 44047-2024 karta knärot.png", "A 44047-2024")</f>
        <v/>
      </c>
      <c r="V100">
        <f>HYPERLINK("https://klasma.github.io/Logging_2380/klagomål/A 44047-2024 FSC-klagomål.docx", "A 44047-2024")</f>
        <v/>
      </c>
      <c r="W100">
        <f>HYPERLINK("https://klasma.github.io/Logging_2380/klagomålsmail/A 44047-2024 FSC-klagomål mail.docx", "A 44047-2024")</f>
        <v/>
      </c>
      <c r="X100">
        <f>HYPERLINK("https://klasma.github.io/Logging_2380/tillsyn/A 44047-2024 tillsynsbegäran.docx", "A 44047-2024")</f>
        <v/>
      </c>
      <c r="Y100">
        <f>HYPERLINK("https://klasma.github.io/Logging_2380/tillsynsmail/A 44047-2024 tillsynsbegäran mail.docx", "A 44047-2024")</f>
        <v/>
      </c>
    </row>
    <row r="101" ht="15" customHeight="1">
      <c r="A101" t="inlineStr">
        <is>
          <t>A 44877-2024</t>
        </is>
      </c>
      <c r="B101" s="1" t="n">
        <v>45575</v>
      </c>
      <c r="C101" s="1" t="n">
        <v>45732</v>
      </c>
      <c r="D101" t="inlineStr">
        <is>
          <t>JÄMTLANDS LÄN</t>
        </is>
      </c>
      <c r="E101" t="inlineStr">
        <is>
          <t>ÖSTERSUND</t>
        </is>
      </c>
      <c r="F101" t="inlineStr">
        <is>
          <t>SCA</t>
        </is>
      </c>
      <c r="G101" t="n">
        <v>6.4</v>
      </c>
      <c r="H101" t="n">
        <v>1</v>
      </c>
      <c r="I101" t="n">
        <v>1</v>
      </c>
      <c r="J101" t="n">
        <v>1</v>
      </c>
      <c r="K101" t="n">
        <v>1</v>
      </c>
      <c r="L101" t="n">
        <v>0</v>
      </c>
      <c r="M101" t="n">
        <v>0</v>
      </c>
      <c r="N101" t="n">
        <v>0</v>
      </c>
      <c r="O101" t="n">
        <v>2</v>
      </c>
      <c r="P101" t="n">
        <v>1</v>
      </c>
      <c r="Q101" t="n">
        <v>3</v>
      </c>
      <c r="R101" s="2" t="inlineStr">
        <is>
          <t>Knärot
Lunglav
Dropptaggsvamp</t>
        </is>
      </c>
      <c r="S101">
        <f>HYPERLINK("https://klasma.github.io/Logging_2380/artfynd/A 44877-2024 artfynd.xlsx", "A 44877-2024")</f>
        <v/>
      </c>
      <c r="T101">
        <f>HYPERLINK("https://klasma.github.io/Logging_2380/kartor/A 44877-2024 karta.png", "A 44877-2024")</f>
        <v/>
      </c>
      <c r="U101">
        <f>HYPERLINK("https://klasma.github.io/Logging_2380/knärot/A 44877-2024 karta knärot.png", "A 44877-2024")</f>
        <v/>
      </c>
      <c r="V101">
        <f>HYPERLINK("https://klasma.github.io/Logging_2380/klagomål/A 44877-2024 FSC-klagomål.docx", "A 44877-2024")</f>
        <v/>
      </c>
      <c r="W101">
        <f>HYPERLINK("https://klasma.github.io/Logging_2380/klagomålsmail/A 44877-2024 FSC-klagomål mail.docx", "A 44877-2024")</f>
        <v/>
      </c>
      <c r="X101">
        <f>HYPERLINK("https://klasma.github.io/Logging_2380/tillsyn/A 44877-2024 tillsynsbegäran.docx", "A 44877-2024")</f>
        <v/>
      </c>
      <c r="Y101">
        <f>HYPERLINK("https://klasma.github.io/Logging_2380/tillsynsmail/A 44877-2024 tillsynsbegäran mail.docx", "A 44877-2024")</f>
        <v/>
      </c>
    </row>
    <row r="102" ht="15" customHeight="1">
      <c r="A102" t="inlineStr">
        <is>
          <t>A 53652-2024</t>
        </is>
      </c>
      <c r="B102" s="1" t="n">
        <v>45615</v>
      </c>
      <c r="C102" s="1" t="n">
        <v>45732</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56599-2024</t>
        </is>
      </c>
      <c r="B103" s="1" t="n">
        <v>45625</v>
      </c>
      <c r="C103" s="1" t="n">
        <v>45732</v>
      </c>
      <c r="D103" t="inlineStr">
        <is>
          <t>JÄMTLANDS LÄN</t>
        </is>
      </c>
      <c r="E103" t="inlineStr">
        <is>
          <t>ÖSTERSUND</t>
        </is>
      </c>
      <c r="G103" t="n">
        <v>2.1</v>
      </c>
      <c r="H103" t="n">
        <v>3</v>
      </c>
      <c r="I103" t="n">
        <v>0</v>
      </c>
      <c r="J103" t="n">
        <v>0</v>
      </c>
      <c r="K103" t="n">
        <v>1</v>
      </c>
      <c r="L103" t="n">
        <v>0</v>
      </c>
      <c r="M103" t="n">
        <v>0</v>
      </c>
      <c r="N103" t="n">
        <v>0</v>
      </c>
      <c r="O103" t="n">
        <v>1</v>
      </c>
      <c r="P103" t="n">
        <v>1</v>
      </c>
      <c r="Q103" t="n">
        <v>3</v>
      </c>
      <c r="R103" s="2" t="inlineStr">
        <is>
          <t>Knärot
Blåsippa
Revlummer</t>
        </is>
      </c>
      <c r="S103">
        <f>HYPERLINK("https://klasma.github.io/Logging_2380/artfynd/A 56599-2024 artfynd.xlsx", "A 56599-2024")</f>
        <v/>
      </c>
      <c r="T103">
        <f>HYPERLINK("https://klasma.github.io/Logging_2380/kartor/A 56599-2024 karta.png", "A 56599-2024")</f>
        <v/>
      </c>
      <c r="U103">
        <f>HYPERLINK("https://klasma.github.io/Logging_2380/knärot/A 56599-2024 karta knärot.png", "A 56599-2024")</f>
        <v/>
      </c>
      <c r="V103">
        <f>HYPERLINK("https://klasma.github.io/Logging_2380/klagomål/A 56599-2024 FSC-klagomål.docx", "A 56599-2024")</f>
        <v/>
      </c>
      <c r="W103">
        <f>HYPERLINK("https://klasma.github.io/Logging_2380/klagomålsmail/A 56599-2024 FSC-klagomål mail.docx", "A 56599-2024")</f>
        <v/>
      </c>
      <c r="X103">
        <f>HYPERLINK("https://klasma.github.io/Logging_2380/tillsyn/A 56599-2024 tillsynsbegäran.docx", "A 56599-2024")</f>
        <v/>
      </c>
      <c r="Y103">
        <f>HYPERLINK("https://klasma.github.io/Logging_2380/tillsynsmail/A 56599-2024 tillsynsbegäran mail.docx", "A 56599-2024")</f>
        <v/>
      </c>
    </row>
    <row r="104" ht="15" customHeight="1">
      <c r="A104" t="inlineStr">
        <is>
          <t>A 7965-2025</t>
        </is>
      </c>
      <c r="B104" s="1" t="n">
        <v>45707</v>
      </c>
      <c r="C104" s="1" t="n">
        <v>45732</v>
      </c>
      <c r="D104" t="inlineStr">
        <is>
          <t>JÄMTLANDS LÄN</t>
        </is>
      </c>
      <c r="E104" t="inlineStr">
        <is>
          <t>ÖSTERSUND</t>
        </is>
      </c>
      <c r="G104" t="n">
        <v>3.7</v>
      </c>
      <c r="H104" t="n">
        <v>2</v>
      </c>
      <c r="I104" t="n">
        <v>1</v>
      </c>
      <c r="J104" t="n">
        <v>0</v>
      </c>
      <c r="K104" t="n">
        <v>0</v>
      </c>
      <c r="L104" t="n">
        <v>0</v>
      </c>
      <c r="M104" t="n">
        <v>0</v>
      </c>
      <c r="N104" t="n">
        <v>0</v>
      </c>
      <c r="O104" t="n">
        <v>0</v>
      </c>
      <c r="P104" t="n">
        <v>0</v>
      </c>
      <c r="Q104" t="n">
        <v>3</v>
      </c>
      <c r="R104" s="2" t="inlineStr">
        <is>
          <t>Finbräken
Fläcknycklar
Blåsippa</t>
        </is>
      </c>
      <c r="S104">
        <f>HYPERLINK("https://klasma.github.io/Logging_2380/artfynd/A 7965-2025 artfynd.xlsx", "A 7965-2025")</f>
        <v/>
      </c>
      <c r="T104">
        <f>HYPERLINK("https://klasma.github.io/Logging_2380/kartor/A 7965-2025 karta.png", "A 7965-2025")</f>
        <v/>
      </c>
      <c r="V104">
        <f>HYPERLINK("https://klasma.github.io/Logging_2380/klagomål/A 7965-2025 FSC-klagomål.docx", "A 7965-2025")</f>
        <v/>
      </c>
      <c r="W104">
        <f>HYPERLINK("https://klasma.github.io/Logging_2380/klagomålsmail/A 7965-2025 FSC-klagomål mail.docx", "A 7965-2025")</f>
        <v/>
      </c>
      <c r="X104">
        <f>HYPERLINK("https://klasma.github.io/Logging_2380/tillsyn/A 7965-2025 tillsynsbegäran.docx", "A 7965-2025")</f>
        <v/>
      </c>
      <c r="Y104">
        <f>HYPERLINK("https://klasma.github.io/Logging_2380/tillsynsmail/A 7965-2025 tillsynsbegäran mail.docx", "A 7965-2025")</f>
        <v/>
      </c>
    </row>
    <row r="105" ht="15" customHeight="1">
      <c r="A105" t="inlineStr">
        <is>
          <t>A 35996-2019</t>
        </is>
      </c>
      <c r="B105" s="1" t="n">
        <v>43656</v>
      </c>
      <c r="C105" s="1" t="n">
        <v>45732</v>
      </c>
      <c r="D105" t="inlineStr">
        <is>
          <t>JÄMTLANDS LÄN</t>
        </is>
      </c>
      <c r="E105" t="inlineStr">
        <is>
          <t>ÖSTERSUND</t>
        </is>
      </c>
      <c r="F105" t="inlineStr">
        <is>
          <t>SCA</t>
        </is>
      </c>
      <c r="G105" t="n">
        <v>1.4</v>
      </c>
      <c r="H105" t="n">
        <v>1</v>
      </c>
      <c r="I105" t="n">
        <v>0</v>
      </c>
      <c r="J105" t="n">
        <v>1</v>
      </c>
      <c r="K105" t="n">
        <v>0</v>
      </c>
      <c r="L105" t="n">
        <v>0</v>
      </c>
      <c r="M105" t="n">
        <v>0</v>
      </c>
      <c r="N105" t="n">
        <v>0</v>
      </c>
      <c r="O105" t="n">
        <v>1</v>
      </c>
      <c r="P105" t="n">
        <v>0</v>
      </c>
      <c r="Q105" t="n">
        <v>2</v>
      </c>
      <c r="R105" s="2" t="inlineStr">
        <is>
          <t>Kolflarnlav
Blåsippa</t>
        </is>
      </c>
      <c r="S105">
        <f>HYPERLINK("https://klasma.github.io/Logging_2380/artfynd/A 35996-2019 artfynd.xlsx", "A 35996-2019")</f>
        <v/>
      </c>
      <c r="T105">
        <f>HYPERLINK("https://klasma.github.io/Logging_2380/kartor/A 35996-2019 karta.png", "A 35996-2019")</f>
        <v/>
      </c>
      <c r="V105">
        <f>HYPERLINK("https://klasma.github.io/Logging_2380/klagomål/A 35996-2019 FSC-klagomål.docx", "A 35996-2019")</f>
        <v/>
      </c>
      <c r="W105">
        <f>HYPERLINK("https://klasma.github.io/Logging_2380/klagomålsmail/A 35996-2019 FSC-klagomål mail.docx", "A 35996-2019")</f>
        <v/>
      </c>
      <c r="X105">
        <f>HYPERLINK("https://klasma.github.io/Logging_2380/tillsyn/A 35996-2019 tillsynsbegäran.docx", "A 35996-2019")</f>
        <v/>
      </c>
      <c r="Y105">
        <f>HYPERLINK("https://klasma.github.io/Logging_2380/tillsynsmail/A 35996-2019 tillsynsbegäran mail.docx", "A 35996-2019")</f>
        <v/>
      </c>
    </row>
    <row r="106" ht="15" customHeight="1">
      <c r="A106" t="inlineStr">
        <is>
          <t>A 29583-2021</t>
        </is>
      </c>
      <c r="B106" s="1" t="n">
        <v>44361</v>
      </c>
      <c r="C106" s="1" t="n">
        <v>45732</v>
      </c>
      <c r="D106" t="inlineStr">
        <is>
          <t>JÄMTLANDS LÄN</t>
        </is>
      </c>
      <c r="E106" t="inlineStr">
        <is>
          <t>ÖSTERSUND</t>
        </is>
      </c>
      <c r="G106" t="n">
        <v>11.7</v>
      </c>
      <c r="H106" t="n">
        <v>1</v>
      </c>
      <c r="I106" t="n">
        <v>1</v>
      </c>
      <c r="J106" t="n">
        <v>0</v>
      </c>
      <c r="K106" t="n">
        <v>0</v>
      </c>
      <c r="L106" t="n">
        <v>0</v>
      </c>
      <c r="M106" t="n">
        <v>0</v>
      </c>
      <c r="N106" t="n">
        <v>0</v>
      </c>
      <c r="O106" t="n">
        <v>0</v>
      </c>
      <c r="P106" t="n">
        <v>0</v>
      </c>
      <c r="Q106" t="n">
        <v>2</v>
      </c>
      <c r="R106" s="2" t="inlineStr">
        <is>
          <t>Kransrams
Blåsippa</t>
        </is>
      </c>
      <c r="S106">
        <f>HYPERLINK("https://klasma.github.io/Logging_2380/artfynd/A 29583-2021 artfynd.xlsx", "A 29583-2021")</f>
        <v/>
      </c>
      <c r="T106">
        <f>HYPERLINK("https://klasma.github.io/Logging_2380/kartor/A 29583-2021 karta.png", "A 29583-2021")</f>
        <v/>
      </c>
      <c r="V106">
        <f>HYPERLINK("https://klasma.github.io/Logging_2380/klagomål/A 29583-2021 FSC-klagomål.docx", "A 29583-2021")</f>
        <v/>
      </c>
      <c r="W106">
        <f>HYPERLINK("https://klasma.github.io/Logging_2380/klagomålsmail/A 29583-2021 FSC-klagomål mail.docx", "A 29583-2021")</f>
        <v/>
      </c>
      <c r="X106">
        <f>HYPERLINK("https://klasma.github.io/Logging_2380/tillsyn/A 29583-2021 tillsynsbegäran.docx", "A 29583-2021")</f>
        <v/>
      </c>
      <c r="Y106">
        <f>HYPERLINK("https://klasma.github.io/Logging_2380/tillsynsmail/A 29583-2021 tillsynsbegäran mail.docx", "A 29583-2021")</f>
        <v/>
      </c>
    </row>
    <row r="107" ht="15" customHeight="1">
      <c r="A107" t="inlineStr">
        <is>
          <t>A 30105-2021</t>
        </is>
      </c>
      <c r="B107" s="1" t="n">
        <v>44363</v>
      </c>
      <c r="C107" s="1" t="n">
        <v>45732</v>
      </c>
      <c r="D107" t="inlineStr">
        <is>
          <t>JÄMTLANDS LÄN</t>
        </is>
      </c>
      <c r="E107" t="inlineStr">
        <is>
          <t>ÖSTERSUND</t>
        </is>
      </c>
      <c r="G107" t="n">
        <v>2</v>
      </c>
      <c r="H107" t="n">
        <v>0</v>
      </c>
      <c r="I107" t="n">
        <v>2</v>
      </c>
      <c r="J107" t="n">
        <v>0</v>
      </c>
      <c r="K107" t="n">
        <v>0</v>
      </c>
      <c r="L107" t="n">
        <v>0</v>
      </c>
      <c r="M107" t="n">
        <v>0</v>
      </c>
      <c r="N107" t="n">
        <v>0</v>
      </c>
      <c r="O107" t="n">
        <v>0</v>
      </c>
      <c r="P107" t="n">
        <v>0</v>
      </c>
      <c r="Q107" t="n">
        <v>2</v>
      </c>
      <c r="R107" s="2" t="inlineStr">
        <is>
          <t>Grönpyrola
Ögonpyrola</t>
        </is>
      </c>
      <c r="S107">
        <f>HYPERLINK("https://klasma.github.io/Logging_2380/artfynd/A 30105-2021 artfynd.xlsx", "A 30105-2021")</f>
        <v/>
      </c>
      <c r="T107">
        <f>HYPERLINK("https://klasma.github.io/Logging_2380/kartor/A 30105-2021 karta.png", "A 30105-2021")</f>
        <v/>
      </c>
      <c r="V107">
        <f>HYPERLINK("https://klasma.github.io/Logging_2380/klagomål/A 30105-2021 FSC-klagomål.docx", "A 30105-2021")</f>
        <v/>
      </c>
      <c r="W107">
        <f>HYPERLINK("https://klasma.github.io/Logging_2380/klagomålsmail/A 30105-2021 FSC-klagomål mail.docx", "A 30105-2021")</f>
        <v/>
      </c>
      <c r="X107">
        <f>HYPERLINK("https://klasma.github.io/Logging_2380/tillsyn/A 30105-2021 tillsynsbegäran.docx", "A 30105-2021")</f>
        <v/>
      </c>
      <c r="Y107">
        <f>HYPERLINK("https://klasma.github.io/Logging_2380/tillsynsmail/A 30105-2021 tillsynsbegäran mail.docx", "A 30105-2021")</f>
        <v/>
      </c>
    </row>
    <row r="108" ht="15" customHeight="1">
      <c r="A108" t="inlineStr">
        <is>
          <t>A 46105-2021</t>
        </is>
      </c>
      <c r="B108" s="1" t="n">
        <v>44441</v>
      </c>
      <c r="C108" s="1" t="n">
        <v>45732</v>
      </c>
      <c r="D108" t="inlineStr">
        <is>
          <t>JÄMTLANDS LÄN</t>
        </is>
      </c>
      <c r="E108" t="inlineStr">
        <is>
          <t>ÖSTERSUND</t>
        </is>
      </c>
      <c r="G108" t="n">
        <v>4.4</v>
      </c>
      <c r="H108" t="n">
        <v>2</v>
      </c>
      <c r="I108" t="n">
        <v>0</v>
      </c>
      <c r="J108" t="n">
        <v>1</v>
      </c>
      <c r="K108" t="n">
        <v>1</v>
      </c>
      <c r="L108" t="n">
        <v>0</v>
      </c>
      <c r="M108" t="n">
        <v>0</v>
      </c>
      <c r="N108" t="n">
        <v>0</v>
      </c>
      <c r="O108" t="n">
        <v>2</v>
      </c>
      <c r="P108" t="n">
        <v>1</v>
      </c>
      <c r="Q108" t="n">
        <v>2</v>
      </c>
      <c r="R108" s="2" t="inlineStr">
        <is>
          <t>Tallbit
Tretåig hackspett</t>
        </is>
      </c>
      <c r="S108">
        <f>HYPERLINK("https://klasma.github.io/Logging_2380/artfynd/A 46105-2021 artfynd.xlsx", "A 46105-2021")</f>
        <v/>
      </c>
      <c r="T108">
        <f>HYPERLINK("https://klasma.github.io/Logging_2380/kartor/A 46105-2021 karta.png", "A 46105-2021")</f>
        <v/>
      </c>
      <c r="V108">
        <f>HYPERLINK("https://klasma.github.io/Logging_2380/klagomål/A 46105-2021 FSC-klagomål.docx", "A 46105-2021")</f>
        <v/>
      </c>
      <c r="W108">
        <f>HYPERLINK("https://klasma.github.io/Logging_2380/klagomålsmail/A 46105-2021 FSC-klagomål mail.docx", "A 46105-2021")</f>
        <v/>
      </c>
      <c r="X108">
        <f>HYPERLINK("https://klasma.github.io/Logging_2380/tillsyn/A 46105-2021 tillsynsbegäran.docx", "A 46105-2021")</f>
        <v/>
      </c>
      <c r="Y108">
        <f>HYPERLINK("https://klasma.github.io/Logging_2380/tillsynsmail/A 46105-2021 tillsynsbegäran mail.docx", "A 46105-2021")</f>
        <v/>
      </c>
      <c r="Z108">
        <f>HYPERLINK("https://klasma.github.io/Logging_2380/fåglar/A 46105-2021 prioriterade fågelarter.docx", "A 46105-2021")</f>
        <v/>
      </c>
    </row>
    <row r="109" ht="15" customHeight="1">
      <c r="A109" t="inlineStr">
        <is>
          <t>A 63601-2021</t>
        </is>
      </c>
      <c r="B109" s="1" t="n">
        <v>44508</v>
      </c>
      <c r="C109" s="1" t="n">
        <v>45732</v>
      </c>
      <c r="D109" t="inlineStr">
        <is>
          <t>JÄMTLANDS LÄN</t>
        </is>
      </c>
      <c r="E109" t="inlineStr">
        <is>
          <t>ÖSTERSUND</t>
        </is>
      </c>
      <c r="F109" t="inlineStr">
        <is>
          <t>SCA</t>
        </is>
      </c>
      <c r="G109" t="n">
        <v>2.9</v>
      </c>
      <c r="H109" t="n">
        <v>0</v>
      </c>
      <c r="I109" t="n">
        <v>1</v>
      </c>
      <c r="J109" t="n">
        <v>0</v>
      </c>
      <c r="K109" t="n">
        <v>1</v>
      </c>
      <c r="L109" t="n">
        <v>0</v>
      </c>
      <c r="M109" t="n">
        <v>0</v>
      </c>
      <c r="N109" t="n">
        <v>0</v>
      </c>
      <c r="O109" t="n">
        <v>1</v>
      </c>
      <c r="P109" t="n">
        <v>1</v>
      </c>
      <c r="Q109" t="n">
        <v>2</v>
      </c>
      <c r="R109" s="2" t="inlineStr">
        <is>
          <t>Läderdoftande fingersvamp
Blodvaxskivling</t>
        </is>
      </c>
      <c r="S109">
        <f>HYPERLINK("https://klasma.github.io/Logging_2380/artfynd/A 63601-2021 artfynd.xlsx", "A 63601-2021")</f>
        <v/>
      </c>
      <c r="T109">
        <f>HYPERLINK("https://klasma.github.io/Logging_2380/kartor/A 63601-2021 karta.png", "A 63601-2021")</f>
        <v/>
      </c>
      <c r="V109">
        <f>HYPERLINK("https://klasma.github.io/Logging_2380/klagomål/A 63601-2021 FSC-klagomål.docx", "A 63601-2021")</f>
        <v/>
      </c>
      <c r="W109">
        <f>HYPERLINK("https://klasma.github.io/Logging_2380/klagomålsmail/A 63601-2021 FSC-klagomål mail.docx", "A 63601-2021")</f>
        <v/>
      </c>
      <c r="X109">
        <f>HYPERLINK("https://klasma.github.io/Logging_2380/tillsyn/A 63601-2021 tillsynsbegäran.docx", "A 63601-2021")</f>
        <v/>
      </c>
      <c r="Y109">
        <f>HYPERLINK("https://klasma.github.io/Logging_2380/tillsynsmail/A 63601-2021 tillsynsbegäran mail.docx", "A 63601-2021")</f>
        <v/>
      </c>
    </row>
    <row r="110" ht="15" customHeight="1">
      <c r="A110" t="inlineStr">
        <is>
          <t>A 43935-2022</t>
        </is>
      </c>
      <c r="B110" s="1" t="n">
        <v>44838</v>
      </c>
      <c r="C110" s="1" t="n">
        <v>45732</v>
      </c>
      <c r="D110" t="inlineStr">
        <is>
          <t>JÄMTLANDS LÄN</t>
        </is>
      </c>
      <c r="E110" t="inlineStr">
        <is>
          <t>ÖSTERSUND</t>
        </is>
      </c>
      <c r="F110" t="inlineStr">
        <is>
          <t>Övriga Aktiebolag</t>
        </is>
      </c>
      <c r="G110" t="n">
        <v>19.2</v>
      </c>
      <c r="H110" t="n">
        <v>0</v>
      </c>
      <c r="I110" t="n">
        <v>0</v>
      </c>
      <c r="J110" t="n">
        <v>1</v>
      </c>
      <c r="K110" t="n">
        <v>1</v>
      </c>
      <c r="L110" t="n">
        <v>0</v>
      </c>
      <c r="M110" t="n">
        <v>0</v>
      </c>
      <c r="N110" t="n">
        <v>0</v>
      </c>
      <c r="O110" t="n">
        <v>2</v>
      </c>
      <c r="P110" t="n">
        <v>1</v>
      </c>
      <c r="Q110" t="n">
        <v>2</v>
      </c>
      <c r="R110" s="2" t="inlineStr">
        <is>
          <t>Sprickporing
Blå taggsvamp</t>
        </is>
      </c>
      <c r="S110">
        <f>HYPERLINK("https://klasma.github.io/Logging_2380/artfynd/A 43935-2022 artfynd.xlsx", "A 43935-2022")</f>
        <v/>
      </c>
      <c r="T110">
        <f>HYPERLINK("https://klasma.github.io/Logging_2380/kartor/A 43935-2022 karta.png", "A 43935-2022")</f>
        <v/>
      </c>
      <c r="V110">
        <f>HYPERLINK("https://klasma.github.io/Logging_2380/klagomål/A 43935-2022 FSC-klagomål.docx", "A 43935-2022")</f>
        <v/>
      </c>
      <c r="W110">
        <f>HYPERLINK("https://klasma.github.io/Logging_2380/klagomålsmail/A 43935-2022 FSC-klagomål mail.docx", "A 43935-2022")</f>
        <v/>
      </c>
      <c r="X110">
        <f>HYPERLINK("https://klasma.github.io/Logging_2380/tillsyn/A 43935-2022 tillsynsbegäran.docx", "A 43935-2022")</f>
        <v/>
      </c>
      <c r="Y110">
        <f>HYPERLINK("https://klasma.github.io/Logging_2380/tillsynsmail/A 43935-2022 tillsynsbegäran mail.docx", "A 43935-2022")</f>
        <v/>
      </c>
    </row>
    <row r="111" ht="15" customHeight="1">
      <c r="A111" t="inlineStr">
        <is>
          <t>A 47385-2022</t>
        </is>
      </c>
      <c r="B111" s="1" t="n">
        <v>44853</v>
      </c>
      <c r="C111" s="1" t="n">
        <v>45732</v>
      </c>
      <c r="D111" t="inlineStr">
        <is>
          <t>JÄMTLANDS LÄN</t>
        </is>
      </c>
      <c r="E111" t="inlineStr">
        <is>
          <t>ÖSTERSUND</t>
        </is>
      </c>
      <c r="G111" t="n">
        <v>0.9</v>
      </c>
      <c r="H111" t="n">
        <v>0</v>
      </c>
      <c r="I111" t="n">
        <v>0</v>
      </c>
      <c r="J111" t="n">
        <v>2</v>
      </c>
      <c r="K111" t="n">
        <v>0</v>
      </c>
      <c r="L111" t="n">
        <v>0</v>
      </c>
      <c r="M111" t="n">
        <v>0</v>
      </c>
      <c r="N111" t="n">
        <v>0</v>
      </c>
      <c r="O111" t="n">
        <v>2</v>
      </c>
      <c r="P111" t="n">
        <v>0</v>
      </c>
      <c r="Q111" t="n">
        <v>2</v>
      </c>
      <c r="R111" s="2" t="inlineStr">
        <is>
          <t>Garnlav
Ullticka</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60534-2022</t>
        </is>
      </c>
      <c r="B112" s="1" t="n">
        <v>44904</v>
      </c>
      <c r="C112" s="1" t="n">
        <v>45732</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59793-2022</t>
        </is>
      </c>
      <c r="B113" s="1" t="n">
        <v>44908</v>
      </c>
      <c r="C113" s="1" t="n">
        <v>45732</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60614-2022</t>
        </is>
      </c>
      <c r="B114" s="1" t="n">
        <v>44911</v>
      </c>
      <c r="C114" s="1" t="n">
        <v>45732</v>
      </c>
      <c r="D114" t="inlineStr">
        <is>
          <t>JÄMTLANDS LÄN</t>
        </is>
      </c>
      <c r="E114" t="inlineStr">
        <is>
          <t>ÖSTERSUND</t>
        </is>
      </c>
      <c r="G114" t="n">
        <v>17.6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60614-2022 artfynd.xlsx", "A 60614-2022")</f>
        <v/>
      </c>
      <c r="T114">
        <f>HYPERLINK("https://klasma.github.io/Logging_2380/kartor/A 60614-2022 karta.png", "A 60614-2022")</f>
        <v/>
      </c>
      <c r="V114">
        <f>HYPERLINK("https://klasma.github.io/Logging_2380/klagomål/A 60614-2022 FSC-klagomål.docx", "A 60614-2022")</f>
        <v/>
      </c>
      <c r="W114">
        <f>HYPERLINK("https://klasma.github.io/Logging_2380/klagomålsmail/A 60614-2022 FSC-klagomål mail.docx", "A 60614-2022")</f>
        <v/>
      </c>
      <c r="X114">
        <f>HYPERLINK("https://klasma.github.io/Logging_2380/tillsyn/A 60614-2022 tillsynsbegäran.docx", "A 60614-2022")</f>
        <v/>
      </c>
      <c r="Y114">
        <f>HYPERLINK("https://klasma.github.io/Logging_2380/tillsynsmail/A 60614-2022 tillsynsbegäran mail.docx", "A 60614-2022")</f>
        <v/>
      </c>
    </row>
    <row r="115" ht="15" customHeight="1">
      <c r="A115" t="inlineStr">
        <is>
          <t>A 4916-2023</t>
        </is>
      </c>
      <c r="B115" s="1" t="n">
        <v>44956</v>
      </c>
      <c r="C115" s="1" t="n">
        <v>45732</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19147-2023</t>
        </is>
      </c>
      <c r="B116" s="1" t="n">
        <v>45044</v>
      </c>
      <c r="C116" s="1" t="n">
        <v>45732</v>
      </c>
      <c r="D116" t="inlineStr">
        <is>
          <t>JÄMTLANDS LÄN</t>
        </is>
      </c>
      <c r="E116" t="inlineStr">
        <is>
          <t>ÖSTERSUND</t>
        </is>
      </c>
      <c r="G116" t="n">
        <v>5</v>
      </c>
      <c r="H116" t="n">
        <v>1</v>
      </c>
      <c r="I116" t="n">
        <v>0</v>
      </c>
      <c r="J116" t="n">
        <v>1</v>
      </c>
      <c r="K116" t="n">
        <v>0</v>
      </c>
      <c r="L116" t="n">
        <v>1</v>
      </c>
      <c r="M116" t="n">
        <v>0</v>
      </c>
      <c r="N116" t="n">
        <v>0</v>
      </c>
      <c r="O116" t="n">
        <v>2</v>
      </c>
      <c r="P116" t="n">
        <v>1</v>
      </c>
      <c r="Q116" t="n">
        <v>2</v>
      </c>
      <c r="R116" s="2" t="inlineStr">
        <is>
          <t>Bredgentiana
Scharlakansvaxskivling</t>
        </is>
      </c>
      <c r="S116">
        <f>HYPERLINK("https://klasma.github.io/Logging_2380/artfynd/A 19147-2023 artfynd.xlsx", "A 19147-2023")</f>
        <v/>
      </c>
      <c r="T116">
        <f>HYPERLINK("https://klasma.github.io/Logging_2380/kartor/A 19147-2023 karta.png", "A 19147-2023")</f>
        <v/>
      </c>
      <c r="V116">
        <f>HYPERLINK("https://klasma.github.io/Logging_2380/klagomål/A 19147-2023 FSC-klagomål.docx", "A 19147-2023")</f>
        <v/>
      </c>
      <c r="W116">
        <f>HYPERLINK("https://klasma.github.io/Logging_2380/klagomålsmail/A 19147-2023 FSC-klagomål mail.docx", "A 19147-2023")</f>
        <v/>
      </c>
      <c r="X116">
        <f>HYPERLINK("https://klasma.github.io/Logging_2380/tillsyn/A 19147-2023 tillsynsbegäran.docx", "A 19147-2023")</f>
        <v/>
      </c>
      <c r="Y116">
        <f>HYPERLINK("https://klasma.github.io/Logging_2380/tillsynsmail/A 19147-2023 tillsynsbegäran mail.docx", "A 19147-2023")</f>
        <v/>
      </c>
    </row>
    <row r="117" ht="15" customHeight="1">
      <c r="A117" t="inlineStr">
        <is>
          <t>A 38334-2023</t>
        </is>
      </c>
      <c r="B117" s="1" t="n">
        <v>45161</v>
      </c>
      <c r="C117" s="1" t="n">
        <v>45732</v>
      </c>
      <c r="D117" t="inlineStr">
        <is>
          <t>JÄMTLANDS LÄN</t>
        </is>
      </c>
      <c r="E117" t="inlineStr">
        <is>
          <t>ÖSTERSUND</t>
        </is>
      </c>
      <c r="G117" t="n">
        <v>10.5</v>
      </c>
      <c r="H117" t="n">
        <v>0</v>
      </c>
      <c r="I117" t="n">
        <v>0</v>
      </c>
      <c r="J117" t="n">
        <v>0</v>
      </c>
      <c r="K117" t="n">
        <v>2</v>
      </c>
      <c r="L117" t="n">
        <v>0</v>
      </c>
      <c r="M117" t="n">
        <v>0</v>
      </c>
      <c r="N117" t="n">
        <v>0</v>
      </c>
      <c r="O117" t="n">
        <v>2</v>
      </c>
      <c r="P117" t="n">
        <v>2</v>
      </c>
      <c r="Q117" t="n">
        <v>2</v>
      </c>
      <c r="R117" s="2" t="inlineStr">
        <is>
          <t>Rynkskinn
Violett fingersvamp</t>
        </is>
      </c>
      <c r="S117">
        <f>HYPERLINK("https://klasma.github.io/Logging_2380/artfynd/A 38334-2023 artfynd.xlsx", "A 38334-2023")</f>
        <v/>
      </c>
      <c r="T117">
        <f>HYPERLINK("https://klasma.github.io/Logging_2380/kartor/A 38334-2023 karta.png", "A 38334-2023")</f>
        <v/>
      </c>
      <c r="V117">
        <f>HYPERLINK("https://klasma.github.io/Logging_2380/klagomål/A 38334-2023 FSC-klagomål.docx", "A 38334-2023")</f>
        <v/>
      </c>
      <c r="W117">
        <f>HYPERLINK("https://klasma.github.io/Logging_2380/klagomålsmail/A 38334-2023 FSC-klagomål mail.docx", "A 38334-2023")</f>
        <v/>
      </c>
      <c r="X117">
        <f>HYPERLINK("https://klasma.github.io/Logging_2380/tillsyn/A 38334-2023 tillsynsbegäran.docx", "A 38334-2023")</f>
        <v/>
      </c>
      <c r="Y117">
        <f>HYPERLINK("https://klasma.github.io/Logging_2380/tillsynsmail/A 38334-2023 tillsynsbegäran mail.docx", "A 38334-2023")</f>
        <v/>
      </c>
    </row>
    <row r="118" ht="15" customHeight="1">
      <c r="A118" t="inlineStr">
        <is>
          <t>A 52129-2023</t>
        </is>
      </c>
      <c r="B118" s="1" t="n">
        <v>45223</v>
      </c>
      <c r="C118" s="1" t="n">
        <v>45732</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56006-2023</t>
        </is>
      </c>
      <c r="B119" s="1" t="n">
        <v>45233</v>
      </c>
      <c r="C119" s="1" t="n">
        <v>45732</v>
      </c>
      <c r="D119" t="inlineStr">
        <is>
          <t>JÄMTLANDS LÄN</t>
        </is>
      </c>
      <c r="E119" t="inlineStr">
        <is>
          <t>ÖSTERSUND</t>
        </is>
      </c>
      <c r="G119" t="n">
        <v>2.3</v>
      </c>
      <c r="H119" t="n">
        <v>0</v>
      </c>
      <c r="I119" t="n">
        <v>2</v>
      </c>
      <c r="J119" t="n">
        <v>0</v>
      </c>
      <c r="K119" t="n">
        <v>0</v>
      </c>
      <c r="L119" t="n">
        <v>0</v>
      </c>
      <c r="M119" t="n">
        <v>0</v>
      </c>
      <c r="N119" t="n">
        <v>0</v>
      </c>
      <c r="O119" t="n">
        <v>0</v>
      </c>
      <c r="P119" t="n">
        <v>0</v>
      </c>
      <c r="Q119" t="n">
        <v>2</v>
      </c>
      <c r="R119" s="2" t="inlineStr">
        <is>
          <t>Korallblylav
Skinnlav</t>
        </is>
      </c>
      <c r="S119">
        <f>HYPERLINK("https://klasma.github.io/Logging_2380/artfynd/A 56006-2023 artfynd.xlsx", "A 56006-2023")</f>
        <v/>
      </c>
      <c r="T119">
        <f>HYPERLINK("https://klasma.github.io/Logging_2380/kartor/A 56006-2023 karta.png", "A 56006-2023")</f>
        <v/>
      </c>
      <c r="V119">
        <f>HYPERLINK("https://klasma.github.io/Logging_2380/klagomål/A 56006-2023 FSC-klagomål.docx", "A 56006-2023")</f>
        <v/>
      </c>
      <c r="W119">
        <f>HYPERLINK("https://klasma.github.io/Logging_2380/klagomålsmail/A 56006-2023 FSC-klagomål mail.docx", "A 56006-2023")</f>
        <v/>
      </c>
      <c r="X119">
        <f>HYPERLINK("https://klasma.github.io/Logging_2380/tillsyn/A 56006-2023 tillsynsbegäran.docx", "A 56006-2023")</f>
        <v/>
      </c>
      <c r="Y119">
        <f>HYPERLINK("https://klasma.github.io/Logging_2380/tillsynsmail/A 56006-2023 tillsynsbegäran mail.docx", "A 56006-2023")</f>
        <v/>
      </c>
    </row>
    <row r="120" ht="15" customHeight="1">
      <c r="A120" t="inlineStr">
        <is>
          <t>A 55648-2023</t>
        </is>
      </c>
      <c r="B120" s="1" t="n">
        <v>45238</v>
      </c>
      <c r="C120" s="1" t="n">
        <v>45732</v>
      </c>
      <c r="D120" t="inlineStr">
        <is>
          <t>JÄMTLANDS LÄN</t>
        </is>
      </c>
      <c r="E120" t="inlineStr">
        <is>
          <t>ÖSTERSUND</t>
        </is>
      </c>
      <c r="G120" t="n">
        <v>10.9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HYPERLINK("https://klasma.github.io/Logging_2380/artfynd/A 55648-2023 artfynd.xlsx", "A 55648-2023")</f>
        <v/>
      </c>
      <c r="T120">
        <f>HYPERLINK("https://klasma.github.io/Logging_2380/kartor/A 55648-2023 karta.png", "A 55648-2023")</f>
        <v/>
      </c>
      <c r="V120">
        <f>HYPERLINK("https://klasma.github.io/Logging_2380/klagomål/A 55648-2023 FSC-klagomål.docx", "A 55648-2023")</f>
        <v/>
      </c>
      <c r="W120">
        <f>HYPERLINK("https://klasma.github.io/Logging_2380/klagomålsmail/A 55648-2023 FSC-klagomål mail.docx", "A 55648-2023")</f>
        <v/>
      </c>
      <c r="X120">
        <f>HYPERLINK("https://klasma.github.io/Logging_2380/tillsyn/A 55648-2023 tillsynsbegäran.docx", "A 55648-2023")</f>
        <v/>
      </c>
      <c r="Y120">
        <f>HYPERLINK("https://klasma.github.io/Logging_2380/tillsynsmail/A 55648-2023 tillsynsbegäran mail.docx", "A 55648-2023")</f>
        <v/>
      </c>
      <c r="Z120">
        <f>HYPERLINK("https://klasma.github.io/Logging_2380/fåglar/A 55648-2023 prioriterade fågelarter.docx", "A 55648-2023")</f>
        <v/>
      </c>
    </row>
    <row r="121" ht="15" customHeight="1">
      <c r="A121" t="inlineStr">
        <is>
          <t>A 57491-2023</t>
        </is>
      </c>
      <c r="B121" s="1" t="n">
        <v>45246</v>
      </c>
      <c r="C121" s="1" t="n">
        <v>45732</v>
      </c>
      <c r="D121" t="inlineStr">
        <is>
          <t>JÄMTLANDS LÄN</t>
        </is>
      </c>
      <c r="E121" t="inlineStr">
        <is>
          <t>ÖSTERSUND</t>
        </is>
      </c>
      <c r="G121" t="n">
        <v>9.699999999999999</v>
      </c>
      <c r="H121" t="n">
        <v>1</v>
      </c>
      <c r="I121" t="n">
        <v>0</v>
      </c>
      <c r="J121" t="n">
        <v>1</v>
      </c>
      <c r="K121" t="n">
        <v>1</v>
      </c>
      <c r="L121" t="n">
        <v>0</v>
      </c>
      <c r="M121" t="n">
        <v>0</v>
      </c>
      <c r="N121" t="n">
        <v>0</v>
      </c>
      <c r="O121" t="n">
        <v>2</v>
      </c>
      <c r="P121" t="n">
        <v>1</v>
      </c>
      <c r="Q121" t="n">
        <v>2</v>
      </c>
      <c r="R121" s="2" t="inlineStr">
        <is>
          <t>Doftticka
Lunglav</t>
        </is>
      </c>
      <c r="S121">
        <f>HYPERLINK("https://klasma.github.io/Logging_2380/artfynd/A 57491-2023 artfynd.xlsx", "A 57491-2023")</f>
        <v/>
      </c>
      <c r="T121">
        <f>HYPERLINK("https://klasma.github.io/Logging_2380/kartor/A 57491-2023 karta.png", "A 57491-2023")</f>
        <v/>
      </c>
      <c r="V121">
        <f>HYPERLINK("https://klasma.github.io/Logging_2380/klagomål/A 57491-2023 FSC-klagomål.docx", "A 57491-2023")</f>
        <v/>
      </c>
      <c r="W121">
        <f>HYPERLINK("https://klasma.github.io/Logging_2380/klagomålsmail/A 57491-2023 FSC-klagomål mail.docx", "A 57491-2023")</f>
        <v/>
      </c>
      <c r="X121">
        <f>HYPERLINK("https://klasma.github.io/Logging_2380/tillsyn/A 57491-2023 tillsynsbegäran.docx", "A 57491-2023")</f>
        <v/>
      </c>
      <c r="Y121">
        <f>HYPERLINK("https://klasma.github.io/Logging_2380/tillsynsmail/A 57491-2023 tillsynsbegäran mail.docx", "A 57491-2023")</f>
        <v/>
      </c>
    </row>
    <row r="122" ht="15" customHeight="1">
      <c r="A122" t="inlineStr">
        <is>
          <t>A 63930-2023</t>
        </is>
      </c>
      <c r="B122" s="1" t="n">
        <v>45278</v>
      </c>
      <c r="C122" s="1" t="n">
        <v>45732</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64270-2023</t>
        </is>
      </c>
      <c r="B123" s="1" t="n">
        <v>45279</v>
      </c>
      <c r="C123" s="1" t="n">
        <v>45732</v>
      </c>
      <c r="D123" t="inlineStr">
        <is>
          <t>JÄMTLANDS LÄN</t>
        </is>
      </c>
      <c r="E123" t="inlineStr">
        <is>
          <t>ÖSTERSUND</t>
        </is>
      </c>
      <c r="F123" t="inlineStr">
        <is>
          <t>SCA</t>
        </is>
      </c>
      <c r="G123" t="n">
        <v>0.7</v>
      </c>
      <c r="H123" t="n">
        <v>2</v>
      </c>
      <c r="I123" t="n">
        <v>0</v>
      </c>
      <c r="J123" t="n">
        <v>2</v>
      </c>
      <c r="K123" t="n">
        <v>0</v>
      </c>
      <c r="L123" t="n">
        <v>0</v>
      </c>
      <c r="M123" t="n">
        <v>0</v>
      </c>
      <c r="N123" t="n">
        <v>0</v>
      </c>
      <c r="O123" t="n">
        <v>2</v>
      </c>
      <c r="P123" t="n">
        <v>0</v>
      </c>
      <c r="Q123" t="n">
        <v>2</v>
      </c>
      <c r="R123" s="2" t="inlineStr">
        <is>
          <t>Spillkråka
Talltita</t>
        </is>
      </c>
      <c r="S123">
        <f>HYPERLINK("https://klasma.github.io/Logging_2380/artfynd/A 64270-2023 artfynd.xlsx", "A 64270-2023")</f>
        <v/>
      </c>
      <c r="T123">
        <f>HYPERLINK("https://klasma.github.io/Logging_2380/kartor/A 64270-2023 karta.png", "A 64270-2023")</f>
        <v/>
      </c>
      <c r="V123">
        <f>HYPERLINK("https://klasma.github.io/Logging_2380/klagomål/A 64270-2023 FSC-klagomål.docx", "A 64270-2023")</f>
        <v/>
      </c>
      <c r="W123">
        <f>HYPERLINK("https://klasma.github.io/Logging_2380/klagomålsmail/A 64270-2023 FSC-klagomål mail.docx", "A 64270-2023")</f>
        <v/>
      </c>
      <c r="X123">
        <f>HYPERLINK("https://klasma.github.io/Logging_2380/tillsyn/A 64270-2023 tillsynsbegäran.docx", "A 64270-2023")</f>
        <v/>
      </c>
      <c r="Y123">
        <f>HYPERLINK("https://klasma.github.io/Logging_2380/tillsynsmail/A 64270-2023 tillsynsbegäran mail.docx", "A 64270-2023")</f>
        <v/>
      </c>
      <c r="Z123">
        <f>HYPERLINK("https://klasma.github.io/Logging_2380/fåglar/A 64270-2023 prioriterade fågelarter.docx", "A 64270-2023")</f>
        <v/>
      </c>
    </row>
    <row r="124" ht="15" customHeight="1">
      <c r="A124" t="inlineStr">
        <is>
          <t>A 7698-2024</t>
        </is>
      </c>
      <c r="B124" s="1" t="n">
        <v>45349</v>
      </c>
      <c r="C124" s="1" t="n">
        <v>45732</v>
      </c>
      <c r="D124" t="inlineStr">
        <is>
          <t>JÄMTLANDS LÄN</t>
        </is>
      </c>
      <c r="E124" t="inlineStr">
        <is>
          <t>ÖSTERSUND</t>
        </is>
      </c>
      <c r="F124" t="inlineStr">
        <is>
          <t>Övriga Aktiebolag</t>
        </is>
      </c>
      <c r="G124" t="n">
        <v>4.5</v>
      </c>
      <c r="H124" t="n">
        <v>2</v>
      </c>
      <c r="I124" t="n">
        <v>1</v>
      </c>
      <c r="J124" t="n">
        <v>0</v>
      </c>
      <c r="K124" t="n">
        <v>0</v>
      </c>
      <c r="L124" t="n">
        <v>0</v>
      </c>
      <c r="M124" t="n">
        <v>0</v>
      </c>
      <c r="N124" t="n">
        <v>0</v>
      </c>
      <c r="O124" t="n">
        <v>0</v>
      </c>
      <c r="P124" t="n">
        <v>0</v>
      </c>
      <c r="Q124" t="n">
        <v>2</v>
      </c>
      <c r="R124" s="2" t="inlineStr">
        <is>
          <t>Tvåblad
Brudsporre</t>
        </is>
      </c>
      <c r="S124">
        <f>HYPERLINK("https://klasma.github.io/Logging_2380/artfynd/A 7698-2024 artfynd.xlsx", "A 7698-2024")</f>
        <v/>
      </c>
      <c r="T124">
        <f>HYPERLINK("https://klasma.github.io/Logging_2380/kartor/A 7698-2024 karta.png", "A 7698-2024")</f>
        <v/>
      </c>
      <c r="V124">
        <f>HYPERLINK("https://klasma.github.io/Logging_2380/klagomål/A 7698-2024 FSC-klagomål.docx", "A 7698-2024")</f>
        <v/>
      </c>
      <c r="W124">
        <f>HYPERLINK("https://klasma.github.io/Logging_2380/klagomålsmail/A 7698-2024 FSC-klagomål mail.docx", "A 7698-2024")</f>
        <v/>
      </c>
      <c r="X124">
        <f>HYPERLINK("https://klasma.github.io/Logging_2380/tillsyn/A 7698-2024 tillsynsbegäran.docx", "A 7698-2024")</f>
        <v/>
      </c>
      <c r="Y124">
        <f>HYPERLINK("https://klasma.github.io/Logging_2380/tillsynsmail/A 7698-2024 tillsynsbegäran mail.docx", "A 7698-2024")</f>
        <v/>
      </c>
    </row>
    <row r="125" ht="15" customHeight="1">
      <c r="A125" t="inlineStr">
        <is>
          <t>A 18300-2024</t>
        </is>
      </c>
      <c r="B125" s="1" t="n">
        <v>45421</v>
      </c>
      <c r="C125" s="1" t="n">
        <v>45732</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45732</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45732</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45732</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45732</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45732</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45732</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45732</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45732</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45732</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45732</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45732</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45732</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45732</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45732</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45732</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45732</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45732</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45732</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45732</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45732</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45732</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45732</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45732</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45732</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45732</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45732</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45732</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45732</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45732</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45732</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45732</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45732</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45732</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45732</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45732</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45732</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45732</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45732</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45732</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45732</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45732</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45732</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45732</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45732</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45732</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45732</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45732</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45732</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45732</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45732</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45732</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45732</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45732</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45732</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45732</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45732</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45732</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45732</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45732</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45732</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45732</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45732</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45732</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45732</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45732</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45732</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45732</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45732</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45732</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45732</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54354-2024</t>
        </is>
      </c>
      <c r="B196" s="1" t="n">
        <v>45617</v>
      </c>
      <c r="C196" s="1" t="n">
        <v>45732</v>
      </c>
      <c r="D196" t="inlineStr">
        <is>
          <t>JÄMTLANDS LÄN</t>
        </is>
      </c>
      <c r="E196" t="inlineStr">
        <is>
          <t>ÖSTERSUND</t>
        </is>
      </c>
      <c r="G196" t="n">
        <v>7</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54354-2024 artfynd.xlsx", "A 54354-2024")</f>
        <v/>
      </c>
      <c r="T196">
        <f>HYPERLINK("https://klasma.github.io/Logging_2380/kartor/A 54354-2024 karta.png", "A 54354-2024")</f>
        <v/>
      </c>
      <c r="V196">
        <f>HYPERLINK("https://klasma.github.io/Logging_2380/klagomål/A 54354-2024 FSC-klagomål.docx", "A 54354-2024")</f>
        <v/>
      </c>
      <c r="W196">
        <f>HYPERLINK("https://klasma.github.io/Logging_2380/klagomålsmail/A 54354-2024 FSC-klagomål mail.docx", "A 54354-2024")</f>
        <v/>
      </c>
      <c r="X196">
        <f>HYPERLINK("https://klasma.github.io/Logging_2380/tillsyn/A 54354-2024 tillsynsbegäran.docx", "A 54354-2024")</f>
        <v/>
      </c>
      <c r="Y196">
        <f>HYPERLINK("https://klasma.github.io/Logging_2380/tillsynsmail/A 54354-2024 tillsynsbegäran mail.docx", "A 54354-2024")</f>
        <v/>
      </c>
      <c r="Z196">
        <f>HYPERLINK("https://klasma.github.io/Logging_2380/fåglar/A 54354-2024 prioriterade fågelarter.docx", "A 54354-2024")</f>
        <v/>
      </c>
    </row>
    <row r="197" ht="15" customHeight="1">
      <c r="A197" t="inlineStr">
        <is>
          <t>A 56201-2024</t>
        </is>
      </c>
      <c r="B197" s="1" t="n">
        <v>45624</v>
      </c>
      <c r="C197" s="1" t="n">
        <v>45732</v>
      </c>
      <c r="D197" t="inlineStr">
        <is>
          <t>JÄMTLANDS LÄN</t>
        </is>
      </c>
      <c r="E197" t="inlineStr">
        <is>
          <t>ÖSTERSUND</t>
        </is>
      </c>
      <c r="F197" t="inlineStr">
        <is>
          <t>SCA</t>
        </is>
      </c>
      <c r="G197" t="n">
        <v>5.9</v>
      </c>
      <c r="H197" t="n">
        <v>1</v>
      </c>
      <c r="I197" t="n">
        <v>0</v>
      </c>
      <c r="J197" t="n">
        <v>0</v>
      </c>
      <c r="K197" t="n">
        <v>1</v>
      </c>
      <c r="L197" t="n">
        <v>0</v>
      </c>
      <c r="M197" t="n">
        <v>0</v>
      </c>
      <c r="N197" t="n">
        <v>0</v>
      </c>
      <c r="O197" t="n">
        <v>1</v>
      </c>
      <c r="P197" t="n">
        <v>1</v>
      </c>
      <c r="Q197" t="n">
        <v>1</v>
      </c>
      <c r="R197" s="2" t="inlineStr">
        <is>
          <t>Doftticka</t>
        </is>
      </c>
      <c r="S197">
        <f>HYPERLINK("https://klasma.github.io/Logging_2380/artfynd/A 56201-2024 artfynd.xlsx", "A 56201-2024")</f>
        <v/>
      </c>
      <c r="T197">
        <f>HYPERLINK("https://klasma.github.io/Logging_2380/kartor/A 56201-2024 karta.png", "A 56201-2024")</f>
        <v/>
      </c>
      <c r="V197">
        <f>HYPERLINK("https://klasma.github.io/Logging_2380/klagomål/A 56201-2024 FSC-klagomål.docx", "A 56201-2024")</f>
        <v/>
      </c>
      <c r="W197">
        <f>HYPERLINK("https://klasma.github.io/Logging_2380/klagomålsmail/A 56201-2024 FSC-klagomål mail.docx", "A 56201-2024")</f>
        <v/>
      </c>
      <c r="X197">
        <f>HYPERLINK("https://klasma.github.io/Logging_2380/tillsyn/A 56201-2024 tillsynsbegäran.docx", "A 56201-2024")</f>
        <v/>
      </c>
      <c r="Y197">
        <f>HYPERLINK("https://klasma.github.io/Logging_2380/tillsynsmail/A 56201-2024 tillsynsbegäran mail.docx", "A 56201-2024")</f>
        <v/>
      </c>
    </row>
    <row r="198" ht="15" customHeight="1">
      <c r="A198" t="inlineStr">
        <is>
          <t>A 57065-2024</t>
        </is>
      </c>
      <c r="B198" s="1" t="n">
        <v>45629</v>
      </c>
      <c r="C198" s="1" t="n">
        <v>45732</v>
      </c>
      <c r="D198" t="inlineStr">
        <is>
          <t>JÄMTLANDS LÄN</t>
        </is>
      </c>
      <c r="E198" t="inlineStr">
        <is>
          <t>ÖSTERSUND</t>
        </is>
      </c>
      <c r="F198" t="inlineStr">
        <is>
          <t>SCA</t>
        </is>
      </c>
      <c r="G198" t="n">
        <v>6.3</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57065-2024 artfynd.xlsx", "A 57065-2024")</f>
        <v/>
      </c>
      <c r="T198">
        <f>HYPERLINK("https://klasma.github.io/Logging_2380/kartor/A 57065-2024 karta.png", "A 57065-2024")</f>
        <v/>
      </c>
      <c r="V198">
        <f>HYPERLINK("https://klasma.github.io/Logging_2380/klagomål/A 57065-2024 FSC-klagomål.docx", "A 57065-2024")</f>
        <v/>
      </c>
      <c r="W198">
        <f>HYPERLINK("https://klasma.github.io/Logging_2380/klagomålsmail/A 57065-2024 FSC-klagomål mail.docx", "A 57065-2024")</f>
        <v/>
      </c>
      <c r="X198">
        <f>HYPERLINK("https://klasma.github.io/Logging_2380/tillsyn/A 57065-2024 tillsynsbegäran.docx", "A 57065-2024")</f>
        <v/>
      </c>
      <c r="Y198">
        <f>HYPERLINK("https://klasma.github.io/Logging_2380/tillsynsmail/A 57065-2024 tillsynsbegäran mail.docx", "A 57065-2024")</f>
        <v/>
      </c>
      <c r="Z198">
        <f>HYPERLINK("https://klasma.github.io/Logging_2380/fåglar/A 57065-2024 prioriterade fågelarter.docx", "A 57065-2024")</f>
        <v/>
      </c>
    </row>
    <row r="199" ht="15" customHeight="1">
      <c r="A199" t="inlineStr">
        <is>
          <t>A 59108-2024</t>
        </is>
      </c>
      <c r="B199" s="1" t="n">
        <v>45637</v>
      </c>
      <c r="C199" s="1" t="n">
        <v>45732</v>
      </c>
      <c r="D199" t="inlineStr">
        <is>
          <t>JÄMTLANDS LÄN</t>
        </is>
      </c>
      <c r="E199" t="inlineStr">
        <is>
          <t>ÖSTERSUND</t>
        </is>
      </c>
      <c r="F199" t="inlineStr">
        <is>
          <t>SCA</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59108-2024 artfynd.xlsx", "A 59108-2024")</f>
        <v/>
      </c>
      <c r="T199">
        <f>HYPERLINK("https://klasma.github.io/Logging_2380/kartor/A 59108-2024 karta.png", "A 59108-2024")</f>
        <v/>
      </c>
      <c r="V199">
        <f>HYPERLINK("https://klasma.github.io/Logging_2380/klagomål/A 59108-2024 FSC-klagomål.docx", "A 59108-2024")</f>
        <v/>
      </c>
      <c r="W199">
        <f>HYPERLINK("https://klasma.github.io/Logging_2380/klagomålsmail/A 59108-2024 FSC-klagomål mail.docx", "A 59108-2024")</f>
        <v/>
      </c>
      <c r="X199">
        <f>HYPERLINK("https://klasma.github.io/Logging_2380/tillsyn/A 59108-2024 tillsynsbegäran.docx", "A 59108-2024")</f>
        <v/>
      </c>
      <c r="Y199">
        <f>HYPERLINK("https://klasma.github.io/Logging_2380/tillsynsmail/A 59108-2024 tillsynsbegäran mail.docx", "A 59108-2024")</f>
        <v/>
      </c>
      <c r="Z199">
        <f>HYPERLINK("https://klasma.github.io/Logging_2380/fåglar/A 59108-2024 prioriterade fågelarter.docx", "A 59108-2024")</f>
        <v/>
      </c>
    </row>
    <row r="200" ht="15" customHeight="1">
      <c r="A200" t="inlineStr">
        <is>
          <t>A 61179-2024</t>
        </is>
      </c>
      <c r="B200" s="1" t="n">
        <v>45645</v>
      </c>
      <c r="C200" s="1" t="n">
        <v>45732</v>
      </c>
      <c r="D200" t="inlineStr">
        <is>
          <t>JÄMTLANDS LÄN</t>
        </is>
      </c>
      <c r="E200" t="inlineStr">
        <is>
          <t>ÖSTERSUND</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HYPERLINK("https://klasma.github.io/Logging_2380/artfynd/A 61179-2024 artfynd.xlsx", "A 61179-2024")</f>
        <v/>
      </c>
      <c r="T200">
        <f>HYPERLINK("https://klasma.github.io/Logging_2380/kartor/A 61179-2024 karta.png", "A 61179-2024")</f>
        <v/>
      </c>
      <c r="U200">
        <f>HYPERLINK("https://klasma.github.io/Logging_2380/knärot/A 61179-2024 karta knärot.png", "A 61179-2024")</f>
        <v/>
      </c>
      <c r="V200">
        <f>HYPERLINK("https://klasma.github.io/Logging_2380/klagomål/A 61179-2024 FSC-klagomål.docx", "A 61179-2024")</f>
        <v/>
      </c>
      <c r="W200">
        <f>HYPERLINK("https://klasma.github.io/Logging_2380/klagomålsmail/A 61179-2024 FSC-klagomål mail.docx", "A 61179-2024")</f>
        <v/>
      </c>
      <c r="X200">
        <f>HYPERLINK("https://klasma.github.io/Logging_2380/tillsyn/A 61179-2024 tillsynsbegäran.docx", "A 61179-2024")</f>
        <v/>
      </c>
      <c r="Y200">
        <f>HYPERLINK("https://klasma.github.io/Logging_2380/tillsynsmail/A 61179-2024 tillsynsbegäran mail.docx", "A 61179-2024")</f>
        <v/>
      </c>
    </row>
    <row r="201" ht="15" customHeight="1">
      <c r="A201" t="inlineStr">
        <is>
          <t>A 3995-2025</t>
        </is>
      </c>
      <c r="B201" s="1" t="n">
        <v>45684</v>
      </c>
      <c r="C201" s="1" t="n">
        <v>45732</v>
      </c>
      <c r="D201" t="inlineStr">
        <is>
          <t>JÄMTLANDS LÄN</t>
        </is>
      </c>
      <c r="E201" t="inlineStr">
        <is>
          <t>ÖSTERSUND</t>
        </is>
      </c>
      <c r="G201" t="n">
        <v>6.5</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3995-2025 artfynd.xlsx", "A 3995-2025")</f>
        <v/>
      </c>
      <c r="T201">
        <f>HYPERLINK("https://klasma.github.io/Logging_2380/kartor/A 3995-2025 karta.png", "A 3995-2025")</f>
        <v/>
      </c>
      <c r="V201">
        <f>HYPERLINK("https://klasma.github.io/Logging_2380/klagomål/A 3995-2025 FSC-klagomål.docx", "A 3995-2025")</f>
        <v/>
      </c>
      <c r="W201">
        <f>HYPERLINK("https://klasma.github.io/Logging_2380/klagomålsmail/A 3995-2025 FSC-klagomål mail.docx", "A 3995-2025")</f>
        <v/>
      </c>
      <c r="X201">
        <f>HYPERLINK("https://klasma.github.io/Logging_2380/tillsyn/A 3995-2025 tillsynsbegäran.docx", "A 3995-2025")</f>
        <v/>
      </c>
      <c r="Y201">
        <f>HYPERLINK("https://klasma.github.io/Logging_2380/tillsynsmail/A 3995-2025 tillsynsbegäran mail.docx", "A 3995-2025")</f>
        <v/>
      </c>
      <c r="Z201">
        <f>HYPERLINK("https://klasma.github.io/Logging_2380/fåglar/A 3995-2025 prioriterade fågelarter.docx", "A 3995-2025")</f>
        <v/>
      </c>
    </row>
    <row r="202" ht="15" customHeight="1">
      <c r="A202" t="inlineStr">
        <is>
          <t>A 4372-2025</t>
        </is>
      </c>
      <c r="B202" s="1" t="n">
        <v>45686</v>
      </c>
      <c r="C202" s="1" t="n">
        <v>45732</v>
      </c>
      <c r="D202" t="inlineStr">
        <is>
          <t>JÄMTLANDS LÄN</t>
        </is>
      </c>
      <c r="E202" t="inlineStr">
        <is>
          <t>ÖSTERSUND</t>
        </is>
      </c>
      <c r="G202" t="n">
        <v>4.5</v>
      </c>
      <c r="H202" t="n">
        <v>0</v>
      </c>
      <c r="I202" t="n">
        <v>0</v>
      </c>
      <c r="J202" t="n">
        <v>1</v>
      </c>
      <c r="K202" t="n">
        <v>0</v>
      </c>
      <c r="L202" t="n">
        <v>0</v>
      </c>
      <c r="M202" t="n">
        <v>0</v>
      </c>
      <c r="N202" t="n">
        <v>0</v>
      </c>
      <c r="O202" t="n">
        <v>1</v>
      </c>
      <c r="P202" t="n">
        <v>0</v>
      </c>
      <c r="Q202" t="n">
        <v>1</v>
      </c>
      <c r="R202" s="2" t="inlineStr">
        <is>
          <t>Lunglav</t>
        </is>
      </c>
      <c r="S202">
        <f>HYPERLINK("https://klasma.github.io/Logging_2380/artfynd/A 4372-2025 artfynd.xlsx", "A 4372-2025")</f>
        <v/>
      </c>
      <c r="T202">
        <f>HYPERLINK("https://klasma.github.io/Logging_2380/kartor/A 4372-2025 karta.png", "A 4372-2025")</f>
        <v/>
      </c>
      <c r="V202">
        <f>HYPERLINK("https://klasma.github.io/Logging_2380/klagomål/A 4372-2025 FSC-klagomål.docx", "A 4372-2025")</f>
        <v/>
      </c>
      <c r="W202">
        <f>HYPERLINK("https://klasma.github.io/Logging_2380/klagomålsmail/A 4372-2025 FSC-klagomål mail.docx", "A 4372-2025")</f>
        <v/>
      </c>
      <c r="X202">
        <f>HYPERLINK("https://klasma.github.io/Logging_2380/tillsyn/A 4372-2025 tillsynsbegäran.docx", "A 4372-2025")</f>
        <v/>
      </c>
      <c r="Y202">
        <f>HYPERLINK("https://klasma.github.io/Logging_2380/tillsynsmail/A 4372-2025 tillsynsbegäran mail.docx", "A 4372-2025")</f>
        <v/>
      </c>
    </row>
    <row r="203" ht="15" customHeight="1">
      <c r="A203" t="inlineStr">
        <is>
          <t>A 5978-2025</t>
        </is>
      </c>
      <c r="B203" s="1" t="n">
        <v>45695</v>
      </c>
      <c r="C203" s="1" t="n">
        <v>45732</v>
      </c>
      <c r="D203" t="inlineStr">
        <is>
          <t>JÄMTLANDS LÄN</t>
        </is>
      </c>
      <c r="E203" t="inlineStr">
        <is>
          <t>ÖSTERSUND</t>
        </is>
      </c>
      <c r="G203" t="n">
        <v>3.2</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HYPERLINK("https://klasma.github.io/Logging_2380/artfynd/A 5978-2025 artfynd.xlsx", "A 5978-2025")</f>
        <v/>
      </c>
      <c r="T203">
        <f>HYPERLINK("https://klasma.github.io/Logging_2380/kartor/A 5978-2025 karta.png", "A 5978-2025")</f>
        <v/>
      </c>
      <c r="V203">
        <f>HYPERLINK("https://klasma.github.io/Logging_2380/klagomål/A 5978-2025 FSC-klagomål.docx", "A 5978-2025")</f>
        <v/>
      </c>
      <c r="W203">
        <f>HYPERLINK("https://klasma.github.io/Logging_2380/klagomålsmail/A 5978-2025 FSC-klagomål mail.docx", "A 5978-2025")</f>
        <v/>
      </c>
      <c r="X203">
        <f>HYPERLINK("https://klasma.github.io/Logging_2380/tillsyn/A 5978-2025 tillsynsbegäran.docx", "A 5978-2025")</f>
        <v/>
      </c>
      <c r="Y203">
        <f>HYPERLINK("https://klasma.github.io/Logging_2380/tillsynsmail/A 5978-2025 tillsynsbegäran mail.docx", "A 5978-2025")</f>
        <v/>
      </c>
    </row>
    <row r="204" ht="15" customHeight="1">
      <c r="A204" t="inlineStr">
        <is>
          <t>A 10724-2025</t>
        </is>
      </c>
      <c r="B204" s="1" t="n">
        <v>45722</v>
      </c>
      <c r="C204" s="1" t="n">
        <v>45732</v>
      </c>
      <c r="D204" t="inlineStr">
        <is>
          <t>JÄMTLANDS LÄN</t>
        </is>
      </c>
      <c r="E204" t="inlineStr">
        <is>
          <t>ÖSTERSUND</t>
        </is>
      </c>
      <c r="F204" t="inlineStr">
        <is>
          <t>SCA</t>
        </is>
      </c>
      <c r="G204" t="n">
        <v>3.6</v>
      </c>
      <c r="H204" t="n">
        <v>0</v>
      </c>
      <c r="I204" t="n">
        <v>0</v>
      </c>
      <c r="J204" t="n">
        <v>1</v>
      </c>
      <c r="K204" t="n">
        <v>0</v>
      </c>
      <c r="L204" t="n">
        <v>0</v>
      </c>
      <c r="M204" t="n">
        <v>0</v>
      </c>
      <c r="N204" t="n">
        <v>0</v>
      </c>
      <c r="O204" t="n">
        <v>1</v>
      </c>
      <c r="P204" t="n">
        <v>0</v>
      </c>
      <c r="Q204" t="n">
        <v>1</v>
      </c>
      <c r="R204" s="2" t="inlineStr">
        <is>
          <t>Lunglav</t>
        </is>
      </c>
      <c r="S204">
        <f>HYPERLINK("https://klasma.github.io/Logging_2380/artfynd/A 10724-2025 artfynd.xlsx", "A 10724-2025")</f>
        <v/>
      </c>
      <c r="T204">
        <f>HYPERLINK("https://klasma.github.io/Logging_2380/kartor/A 10724-2025 karta.png", "A 10724-2025")</f>
        <v/>
      </c>
      <c r="V204">
        <f>HYPERLINK("https://klasma.github.io/Logging_2380/klagomål/A 10724-2025 FSC-klagomål.docx", "A 10724-2025")</f>
        <v/>
      </c>
      <c r="W204">
        <f>HYPERLINK("https://klasma.github.io/Logging_2380/klagomålsmail/A 10724-2025 FSC-klagomål mail.docx", "A 10724-2025")</f>
        <v/>
      </c>
      <c r="X204">
        <f>HYPERLINK("https://klasma.github.io/Logging_2380/tillsyn/A 10724-2025 tillsynsbegäran.docx", "A 10724-2025")</f>
        <v/>
      </c>
      <c r="Y204">
        <f>HYPERLINK("https://klasma.github.io/Logging_2380/tillsynsmail/A 10724-2025 tillsynsbegäran mail.docx", "A 10724-2025")</f>
        <v/>
      </c>
    </row>
    <row r="205" ht="15" customHeight="1">
      <c r="A205" t="inlineStr">
        <is>
          <t>A 20319-2019</t>
        </is>
      </c>
      <c r="B205" s="1" t="n">
        <v>43571</v>
      </c>
      <c r="C205" s="1" t="n">
        <v>45732</v>
      </c>
      <c r="D205" t="inlineStr">
        <is>
          <t>JÄMTLANDS LÄN</t>
        </is>
      </c>
      <c r="E205" t="inlineStr">
        <is>
          <t>ÖSTERSUND</t>
        </is>
      </c>
      <c r="G205" t="n">
        <v>1.3</v>
      </c>
      <c r="H205" t="n">
        <v>0</v>
      </c>
      <c r="I205" t="n">
        <v>0</v>
      </c>
      <c r="J205" t="n">
        <v>0</v>
      </c>
      <c r="K205" t="n">
        <v>0</v>
      </c>
      <c r="L205" t="n">
        <v>0</v>
      </c>
      <c r="M205" t="n">
        <v>0</v>
      </c>
      <c r="N205" t="n">
        <v>0</v>
      </c>
      <c r="O205" t="n">
        <v>0</v>
      </c>
      <c r="P205" t="n">
        <v>0</v>
      </c>
      <c r="Q205" t="n">
        <v>0</v>
      </c>
      <c r="R205" s="2" t="inlineStr"/>
    </row>
    <row r="206" ht="15" customHeight="1">
      <c r="A206" t="inlineStr">
        <is>
          <t>A 21727-2019</t>
        </is>
      </c>
      <c r="B206" s="1" t="n">
        <v>43581</v>
      </c>
      <c r="C206" s="1" t="n">
        <v>45732</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21793-2019</t>
        </is>
      </c>
      <c r="B207" s="1" t="n">
        <v>43581</v>
      </c>
      <c r="C207" s="1" t="n">
        <v>45732</v>
      </c>
      <c r="D207" t="inlineStr">
        <is>
          <t>JÄMTLANDS LÄN</t>
        </is>
      </c>
      <c r="E207" t="inlineStr">
        <is>
          <t>ÖSTERSUND</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22119-2019</t>
        </is>
      </c>
      <c r="B208" s="1" t="n">
        <v>43584</v>
      </c>
      <c r="C208" s="1" t="n">
        <v>45732</v>
      </c>
      <c r="D208" t="inlineStr">
        <is>
          <t>JÄMTLANDS LÄN</t>
        </is>
      </c>
      <c r="E208" t="inlineStr">
        <is>
          <t>ÖSTERSUND</t>
        </is>
      </c>
      <c r="G208" t="n">
        <v>7</v>
      </c>
      <c r="H208" t="n">
        <v>0</v>
      </c>
      <c r="I208" t="n">
        <v>0</v>
      </c>
      <c r="J208" t="n">
        <v>0</v>
      </c>
      <c r="K208" t="n">
        <v>0</v>
      </c>
      <c r="L208" t="n">
        <v>0</v>
      </c>
      <c r="M208" t="n">
        <v>0</v>
      </c>
      <c r="N208" t="n">
        <v>0</v>
      </c>
      <c r="O208" t="n">
        <v>0</v>
      </c>
      <c r="P208" t="n">
        <v>0</v>
      </c>
      <c r="Q208" t="n">
        <v>0</v>
      </c>
      <c r="R208" s="2" t="inlineStr"/>
    </row>
    <row r="209" ht="15" customHeight="1">
      <c r="A209" t="inlineStr">
        <is>
          <t>A 22115-2019</t>
        </is>
      </c>
      <c r="B209" s="1" t="n">
        <v>43584</v>
      </c>
      <c r="C209" s="1" t="n">
        <v>45732</v>
      </c>
      <c r="D209" t="inlineStr">
        <is>
          <t>JÄMTLANDS LÄN</t>
        </is>
      </c>
      <c r="E209" t="inlineStr">
        <is>
          <t>ÖSTERSUND</t>
        </is>
      </c>
      <c r="G209" t="n">
        <v>15.1</v>
      </c>
      <c r="H209" t="n">
        <v>0</v>
      </c>
      <c r="I209" t="n">
        <v>0</v>
      </c>
      <c r="J209" t="n">
        <v>0</v>
      </c>
      <c r="K209" t="n">
        <v>0</v>
      </c>
      <c r="L209" t="n">
        <v>0</v>
      </c>
      <c r="M209" t="n">
        <v>0</v>
      </c>
      <c r="N209" t="n">
        <v>0</v>
      </c>
      <c r="O209" t="n">
        <v>0</v>
      </c>
      <c r="P209" t="n">
        <v>0</v>
      </c>
      <c r="Q209" t="n">
        <v>0</v>
      </c>
      <c r="R209" s="2" t="inlineStr"/>
      <c r="U209">
        <f>HYPERLINK("https://klasma.github.io/Logging_2380/knärot/A 22115-2019 karta knärot.png", "A 22115-2019")</f>
        <v/>
      </c>
      <c r="V209">
        <f>HYPERLINK("https://klasma.github.io/Logging_2380/klagomål/A 22115-2019 FSC-klagomål.docx", "A 22115-2019")</f>
        <v/>
      </c>
      <c r="W209">
        <f>HYPERLINK("https://klasma.github.io/Logging_2380/klagomålsmail/A 22115-2019 FSC-klagomål mail.docx", "A 22115-2019")</f>
        <v/>
      </c>
      <c r="X209">
        <f>HYPERLINK("https://klasma.github.io/Logging_2380/tillsyn/A 22115-2019 tillsynsbegäran.docx", "A 22115-2019")</f>
        <v/>
      </c>
      <c r="Y209">
        <f>HYPERLINK("https://klasma.github.io/Logging_2380/tillsynsmail/A 22115-2019 tillsynsbegäran mail.docx", "A 22115-2019")</f>
        <v/>
      </c>
    </row>
    <row r="210" ht="15" customHeight="1">
      <c r="A210" t="inlineStr">
        <is>
          <t>A 23609-2019</t>
        </is>
      </c>
      <c r="B210" s="1" t="n">
        <v>43594</v>
      </c>
      <c r="C210" s="1" t="n">
        <v>45732</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23940-2019</t>
        </is>
      </c>
      <c r="B211" s="1" t="n">
        <v>43595</v>
      </c>
      <c r="C211" s="1" t="n">
        <v>45732</v>
      </c>
      <c r="D211" t="inlineStr">
        <is>
          <t>JÄMTLANDS LÄN</t>
        </is>
      </c>
      <c r="E211" t="inlineStr">
        <is>
          <t>ÖSTERSUND</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25205-2019</t>
        </is>
      </c>
      <c r="B212" s="1" t="n">
        <v>43600</v>
      </c>
      <c r="C212" s="1" t="n">
        <v>45732</v>
      </c>
      <c r="D212" t="inlineStr">
        <is>
          <t>JÄMTLANDS LÄN</t>
        </is>
      </c>
      <c r="E212" t="inlineStr">
        <is>
          <t>ÖSTERSUND</t>
        </is>
      </c>
      <c r="G212" t="n">
        <v>3.8</v>
      </c>
      <c r="H212" t="n">
        <v>0</v>
      </c>
      <c r="I212" t="n">
        <v>0</v>
      </c>
      <c r="J212" t="n">
        <v>0</v>
      </c>
      <c r="K212" t="n">
        <v>0</v>
      </c>
      <c r="L212" t="n">
        <v>0</v>
      </c>
      <c r="M212" t="n">
        <v>0</v>
      </c>
      <c r="N212" t="n">
        <v>0</v>
      </c>
      <c r="O212" t="n">
        <v>0</v>
      </c>
      <c r="P212" t="n">
        <v>0</v>
      </c>
      <c r="Q212" t="n">
        <v>0</v>
      </c>
      <c r="R212" s="2" t="inlineStr"/>
    </row>
    <row r="213" ht="15" customHeight="1">
      <c r="A213" t="inlineStr">
        <is>
          <t>A 28892-2019</t>
        </is>
      </c>
      <c r="B213" s="1" t="n">
        <v>43619</v>
      </c>
      <c r="C213" s="1" t="n">
        <v>45732</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28899-2019</t>
        </is>
      </c>
      <c r="B214" s="1" t="n">
        <v>43619</v>
      </c>
      <c r="C214" s="1" t="n">
        <v>45732</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28884-2019</t>
        </is>
      </c>
      <c r="B215" s="1" t="n">
        <v>43619</v>
      </c>
      <c r="C215" s="1" t="n">
        <v>45732</v>
      </c>
      <c r="D215" t="inlineStr">
        <is>
          <t>JÄMTLANDS LÄN</t>
        </is>
      </c>
      <c r="E215" t="inlineStr">
        <is>
          <t>ÖSTERSUND</t>
        </is>
      </c>
      <c r="G215" t="n">
        <v>0.3</v>
      </c>
      <c r="H215" t="n">
        <v>0</v>
      </c>
      <c r="I215" t="n">
        <v>0</v>
      </c>
      <c r="J215" t="n">
        <v>0</v>
      </c>
      <c r="K215" t="n">
        <v>0</v>
      </c>
      <c r="L215" t="n">
        <v>0</v>
      </c>
      <c r="M215" t="n">
        <v>0</v>
      </c>
      <c r="N215" t="n">
        <v>0</v>
      </c>
      <c r="O215" t="n">
        <v>0</v>
      </c>
      <c r="P215" t="n">
        <v>0</v>
      </c>
      <c r="Q215" t="n">
        <v>0</v>
      </c>
      <c r="R215" s="2" t="inlineStr"/>
    </row>
    <row r="216" ht="15" customHeight="1">
      <c r="A216" t="inlineStr">
        <is>
          <t>A 27977-2019</t>
        </is>
      </c>
      <c r="B216" s="1" t="n">
        <v>43620</v>
      </c>
      <c r="C216" s="1" t="n">
        <v>45732</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29058-2019</t>
        </is>
      </c>
      <c r="B217" s="1" t="n">
        <v>43621</v>
      </c>
      <c r="C217" s="1" t="n">
        <v>45732</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45732</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45732</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45732</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45732</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45732</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45732</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45732</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45732</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45732</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45732</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45732</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45732</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45732</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45732</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45732</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45732</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45732</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45732</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45732</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45732</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45732</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45732</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45732</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45732</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45732</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45732</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45732</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45732</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45732</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45732</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45732</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45732</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45732</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45732</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45732</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45732</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45732</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45732</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45732</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45732</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45732</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45732</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45732</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45732</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45732</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45732</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45732</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45732</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45732</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45732</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45732</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45732</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45732</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45732</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45732</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45732</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45732</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45732</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45732</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45732</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45732</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45732</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45732</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45732</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45732</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45732</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45732</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45732</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45732</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45732</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45732</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45732</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45732</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45732</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45732</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45732</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45732</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45732</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45732</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45732</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45732</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45732</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45732</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45732</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45732</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45732</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45732</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45732</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45732</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45732</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45732</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45732</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45732</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45732</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45732</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45732</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45732</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45732</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45732</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45732</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45732</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45732</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45732</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45732</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45732</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45732</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45732</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45732</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45732</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45732</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45732</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45732</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45732</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45732</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45732</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45732</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45732</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45732</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45732</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45732</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45732</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45732</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45732</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45732</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45732</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45732</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45732</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45732</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45732</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45732</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45732</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45732</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45732</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45732</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45732</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45732</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45732</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45732</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45732</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45732</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45732</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45732</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45732</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45732</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45732</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45732</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45732</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45732</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45732</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45732</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45732</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45732</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45732</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45732</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45732</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45732</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45732</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45732</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45732</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45732</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45732</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45732</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45732</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45732</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45732</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45732</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45732</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45732</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45732</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45732</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45732</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45732</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45732</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45732</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45732</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45732</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45732</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45732</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45732</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45732</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45732</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45732</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45732</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45732</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45732</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45732</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45732</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45732</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45732</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45732</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45732</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45732</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45732</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45732</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45732</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45732</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45732</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45732</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45732</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45732</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45732</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45732</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45732</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45732</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45732</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45732</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45732</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45732</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45732</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45732</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45732</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45732</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45732</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45732</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45732</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45732</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45732</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45732</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45732</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45732</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45732</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45732</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45732</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45732</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45732</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45732</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45732</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45732</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45732</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45732</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45732</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45732</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45732</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45732</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45732</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45732</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45732</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45732</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45732</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45732</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45732</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45732</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45732</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45732</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45732</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45732</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45732</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45732</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45732</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45732</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45732</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45732</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45732</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45732</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45732</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45732</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45732</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45732</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45732</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45732</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45732</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45732</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45732</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45732</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45732</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45732</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45732</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45732</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45732</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45732</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45732</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45732</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45732</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45732</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45732</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45732</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45732</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45732</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45732</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45732</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45732</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45732</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45732</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45732</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45732</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45732</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45732</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45732</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45732</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45732</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45732</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45732</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45732</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45732</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45732</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45732</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45732</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45732</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45732</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45732</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45732</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45732</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45732</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45732</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45732</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45732</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45732</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45732</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45732</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45732</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45732</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45732</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45732</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45732</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45732</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45732</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45732</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45732</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45732</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45732</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45732</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45732</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45732</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45732</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45732</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45732</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45732</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45732</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45732</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45732</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45732</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45732</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45732</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45732</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45732</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45732</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45732</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45732</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45732</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45732</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45732</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45732</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45732</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45732</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45732</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45732</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45732</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45732</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45732</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45732</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45732</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45732</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45732</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45732</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45732</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45732</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45732</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45732</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45732</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45732</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45732</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45732</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45732</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45732</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45732</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45732</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45732</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45732</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45732</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45732</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45732</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45732</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45732</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45732</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45732</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45732</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45732</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45732</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45732</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45732</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45732</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45732</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45732</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45732</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45732</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45732</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45732</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45732</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45732</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45732</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45732</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45732</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45732</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45732</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45732</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45732</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45732</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45732</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45732</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45732</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45732</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45732</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45732</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45732</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45732</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45732</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45732</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45732</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45732</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45732</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45732</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45732</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45732</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45732</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45732</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45732</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45732</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45732</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45732</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45732</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45732</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45732</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45732</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45732</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45732</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45732</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45732</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45732</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45732</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45732</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45732</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45732</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45732</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45732</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45732</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45732</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45732</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45732</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45732</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45732</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45732</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45732</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45732</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45732</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45732</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45732</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45732</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45732</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45732</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45732</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45732</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45732</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45732</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45732</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45732</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45732</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45732</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45732</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45732</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45732</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45732</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45732</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45732</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45732</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45732</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45732</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45732</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45732</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45732</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45732</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45732</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45732</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45732</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45732</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45732</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45732</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45732</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45732</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45732</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45732</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45732</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45732</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45732</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45732</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45732</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45732</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45732</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45732</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45732</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45732</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45732</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45732</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45732</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45732</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45732</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45732</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45732</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45732</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45732</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45732</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45732</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45732</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45732</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45732</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45732</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45732</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45732</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45732</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45732</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45732</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45732</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45732</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45732</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45732</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45732</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45732</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45732</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45732</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45732</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45732</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45732</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45732</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45732</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45732</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45732</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45732</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45732</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45732</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45732</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45732</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45732</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45732</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45732</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45732</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45732</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45732</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45732</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45732</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45732</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45732</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45732</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45732</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45732</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45732</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45732</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45732</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45732</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45732</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45732</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45732</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45732</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45732</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45732</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45732</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45732</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45732</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45732</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45732</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45732</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45732</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45732</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45732</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45732</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45732</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45732</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45732</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45732</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45732</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45732</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45732</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45732</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45732</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45732</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45732</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45732</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45732</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45732</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45732</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45732</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45732</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45732</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45732</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45732</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45732</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45732</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45732</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45732</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45732</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45732</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45732</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45732</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45732</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45732</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45732</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45732</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45732</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45732</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45732</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45732</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45732</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45732</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45732</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45732</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45732</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45732</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45732</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45732</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45732</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45732</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45732</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45732</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45732</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45732</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45732</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45732</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45732</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45732</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45732</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45732</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45732</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45732</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45732</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45732</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45732</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45732</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45732</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45732</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45732</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45732</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45732</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45732</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45732</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45732</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45732</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45732</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45732</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45732</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45732</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45732</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45732</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45732</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45732</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45732</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45732</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45732</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45732</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45732</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45732</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45732</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45732</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45732</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45732</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45732</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45732</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45732</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45732</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45732</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45732</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45732</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45732</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45732</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45732</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45732</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45732</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45732</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45732</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45732</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45732</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45732</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45732</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45732</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45732</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45732</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45732</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45732</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45732</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45732</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45732</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45732</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45732</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45732</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45732</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45732</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45732</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45732</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45732</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45732</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45732</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45732</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45732</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45732</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45732</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45732</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45732</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45732</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45732</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45732</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45732</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45732</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45732</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45732</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45732</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45732</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45732</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45732</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45732</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45732</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45732</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45732</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45732</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45732</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45732</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45732</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45732</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45732</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45732</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45732</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45732</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45732</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45732</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45732</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45732</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45732</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45732</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45732</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45732</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45732</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45732</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45732</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45732</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45732</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45732</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45732</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45732</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45732</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45732</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45732</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45732</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45732</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45732</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45732</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45732</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45732</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45732</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45732</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45732</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45732</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45732</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45732</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45732</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45732</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45732</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45732</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45732</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45732</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45732</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45732</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45732</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45732</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45732</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45732</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45732</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45732</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45732</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45732</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45732</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45732</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45732</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45732</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45732</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45732</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45732</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45732</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45732</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45732</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45732</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45732</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45732</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45732</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45732</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45732</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45732</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45732</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45732</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45732</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45732</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45732</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45732</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45732</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45732</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45732</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45732</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45732</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45732</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45732</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45732</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45732</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45732</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45732</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45732</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45732</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45732</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45732</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45732</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45732</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45732</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45732</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45732</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45732</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45732</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45732</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45732</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45732</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45732</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45732</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45732</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45732</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45732</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45732</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45732</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45732</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45732</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45732</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45732</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45732</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45732</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45732</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45732</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45732</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45732</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45732</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45732</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45732</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45732</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45732</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45732</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45732</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45732</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45732</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45732</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45732</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45732</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45732</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45732</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45732</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45732</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45732</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45732</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45732</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45732</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45732</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45732</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7233-2025</t>
        </is>
      </c>
      <c r="B1070" s="1" t="n">
        <v>45702</v>
      </c>
      <c r="C1070" s="1" t="n">
        <v>45732</v>
      </c>
      <c r="D1070" t="inlineStr">
        <is>
          <t>JÄMTLANDS LÄN</t>
        </is>
      </c>
      <c r="E1070" t="inlineStr">
        <is>
          <t>ÖSTERSUND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45732</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45732</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7938-2025</t>
        </is>
      </c>
      <c r="B1073" s="1" t="n">
        <v>45707</v>
      </c>
      <c r="C1073" s="1" t="n">
        <v>45732</v>
      </c>
      <c r="D1073" t="inlineStr">
        <is>
          <t>JÄMTLANDS LÄN</t>
        </is>
      </c>
      <c r="E1073" t="inlineStr">
        <is>
          <t>ÖSTERSUND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7911-2025</t>
        </is>
      </c>
      <c r="B1074" s="1" t="n">
        <v>45707</v>
      </c>
      <c r="C1074" s="1" t="n">
        <v>45732</v>
      </c>
      <c r="D1074" t="inlineStr">
        <is>
          <t>JÄMTLANDS LÄN</t>
        </is>
      </c>
      <c r="E1074" t="inlineStr">
        <is>
          <t>ÖSTERSUND</t>
        </is>
      </c>
      <c r="F1074" t="inlineStr">
        <is>
          <t>SCA</t>
        </is>
      </c>
      <c r="G1074" t="n">
        <v>17.9</v>
      </c>
      <c r="H1074" t="n">
        <v>0</v>
      </c>
      <c r="I1074" t="n">
        <v>0</v>
      </c>
      <c r="J1074" t="n">
        <v>0</v>
      </c>
      <c r="K1074" t="n">
        <v>0</v>
      </c>
      <c r="L1074" t="n">
        <v>0</v>
      </c>
      <c r="M1074" t="n">
        <v>0</v>
      </c>
      <c r="N1074" t="n">
        <v>0</v>
      </c>
      <c r="O1074" t="n">
        <v>0</v>
      </c>
      <c r="P1074" t="n">
        <v>0</v>
      </c>
      <c r="Q1074" t="n">
        <v>0</v>
      </c>
      <c r="R1074" s="2" t="inlineStr"/>
    </row>
    <row r="1075" ht="15" customHeight="1">
      <c r="A1075" t="inlineStr">
        <is>
          <t>A 7941-2025</t>
        </is>
      </c>
      <c r="B1075" s="1" t="n">
        <v>45707</v>
      </c>
      <c r="C1075" s="1" t="n">
        <v>45732</v>
      </c>
      <c r="D1075" t="inlineStr">
        <is>
          <t>JÄMTLANDS LÄN</t>
        </is>
      </c>
      <c r="E1075" t="inlineStr">
        <is>
          <t>ÖSTERSUND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7949-2025</t>
        </is>
      </c>
      <c r="B1076" s="1" t="n">
        <v>45707</v>
      </c>
      <c r="C1076" s="1" t="n">
        <v>45732</v>
      </c>
      <c r="D1076" t="inlineStr">
        <is>
          <t>JÄMTLANDS LÄN</t>
        </is>
      </c>
      <c r="E1076" t="inlineStr">
        <is>
          <t>ÖSTERSUND</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7953-2025</t>
        </is>
      </c>
      <c r="B1077" s="1" t="n">
        <v>45707</v>
      </c>
      <c r="C1077" s="1" t="n">
        <v>45732</v>
      </c>
      <c r="D1077" t="inlineStr">
        <is>
          <t>JÄMTLANDS LÄN</t>
        </is>
      </c>
      <c r="E1077" t="inlineStr">
        <is>
          <t>ÖSTERSUND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7936-2025</t>
        </is>
      </c>
      <c r="B1078" s="1" t="n">
        <v>45707</v>
      </c>
      <c r="C1078" s="1" t="n">
        <v>45732</v>
      </c>
      <c r="D1078" t="inlineStr">
        <is>
          <t>JÄMTLANDS LÄN</t>
        </is>
      </c>
      <c r="E1078" t="inlineStr">
        <is>
          <t>ÖSTERSUND</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45732</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45732</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45732</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45732</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8261-2025</t>
        </is>
      </c>
      <c r="B1083" s="1" t="n">
        <v>45708</v>
      </c>
      <c r="C1083" s="1" t="n">
        <v>45732</v>
      </c>
      <c r="D1083" t="inlineStr">
        <is>
          <t>JÄMTLANDS LÄN</t>
        </is>
      </c>
      <c r="E1083" t="inlineStr">
        <is>
          <t>ÖSTERSUND</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8216-2025</t>
        </is>
      </c>
      <c r="B1084" s="1" t="n">
        <v>45708</v>
      </c>
      <c r="C1084" s="1" t="n">
        <v>45732</v>
      </c>
      <c r="D1084" t="inlineStr">
        <is>
          <t>JÄMTLANDS LÄN</t>
        </is>
      </c>
      <c r="E1084" t="inlineStr">
        <is>
          <t>ÖSTERSUND</t>
        </is>
      </c>
      <c r="F1084" t="inlineStr">
        <is>
          <t>Övriga Aktiebolag</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45732</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45732</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45732</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45732</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45732</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45732</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45732</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10267-2025</t>
        </is>
      </c>
      <c r="B1092" s="1" t="n">
        <v>45720</v>
      </c>
      <c r="C1092" s="1" t="n">
        <v>45732</v>
      </c>
      <c r="D1092" t="inlineStr">
        <is>
          <t>JÄMTLANDS LÄN</t>
        </is>
      </c>
      <c r="E1092" t="inlineStr">
        <is>
          <t>ÖSTERSUND</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45732</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10493-2025</t>
        </is>
      </c>
      <c r="B1094" s="1" t="n">
        <v>45721</v>
      </c>
      <c r="C1094" s="1" t="n">
        <v>45732</v>
      </c>
      <c r="D1094" t="inlineStr">
        <is>
          <t>JÄMTLANDS LÄN</t>
        </is>
      </c>
      <c r="E1094" t="inlineStr">
        <is>
          <t>ÖSTERSUND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45732</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45732</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11181-2025</t>
        </is>
      </c>
      <c r="B1097" s="1" t="n">
        <v>45725</v>
      </c>
      <c r="C1097" s="1" t="n">
        <v>45732</v>
      </c>
      <c r="D1097" t="inlineStr">
        <is>
          <t>JÄMTLANDS LÄN</t>
        </is>
      </c>
      <c r="E1097" t="inlineStr">
        <is>
          <t>ÖSTERSUND</t>
        </is>
      </c>
      <c r="G1097" t="n">
        <v>15.4</v>
      </c>
      <c r="H1097" t="n">
        <v>0</v>
      </c>
      <c r="I1097" t="n">
        <v>0</v>
      </c>
      <c r="J1097" t="n">
        <v>0</v>
      </c>
      <c r="K1097" t="n">
        <v>0</v>
      </c>
      <c r="L1097" t="n">
        <v>0</v>
      </c>
      <c r="M1097" t="n">
        <v>0</v>
      </c>
      <c r="N1097" t="n">
        <v>0</v>
      </c>
      <c r="O1097" t="n">
        <v>0</v>
      </c>
      <c r="P1097" t="n">
        <v>0</v>
      </c>
      <c r="Q1097" t="n">
        <v>0</v>
      </c>
      <c r="R1097" s="2" t="inlineStr"/>
    </row>
    <row r="1098" ht="15" customHeight="1">
      <c r="A1098" t="inlineStr">
        <is>
          <t>A 11182-2025</t>
        </is>
      </c>
      <c r="B1098" s="1" t="n">
        <v>45725</v>
      </c>
      <c r="C1098" s="1" t="n">
        <v>45732</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45732</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12492-2025</t>
        </is>
      </c>
      <c r="B1100" s="1" t="n">
        <v>45730</v>
      </c>
      <c r="C1100" s="1" t="n">
        <v>45732</v>
      </c>
      <c r="D1100" t="inlineStr">
        <is>
          <t>JÄMTLANDS LÄN</t>
        </is>
      </c>
      <c r="E1100" t="inlineStr">
        <is>
          <t>ÖSTERSUND</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12509-2025</t>
        </is>
      </c>
      <c r="B1101" s="1" t="n">
        <v>45730</v>
      </c>
      <c r="C1101" s="1" t="n">
        <v>45732</v>
      </c>
      <c r="D1101" t="inlineStr">
        <is>
          <t>JÄMTLANDS LÄN</t>
        </is>
      </c>
      <c r="E1101" t="inlineStr">
        <is>
          <t>ÖSTERSUND</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12352-2025</t>
        </is>
      </c>
      <c r="B1102" s="1" t="n">
        <v>45730</v>
      </c>
      <c r="C1102" s="1" t="n">
        <v>45732</v>
      </c>
      <c r="D1102" t="inlineStr">
        <is>
          <t>JÄMTLANDS LÄN</t>
        </is>
      </c>
      <c r="E1102" t="inlineStr">
        <is>
          <t>ÖSTERSUND</t>
        </is>
      </c>
      <c r="G1102" t="n">
        <v>7.8</v>
      </c>
      <c r="H1102" t="n">
        <v>0</v>
      </c>
      <c r="I1102" t="n">
        <v>0</v>
      </c>
      <c r="J1102" t="n">
        <v>0</v>
      </c>
      <c r="K1102" t="n">
        <v>0</v>
      </c>
      <c r="L1102" t="n">
        <v>0</v>
      </c>
      <c r="M1102" t="n">
        <v>0</v>
      </c>
      <c r="N1102" t="n">
        <v>0</v>
      </c>
      <c r="O1102" t="n">
        <v>0</v>
      </c>
      <c r="P1102" t="n">
        <v>0</v>
      </c>
      <c r="Q1102" t="n">
        <v>0</v>
      </c>
      <c r="R1102" s="2" t="inlineStr"/>
    </row>
    <row r="1103">
      <c r="A1103" t="inlineStr">
        <is>
          <t>A 12429-2025</t>
        </is>
      </c>
      <c r="B1103" s="1" t="n">
        <v>45730</v>
      </c>
      <c r="C1103" s="1" t="n">
        <v>45732</v>
      </c>
      <c r="D1103" t="inlineStr">
        <is>
          <t>JÄMTLANDS LÄN</t>
        </is>
      </c>
      <c r="E1103" t="inlineStr">
        <is>
          <t>ÖSTERSUND</t>
        </is>
      </c>
      <c r="F1103" t="inlineStr">
        <is>
          <t>Övriga Aktiebolag</t>
        </is>
      </c>
      <c r="G1103" t="n">
        <v>4.4</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2025-03-16T17:00:43Z</dcterms:created>
  <dcterms:modified xmlns:dcterms="http://purl.org/dc/terms/" xmlns:xsi="http://www.w3.org/2001/XMLSchema-instance" xsi:type="dcterms:W3CDTF">2025-03-16T17:00:44Z</dcterms:modified>
</cp:coreProperties>
</file>