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45892</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45892</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45892</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45892</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45892</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45892</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45892</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45892</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45892</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26796-2024</t>
        </is>
      </c>
      <c r="B15" s="1" t="n">
        <v>45470</v>
      </c>
      <c r="C15" s="1" t="n">
        <v>45892</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45892</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45892</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45892</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45892</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45892</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45892</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45892</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45892</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45892</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45892</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17716-2024</t>
        </is>
      </c>
      <c r="B26" s="1" t="n">
        <v>45415</v>
      </c>
      <c r="C26" s="1" t="n">
        <v>45892</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40751-2020</t>
        </is>
      </c>
      <c r="B27" s="1" t="n">
        <v>44069</v>
      </c>
      <c r="C27" s="1" t="n">
        <v>45892</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45892</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45892</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45892</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45892</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45892</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45892</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45892</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45892</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40555-2024</t>
        </is>
      </c>
      <c r="B36" s="1" t="n">
        <v>45555</v>
      </c>
      <c r="C36" s="1" t="n">
        <v>45892</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47392-2022</t>
        </is>
      </c>
      <c r="B37" s="1" t="n">
        <v>44851</v>
      </c>
      <c r="C37" s="1" t="n">
        <v>45892</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376-2023</t>
        </is>
      </c>
      <c r="B38" s="1" t="n">
        <v>44929</v>
      </c>
      <c r="C38" s="1" t="n">
        <v>45892</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24523-2021</t>
        </is>
      </c>
      <c r="B39" s="1" t="n">
        <v>44337</v>
      </c>
      <c r="C39" s="1" t="n">
        <v>45892</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45892</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54731-2024</t>
        </is>
      </c>
      <c r="B41" s="1" t="n">
        <v>45618.43853009259</v>
      </c>
      <c r="C41" s="1" t="n">
        <v>45892</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59537-2023</t>
        </is>
      </c>
      <c r="B42" s="1" t="n">
        <v>45254</v>
      </c>
      <c r="C42" s="1" t="n">
        <v>45892</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45892</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45892</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45892</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45892</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45892</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59291-2022</t>
        </is>
      </c>
      <c r="B48" s="1" t="n">
        <v>44904</v>
      </c>
      <c r="C48" s="1" t="n">
        <v>45892</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45892</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45892</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45892</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45892</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25369-2024</t>
        </is>
      </c>
      <c r="B53" s="1" t="n">
        <v>45462.95982638889</v>
      </c>
      <c r="C53" s="1" t="n">
        <v>45892</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45892</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2962-2023</t>
        </is>
      </c>
      <c r="B55" s="1" t="n">
        <v>44945</v>
      </c>
      <c r="C55" s="1" t="n">
        <v>45892</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25279-2025</t>
        </is>
      </c>
      <c r="B56" s="1" t="n">
        <v>45800.55701388889</v>
      </c>
      <c r="C56" s="1" t="n">
        <v>45892</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45892</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40695-2024</t>
        </is>
      </c>
      <c r="B58" s="1" t="n">
        <v>45558</v>
      </c>
      <c r="C58" s="1" t="n">
        <v>45892</v>
      </c>
      <c r="D58" t="inlineStr">
        <is>
          <t>JÄMTLANDS LÄN</t>
        </is>
      </c>
      <c r="E58" t="inlineStr">
        <is>
          <t>ÖSTERSUND</t>
        </is>
      </c>
      <c r="F58" t="inlineStr">
        <is>
          <t>SCA</t>
        </is>
      </c>
      <c r="G58" t="n">
        <v>2.9</v>
      </c>
      <c r="H58" t="n">
        <v>0</v>
      </c>
      <c r="I58" t="n">
        <v>2</v>
      </c>
      <c r="J58" t="n">
        <v>1</v>
      </c>
      <c r="K58" t="n">
        <v>0</v>
      </c>
      <c r="L58" t="n">
        <v>0</v>
      </c>
      <c r="M58" t="n">
        <v>0</v>
      </c>
      <c r="N58" t="n">
        <v>0</v>
      </c>
      <c r="O58" t="n">
        <v>1</v>
      </c>
      <c r="P58" t="n">
        <v>0</v>
      </c>
      <c r="Q58" t="n">
        <v>3</v>
      </c>
      <c r="R58" s="2" t="inlineStr">
        <is>
          <t>Lunglav
Dropptaggsvamp
Skinnlav</t>
        </is>
      </c>
      <c r="S58">
        <f>HYPERLINK("https://klasma.github.io/Logging_2380/artfynd/A 40695-2024 artfynd.xlsx", "A 40695-2024")</f>
        <v/>
      </c>
      <c r="T58">
        <f>HYPERLINK("https://klasma.github.io/Logging_2380/kartor/A 40695-2024 karta.png", "A 40695-2024")</f>
        <v/>
      </c>
      <c r="V58">
        <f>HYPERLINK("https://klasma.github.io/Logging_2380/klagomål/A 40695-2024 FSC-klagomål.docx", "A 40695-2024")</f>
        <v/>
      </c>
      <c r="W58">
        <f>HYPERLINK("https://klasma.github.io/Logging_2380/klagomålsmail/A 40695-2024 FSC-klagomål mail.docx", "A 40695-2024")</f>
        <v/>
      </c>
      <c r="X58">
        <f>HYPERLINK("https://klasma.github.io/Logging_2380/tillsyn/A 40695-2024 tillsynsbegäran.docx", "A 40695-2024")</f>
        <v/>
      </c>
      <c r="Y58">
        <f>HYPERLINK("https://klasma.github.io/Logging_2380/tillsynsmail/A 40695-2024 tillsynsbegäran mail.docx", "A 40695-2024")</f>
        <v/>
      </c>
    </row>
    <row r="59" ht="15" customHeight="1">
      <c r="A59" t="inlineStr">
        <is>
          <t>A 46705-2023</t>
        </is>
      </c>
      <c r="B59" s="1" t="n">
        <v>45198</v>
      </c>
      <c r="C59" s="1" t="n">
        <v>45892</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53652-2024</t>
        </is>
      </c>
      <c r="B60" s="1" t="n">
        <v>45615.29761574074</v>
      </c>
      <c r="C60" s="1" t="n">
        <v>45892</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45892</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45892</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7965-2025</t>
        </is>
      </c>
      <c r="B63" s="1" t="n">
        <v>45707.45219907408</v>
      </c>
      <c r="C63" s="1" t="n">
        <v>45892</v>
      </c>
      <c r="D63" t="inlineStr">
        <is>
          <t>JÄMTLANDS LÄN</t>
        </is>
      </c>
      <c r="E63" t="inlineStr">
        <is>
          <t>ÖSTERSUND</t>
        </is>
      </c>
      <c r="G63" t="n">
        <v>3.7</v>
      </c>
      <c r="H63" t="n">
        <v>2</v>
      </c>
      <c r="I63" t="n">
        <v>1</v>
      </c>
      <c r="J63" t="n">
        <v>0</v>
      </c>
      <c r="K63" t="n">
        <v>0</v>
      </c>
      <c r="L63" t="n">
        <v>0</v>
      </c>
      <c r="M63" t="n">
        <v>0</v>
      </c>
      <c r="N63" t="n">
        <v>0</v>
      </c>
      <c r="O63" t="n">
        <v>0</v>
      </c>
      <c r="P63" t="n">
        <v>0</v>
      </c>
      <c r="Q63" t="n">
        <v>3</v>
      </c>
      <c r="R63" s="2" t="inlineStr">
        <is>
          <t>Finbräken
Fläcknycklar
Blåsippa</t>
        </is>
      </c>
      <c r="S63">
        <f>HYPERLINK("https://klasma.github.io/Logging_2380/artfynd/A 7965-2025 artfynd.xlsx", "A 7965-2025")</f>
        <v/>
      </c>
      <c r="T63">
        <f>HYPERLINK("https://klasma.github.io/Logging_2380/kartor/A 7965-2025 karta.png", "A 7965-2025")</f>
        <v/>
      </c>
      <c r="V63">
        <f>HYPERLINK("https://klasma.github.io/Logging_2380/klagomål/A 7965-2025 FSC-klagomål.docx", "A 7965-2025")</f>
        <v/>
      </c>
      <c r="W63">
        <f>HYPERLINK("https://klasma.github.io/Logging_2380/klagomålsmail/A 7965-2025 FSC-klagomål mail.docx", "A 7965-2025")</f>
        <v/>
      </c>
      <c r="X63">
        <f>HYPERLINK("https://klasma.github.io/Logging_2380/tillsyn/A 7965-2025 tillsynsbegäran.docx", "A 7965-2025")</f>
        <v/>
      </c>
      <c r="Y63">
        <f>HYPERLINK("https://klasma.github.io/Logging_2380/tillsynsmail/A 7965-2025 tillsynsbegäran mail.docx", "A 7965-2025")</f>
        <v/>
      </c>
    </row>
    <row r="64" ht="15" customHeight="1">
      <c r="A64" t="inlineStr">
        <is>
          <t>A 19520-2023</t>
        </is>
      </c>
      <c r="B64" s="1" t="n">
        <v>45049</v>
      </c>
      <c r="C64" s="1" t="n">
        <v>45892</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3846-2024</t>
        </is>
      </c>
      <c r="B65" s="1" t="n">
        <v>45321</v>
      </c>
      <c r="C65" s="1" t="n">
        <v>45892</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45892</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45892</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45892</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56006-2023</t>
        </is>
      </c>
      <c r="B69" s="1" t="n">
        <v>45233</v>
      </c>
      <c r="C69" s="1" t="n">
        <v>45892</v>
      </c>
      <c r="D69" t="inlineStr">
        <is>
          <t>JÄMTLANDS LÄN</t>
        </is>
      </c>
      <c r="E69" t="inlineStr">
        <is>
          <t>ÖSTERSUND</t>
        </is>
      </c>
      <c r="G69" t="n">
        <v>2.3</v>
      </c>
      <c r="H69" t="n">
        <v>0</v>
      </c>
      <c r="I69" t="n">
        <v>2</v>
      </c>
      <c r="J69" t="n">
        <v>0</v>
      </c>
      <c r="K69" t="n">
        <v>0</v>
      </c>
      <c r="L69" t="n">
        <v>0</v>
      </c>
      <c r="M69" t="n">
        <v>0</v>
      </c>
      <c r="N69" t="n">
        <v>0</v>
      </c>
      <c r="O69" t="n">
        <v>0</v>
      </c>
      <c r="P69" t="n">
        <v>0</v>
      </c>
      <c r="Q69" t="n">
        <v>2</v>
      </c>
      <c r="R69" s="2" t="inlineStr">
        <is>
          <t>Korallblylav
Skinnlav</t>
        </is>
      </c>
      <c r="S69">
        <f>HYPERLINK("https://klasma.github.io/Logging_2380/artfynd/A 56006-2023 artfynd.xlsx", "A 56006-2023")</f>
        <v/>
      </c>
      <c r="T69">
        <f>HYPERLINK("https://klasma.github.io/Logging_2380/kartor/A 56006-2023 karta.png", "A 56006-2023")</f>
        <v/>
      </c>
      <c r="V69">
        <f>HYPERLINK("https://klasma.github.io/Logging_2380/klagomål/A 56006-2023 FSC-klagomål.docx", "A 56006-2023")</f>
        <v/>
      </c>
      <c r="W69">
        <f>HYPERLINK("https://klasma.github.io/Logging_2380/klagomålsmail/A 56006-2023 FSC-klagomål mail.docx", "A 56006-2023")</f>
        <v/>
      </c>
      <c r="X69">
        <f>HYPERLINK("https://klasma.github.io/Logging_2380/tillsyn/A 56006-2023 tillsynsbegäran.docx", "A 56006-2023")</f>
        <v/>
      </c>
      <c r="Y69">
        <f>HYPERLINK("https://klasma.github.io/Logging_2380/tillsynsmail/A 56006-2023 tillsynsbegäran mail.docx", "A 56006-2023")</f>
        <v/>
      </c>
    </row>
    <row r="70" ht="15" customHeight="1">
      <c r="A70" t="inlineStr">
        <is>
          <t>A 50895-2024</t>
        </is>
      </c>
      <c r="B70" s="1" t="n">
        <v>45602</v>
      </c>
      <c r="C70" s="1" t="n">
        <v>45892</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50125-2024</t>
        </is>
      </c>
      <c r="B71" s="1" t="n">
        <v>45600.42737268518</v>
      </c>
      <c r="C71" s="1" t="n">
        <v>45892</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60446-2024</t>
        </is>
      </c>
      <c r="B72" s="1" t="n">
        <v>45643.59420138889</v>
      </c>
      <c r="C72" s="1" t="n">
        <v>45892</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63930-2023</t>
        </is>
      </c>
      <c r="B73" s="1" t="n">
        <v>45278</v>
      </c>
      <c r="C73" s="1" t="n">
        <v>45892</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59793-2022</t>
        </is>
      </c>
      <c r="B74" s="1" t="n">
        <v>44908</v>
      </c>
      <c r="C74" s="1" t="n">
        <v>45892</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10529-2025</t>
        </is>
      </c>
      <c r="B75" s="1" t="n">
        <v>45721.44840277778</v>
      </c>
      <c r="C75" s="1" t="n">
        <v>45892</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46105-2021</t>
        </is>
      </c>
      <c r="B76" s="1" t="n">
        <v>44441</v>
      </c>
      <c r="C76" s="1" t="n">
        <v>45892</v>
      </c>
      <c r="D76" t="inlineStr">
        <is>
          <t>JÄMTLANDS LÄN</t>
        </is>
      </c>
      <c r="E76" t="inlineStr">
        <is>
          <t>ÖSTERSUND</t>
        </is>
      </c>
      <c r="G76" t="n">
        <v>4.4</v>
      </c>
      <c r="H76" t="n">
        <v>2</v>
      </c>
      <c r="I76" t="n">
        <v>0</v>
      </c>
      <c r="J76" t="n">
        <v>1</v>
      </c>
      <c r="K76" t="n">
        <v>1</v>
      </c>
      <c r="L76" t="n">
        <v>0</v>
      </c>
      <c r="M76" t="n">
        <v>0</v>
      </c>
      <c r="N76" t="n">
        <v>0</v>
      </c>
      <c r="O76" t="n">
        <v>2</v>
      </c>
      <c r="P76" t="n">
        <v>1</v>
      </c>
      <c r="Q76" t="n">
        <v>2</v>
      </c>
      <c r="R76" s="2" t="inlineStr">
        <is>
          <t>Tallbit
Tretåig hackspett</t>
        </is>
      </c>
      <c r="S76">
        <f>HYPERLINK("https://klasma.github.io/Logging_2380/artfynd/A 46105-2021 artfynd.xlsx", "A 46105-2021")</f>
        <v/>
      </c>
      <c r="T76">
        <f>HYPERLINK("https://klasma.github.io/Logging_2380/kartor/A 46105-2021 karta.png", "A 46105-2021")</f>
        <v/>
      </c>
      <c r="V76">
        <f>HYPERLINK("https://klasma.github.io/Logging_2380/klagomål/A 46105-2021 FSC-klagomål.docx", "A 46105-2021")</f>
        <v/>
      </c>
      <c r="W76">
        <f>HYPERLINK("https://klasma.github.io/Logging_2380/klagomålsmail/A 46105-2021 FSC-klagomål mail.docx", "A 46105-2021")</f>
        <v/>
      </c>
      <c r="X76">
        <f>HYPERLINK("https://klasma.github.io/Logging_2380/tillsyn/A 46105-2021 tillsynsbegäran.docx", "A 46105-2021")</f>
        <v/>
      </c>
      <c r="Y76">
        <f>HYPERLINK("https://klasma.github.io/Logging_2380/tillsynsmail/A 46105-2021 tillsynsbegäran mail.docx", "A 46105-2021")</f>
        <v/>
      </c>
      <c r="Z76">
        <f>HYPERLINK("https://klasma.github.io/Logging_2380/fåglar/A 46105-2021 prioriterade fågelarter.docx", "A 46105-2021")</f>
        <v/>
      </c>
    </row>
    <row r="77" ht="15" customHeight="1">
      <c r="A77" t="inlineStr">
        <is>
          <t>A 13795-2025</t>
        </is>
      </c>
      <c r="B77" s="1" t="n">
        <v>45737</v>
      </c>
      <c r="C77" s="1" t="n">
        <v>45892</v>
      </c>
      <c r="D77" t="inlineStr">
        <is>
          <t>JÄMTLANDS LÄN</t>
        </is>
      </c>
      <c r="E77" t="inlineStr">
        <is>
          <t>ÖSTERSUND</t>
        </is>
      </c>
      <c r="G77" t="n">
        <v>13.4</v>
      </c>
      <c r="H77" t="n">
        <v>1</v>
      </c>
      <c r="I77" t="n">
        <v>0</v>
      </c>
      <c r="J77" t="n">
        <v>1</v>
      </c>
      <c r="K77" t="n">
        <v>1</v>
      </c>
      <c r="L77" t="n">
        <v>0</v>
      </c>
      <c r="M77" t="n">
        <v>0</v>
      </c>
      <c r="N77" t="n">
        <v>0</v>
      </c>
      <c r="O77" t="n">
        <v>2</v>
      </c>
      <c r="P77" t="n">
        <v>1</v>
      </c>
      <c r="Q77" t="n">
        <v>2</v>
      </c>
      <c r="R77" s="2" t="inlineStr">
        <is>
          <t>Knärot
Lunglav</t>
        </is>
      </c>
      <c r="S77">
        <f>HYPERLINK("https://klasma.github.io/Logging_2380/artfynd/A 13795-2025 artfynd.xlsx", "A 13795-2025")</f>
        <v/>
      </c>
      <c r="T77">
        <f>HYPERLINK("https://klasma.github.io/Logging_2380/kartor/A 13795-2025 karta.png", "A 13795-2025")</f>
        <v/>
      </c>
      <c r="U77">
        <f>HYPERLINK("https://klasma.github.io/Logging_2380/knärot/A 13795-2025 karta knärot.png", "A 13795-2025")</f>
        <v/>
      </c>
      <c r="V77">
        <f>HYPERLINK("https://klasma.github.io/Logging_2380/klagomål/A 13795-2025 FSC-klagomål.docx", "A 13795-2025")</f>
        <v/>
      </c>
      <c r="W77">
        <f>HYPERLINK("https://klasma.github.io/Logging_2380/klagomålsmail/A 13795-2025 FSC-klagomål mail.docx", "A 13795-2025")</f>
        <v/>
      </c>
      <c r="X77">
        <f>HYPERLINK("https://klasma.github.io/Logging_2380/tillsyn/A 13795-2025 tillsynsbegäran.docx", "A 13795-2025")</f>
        <v/>
      </c>
      <c r="Y77">
        <f>HYPERLINK("https://klasma.github.io/Logging_2380/tillsynsmail/A 13795-2025 tillsynsbegäran mail.docx", "A 13795-2025")</f>
        <v/>
      </c>
    </row>
    <row r="78" ht="15" customHeight="1">
      <c r="A78" t="inlineStr">
        <is>
          <t>A 60534-2022</t>
        </is>
      </c>
      <c r="B78" s="1" t="n">
        <v>44904</v>
      </c>
      <c r="C78" s="1" t="n">
        <v>45892</v>
      </c>
      <c r="D78" t="inlineStr">
        <is>
          <t>JÄMTLANDS LÄN</t>
        </is>
      </c>
      <c r="E78" t="inlineStr">
        <is>
          <t>ÖSTERSUND</t>
        </is>
      </c>
      <c r="G78" t="n">
        <v>9.9</v>
      </c>
      <c r="H78" t="n">
        <v>0</v>
      </c>
      <c r="I78" t="n">
        <v>0</v>
      </c>
      <c r="J78" t="n">
        <v>2</v>
      </c>
      <c r="K78" t="n">
        <v>0</v>
      </c>
      <c r="L78" t="n">
        <v>0</v>
      </c>
      <c r="M78" t="n">
        <v>0</v>
      </c>
      <c r="N78" t="n">
        <v>0</v>
      </c>
      <c r="O78" t="n">
        <v>2</v>
      </c>
      <c r="P78" t="n">
        <v>0</v>
      </c>
      <c r="Q78" t="n">
        <v>2</v>
      </c>
      <c r="R78" s="2" t="inlineStr">
        <is>
          <t>Rosenticka
Ullticka</t>
        </is>
      </c>
      <c r="S78">
        <f>HYPERLINK("https://klasma.github.io/Logging_2380/artfynd/A 60534-2022 artfynd.xlsx", "A 60534-2022")</f>
        <v/>
      </c>
      <c r="T78">
        <f>HYPERLINK("https://klasma.github.io/Logging_2380/kartor/A 60534-2022 karta.png", "A 60534-2022")</f>
        <v/>
      </c>
      <c r="V78">
        <f>HYPERLINK("https://klasma.github.io/Logging_2380/klagomål/A 60534-2022 FSC-klagomål.docx", "A 60534-2022")</f>
        <v/>
      </c>
      <c r="W78">
        <f>HYPERLINK("https://klasma.github.io/Logging_2380/klagomålsmail/A 60534-2022 FSC-klagomål mail.docx", "A 60534-2022")</f>
        <v/>
      </c>
      <c r="X78">
        <f>HYPERLINK("https://klasma.github.io/Logging_2380/tillsyn/A 60534-2022 tillsynsbegäran.docx", "A 60534-2022")</f>
        <v/>
      </c>
      <c r="Y78">
        <f>HYPERLINK("https://klasma.github.io/Logging_2380/tillsynsmail/A 60534-2022 tillsynsbegäran mail.docx", "A 60534-2022")</f>
        <v/>
      </c>
    </row>
    <row r="79" ht="15" customHeight="1">
      <c r="A79" t="inlineStr">
        <is>
          <t>A 15700-2025</t>
        </is>
      </c>
      <c r="B79" s="1" t="n">
        <v>45748.47314814815</v>
      </c>
      <c r="C79" s="1" t="n">
        <v>45892</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47385-2022</t>
        </is>
      </c>
      <c r="B80" s="1" t="n">
        <v>44853</v>
      </c>
      <c r="C80" s="1" t="n">
        <v>45892</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38334-2023</t>
        </is>
      </c>
      <c r="B81" s="1" t="n">
        <v>45161</v>
      </c>
      <c r="C81" s="1" t="n">
        <v>45892</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60614-2022</t>
        </is>
      </c>
      <c r="B82" s="1" t="n">
        <v>44911</v>
      </c>
      <c r="C82" s="1" t="n">
        <v>45892</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45892</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45892</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45892</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45892</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45892</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45892</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33137-2021</t>
        </is>
      </c>
      <c r="B89" s="1" t="n">
        <v>44376</v>
      </c>
      <c r="C89" s="1" t="n">
        <v>45892</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45892</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45892</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46163-2021</t>
        </is>
      </c>
      <c r="B92" s="1" t="n">
        <v>44441</v>
      </c>
      <c r="C92" s="1" t="n">
        <v>45892</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58181-2022</t>
        </is>
      </c>
      <c r="B93" s="1" t="n">
        <v>44900</v>
      </c>
      <c r="C93" s="1" t="n">
        <v>45892</v>
      </c>
      <c r="D93" t="inlineStr">
        <is>
          <t>JÄMTLANDS LÄN</t>
        </is>
      </c>
      <c r="E93" t="inlineStr">
        <is>
          <t>ÖSTERSUND</t>
        </is>
      </c>
      <c r="G93" t="n">
        <v>14.8</v>
      </c>
      <c r="H93" t="n">
        <v>0</v>
      </c>
      <c r="I93" t="n">
        <v>1</v>
      </c>
      <c r="J93" t="n">
        <v>0</v>
      </c>
      <c r="K93" t="n">
        <v>0</v>
      </c>
      <c r="L93" t="n">
        <v>0</v>
      </c>
      <c r="M93" t="n">
        <v>0</v>
      </c>
      <c r="N93" t="n">
        <v>0</v>
      </c>
      <c r="O93" t="n">
        <v>0</v>
      </c>
      <c r="P93" t="n">
        <v>0</v>
      </c>
      <c r="Q93" t="n">
        <v>1</v>
      </c>
      <c r="R93" s="2" t="inlineStr">
        <is>
          <t>Finbräken</t>
        </is>
      </c>
      <c r="S93">
        <f>HYPERLINK("https://klasma.github.io/Logging_2380/artfynd/A 58181-2022 artfynd.xlsx", "A 58181-2022")</f>
        <v/>
      </c>
      <c r="T93">
        <f>HYPERLINK("https://klasma.github.io/Logging_2380/kartor/A 58181-2022 karta.png", "A 58181-2022")</f>
        <v/>
      </c>
      <c r="V93">
        <f>HYPERLINK("https://klasma.github.io/Logging_2380/klagomål/A 58181-2022 FSC-klagomål.docx", "A 58181-2022")</f>
        <v/>
      </c>
      <c r="W93">
        <f>HYPERLINK("https://klasma.github.io/Logging_2380/klagomålsmail/A 58181-2022 FSC-klagomål mail.docx", "A 58181-2022")</f>
        <v/>
      </c>
      <c r="X93">
        <f>HYPERLINK("https://klasma.github.io/Logging_2380/tillsyn/A 58181-2022 tillsynsbegäran.docx", "A 58181-2022")</f>
        <v/>
      </c>
      <c r="Y93">
        <f>HYPERLINK("https://klasma.github.io/Logging_2380/tillsynsmail/A 58181-2022 tillsynsbegäran mail.docx", "A 58181-2022")</f>
        <v/>
      </c>
    </row>
    <row r="94" ht="15" customHeight="1">
      <c r="A94" t="inlineStr">
        <is>
          <t>A 27578-2022</t>
        </is>
      </c>
      <c r="B94" s="1" t="n">
        <v>44742</v>
      </c>
      <c r="C94" s="1" t="n">
        <v>45892</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41312-2024</t>
        </is>
      </c>
      <c r="B95" s="1" t="n">
        <v>45559.63584490741</v>
      </c>
      <c r="C95" s="1" t="n">
        <v>45892</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33267-2022</t>
        </is>
      </c>
      <c r="B96" s="1" t="n">
        <v>44785</v>
      </c>
      <c r="C96" s="1" t="n">
        <v>45892</v>
      </c>
      <c r="D96" t="inlineStr">
        <is>
          <t>JÄMTLANDS LÄN</t>
        </is>
      </c>
      <c r="E96" t="inlineStr">
        <is>
          <t>ÖSTERSUND</t>
        </is>
      </c>
      <c r="G96" t="n">
        <v>0.9</v>
      </c>
      <c r="H96" t="n">
        <v>1</v>
      </c>
      <c r="I96" t="n">
        <v>0</v>
      </c>
      <c r="J96" t="n">
        <v>1</v>
      </c>
      <c r="K96" t="n">
        <v>0</v>
      </c>
      <c r="L96" t="n">
        <v>0</v>
      </c>
      <c r="M96" t="n">
        <v>0</v>
      </c>
      <c r="N96" t="n">
        <v>0</v>
      </c>
      <c r="O96" t="n">
        <v>1</v>
      </c>
      <c r="P96" t="n">
        <v>0</v>
      </c>
      <c r="Q96" t="n">
        <v>1</v>
      </c>
      <c r="R96" s="2" t="inlineStr">
        <is>
          <t>Talltita</t>
        </is>
      </c>
      <c r="S96">
        <f>HYPERLINK("https://klasma.github.io/Logging_2380/artfynd/A 33267-2022 artfynd.xlsx", "A 33267-2022")</f>
        <v/>
      </c>
      <c r="T96">
        <f>HYPERLINK("https://klasma.github.io/Logging_2380/kartor/A 33267-2022 karta.png", "A 33267-2022")</f>
        <v/>
      </c>
      <c r="V96">
        <f>HYPERLINK("https://klasma.github.io/Logging_2380/klagomål/A 33267-2022 FSC-klagomål.docx", "A 33267-2022")</f>
        <v/>
      </c>
      <c r="W96">
        <f>HYPERLINK("https://klasma.github.io/Logging_2380/klagomålsmail/A 33267-2022 FSC-klagomål mail.docx", "A 33267-2022")</f>
        <v/>
      </c>
      <c r="X96">
        <f>HYPERLINK("https://klasma.github.io/Logging_2380/tillsyn/A 33267-2022 tillsynsbegäran.docx", "A 33267-2022")</f>
        <v/>
      </c>
      <c r="Y96">
        <f>HYPERLINK("https://klasma.github.io/Logging_2380/tillsynsmail/A 33267-2022 tillsynsbegäran mail.docx", "A 33267-2022")</f>
        <v/>
      </c>
      <c r="Z96">
        <f>HYPERLINK("https://klasma.github.io/Logging_2380/fåglar/A 33267-2022 prioriterade fågelarter.docx", "A 33267-2022")</f>
        <v/>
      </c>
    </row>
    <row r="97" ht="15" customHeight="1">
      <c r="A97" t="inlineStr">
        <is>
          <t>A 57065-2024</t>
        </is>
      </c>
      <c r="B97" s="1" t="n">
        <v>45629.35344907407</v>
      </c>
      <c r="C97" s="1" t="n">
        <v>45892</v>
      </c>
      <c r="D97" t="inlineStr">
        <is>
          <t>JÄMTLANDS LÄN</t>
        </is>
      </c>
      <c r="E97" t="inlineStr">
        <is>
          <t>ÖSTERSUND</t>
        </is>
      </c>
      <c r="F97" t="inlineStr">
        <is>
          <t>SCA</t>
        </is>
      </c>
      <c r="G97" t="n">
        <v>6.3</v>
      </c>
      <c r="H97" t="n">
        <v>1</v>
      </c>
      <c r="I97" t="n">
        <v>0</v>
      </c>
      <c r="J97" t="n">
        <v>1</v>
      </c>
      <c r="K97" t="n">
        <v>0</v>
      </c>
      <c r="L97" t="n">
        <v>0</v>
      </c>
      <c r="M97" t="n">
        <v>0</v>
      </c>
      <c r="N97" t="n">
        <v>0</v>
      </c>
      <c r="O97" t="n">
        <v>1</v>
      </c>
      <c r="P97" t="n">
        <v>0</v>
      </c>
      <c r="Q97" t="n">
        <v>1</v>
      </c>
      <c r="R97" s="2" t="inlineStr">
        <is>
          <t>Tretåig hackspett</t>
        </is>
      </c>
      <c r="S97">
        <f>HYPERLINK("https://klasma.github.io/Logging_2380/artfynd/A 57065-2024 artfynd.xlsx", "A 57065-2024")</f>
        <v/>
      </c>
      <c r="T97">
        <f>HYPERLINK("https://klasma.github.io/Logging_2380/kartor/A 57065-2024 karta.png", "A 57065-2024")</f>
        <v/>
      </c>
      <c r="V97">
        <f>HYPERLINK("https://klasma.github.io/Logging_2380/klagomål/A 57065-2024 FSC-klagomål.docx", "A 57065-2024")</f>
        <v/>
      </c>
      <c r="W97">
        <f>HYPERLINK("https://klasma.github.io/Logging_2380/klagomålsmail/A 57065-2024 FSC-klagomål mail.docx", "A 57065-2024")</f>
        <v/>
      </c>
      <c r="X97">
        <f>HYPERLINK("https://klasma.github.io/Logging_2380/tillsyn/A 57065-2024 tillsynsbegäran.docx", "A 57065-2024")</f>
        <v/>
      </c>
      <c r="Y97">
        <f>HYPERLINK("https://klasma.github.io/Logging_2380/tillsynsmail/A 57065-2024 tillsynsbegäran mail.docx", "A 57065-2024")</f>
        <v/>
      </c>
      <c r="Z97">
        <f>HYPERLINK("https://klasma.github.io/Logging_2380/fåglar/A 57065-2024 prioriterade fågelarter.docx", "A 57065-2024")</f>
        <v/>
      </c>
    </row>
    <row r="98" ht="15" customHeight="1">
      <c r="A98" t="inlineStr">
        <is>
          <t>A 43883-2024</t>
        </is>
      </c>
      <c r="B98" s="1" t="n">
        <v>45570</v>
      </c>
      <c r="C98" s="1" t="n">
        <v>45892</v>
      </c>
      <c r="D98" t="inlineStr">
        <is>
          <t>JÄMTLANDS LÄN</t>
        </is>
      </c>
      <c r="E98" t="inlineStr">
        <is>
          <t>ÖSTERSUND</t>
        </is>
      </c>
      <c r="G98" t="n">
        <v>3.8</v>
      </c>
      <c r="H98" t="n">
        <v>0</v>
      </c>
      <c r="I98" t="n">
        <v>0</v>
      </c>
      <c r="J98" t="n">
        <v>0</v>
      </c>
      <c r="K98" t="n">
        <v>1</v>
      </c>
      <c r="L98" t="n">
        <v>0</v>
      </c>
      <c r="M98" t="n">
        <v>0</v>
      </c>
      <c r="N98" t="n">
        <v>0</v>
      </c>
      <c r="O98" t="n">
        <v>1</v>
      </c>
      <c r="P98" t="n">
        <v>1</v>
      </c>
      <c r="Q98" t="n">
        <v>1</v>
      </c>
      <c r="R98" s="2" t="inlineStr">
        <is>
          <t>Frösöstarr</t>
        </is>
      </c>
      <c r="S98">
        <f>HYPERLINK("https://klasma.github.io/Logging_2380/artfynd/A 43883-2024 artfynd.xlsx", "A 43883-2024")</f>
        <v/>
      </c>
      <c r="T98">
        <f>HYPERLINK("https://klasma.github.io/Logging_2380/kartor/A 43883-2024 karta.png", "A 43883-2024")</f>
        <v/>
      </c>
      <c r="V98">
        <f>HYPERLINK("https://klasma.github.io/Logging_2380/klagomål/A 43883-2024 FSC-klagomål.docx", "A 43883-2024")</f>
        <v/>
      </c>
      <c r="W98">
        <f>HYPERLINK("https://klasma.github.io/Logging_2380/klagomålsmail/A 43883-2024 FSC-klagomål mail.docx", "A 43883-2024")</f>
        <v/>
      </c>
      <c r="X98">
        <f>HYPERLINK("https://klasma.github.io/Logging_2380/tillsyn/A 43883-2024 tillsynsbegäran.docx", "A 43883-2024")</f>
        <v/>
      </c>
      <c r="Y98">
        <f>HYPERLINK("https://klasma.github.io/Logging_2380/tillsynsmail/A 43883-2024 tillsynsbegäran mail.docx", "A 43883-2024")</f>
        <v/>
      </c>
    </row>
    <row r="99" ht="15" customHeight="1">
      <c r="A99" t="inlineStr">
        <is>
          <t>A 63775-2020</t>
        </is>
      </c>
      <c r="B99" s="1" t="n">
        <v>44165</v>
      </c>
      <c r="C99" s="1" t="n">
        <v>45892</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59108-2024</t>
        </is>
      </c>
      <c r="B100" s="1" t="n">
        <v>45637.34469907408</v>
      </c>
      <c r="C100" s="1" t="n">
        <v>45892</v>
      </c>
      <c r="D100" t="inlineStr">
        <is>
          <t>JÄMTLANDS LÄN</t>
        </is>
      </c>
      <c r="E100" t="inlineStr">
        <is>
          <t>ÖSTERSUND</t>
        </is>
      </c>
      <c r="F100" t="inlineStr">
        <is>
          <t>SCA</t>
        </is>
      </c>
      <c r="G100" t="n">
        <v>10.6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59108-2024 artfynd.xlsx", "A 59108-2024")</f>
        <v/>
      </c>
      <c r="T100">
        <f>HYPERLINK("https://klasma.github.io/Logging_2380/kartor/A 59108-2024 karta.png", "A 59108-2024")</f>
        <v/>
      </c>
      <c r="V100">
        <f>HYPERLINK("https://klasma.github.io/Logging_2380/klagomål/A 59108-2024 FSC-klagomål.docx", "A 59108-2024")</f>
        <v/>
      </c>
      <c r="W100">
        <f>HYPERLINK("https://klasma.github.io/Logging_2380/klagomålsmail/A 59108-2024 FSC-klagomål mail.docx", "A 59108-2024")</f>
        <v/>
      </c>
      <c r="X100">
        <f>HYPERLINK("https://klasma.github.io/Logging_2380/tillsyn/A 59108-2024 tillsynsbegäran.docx", "A 59108-2024")</f>
        <v/>
      </c>
      <c r="Y100">
        <f>HYPERLINK("https://klasma.github.io/Logging_2380/tillsynsmail/A 59108-2024 tillsynsbegäran mail.docx", "A 59108-2024")</f>
        <v/>
      </c>
      <c r="Z100">
        <f>HYPERLINK("https://klasma.github.io/Logging_2380/fåglar/A 59108-2024 prioriterade fågelarter.docx", "A 59108-2024")</f>
        <v/>
      </c>
    </row>
    <row r="101" ht="15" customHeight="1">
      <c r="A101" t="inlineStr">
        <is>
          <t>A 56201-2024</t>
        </is>
      </c>
      <c r="B101" s="1" t="n">
        <v>45624.59462962963</v>
      </c>
      <c r="C101" s="1" t="n">
        <v>45892</v>
      </c>
      <c r="D101" t="inlineStr">
        <is>
          <t>JÄMTLANDS LÄN</t>
        </is>
      </c>
      <c r="E101" t="inlineStr">
        <is>
          <t>ÖSTERSUND</t>
        </is>
      </c>
      <c r="F101" t="inlineStr">
        <is>
          <t>SCA</t>
        </is>
      </c>
      <c r="G101" t="n">
        <v>5.9</v>
      </c>
      <c r="H101" t="n">
        <v>1</v>
      </c>
      <c r="I101" t="n">
        <v>0</v>
      </c>
      <c r="J101" t="n">
        <v>0</v>
      </c>
      <c r="K101" t="n">
        <v>1</v>
      </c>
      <c r="L101" t="n">
        <v>0</v>
      </c>
      <c r="M101" t="n">
        <v>0</v>
      </c>
      <c r="N101" t="n">
        <v>0</v>
      </c>
      <c r="O101" t="n">
        <v>1</v>
      </c>
      <c r="P101" t="n">
        <v>1</v>
      </c>
      <c r="Q101" t="n">
        <v>1</v>
      </c>
      <c r="R101" s="2" t="inlineStr">
        <is>
          <t>Doftticka</t>
        </is>
      </c>
      <c r="S101">
        <f>HYPERLINK("https://klasma.github.io/Logging_2380/artfynd/A 56201-2024 artfynd.xlsx", "A 56201-2024")</f>
        <v/>
      </c>
      <c r="T101">
        <f>HYPERLINK("https://klasma.github.io/Logging_2380/kartor/A 56201-2024 karta.png", "A 56201-2024")</f>
        <v/>
      </c>
      <c r="V101">
        <f>HYPERLINK("https://klasma.github.io/Logging_2380/klagomål/A 56201-2024 FSC-klagomål.docx", "A 56201-2024")</f>
        <v/>
      </c>
      <c r="W101">
        <f>HYPERLINK("https://klasma.github.io/Logging_2380/klagomålsmail/A 56201-2024 FSC-klagomål mail.docx", "A 56201-2024")</f>
        <v/>
      </c>
      <c r="X101">
        <f>HYPERLINK("https://klasma.github.io/Logging_2380/tillsyn/A 56201-2024 tillsynsbegäran.docx", "A 56201-2024")</f>
        <v/>
      </c>
      <c r="Y101">
        <f>HYPERLINK("https://klasma.github.io/Logging_2380/tillsynsmail/A 56201-2024 tillsynsbegäran mail.docx", "A 56201-2024")</f>
        <v/>
      </c>
    </row>
    <row r="102" ht="15" customHeight="1">
      <c r="A102" t="inlineStr">
        <is>
          <t>A 11513-2024</t>
        </is>
      </c>
      <c r="B102" s="1" t="n">
        <v>45372</v>
      </c>
      <c r="C102" s="1" t="n">
        <v>45892</v>
      </c>
      <c r="D102" t="inlineStr">
        <is>
          <t>JÄMTLANDS LÄN</t>
        </is>
      </c>
      <c r="E102" t="inlineStr">
        <is>
          <t>ÖSTERSUND</t>
        </is>
      </c>
      <c r="G102" t="n">
        <v>21.2</v>
      </c>
      <c r="H102" t="n">
        <v>0</v>
      </c>
      <c r="I102" t="n">
        <v>1</v>
      </c>
      <c r="J102" t="n">
        <v>0</v>
      </c>
      <c r="K102" t="n">
        <v>0</v>
      </c>
      <c r="L102" t="n">
        <v>0</v>
      </c>
      <c r="M102" t="n">
        <v>0</v>
      </c>
      <c r="N102" t="n">
        <v>0</v>
      </c>
      <c r="O102" t="n">
        <v>0</v>
      </c>
      <c r="P102" t="n">
        <v>0</v>
      </c>
      <c r="Q102" t="n">
        <v>1</v>
      </c>
      <c r="R102" s="2" t="inlineStr">
        <is>
          <t>Tibast</t>
        </is>
      </c>
      <c r="S102">
        <f>HYPERLINK("https://klasma.github.io/Logging_2380/artfynd/A 11513-2024 artfynd.xlsx", "A 11513-2024")</f>
        <v/>
      </c>
      <c r="T102">
        <f>HYPERLINK("https://klasma.github.io/Logging_2380/kartor/A 11513-2024 karta.png", "A 11513-2024")</f>
        <v/>
      </c>
      <c r="V102">
        <f>HYPERLINK("https://klasma.github.io/Logging_2380/klagomål/A 11513-2024 FSC-klagomål.docx", "A 11513-2024")</f>
        <v/>
      </c>
      <c r="W102">
        <f>HYPERLINK("https://klasma.github.io/Logging_2380/klagomålsmail/A 11513-2024 FSC-klagomål mail.docx", "A 11513-2024")</f>
        <v/>
      </c>
      <c r="X102">
        <f>HYPERLINK("https://klasma.github.io/Logging_2380/tillsyn/A 11513-2024 tillsynsbegäran.docx", "A 11513-2024")</f>
        <v/>
      </c>
      <c r="Y102">
        <f>HYPERLINK("https://klasma.github.io/Logging_2380/tillsynsmail/A 11513-2024 tillsynsbegäran mail.docx", "A 11513-2024")</f>
        <v/>
      </c>
    </row>
    <row r="103" ht="15" customHeight="1">
      <c r="A103" t="inlineStr">
        <is>
          <t>A 64380-2023</t>
        </is>
      </c>
      <c r="B103" s="1" t="n">
        <v>45280.56451388889</v>
      </c>
      <c r="C103" s="1" t="n">
        <v>45892</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41279-2024</t>
        </is>
      </c>
      <c r="B104" s="1" t="n">
        <v>45559</v>
      </c>
      <c r="C104" s="1" t="n">
        <v>45892</v>
      </c>
      <c r="D104" t="inlineStr">
        <is>
          <t>JÄMTLANDS LÄN</t>
        </is>
      </c>
      <c r="E104" t="inlineStr">
        <is>
          <t>ÖSTERSUND</t>
        </is>
      </c>
      <c r="F104" t="inlineStr">
        <is>
          <t>SCA</t>
        </is>
      </c>
      <c r="G104" t="n">
        <v>1.6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41279-2024 artfynd.xlsx", "A 41279-2024")</f>
        <v/>
      </c>
      <c r="T104">
        <f>HYPERLINK("https://klasma.github.io/Logging_2380/kartor/A 41279-2024 karta.png", "A 41279-2024")</f>
        <v/>
      </c>
      <c r="V104">
        <f>HYPERLINK("https://klasma.github.io/Logging_2380/klagomål/A 41279-2024 FSC-klagomål.docx", "A 41279-2024")</f>
        <v/>
      </c>
      <c r="W104">
        <f>HYPERLINK("https://klasma.github.io/Logging_2380/klagomålsmail/A 41279-2024 FSC-klagomål mail.docx", "A 41279-2024")</f>
        <v/>
      </c>
      <c r="X104">
        <f>HYPERLINK("https://klasma.github.io/Logging_2380/tillsyn/A 41279-2024 tillsynsbegäran.docx", "A 41279-2024")</f>
        <v/>
      </c>
      <c r="Y104">
        <f>HYPERLINK("https://klasma.github.io/Logging_2380/tillsynsmail/A 41279-2024 tillsynsbegäran mail.docx", "A 41279-2024")</f>
        <v/>
      </c>
    </row>
    <row r="105" ht="15" customHeight="1">
      <c r="A105" t="inlineStr">
        <is>
          <t>A 40692-2024</t>
        </is>
      </c>
      <c r="B105" s="1" t="n">
        <v>45558</v>
      </c>
      <c r="C105" s="1" t="n">
        <v>45892</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55821-2021</t>
        </is>
      </c>
      <c r="B106" s="1" t="n">
        <v>44476</v>
      </c>
      <c r="C106" s="1" t="n">
        <v>45892</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17217-2021</t>
        </is>
      </c>
      <c r="B107" s="1" t="n">
        <v>44298</v>
      </c>
      <c r="C107" s="1" t="n">
        <v>45892</v>
      </c>
      <c r="D107" t="inlineStr">
        <is>
          <t>JÄMTLANDS LÄN</t>
        </is>
      </c>
      <c r="E107" t="inlineStr">
        <is>
          <t>ÖSTERSUND</t>
        </is>
      </c>
      <c r="G107" t="n">
        <v>10.4</v>
      </c>
      <c r="H107" t="n">
        <v>0</v>
      </c>
      <c r="I107" t="n">
        <v>0</v>
      </c>
      <c r="J107" t="n">
        <v>1</v>
      </c>
      <c r="K107" t="n">
        <v>0</v>
      </c>
      <c r="L107" t="n">
        <v>0</v>
      </c>
      <c r="M107" t="n">
        <v>0</v>
      </c>
      <c r="N107" t="n">
        <v>0</v>
      </c>
      <c r="O107" t="n">
        <v>1</v>
      </c>
      <c r="P107" t="n">
        <v>0</v>
      </c>
      <c r="Q107" t="n">
        <v>1</v>
      </c>
      <c r="R107" s="2" t="inlineStr">
        <is>
          <t>Rödbrun klubbdyna</t>
        </is>
      </c>
      <c r="S107">
        <f>HYPERLINK("https://klasma.github.io/Logging_2380/artfynd/A 17217-2021 artfynd.xlsx", "A 17217-2021")</f>
        <v/>
      </c>
      <c r="T107">
        <f>HYPERLINK("https://klasma.github.io/Logging_2380/kartor/A 17217-2021 karta.png", "A 17217-2021")</f>
        <v/>
      </c>
      <c r="V107">
        <f>HYPERLINK("https://klasma.github.io/Logging_2380/klagomål/A 17217-2021 FSC-klagomål.docx", "A 17217-2021")</f>
        <v/>
      </c>
      <c r="W107">
        <f>HYPERLINK("https://klasma.github.io/Logging_2380/klagomålsmail/A 17217-2021 FSC-klagomål mail.docx", "A 17217-2021")</f>
        <v/>
      </c>
      <c r="X107">
        <f>HYPERLINK("https://klasma.github.io/Logging_2380/tillsyn/A 17217-2021 tillsynsbegäran.docx", "A 17217-2021")</f>
        <v/>
      </c>
      <c r="Y107">
        <f>HYPERLINK("https://klasma.github.io/Logging_2380/tillsynsmail/A 17217-2021 tillsynsbegäran mail.docx", "A 17217-2021")</f>
        <v/>
      </c>
    </row>
    <row r="108" ht="15" customHeight="1">
      <c r="A108" t="inlineStr">
        <is>
          <t>A 40694-2024</t>
        </is>
      </c>
      <c r="B108" s="1" t="n">
        <v>45558</v>
      </c>
      <c r="C108" s="1" t="n">
        <v>45892</v>
      </c>
      <c r="D108" t="inlineStr">
        <is>
          <t>JÄMTLANDS LÄN</t>
        </is>
      </c>
      <c r="E108" t="inlineStr">
        <is>
          <t>ÖSTERSUND</t>
        </is>
      </c>
      <c r="F108" t="inlineStr">
        <is>
          <t>SCA</t>
        </is>
      </c>
      <c r="G108" t="n">
        <v>6.2</v>
      </c>
      <c r="H108" t="n">
        <v>0</v>
      </c>
      <c r="I108" t="n">
        <v>0</v>
      </c>
      <c r="J108" t="n">
        <v>1</v>
      </c>
      <c r="K108" t="n">
        <v>0</v>
      </c>
      <c r="L108" t="n">
        <v>0</v>
      </c>
      <c r="M108" t="n">
        <v>0</v>
      </c>
      <c r="N108" t="n">
        <v>0</v>
      </c>
      <c r="O108" t="n">
        <v>1</v>
      </c>
      <c r="P108" t="n">
        <v>0</v>
      </c>
      <c r="Q108" t="n">
        <v>1</v>
      </c>
      <c r="R108" s="2" t="inlineStr">
        <is>
          <t>Reliktbock</t>
        </is>
      </c>
      <c r="S108">
        <f>HYPERLINK("https://klasma.github.io/Logging_2380/artfynd/A 40694-2024 artfynd.xlsx", "A 40694-2024")</f>
        <v/>
      </c>
      <c r="T108">
        <f>HYPERLINK("https://klasma.github.io/Logging_2380/kartor/A 40694-2024 karta.png", "A 40694-2024")</f>
        <v/>
      </c>
      <c r="V108">
        <f>HYPERLINK("https://klasma.github.io/Logging_2380/klagomål/A 40694-2024 FSC-klagomål.docx", "A 40694-2024")</f>
        <v/>
      </c>
      <c r="W108">
        <f>HYPERLINK("https://klasma.github.io/Logging_2380/klagomålsmail/A 40694-2024 FSC-klagomål mail.docx", "A 40694-2024")</f>
        <v/>
      </c>
      <c r="X108">
        <f>HYPERLINK("https://klasma.github.io/Logging_2380/tillsyn/A 40694-2024 tillsynsbegäran.docx", "A 40694-2024")</f>
        <v/>
      </c>
      <c r="Y108">
        <f>HYPERLINK("https://klasma.github.io/Logging_2380/tillsynsmail/A 40694-2024 tillsynsbegäran mail.docx", "A 40694-2024")</f>
        <v/>
      </c>
    </row>
    <row r="109" ht="15" customHeight="1">
      <c r="A109" t="inlineStr">
        <is>
          <t>A 41770-2024</t>
        </is>
      </c>
      <c r="B109" s="1" t="n">
        <v>45561.34641203703</v>
      </c>
      <c r="C109" s="1" t="n">
        <v>45892</v>
      </c>
      <c r="D109" t="inlineStr">
        <is>
          <t>JÄMTLANDS LÄN</t>
        </is>
      </c>
      <c r="E109" t="inlineStr">
        <is>
          <t>ÖSTERSUND</t>
        </is>
      </c>
      <c r="F109" t="inlineStr">
        <is>
          <t>SCA</t>
        </is>
      </c>
      <c r="G109" t="n">
        <v>4.4</v>
      </c>
      <c r="H109" t="n">
        <v>0</v>
      </c>
      <c r="I109" t="n">
        <v>1</v>
      </c>
      <c r="J109" t="n">
        <v>0</v>
      </c>
      <c r="K109" t="n">
        <v>0</v>
      </c>
      <c r="L109" t="n">
        <v>0</v>
      </c>
      <c r="M109" t="n">
        <v>0</v>
      </c>
      <c r="N109" t="n">
        <v>0</v>
      </c>
      <c r="O109" t="n">
        <v>0</v>
      </c>
      <c r="P109" t="n">
        <v>0</v>
      </c>
      <c r="Q109" t="n">
        <v>1</v>
      </c>
      <c r="R109" s="2" t="inlineStr">
        <is>
          <t>Vedticka</t>
        </is>
      </c>
      <c r="S109">
        <f>HYPERLINK("https://klasma.github.io/Logging_2380/artfynd/A 41770-2024 artfynd.xlsx", "A 41770-2024")</f>
        <v/>
      </c>
      <c r="T109">
        <f>HYPERLINK("https://klasma.github.io/Logging_2380/kartor/A 41770-2024 karta.png", "A 41770-2024")</f>
        <v/>
      </c>
      <c r="V109">
        <f>HYPERLINK("https://klasma.github.io/Logging_2380/klagomål/A 41770-2024 FSC-klagomål.docx", "A 41770-2024")</f>
        <v/>
      </c>
      <c r="W109">
        <f>HYPERLINK("https://klasma.github.io/Logging_2380/klagomålsmail/A 41770-2024 FSC-klagomål mail.docx", "A 41770-2024")</f>
        <v/>
      </c>
      <c r="X109">
        <f>HYPERLINK("https://klasma.github.io/Logging_2380/tillsyn/A 41770-2024 tillsynsbegäran.docx", "A 41770-2024")</f>
        <v/>
      </c>
      <c r="Y109">
        <f>HYPERLINK("https://klasma.github.io/Logging_2380/tillsynsmail/A 41770-2024 tillsynsbegäran mail.docx", "A 41770-2024")</f>
        <v/>
      </c>
    </row>
    <row r="110" ht="15" customHeight="1">
      <c r="A110" t="inlineStr">
        <is>
          <t>A 9739-2022</t>
        </is>
      </c>
      <c r="B110" s="1" t="n">
        <v>44617</v>
      </c>
      <c r="C110" s="1" t="n">
        <v>45892</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36225-2025</t>
        </is>
      </c>
      <c r="B111" s="1" t="n">
        <v>45867.51128472222</v>
      </c>
      <c r="C111" s="1" t="n">
        <v>45892</v>
      </c>
      <c r="D111" t="inlineStr">
        <is>
          <t>JÄMTLANDS LÄN</t>
        </is>
      </c>
      <c r="E111" t="inlineStr">
        <is>
          <t>ÖSTERSUND</t>
        </is>
      </c>
      <c r="F111" t="inlineStr">
        <is>
          <t>SCA</t>
        </is>
      </c>
      <c r="G111" t="n">
        <v>1.8</v>
      </c>
      <c r="H111" t="n">
        <v>0</v>
      </c>
      <c r="I111" t="n">
        <v>0</v>
      </c>
      <c r="J111" t="n">
        <v>1</v>
      </c>
      <c r="K111" t="n">
        <v>0</v>
      </c>
      <c r="L111" t="n">
        <v>0</v>
      </c>
      <c r="M111" t="n">
        <v>0</v>
      </c>
      <c r="N111" t="n">
        <v>0</v>
      </c>
      <c r="O111" t="n">
        <v>1</v>
      </c>
      <c r="P111" t="n">
        <v>0</v>
      </c>
      <c r="Q111" t="n">
        <v>1</v>
      </c>
      <c r="R111" s="2" t="inlineStr">
        <is>
          <t>Kolflarnlav</t>
        </is>
      </c>
      <c r="S111">
        <f>HYPERLINK("https://klasma.github.io/Logging_2380/artfynd/A 36225-2025 artfynd.xlsx", "A 36225-2025")</f>
        <v/>
      </c>
      <c r="T111">
        <f>HYPERLINK("https://klasma.github.io/Logging_2380/kartor/A 36225-2025 karta.png", "A 36225-2025")</f>
        <v/>
      </c>
      <c r="V111">
        <f>HYPERLINK("https://klasma.github.io/Logging_2380/klagomål/A 36225-2025 FSC-klagomål.docx", "A 36225-2025")</f>
        <v/>
      </c>
      <c r="W111">
        <f>HYPERLINK("https://klasma.github.io/Logging_2380/klagomålsmail/A 36225-2025 FSC-klagomål mail.docx", "A 36225-2025")</f>
        <v/>
      </c>
      <c r="X111">
        <f>HYPERLINK("https://klasma.github.io/Logging_2380/tillsyn/A 36225-2025 tillsynsbegäran.docx", "A 36225-2025")</f>
        <v/>
      </c>
      <c r="Y111">
        <f>HYPERLINK("https://klasma.github.io/Logging_2380/tillsynsmail/A 36225-2025 tillsynsbegäran mail.docx", "A 36225-2025")</f>
        <v/>
      </c>
    </row>
    <row r="112" ht="15" customHeight="1">
      <c r="A112" t="inlineStr">
        <is>
          <t>A 59433-2021</t>
        </is>
      </c>
      <c r="B112" s="1" t="n">
        <v>44491</v>
      </c>
      <c r="C112" s="1" t="n">
        <v>45892</v>
      </c>
      <c r="D112" t="inlineStr">
        <is>
          <t>JÄMTLANDS LÄN</t>
        </is>
      </c>
      <c r="E112" t="inlineStr">
        <is>
          <t>ÖSTERSUND</t>
        </is>
      </c>
      <c r="F112" t="inlineStr">
        <is>
          <t>Övriga statliga verk och myndigheter</t>
        </is>
      </c>
      <c r="G112" t="n">
        <v>1.6</v>
      </c>
      <c r="H112" t="n">
        <v>0</v>
      </c>
      <c r="I112" t="n">
        <v>0</v>
      </c>
      <c r="J112" t="n">
        <v>1</v>
      </c>
      <c r="K112" t="n">
        <v>0</v>
      </c>
      <c r="L112" t="n">
        <v>0</v>
      </c>
      <c r="M112" t="n">
        <v>0</v>
      </c>
      <c r="N112" t="n">
        <v>0</v>
      </c>
      <c r="O112" t="n">
        <v>1</v>
      </c>
      <c r="P112" t="n">
        <v>0</v>
      </c>
      <c r="Q112" t="n">
        <v>1</v>
      </c>
      <c r="R112" s="2" t="inlineStr">
        <is>
          <t>Brunpudrad nållav</t>
        </is>
      </c>
      <c r="S112">
        <f>HYPERLINK("https://klasma.github.io/Logging_2380/artfynd/A 59433-2021 artfynd.xlsx", "A 59433-2021")</f>
        <v/>
      </c>
      <c r="T112">
        <f>HYPERLINK("https://klasma.github.io/Logging_2380/kartor/A 59433-2021 karta.png", "A 59433-2021")</f>
        <v/>
      </c>
      <c r="V112">
        <f>HYPERLINK("https://klasma.github.io/Logging_2380/klagomål/A 59433-2021 FSC-klagomål.docx", "A 59433-2021")</f>
        <v/>
      </c>
      <c r="W112">
        <f>HYPERLINK("https://klasma.github.io/Logging_2380/klagomålsmail/A 59433-2021 FSC-klagomål mail.docx", "A 59433-2021")</f>
        <v/>
      </c>
      <c r="X112">
        <f>HYPERLINK("https://klasma.github.io/Logging_2380/tillsyn/A 59433-2021 tillsynsbegäran.docx", "A 59433-2021")</f>
        <v/>
      </c>
      <c r="Y112">
        <f>HYPERLINK("https://klasma.github.io/Logging_2380/tillsynsmail/A 59433-2021 tillsynsbegäran mail.docx", "A 59433-2021")</f>
        <v/>
      </c>
    </row>
    <row r="113" ht="15" customHeight="1">
      <c r="A113" t="inlineStr">
        <is>
          <t>A 28980-2023</t>
        </is>
      </c>
      <c r="B113" s="1" t="n">
        <v>45096</v>
      </c>
      <c r="C113" s="1" t="n">
        <v>45892</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31883-2024</t>
        </is>
      </c>
      <c r="B114" s="1" t="n">
        <v>45509.9572800926</v>
      </c>
      <c r="C114" s="1" t="n">
        <v>45892</v>
      </c>
      <c r="D114" t="inlineStr">
        <is>
          <t>JÄMTLANDS LÄN</t>
        </is>
      </c>
      <c r="E114" t="inlineStr">
        <is>
          <t>ÖSTERSUND</t>
        </is>
      </c>
      <c r="F114" t="inlineStr">
        <is>
          <t>SCA</t>
        </is>
      </c>
      <c r="G114" t="n">
        <v>3.3</v>
      </c>
      <c r="H114" t="n">
        <v>1</v>
      </c>
      <c r="I114" t="n">
        <v>0</v>
      </c>
      <c r="J114" t="n">
        <v>0</v>
      </c>
      <c r="K114" t="n">
        <v>1</v>
      </c>
      <c r="L114" t="n">
        <v>0</v>
      </c>
      <c r="M114" t="n">
        <v>0</v>
      </c>
      <c r="N114" t="n">
        <v>0</v>
      </c>
      <c r="O114" t="n">
        <v>1</v>
      </c>
      <c r="P114" t="n">
        <v>1</v>
      </c>
      <c r="Q114" t="n">
        <v>1</v>
      </c>
      <c r="R114" s="2" t="inlineStr">
        <is>
          <t>Doftticka</t>
        </is>
      </c>
      <c r="S114">
        <f>HYPERLINK("https://klasma.github.io/Logging_2380/artfynd/A 31883-2024 artfynd.xlsx", "A 31883-2024")</f>
        <v/>
      </c>
      <c r="T114">
        <f>HYPERLINK("https://klasma.github.io/Logging_2380/kartor/A 31883-2024 karta.png", "A 31883-2024")</f>
        <v/>
      </c>
      <c r="V114">
        <f>HYPERLINK("https://klasma.github.io/Logging_2380/klagomål/A 31883-2024 FSC-klagomål.docx", "A 31883-2024")</f>
        <v/>
      </c>
      <c r="W114">
        <f>HYPERLINK("https://klasma.github.io/Logging_2380/klagomålsmail/A 31883-2024 FSC-klagomål mail.docx", "A 31883-2024")</f>
        <v/>
      </c>
      <c r="X114">
        <f>HYPERLINK("https://klasma.github.io/Logging_2380/tillsyn/A 31883-2024 tillsynsbegäran.docx", "A 31883-2024")</f>
        <v/>
      </c>
      <c r="Y114">
        <f>HYPERLINK("https://klasma.github.io/Logging_2380/tillsynsmail/A 31883-2024 tillsynsbegäran mail.docx", "A 31883-2024")</f>
        <v/>
      </c>
    </row>
    <row r="115" ht="15" customHeight="1">
      <c r="A115" t="inlineStr">
        <is>
          <t>A 33550-2025</t>
        </is>
      </c>
      <c r="B115" s="1" t="n">
        <v>45841.57331018519</v>
      </c>
      <c r="C115" s="1" t="n">
        <v>45892</v>
      </c>
      <c r="D115" t="inlineStr">
        <is>
          <t>JÄMTLANDS LÄN</t>
        </is>
      </c>
      <c r="E115" t="inlineStr">
        <is>
          <t>ÖSTERSUND</t>
        </is>
      </c>
      <c r="F115" t="inlineStr">
        <is>
          <t>SCA</t>
        </is>
      </c>
      <c r="G115" t="n">
        <v>7.3</v>
      </c>
      <c r="H115" t="n">
        <v>0</v>
      </c>
      <c r="I115" t="n">
        <v>1</v>
      </c>
      <c r="J115" t="n">
        <v>0</v>
      </c>
      <c r="K115" t="n">
        <v>0</v>
      </c>
      <c r="L115" t="n">
        <v>0</v>
      </c>
      <c r="M115" t="n">
        <v>0</v>
      </c>
      <c r="N115" t="n">
        <v>0</v>
      </c>
      <c r="O115" t="n">
        <v>0</v>
      </c>
      <c r="P115" t="n">
        <v>0</v>
      </c>
      <c r="Q115" t="n">
        <v>1</v>
      </c>
      <c r="R115" s="2" t="inlineStr">
        <is>
          <t>Dropptaggsvamp</t>
        </is>
      </c>
      <c r="S115">
        <f>HYPERLINK("https://klasma.github.io/Logging_2380/artfynd/A 33550-2025 artfynd.xlsx", "A 33550-2025")</f>
        <v/>
      </c>
      <c r="T115">
        <f>HYPERLINK("https://klasma.github.io/Logging_2380/kartor/A 33550-2025 karta.png", "A 33550-2025")</f>
        <v/>
      </c>
      <c r="V115">
        <f>HYPERLINK("https://klasma.github.io/Logging_2380/klagomål/A 33550-2025 FSC-klagomål.docx", "A 33550-2025")</f>
        <v/>
      </c>
      <c r="W115">
        <f>HYPERLINK("https://klasma.github.io/Logging_2380/klagomålsmail/A 33550-2025 FSC-klagomål mail.docx", "A 33550-2025")</f>
        <v/>
      </c>
      <c r="X115">
        <f>HYPERLINK("https://klasma.github.io/Logging_2380/tillsyn/A 33550-2025 tillsynsbegäran.docx", "A 33550-2025")</f>
        <v/>
      </c>
      <c r="Y115">
        <f>HYPERLINK("https://klasma.github.io/Logging_2380/tillsynsmail/A 33550-2025 tillsynsbegäran mail.docx", "A 33550-2025")</f>
        <v/>
      </c>
    </row>
    <row r="116" ht="15" customHeight="1">
      <c r="A116" t="inlineStr">
        <is>
          <t>A 44049-2024</t>
        </is>
      </c>
      <c r="B116" s="1" t="n">
        <v>45572.59462962963</v>
      </c>
      <c r="C116" s="1" t="n">
        <v>45892</v>
      </c>
      <c r="D116" t="inlineStr">
        <is>
          <t>JÄMTLANDS LÄN</t>
        </is>
      </c>
      <c r="E116" t="inlineStr">
        <is>
          <t>ÖSTERSUND</t>
        </is>
      </c>
      <c r="F116" t="inlineStr">
        <is>
          <t>SCA</t>
        </is>
      </c>
      <c r="G116" t="n">
        <v>4.5</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44049-2024 artfynd.xlsx", "A 44049-2024")</f>
        <v/>
      </c>
      <c r="T116">
        <f>HYPERLINK("https://klasma.github.io/Logging_2380/kartor/A 44049-2024 karta.png", "A 44049-2024")</f>
        <v/>
      </c>
      <c r="V116">
        <f>HYPERLINK("https://klasma.github.io/Logging_2380/klagomål/A 44049-2024 FSC-klagomål.docx", "A 44049-2024")</f>
        <v/>
      </c>
      <c r="W116">
        <f>HYPERLINK("https://klasma.github.io/Logging_2380/klagomålsmail/A 44049-2024 FSC-klagomål mail.docx", "A 44049-2024")</f>
        <v/>
      </c>
      <c r="X116">
        <f>HYPERLINK("https://klasma.github.io/Logging_2380/tillsyn/A 44049-2024 tillsynsbegäran.docx", "A 44049-2024")</f>
        <v/>
      </c>
      <c r="Y116">
        <f>HYPERLINK("https://klasma.github.io/Logging_2380/tillsynsmail/A 44049-2024 tillsynsbegäran mail.docx", "A 44049-2024")</f>
        <v/>
      </c>
    </row>
    <row r="117" ht="15" customHeight="1">
      <c r="A117" t="inlineStr">
        <is>
          <t>A 25244-2025</t>
        </is>
      </c>
      <c r="B117" s="1" t="n">
        <v>45800.49240740741</v>
      </c>
      <c r="C117" s="1" t="n">
        <v>45892</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54354-2024</t>
        </is>
      </c>
      <c r="B118" s="1" t="n">
        <v>45617.40244212963</v>
      </c>
      <c r="C118" s="1" t="n">
        <v>45892</v>
      </c>
      <c r="D118" t="inlineStr">
        <is>
          <t>JÄMTLANDS LÄN</t>
        </is>
      </c>
      <c r="E118" t="inlineStr">
        <is>
          <t>ÖSTERSUND</t>
        </is>
      </c>
      <c r="G118" t="n">
        <v>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54354-2024 artfynd.xlsx", "A 54354-2024")</f>
        <v/>
      </c>
      <c r="T118">
        <f>HYPERLINK("https://klasma.github.io/Logging_2380/kartor/A 54354-2024 karta.png", "A 54354-2024")</f>
        <v/>
      </c>
      <c r="V118">
        <f>HYPERLINK("https://klasma.github.io/Logging_2380/klagomål/A 54354-2024 FSC-klagomål.docx", "A 54354-2024")</f>
        <v/>
      </c>
      <c r="W118">
        <f>HYPERLINK("https://klasma.github.io/Logging_2380/klagomålsmail/A 54354-2024 FSC-klagomål mail.docx", "A 54354-2024")</f>
        <v/>
      </c>
      <c r="X118">
        <f>HYPERLINK("https://klasma.github.io/Logging_2380/tillsyn/A 54354-2024 tillsynsbegäran.docx", "A 54354-2024")</f>
        <v/>
      </c>
      <c r="Y118">
        <f>HYPERLINK("https://klasma.github.io/Logging_2380/tillsynsmail/A 54354-2024 tillsynsbegäran mail.docx", "A 54354-2024")</f>
        <v/>
      </c>
      <c r="Z118">
        <f>HYPERLINK("https://klasma.github.io/Logging_2380/fåglar/A 54354-2024 prioriterade fågelarter.docx", "A 54354-2024")</f>
        <v/>
      </c>
    </row>
    <row r="119" ht="15" customHeight="1">
      <c r="A119" t="inlineStr">
        <is>
          <t>A 40696-2024</t>
        </is>
      </c>
      <c r="B119" s="1" t="n">
        <v>45558</v>
      </c>
      <c r="C119" s="1" t="n">
        <v>45892</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39541-2025</t>
        </is>
      </c>
      <c r="B120" s="1" t="n">
        <v>45890.45399305555</v>
      </c>
      <c r="C120" s="1" t="n">
        <v>45892</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52535-2020</t>
        </is>
      </c>
      <c r="B121" s="1" t="n">
        <v>44118</v>
      </c>
      <c r="C121" s="1" t="n">
        <v>45892</v>
      </c>
      <c r="D121" t="inlineStr">
        <is>
          <t>JÄMTLANDS LÄN</t>
        </is>
      </c>
      <c r="E121" t="inlineStr">
        <is>
          <t>ÖSTERSUND</t>
        </is>
      </c>
      <c r="G121" t="n">
        <v>2</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45892</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45892</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45892</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45892</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43310-2021</t>
        </is>
      </c>
      <c r="B126" s="1" t="n">
        <v>44432</v>
      </c>
      <c r="C126" s="1" t="n">
        <v>45892</v>
      </c>
      <c r="D126" t="inlineStr">
        <is>
          <t>JÄMTLANDS LÄN</t>
        </is>
      </c>
      <c r="E126" t="inlineStr">
        <is>
          <t>ÖSTERSUND</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57616-2020</t>
        </is>
      </c>
      <c r="B127" s="1" t="n">
        <v>44140</v>
      </c>
      <c r="C127" s="1" t="n">
        <v>45892</v>
      </c>
      <c r="D127" t="inlineStr">
        <is>
          <t>JÄMTLANDS LÄN</t>
        </is>
      </c>
      <c r="E127" t="inlineStr">
        <is>
          <t>ÖSTERSUND</t>
        </is>
      </c>
      <c r="F127" t="inlineStr">
        <is>
          <t>Övriga Aktiebolag</t>
        </is>
      </c>
      <c r="G127" t="n">
        <v>1.8</v>
      </c>
      <c r="H127" t="n">
        <v>0</v>
      </c>
      <c r="I127" t="n">
        <v>0</v>
      </c>
      <c r="J127" t="n">
        <v>0</v>
      </c>
      <c r="K127" t="n">
        <v>0</v>
      </c>
      <c r="L127" t="n">
        <v>0</v>
      </c>
      <c r="M127" t="n">
        <v>0</v>
      </c>
      <c r="N127" t="n">
        <v>0</v>
      </c>
      <c r="O127" t="n">
        <v>0</v>
      </c>
      <c r="P127" t="n">
        <v>0</v>
      </c>
      <c r="Q127" t="n">
        <v>0</v>
      </c>
      <c r="R127" s="2" t="inlineStr"/>
    </row>
    <row r="128" ht="15" customHeight="1">
      <c r="A128" t="inlineStr">
        <is>
          <t>A 501-2021</t>
        </is>
      </c>
      <c r="B128" s="1" t="n">
        <v>44200</v>
      </c>
      <c r="C128" s="1" t="n">
        <v>45892</v>
      </c>
      <c r="D128" t="inlineStr">
        <is>
          <t>JÄMTLANDS LÄN</t>
        </is>
      </c>
      <c r="E128" t="inlineStr">
        <is>
          <t>ÖSTERSUND</t>
        </is>
      </c>
      <c r="G128" t="n">
        <v>0.5</v>
      </c>
      <c r="H128" t="n">
        <v>0</v>
      </c>
      <c r="I128" t="n">
        <v>0</v>
      </c>
      <c r="J128" t="n">
        <v>0</v>
      </c>
      <c r="K128" t="n">
        <v>0</v>
      </c>
      <c r="L128" t="n">
        <v>0</v>
      </c>
      <c r="M128" t="n">
        <v>0</v>
      </c>
      <c r="N128" t="n">
        <v>0</v>
      </c>
      <c r="O128" t="n">
        <v>0</v>
      </c>
      <c r="P128" t="n">
        <v>0</v>
      </c>
      <c r="Q128" t="n">
        <v>0</v>
      </c>
      <c r="R128" s="2" t="inlineStr"/>
    </row>
    <row r="129" ht="15" customHeight="1">
      <c r="A129" t="inlineStr">
        <is>
          <t>A 23187-2021</t>
        </is>
      </c>
      <c r="B129" s="1" t="n">
        <v>44328</v>
      </c>
      <c r="C129" s="1" t="n">
        <v>45892</v>
      </c>
      <c r="D129" t="inlineStr">
        <is>
          <t>JÄMTLANDS LÄN</t>
        </is>
      </c>
      <c r="E129" t="inlineStr">
        <is>
          <t>ÖSTERSUND</t>
        </is>
      </c>
      <c r="G129" t="n">
        <v>1.8</v>
      </c>
      <c r="H129" t="n">
        <v>0</v>
      </c>
      <c r="I129" t="n">
        <v>0</v>
      </c>
      <c r="J129" t="n">
        <v>0</v>
      </c>
      <c r="K129" t="n">
        <v>0</v>
      </c>
      <c r="L129" t="n">
        <v>0</v>
      </c>
      <c r="M129" t="n">
        <v>0</v>
      </c>
      <c r="N129" t="n">
        <v>0</v>
      </c>
      <c r="O129" t="n">
        <v>0</v>
      </c>
      <c r="P129" t="n">
        <v>0</v>
      </c>
      <c r="Q129" t="n">
        <v>0</v>
      </c>
      <c r="R129" s="2" t="inlineStr"/>
    </row>
    <row r="130" ht="15" customHeight="1">
      <c r="A130" t="inlineStr">
        <is>
          <t>A 53453-2022</t>
        </is>
      </c>
      <c r="B130" s="1" t="n">
        <v>44879.49488425926</v>
      </c>
      <c r="C130" s="1" t="n">
        <v>45892</v>
      </c>
      <c r="D130" t="inlineStr">
        <is>
          <t>JÄMTLANDS LÄN</t>
        </is>
      </c>
      <c r="E130" t="inlineStr">
        <is>
          <t>ÖSTERSUND</t>
        </is>
      </c>
      <c r="G130" t="n">
        <v>22.2</v>
      </c>
      <c r="H130" t="n">
        <v>0</v>
      </c>
      <c r="I130" t="n">
        <v>0</v>
      </c>
      <c r="J130" t="n">
        <v>0</v>
      </c>
      <c r="K130" t="n">
        <v>0</v>
      </c>
      <c r="L130" t="n">
        <v>0</v>
      </c>
      <c r="M130" t="n">
        <v>0</v>
      </c>
      <c r="N130" t="n">
        <v>0</v>
      </c>
      <c r="O130" t="n">
        <v>0</v>
      </c>
      <c r="P130" t="n">
        <v>0</v>
      </c>
      <c r="Q130" t="n">
        <v>0</v>
      </c>
      <c r="R130" s="2" t="inlineStr"/>
    </row>
    <row r="131" ht="15" customHeight="1">
      <c r="A131" t="inlineStr">
        <is>
          <t>A 8396-2021</t>
        </is>
      </c>
      <c r="B131" s="1" t="n">
        <v>44238</v>
      </c>
      <c r="C131" s="1" t="n">
        <v>45892</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64092-2021</t>
        </is>
      </c>
      <c r="B132" s="1" t="n">
        <v>44510.44064814815</v>
      </c>
      <c r="C132" s="1" t="n">
        <v>45892</v>
      </c>
      <c r="D132" t="inlineStr">
        <is>
          <t>JÄMTLANDS LÄN</t>
        </is>
      </c>
      <c r="E132" t="inlineStr">
        <is>
          <t>ÖSTERSUND</t>
        </is>
      </c>
      <c r="G132" t="n">
        <v>5.6</v>
      </c>
      <c r="H132" t="n">
        <v>0</v>
      </c>
      <c r="I132" t="n">
        <v>0</v>
      </c>
      <c r="J132" t="n">
        <v>0</v>
      </c>
      <c r="K132" t="n">
        <v>0</v>
      </c>
      <c r="L132" t="n">
        <v>0</v>
      </c>
      <c r="M132" t="n">
        <v>0</v>
      </c>
      <c r="N132" t="n">
        <v>0</v>
      </c>
      <c r="O132" t="n">
        <v>0</v>
      </c>
      <c r="P132" t="n">
        <v>0</v>
      </c>
      <c r="Q132" t="n">
        <v>0</v>
      </c>
      <c r="R132" s="2" t="inlineStr"/>
    </row>
    <row r="133" ht="15" customHeight="1">
      <c r="A133" t="inlineStr">
        <is>
          <t>A 40038-2021</t>
        </is>
      </c>
      <c r="B133" s="1" t="n">
        <v>44418.45925925926</v>
      </c>
      <c r="C133" s="1" t="n">
        <v>45892</v>
      </c>
      <c r="D133" t="inlineStr">
        <is>
          <t>JÄMTLANDS LÄN</t>
        </is>
      </c>
      <c r="E133" t="inlineStr">
        <is>
          <t>ÖSTERSUND</t>
        </is>
      </c>
      <c r="G133" t="n">
        <v>7</v>
      </c>
      <c r="H133" t="n">
        <v>0</v>
      </c>
      <c r="I133" t="n">
        <v>0</v>
      </c>
      <c r="J133" t="n">
        <v>0</v>
      </c>
      <c r="K133" t="n">
        <v>0</v>
      </c>
      <c r="L133" t="n">
        <v>0</v>
      </c>
      <c r="M133" t="n">
        <v>0</v>
      </c>
      <c r="N133" t="n">
        <v>0</v>
      </c>
      <c r="O133" t="n">
        <v>0</v>
      </c>
      <c r="P133" t="n">
        <v>0</v>
      </c>
      <c r="Q133" t="n">
        <v>0</v>
      </c>
      <c r="R133" s="2" t="inlineStr"/>
    </row>
    <row r="134" ht="15" customHeight="1">
      <c r="A134" t="inlineStr">
        <is>
          <t>A 67695-2021</t>
        </is>
      </c>
      <c r="B134" s="1" t="n">
        <v>44524.94607638889</v>
      </c>
      <c r="C134" s="1" t="n">
        <v>45892</v>
      </c>
      <c r="D134" t="inlineStr">
        <is>
          <t>JÄMTLANDS LÄN</t>
        </is>
      </c>
      <c r="E134" t="inlineStr">
        <is>
          <t>ÖSTERSUND</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32986-2021</t>
        </is>
      </c>
      <c r="B135" s="1" t="n">
        <v>44375</v>
      </c>
      <c r="C135" s="1" t="n">
        <v>45892</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29707-2021</t>
        </is>
      </c>
      <c r="B136" s="1" t="n">
        <v>44362</v>
      </c>
      <c r="C136" s="1" t="n">
        <v>45892</v>
      </c>
      <c r="D136" t="inlineStr">
        <is>
          <t>JÄMTLANDS LÄN</t>
        </is>
      </c>
      <c r="E136" t="inlineStr">
        <is>
          <t>ÖSTERSUND</t>
        </is>
      </c>
      <c r="G136" t="n">
        <v>4</v>
      </c>
      <c r="H136" t="n">
        <v>0</v>
      </c>
      <c r="I136" t="n">
        <v>0</v>
      </c>
      <c r="J136" t="n">
        <v>0</v>
      </c>
      <c r="K136" t="n">
        <v>0</v>
      </c>
      <c r="L136" t="n">
        <v>0</v>
      </c>
      <c r="M136" t="n">
        <v>0</v>
      </c>
      <c r="N136" t="n">
        <v>0</v>
      </c>
      <c r="O136" t="n">
        <v>0</v>
      </c>
      <c r="P136" t="n">
        <v>0</v>
      </c>
      <c r="Q136" t="n">
        <v>0</v>
      </c>
      <c r="R136" s="2" t="inlineStr"/>
    </row>
    <row r="137" ht="15" customHeight="1">
      <c r="A137" t="inlineStr">
        <is>
          <t>A 43951-2022</t>
        </is>
      </c>
      <c r="B137" s="1" t="n">
        <v>44838</v>
      </c>
      <c r="C137" s="1" t="n">
        <v>45892</v>
      </c>
      <c r="D137" t="inlineStr">
        <is>
          <t>JÄMTLANDS LÄN</t>
        </is>
      </c>
      <c r="E137" t="inlineStr">
        <is>
          <t>ÖSTERSUND</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45892</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45892</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45892</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8647-2022</t>
        </is>
      </c>
      <c r="B141" s="1" t="n">
        <v>44613</v>
      </c>
      <c r="C141" s="1" t="n">
        <v>45892</v>
      </c>
      <c r="D141" t="inlineStr">
        <is>
          <t>JÄMTLANDS LÄN</t>
        </is>
      </c>
      <c r="E141" t="inlineStr">
        <is>
          <t>ÖSTERSUND</t>
        </is>
      </c>
      <c r="G141" t="n">
        <v>1.1</v>
      </c>
      <c r="H141" t="n">
        <v>0</v>
      </c>
      <c r="I141" t="n">
        <v>0</v>
      </c>
      <c r="J141" t="n">
        <v>0</v>
      </c>
      <c r="K141" t="n">
        <v>0</v>
      </c>
      <c r="L141" t="n">
        <v>0</v>
      </c>
      <c r="M141" t="n">
        <v>0</v>
      </c>
      <c r="N141" t="n">
        <v>0</v>
      </c>
      <c r="O141" t="n">
        <v>0</v>
      </c>
      <c r="P141" t="n">
        <v>0</v>
      </c>
      <c r="Q141" t="n">
        <v>0</v>
      </c>
      <c r="R141" s="2" t="inlineStr"/>
    </row>
    <row r="142" ht="15" customHeight="1">
      <c r="A142" t="inlineStr">
        <is>
          <t>A 50121-2020</t>
        </is>
      </c>
      <c r="B142" s="1" t="n">
        <v>44106</v>
      </c>
      <c r="C142" s="1" t="n">
        <v>45892</v>
      </c>
      <c r="D142" t="inlineStr">
        <is>
          <t>JÄMTLANDS LÄN</t>
        </is>
      </c>
      <c r="E142" t="inlineStr">
        <is>
          <t>ÖSTERSUND</t>
        </is>
      </c>
      <c r="F142" t="inlineStr">
        <is>
          <t>Övriga statliga verk och myndigheter</t>
        </is>
      </c>
      <c r="G142" t="n">
        <v>5.2</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45892</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50144-2020</t>
        </is>
      </c>
      <c r="B144" s="1" t="n">
        <v>44106</v>
      </c>
      <c r="C144" s="1" t="n">
        <v>45892</v>
      </c>
      <c r="D144" t="inlineStr">
        <is>
          <t>JÄMTLANDS LÄN</t>
        </is>
      </c>
      <c r="E144" t="inlineStr">
        <is>
          <t>ÖSTERSUND</t>
        </is>
      </c>
      <c r="F144" t="inlineStr">
        <is>
          <t>Övriga statliga verk och myndigheter</t>
        </is>
      </c>
      <c r="G144" t="n">
        <v>2.2</v>
      </c>
      <c r="H144" t="n">
        <v>0</v>
      </c>
      <c r="I144" t="n">
        <v>0</v>
      </c>
      <c r="J144" t="n">
        <v>0</v>
      </c>
      <c r="K144" t="n">
        <v>0</v>
      </c>
      <c r="L144" t="n">
        <v>0</v>
      </c>
      <c r="M144" t="n">
        <v>0</v>
      </c>
      <c r="N144" t="n">
        <v>0</v>
      </c>
      <c r="O144" t="n">
        <v>0</v>
      </c>
      <c r="P144" t="n">
        <v>0</v>
      </c>
      <c r="Q144" t="n">
        <v>0</v>
      </c>
      <c r="R144" s="2" t="inlineStr"/>
    </row>
    <row r="145" ht="15" customHeight="1">
      <c r="A145" t="inlineStr">
        <is>
          <t>A 2763-2022</t>
        </is>
      </c>
      <c r="B145" s="1" t="n">
        <v>44580</v>
      </c>
      <c r="C145" s="1" t="n">
        <v>45892</v>
      </c>
      <c r="D145" t="inlineStr">
        <is>
          <t>JÄMTLANDS LÄN</t>
        </is>
      </c>
      <c r="E145" t="inlineStr">
        <is>
          <t>ÖSTERSUND</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45892</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19541-2021</t>
        </is>
      </c>
      <c r="B147" s="1" t="n">
        <v>44312.41724537037</v>
      </c>
      <c r="C147" s="1" t="n">
        <v>45892</v>
      </c>
      <c r="D147" t="inlineStr">
        <is>
          <t>JÄMTLANDS LÄN</t>
        </is>
      </c>
      <c r="E147" t="inlineStr">
        <is>
          <t>ÖSTERSUND</t>
        </is>
      </c>
      <c r="G147" t="n">
        <v>0.7</v>
      </c>
      <c r="H147" t="n">
        <v>0</v>
      </c>
      <c r="I147" t="n">
        <v>0</v>
      </c>
      <c r="J147" t="n">
        <v>0</v>
      </c>
      <c r="K147" t="n">
        <v>0</v>
      </c>
      <c r="L147" t="n">
        <v>0</v>
      </c>
      <c r="M147" t="n">
        <v>0</v>
      </c>
      <c r="N147" t="n">
        <v>0</v>
      </c>
      <c r="O147" t="n">
        <v>0</v>
      </c>
      <c r="P147" t="n">
        <v>0</v>
      </c>
      <c r="Q147" t="n">
        <v>0</v>
      </c>
      <c r="R147" s="2" t="inlineStr"/>
    </row>
    <row r="148" ht="15" customHeight="1">
      <c r="A148" t="inlineStr">
        <is>
          <t>A 2880-2022</t>
        </is>
      </c>
      <c r="B148" s="1" t="n">
        <v>44581</v>
      </c>
      <c r="C148" s="1" t="n">
        <v>45892</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10834-2021</t>
        </is>
      </c>
      <c r="B149" s="1" t="n">
        <v>44259</v>
      </c>
      <c r="C149" s="1" t="n">
        <v>45892</v>
      </c>
      <c r="D149" t="inlineStr">
        <is>
          <t>JÄMTLANDS LÄN</t>
        </is>
      </c>
      <c r="E149" t="inlineStr">
        <is>
          <t>ÖSTERSUND</t>
        </is>
      </c>
      <c r="G149" t="n">
        <v>12.2</v>
      </c>
      <c r="H149" t="n">
        <v>0</v>
      </c>
      <c r="I149" t="n">
        <v>0</v>
      </c>
      <c r="J149" t="n">
        <v>0</v>
      </c>
      <c r="K149" t="n">
        <v>0</v>
      </c>
      <c r="L149" t="n">
        <v>0</v>
      </c>
      <c r="M149" t="n">
        <v>0</v>
      </c>
      <c r="N149" t="n">
        <v>0</v>
      </c>
      <c r="O149" t="n">
        <v>0</v>
      </c>
      <c r="P149" t="n">
        <v>0</v>
      </c>
      <c r="Q149" t="n">
        <v>0</v>
      </c>
      <c r="R149" s="2" t="inlineStr"/>
    </row>
    <row r="150" ht="15" customHeight="1">
      <c r="A150" t="inlineStr">
        <is>
          <t>A 47295-2022</t>
        </is>
      </c>
      <c r="B150" s="1" t="n">
        <v>44852</v>
      </c>
      <c r="C150" s="1" t="n">
        <v>45892</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67400-2020</t>
        </is>
      </c>
      <c r="B151" s="1" t="n">
        <v>44181</v>
      </c>
      <c r="C151" s="1" t="n">
        <v>45892</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154-2022</t>
        </is>
      </c>
      <c r="B152" s="1" t="n">
        <v>44561</v>
      </c>
      <c r="C152" s="1" t="n">
        <v>45892</v>
      </c>
      <c r="D152" t="inlineStr">
        <is>
          <t>JÄMTLANDS LÄN</t>
        </is>
      </c>
      <c r="E152" t="inlineStr">
        <is>
          <t>ÖSTERSUND</t>
        </is>
      </c>
      <c r="G152" t="n">
        <v>4.2</v>
      </c>
      <c r="H152" t="n">
        <v>0</v>
      </c>
      <c r="I152" t="n">
        <v>0</v>
      </c>
      <c r="J152" t="n">
        <v>0</v>
      </c>
      <c r="K152" t="n">
        <v>0</v>
      </c>
      <c r="L152" t="n">
        <v>0</v>
      </c>
      <c r="M152" t="n">
        <v>0</v>
      </c>
      <c r="N152" t="n">
        <v>0</v>
      </c>
      <c r="O152" t="n">
        <v>0</v>
      </c>
      <c r="P152" t="n">
        <v>0</v>
      </c>
      <c r="Q152" t="n">
        <v>0</v>
      </c>
      <c r="R152" s="2" t="inlineStr"/>
    </row>
    <row r="153" ht="15" customHeight="1">
      <c r="A153" t="inlineStr">
        <is>
          <t>A 14155-2021</t>
        </is>
      </c>
      <c r="B153" s="1" t="n">
        <v>44278.42459490741</v>
      </c>
      <c r="C153" s="1" t="n">
        <v>45892</v>
      </c>
      <c r="D153" t="inlineStr">
        <is>
          <t>JÄMTLANDS LÄN</t>
        </is>
      </c>
      <c r="E153" t="inlineStr">
        <is>
          <t>ÖSTERSUND</t>
        </is>
      </c>
      <c r="G153" t="n">
        <v>2.6</v>
      </c>
      <c r="H153" t="n">
        <v>0</v>
      </c>
      <c r="I153" t="n">
        <v>0</v>
      </c>
      <c r="J153" t="n">
        <v>0</v>
      </c>
      <c r="K153" t="n">
        <v>0</v>
      </c>
      <c r="L153" t="n">
        <v>0</v>
      </c>
      <c r="M153" t="n">
        <v>0</v>
      </c>
      <c r="N153" t="n">
        <v>0</v>
      </c>
      <c r="O153" t="n">
        <v>0</v>
      </c>
      <c r="P153" t="n">
        <v>0</v>
      </c>
      <c r="Q153" t="n">
        <v>0</v>
      </c>
      <c r="R153" s="2" t="inlineStr"/>
    </row>
    <row r="154" ht="15" customHeight="1">
      <c r="A154" t="inlineStr">
        <is>
          <t>A 35032-2021</t>
        </is>
      </c>
      <c r="B154" s="1" t="n">
        <v>44383.85295138889</v>
      </c>
      <c r="C154" s="1" t="n">
        <v>45892</v>
      </c>
      <c r="D154" t="inlineStr">
        <is>
          <t>JÄMTLANDS LÄN</t>
        </is>
      </c>
      <c r="E154" t="inlineStr">
        <is>
          <t>ÖSTERSUND</t>
        </is>
      </c>
      <c r="G154" t="n">
        <v>0.9</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45892</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45892</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24706-2021</t>
        </is>
      </c>
      <c r="B157" s="1" t="n">
        <v>44340</v>
      </c>
      <c r="C157" s="1" t="n">
        <v>45892</v>
      </c>
      <c r="D157" t="inlineStr">
        <is>
          <t>JÄMTLANDS LÄN</t>
        </is>
      </c>
      <c r="E157" t="inlineStr">
        <is>
          <t>ÖSTERSUND</t>
        </is>
      </c>
      <c r="G157" t="n">
        <v>5.6</v>
      </c>
      <c r="H157" t="n">
        <v>0</v>
      </c>
      <c r="I157" t="n">
        <v>0</v>
      </c>
      <c r="J157" t="n">
        <v>0</v>
      </c>
      <c r="K157" t="n">
        <v>0</v>
      </c>
      <c r="L157" t="n">
        <v>0</v>
      </c>
      <c r="M157" t="n">
        <v>0</v>
      </c>
      <c r="N157" t="n">
        <v>0</v>
      </c>
      <c r="O157" t="n">
        <v>0</v>
      </c>
      <c r="P157" t="n">
        <v>0</v>
      </c>
      <c r="Q157" t="n">
        <v>0</v>
      </c>
      <c r="R157" s="2" t="inlineStr"/>
    </row>
    <row r="158" ht="15" customHeight="1">
      <c r="A158" t="inlineStr">
        <is>
          <t>A 48947-2021</t>
        </is>
      </c>
      <c r="B158" s="1" t="n">
        <v>44453</v>
      </c>
      <c r="C158" s="1" t="n">
        <v>45892</v>
      </c>
      <c r="D158" t="inlineStr">
        <is>
          <t>JÄMTLANDS LÄN</t>
        </is>
      </c>
      <c r="E158" t="inlineStr">
        <is>
          <t>ÖSTERSUND</t>
        </is>
      </c>
      <c r="G158" t="n">
        <v>22.3</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45892</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45892</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45892</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45892</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45892</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29828-2022</t>
        </is>
      </c>
      <c r="B164" s="1" t="n">
        <v>44755</v>
      </c>
      <c r="C164" s="1" t="n">
        <v>45892</v>
      </c>
      <c r="D164" t="inlineStr">
        <is>
          <t>JÄMTLANDS LÄN</t>
        </is>
      </c>
      <c r="E164" t="inlineStr">
        <is>
          <t>ÖSTERSUND</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45892</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47296-2022</t>
        </is>
      </c>
      <c r="B166" s="1" t="n">
        <v>44852.95248842592</v>
      </c>
      <c r="C166" s="1" t="n">
        <v>45892</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45892</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72041-2021</t>
        </is>
      </c>
      <c r="B168" s="1" t="n">
        <v>44540</v>
      </c>
      <c r="C168" s="1" t="n">
        <v>45892</v>
      </c>
      <c r="D168" t="inlineStr">
        <is>
          <t>JÄMTLANDS LÄN</t>
        </is>
      </c>
      <c r="E168" t="inlineStr">
        <is>
          <t>ÖSTERSUND</t>
        </is>
      </c>
      <c r="G168" t="n">
        <v>0.4</v>
      </c>
      <c r="H168" t="n">
        <v>0</v>
      </c>
      <c r="I168" t="n">
        <v>0</v>
      </c>
      <c r="J168" t="n">
        <v>0</v>
      </c>
      <c r="K168" t="n">
        <v>0</v>
      </c>
      <c r="L168" t="n">
        <v>0</v>
      </c>
      <c r="M168" t="n">
        <v>0</v>
      </c>
      <c r="N168" t="n">
        <v>0</v>
      </c>
      <c r="O168" t="n">
        <v>0</v>
      </c>
      <c r="P168" t="n">
        <v>0</v>
      </c>
      <c r="Q168" t="n">
        <v>0</v>
      </c>
      <c r="R168" s="2" t="inlineStr"/>
    </row>
    <row r="169" ht="15" customHeight="1">
      <c r="A169" t="inlineStr">
        <is>
          <t>A 23895-2021</t>
        </is>
      </c>
      <c r="B169" s="1" t="n">
        <v>44335</v>
      </c>
      <c r="C169" s="1" t="n">
        <v>45892</v>
      </c>
      <c r="D169" t="inlineStr">
        <is>
          <t>JÄMTLANDS LÄN</t>
        </is>
      </c>
      <c r="E169" t="inlineStr">
        <is>
          <t>ÖSTERSUND</t>
        </is>
      </c>
      <c r="G169" t="n">
        <v>0.6</v>
      </c>
      <c r="H169" t="n">
        <v>0</v>
      </c>
      <c r="I169" t="n">
        <v>0</v>
      </c>
      <c r="J169" t="n">
        <v>0</v>
      </c>
      <c r="K169" t="n">
        <v>0</v>
      </c>
      <c r="L169" t="n">
        <v>0</v>
      </c>
      <c r="M169" t="n">
        <v>0</v>
      </c>
      <c r="N169" t="n">
        <v>0</v>
      </c>
      <c r="O169" t="n">
        <v>0</v>
      </c>
      <c r="P169" t="n">
        <v>0</v>
      </c>
      <c r="Q169" t="n">
        <v>0</v>
      </c>
      <c r="R169" s="2" t="inlineStr"/>
    </row>
    <row r="170" ht="15" customHeight="1">
      <c r="A170" t="inlineStr">
        <is>
          <t>A 70816-2021</t>
        </is>
      </c>
      <c r="B170" s="1" t="n">
        <v>44537.935</v>
      </c>
      <c r="C170" s="1" t="n">
        <v>45892</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52898-2022</t>
        </is>
      </c>
      <c r="B171" s="1" t="n">
        <v>44875</v>
      </c>
      <c r="C171" s="1" t="n">
        <v>45892</v>
      </c>
      <c r="D171" t="inlineStr">
        <is>
          <t>JÄMTLANDS LÄN</t>
        </is>
      </c>
      <c r="E171" t="inlineStr">
        <is>
          <t>ÖSTERSUND</t>
        </is>
      </c>
      <c r="F171" t="inlineStr">
        <is>
          <t>Övriga Aktiebolag</t>
        </is>
      </c>
      <c r="G171" t="n">
        <v>12.1</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45892</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45892</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45892</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41933-2020</t>
        </is>
      </c>
      <c r="B175" s="1" t="n">
        <v>44075</v>
      </c>
      <c r="C175" s="1" t="n">
        <v>45892</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55105-2022</t>
        </is>
      </c>
      <c r="B176" s="1" t="n">
        <v>44886.63148148148</v>
      </c>
      <c r="C176" s="1" t="n">
        <v>45892</v>
      </c>
      <c r="D176" t="inlineStr">
        <is>
          <t>JÄMTLANDS LÄN</t>
        </is>
      </c>
      <c r="E176" t="inlineStr">
        <is>
          <t>ÖSTERSUND</t>
        </is>
      </c>
      <c r="F176" t="inlineStr">
        <is>
          <t>Övriga Aktiebolag</t>
        </is>
      </c>
      <c r="G176" t="n">
        <v>2.4</v>
      </c>
      <c r="H176" t="n">
        <v>0</v>
      </c>
      <c r="I176" t="n">
        <v>0</v>
      </c>
      <c r="J176" t="n">
        <v>0</v>
      </c>
      <c r="K176" t="n">
        <v>0</v>
      </c>
      <c r="L176" t="n">
        <v>0</v>
      </c>
      <c r="M176" t="n">
        <v>0</v>
      </c>
      <c r="N176" t="n">
        <v>0</v>
      </c>
      <c r="O176" t="n">
        <v>0</v>
      </c>
      <c r="P176" t="n">
        <v>0</v>
      </c>
      <c r="Q176" t="n">
        <v>0</v>
      </c>
      <c r="R176" s="2" t="inlineStr"/>
      <c r="U176">
        <f>HYPERLINK("https://klasma.github.io/Logging_2380/knärot/A 55105-2022 karta knärot.png", "A 55105-2022")</f>
        <v/>
      </c>
      <c r="V176">
        <f>HYPERLINK("https://klasma.github.io/Logging_2380/klagomål/A 55105-2022 FSC-klagomål.docx", "A 55105-2022")</f>
        <v/>
      </c>
      <c r="W176">
        <f>HYPERLINK("https://klasma.github.io/Logging_2380/klagomålsmail/A 55105-2022 FSC-klagomål mail.docx", "A 55105-2022")</f>
        <v/>
      </c>
      <c r="X176">
        <f>HYPERLINK("https://klasma.github.io/Logging_2380/tillsyn/A 55105-2022 tillsynsbegäran.docx", "A 55105-2022")</f>
        <v/>
      </c>
      <c r="Y176">
        <f>HYPERLINK("https://klasma.github.io/Logging_2380/tillsynsmail/A 55105-2022 tillsynsbegäran mail.docx", "A 55105-2022")</f>
        <v/>
      </c>
    </row>
    <row r="177" ht="15" customHeight="1">
      <c r="A177" t="inlineStr">
        <is>
          <t>A 42832-2021</t>
        </is>
      </c>
      <c r="B177" s="1" t="n">
        <v>44430</v>
      </c>
      <c r="C177" s="1" t="n">
        <v>45892</v>
      </c>
      <c r="D177" t="inlineStr">
        <is>
          <t>JÄMTLANDS LÄN</t>
        </is>
      </c>
      <c r="E177" t="inlineStr">
        <is>
          <t>ÖSTERSUND</t>
        </is>
      </c>
      <c r="G177" t="n">
        <v>9</v>
      </c>
      <c r="H177" t="n">
        <v>0</v>
      </c>
      <c r="I177" t="n">
        <v>0</v>
      </c>
      <c r="J177" t="n">
        <v>0</v>
      </c>
      <c r="K177" t="n">
        <v>0</v>
      </c>
      <c r="L177" t="n">
        <v>0</v>
      </c>
      <c r="M177" t="n">
        <v>0</v>
      </c>
      <c r="N177" t="n">
        <v>0</v>
      </c>
      <c r="O177" t="n">
        <v>0</v>
      </c>
      <c r="P177" t="n">
        <v>0</v>
      </c>
      <c r="Q177" t="n">
        <v>0</v>
      </c>
      <c r="R177" s="2" t="inlineStr"/>
    </row>
    <row r="178" ht="15" customHeight="1">
      <c r="A178" t="inlineStr">
        <is>
          <t>A 43796-2020</t>
        </is>
      </c>
      <c r="B178" s="1" t="n">
        <v>44082</v>
      </c>
      <c r="C178" s="1" t="n">
        <v>45892</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45892</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45892</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65428-2021</t>
        </is>
      </c>
      <c r="B181" s="1" t="n">
        <v>44515</v>
      </c>
      <c r="C181" s="1" t="n">
        <v>45892</v>
      </c>
      <c r="D181" t="inlineStr">
        <is>
          <t>JÄMTLANDS LÄN</t>
        </is>
      </c>
      <c r="E181" t="inlineStr">
        <is>
          <t>ÖSTERSUND</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45892</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45892</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45820-2020</t>
        </is>
      </c>
      <c r="B184" s="1" t="n">
        <v>44090</v>
      </c>
      <c r="C184" s="1" t="n">
        <v>45892</v>
      </c>
      <c r="D184" t="inlineStr">
        <is>
          <t>JÄMTLANDS LÄN</t>
        </is>
      </c>
      <c r="E184" t="inlineStr">
        <is>
          <t>ÖSTERSUND</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45892</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45892</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45892</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5145-2022</t>
        </is>
      </c>
      <c r="B188" s="1" t="n">
        <v>44594</v>
      </c>
      <c r="C188" s="1" t="n">
        <v>45892</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54539-2020</t>
        </is>
      </c>
      <c r="B189" s="1" t="n">
        <v>44126</v>
      </c>
      <c r="C189" s="1" t="n">
        <v>45892</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50153-2020</t>
        </is>
      </c>
      <c r="B190" s="1" t="n">
        <v>44106</v>
      </c>
      <c r="C190" s="1" t="n">
        <v>45892</v>
      </c>
      <c r="D190" t="inlineStr">
        <is>
          <t>JÄMTLANDS LÄN</t>
        </is>
      </c>
      <c r="E190" t="inlineStr">
        <is>
          <t>ÖSTERSUND</t>
        </is>
      </c>
      <c r="F190" t="inlineStr">
        <is>
          <t>Övriga statliga verk och myndigheter</t>
        </is>
      </c>
      <c r="G190" t="n">
        <v>4.6</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45892</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45892</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45892</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45892</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52791-2020</t>
        </is>
      </c>
      <c r="B195" s="1" t="n">
        <v>44118</v>
      </c>
      <c r="C195" s="1" t="n">
        <v>45892</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56642-2020</t>
        </is>
      </c>
      <c r="B196" s="1" t="n">
        <v>44137</v>
      </c>
      <c r="C196" s="1" t="n">
        <v>45892</v>
      </c>
      <c r="D196" t="inlineStr">
        <is>
          <t>JÄMTLANDS LÄN</t>
        </is>
      </c>
      <c r="E196" t="inlineStr">
        <is>
          <t>ÖSTERSUND</t>
        </is>
      </c>
      <c r="F196" t="inlineStr">
        <is>
          <t>Övriga Aktiebolag</t>
        </is>
      </c>
      <c r="G196" t="n">
        <v>6</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45892</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45892</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45892</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57624-2020</t>
        </is>
      </c>
      <c r="B200" s="1" t="n">
        <v>44140</v>
      </c>
      <c r="C200" s="1" t="n">
        <v>45892</v>
      </c>
      <c r="D200" t="inlineStr">
        <is>
          <t>JÄMTLANDS LÄN</t>
        </is>
      </c>
      <c r="E200" t="inlineStr">
        <is>
          <t>ÖSTERSUND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57791-2020</t>
        </is>
      </c>
      <c r="B201" s="1" t="n">
        <v>44141</v>
      </c>
      <c r="C201" s="1" t="n">
        <v>45892</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45892</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45892</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21211-2022</t>
        </is>
      </c>
      <c r="B204" s="1" t="n">
        <v>44704.94370370371</v>
      </c>
      <c r="C204" s="1" t="n">
        <v>45892</v>
      </c>
      <c r="D204" t="inlineStr">
        <is>
          <t>JÄMTLANDS LÄN</t>
        </is>
      </c>
      <c r="E204" t="inlineStr">
        <is>
          <t>ÖSTERSUND</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10590-2021</t>
        </is>
      </c>
      <c r="B205" s="1" t="n">
        <v>44258</v>
      </c>
      <c r="C205" s="1" t="n">
        <v>45892</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32990-2021</t>
        </is>
      </c>
      <c r="B206" s="1" t="n">
        <v>44375</v>
      </c>
      <c r="C206" s="1" t="n">
        <v>45892</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45892</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32994-2021</t>
        </is>
      </c>
      <c r="B208" s="1" t="n">
        <v>44375</v>
      </c>
      <c r="C208" s="1" t="n">
        <v>45892</v>
      </c>
      <c r="D208" t="inlineStr">
        <is>
          <t>JÄMTLANDS LÄN</t>
        </is>
      </c>
      <c r="E208" t="inlineStr">
        <is>
          <t>ÖSTERSUND</t>
        </is>
      </c>
      <c r="G208" t="n">
        <v>0.1</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45892</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45892</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63099-2023</t>
        </is>
      </c>
      <c r="B211" s="1" t="n">
        <v>45273</v>
      </c>
      <c r="C211" s="1" t="n">
        <v>45892</v>
      </c>
      <c r="D211" t="inlineStr">
        <is>
          <t>JÄMTLANDS LÄN</t>
        </is>
      </c>
      <c r="E211" t="inlineStr">
        <is>
          <t>ÖSTERSUND</t>
        </is>
      </c>
      <c r="G211" t="n">
        <v>1.5</v>
      </c>
      <c r="H211" t="n">
        <v>0</v>
      </c>
      <c r="I211" t="n">
        <v>0</v>
      </c>
      <c r="J211" t="n">
        <v>0</v>
      </c>
      <c r="K211" t="n">
        <v>0</v>
      </c>
      <c r="L211" t="n">
        <v>0</v>
      </c>
      <c r="M211" t="n">
        <v>0</v>
      </c>
      <c r="N211" t="n">
        <v>0</v>
      </c>
      <c r="O211" t="n">
        <v>0</v>
      </c>
      <c r="P211" t="n">
        <v>0</v>
      </c>
      <c r="Q211" t="n">
        <v>0</v>
      </c>
      <c r="R211" s="2" t="inlineStr"/>
    </row>
    <row r="212" ht="15" customHeight="1">
      <c r="A212" t="inlineStr">
        <is>
          <t>A 56067-2022</t>
        </is>
      </c>
      <c r="B212" s="1" t="n">
        <v>44889.59378472222</v>
      </c>
      <c r="C212" s="1" t="n">
        <v>45892</v>
      </c>
      <c r="D212" t="inlineStr">
        <is>
          <t>JÄMTLANDS LÄN</t>
        </is>
      </c>
      <c r="E212" t="inlineStr">
        <is>
          <t>ÖSTERSUND</t>
        </is>
      </c>
      <c r="F212" t="inlineStr">
        <is>
          <t>Övriga Aktiebolag</t>
        </is>
      </c>
      <c r="G212" t="n">
        <v>1.5</v>
      </c>
      <c r="H212" t="n">
        <v>0</v>
      </c>
      <c r="I212" t="n">
        <v>0</v>
      </c>
      <c r="J212" t="n">
        <v>0</v>
      </c>
      <c r="K212" t="n">
        <v>0</v>
      </c>
      <c r="L212" t="n">
        <v>0</v>
      </c>
      <c r="M212" t="n">
        <v>0</v>
      </c>
      <c r="N212" t="n">
        <v>0</v>
      </c>
      <c r="O212" t="n">
        <v>0</v>
      </c>
      <c r="P212" t="n">
        <v>0</v>
      </c>
      <c r="Q212" t="n">
        <v>0</v>
      </c>
      <c r="R212" s="2" t="inlineStr"/>
    </row>
    <row r="213" ht="15" customHeight="1">
      <c r="A213" t="inlineStr">
        <is>
          <t>A 58407-2024</t>
        </is>
      </c>
      <c r="B213" s="1" t="n">
        <v>45634.72633101852</v>
      </c>
      <c r="C213" s="1" t="n">
        <v>45892</v>
      </c>
      <c r="D213" t="inlineStr">
        <is>
          <t>JÄMTLANDS LÄN</t>
        </is>
      </c>
      <c r="E213" t="inlineStr">
        <is>
          <t>ÖSTERSUND</t>
        </is>
      </c>
      <c r="G213" t="n">
        <v>2.8</v>
      </c>
      <c r="H213" t="n">
        <v>0</v>
      </c>
      <c r="I213" t="n">
        <v>0</v>
      </c>
      <c r="J213" t="n">
        <v>0</v>
      </c>
      <c r="K213" t="n">
        <v>0</v>
      </c>
      <c r="L213" t="n">
        <v>0</v>
      </c>
      <c r="M213" t="n">
        <v>0</v>
      </c>
      <c r="N213" t="n">
        <v>0</v>
      </c>
      <c r="O213" t="n">
        <v>0</v>
      </c>
      <c r="P213" t="n">
        <v>0</v>
      </c>
      <c r="Q213" t="n">
        <v>0</v>
      </c>
      <c r="R213" s="2" t="inlineStr"/>
    </row>
    <row r="214" ht="15" customHeight="1">
      <c r="A214" t="inlineStr">
        <is>
          <t>A 4136-2023</t>
        </is>
      </c>
      <c r="B214" s="1" t="n">
        <v>44952</v>
      </c>
      <c r="C214" s="1" t="n">
        <v>45892</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16335-2025</t>
        </is>
      </c>
      <c r="B215" s="1" t="n">
        <v>45751.36518518518</v>
      </c>
      <c r="C215" s="1" t="n">
        <v>45892</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52777-2020</t>
        </is>
      </c>
      <c r="B216" s="1" t="n">
        <v>44118</v>
      </c>
      <c r="C216" s="1" t="n">
        <v>45892</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1893-2023</t>
        </is>
      </c>
      <c r="B217" s="1" t="n">
        <v>44937</v>
      </c>
      <c r="C217" s="1" t="n">
        <v>45892</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35556-2022</t>
        </is>
      </c>
      <c r="B218" s="1" t="n">
        <v>44799</v>
      </c>
      <c r="C218" s="1" t="n">
        <v>45892</v>
      </c>
      <c r="D218" t="inlineStr">
        <is>
          <t>JÄMTLANDS LÄN</t>
        </is>
      </c>
      <c r="E218" t="inlineStr">
        <is>
          <t>ÖSTERSUND</t>
        </is>
      </c>
      <c r="G218" t="n">
        <v>3.6</v>
      </c>
      <c r="H218" t="n">
        <v>0</v>
      </c>
      <c r="I218" t="n">
        <v>0</v>
      </c>
      <c r="J218" t="n">
        <v>0</v>
      </c>
      <c r="K218" t="n">
        <v>0</v>
      </c>
      <c r="L218" t="n">
        <v>0</v>
      </c>
      <c r="M218" t="n">
        <v>0</v>
      </c>
      <c r="N218" t="n">
        <v>0</v>
      </c>
      <c r="O218" t="n">
        <v>0</v>
      </c>
      <c r="P218" t="n">
        <v>0</v>
      </c>
      <c r="Q218" t="n">
        <v>0</v>
      </c>
      <c r="R218" s="2" t="inlineStr"/>
    </row>
    <row r="219" ht="15" customHeight="1">
      <c r="A219" t="inlineStr">
        <is>
          <t>A 57556-2024</t>
        </is>
      </c>
      <c r="B219" s="1" t="n">
        <v>45630</v>
      </c>
      <c r="C219" s="1" t="n">
        <v>45892</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6067-2025</t>
        </is>
      </c>
      <c r="B220" s="1" t="n">
        <v>45696.34405092592</v>
      </c>
      <c r="C220" s="1" t="n">
        <v>45892</v>
      </c>
      <c r="D220" t="inlineStr">
        <is>
          <t>JÄMTLANDS LÄN</t>
        </is>
      </c>
      <c r="E220" t="inlineStr">
        <is>
          <t>ÖSTERSUND</t>
        </is>
      </c>
      <c r="G220" t="n">
        <v>2.1</v>
      </c>
      <c r="H220" t="n">
        <v>0</v>
      </c>
      <c r="I220" t="n">
        <v>0</v>
      </c>
      <c r="J220" t="n">
        <v>0</v>
      </c>
      <c r="K220" t="n">
        <v>0</v>
      </c>
      <c r="L220" t="n">
        <v>0</v>
      </c>
      <c r="M220" t="n">
        <v>0</v>
      </c>
      <c r="N220" t="n">
        <v>0</v>
      </c>
      <c r="O220" t="n">
        <v>0</v>
      </c>
      <c r="P220" t="n">
        <v>0</v>
      </c>
      <c r="Q220" t="n">
        <v>0</v>
      </c>
      <c r="R220" s="2" t="inlineStr"/>
    </row>
    <row r="221" ht="15" customHeight="1">
      <c r="A221" t="inlineStr">
        <is>
          <t>A 68408-2020</t>
        </is>
      </c>
      <c r="B221" s="1" t="n">
        <v>44186</v>
      </c>
      <c r="C221" s="1" t="n">
        <v>45892</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60126-2020</t>
        </is>
      </c>
      <c r="B222" s="1" t="n">
        <v>44152</v>
      </c>
      <c r="C222" s="1" t="n">
        <v>45892</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53802-2022</t>
        </is>
      </c>
      <c r="B223" s="1" t="n">
        <v>44875</v>
      </c>
      <c r="C223" s="1" t="n">
        <v>45892</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14518-2023</t>
        </is>
      </c>
      <c r="B224" s="1" t="n">
        <v>45012</v>
      </c>
      <c r="C224" s="1" t="n">
        <v>45892</v>
      </c>
      <c r="D224" t="inlineStr">
        <is>
          <t>JÄMTLANDS LÄN</t>
        </is>
      </c>
      <c r="E224" t="inlineStr">
        <is>
          <t>ÖSTERSUND</t>
        </is>
      </c>
      <c r="G224" t="n">
        <v>14.4</v>
      </c>
      <c r="H224" t="n">
        <v>0</v>
      </c>
      <c r="I224" t="n">
        <v>0</v>
      </c>
      <c r="J224" t="n">
        <v>0</v>
      </c>
      <c r="K224" t="n">
        <v>0</v>
      </c>
      <c r="L224" t="n">
        <v>0</v>
      </c>
      <c r="M224" t="n">
        <v>0</v>
      </c>
      <c r="N224" t="n">
        <v>0</v>
      </c>
      <c r="O224" t="n">
        <v>0</v>
      </c>
      <c r="P224" t="n">
        <v>0</v>
      </c>
      <c r="Q224" t="n">
        <v>0</v>
      </c>
      <c r="R224" s="2" t="inlineStr"/>
    </row>
    <row r="225" ht="15" customHeight="1">
      <c r="A225" t="inlineStr">
        <is>
          <t>A 49592-2024</t>
        </is>
      </c>
      <c r="B225" s="1" t="n">
        <v>45596.55266203704</v>
      </c>
      <c r="C225" s="1" t="n">
        <v>45892</v>
      </c>
      <c r="D225" t="inlineStr">
        <is>
          <t>JÄMTLANDS LÄN</t>
        </is>
      </c>
      <c r="E225" t="inlineStr">
        <is>
          <t>ÖSTERSUND</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19566-2024</t>
        </is>
      </c>
      <c r="B226" s="1" t="n">
        <v>45429.92313657407</v>
      </c>
      <c r="C226" s="1" t="n">
        <v>45892</v>
      </c>
      <c r="D226" t="inlineStr">
        <is>
          <t>JÄMTLANDS LÄN</t>
        </is>
      </c>
      <c r="E226" t="inlineStr">
        <is>
          <t>ÖSTERSUND</t>
        </is>
      </c>
      <c r="G226" t="n">
        <v>0</v>
      </c>
      <c r="H226" t="n">
        <v>0</v>
      </c>
      <c r="I226" t="n">
        <v>0</v>
      </c>
      <c r="J226" t="n">
        <v>0</v>
      </c>
      <c r="K226" t="n">
        <v>0</v>
      </c>
      <c r="L226" t="n">
        <v>0</v>
      </c>
      <c r="M226" t="n">
        <v>0</v>
      </c>
      <c r="N226" t="n">
        <v>0</v>
      </c>
      <c r="O226" t="n">
        <v>0</v>
      </c>
      <c r="P226" t="n">
        <v>0</v>
      </c>
      <c r="Q226" t="n">
        <v>0</v>
      </c>
      <c r="R226" s="2" t="inlineStr"/>
    </row>
    <row r="227" ht="15" customHeight="1">
      <c r="A227" t="inlineStr">
        <is>
          <t>A 9552-2025</t>
        </is>
      </c>
      <c r="B227" s="1" t="n">
        <v>45715.59545138889</v>
      </c>
      <c r="C227" s="1" t="n">
        <v>45892</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30602-2023</t>
        </is>
      </c>
      <c r="B228" s="1" t="n">
        <v>45112</v>
      </c>
      <c r="C228" s="1" t="n">
        <v>45892</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6013-2022</t>
        </is>
      </c>
      <c r="B229" s="1" t="n">
        <v>44599.45850694444</v>
      </c>
      <c r="C229" s="1" t="n">
        <v>45892</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45980-2023</t>
        </is>
      </c>
      <c r="B230" s="1" t="n">
        <v>45189</v>
      </c>
      <c r="C230" s="1" t="n">
        <v>45892</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1211-2025</t>
        </is>
      </c>
      <c r="B231" s="1" t="n">
        <v>45667.40662037037</v>
      </c>
      <c r="C231" s="1" t="n">
        <v>45892</v>
      </c>
      <c r="D231" t="inlineStr">
        <is>
          <t>JÄMTLANDS LÄN</t>
        </is>
      </c>
      <c r="E231" t="inlineStr">
        <is>
          <t>ÖSTERSUND</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13024-2022</t>
        </is>
      </c>
      <c r="B232" s="1" t="n">
        <v>44643</v>
      </c>
      <c r="C232" s="1" t="n">
        <v>45892</v>
      </c>
      <c r="D232" t="inlineStr">
        <is>
          <t>JÄMTLANDS LÄN</t>
        </is>
      </c>
      <c r="E232" t="inlineStr">
        <is>
          <t>ÖSTERSUND</t>
        </is>
      </c>
      <c r="G232" t="n">
        <v>0.9</v>
      </c>
      <c r="H232" t="n">
        <v>0</v>
      </c>
      <c r="I232" t="n">
        <v>0</v>
      </c>
      <c r="J232" t="n">
        <v>0</v>
      </c>
      <c r="K232" t="n">
        <v>0</v>
      </c>
      <c r="L232" t="n">
        <v>0</v>
      </c>
      <c r="M232" t="n">
        <v>0</v>
      </c>
      <c r="N232" t="n">
        <v>0</v>
      </c>
      <c r="O232" t="n">
        <v>0</v>
      </c>
      <c r="P232" t="n">
        <v>0</v>
      </c>
      <c r="Q232" t="n">
        <v>0</v>
      </c>
      <c r="R232" s="2" t="inlineStr"/>
    </row>
    <row r="233" ht="15" customHeight="1">
      <c r="A233" t="inlineStr">
        <is>
          <t>A 45004-2022</t>
        </is>
      </c>
      <c r="B233" s="1" t="n">
        <v>44840</v>
      </c>
      <c r="C233" s="1" t="n">
        <v>45892</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7233-2025</t>
        </is>
      </c>
      <c r="B234" s="1" t="n">
        <v>45702.51765046296</v>
      </c>
      <c r="C234" s="1" t="n">
        <v>45892</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12352-2025</t>
        </is>
      </c>
      <c r="B235" s="1" t="n">
        <v>45730.36263888889</v>
      </c>
      <c r="C235" s="1" t="n">
        <v>45892</v>
      </c>
      <c r="D235" t="inlineStr">
        <is>
          <t>JÄMTLANDS LÄN</t>
        </is>
      </c>
      <c r="E235" t="inlineStr">
        <is>
          <t>ÖSTERSUND</t>
        </is>
      </c>
      <c r="G235" t="n">
        <v>7.8</v>
      </c>
      <c r="H235" t="n">
        <v>0</v>
      </c>
      <c r="I235" t="n">
        <v>0</v>
      </c>
      <c r="J235" t="n">
        <v>0</v>
      </c>
      <c r="K235" t="n">
        <v>0</v>
      </c>
      <c r="L235" t="n">
        <v>0</v>
      </c>
      <c r="M235" t="n">
        <v>0</v>
      </c>
      <c r="N235" t="n">
        <v>0</v>
      </c>
      <c r="O235" t="n">
        <v>0</v>
      </c>
      <c r="P235" t="n">
        <v>0</v>
      </c>
      <c r="Q235" t="n">
        <v>0</v>
      </c>
      <c r="R235" s="2" t="inlineStr"/>
    </row>
    <row r="236" ht="15" customHeight="1">
      <c r="A236" t="inlineStr">
        <is>
          <t>A 4966-2025</t>
        </is>
      </c>
      <c r="B236" s="1" t="n">
        <v>45690.63628472222</v>
      </c>
      <c r="C236" s="1" t="n">
        <v>45892</v>
      </c>
      <c r="D236" t="inlineStr">
        <is>
          <t>JÄMTLANDS LÄN</t>
        </is>
      </c>
      <c r="E236" t="inlineStr">
        <is>
          <t>ÖSTERSUND</t>
        </is>
      </c>
      <c r="G236" t="n">
        <v>3.4</v>
      </c>
      <c r="H236" t="n">
        <v>0</v>
      </c>
      <c r="I236" t="n">
        <v>0</v>
      </c>
      <c r="J236" t="n">
        <v>0</v>
      </c>
      <c r="K236" t="n">
        <v>0</v>
      </c>
      <c r="L236" t="n">
        <v>0</v>
      </c>
      <c r="M236" t="n">
        <v>0</v>
      </c>
      <c r="N236" t="n">
        <v>0</v>
      </c>
      <c r="O236" t="n">
        <v>0</v>
      </c>
      <c r="P236" t="n">
        <v>0</v>
      </c>
      <c r="Q236" t="n">
        <v>0</v>
      </c>
      <c r="R236" s="2" t="inlineStr"/>
    </row>
    <row r="237" ht="15" customHeight="1">
      <c r="A237" t="inlineStr">
        <is>
          <t>A 27906-2024</t>
        </is>
      </c>
      <c r="B237" s="1" t="n">
        <v>45475.94585648148</v>
      </c>
      <c r="C237" s="1" t="n">
        <v>45892</v>
      </c>
      <c r="D237" t="inlineStr">
        <is>
          <t>JÄMTLANDS LÄN</t>
        </is>
      </c>
      <c r="E237" t="inlineStr">
        <is>
          <t>ÖSTERSUND</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53380-2023</t>
        </is>
      </c>
      <c r="B238" s="1" t="n">
        <v>45223</v>
      </c>
      <c r="C238" s="1" t="n">
        <v>45892</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45892</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10116-2025</t>
        </is>
      </c>
      <c r="B240" s="1" t="n">
        <v>45719.59836805556</v>
      </c>
      <c r="C240" s="1" t="n">
        <v>45892</v>
      </c>
      <c r="D240" t="inlineStr">
        <is>
          <t>JÄMTLANDS LÄN</t>
        </is>
      </c>
      <c r="E240" t="inlineStr">
        <is>
          <t>ÖSTERSUND</t>
        </is>
      </c>
      <c r="G240" t="n">
        <v>11.1</v>
      </c>
      <c r="H240" t="n">
        <v>0</v>
      </c>
      <c r="I240" t="n">
        <v>0</v>
      </c>
      <c r="J240" t="n">
        <v>0</v>
      </c>
      <c r="K240" t="n">
        <v>0</v>
      </c>
      <c r="L240" t="n">
        <v>0</v>
      </c>
      <c r="M240" t="n">
        <v>0</v>
      </c>
      <c r="N240" t="n">
        <v>0</v>
      </c>
      <c r="O240" t="n">
        <v>0</v>
      </c>
      <c r="P240" t="n">
        <v>0</v>
      </c>
      <c r="Q240" t="n">
        <v>0</v>
      </c>
      <c r="R240" s="2" t="inlineStr"/>
    </row>
    <row r="241" ht="15" customHeight="1">
      <c r="A241" t="inlineStr">
        <is>
          <t>A 48696-2024</t>
        </is>
      </c>
      <c r="B241" s="1" t="n">
        <v>45593.51123842593</v>
      </c>
      <c r="C241" s="1" t="n">
        <v>45892</v>
      </c>
      <c r="D241" t="inlineStr">
        <is>
          <t>JÄMTLANDS LÄN</t>
        </is>
      </c>
      <c r="E241" t="inlineStr">
        <is>
          <t>ÖSTERSUND</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6578-2021</t>
        </is>
      </c>
      <c r="B242" s="1" t="n">
        <v>44236</v>
      </c>
      <c r="C242" s="1" t="n">
        <v>45892</v>
      </c>
      <c r="D242" t="inlineStr">
        <is>
          <t>JÄMTLANDS LÄN</t>
        </is>
      </c>
      <c r="E242" t="inlineStr">
        <is>
          <t>ÖSTERSUND</t>
        </is>
      </c>
      <c r="G242" t="n">
        <v>1.4</v>
      </c>
      <c r="H242" t="n">
        <v>0</v>
      </c>
      <c r="I242" t="n">
        <v>0</v>
      </c>
      <c r="J242" t="n">
        <v>0</v>
      </c>
      <c r="K242" t="n">
        <v>0</v>
      </c>
      <c r="L242" t="n">
        <v>0</v>
      </c>
      <c r="M242" t="n">
        <v>0</v>
      </c>
      <c r="N242" t="n">
        <v>0</v>
      </c>
      <c r="O242" t="n">
        <v>0</v>
      </c>
      <c r="P242" t="n">
        <v>0</v>
      </c>
      <c r="Q242" t="n">
        <v>0</v>
      </c>
      <c r="R242" s="2" t="inlineStr"/>
    </row>
    <row r="243" ht="15" customHeight="1">
      <c r="A243" t="inlineStr">
        <is>
          <t>A 48737-2024</t>
        </is>
      </c>
      <c r="B243" s="1" t="n">
        <v>45593.57327546296</v>
      </c>
      <c r="C243" s="1" t="n">
        <v>45892</v>
      </c>
      <c r="D243" t="inlineStr">
        <is>
          <t>JÄMTLANDS LÄN</t>
        </is>
      </c>
      <c r="E243" t="inlineStr">
        <is>
          <t>ÖSTERSUND</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31464-2024</t>
        </is>
      </c>
      <c r="B244" s="1" t="n">
        <v>45505.95078703704</v>
      </c>
      <c r="C244" s="1" t="n">
        <v>45892</v>
      </c>
      <c r="D244" t="inlineStr">
        <is>
          <t>JÄMTLANDS LÄN</t>
        </is>
      </c>
      <c r="E244" t="inlineStr">
        <is>
          <t>ÖSTERSUND</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45892</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33501-2023</t>
        </is>
      </c>
      <c r="B246" s="1" t="n">
        <v>45118</v>
      </c>
      <c r="C246" s="1" t="n">
        <v>45892</v>
      </c>
      <c r="D246" t="inlineStr">
        <is>
          <t>JÄMTLANDS LÄN</t>
        </is>
      </c>
      <c r="E246" t="inlineStr">
        <is>
          <t>ÖSTERSUND</t>
        </is>
      </c>
      <c r="G246" t="n">
        <v>5.8</v>
      </c>
      <c r="H246" t="n">
        <v>0</v>
      </c>
      <c r="I246" t="n">
        <v>0</v>
      </c>
      <c r="J246" t="n">
        <v>0</v>
      </c>
      <c r="K246" t="n">
        <v>0</v>
      </c>
      <c r="L246" t="n">
        <v>0</v>
      </c>
      <c r="M246" t="n">
        <v>0</v>
      </c>
      <c r="N246" t="n">
        <v>0</v>
      </c>
      <c r="O246" t="n">
        <v>0</v>
      </c>
      <c r="P246" t="n">
        <v>0</v>
      </c>
      <c r="Q246" t="n">
        <v>0</v>
      </c>
      <c r="R246" s="2" t="inlineStr"/>
    </row>
    <row r="247" ht="15" customHeight="1">
      <c r="A247" t="inlineStr">
        <is>
          <t>A 60088-2024</t>
        </is>
      </c>
      <c r="B247" s="1" t="n">
        <v>45642.54847222222</v>
      </c>
      <c r="C247" s="1" t="n">
        <v>45892</v>
      </c>
      <c r="D247" t="inlineStr">
        <is>
          <t>JÄMTLANDS LÄN</t>
        </is>
      </c>
      <c r="E247" t="inlineStr">
        <is>
          <t>ÖSTERSUND</t>
        </is>
      </c>
      <c r="G247" t="n">
        <v>5</v>
      </c>
      <c r="H247" t="n">
        <v>0</v>
      </c>
      <c r="I247" t="n">
        <v>0</v>
      </c>
      <c r="J247" t="n">
        <v>0</v>
      </c>
      <c r="K247" t="n">
        <v>0</v>
      </c>
      <c r="L247" t="n">
        <v>0</v>
      </c>
      <c r="M247" t="n">
        <v>0</v>
      </c>
      <c r="N247" t="n">
        <v>0</v>
      </c>
      <c r="O247" t="n">
        <v>0</v>
      </c>
      <c r="P247" t="n">
        <v>0</v>
      </c>
      <c r="Q247" t="n">
        <v>0</v>
      </c>
      <c r="R247" s="2" t="inlineStr"/>
    </row>
    <row r="248" ht="15" customHeight="1">
      <c r="A248" t="inlineStr">
        <is>
          <t>A 4872-2023</t>
        </is>
      </c>
      <c r="B248" s="1" t="n">
        <v>44957</v>
      </c>
      <c r="C248" s="1" t="n">
        <v>45892</v>
      </c>
      <c r="D248" t="inlineStr">
        <is>
          <t>JÄMTLANDS LÄN</t>
        </is>
      </c>
      <c r="E248" t="inlineStr">
        <is>
          <t>ÖSTERSUND</t>
        </is>
      </c>
      <c r="G248" t="n">
        <v>10.7</v>
      </c>
      <c r="H248" t="n">
        <v>0</v>
      </c>
      <c r="I248" t="n">
        <v>0</v>
      </c>
      <c r="J248" t="n">
        <v>0</v>
      </c>
      <c r="K248" t="n">
        <v>0</v>
      </c>
      <c r="L248" t="n">
        <v>0</v>
      </c>
      <c r="M248" t="n">
        <v>0</v>
      </c>
      <c r="N248" t="n">
        <v>0</v>
      </c>
      <c r="O248" t="n">
        <v>0</v>
      </c>
      <c r="P248" t="n">
        <v>0</v>
      </c>
      <c r="Q248" t="n">
        <v>0</v>
      </c>
      <c r="R248" s="2" t="inlineStr"/>
    </row>
    <row r="249" ht="15" customHeight="1">
      <c r="A249" t="inlineStr">
        <is>
          <t>A 2615-2024</t>
        </is>
      </c>
      <c r="B249" s="1" t="n">
        <v>45313</v>
      </c>
      <c r="C249" s="1" t="n">
        <v>45892</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33002-2021</t>
        </is>
      </c>
      <c r="B250" s="1" t="n">
        <v>44375</v>
      </c>
      <c r="C250" s="1" t="n">
        <v>45892</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46139-2021</t>
        </is>
      </c>
      <c r="B251" s="1" t="n">
        <v>44441</v>
      </c>
      <c r="C251" s="1" t="n">
        <v>45892</v>
      </c>
      <c r="D251" t="inlineStr">
        <is>
          <t>JÄMTLANDS LÄN</t>
        </is>
      </c>
      <c r="E251" t="inlineStr">
        <is>
          <t>ÖSTERSUND</t>
        </is>
      </c>
      <c r="G251" t="n">
        <v>12.8</v>
      </c>
      <c r="H251" t="n">
        <v>0</v>
      </c>
      <c r="I251" t="n">
        <v>0</v>
      </c>
      <c r="J251" t="n">
        <v>0</v>
      </c>
      <c r="K251" t="n">
        <v>0</v>
      </c>
      <c r="L251" t="n">
        <v>0</v>
      </c>
      <c r="M251" t="n">
        <v>0</v>
      </c>
      <c r="N251" t="n">
        <v>0</v>
      </c>
      <c r="O251" t="n">
        <v>0</v>
      </c>
      <c r="P251" t="n">
        <v>0</v>
      </c>
      <c r="Q251" t="n">
        <v>0</v>
      </c>
      <c r="R251" s="2" t="inlineStr"/>
    </row>
    <row r="252" ht="15" customHeight="1">
      <c r="A252" t="inlineStr">
        <is>
          <t>A 49788-2024</t>
        </is>
      </c>
      <c r="B252" s="1" t="n">
        <v>45597.36623842592</v>
      </c>
      <c r="C252" s="1" t="n">
        <v>45892</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4901-2025</t>
        </is>
      </c>
      <c r="B253" s="1" t="n">
        <v>45688.67965277778</v>
      </c>
      <c r="C253" s="1" t="n">
        <v>45892</v>
      </c>
      <c r="D253" t="inlineStr">
        <is>
          <t>JÄMTLANDS LÄN</t>
        </is>
      </c>
      <c r="E253" t="inlineStr">
        <is>
          <t>ÖSTERSUND</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14542-2025</t>
        </is>
      </c>
      <c r="B254" s="1" t="n">
        <v>45741.68631944444</v>
      </c>
      <c r="C254" s="1" t="n">
        <v>45892</v>
      </c>
      <c r="D254" t="inlineStr">
        <is>
          <t>JÄMTLANDS LÄN</t>
        </is>
      </c>
      <c r="E254" t="inlineStr">
        <is>
          <t>ÖSTERSUND</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17709-2024</t>
        </is>
      </c>
      <c r="B255" s="1" t="n">
        <v>45418.4843287037</v>
      </c>
      <c r="C255" s="1" t="n">
        <v>45892</v>
      </c>
      <c r="D255" t="inlineStr">
        <is>
          <t>JÄMTLANDS LÄN</t>
        </is>
      </c>
      <c r="E255" t="inlineStr">
        <is>
          <t>ÖSTERSUND</t>
        </is>
      </c>
      <c r="G255" t="n">
        <v>2.9</v>
      </c>
      <c r="H255" t="n">
        <v>0</v>
      </c>
      <c r="I255" t="n">
        <v>0</v>
      </c>
      <c r="J255" t="n">
        <v>0</v>
      </c>
      <c r="K255" t="n">
        <v>0</v>
      </c>
      <c r="L255" t="n">
        <v>0</v>
      </c>
      <c r="M255" t="n">
        <v>0</v>
      </c>
      <c r="N255" t="n">
        <v>0</v>
      </c>
      <c r="O255" t="n">
        <v>0</v>
      </c>
      <c r="P255" t="n">
        <v>0</v>
      </c>
      <c r="Q255" t="n">
        <v>0</v>
      </c>
      <c r="R255" s="2" t="inlineStr"/>
    </row>
    <row r="256" ht="15" customHeight="1">
      <c r="A256" t="inlineStr">
        <is>
          <t>A 58406-2024</t>
        </is>
      </c>
      <c r="B256" s="1" t="n">
        <v>45634.70898148148</v>
      </c>
      <c r="C256" s="1" t="n">
        <v>45892</v>
      </c>
      <c r="D256" t="inlineStr">
        <is>
          <t>JÄMTLANDS LÄN</t>
        </is>
      </c>
      <c r="E256" t="inlineStr">
        <is>
          <t>ÖSTERSUND</t>
        </is>
      </c>
      <c r="G256" t="n">
        <v>3.8</v>
      </c>
      <c r="H256" t="n">
        <v>0</v>
      </c>
      <c r="I256" t="n">
        <v>0</v>
      </c>
      <c r="J256" t="n">
        <v>0</v>
      </c>
      <c r="K256" t="n">
        <v>0</v>
      </c>
      <c r="L256" t="n">
        <v>0</v>
      </c>
      <c r="M256" t="n">
        <v>0</v>
      </c>
      <c r="N256" t="n">
        <v>0</v>
      </c>
      <c r="O256" t="n">
        <v>0</v>
      </c>
      <c r="P256" t="n">
        <v>0</v>
      </c>
      <c r="Q256" t="n">
        <v>0</v>
      </c>
      <c r="R256" s="2" t="inlineStr"/>
    </row>
    <row r="257" ht="15" customHeight="1">
      <c r="A257" t="inlineStr">
        <is>
          <t>A 51826-2024</t>
        </is>
      </c>
      <c r="B257" s="1" t="n">
        <v>45607.50137731482</v>
      </c>
      <c r="C257" s="1" t="n">
        <v>45892</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13166-2023</t>
        </is>
      </c>
      <c r="B258" s="1" t="n">
        <v>45002</v>
      </c>
      <c r="C258" s="1" t="n">
        <v>45892</v>
      </c>
      <c r="D258" t="inlineStr">
        <is>
          <t>JÄMTLANDS LÄN</t>
        </is>
      </c>
      <c r="E258" t="inlineStr">
        <is>
          <t>ÖSTERSUND</t>
        </is>
      </c>
      <c r="F258" t="inlineStr">
        <is>
          <t>Övriga statliga verk och myndigheter</t>
        </is>
      </c>
      <c r="G258" t="n">
        <v>1</v>
      </c>
      <c r="H258" t="n">
        <v>0</v>
      </c>
      <c r="I258" t="n">
        <v>0</v>
      </c>
      <c r="J258" t="n">
        <v>0</v>
      </c>
      <c r="K258" t="n">
        <v>0</v>
      </c>
      <c r="L258" t="n">
        <v>0</v>
      </c>
      <c r="M258" t="n">
        <v>0</v>
      </c>
      <c r="N258" t="n">
        <v>0</v>
      </c>
      <c r="O258" t="n">
        <v>0</v>
      </c>
      <c r="P258" t="n">
        <v>0</v>
      </c>
      <c r="Q258" t="n">
        <v>0</v>
      </c>
      <c r="R258" s="2" t="inlineStr"/>
    </row>
    <row r="259" ht="15" customHeight="1">
      <c r="A259" t="inlineStr">
        <is>
          <t>A 45895-2024</t>
        </is>
      </c>
      <c r="B259" s="1" t="n">
        <v>45580.42736111111</v>
      </c>
      <c r="C259" s="1" t="n">
        <v>45892</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60681-2022</t>
        </is>
      </c>
      <c r="B260" s="1" t="n">
        <v>44911.93994212963</v>
      </c>
      <c r="C260" s="1" t="n">
        <v>45892</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48106-2024</t>
        </is>
      </c>
      <c r="B261" s="1" t="n">
        <v>45589.62625</v>
      </c>
      <c r="C261" s="1" t="n">
        <v>45892</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10493-2025</t>
        </is>
      </c>
      <c r="B262" s="1" t="n">
        <v>45721.36320601852</v>
      </c>
      <c r="C262" s="1" t="n">
        <v>45892</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8423-2023</t>
        </is>
      </c>
      <c r="B263" s="1" t="n">
        <v>44977</v>
      </c>
      <c r="C263" s="1" t="n">
        <v>45892</v>
      </c>
      <c r="D263" t="inlineStr">
        <is>
          <t>JÄMTLANDS LÄN</t>
        </is>
      </c>
      <c r="E263" t="inlineStr">
        <is>
          <t>ÖSTERSUND</t>
        </is>
      </c>
      <c r="F263" t="inlineStr">
        <is>
          <t>Övriga Aktiebolag</t>
        </is>
      </c>
      <c r="G263" t="n">
        <v>53.1</v>
      </c>
      <c r="H263" t="n">
        <v>0</v>
      </c>
      <c r="I263" t="n">
        <v>0</v>
      </c>
      <c r="J263" t="n">
        <v>0</v>
      </c>
      <c r="K263" t="n">
        <v>0</v>
      </c>
      <c r="L263" t="n">
        <v>0</v>
      </c>
      <c r="M263" t="n">
        <v>0</v>
      </c>
      <c r="N263" t="n">
        <v>0</v>
      </c>
      <c r="O263" t="n">
        <v>0</v>
      </c>
      <c r="P263" t="n">
        <v>0</v>
      </c>
      <c r="Q263" t="n">
        <v>0</v>
      </c>
      <c r="R263" s="2" t="inlineStr"/>
    </row>
    <row r="264" ht="15" customHeight="1">
      <c r="A264" t="inlineStr">
        <is>
          <t>A 1255-2025</t>
        </is>
      </c>
      <c r="B264" s="1" t="n">
        <v>45667.46922453704</v>
      </c>
      <c r="C264" s="1" t="n">
        <v>45892</v>
      </c>
      <c r="D264" t="inlineStr">
        <is>
          <t>JÄMTLANDS LÄN</t>
        </is>
      </c>
      <c r="E264" t="inlineStr">
        <is>
          <t>ÖSTERSUND</t>
        </is>
      </c>
      <c r="F264" t="inlineStr">
        <is>
          <t>SCA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9744-2025</t>
        </is>
      </c>
      <c r="B265" s="1" t="n">
        <v>45716.4484375</v>
      </c>
      <c r="C265" s="1" t="n">
        <v>45892</v>
      </c>
      <c r="D265" t="inlineStr">
        <is>
          <t>JÄMTLANDS LÄN</t>
        </is>
      </c>
      <c r="E265" t="inlineStr">
        <is>
          <t>ÖSTERSUND</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24786-2024</t>
        </is>
      </c>
      <c r="B266" s="1" t="n">
        <v>45460.81277777778</v>
      </c>
      <c r="C266" s="1" t="n">
        <v>45892</v>
      </c>
      <c r="D266" t="inlineStr">
        <is>
          <t>JÄMTLANDS LÄN</t>
        </is>
      </c>
      <c r="E266" t="inlineStr">
        <is>
          <t>ÖSTERSUND</t>
        </is>
      </c>
      <c r="G266" t="n">
        <v>0.1</v>
      </c>
      <c r="H266" t="n">
        <v>0</v>
      </c>
      <c r="I266" t="n">
        <v>0</v>
      </c>
      <c r="J266" t="n">
        <v>0</v>
      </c>
      <c r="K266" t="n">
        <v>0</v>
      </c>
      <c r="L266" t="n">
        <v>0</v>
      </c>
      <c r="M266" t="n">
        <v>0</v>
      </c>
      <c r="N266" t="n">
        <v>0</v>
      </c>
      <c r="O266" t="n">
        <v>0</v>
      </c>
      <c r="P266" t="n">
        <v>0</v>
      </c>
      <c r="Q266" t="n">
        <v>0</v>
      </c>
      <c r="R266" s="2" t="inlineStr"/>
    </row>
    <row r="267" ht="15" customHeight="1">
      <c r="A267" t="inlineStr">
        <is>
          <t>A 14831-2025</t>
        </is>
      </c>
      <c r="B267" s="1" t="n">
        <v>45743.37109953703</v>
      </c>
      <c r="C267" s="1" t="n">
        <v>45892</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21495-2022</t>
        </is>
      </c>
      <c r="B268" s="1" t="n">
        <v>44706</v>
      </c>
      <c r="C268" s="1" t="n">
        <v>45892</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4500-2025</t>
        </is>
      </c>
      <c r="B269" s="1" t="n">
        <v>45686.6859375</v>
      </c>
      <c r="C269" s="1" t="n">
        <v>45892</v>
      </c>
      <c r="D269" t="inlineStr">
        <is>
          <t>JÄMTLANDS LÄN</t>
        </is>
      </c>
      <c r="E269" t="inlineStr">
        <is>
          <t>ÖSTERSUND</t>
        </is>
      </c>
      <c r="G269" t="n">
        <v>28.4</v>
      </c>
      <c r="H269" t="n">
        <v>0</v>
      </c>
      <c r="I269" t="n">
        <v>0</v>
      </c>
      <c r="J269" t="n">
        <v>0</v>
      </c>
      <c r="K269" t="n">
        <v>0</v>
      </c>
      <c r="L269" t="n">
        <v>0</v>
      </c>
      <c r="M269" t="n">
        <v>0</v>
      </c>
      <c r="N269" t="n">
        <v>0</v>
      </c>
      <c r="O269" t="n">
        <v>0</v>
      </c>
      <c r="P269" t="n">
        <v>0</v>
      </c>
      <c r="Q269" t="n">
        <v>0</v>
      </c>
      <c r="R269" s="2" t="inlineStr"/>
    </row>
    <row r="270" ht="15" customHeight="1">
      <c r="A270" t="inlineStr">
        <is>
          <t>A 53660-2024</t>
        </is>
      </c>
      <c r="B270" s="1" t="n">
        <v>45615.31297453704</v>
      </c>
      <c r="C270" s="1" t="n">
        <v>45892</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43557-2024</t>
        </is>
      </c>
      <c r="B271" s="1" t="n">
        <v>45569.39229166666</v>
      </c>
      <c r="C271" s="1" t="n">
        <v>45892</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4135-2023</t>
        </is>
      </c>
      <c r="B272" s="1" t="n">
        <v>44952</v>
      </c>
      <c r="C272" s="1" t="n">
        <v>45892</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14263-2025</t>
        </is>
      </c>
      <c r="B273" s="1" t="n">
        <v>45740.63354166667</v>
      </c>
      <c r="C273" s="1" t="n">
        <v>45892</v>
      </c>
      <c r="D273" t="inlineStr">
        <is>
          <t>JÄMTLANDS LÄN</t>
        </is>
      </c>
      <c r="E273" t="inlineStr">
        <is>
          <t>ÖSTERSUND</t>
        </is>
      </c>
      <c r="F273" t="inlineStr">
        <is>
          <t>Övriga Aktiebolag</t>
        </is>
      </c>
      <c r="G273" t="n">
        <v>4.3</v>
      </c>
      <c r="H273" t="n">
        <v>0</v>
      </c>
      <c r="I273" t="n">
        <v>0</v>
      </c>
      <c r="J273" t="n">
        <v>0</v>
      </c>
      <c r="K273" t="n">
        <v>0</v>
      </c>
      <c r="L273" t="n">
        <v>0</v>
      </c>
      <c r="M273" t="n">
        <v>0</v>
      </c>
      <c r="N273" t="n">
        <v>0</v>
      </c>
      <c r="O273" t="n">
        <v>0</v>
      </c>
      <c r="P273" t="n">
        <v>0</v>
      </c>
      <c r="Q273" t="n">
        <v>0</v>
      </c>
      <c r="R273" s="2" t="inlineStr"/>
    </row>
    <row r="274" ht="15" customHeight="1">
      <c r="A274" t="inlineStr">
        <is>
          <t>A 16682-2023</t>
        </is>
      </c>
      <c r="B274" s="1" t="n">
        <v>45028</v>
      </c>
      <c r="C274" s="1" t="n">
        <v>45892</v>
      </c>
      <c r="D274" t="inlineStr">
        <is>
          <t>JÄMTLANDS LÄN</t>
        </is>
      </c>
      <c r="E274" t="inlineStr">
        <is>
          <t>ÖSTERSUND</t>
        </is>
      </c>
      <c r="G274" t="n">
        <v>7.9</v>
      </c>
      <c r="H274" t="n">
        <v>0</v>
      </c>
      <c r="I274" t="n">
        <v>0</v>
      </c>
      <c r="J274" t="n">
        <v>0</v>
      </c>
      <c r="K274" t="n">
        <v>0</v>
      </c>
      <c r="L274" t="n">
        <v>0</v>
      </c>
      <c r="M274" t="n">
        <v>0</v>
      </c>
      <c r="N274" t="n">
        <v>0</v>
      </c>
      <c r="O274" t="n">
        <v>0</v>
      </c>
      <c r="P274" t="n">
        <v>0</v>
      </c>
      <c r="Q274" t="n">
        <v>0</v>
      </c>
      <c r="R274" s="2" t="inlineStr"/>
    </row>
    <row r="275" ht="15" customHeight="1">
      <c r="A275" t="inlineStr">
        <is>
          <t>A 42151-2023</t>
        </is>
      </c>
      <c r="B275" s="1" t="n">
        <v>45177.93612268518</v>
      </c>
      <c r="C275" s="1" t="n">
        <v>45892</v>
      </c>
      <c r="D275" t="inlineStr">
        <is>
          <t>JÄMTLANDS LÄN</t>
        </is>
      </c>
      <c r="E275" t="inlineStr">
        <is>
          <t>ÖSTERSUND</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4521-2025</t>
        </is>
      </c>
      <c r="B276" s="1" t="n">
        <v>45686</v>
      </c>
      <c r="C276" s="1" t="n">
        <v>45892</v>
      </c>
      <c r="D276" t="inlineStr">
        <is>
          <t>JÄMTLANDS LÄN</t>
        </is>
      </c>
      <c r="E276" t="inlineStr">
        <is>
          <t>ÖSTERSUND</t>
        </is>
      </c>
      <c r="G276" t="n">
        <v>28.4</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45892</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45892</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59648-2022</t>
        </is>
      </c>
      <c r="B279" s="1" t="n">
        <v>44907</v>
      </c>
      <c r="C279" s="1" t="n">
        <v>45892</v>
      </c>
      <c r="D279" t="inlineStr">
        <is>
          <t>JÄMTLANDS LÄN</t>
        </is>
      </c>
      <c r="E279" t="inlineStr">
        <is>
          <t>ÖSTERSUND</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1670-2024</t>
        </is>
      </c>
      <c r="B280" s="1" t="n">
        <v>45306</v>
      </c>
      <c r="C280" s="1" t="n">
        <v>45892</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45457.37893518519</v>
      </c>
      <c r="C281" s="1" t="n">
        <v>45892</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56111-2022</t>
        </is>
      </c>
      <c r="B282" s="1" t="n">
        <v>44889</v>
      </c>
      <c r="C282" s="1" t="n">
        <v>45892</v>
      </c>
      <c r="D282" t="inlineStr">
        <is>
          <t>JÄMTLANDS LÄN</t>
        </is>
      </c>
      <c r="E282" t="inlineStr">
        <is>
          <t>ÖSTERSUND</t>
        </is>
      </c>
      <c r="G282" t="n">
        <v>2.5</v>
      </c>
      <c r="H282" t="n">
        <v>0</v>
      </c>
      <c r="I282" t="n">
        <v>0</v>
      </c>
      <c r="J282" t="n">
        <v>0</v>
      </c>
      <c r="K282" t="n">
        <v>0</v>
      </c>
      <c r="L282" t="n">
        <v>0</v>
      </c>
      <c r="M282" t="n">
        <v>0</v>
      </c>
      <c r="N282" t="n">
        <v>0</v>
      </c>
      <c r="O282" t="n">
        <v>0</v>
      </c>
      <c r="P282" t="n">
        <v>0</v>
      </c>
      <c r="Q282" t="n">
        <v>0</v>
      </c>
      <c r="R282" s="2" t="inlineStr"/>
    </row>
    <row r="283" ht="15" customHeight="1">
      <c r="A283" t="inlineStr">
        <is>
          <t>A 14867-2025</t>
        </is>
      </c>
      <c r="B283" s="1" t="n">
        <v>45743.44207175926</v>
      </c>
      <c r="C283" s="1" t="n">
        <v>45892</v>
      </c>
      <c r="D283" t="inlineStr">
        <is>
          <t>JÄMTLANDS LÄN</t>
        </is>
      </c>
      <c r="E283" t="inlineStr">
        <is>
          <t>ÖSTERSUND</t>
        </is>
      </c>
      <c r="G283" t="n">
        <v>3.3</v>
      </c>
      <c r="H283" t="n">
        <v>0</v>
      </c>
      <c r="I283" t="n">
        <v>0</v>
      </c>
      <c r="J283" t="n">
        <v>0</v>
      </c>
      <c r="K283" t="n">
        <v>0</v>
      </c>
      <c r="L283" t="n">
        <v>0</v>
      </c>
      <c r="M283" t="n">
        <v>0</v>
      </c>
      <c r="N283" t="n">
        <v>0</v>
      </c>
      <c r="O283" t="n">
        <v>0</v>
      </c>
      <c r="P283" t="n">
        <v>0</v>
      </c>
      <c r="Q283" t="n">
        <v>0</v>
      </c>
      <c r="R283" s="2" t="inlineStr"/>
    </row>
    <row r="284" ht="15" customHeight="1">
      <c r="A284" t="inlineStr">
        <is>
          <t>A 29128-2022</t>
        </is>
      </c>
      <c r="B284" s="1" t="n">
        <v>44750</v>
      </c>
      <c r="C284" s="1" t="n">
        <v>45892</v>
      </c>
      <c r="D284" t="inlineStr">
        <is>
          <t>JÄMTLANDS LÄN</t>
        </is>
      </c>
      <c r="E284" t="inlineStr">
        <is>
          <t>ÖSTERSUND</t>
        </is>
      </c>
      <c r="G284" t="n">
        <v>3</v>
      </c>
      <c r="H284" t="n">
        <v>0</v>
      </c>
      <c r="I284" t="n">
        <v>0</v>
      </c>
      <c r="J284" t="n">
        <v>0</v>
      </c>
      <c r="K284" t="n">
        <v>0</v>
      </c>
      <c r="L284" t="n">
        <v>0</v>
      </c>
      <c r="M284" t="n">
        <v>0</v>
      </c>
      <c r="N284" t="n">
        <v>0</v>
      </c>
      <c r="O284" t="n">
        <v>0</v>
      </c>
      <c r="P284" t="n">
        <v>0</v>
      </c>
      <c r="Q284" t="n">
        <v>0</v>
      </c>
      <c r="R284" s="2" t="inlineStr"/>
    </row>
    <row r="285" ht="15" customHeight="1">
      <c r="A285" t="inlineStr">
        <is>
          <t>A 5544-2025</t>
        </is>
      </c>
      <c r="B285" s="1" t="n">
        <v>45693</v>
      </c>
      <c r="C285" s="1" t="n">
        <v>45892</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14118-2025</t>
        </is>
      </c>
      <c r="B286" s="1" t="n">
        <v>45740.46325231482</v>
      </c>
      <c r="C286" s="1" t="n">
        <v>45892</v>
      </c>
      <c r="D286" t="inlineStr">
        <is>
          <t>JÄMTLANDS LÄN</t>
        </is>
      </c>
      <c r="E286" t="inlineStr">
        <is>
          <t>ÖSTERSUND</t>
        </is>
      </c>
      <c r="G286" t="n">
        <v>3.6</v>
      </c>
      <c r="H286" t="n">
        <v>0</v>
      </c>
      <c r="I286" t="n">
        <v>0</v>
      </c>
      <c r="J286" t="n">
        <v>0</v>
      </c>
      <c r="K286" t="n">
        <v>0</v>
      </c>
      <c r="L286" t="n">
        <v>0</v>
      </c>
      <c r="M286" t="n">
        <v>0</v>
      </c>
      <c r="N286" t="n">
        <v>0</v>
      </c>
      <c r="O286" t="n">
        <v>0</v>
      </c>
      <c r="P286" t="n">
        <v>0</v>
      </c>
      <c r="Q286" t="n">
        <v>0</v>
      </c>
      <c r="R286" s="2" t="inlineStr"/>
    </row>
    <row r="287" ht="15" customHeight="1">
      <c r="A287" t="inlineStr">
        <is>
          <t>A 44489-2024</t>
        </is>
      </c>
      <c r="B287" s="1" t="n">
        <v>45574.38943287037</v>
      </c>
      <c r="C287" s="1" t="n">
        <v>45892</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15651-2025</t>
        </is>
      </c>
      <c r="B288" s="1" t="n">
        <v>45748.40208333333</v>
      </c>
      <c r="C288" s="1" t="n">
        <v>45892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4707-2024</t>
        </is>
      </c>
      <c r="B289" s="1" t="n">
        <v>45328</v>
      </c>
      <c r="C289" s="1" t="n">
        <v>45892</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45338-2024</t>
        </is>
      </c>
      <c r="B290" s="1" t="n">
        <v>45576.46905092592</v>
      </c>
      <c r="C290" s="1" t="n">
        <v>45892</v>
      </c>
      <c r="D290" t="inlineStr">
        <is>
          <t>JÄMTLANDS LÄN</t>
        </is>
      </c>
      <c r="E290" t="inlineStr">
        <is>
          <t>ÖSTERSUND</t>
        </is>
      </c>
      <c r="G290" t="n">
        <v>1.4</v>
      </c>
      <c r="H290" t="n">
        <v>0</v>
      </c>
      <c r="I290" t="n">
        <v>0</v>
      </c>
      <c r="J290" t="n">
        <v>0</v>
      </c>
      <c r="K290" t="n">
        <v>0</v>
      </c>
      <c r="L290" t="n">
        <v>0</v>
      </c>
      <c r="M290" t="n">
        <v>0</v>
      </c>
      <c r="N290" t="n">
        <v>0</v>
      </c>
      <c r="O290" t="n">
        <v>0</v>
      </c>
      <c r="P290" t="n">
        <v>0</v>
      </c>
      <c r="Q290" t="n">
        <v>0</v>
      </c>
      <c r="R290" s="2" t="inlineStr"/>
    </row>
    <row r="291" ht="15" customHeight="1">
      <c r="A291" t="inlineStr">
        <is>
          <t>A 7549-2025</t>
        </is>
      </c>
      <c r="B291" s="1" t="n">
        <v>45705.57454861111</v>
      </c>
      <c r="C291" s="1" t="n">
        <v>45892</v>
      </c>
      <c r="D291" t="inlineStr">
        <is>
          <t>JÄMTLANDS LÄN</t>
        </is>
      </c>
      <c r="E291" t="inlineStr">
        <is>
          <t>ÖSTERSUND</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2984-2024</t>
        </is>
      </c>
      <c r="B292" s="1" t="n">
        <v>45315</v>
      </c>
      <c r="C292" s="1" t="n">
        <v>45892</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14514-2025</t>
        </is>
      </c>
      <c r="B293" s="1" t="n">
        <v>45741.6369212963</v>
      </c>
      <c r="C293" s="1" t="n">
        <v>45892</v>
      </c>
      <c r="D293" t="inlineStr">
        <is>
          <t>JÄMTLANDS LÄN</t>
        </is>
      </c>
      <c r="E293" t="inlineStr">
        <is>
          <t>ÖSTERSUND</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55002-2024</t>
        </is>
      </c>
      <c r="B294" s="1" t="n">
        <v>45621</v>
      </c>
      <c r="C294" s="1" t="n">
        <v>45892</v>
      </c>
      <c r="D294" t="inlineStr">
        <is>
          <t>JÄMTLANDS LÄN</t>
        </is>
      </c>
      <c r="E294" t="inlineStr">
        <is>
          <t>ÖSTERSUND</t>
        </is>
      </c>
      <c r="F294" t="inlineStr">
        <is>
          <t>Övriga Aktiebolag</t>
        </is>
      </c>
      <c r="G294" t="n">
        <v>0.3</v>
      </c>
      <c r="H294" t="n">
        <v>0</v>
      </c>
      <c r="I294" t="n">
        <v>0</v>
      </c>
      <c r="J294" t="n">
        <v>0</v>
      </c>
      <c r="K294" t="n">
        <v>0</v>
      </c>
      <c r="L294" t="n">
        <v>0</v>
      </c>
      <c r="M294" t="n">
        <v>0</v>
      </c>
      <c r="N294" t="n">
        <v>0</v>
      </c>
      <c r="O294" t="n">
        <v>0</v>
      </c>
      <c r="P294" t="n">
        <v>0</v>
      </c>
      <c r="Q294" t="n">
        <v>0</v>
      </c>
      <c r="R294" s="2" t="inlineStr"/>
    </row>
    <row r="295" ht="15" customHeight="1">
      <c r="A295" t="inlineStr">
        <is>
          <t>A 55666-2023</t>
        </is>
      </c>
      <c r="B295" s="1" t="n">
        <v>45238.96770833333</v>
      </c>
      <c r="C295" s="1" t="n">
        <v>45892</v>
      </c>
      <c r="D295" t="inlineStr">
        <is>
          <t>JÄMTLANDS LÄN</t>
        </is>
      </c>
      <c r="E295" t="inlineStr">
        <is>
          <t>ÖSTERSUND</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231-2022</t>
        </is>
      </c>
      <c r="B296" s="1" t="n">
        <v>44564.93909722222</v>
      </c>
      <c r="C296" s="1" t="n">
        <v>45892</v>
      </c>
      <c r="D296" t="inlineStr">
        <is>
          <t>JÄMTLANDS LÄN</t>
        </is>
      </c>
      <c r="E296" t="inlineStr">
        <is>
          <t>ÖSTERSUND</t>
        </is>
      </c>
      <c r="G296" t="n">
        <v>1.9</v>
      </c>
      <c r="H296" t="n">
        <v>0</v>
      </c>
      <c r="I296" t="n">
        <v>0</v>
      </c>
      <c r="J296" t="n">
        <v>0</v>
      </c>
      <c r="K296" t="n">
        <v>0</v>
      </c>
      <c r="L296" t="n">
        <v>0</v>
      </c>
      <c r="M296" t="n">
        <v>0</v>
      </c>
      <c r="N296" t="n">
        <v>0</v>
      </c>
      <c r="O296" t="n">
        <v>0</v>
      </c>
      <c r="P296" t="n">
        <v>0</v>
      </c>
      <c r="Q296" t="n">
        <v>0</v>
      </c>
      <c r="R296" s="2" t="inlineStr"/>
    </row>
    <row r="297" ht="15" customHeight="1">
      <c r="A297" t="inlineStr">
        <is>
          <t>A 58952-2024</t>
        </is>
      </c>
      <c r="B297" s="1" t="n">
        <v>45636.5674537037</v>
      </c>
      <c r="C297" s="1" t="n">
        <v>45892</v>
      </c>
      <c r="D297" t="inlineStr">
        <is>
          <t>JÄMTLANDS LÄN</t>
        </is>
      </c>
      <c r="E297" t="inlineStr">
        <is>
          <t>ÖSTERSUND</t>
        </is>
      </c>
      <c r="G297" t="n">
        <v>3.7</v>
      </c>
      <c r="H297" t="n">
        <v>0</v>
      </c>
      <c r="I297" t="n">
        <v>0</v>
      </c>
      <c r="J297" t="n">
        <v>0</v>
      </c>
      <c r="K297" t="n">
        <v>0</v>
      </c>
      <c r="L297" t="n">
        <v>0</v>
      </c>
      <c r="M297" t="n">
        <v>0</v>
      </c>
      <c r="N297" t="n">
        <v>0</v>
      </c>
      <c r="O297" t="n">
        <v>0</v>
      </c>
      <c r="P297" t="n">
        <v>0</v>
      </c>
      <c r="Q297" t="n">
        <v>0</v>
      </c>
      <c r="R297" s="2" t="inlineStr"/>
    </row>
    <row r="298" ht="15" customHeight="1">
      <c r="A298" t="inlineStr">
        <is>
          <t>A 9109-2024</t>
        </is>
      </c>
      <c r="B298" s="1" t="n">
        <v>45357.96106481482</v>
      </c>
      <c r="C298" s="1" t="n">
        <v>45892</v>
      </c>
      <c r="D298" t="inlineStr">
        <is>
          <t>JÄMTLANDS LÄN</t>
        </is>
      </c>
      <c r="E298" t="inlineStr">
        <is>
          <t>ÖSTERSUND</t>
        </is>
      </c>
      <c r="G298" t="n">
        <v>17.1</v>
      </c>
      <c r="H298" t="n">
        <v>0</v>
      </c>
      <c r="I298" t="n">
        <v>0</v>
      </c>
      <c r="J298" t="n">
        <v>0</v>
      </c>
      <c r="K298" t="n">
        <v>0</v>
      </c>
      <c r="L298" t="n">
        <v>0</v>
      </c>
      <c r="M298" t="n">
        <v>0</v>
      </c>
      <c r="N298" t="n">
        <v>0</v>
      </c>
      <c r="O298" t="n">
        <v>0</v>
      </c>
      <c r="P298" t="n">
        <v>0</v>
      </c>
      <c r="Q298" t="n">
        <v>0</v>
      </c>
      <c r="R298" s="2" t="inlineStr"/>
    </row>
    <row r="299" ht="15" customHeight="1">
      <c r="A299" t="inlineStr">
        <is>
          <t>A 7941-2025</t>
        </is>
      </c>
      <c r="B299" s="1" t="n">
        <v>45707</v>
      </c>
      <c r="C299" s="1" t="n">
        <v>45892</v>
      </c>
      <c r="D299" t="inlineStr">
        <is>
          <t>JÄMTLANDS LÄN</t>
        </is>
      </c>
      <c r="E299" t="inlineStr">
        <is>
          <t>ÖSTERSUND</t>
        </is>
      </c>
      <c r="G299" t="n">
        <v>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45892</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50088-2024</t>
        </is>
      </c>
      <c r="B301" s="1" t="n">
        <v>45600.38585648148</v>
      </c>
      <c r="C301" s="1" t="n">
        <v>45892</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11740-2022</t>
        </is>
      </c>
      <c r="B302" s="1" t="n">
        <v>44634.52982638889</v>
      </c>
      <c r="C302" s="1" t="n">
        <v>45892</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14523-2023</t>
        </is>
      </c>
      <c r="B303" s="1" t="n">
        <v>45012</v>
      </c>
      <c r="C303" s="1" t="n">
        <v>45892</v>
      </c>
      <c r="D303" t="inlineStr">
        <is>
          <t>JÄMTLANDS LÄN</t>
        </is>
      </c>
      <c r="E303" t="inlineStr">
        <is>
          <t>ÖSTERSUND</t>
        </is>
      </c>
      <c r="G303" t="n">
        <v>4.5</v>
      </c>
      <c r="H303" t="n">
        <v>0</v>
      </c>
      <c r="I303" t="n">
        <v>0</v>
      </c>
      <c r="J303" t="n">
        <v>0</v>
      </c>
      <c r="K303" t="n">
        <v>0</v>
      </c>
      <c r="L303" t="n">
        <v>0</v>
      </c>
      <c r="M303" t="n">
        <v>0</v>
      </c>
      <c r="N303" t="n">
        <v>0</v>
      </c>
      <c r="O303" t="n">
        <v>0</v>
      </c>
      <c r="P303" t="n">
        <v>0</v>
      </c>
      <c r="Q303" t="n">
        <v>0</v>
      </c>
      <c r="R303" s="2" t="inlineStr"/>
    </row>
    <row r="304" ht="15" customHeight="1">
      <c r="A304" t="inlineStr">
        <is>
          <t>A 1159-2024</t>
        </is>
      </c>
      <c r="B304" s="1" t="n">
        <v>45302.52006944444</v>
      </c>
      <c r="C304" s="1" t="n">
        <v>45892</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46748-2023</t>
        </is>
      </c>
      <c r="B305" s="1" t="n">
        <v>45198</v>
      </c>
      <c r="C305" s="1" t="n">
        <v>45892</v>
      </c>
      <c r="D305" t="inlineStr">
        <is>
          <t>JÄMTLANDS LÄN</t>
        </is>
      </c>
      <c r="E305" t="inlineStr">
        <is>
          <t>ÖSTERSUND</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15669-2025</t>
        </is>
      </c>
      <c r="B306" s="1" t="n">
        <v>45748.4396412037</v>
      </c>
      <c r="C306" s="1" t="n">
        <v>45892</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46763-2023</t>
        </is>
      </c>
      <c r="B307" s="1" t="n">
        <v>45198</v>
      </c>
      <c r="C307" s="1" t="n">
        <v>45892</v>
      </c>
      <c r="D307" t="inlineStr">
        <is>
          <t>JÄMTLANDS LÄN</t>
        </is>
      </c>
      <c r="E307" t="inlineStr">
        <is>
          <t>ÖSTERSUND</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5341-2025</t>
        </is>
      </c>
      <c r="B308" s="1" t="n">
        <v>45692.55256944444</v>
      </c>
      <c r="C308" s="1" t="n">
        <v>45892</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5549-2025</t>
        </is>
      </c>
      <c r="B309" s="1" t="n">
        <v>45693</v>
      </c>
      <c r="C309" s="1" t="n">
        <v>45892</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5553-2025</t>
        </is>
      </c>
      <c r="B310" s="1" t="n">
        <v>45693</v>
      </c>
      <c r="C310" s="1" t="n">
        <v>45892</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60560-2022</t>
        </is>
      </c>
      <c r="B311" s="1" t="n">
        <v>44911.54984953703</v>
      </c>
      <c r="C311" s="1" t="n">
        <v>45892</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11181-2025</t>
        </is>
      </c>
      <c r="B312" s="1" t="n">
        <v>45725.44039351852</v>
      </c>
      <c r="C312" s="1" t="n">
        <v>45892</v>
      </c>
      <c r="D312" t="inlineStr">
        <is>
          <t>JÄMTLANDS LÄN</t>
        </is>
      </c>
      <c r="E312" t="inlineStr">
        <is>
          <t>ÖSTERSUND</t>
        </is>
      </c>
      <c r="G312" t="n">
        <v>15.4</v>
      </c>
      <c r="H312" t="n">
        <v>0</v>
      </c>
      <c r="I312" t="n">
        <v>0</v>
      </c>
      <c r="J312" t="n">
        <v>0</v>
      </c>
      <c r="K312" t="n">
        <v>0</v>
      </c>
      <c r="L312" t="n">
        <v>0</v>
      </c>
      <c r="M312" t="n">
        <v>0</v>
      </c>
      <c r="N312" t="n">
        <v>0</v>
      </c>
      <c r="O312" t="n">
        <v>0</v>
      </c>
      <c r="P312" t="n">
        <v>0</v>
      </c>
      <c r="Q312" t="n">
        <v>0</v>
      </c>
      <c r="R312" s="2" t="inlineStr"/>
    </row>
    <row r="313" ht="15" customHeight="1">
      <c r="A313" t="inlineStr">
        <is>
          <t>A 21060-2025</t>
        </is>
      </c>
      <c r="B313" s="1" t="n">
        <v>45777.58025462963</v>
      </c>
      <c r="C313" s="1" t="n">
        <v>45892</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21094-2025</t>
        </is>
      </c>
      <c r="B314" s="1" t="n">
        <v>45777.62665509259</v>
      </c>
      <c r="C314" s="1" t="n">
        <v>45892</v>
      </c>
      <c r="D314" t="inlineStr">
        <is>
          <t>JÄMTLANDS LÄN</t>
        </is>
      </c>
      <c r="E314" t="inlineStr">
        <is>
          <t>ÖSTERSUND</t>
        </is>
      </c>
      <c r="G314" t="n">
        <v>3.3</v>
      </c>
      <c r="H314" t="n">
        <v>0</v>
      </c>
      <c r="I314" t="n">
        <v>0</v>
      </c>
      <c r="J314" t="n">
        <v>0</v>
      </c>
      <c r="K314" t="n">
        <v>0</v>
      </c>
      <c r="L314" t="n">
        <v>0</v>
      </c>
      <c r="M314" t="n">
        <v>0</v>
      </c>
      <c r="N314" t="n">
        <v>0</v>
      </c>
      <c r="O314" t="n">
        <v>0</v>
      </c>
      <c r="P314" t="n">
        <v>0</v>
      </c>
      <c r="Q314" t="n">
        <v>0</v>
      </c>
      <c r="R314" s="2" t="inlineStr"/>
    </row>
    <row r="315" ht="15" customHeight="1">
      <c r="A315" t="inlineStr">
        <is>
          <t>A 20674-2025</t>
        </is>
      </c>
      <c r="B315" s="1" t="n">
        <v>45776.44195601852</v>
      </c>
      <c r="C315" s="1" t="n">
        <v>45892</v>
      </c>
      <c r="D315" t="inlineStr">
        <is>
          <t>JÄMTLANDS LÄN</t>
        </is>
      </c>
      <c r="E315" t="inlineStr">
        <is>
          <t>ÖSTERSUND</t>
        </is>
      </c>
      <c r="G315" t="n">
        <v>4.5</v>
      </c>
      <c r="H315" t="n">
        <v>0</v>
      </c>
      <c r="I315" t="n">
        <v>0</v>
      </c>
      <c r="J315" t="n">
        <v>0</v>
      </c>
      <c r="K315" t="n">
        <v>0</v>
      </c>
      <c r="L315" t="n">
        <v>0</v>
      </c>
      <c r="M315" t="n">
        <v>0</v>
      </c>
      <c r="N315" t="n">
        <v>0</v>
      </c>
      <c r="O315" t="n">
        <v>0</v>
      </c>
      <c r="P315" t="n">
        <v>0</v>
      </c>
      <c r="Q315" t="n">
        <v>0</v>
      </c>
      <c r="R315" s="2" t="inlineStr"/>
    </row>
    <row r="316" ht="15" customHeight="1">
      <c r="A316" t="inlineStr">
        <is>
          <t>A 5140-2025</t>
        </is>
      </c>
      <c r="B316" s="1" t="n">
        <v>45691</v>
      </c>
      <c r="C316" s="1" t="n">
        <v>45892</v>
      </c>
      <c r="D316" t="inlineStr">
        <is>
          <t>JÄMTLANDS LÄN</t>
        </is>
      </c>
      <c r="E316" t="inlineStr">
        <is>
          <t>ÖSTERSUND</t>
        </is>
      </c>
      <c r="F316" t="inlineStr">
        <is>
          <t>Övriga Aktiebolag</t>
        </is>
      </c>
      <c r="G316" t="n">
        <v>0.9</v>
      </c>
      <c r="H316" t="n">
        <v>0</v>
      </c>
      <c r="I316" t="n">
        <v>0</v>
      </c>
      <c r="J316" t="n">
        <v>0</v>
      </c>
      <c r="K316" t="n">
        <v>0</v>
      </c>
      <c r="L316" t="n">
        <v>0</v>
      </c>
      <c r="M316" t="n">
        <v>0</v>
      </c>
      <c r="N316" t="n">
        <v>0</v>
      </c>
      <c r="O316" t="n">
        <v>0</v>
      </c>
      <c r="P316" t="n">
        <v>0</v>
      </c>
      <c r="Q316" t="n">
        <v>0</v>
      </c>
      <c r="R316" s="2" t="inlineStr"/>
    </row>
    <row r="317" ht="15" customHeight="1">
      <c r="A317" t="inlineStr">
        <is>
          <t>A 3122-2025</t>
        </is>
      </c>
      <c r="B317" s="1" t="n">
        <v>45678</v>
      </c>
      <c r="C317" s="1" t="n">
        <v>45892</v>
      </c>
      <c r="D317" t="inlineStr">
        <is>
          <t>JÄMTLANDS LÄN</t>
        </is>
      </c>
      <c r="E317" t="inlineStr">
        <is>
          <t>ÖSTERSUND</t>
        </is>
      </c>
      <c r="G317" t="n">
        <v>1.3</v>
      </c>
      <c r="H317" t="n">
        <v>0</v>
      </c>
      <c r="I317" t="n">
        <v>0</v>
      </c>
      <c r="J317" t="n">
        <v>0</v>
      </c>
      <c r="K317" t="n">
        <v>0</v>
      </c>
      <c r="L317" t="n">
        <v>0</v>
      </c>
      <c r="M317" t="n">
        <v>0</v>
      </c>
      <c r="N317" t="n">
        <v>0</v>
      </c>
      <c r="O317" t="n">
        <v>0</v>
      </c>
      <c r="P317" t="n">
        <v>0</v>
      </c>
      <c r="Q317" t="n">
        <v>0</v>
      </c>
      <c r="R317" s="2" t="inlineStr"/>
    </row>
    <row r="318" ht="15" customHeight="1">
      <c r="A318" t="inlineStr">
        <is>
          <t>A 43511-2022</t>
        </is>
      </c>
      <c r="B318" s="1" t="n">
        <v>44837.36724537037</v>
      </c>
      <c r="C318" s="1" t="n">
        <v>45892</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60174-2022</t>
        </is>
      </c>
      <c r="B319" s="1" t="n">
        <v>44909.9640162037</v>
      </c>
      <c r="C319" s="1" t="n">
        <v>45892</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43016-2024</t>
        </is>
      </c>
      <c r="B320" s="1" t="n">
        <v>45567.39192129629</v>
      </c>
      <c r="C320" s="1" t="n">
        <v>45892</v>
      </c>
      <c r="D320" t="inlineStr">
        <is>
          <t>JÄMTLANDS LÄN</t>
        </is>
      </c>
      <c r="E320" t="inlineStr">
        <is>
          <t>ÖSTERSUND</t>
        </is>
      </c>
      <c r="G320" t="n">
        <v>5.3</v>
      </c>
      <c r="H320" t="n">
        <v>0</v>
      </c>
      <c r="I320" t="n">
        <v>0</v>
      </c>
      <c r="J320" t="n">
        <v>0</v>
      </c>
      <c r="K320" t="n">
        <v>0</v>
      </c>
      <c r="L320" t="n">
        <v>0</v>
      </c>
      <c r="M320" t="n">
        <v>0</v>
      </c>
      <c r="N320" t="n">
        <v>0</v>
      </c>
      <c r="O320" t="n">
        <v>0</v>
      </c>
      <c r="P320" t="n">
        <v>0</v>
      </c>
      <c r="Q320" t="n">
        <v>0</v>
      </c>
      <c r="R320" s="2" t="inlineStr"/>
    </row>
    <row r="321" ht="15" customHeight="1">
      <c r="A321" t="inlineStr">
        <is>
          <t>A 21237-2025</t>
        </is>
      </c>
      <c r="B321" s="1" t="n">
        <v>45779</v>
      </c>
      <c r="C321" s="1" t="n">
        <v>45892</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60575-2022</t>
        </is>
      </c>
      <c r="B322" s="1" t="n">
        <v>44911.5662037037</v>
      </c>
      <c r="C322" s="1" t="n">
        <v>45892</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16812-2025</t>
        </is>
      </c>
      <c r="B323" s="1" t="n">
        <v>45754</v>
      </c>
      <c r="C323" s="1" t="n">
        <v>45892</v>
      </c>
      <c r="D323" t="inlineStr">
        <is>
          <t>JÄMTLANDS LÄN</t>
        </is>
      </c>
      <c r="E323" t="inlineStr">
        <is>
          <t>ÖSTERSUND</t>
        </is>
      </c>
      <c r="F323" t="inlineStr">
        <is>
          <t>Övriga statliga verk och myndigheter</t>
        </is>
      </c>
      <c r="G323" t="n">
        <v>3.7</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45892</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14848-2025</t>
        </is>
      </c>
      <c r="B325" s="1" t="n">
        <v>45743.39528935185</v>
      </c>
      <c r="C325" s="1" t="n">
        <v>45892</v>
      </c>
      <c r="D325" t="inlineStr">
        <is>
          <t>JÄMTLANDS LÄN</t>
        </is>
      </c>
      <c r="E325" t="inlineStr">
        <is>
          <t>ÖSTERSUND</t>
        </is>
      </c>
      <c r="G325" t="n">
        <v>12.1</v>
      </c>
      <c r="H325" t="n">
        <v>0</v>
      </c>
      <c r="I325" t="n">
        <v>0</v>
      </c>
      <c r="J325" t="n">
        <v>0</v>
      </c>
      <c r="K325" t="n">
        <v>0</v>
      </c>
      <c r="L325" t="n">
        <v>0</v>
      </c>
      <c r="M325" t="n">
        <v>0</v>
      </c>
      <c r="N325" t="n">
        <v>0</v>
      </c>
      <c r="O325" t="n">
        <v>0</v>
      </c>
      <c r="P325" t="n">
        <v>0</v>
      </c>
      <c r="Q325" t="n">
        <v>0</v>
      </c>
      <c r="R325" s="2" t="inlineStr"/>
    </row>
    <row r="326" ht="15" customHeight="1">
      <c r="A326" t="inlineStr">
        <is>
          <t>A 16725-2025</t>
        </is>
      </c>
      <c r="B326" s="1" t="n">
        <v>45754</v>
      </c>
      <c r="C326" s="1" t="n">
        <v>45892</v>
      </c>
      <c r="D326" t="inlineStr">
        <is>
          <t>JÄMTLANDS LÄN</t>
        </is>
      </c>
      <c r="E326" t="inlineStr">
        <is>
          <t>ÖSTERSUND</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21704-2025</t>
        </is>
      </c>
      <c r="B327" s="1" t="n">
        <v>45783.51381944444</v>
      </c>
      <c r="C327" s="1" t="n">
        <v>45892</v>
      </c>
      <c r="D327" t="inlineStr">
        <is>
          <t>JÄMTLANDS LÄN</t>
        </is>
      </c>
      <c r="E327" t="inlineStr">
        <is>
          <t>ÖSTERSUND</t>
        </is>
      </c>
      <c r="G327" t="n">
        <v>4.2</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45892</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53060-2024</t>
        </is>
      </c>
      <c r="B329" s="1" t="n">
        <v>45611.46912037037</v>
      </c>
      <c r="C329" s="1" t="n">
        <v>45892</v>
      </c>
      <c r="D329" t="inlineStr">
        <is>
          <t>JÄMTLANDS LÄN</t>
        </is>
      </c>
      <c r="E329" t="inlineStr">
        <is>
          <t>ÖSTERSUND</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4480-2025</t>
        </is>
      </c>
      <c r="B330" s="1" t="n">
        <v>45686.64175925926</v>
      </c>
      <c r="C330" s="1" t="n">
        <v>45892</v>
      </c>
      <c r="D330" t="inlineStr">
        <is>
          <t>JÄMTLANDS LÄN</t>
        </is>
      </c>
      <c r="E330" t="inlineStr">
        <is>
          <t>ÖSTERSUND</t>
        </is>
      </c>
      <c r="G330" t="n">
        <v>27.7</v>
      </c>
      <c r="H330" t="n">
        <v>0</v>
      </c>
      <c r="I330" t="n">
        <v>0</v>
      </c>
      <c r="J330" t="n">
        <v>0</v>
      </c>
      <c r="K330" t="n">
        <v>0</v>
      </c>
      <c r="L330" t="n">
        <v>0</v>
      </c>
      <c r="M330" t="n">
        <v>0</v>
      </c>
      <c r="N330" t="n">
        <v>0</v>
      </c>
      <c r="O330" t="n">
        <v>0</v>
      </c>
      <c r="P330" t="n">
        <v>0</v>
      </c>
      <c r="Q330" t="n">
        <v>0</v>
      </c>
      <c r="R330" s="2" t="inlineStr"/>
    </row>
    <row r="331" ht="15" customHeight="1">
      <c r="A331" t="inlineStr">
        <is>
          <t>A 23555-2022</t>
        </is>
      </c>
      <c r="B331" s="1" t="n">
        <v>44721</v>
      </c>
      <c r="C331" s="1" t="n">
        <v>45892</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54237-2024</t>
        </is>
      </c>
      <c r="B332" s="1" t="n">
        <v>45616.67833333334</v>
      </c>
      <c r="C332" s="1" t="n">
        <v>45892</v>
      </c>
      <c r="D332" t="inlineStr">
        <is>
          <t>JÄMTLANDS LÄN</t>
        </is>
      </c>
      <c r="E332" t="inlineStr">
        <is>
          <t>ÖSTERSUND</t>
        </is>
      </c>
      <c r="F332" t="inlineStr">
        <is>
          <t>SCA</t>
        </is>
      </c>
      <c r="G332" t="n">
        <v>8.9</v>
      </c>
      <c r="H332" t="n">
        <v>0</v>
      </c>
      <c r="I332" t="n">
        <v>0</v>
      </c>
      <c r="J332" t="n">
        <v>0</v>
      </c>
      <c r="K332" t="n">
        <v>0</v>
      </c>
      <c r="L332" t="n">
        <v>0</v>
      </c>
      <c r="M332" t="n">
        <v>0</v>
      </c>
      <c r="N332" t="n">
        <v>0</v>
      </c>
      <c r="O332" t="n">
        <v>0</v>
      </c>
      <c r="P332" t="n">
        <v>0</v>
      </c>
      <c r="Q332" t="n">
        <v>0</v>
      </c>
      <c r="R332" s="2" t="inlineStr"/>
    </row>
    <row r="333" ht="15" customHeight="1">
      <c r="A333" t="inlineStr">
        <is>
          <t>A 296-2023</t>
        </is>
      </c>
      <c r="B333" s="1" t="n">
        <v>44922</v>
      </c>
      <c r="C333" s="1" t="n">
        <v>45892</v>
      </c>
      <c r="D333" t="inlineStr">
        <is>
          <t>JÄMTLANDS LÄN</t>
        </is>
      </c>
      <c r="E333" t="inlineStr">
        <is>
          <t>ÖSTERSUND</t>
        </is>
      </c>
      <c r="G333" t="n">
        <v>0.8</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45892</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17732-2022</t>
        </is>
      </c>
      <c r="B335" s="1" t="n">
        <v>44680.92873842592</v>
      </c>
      <c r="C335" s="1" t="n">
        <v>45892</v>
      </c>
      <c r="D335" t="inlineStr">
        <is>
          <t>JÄMTLANDS LÄN</t>
        </is>
      </c>
      <c r="E335" t="inlineStr">
        <is>
          <t>ÖSTERSUND</t>
        </is>
      </c>
      <c r="G335" t="n">
        <v>5.4</v>
      </c>
      <c r="H335" t="n">
        <v>0</v>
      </c>
      <c r="I335" t="n">
        <v>0</v>
      </c>
      <c r="J335" t="n">
        <v>0</v>
      </c>
      <c r="K335" t="n">
        <v>0</v>
      </c>
      <c r="L335" t="n">
        <v>0</v>
      </c>
      <c r="M335" t="n">
        <v>0</v>
      </c>
      <c r="N335" t="n">
        <v>0</v>
      </c>
      <c r="O335" t="n">
        <v>0</v>
      </c>
      <c r="P335" t="n">
        <v>0</v>
      </c>
      <c r="Q335" t="n">
        <v>0</v>
      </c>
      <c r="R335" s="2" t="inlineStr"/>
    </row>
    <row r="336" ht="15" customHeight="1">
      <c r="A336" t="inlineStr">
        <is>
          <t>A 22612-2025</t>
        </is>
      </c>
      <c r="B336" s="1" t="n">
        <v>45789.42538194444</v>
      </c>
      <c r="C336" s="1" t="n">
        <v>45892</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45892</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17948-2025</t>
        </is>
      </c>
      <c r="B338" s="1" t="n">
        <v>45760.66995370371</v>
      </c>
      <c r="C338" s="1" t="n">
        <v>45892</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4520-2025</t>
        </is>
      </c>
      <c r="B339" s="1" t="n">
        <v>45686.92384259259</v>
      </c>
      <c r="C339" s="1" t="n">
        <v>45892</v>
      </c>
      <c r="D339" t="inlineStr">
        <is>
          <t>JÄMTLANDS LÄN</t>
        </is>
      </c>
      <c r="E339" t="inlineStr">
        <is>
          <t>ÖSTERSUND</t>
        </is>
      </c>
      <c r="G339" t="n">
        <v>15.2</v>
      </c>
      <c r="H339" t="n">
        <v>0</v>
      </c>
      <c r="I339" t="n">
        <v>0</v>
      </c>
      <c r="J339" t="n">
        <v>0</v>
      </c>
      <c r="K339" t="n">
        <v>0</v>
      </c>
      <c r="L339" t="n">
        <v>0</v>
      </c>
      <c r="M339" t="n">
        <v>0</v>
      </c>
      <c r="N339" t="n">
        <v>0</v>
      </c>
      <c r="O339" t="n">
        <v>0</v>
      </c>
      <c r="P339" t="n">
        <v>0</v>
      </c>
      <c r="Q339" t="n">
        <v>0</v>
      </c>
      <c r="R339" s="2" t="inlineStr"/>
    </row>
    <row r="340" ht="15" customHeight="1">
      <c r="A340" t="inlineStr">
        <is>
          <t>A 4523-2025</t>
        </is>
      </c>
      <c r="B340" s="1" t="n">
        <v>45686.92864583333</v>
      </c>
      <c r="C340" s="1" t="n">
        <v>45892</v>
      </c>
      <c r="D340" t="inlineStr">
        <is>
          <t>JÄMTLANDS LÄN</t>
        </is>
      </c>
      <c r="E340" t="inlineStr">
        <is>
          <t>ÖSTERSUND</t>
        </is>
      </c>
      <c r="G340" t="n">
        <v>15.2</v>
      </c>
      <c r="H340" t="n">
        <v>0</v>
      </c>
      <c r="I340" t="n">
        <v>0</v>
      </c>
      <c r="J340" t="n">
        <v>0</v>
      </c>
      <c r="K340" t="n">
        <v>0</v>
      </c>
      <c r="L340" t="n">
        <v>0</v>
      </c>
      <c r="M340" t="n">
        <v>0</v>
      </c>
      <c r="N340" t="n">
        <v>0</v>
      </c>
      <c r="O340" t="n">
        <v>0</v>
      </c>
      <c r="P340" t="n">
        <v>0</v>
      </c>
      <c r="Q340" t="n">
        <v>0</v>
      </c>
      <c r="R340" s="2" t="inlineStr"/>
    </row>
    <row r="341" ht="15" customHeight="1">
      <c r="A341" t="inlineStr">
        <is>
          <t>A 22713-2025</t>
        </is>
      </c>
      <c r="B341" s="1" t="n">
        <v>45789.56414351852</v>
      </c>
      <c r="C341" s="1" t="n">
        <v>45892</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57589-2024</t>
        </is>
      </c>
      <c r="B342" s="1" t="n">
        <v>45630.49710648148</v>
      </c>
      <c r="C342" s="1" t="n">
        <v>45892</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45892</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55678-2023</t>
        </is>
      </c>
      <c r="B344" s="1" t="n">
        <v>45239.33032407407</v>
      </c>
      <c r="C344" s="1" t="n">
        <v>45892</v>
      </c>
      <c r="D344" t="inlineStr">
        <is>
          <t>JÄMTLANDS LÄN</t>
        </is>
      </c>
      <c r="E344" t="inlineStr">
        <is>
          <t>ÖSTERSUND</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22082-2022</t>
        </is>
      </c>
      <c r="B345" s="1" t="n">
        <v>44711.9403587963</v>
      </c>
      <c r="C345" s="1" t="n">
        <v>45892</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15686-2025</t>
        </is>
      </c>
      <c r="B346" s="1" t="n">
        <v>45748.46021990741</v>
      </c>
      <c r="C346" s="1" t="n">
        <v>45892</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38142-2021</t>
        </is>
      </c>
      <c r="B347" s="1" t="n">
        <v>44405</v>
      </c>
      <c r="C347" s="1" t="n">
        <v>45892</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22822-2025</t>
        </is>
      </c>
      <c r="B348" s="1" t="n">
        <v>45789</v>
      </c>
      <c r="C348" s="1" t="n">
        <v>45892</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22823-2025</t>
        </is>
      </c>
      <c r="B349" s="1" t="n">
        <v>45789</v>
      </c>
      <c r="C349" s="1" t="n">
        <v>45892</v>
      </c>
      <c r="D349" t="inlineStr">
        <is>
          <t>JÄMTLANDS LÄN</t>
        </is>
      </c>
      <c r="E349" t="inlineStr">
        <is>
          <t>ÖSTERSUND</t>
        </is>
      </c>
      <c r="G349" t="n">
        <v>8</v>
      </c>
      <c r="H349" t="n">
        <v>0</v>
      </c>
      <c r="I349" t="n">
        <v>0</v>
      </c>
      <c r="J349" t="n">
        <v>0</v>
      </c>
      <c r="K349" t="n">
        <v>0</v>
      </c>
      <c r="L349" t="n">
        <v>0</v>
      </c>
      <c r="M349" t="n">
        <v>0</v>
      </c>
      <c r="N349" t="n">
        <v>0</v>
      </c>
      <c r="O349" t="n">
        <v>0</v>
      </c>
      <c r="P349" t="n">
        <v>0</v>
      </c>
      <c r="Q349" t="n">
        <v>0</v>
      </c>
      <c r="R349" s="2" t="inlineStr"/>
    </row>
    <row r="350" ht="15" customHeight="1">
      <c r="A350" t="inlineStr">
        <is>
          <t>A 22384-2025</t>
        </is>
      </c>
      <c r="B350" s="1" t="n">
        <v>45786</v>
      </c>
      <c r="C350" s="1" t="n">
        <v>45892</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61256-2022</t>
        </is>
      </c>
      <c r="B351" s="1" t="n">
        <v>44909</v>
      </c>
      <c r="C351" s="1" t="n">
        <v>45892</v>
      </c>
      <c r="D351" t="inlineStr">
        <is>
          <t>JÄMTLANDS LÄN</t>
        </is>
      </c>
      <c r="E351" t="inlineStr">
        <is>
          <t>ÖSTERSUND</t>
        </is>
      </c>
      <c r="G351" t="n">
        <v>3.9</v>
      </c>
      <c r="H351" t="n">
        <v>0</v>
      </c>
      <c r="I351" t="n">
        <v>0</v>
      </c>
      <c r="J351" t="n">
        <v>0</v>
      </c>
      <c r="K351" t="n">
        <v>0</v>
      </c>
      <c r="L351" t="n">
        <v>0</v>
      </c>
      <c r="M351" t="n">
        <v>0</v>
      </c>
      <c r="N351" t="n">
        <v>0</v>
      </c>
      <c r="O351" t="n">
        <v>0</v>
      </c>
      <c r="P351" t="n">
        <v>0</v>
      </c>
      <c r="Q351" t="n">
        <v>0</v>
      </c>
      <c r="R351" s="2" t="inlineStr"/>
    </row>
    <row r="352" ht="15" customHeight="1">
      <c r="A352" t="inlineStr">
        <is>
          <t>A 23249-2025</t>
        </is>
      </c>
      <c r="B352" s="1" t="n">
        <v>45791</v>
      </c>
      <c r="C352" s="1" t="n">
        <v>45892</v>
      </c>
      <c r="D352" t="inlineStr">
        <is>
          <t>JÄMTLANDS LÄN</t>
        </is>
      </c>
      <c r="E352" t="inlineStr">
        <is>
          <t>ÖSTERSUND</t>
        </is>
      </c>
      <c r="G352" t="n">
        <v>10</v>
      </c>
      <c r="H352" t="n">
        <v>0</v>
      </c>
      <c r="I352" t="n">
        <v>0</v>
      </c>
      <c r="J352" t="n">
        <v>0</v>
      </c>
      <c r="K352" t="n">
        <v>0</v>
      </c>
      <c r="L352" t="n">
        <v>0</v>
      </c>
      <c r="M352" t="n">
        <v>0</v>
      </c>
      <c r="N352" t="n">
        <v>0</v>
      </c>
      <c r="O352" t="n">
        <v>0</v>
      </c>
      <c r="P352" t="n">
        <v>0</v>
      </c>
      <c r="Q352" t="n">
        <v>0</v>
      </c>
      <c r="R352" s="2" t="inlineStr"/>
    </row>
    <row r="353" ht="15" customHeight="1">
      <c r="A353" t="inlineStr">
        <is>
          <t>A 7938-2025</t>
        </is>
      </c>
      <c r="B353" s="1" t="n">
        <v>45707</v>
      </c>
      <c r="C353" s="1" t="n">
        <v>45892</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45892</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22952-2025</t>
        </is>
      </c>
      <c r="B355" s="1" t="n">
        <v>45790.51074074074</v>
      </c>
      <c r="C355" s="1" t="n">
        <v>45892</v>
      </c>
      <c r="D355" t="inlineStr">
        <is>
          <t>JÄMTLANDS LÄN</t>
        </is>
      </c>
      <c r="E355" t="inlineStr">
        <is>
          <t>ÖSTERSUND</t>
        </is>
      </c>
      <c r="F355" t="inlineStr">
        <is>
          <t>SCA</t>
        </is>
      </c>
      <c r="G355" t="n">
        <v>4.6</v>
      </c>
      <c r="H355" t="n">
        <v>0</v>
      </c>
      <c r="I355" t="n">
        <v>0</v>
      </c>
      <c r="J355" t="n">
        <v>0</v>
      </c>
      <c r="K355" t="n">
        <v>0</v>
      </c>
      <c r="L355" t="n">
        <v>0</v>
      </c>
      <c r="M355" t="n">
        <v>0</v>
      </c>
      <c r="N355" t="n">
        <v>0</v>
      </c>
      <c r="O355" t="n">
        <v>0</v>
      </c>
      <c r="P355" t="n">
        <v>0</v>
      </c>
      <c r="Q355" t="n">
        <v>0</v>
      </c>
      <c r="R355" s="2" t="inlineStr"/>
      <c r="U355">
        <f>HYPERLINK("https://klasma.github.io/Logging_2380/knärot/A 22952-2025 karta knärot.png", "A 22952-2025")</f>
        <v/>
      </c>
      <c r="V355">
        <f>HYPERLINK("https://klasma.github.io/Logging_2380/klagomål/A 22952-2025 FSC-klagomål.docx", "A 22952-2025")</f>
        <v/>
      </c>
      <c r="W355">
        <f>HYPERLINK("https://klasma.github.io/Logging_2380/klagomålsmail/A 22952-2025 FSC-klagomål mail.docx", "A 22952-2025")</f>
        <v/>
      </c>
      <c r="X355">
        <f>HYPERLINK("https://klasma.github.io/Logging_2380/tillsyn/A 22952-2025 tillsynsbegäran.docx", "A 22952-2025")</f>
        <v/>
      </c>
      <c r="Y355">
        <f>HYPERLINK("https://klasma.github.io/Logging_2380/tillsynsmail/A 22952-2025 tillsynsbegäran mail.docx", "A 22952-2025")</f>
        <v/>
      </c>
    </row>
    <row r="356" ht="15" customHeight="1">
      <c r="A356" t="inlineStr">
        <is>
          <t>A 55302-2021</t>
        </is>
      </c>
      <c r="B356" s="1" t="n">
        <v>44475</v>
      </c>
      <c r="C356" s="1" t="n">
        <v>45892</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61376-2024</t>
        </is>
      </c>
      <c r="B357" s="1" t="n">
        <v>45646.39434027778</v>
      </c>
      <c r="C357" s="1" t="n">
        <v>45892</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23100-2025</t>
        </is>
      </c>
      <c r="B358" s="1" t="n">
        <v>45791.35212962963</v>
      </c>
      <c r="C358" s="1" t="n">
        <v>45892</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23110-2025</t>
        </is>
      </c>
      <c r="B359" s="1" t="n">
        <v>45791.36526620371</v>
      </c>
      <c r="C359" s="1" t="n">
        <v>45892</v>
      </c>
      <c r="D359" t="inlineStr">
        <is>
          <t>JÄMTLANDS LÄN</t>
        </is>
      </c>
      <c r="E359" t="inlineStr">
        <is>
          <t>ÖSTERSUND</t>
        </is>
      </c>
      <c r="G359" t="n">
        <v>1</v>
      </c>
      <c r="H359" t="n">
        <v>0</v>
      </c>
      <c r="I359" t="n">
        <v>0</v>
      </c>
      <c r="J359" t="n">
        <v>0</v>
      </c>
      <c r="K359" t="n">
        <v>0</v>
      </c>
      <c r="L359" t="n">
        <v>0</v>
      </c>
      <c r="M359" t="n">
        <v>0</v>
      </c>
      <c r="N359" t="n">
        <v>0</v>
      </c>
      <c r="O359" t="n">
        <v>0</v>
      </c>
      <c r="P359" t="n">
        <v>0</v>
      </c>
      <c r="Q359" t="n">
        <v>0</v>
      </c>
      <c r="R359" s="2" t="inlineStr"/>
    </row>
    <row r="360" ht="15" customHeight="1">
      <c r="A360" t="inlineStr">
        <is>
          <t>A 56847-2024</t>
        </is>
      </c>
      <c r="B360" s="1" t="n">
        <v>45628.53381944444</v>
      </c>
      <c r="C360" s="1" t="n">
        <v>45892</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22920-2025</t>
        </is>
      </c>
      <c r="B361" s="1" t="n">
        <v>45790.43905092592</v>
      </c>
      <c r="C361" s="1" t="n">
        <v>45892</v>
      </c>
      <c r="D361" t="inlineStr">
        <is>
          <t>JÄMTLANDS LÄN</t>
        </is>
      </c>
      <c r="E361" t="inlineStr">
        <is>
          <t>ÖSTERSUND</t>
        </is>
      </c>
      <c r="G361" t="n">
        <v>0.4</v>
      </c>
      <c r="H361" t="n">
        <v>0</v>
      </c>
      <c r="I361" t="n">
        <v>0</v>
      </c>
      <c r="J361" t="n">
        <v>0</v>
      </c>
      <c r="K361" t="n">
        <v>0</v>
      </c>
      <c r="L361" t="n">
        <v>0</v>
      </c>
      <c r="M361" t="n">
        <v>0</v>
      </c>
      <c r="N361" t="n">
        <v>0</v>
      </c>
      <c r="O361" t="n">
        <v>0</v>
      </c>
      <c r="P361" t="n">
        <v>0</v>
      </c>
      <c r="Q361" t="n">
        <v>0</v>
      </c>
      <c r="R361" s="2" t="inlineStr"/>
    </row>
    <row r="362" ht="15" customHeight="1">
      <c r="A362" t="inlineStr">
        <is>
          <t>A 23078-2025</t>
        </is>
      </c>
      <c r="B362" s="1" t="n">
        <v>45791.27984953704</v>
      </c>
      <c r="C362" s="1" t="n">
        <v>45892</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19323-2024</t>
        </is>
      </c>
      <c r="B363" s="1" t="n">
        <v>45428.92486111111</v>
      </c>
      <c r="C363" s="1" t="n">
        <v>45892</v>
      </c>
      <c r="D363" t="inlineStr">
        <is>
          <t>JÄMTLANDS LÄN</t>
        </is>
      </c>
      <c r="E363" t="inlineStr">
        <is>
          <t>ÖSTERSUND</t>
        </is>
      </c>
      <c r="F363" t="inlineStr">
        <is>
          <t>Kommuner</t>
        </is>
      </c>
      <c r="G363" t="n">
        <v>0.2</v>
      </c>
      <c r="H363" t="n">
        <v>0</v>
      </c>
      <c r="I363" t="n">
        <v>0</v>
      </c>
      <c r="J363" t="n">
        <v>0</v>
      </c>
      <c r="K363" t="n">
        <v>0</v>
      </c>
      <c r="L363" t="n">
        <v>0</v>
      </c>
      <c r="M363" t="n">
        <v>0</v>
      </c>
      <c r="N363" t="n">
        <v>0</v>
      </c>
      <c r="O363" t="n">
        <v>0</v>
      </c>
      <c r="P363" t="n">
        <v>0</v>
      </c>
      <c r="Q363" t="n">
        <v>0</v>
      </c>
      <c r="R363" s="2" t="inlineStr"/>
    </row>
    <row r="364" ht="15" customHeight="1">
      <c r="A364" t="inlineStr">
        <is>
          <t>A 7005-2025</t>
        </is>
      </c>
      <c r="B364" s="1" t="n">
        <v>45701.60046296296</v>
      </c>
      <c r="C364" s="1" t="n">
        <v>45892</v>
      </c>
      <c r="D364" t="inlineStr">
        <is>
          <t>JÄMTLANDS LÄN</t>
        </is>
      </c>
      <c r="E364" t="inlineStr">
        <is>
          <t>ÖSTERSUND</t>
        </is>
      </c>
      <c r="G364" t="n">
        <v>3.3</v>
      </c>
      <c r="H364" t="n">
        <v>0</v>
      </c>
      <c r="I364" t="n">
        <v>0</v>
      </c>
      <c r="J364" t="n">
        <v>0</v>
      </c>
      <c r="K364" t="n">
        <v>0</v>
      </c>
      <c r="L364" t="n">
        <v>0</v>
      </c>
      <c r="M364" t="n">
        <v>0</v>
      </c>
      <c r="N364" t="n">
        <v>0</v>
      </c>
      <c r="O364" t="n">
        <v>0</v>
      </c>
      <c r="P364" t="n">
        <v>0</v>
      </c>
      <c r="Q364" t="n">
        <v>0</v>
      </c>
      <c r="R364" s="2" t="inlineStr"/>
    </row>
    <row r="365" ht="15" customHeight="1">
      <c r="A365" t="inlineStr">
        <is>
          <t>A 69190-2021</t>
        </is>
      </c>
      <c r="B365" s="1" t="n">
        <v>44529</v>
      </c>
      <c r="C365" s="1" t="n">
        <v>45892</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11182-2025</t>
        </is>
      </c>
      <c r="B366" s="1" t="n">
        <v>45725.44297453704</v>
      </c>
      <c r="C366" s="1" t="n">
        <v>45892</v>
      </c>
      <c r="D366" t="inlineStr">
        <is>
          <t>JÄMTLANDS LÄN</t>
        </is>
      </c>
      <c r="E366" t="inlineStr">
        <is>
          <t>ÖSTERSUND</t>
        </is>
      </c>
      <c r="G366" t="n">
        <v>3.3</v>
      </c>
      <c r="H366" t="n">
        <v>0</v>
      </c>
      <c r="I366" t="n">
        <v>0</v>
      </c>
      <c r="J366" t="n">
        <v>0</v>
      </c>
      <c r="K366" t="n">
        <v>0</v>
      </c>
      <c r="L366" t="n">
        <v>0</v>
      </c>
      <c r="M366" t="n">
        <v>0</v>
      </c>
      <c r="N366" t="n">
        <v>0</v>
      </c>
      <c r="O366" t="n">
        <v>0</v>
      </c>
      <c r="P366" t="n">
        <v>0</v>
      </c>
      <c r="Q366" t="n">
        <v>0</v>
      </c>
      <c r="R366" s="2" t="inlineStr"/>
    </row>
    <row r="367" ht="15" customHeight="1">
      <c r="A367" t="inlineStr">
        <is>
          <t>A 27294-2023</t>
        </is>
      </c>
      <c r="B367" s="1" t="n">
        <v>45092</v>
      </c>
      <c r="C367" s="1" t="n">
        <v>45892</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8389-2025</t>
        </is>
      </c>
      <c r="B368" s="1" t="n">
        <v>45709.36497685185</v>
      </c>
      <c r="C368" s="1" t="n">
        <v>45892</v>
      </c>
      <c r="D368" t="inlineStr">
        <is>
          <t>JÄMTLANDS LÄN</t>
        </is>
      </c>
      <c r="E368" t="inlineStr">
        <is>
          <t>ÖSTERSUND</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23877-2025</t>
        </is>
      </c>
      <c r="B369" s="1" t="n">
        <v>45793.68469907407</v>
      </c>
      <c r="C369" s="1" t="n">
        <v>45892</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45892</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53378-2023</t>
        </is>
      </c>
      <c r="B371" s="1" t="n">
        <v>45223</v>
      </c>
      <c r="C371" s="1" t="n">
        <v>45892</v>
      </c>
      <c r="D371" t="inlineStr">
        <is>
          <t>JÄMTLANDS LÄN</t>
        </is>
      </c>
      <c r="E371" t="inlineStr">
        <is>
          <t>ÖSTERSUND</t>
        </is>
      </c>
      <c r="G371" t="n">
        <v>1.5</v>
      </c>
      <c r="H371" t="n">
        <v>0</v>
      </c>
      <c r="I371" t="n">
        <v>0</v>
      </c>
      <c r="J371" t="n">
        <v>0</v>
      </c>
      <c r="K371" t="n">
        <v>0</v>
      </c>
      <c r="L371" t="n">
        <v>0</v>
      </c>
      <c r="M371" t="n">
        <v>0</v>
      </c>
      <c r="N371" t="n">
        <v>0</v>
      </c>
      <c r="O371" t="n">
        <v>0</v>
      </c>
      <c r="P371" t="n">
        <v>0</v>
      </c>
      <c r="Q371" t="n">
        <v>0</v>
      </c>
      <c r="R371" s="2" t="inlineStr"/>
    </row>
    <row r="372" ht="15" customHeight="1">
      <c r="A372" t="inlineStr">
        <is>
          <t>A 16908-2025</t>
        </is>
      </c>
      <c r="B372" s="1" t="n">
        <v>45755.35107638889</v>
      </c>
      <c r="C372" s="1" t="n">
        <v>45892</v>
      </c>
      <c r="D372" t="inlineStr">
        <is>
          <t>JÄMTLANDS LÄN</t>
        </is>
      </c>
      <c r="E372" t="inlineStr">
        <is>
          <t>ÖSTERSUND</t>
        </is>
      </c>
      <c r="G372" t="n">
        <v>8.6</v>
      </c>
      <c r="H372" t="n">
        <v>0</v>
      </c>
      <c r="I372" t="n">
        <v>0</v>
      </c>
      <c r="J372" t="n">
        <v>0</v>
      </c>
      <c r="K372" t="n">
        <v>0</v>
      </c>
      <c r="L372" t="n">
        <v>0</v>
      </c>
      <c r="M372" t="n">
        <v>0</v>
      </c>
      <c r="N372" t="n">
        <v>0</v>
      </c>
      <c r="O372" t="n">
        <v>0</v>
      </c>
      <c r="P372" t="n">
        <v>0</v>
      </c>
      <c r="Q372" t="n">
        <v>0</v>
      </c>
      <c r="R372" s="2" t="inlineStr"/>
    </row>
    <row r="373" ht="15" customHeight="1">
      <c r="A373" t="inlineStr">
        <is>
          <t>A 17570-2025</t>
        </is>
      </c>
      <c r="B373" s="1" t="n">
        <v>45757.64563657407</v>
      </c>
      <c r="C373" s="1" t="n">
        <v>45892</v>
      </c>
      <c r="D373" t="inlineStr">
        <is>
          <t>JÄMTLANDS LÄN</t>
        </is>
      </c>
      <c r="E373" t="inlineStr">
        <is>
          <t>ÖSTERSUND</t>
        </is>
      </c>
      <c r="G373" t="n">
        <v>2.4</v>
      </c>
      <c r="H373" t="n">
        <v>0</v>
      </c>
      <c r="I373" t="n">
        <v>0</v>
      </c>
      <c r="J373" t="n">
        <v>0</v>
      </c>
      <c r="K373" t="n">
        <v>0</v>
      </c>
      <c r="L373" t="n">
        <v>0</v>
      </c>
      <c r="M373" t="n">
        <v>0</v>
      </c>
      <c r="N373" t="n">
        <v>0</v>
      </c>
      <c r="O373" t="n">
        <v>0</v>
      </c>
      <c r="P373" t="n">
        <v>0</v>
      </c>
      <c r="Q373" t="n">
        <v>0</v>
      </c>
      <c r="R373" s="2" t="inlineStr"/>
    </row>
    <row r="374" ht="15" customHeight="1">
      <c r="A374" t="inlineStr">
        <is>
          <t>A 24368-2025</t>
        </is>
      </c>
      <c r="B374" s="1" t="n">
        <v>45797.60623842593</v>
      </c>
      <c r="C374" s="1" t="n">
        <v>45892</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24403-2025</t>
        </is>
      </c>
      <c r="B375" s="1" t="n">
        <v>45797.65025462963</v>
      </c>
      <c r="C375" s="1" t="n">
        <v>45892</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41280-2024</t>
        </is>
      </c>
      <c r="B376" s="1" t="n">
        <v>45559.59476851852</v>
      </c>
      <c r="C376" s="1" t="n">
        <v>45892</v>
      </c>
      <c r="D376" t="inlineStr">
        <is>
          <t>JÄMTLANDS LÄN</t>
        </is>
      </c>
      <c r="E376" t="inlineStr">
        <is>
          <t>ÖSTERSUND</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24091-2025</t>
        </is>
      </c>
      <c r="B377" s="1" t="n">
        <v>45796.57071759259</v>
      </c>
      <c r="C377" s="1" t="n">
        <v>45892</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41780-2024</t>
        </is>
      </c>
      <c r="B378" s="1" t="n">
        <v>45561.34908564815</v>
      </c>
      <c r="C378" s="1" t="n">
        <v>45892</v>
      </c>
      <c r="D378" t="inlineStr">
        <is>
          <t>JÄMTLANDS LÄN</t>
        </is>
      </c>
      <c r="E378" t="inlineStr">
        <is>
          <t>ÖSTERSUND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24568-2025</t>
        </is>
      </c>
      <c r="B379" s="1" t="n">
        <v>45798.46913194445</v>
      </c>
      <c r="C379" s="1" t="n">
        <v>45892</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24523-2025</t>
        </is>
      </c>
      <c r="B380" s="1" t="n">
        <v>45798.42108796296</v>
      </c>
      <c r="C380" s="1" t="n">
        <v>45892</v>
      </c>
      <c r="D380" t="inlineStr">
        <is>
          <t>JÄMTLANDS LÄN</t>
        </is>
      </c>
      <c r="E380" t="inlineStr">
        <is>
          <t>ÖSTERSUND</t>
        </is>
      </c>
      <c r="G380" t="n">
        <v>13.7</v>
      </c>
      <c r="H380" t="n">
        <v>0</v>
      </c>
      <c r="I380" t="n">
        <v>0</v>
      </c>
      <c r="J380" t="n">
        <v>0</v>
      </c>
      <c r="K380" t="n">
        <v>0</v>
      </c>
      <c r="L380" t="n">
        <v>0</v>
      </c>
      <c r="M380" t="n">
        <v>0</v>
      </c>
      <c r="N380" t="n">
        <v>0</v>
      </c>
      <c r="O380" t="n">
        <v>0</v>
      </c>
      <c r="P380" t="n">
        <v>0</v>
      </c>
      <c r="Q380" t="n">
        <v>0</v>
      </c>
      <c r="R380" s="2" t="inlineStr"/>
    </row>
    <row r="381" ht="15" customHeight="1">
      <c r="A381" t="inlineStr">
        <is>
          <t>A 12429-2025</t>
        </is>
      </c>
      <c r="B381" s="1" t="n">
        <v>45730.45930555555</v>
      </c>
      <c r="C381" s="1" t="n">
        <v>45892</v>
      </c>
      <c r="D381" t="inlineStr">
        <is>
          <t>JÄMTLANDS LÄN</t>
        </is>
      </c>
      <c r="E381" t="inlineStr">
        <is>
          <t>ÖSTERSUND</t>
        </is>
      </c>
      <c r="F381" t="inlineStr">
        <is>
          <t>Övriga Aktiebolag</t>
        </is>
      </c>
      <c r="G381" t="n">
        <v>4.4</v>
      </c>
      <c r="H381" t="n">
        <v>0</v>
      </c>
      <c r="I381" t="n">
        <v>0</v>
      </c>
      <c r="J381" t="n">
        <v>0</v>
      </c>
      <c r="K381" t="n">
        <v>0</v>
      </c>
      <c r="L381" t="n">
        <v>0</v>
      </c>
      <c r="M381" t="n">
        <v>0</v>
      </c>
      <c r="N381" t="n">
        <v>0</v>
      </c>
      <c r="O381" t="n">
        <v>0</v>
      </c>
      <c r="P381" t="n">
        <v>0</v>
      </c>
      <c r="Q381" t="n">
        <v>0</v>
      </c>
      <c r="R381" s="2" t="inlineStr"/>
    </row>
    <row r="382" ht="15" customHeight="1">
      <c r="A382" t="inlineStr">
        <is>
          <t>A 25058-2025</t>
        </is>
      </c>
      <c r="B382" s="1" t="n">
        <v>45799.68418981481</v>
      </c>
      <c r="C382" s="1" t="n">
        <v>45892</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53176-2024</t>
        </is>
      </c>
      <c r="B383" s="1" t="n">
        <v>45611.66655092593</v>
      </c>
      <c r="C383" s="1" t="n">
        <v>45892</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27343-2022</t>
        </is>
      </c>
      <c r="B384" s="1" t="n">
        <v>44742</v>
      </c>
      <c r="C384" s="1" t="n">
        <v>45892</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7022-2025</t>
        </is>
      </c>
      <c r="B385" s="1" t="n">
        <v>45701.61899305556</v>
      </c>
      <c r="C385" s="1" t="n">
        <v>45892</v>
      </c>
      <c r="D385" t="inlineStr">
        <is>
          <t>JÄMTLANDS LÄN</t>
        </is>
      </c>
      <c r="E385" t="inlineStr">
        <is>
          <t>ÖSTERSUND</t>
        </is>
      </c>
      <c r="G385" t="n">
        <v>4.8</v>
      </c>
      <c r="H385" t="n">
        <v>0</v>
      </c>
      <c r="I385" t="n">
        <v>0</v>
      </c>
      <c r="J385" t="n">
        <v>0</v>
      </c>
      <c r="K385" t="n">
        <v>0</v>
      </c>
      <c r="L385" t="n">
        <v>0</v>
      </c>
      <c r="M385" t="n">
        <v>0</v>
      </c>
      <c r="N385" t="n">
        <v>0</v>
      </c>
      <c r="O385" t="n">
        <v>0</v>
      </c>
      <c r="P385" t="n">
        <v>0</v>
      </c>
      <c r="Q385" t="n">
        <v>0</v>
      </c>
      <c r="R385" s="2" t="inlineStr"/>
    </row>
    <row r="386" ht="15" customHeight="1">
      <c r="A386" t="inlineStr">
        <is>
          <t>A 46732-2024</t>
        </is>
      </c>
      <c r="B386" s="1" t="n">
        <v>45583.46936342592</v>
      </c>
      <c r="C386" s="1" t="n">
        <v>45892</v>
      </c>
      <c r="D386" t="inlineStr">
        <is>
          <t>JÄMTLANDS LÄN</t>
        </is>
      </c>
      <c r="E386" t="inlineStr">
        <is>
          <t>ÖSTERSUND</t>
        </is>
      </c>
      <c r="G386" t="n">
        <v>3.3</v>
      </c>
      <c r="H386" t="n">
        <v>0</v>
      </c>
      <c r="I386" t="n">
        <v>0</v>
      </c>
      <c r="J386" t="n">
        <v>0</v>
      </c>
      <c r="K386" t="n">
        <v>0</v>
      </c>
      <c r="L386" t="n">
        <v>0</v>
      </c>
      <c r="M386" t="n">
        <v>0</v>
      </c>
      <c r="N386" t="n">
        <v>0</v>
      </c>
      <c r="O386" t="n">
        <v>0</v>
      </c>
      <c r="P386" t="n">
        <v>0</v>
      </c>
      <c r="Q386" t="n">
        <v>0</v>
      </c>
      <c r="R386" s="2" t="inlineStr"/>
    </row>
    <row r="387" ht="15" customHeight="1">
      <c r="A387" t="inlineStr">
        <is>
          <t>A 19581-2025</t>
        </is>
      </c>
      <c r="B387" s="1" t="n">
        <v>45770.56363425926</v>
      </c>
      <c r="C387" s="1" t="n">
        <v>45892</v>
      </c>
      <c r="D387" t="inlineStr">
        <is>
          <t>JÄMTLANDS LÄN</t>
        </is>
      </c>
      <c r="E387" t="inlineStr">
        <is>
          <t>ÖSTERSUND</t>
        </is>
      </c>
      <c r="G387" t="n">
        <v>17.2</v>
      </c>
      <c r="H387" t="n">
        <v>0</v>
      </c>
      <c r="I387" t="n">
        <v>0</v>
      </c>
      <c r="J387" t="n">
        <v>0</v>
      </c>
      <c r="K387" t="n">
        <v>0</v>
      </c>
      <c r="L387" t="n">
        <v>0</v>
      </c>
      <c r="M387" t="n">
        <v>0</v>
      </c>
      <c r="N387" t="n">
        <v>0</v>
      </c>
      <c r="O387" t="n">
        <v>0</v>
      </c>
      <c r="P387" t="n">
        <v>0</v>
      </c>
      <c r="Q387" t="n">
        <v>0</v>
      </c>
      <c r="R387" s="2" t="inlineStr"/>
    </row>
    <row r="388" ht="15" customHeight="1">
      <c r="A388" t="inlineStr">
        <is>
          <t>A 62111-2024</t>
        </is>
      </c>
      <c r="B388" s="1" t="n">
        <v>45656.53215277778</v>
      </c>
      <c r="C388" s="1" t="n">
        <v>45892</v>
      </c>
      <c r="D388" t="inlineStr">
        <is>
          <t>JÄMTLANDS LÄN</t>
        </is>
      </c>
      <c r="E388" t="inlineStr">
        <is>
          <t>ÖSTERSUND</t>
        </is>
      </c>
      <c r="G388" t="n">
        <v>3.4</v>
      </c>
      <c r="H388" t="n">
        <v>0</v>
      </c>
      <c r="I388" t="n">
        <v>0</v>
      </c>
      <c r="J388" t="n">
        <v>0</v>
      </c>
      <c r="K388" t="n">
        <v>0</v>
      </c>
      <c r="L388" t="n">
        <v>0</v>
      </c>
      <c r="M388" t="n">
        <v>0</v>
      </c>
      <c r="N388" t="n">
        <v>0</v>
      </c>
      <c r="O388" t="n">
        <v>0</v>
      </c>
      <c r="P388" t="n">
        <v>0</v>
      </c>
      <c r="Q388" t="n">
        <v>0</v>
      </c>
      <c r="R388" s="2" t="inlineStr"/>
    </row>
    <row r="389" ht="15" customHeight="1">
      <c r="A389" t="inlineStr">
        <is>
          <t>A 14653-2022</t>
        </is>
      </c>
      <c r="B389" s="1" t="n">
        <v>44655.69303240741</v>
      </c>
      <c r="C389" s="1" t="n">
        <v>45892</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25069-2025</t>
        </is>
      </c>
      <c r="B390" s="1" t="n">
        <v>45799.7372337963</v>
      </c>
      <c r="C390" s="1" t="n">
        <v>45892</v>
      </c>
      <c r="D390" t="inlineStr">
        <is>
          <t>JÄMTLANDS LÄN</t>
        </is>
      </c>
      <c r="E390" t="inlineStr">
        <is>
          <t>ÖSTERSUND</t>
        </is>
      </c>
      <c r="G390" t="n">
        <v>3.5</v>
      </c>
      <c r="H390" t="n">
        <v>0</v>
      </c>
      <c r="I390" t="n">
        <v>0</v>
      </c>
      <c r="J390" t="n">
        <v>0</v>
      </c>
      <c r="K390" t="n">
        <v>0</v>
      </c>
      <c r="L390" t="n">
        <v>0</v>
      </c>
      <c r="M390" t="n">
        <v>0</v>
      </c>
      <c r="N390" t="n">
        <v>0</v>
      </c>
      <c r="O390" t="n">
        <v>0</v>
      </c>
      <c r="P390" t="n">
        <v>0</v>
      </c>
      <c r="Q390" t="n">
        <v>0</v>
      </c>
      <c r="R390" s="2" t="inlineStr"/>
    </row>
    <row r="391" ht="15" customHeight="1">
      <c r="A391" t="inlineStr">
        <is>
          <t>A 24312-2021</t>
        </is>
      </c>
      <c r="B391" s="1" t="n">
        <v>44336</v>
      </c>
      <c r="C391" s="1" t="n">
        <v>45892</v>
      </c>
      <c r="D391" t="inlineStr">
        <is>
          <t>JÄMTLANDS LÄN</t>
        </is>
      </c>
      <c r="E391" t="inlineStr">
        <is>
          <t>ÖSTERSUND</t>
        </is>
      </c>
      <c r="G391" t="n">
        <v>10.6</v>
      </c>
      <c r="H391" t="n">
        <v>0</v>
      </c>
      <c r="I391" t="n">
        <v>0</v>
      </c>
      <c r="J391" t="n">
        <v>0</v>
      </c>
      <c r="K391" t="n">
        <v>0</v>
      </c>
      <c r="L391" t="n">
        <v>0</v>
      </c>
      <c r="M391" t="n">
        <v>0</v>
      </c>
      <c r="N391" t="n">
        <v>0</v>
      </c>
      <c r="O391" t="n">
        <v>0</v>
      </c>
      <c r="P391" t="n">
        <v>0</v>
      </c>
      <c r="Q391" t="n">
        <v>0</v>
      </c>
      <c r="R391" s="2" t="inlineStr"/>
    </row>
    <row r="392" ht="15" customHeight="1">
      <c r="A392" t="inlineStr">
        <is>
          <t>A 24946-2025</t>
        </is>
      </c>
      <c r="B392" s="1" t="n">
        <v>45799.56515046296</v>
      </c>
      <c r="C392" s="1" t="n">
        <v>45892</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38926-2024</t>
        </is>
      </c>
      <c r="B393" s="1" t="n">
        <v>45547.90777777778</v>
      </c>
      <c r="C393" s="1" t="n">
        <v>45892</v>
      </c>
      <c r="D393" t="inlineStr">
        <is>
          <t>JÄMTLANDS LÄN</t>
        </is>
      </c>
      <c r="E393" t="inlineStr">
        <is>
          <t>ÖSTERSUND</t>
        </is>
      </c>
      <c r="G393" t="n">
        <v>0.4</v>
      </c>
      <c r="H393" t="n">
        <v>0</v>
      </c>
      <c r="I393" t="n">
        <v>0</v>
      </c>
      <c r="J393" t="n">
        <v>0</v>
      </c>
      <c r="K393" t="n">
        <v>0</v>
      </c>
      <c r="L393" t="n">
        <v>0</v>
      </c>
      <c r="M393" t="n">
        <v>0</v>
      </c>
      <c r="N393" t="n">
        <v>0</v>
      </c>
      <c r="O393" t="n">
        <v>0</v>
      </c>
      <c r="P393" t="n">
        <v>0</v>
      </c>
      <c r="Q393" t="n">
        <v>0</v>
      </c>
      <c r="R393" s="2" t="inlineStr"/>
    </row>
    <row r="394" ht="15" customHeight="1">
      <c r="A394" t="inlineStr">
        <is>
          <t>A 25059-2025</t>
        </is>
      </c>
      <c r="B394" s="1" t="n">
        <v>45799.69116898148</v>
      </c>
      <c r="C394" s="1" t="n">
        <v>45892</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24725-2025</t>
        </is>
      </c>
      <c r="B395" s="1" t="n">
        <v>45799.3231712963</v>
      </c>
      <c r="C395" s="1" t="n">
        <v>45892</v>
      </c>
      <c r="D395" t="inlineStr">
        <is>
          <t>JÄMTLANDS LÄN</t>
        </is>
      </c>
      <c r="E395" t="inlineStr">
        <is>
          <t>ÖSTERSUND</t>
        </is>
      </c>
      <c r="G395" t="n">
        <v>0.9</v>
      </c>
      <c r="H395" t="n">
        <v>0</v>
      </c>
      <c r="I395" t="n">
        <v>0</v>
      </c>
      <c r="J395" t="n">
        <v>0</v>
      </c>
      <c r="K395" t="n">
        <v>0</v>
      </c>
      <c r="L395" t="n">
        <v>0</v>
      </c>
      <c r="M395" t="n">
        <v>0</v>
      </c>
      <c r="N395" t="n">
        <v>0</v>
      </c>
      <c r="O395" t="n">
        <v>0</v>
      </c>
      <c r="P395" t="n">
        <v>0</v>
      </c>
      <c r="Q395" t="n">
        <v>0</v>
      </c>
      <c r="R395" s="2" t="inlineStr"/>
    </row>
    <row r="396" ht="15" customHeight="1">
      <c r="A396" t="inlineStr">
        <is>
          <t>A 38335-2023</t>
        </is>
      </c>
      <c r="B396" s="1" t="n">
        <v>45161</v>
      </c>
      <c r="C396" s="1" t="n">
        <v>45892</v>
      </c>
      <c r="D396" t="inlineStr">
        <is>
          <t>JÄMTLANDS LÄN</t>
        </is>
      </c>
      <c r="E396" t="inlineStr">
        <is>
          <t>ÖSTERSUND</t>
        </is>
      </c>
      <c r="G396" t="n">
        <v>15.1</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45892</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7327-2023</t>
        </is>
      </c>
      <c r="B398" s="1" t="n">
        <v>44970.97871527778</v>
      </c>
      <c r="C398" s="1" t="n">
        <v>45892</v>
      </c>
      <c r="D398" t="inlineStr">
        <is>
          <t>JÄMTLANDS LÄN</t>
        </is>
      </c>
      <c r="E398" t="inlineStr">
        <is>
          <t>ÖSTERSUND</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25572-2025</t>
        </is>
      </c>
      <c r="B399" s="1" t="n">
        <v>45803</v>
      </c>
      <c r="C399" s="1" t="n">
        <v>45892</v>
      </c>
      <c r="D399" t="inlineStr">
        <is>
          <t>JÄMTLANDS LÄN</t>
        </is>
      </c>
      <c r="E399" t="inlineStr">
        <is>
          <t>ÖSTERSUND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49192-2024</t>
        </is>
      </c>
      <c r="B400" s="1" t="n">
        <v>45595.34762731481</v>
      </c>
      <c r="C400" s="1" t="n">
        <v>45892</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55064-2024</t>
        </is>
      </c>
      <c r="B401" s="1" t="n">
        <v>45621.41050925926</v>
      </c>
      <c r="C401" s="1" t="n">
        <v>45892</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41802-2021</t>
        </is>
      </c>
      <c r="B402" s="1" t="n">
        <v>44425</v>
      </c>
      <c r="C402" s="1" t="n">
        <v>45892</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25252-2025</t>
        </is>
      </c>
      <c r="B403" s="1" t="n">
        <v>45800.50355324074</v>
      </c>
      <c r="C403" s="1" t="n">
        <v>45892</v>
      </c>
      <c r="D403" t="inlineStr">
        <is>
          <t>JÄMTLANDS LÄN</t>
        </is>
      </c>
      <c r="E403" t="inlineStr">
        <is>
          <t>ÖSTERSUND</t>
        </is>
      </c>
      <c r="G403" t="n">
        <v>2.7</v>
      </c>
      <c r="H403" t="n">
        <v>0</v>
      </c>
      <c r="I403" t="n">
        <v>0</v>
      </c>
      <c r="J403" t="n">
        <v>0</v>
      </c>
      <c r="K403" t="n">
        <v>0</v>
      </c>
      <c r="L403" t="n">
        <v>0</v>
      </c>
      <c r="M403" t="n">
        <v>0</v>
      </c>
      <c r="N403" t="n">
        <v>0</v>
      </c>
      <c r="O403" t="n">
        <v>0</v>
      </c>
      <c r="P403" t="n">
        <v>0</v>
      </c>
      <c r="Q403" t="n">
        <v>0</v>
      </c>
      <c r="R403" s="2" t="inlineStr"/>
    </row>
    <row r="404" ht="15" customHeight="1">
      <c r="A404" t="inlineStr">
        <is>
          <t>A 25228-2025</t>
        </is>
      </c>
      <c r="B404" s="1" t="n">
        <v>45800.48368055555</v>
      </c>
      <c r="C404" s="1" t="n">
        <v>45892</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25210-2025</t>
        </is>
      </c>
      <c r="B405" s="1" t="n">
        <v>45800.46960648148</v>
      </c>
      <c r="C405" s="1" t="n">
        <v>45892</v>
      </c>
      <c r="D405" t="inlineStr">
        <is>
          <t>JÄMTLANDS LÄN</t>
        </is>
      </c>
      <c r="E405" t="inlineStr">
        <is>
          <t>ÖSTERSUND</t>
        </is>
      </c>
      <c r="G405" t="n">
        <v>3.5</v>
      </c>
      <c r="H405" t="n">
        <v>0</v>
      </c>
      <c r="I405" t="n">
        <v>0</v>
      </c>
      <c r="J405" t="n">
        <v>0</v>
      </c>
      <c r="K405" t="n">
        <v>0</v>
      </c>
      <c r="L405" t="n">
        <v>0</v>
      </c>
      <c r="M405" t="n">
        <v>0</v>
      </c>
      <c r="N405" t="n">
        <v>0</v>
      </c>
      <c r="O405" t="n">
        <v>0</v>
      </c>
      <c r="P405" t="n">
        <v>0</v>
      </c>
      <c r="Q405" t="n">
        <v>0</v>
      </c>
      <c r="R405" s="2" t="inlineStr"/>
    </row>
    <row r="406" ht="15" customHeight="1">
      <c r="A406" t="inlineStr">
        <is>
          <t>A 25221-2025</t>
        </is>
      </c>
      <c r="B406" s="1" t="n">
        <v>45800.47802083333</v>
      </c>
      <c r="C406" s="1" t="n">
        <v>45892</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4063-2025</t>
        </is>
      </c>
      <c r="B407" s="1" t="n">
        <v>45684</v>
      </c>
      <c r="C407" s="1" t="n">
        <v>45892</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25995-2025</t>
        </is>
      </c>
      <c r="B408" s="1" t="n">
        <v>45804.656875</v>
      </c>
      <c r="C408" s="1" t="n">
        <v>45892</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26144-2025</t>
        </is>
      </c>
      <c r="B409" s="1" t="n">
        <v>45805.42827546296</v>
      </c>
      <c r="C409" s="1" t="n">
        <v>45892</v>
      </c>
      <c r="D409" t="inlineStr">
        <is>
          <t>JÄMTLANDS LÄN</t>
        </is>
      </c>
      <c r="E409" t="inlineStr">
        <is>
          <t>ÖSTERSUND</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25992-2025</t>
        </is>
      </c>
      <c r="B410" s="1" t="n">
        <v>45804.65659722222</v>
      </c>
      <c r="C410" s="1" t="n">
        <v>45892</v>
      </c>
      <c r="D410" t="inlineStr">
        <is>
          <t>JÄMTLANDS LÄN</t>
        </is>
      </c>
      <c r="E410" t="inlineStr">
        <is>
          <t>ÖSTERSUND</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47357-2024</t>
        </is>
      </c>
      <c r="B411" s="1" t="n">
        <v>45587.42835648148</v>
      </c>
      <c r="C411" s="1" t="n">
        <v>45892</v>
      </c>
      <c r="D411" t="inlineStr">
        <is>
          <t>JÄMTLANDS LÄN</t>
        </is>
      </c>
      <c r="E411" t="inlineStr">
        <is>
          <t>ÖSTERSUND</t>
        </is>
      </c>
      <c r="G411" t="n">
        <v>2.4</v>
      </c>
      <c r="H411" t="n">
        <v>0</v>
      </c>
      <c r="I411" t="n">
        <v>0</v>
      </c>
      <c r="J411" t="n">
        <v>0</v>
      </c>
      <c r="K411" t="n">
        <v>0</v>
      </c>
      <c r="L411" t="n">
        <v>0</v>
      </c>
      <c r="M411" t="n">
        <v>0</v>
      </c>
      <c r="N411" t="n">
        <v>0</v>
      </c>
      <c r="O411" t="n">
        <v>0</v>
      </c>
      <c r="P411" t="n">
        <v>0</v>
      </c>
      <c r="Q411" t="n">
        <v>0</v>
      </c>
      <c r="R411" s="2" t="inlineStr"/>
    </row>
    <row r="412" ht="15" customHeight="1">
      <c r="A412" t="inlineStr">
        <is>
          <t>A 7224-2024</t>
        </is>
      </c>
      <c r="B412" s="1" t="n">
        <v>45344</v>
      </c>
      <c r="C412" s="1" t="n">
        <v>45892</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25978-2025</t>
        </is>
      </c>
      <c r="B413" s="1" t="n">
        <v>45804.63628472222</v>
      </c>
      <c r="C413" s="1" t="n">
        <v>45892</v>
      </c>
      <c r="D413" t="inlineStr">
        <is>
          <t>JÄMTLANDS LÄN</t>
        </is>
      </c>
      <c r="E413" t="inlineStr">
        <is>
          <t>ÖSTERSUND</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45892</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26586-2025</t>
        </is>
      </c>
      <c r="B415" s="1" t="n">
        <v>45807.74140046296</v>
      </c>
      <c r="C415" s="1" t="n">
        <v>45892</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79-2025</t>
        </is>
      </c>
      <c r="B416" s="1" t="n">
        <v>45659.44413194444</v>
      </c>
      <c r="C416" s="1" t="n">
        <v>45892</v>
      </c>
      <c r="D416" t="inlineStr">
        <is>
          <t>JÄMTLANDS LÄN</t>
        </is>
      </c>
      <c r="E416" t="inlineStr">
        <is>
          <t>ÖSTERSUND</t>
        </is>
      </c>
      <c r="G416" t="n">
        <v>0.6</v>
      </c>
      <c r="H416" t="n">
        <v>0</v>
      </c>
      <c r="I416" t="n">
        <v>0</v>
      </c>
      <c r="J416" t="n">
        <v>0</v>
      </c>
      <c r="K416" t="n">
        <v>0</v>
      </c>
      <c r="L416" t="n">
        <v>0</v>
      </c>
      <c r="M416" t="n">
        <v>0</v>
      </c>
      <c r="N416" t="n">
        <v>0</v>
      </c>
      <c r="O416" t="n">
        <v>0</v>
      </c>
      <c r="P416" t="n">
        <v>0</v>
      </c>
      <c r="Q416" t="n">
        <v>0</v>
      </c>
      <c r="R416" s="2" t="inlineStr"/>
    </row>
    <row r="417" ht="15" customHeight="1">
      <c r="A417" t="inlineStr">
        <is>
          <t>A 26492-2025</t>
        </is>
      </c>
      <c r="B417" s="1" t="n">
        <v>45807</v>
      </c>
      <c r="C417" s="1" t="n">
        <v>45892</v>
      </c>
      <c r="D417" t="inlineStr">
        <is>
          <t>JÄMTLANDS LÄN</t>
        </is>
      </c>
      <c r="E417" t="inlineStr">
        <is>
          <t>ÖSTERSUND</t>
        </is>
      </c>
      <c r="G417" t="n">
        <v>7</v>
      </c>
      <c r="H417" t="n">
        <v>0</v>
      </c>
      <c r="I417" t="n">
        <v>0</v>
      </c>
      <c r="J417" t="n">
        <v>0</v>
      </c>
      <c r="K417" t="n">
        <v>0</v>
      </c>
      <c r="L417" t="n">
        <v>0</v>
      </c>
      <c r="M417" t="n">
        <v>0</v>
      </c>
      <c r="N417" t="n">
        <v>0</v>
      </c>
      <c r="O417" t="n">
        <v>0</v>
      </c>
      <c r="P417" t="n">
        <v>0</v>
      </c>
      <c r="Q417" t="n">
        <v>0</v>
      </c>
      <c r="R417" s="2" t="inlineStr"/>
    </row>
    <row r="418" ht="15" customHeight="1">
      <c r="A418" t="inlineStr">
        <is>
          <t>A 26500-2025</t>
        </is>
      </c>
      <c r="B418" s="1" t="n">
        <v>45807</v>
      </c>
      <c r="C418" s="1" t="n">
        <v>45892</v>
      </c>
      <c r="D418" t="inlineStr">
        <is>
          <t>JÄMTLANDS LÄN</t>
        </is>
      </c>
      <c r="E418" t="inlineStr">
        <is>
          <t>ÖSTERSUND</t>
        </is>
      </c>
      <c r="G418" t="n">
        <v>1.7</v>
      </c>
      <c r="H418" t="n">
        <v>0</v>
      </c>
      <c r="I418" t="n">
        <v>0</v>
      </c>
      <c r="J418" t="n">
        <v>0</v>
      </c>
      <c r="K418" t="n">
        <v>0</v>
      </c>
      <c r="L418" t="n">
        <v>0</v>
      </c>
      <c r="M418" t="n">
        <v>0</v>
      </c>
      <c r="N418" t="n">
        <v>0</v>
      </c>
      <c r="O418" t="n">
        <v>0</v>
      </c>
      <c r="P418" t="n">
        <v>0</v>
      </c>
      <c r="Q418" t="n">
        <v>0</v>
      </c>
      <c r="R418" s="2" t="inlineStr"/>
    </row>
    <row r="419" ht="15" customHeight="1">
      <c r="A419" t="inlineStr">
        <is>
          <t>A 44327-2023</t>
        </is>
      </c>
      <c r="B419" s="1" t="n">
        <v>45188</v>
      </c>
      <c r="C419" s="1" t="n">
        <v>45892</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5135-2025</t>
        </is>
      </c>
      <c r="B420" s="1" t="n">
        <v>45691</v>
      </c>
      <c r="C420" s="1" t="n">
        <v>45892</v>
      </c>
      <c r="D420" t="inlineStr">
        <is>
          <t>JÄMTLANDS LÄN</t>
        </is>
      </c>
      <c r="E420" t="inlineStr">
        <is>
          <t>ÖSTERSUND</t>
        </is>
      </c>
      <c r="F420" t="inlineStr">
        <is>
          <t>Övriga Aktiebolag</t>
        </is>
      </c>
      <c r="G420" t="n">
        <v>126.9</v>
      </c>
      <c r="H420" t="n">
        <v>0</v>
      </c>
      <c r="I420" t="n">
        <v>0</v>
      </c>
      <c r="J420" t="n">
        <v>0</v>
      </c>
      <c r="K420" t="n">
        <v>0</v>
      </c>
      <c r="L420" t="n">
        <v>0</v>
      </c>
      <c r="M420" t="n">
        <v>0</v>
      </c>
      <c r="N420" t="n">
        <v>0</v>
      </c>
      <c r="O420" t="n">
        <v>0</v>
      </c>
      <c r="P420" t="n">
        <v>0</v>
      </c>
      <c r="Q420" t="n">
        <v>0</v>
      </c>
      <c r="R420" s="2" t="inlineStr"/>
    </row>
    <row r="421" ht="15" customHeight="1">
      <c r="A421" t="inlineStr">
        <is>
          <t>A 62222-2022</t>
        </is>
      </c>
      <c r="B421" s="1" t="n">
        <v>44922</v>
      </c>
      <c r="C421" s="1" t="n">
        <v>45892</v>
      </c>
      <c r="D421" t="inlineStr">
        <is>
          <t>JÄMTLANDS LÄN</t>
        </is>
      </c>
      <c r="E421" t="inlineStr">
        <is>
          <t>ÖSTERSUND</t>
        </is>
      </c>
      <c r="G421" t="n">
        <v>4.1</v>
      </c>
      <c r="H421" t="n">
        <v>0</v>
      </c>
      <c r="I421" t="n">
        <v>0</v>
      </c>
      <c r="J421" t="n">
        <v>0</v>
      </c>
      <c r="K421" t="n">
        <v>0</v>
      </c>
      <c r="L421" t="n">
        <v>0</v>
      </c>
      <c r="M421" t="n">
        <v>0</v>
      </c>
      <c r="N421" t="n">
        <v>0</v>
      </c>
      <c r="O421" t="n">
        <v>0</v>
      </c>
      <c r="P421" t="n">
        <v>0</v>
      </c>
      <c r="Q421" t="n">
        <v>0</v>
      </c>
      <c r="R421" s="2" t="inlineStr"/>
    </row>
    <row r="422" ht="15" customHeight="1">
      <c r="A422" t="inlineStr">
        <is>
          <t>A 3610-2024</t>
        </is>
      </c>
      <c r="B422" s="1" t="n">
        <v>45320.92060185185</v>
      </c>
      <c r="C422" s="1" t="n">
        <v>45892</v>
      </c>
      <c r="D422" t="inlineStr">
        <is>
          <t>JÄMTLANDS LÄN</t>
        </is>
      </c>
      <c r="E422" t="inlineStr">
        <is>
          <t>ÖSTERSUND</t>
        </is>
      </c>
      <c r="G422" t="n">
        <v>6.2</v>
      </c>
      <c r="H422" t="n">
        <v>0</v>
      </c>
      <c r="I422" t="n">
        <v>0</v>
      </c>
      <c r="J422" t="n">
        <v>0</v>
      </c>
      <c r="K422" t="n">
        <v>0</v>
      </c>
      <c r="L422" t="n">
        <v>0</v>
      </c>
      <c r="M422" t="n">
        <v>0</v>
      </c>
      <c r="N422" t="n">
        <v>0</v>
      </c>
      <c r="O422" t="n">
        <v>0</v>
      </c>
      <c r="P422" t="n">
        <v>0</v>
      </c>
      <c r="Q422" t="n">
        <v>0</v>
      </c>
      <c r="R422" s="2" t="inlineStr"/>
    </row>
    <row r="423" ht="15" customHeight="1">
      <c r="A423" t="inlineStr">
        <is>
          <t>A 27034-2025</t>
        </is>
      </c>
      <c r="B423" s="1" t="n">
        <v>45811.59258101852</v>
      </c>
      <c r="C423" s="1" t="n">
        <v>45892</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7300-2025</t>
        </is>
      </c>
      <c r="B424" s="1" t="n">
        <v>45702.65655092592</v>
      </c>
      <c r="C424" s="1" t="n">
        <v>45892</v>
      </c>
      <c r="D424" t="inlineStr">
        <is>
          <t>JÄMTLANDS LÄN</t>
        </is>
      </c>
      <c r="E424" t="inlineStr">
        <is>
          <t>ÖSTERSUND</t>
        </is>
      </c>
      <c r="F424" t="inlineStr">
        <is>
          <t>SCA</t>
        </is>
      </c>
      <c r="G424" t="n">
        <v>10.4</v>
      </c>
      <c r="H424" t="n">
        <v>0</v>
      </c>
      <c r="I424" t="n">
        <v>0</v>
      </c>
      <c r="J424" t="n">
        <v>0</v>
      </c>
      <c r="K424" t="n">
        <v>0</v>
      </c>
      <c r="L424" t="n">
        <v>0</v>
      </c>
      <c r="M424" t="n">
        <v>0</v>
      </c>
      <c r="N424" t="n">
        <v>0</v>
      </c>
      <c r="O424" t="n">
        <v>0</v>
      </c>
      <c r="P424" t="n">
        <v>0</v>
      </c>
      <c r="Q424" t="n">
        <v>0</v>
      </c>
      <c r="R424" s="2" t="inlineStr"/>
    </row>
    <row r="425" ht="15" customHeight="1">
      <c r="A425" t="inlineStr">
        <is>
          <t>A 47804-2024</t>
        </is>
      </c>
      <c r="B425" s="1" t="n">
        <v>45588.61498842593</v>
      </c>
      <c r="C425" s="1" t="n">
        <v>45892</v>
      </c>
      <c r="D425" t="inlineStr">
        <is>
          <t>JÄMTLANDS LÄN</t>
        </is>
      </c>
      <c r="E425" t="inlineStr">
        <is>
          <t>ÖSTERSUND</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47805-2024</t>
        </is>
      </c>
      <c r="B426" s="1" t="n">
        <v>45588.61512731481</v>
      </c>
      <c r="C426" s="1" t="n">
        <v>45892</v>
      </c>
      <c r="D426" t="inlineStr">
        <is>
          <t>JÄMTLANDS LÄN</t>
        </is>
      </c>
      <c r="E426" t="inlineStr">
        <is>
          <t>ÖSTERSUND</t>
        </is>
      </c>
      <c r="G426" t="n">
        <v>7.4</v>
      </c>
      <c r="H426" t="n">
        <v>0</v>
      </c>
      <c r="I426" t="n">
        <v>0</v>
      </c>
      <c r="J426" t="n">
        <v>0</v>
      </c>
      <c r="K426" t="n">
        <v>0</v>
      </c>
      <c r="L426" t="n">
        <v>0</v>
      </c>
      <c r="M426" t="n">
        <v>0</v>
      </c>
      <c r="N426" t="n">
        <v>0</v>
      </c>
      <c r="O426" t="n">
        <v>0</v>
      </c>
      <c r="P426" t="n">
        <v>0</v>
      </c>
      <c r="Q426" t="n">
        <v>0</v>
      </c>
      <c r="R426" s="2" t="inlineStr"/>
    </row>
    <row r="427" ht="15" customHeight="1">
      <c r="A427" t="inlineStr">
        <is>
          <t>A 50218-2024</t>
        </is>
      </c>
      <c r="B427" s="1" t="n">
        <v>45600.53160879629</v>
      </c>
      <c r="C427" s="1" t="n">
        <v>45892</v>
      </c>
      <c r="D427" t="inlineStr">
        <is>
          <t>JÄMTLANDS LÄN</t>
        </is>
      </c>
      <c r="E427" t="inlineStr">
        <is>
          <t>ÖSTERSUND</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26605-2025</t>
        </is>
      </c>
      <c r="B428" s="1" t="n">
        <v>45809.86790509259</v>
      </c>
      <c r="C428" s="1" t="n">
        <v>45892</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21667-2024</t>
        </is>
      </c>
      <c r="B429" s="1" t="n">
        <v>45442.38511574074</v>
      </c>
      <c r="C429" s="1" t="n">
        <v>45892</v>
      </c>
      <c r="D429" t="inlineStr">
        <is>
          <t>JÄMTLANDS LÄN</t>
        </is>
      </c>
      <c r="E429" t="inlineStr">
        <is>
          <t>ÖSTERSUND</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26587-2025</t>
        </is>
      </c>
      <c r="B430" s="1" t="n">
        <v>45807.75076388889</v>
      </c>
      <c r="C430" s="1" t="n">
        <v>45892</v>
      </c>
      <c r="D430" t="inlineStr">
        <is>
          <t>JÄMTLANDS LÄN</t>
        </is>
      </c>
      <c r="E430" t="inlineStr">
        <is>
          <t>ÖSTERSUND</t>
        </is>
      </c>
      <c r="G430" t="n">
        <v>0.5</v>
      </c>
      <c r="H430" t="n">
        <v>0</v>
      </c>
      <c r="I430" t="n">
        <v>0</v>
      </c>
      <c r="J430" t="n">
        <v>0</v>
      </c>
      <c r="K430" t="n">
        <v>0</v>
      </c>
      <c r="L430" t="n">
        <v>0</v>
      </c>
      <c r="M430" t="n">
        <v>0</v>
      </c>
      <c r="N430" t="n">
        <v>0</v>
      </c>
      <c r="O430" t="n">
        <v>0</v>
      </c>
      <c r="P430" t="n">
        <v>0</v>
      </c>
      <c r="Q430" t="n">
        <v>0</v>
      </c>
      <c r="R430" s="2" t="inlineStr"/>
    </row>
    <row r="431" ht="15" customHeight="1">
      <c r="A431" t="inlineStr">
        <is>
          <t>A 60780-2023</t>
        </is>
      </c>
      <c r="B431" s="1" t="n">
        <v>45260</v>
      </c>
      <c r="C431" s="1" t="n">
        <v>45892</v>
      </c>
      <c r="D431" t="inlineStr">
        <is>
          <t>JÄMTLANDS LÄN</t>
        </is>
      </c>
      <c r="E431" t="inlineStr">
        <is>
          <t>ÖSTERSUND</t>
        </is>
      </c>
      <c r="G431" t="n">
        <v>3.7</v>
      </c>
      <c r="H431" t="n">
        <v>0</v>
      </c>
      <c r="I431" t="n">
        <v>0</v>
      </c>
      <c r="J431" t="n">
        <v>0</v>
      </c>
      <c r="K431" t="n">
        <v>0</v>
      </c>
      <c r="L431" t="n">
        <v>0</v>
      </c>
      <c r="M431" t="n">
        <v>0</v>
      </c>
      <c r="N431" t="n">
        <v>0</v>
      </c>
      <c r="O431" t="n">
        <v>0</v>
      </c>
      <c r="P431" t="n">
        <v>0</v>
      </c>
      <c r="Q431" t="n">
        <v>0</v>
      </c>
      <c r="R431" s="2" t="inlineStr"/>
    </row>
    <row r="432" ht="15" customHeight="1">
      <c r="A432" t="inlineStr">
        <is>
          <t>A 60794-2023</t>
        </is>
      </c>
      <c r="B432" s="1" t="n">
        <v>45260</v>
      </c>
      <c r="C432" s="1" t="n">
        <v>45892</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11877-2024</t>
        </is>
      </c>
      <c r="B433" s="1" t="n">
        <v>45376</v>
      </c>
      <c r="C433" s="1" t="n">
        <v>45892</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53714-2022</t>
        </is>
      </c>
      <c r="B434" s="1" t="n">
        <v>44880</v>
      </c>
      <c r="C434" s="1" t="n">
        <v>45892</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52128-2023</t>
        </is>
      </c>
      <c r="B435" s="1" t="n">
        <v>45223</v>
      </c>
      <c r="C435" s="1" t="n">
        <v>45892</v>
      </c>
      <c r="D435" t="inlineStr">
        <is>
          <t>JÄMTLANDS LÄN</t>
        </is>
      </c>
      <c r="E435" t="inlineStr">
        <is>
          <t>ÖSTERSUND</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44013-2021</t>
        </is>
      </c>
      <c r="B436" s="1" t="n">
        <v>44434</v>
      </c>
      <c r="C436" s="1" t="n">
        <v>45892</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8003-2025</t>
        </is>
      </c>
      <c r="B437" s="1" t="n">
        <v>45707</v>
      </c>
      <c r="C437" s="1" t="n">
        <v>45892</v>
      </c>
      <c r="D437" t="inlineStr">
        <is>
          <t>JÄMTLANDS LÄN</t>
        </is>
      </c>
      <c r="E437" t="inlineStr">
        <is>
          <t>ÖSTERSUND</t>
        </is>
      </c>
      <c r="F437" t="inlineStr">
        <is>
          <t>Övriga Aktiebolag</t>
        </is>
      </c>
      <c r="G437" t="n">
        <v>35.1</v>
      </c>
      <c r="H437" t="n">
        <v>0</v>
      </c>
      <c r="I437" t="n">
        <v>0</v>
      </c>
      <c r="J437" t="n">
        <v>0</v>
      </c>
      <c r="K437" t="n">
        <v>0</v>
      </c>
      <c r="L437" t="n">
        <v>0</v>
      </c>
      <c r="M437" t="n">
        <v>0</v>
      </c>
      <c r="N437" t="n">
        <v>0</v>
      </c>
      <c r="O437" t="n">
        <v>0</v>
      </c>
      <c r="P437" t="n">
        <v>0</v>
      </c>
      <c r="Q437" t="n">
        <v>0</v>
      </c>
      <c r="R437" s="2" t="inlineStr"/>
    </row>
    <row r="438" ht="15" customHeight="1">
      <c r="A438" t="inlineStr">
        <is>
          <t>A 10064-2024</t>
        </is>
      </c>
      <c r="B438" s="1" t="n">
        <v>45364.3874074074</v>
      </c>
      <c r="C438" s="1" t="n">
        <v>45892</v>
      </c>
      <c r="D438" t="inlineStr">
        <is>
          <t>JÄMTLANDS LÄN</t>
        </is>
      </c>
      <c r="E438" t="inlineStr">
        <is>
          <t>ÖSTERSUND</t>
        </is>
      </c>
      <c r="G438" t="n">
        <v>13.9</v>
      </c>
      <c r="H438" t="n">
        <v>0</v>
      </c>
      <c r="I438" t="n">
        <v>0</v>
      </c>
      <c r="J438" t="n">
        <v>0</v>
      </c>
      <c r="K438" t="n">
        <v>0</v>
      </c>
      <c r="L438" t="n">
        <v>0</v>
      </c>
      <c r="M438" t="n">
        <v>0</v>
      </c>
      <c r="N438" t="n">
        <v>0</v>
      </c>
      <c r="O438" t="n">
        <v>0</v>
      </c>
      <c r="P438" t="n">
        <v>0</v>
      </c>
      <c r="Q438" t="n">
        <v>0</v>
      </c>
      <c r="R438" s="2" t="inlineStr"/>
    </row>
    <row r="439" ht="15" customHeight="1">
      <c r="A439" t="inlineStr">
        <is>
          <t>A 25187-2024</t>
        </is>
      </c>
      <c r="B439" s="1" t="n">
        <v>45462.56172453704</v>
      </c>
      <c r="C439" s="1" t="n">
        <v>45892</v>
      </c>
      <c r="D439" t="inlineStr">
        <is>
          <t>JÄMTLANDS LÄN</t>
        </is>
      </c>
      <c r="E439" t="inlineStr">
        <is>
          <t>ÖSTERSUND</t>
        </is>
      </c>
      <c r="G439" t="n">
        <v>2.4</v>
      </c>
      <c r="H439" t="n">
        <v>0</v>
      </c>
      <c r="I439" t="n">
        <v>0</v>
      </c>
      <c r="J439" t="n">
        <v>0</v>
      </c>
      <c r="K439" t="n">
        <v>0</v>
      </c>
      <c r="L439" t="n">
        <v>0</v>
      </c>
      <c r="M439" t="n">
        <v>0</v>
      </c>
      <c r="N439" t="n">
        <v>0</v>
      </c>
      <c r="O439" t="n">
        <v>0</v>
      </c>
      <c r="P439" t="n">
        <v>0</v>
      </c>
      <c r="Q439" t="n">
        <v>0</v>
      </c>
      <c r="R439" s="2" t="inlineStr"/>
    </row>
    <row r="440" ht="15" customHeight="1">
      <c r="A440" t="inlineStr">
        <is>
          <t>A 13651-2025</t>
        </is>
      </c>
      <c r="B440" s="1" t="n">
        <v>45736.71818287037</v>
      </c>
      <c r="C440" s="1" t="n">
        <v>45892</v>
      </c>
      <c r="D440" t="inlineStr">
        <is>
          <t>JÄMTLANDS LÄN</t>
        </is>
      </c>
      <c r="E440" t="inlineStr">
        <is>
          <t>ÖSTERSUND</t>
        </is>
      </c>
      <c r="G440" t="n">
        <v>3.7</v>
      </c>
      <c r="H440" t="n">
        <v>0</v>
      </c>
      <c r="I440" t="n">
        <v>0</v>
      </c>
      <c r="J440" t="n">
        <v>0</v>
      </c>
      <c r="K440" t="n">
        <v>0</v>
      </c>
      <c r="L440" t="n">
        <v>0</v>
      </c>
      <c r="M440" t="n">
        <v>0</v>
      </c>
      <c r="N440" t="n">
        <v>0</v>
      </c>
      <c r="O440" t="n">
        <v>0</v>
      </c>
      <c r="P440" t="n">
        <v>0</v>
      </c>
      <c r="Q440" t="n">
        <v>0</v>
      </c>
      <c r="R440" s="2" t="inlineStr"/>
    </row>
    <row r="441" ht="15" customHeight="1">
      <c r="A441" t="inlineStr">
        <is>
          <t>A 13282-2023</t>
        </is>
      </c>
      <c r="B441" s="1" t="n">
        <v>45004</v>
      </c>
      <c r="C441" s="1" t="n">
        <v>45892</v>
      </c>
      <c r="D441" t="inlineStr">
        <is>
          <t>JÄMTLANDS LÄN</t>
        </is>
      </c>
      <c r="E441" t="inlineStr">
        <is>
          <t>ÖSTERSUND</t>
        </is>
      </c>
      <c r="G441" t="n">
        <v>28.5</v>
      </c>
      <c r="H441" t="n">
        <v>0</v>
      </c>
      <c r="I441" t="n">
        <v>0</v>
      </c>
      <c r="J441" t="n">
        <v>0</v>
      </c>
      <c r="K441" t="n">
        <v>0</v>
      </c>
      <c r="L441" t="n">
        <v>0</v>
      </c>
      <c r="M441" t="n">
        <v>0</v>
      </c>
      <c r="N441" t="n">
        <v>0</v>
      </c>
      <c r="O441" t="n">
        <v>0</v>
      </c>
      <c r="P441" t="n">
        <v>0</v>
      </c>
      <c r="Q441" t="n">
        <v>0</v>
      </c>
      <c r="R441" s="2" t="inlineStr"/>
    </row>
    <row r="442" ht="15" customHeight="1">
      <c r="A442" t="inlineStr">
        <is>
          <t>A 12285-2022</t>
        </is>
      </c>
      <c r="B442" s="1" t="n">
        <v>44637</v>
      </c>
      <c r="C442" s="1" t="n">
        <v>45892</v>
      </c>
      <c r="D442" t="inlineStr">
        <is>
          <t>JÄMTLANDS LÄN</t>
        </is>
      </c>
      <c r="E442" t="inlineStr">
        <is>
          <t>ÖSTERSUND</t>
        </is>
      </c>
      <c r="G442" t="n">
        <v>1.4</v>
      </c>
      <c r="H442" t="n">
        <v>0</v>
      </c>
      <c r="I442" t="n">
        <v>0</v>
      </c>
      <c r="J442" t="n">
        <v>0</v>
      </c>
      <c r="K442" t="n">
        <v>0</v>
      </c>
      <c r="L442" t="n">
        <v>0</v>
      </c>
      <c r="M442" t="n">
        <v>0</v>
      </c>
      <c r="N442" t="n">
        <v>0</v>
      </c>
      <c r="O442" t="n">
        <v>0</v>
      </c>
      <c r="P442" t="n">
        <v>0</v>
      </c>
      <c r="Q442" t="n">
        <v>0</v>
      </c>
      <c r="R442" s="2" t="inlineStr"/>
    </row>
    <row r="443" ht="15" customHeight="1">
      <c r="A443" t="inlineStr">
        <is>
          <t>A 25385-2024</t>
        </is>
      </c>
      <c r="B443" s="1" t="n">
        <v>45462.96347222223</v>
      </c>
      <c r="C443" s="1" t="n">
        <v>45892</v>
      </c>
      <c r="D443" t="inlineStr">
        <is>
          <t>JÄMTLANDS LÄN</t>
        </is>
      </c>
      <c r="E443" t="inlineStr">
        <is>
          <t>ÖSTERSUND</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10267-2025</t>
        </is>
      </c>
      <c r="B444" s="1" t="n">
        <v>45720.3859375</v>
      </c>
      <c r="C444" s="1" t="n">
        <v>45892</v>
      </c>
      <c r="D444" t="inlineStr">
        <is>
          <t>JÄMTLANDS LÄN</t>
        </is>
      </c>
      <c r="E444" t="inlineStr">
        <is>
          <t>ÖSTERSUND</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39510-2024</t>
        </is>
      </c>
      <c r="B445" s="1" t="n">
        <v>45551.67761574074</v>
      </c>
      <c r="C445" s="1" t="n">
        <v>45892</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45892</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27035-2025</t>
        </is>
      </c>
      <c r="B447" s="1" t="n">
        <v>45811.5928587963</v>
      </c>
      <c r="C447" s="1" t="n">
        <v>45892</v>
      </c>
      <c r="D447" t="inlineStr">
        <is>
          <t>JÄMTLANDS LÄN</t>
        </is>
      </c>
      <c r="E447" t="inlineStr">
        <is>
          <t>ÖSTERSUND</t>
        </is>
      </c>
      <c r="G447" t="n">
        <v>2.8</v>
      </c>
      <c r="H447" t="n">
        <v>0</v>
      </c>
      <c r="I447" t="n">
        <v>0</v>
      </c>
      <c r="J447" t="n">
        <v>0</v>
      </c>
      <c r="K447" t="n">
        <v>0</v>
      </c>
      <c r="L447" t="n">
        <v>0</v>
      </c>
      <c r="M447" t="n">
        <v>0</v>
      </c>
      <c r="N447" t="n">
        <v>0</v>
      </c>
      <c r="O447" t="n">
        <v>0</v>
      </c>
      <c r="P447" t="n">
        <v>0</v>
      </c>
      <c r="Q447" t="n">
        <v>0</v>
      </c>
      <c r="R447" s="2" t="inlineStr"/>
    </row>
    <row r="448" ht="15" customHeight="1">
      <c r="A448" t="inlineStr">
        <is>
          <t>A 43082-2024</t>
        </is>
      </c>
      <c r="B448" s="1" t="n">
        <v>45567.51068287037</v>
      </c>
      <c r="C448" s="1" t="n">
        <v>45892</v>
      </c>
      <c r="D448" t="inlineStr">
        <is>
          <t>JÄMTLANDS LÄN</t>
        </is>
      </c>
      <c r="E448" t="inlineStr">
        <is>
          <t>ÖSTERSUND</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45892</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61653-2022</t>
        </is>
      </c>
      <c r="B450" s="1" t="n">
        <v>44916</v>
      </c>
      <c r="C450" s="1" t="n">
        <v>45892</v>
      </c>
      <c r="D450" t="inlineStr">
        <is>
          <t>JÄMTLANDS LÄN</t>
        </is>
      </c>
      <c r="E450" t="inlineStr">
        <is>
          <t>ÖSTERSUND</t>
        </is>
      </c>
      <c r="G450" t="n">
        <v>7.6</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45892</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52854-2024</t>
        </is>
      </c>
      <c r="B452" s="1" t="n">
        <v>45610.61030092592</v>
      </c>
      <c r="C452" s="1" t="n">
        <v>45892</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10266-2025</t>
        </is>
      </c>
      <c r="B453" s="1" t="n">
        <v>45720.38576388889</v>
      </c>
      <c r="C453" s="1" t="n">
        <v>45892</v>
      </c>
      <c r="D453" t="inlineStr">
        <is>
          <t>JÄMTLANDS LÄN</t>
        </is>
      </c>
      <c r="E453" t="inlineStr">
        <is>
          <t>ÖSTERSUND</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27517-2025</t>
        </is>
      </c>
      <c r="B454" s="1" t="n">
        <v>45813.43966435185</v>
      </c>
      <c r="C454" s="1" t="n">
        <v>45892</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2228-2024</t>
        </is>
      </c>
      <c r="B455" s="1" t="n">
        <v>45309</v>
      </c>
      <c r="C455" s="1" t="n">
        <v>45892</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29703-2023</t>
        </is>
      </c>
      <c r="B456" s="1" t="n">
        <v>45107</v>
      </c>
      <c r="C456" s="1" t="n">
        <v>45892</v>
      </c>
      <c r="D456" t="inlineStr">
        <is>
          <t>JÄMTLANDS LÄN</t>
        </is>
      </c>
      <c r="E456" t="inlineStr">
        <is>
          <t>ÖSTERSUND</t>
        </is>
      </c>
      <c r="G456" t="n">
        <v>0.3</v>
      </c>
      <c r="H456" t="n">
        <v>0</v>
      </c>
      <c r="I456" t="n">
        <v>0</v>
      </c>
      <c r="J456" t="n">
        <v>0</v>
      </c>
      <c r="K456" t="n">
        <v>0</v>
      </c>
      <c r="L456" t="n">
        <v>0</v>
      </c>
      <c r="M456" t="n">
        <v>0</v>
      </c>
      <c r="N456" t="n">
        <v>0</v>
      </c>
      <c r="O456" t="n">
        <v>0</v>
      </c>
      <c r="P456" t="n">
        <v>0</v>
      </c>
      <c r="Q456" t="n">
        <v>0</v>
      </c>
      <c r="R456" s="2" t="inlineStr"/>
    </row>
    <row r="457" ht="15" customHeight="1">
      <c r="A457" t="inlineStr">
        <is>
          <t>A 54608-2023</t>
        </is>
      </c>
      <c r="B457" s="1" t="n">
        <v>45233</v>
      </c>
      <c r="C457" s="1" t="n">
        <v>45892</v>
      </c>
      <c r="D457" t="inlineStr">
        <is>
          <t>JÄMTLANDS LÄN</t>
        </is>
      </c>
      <c r="E457" t="inlineStr">
        <is>
          <t>ÖSTERSUND</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14947-2025</t>
        </is>
      </c>
      <c r="B458" s="1" t="n">
        <v>45743.57336805556</v>
      </c>
      <c r="C458" s="1" t="n">
        <v>45892</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2753-2025</t>
        </is>
      </c>
      <c r="B459" s="1" t="n">
        <v>45677.47302083333</v>
      </c>
      <c r="C459" s="1" t="n">
        <v>45892</v>
      </c>
      <c r="D459" t="inlineStr">
        <is>
          <t>JÄMTLANDS LÄN</t>
        </is>
      </c>
      <c r="E459" t="inlineStr">
        <is>
          <t>ÖSTERSUND</t>
        </is>
      </c>
      <c r="G459" t="n">
        <v>6.4</v>
      </c>
      <c r="H459" t="n">
        <v>0</v>
      </c>
      <c r="I459" t="n">
        <v>0</v>
      </c>
      <c r="J459" t="n">
        <v>0</v>
      </c>
      <c r="K459" t="n">
        <v>0</v>
      </c>
      <c r="L459" t="n">
        <v>0</v>
      </c>
      <c r="M459" t="n">
        <v>0</v>
      </c>
      <c r="N459" t="n">
        <v>0</v>
      </c>
      <c r="O459" t="n">
        <v>0</v>
      </c>
      <c r="P459" t="n">
        <v>0</v>
      </c>
      <c r="Q459" t="n">
        <v>0</v>
      </c>
      <c r="R459" s="2" t="inlineStr"/>
    </row>
    <row r="460" ht="15" customHeight="1">
      <c r="A460" t="inlineStr">
        <is>
          <t>A 7956-2025</t>
        </is>
      </c>
      <c r="B460" s="1" t="n">
        <v>45707.42825231481</v>
      </c>
      <c r="C460" s="1" t="n">
        <v>45892</v>
      </c>
      <c r="D460" t="inlineStr">
        <is>
          <t>JÄMTLANDS LÄN</t>
        </is>
      </c>
      <c r="E460" t="inlineStr">
        <is>
          <t>ÖSTERSUND</t>
        </is>
      </c>
      <c r="F460" t="inlineStr">
        <is>
          <t>Övriga Aktiebolag</t>
        </is>
      </c>
      <c r="G460" t="n">
        <v>111.2</v>
      </c>
      <c r="H460" t="n">
        <v>0</v>
      </c>
      <c r="I460" t="n">
        <v>0</v>
      </c>
      <c r="J460" t="n">
        <v>0</v>
      </c>
      <c r="K460" t="n">
        <v>0</v>
      </c>
      <c r="L460" t="n">
        <v>0</v>
      </c>
      <c r="M460" t="n">
        <v>0</v>
      </c>
      <c r="N460" t="n">
        <v>0</v>
      </c>
      <c r="O460" t="n">
        <v>0</v>
      </c>
      <c r="P460" t="n">
        <v>0</v>
      </c>
      <c r="Q460" t="n">
        <v>0</v>
      </c>
      <c r="R460" s="2" t="inlineStr"/>
    </row>
    <row r="461" ht="15" customHeight="1">
      <c r="A461" t="inlineStr">
        <is>
          <t>A 56646-2024</t>
        </is>
      </c>
      <c r="B461" s="1" t="n">
        <v>45625</v>
      </c>
      <c r="C461" s="1" t="n">
        <v>45892</v>
      </c>
      <c r="D461" t="inlineStr">
        <is>
          <t>JÄMTLANDS LÄN</t>
        </is>
      </c>
      <c r="E461" t="inlineStr">
        <is>
          <t>ÖSTERSUND</t>
        </is>
      </c>
      <c r="G461" t="n">
        <v>18.9</v>
      </c>
      <c r="H461" t="n">
        <v>0</v>
      </c>
      <c r="I461" t="n">
        <v>0</v>
      </c>
      <c r="J461" t="n">
        <v>0</v>
      </c>
      <c r="K461" t="n">
        <v>0</v>
      </c>
      <c r="L461" t="n">
        <v>0</v>
      </c>
      <c r="M461" t="n">
        <v>0</v>
      </c>
      <c r="N461" t="n">
        <v>0</v>
      </c>
      <c r="O461" t="n">
        <v>0</v>
      </c>
      <c r="P461" t="n">
        <v>0</v>
      </c>
      <c r="Q461" t="n">
        <v>0</v>
      </c>
      <c r="R461" s="2" t="inlineStr"/>
    </row>
    <row r="462" ht="15" customHeight="1">
      <c r="A462" t="inlineStr">
        <is>
          <t>A 61530-2023</t>
        </is>
      </c>
      <c r="B462" s="1" t="n">
        <v>45261</v>
      </c>
      <c r="C462" s="1" t="n">
        <v>45892</v>
      </c>
      <c r="D462" t="inlineStr">
        <is>
          <t>JÄMTLANDS LÄN</t>
        </is>
      </c>
      <c r="E462" t="inlineStr">
        <is>
          <t>ÖSTERSUND</t>
        </is>
      </c>
      <c r="F462" t="inlineStr">
        <is>
          <t>Övriga statliga verk och myndigheter</t>
        </is>
      </c>
      <c r="G462" t="n">
        <v>1</v>
      </c>
      <c r="H462" t="n">
        <v>0</v>
      </c>
      <c r="I462" t="n">
        <v>0</v>
      </c>
      <c r="J462" t="n">
        <v>0</v>
      </c>
      <c r="K462" t="n">
        <v>0</v>
      </c>
      <c r="L462" t="n">
        <v>0</v>
      </c>
      <c r="M462" t="n">
        <v>0</v>
      </c>
      <c r="N462" t="n">
        <v>0</v>
      </c>
      <c r="O462" t="n">
        <v>0</v>
      </c>
      <c r="P462" t="n">
        <v>0</v>
      </c>
      <c r="Q462" t="n">
        <v>0</v>
      </c>
      <c r="R462" s="2" t="inlineStr"/>
    </row>
    <row r="463" ht="15" customHeight="1">
      <c r="A463" t="inlineStr">
        <is>
          <t>A 28025-2025</t>
        </is>
      </c>
      <c r="B463" s="1" t="n">
        <v>45817</v>
      </c>
      <c r="C463" s="1" t="n">
        <v>45892</v>
      </c>
      <c r="D463" t="inlineStr">
        <is>
          <t>JÄMTLANDS LÄN</t>
        </is>
      </c>
      <c r="E463" t="inlineStr">
        <is>
          <t>ÖSTERSUND</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36406-2023</t>
        </is>
      </c>
      <c r="B464" s="1" t="n">
        <v>45149</v>
      </c>
      <c r="C464" s="1" t="n">
        <v>45892</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20400-2024</t>
        </is>
      </c>
      <c r="B465" s="1" t="n">
        <v>45435.55372685185</v>
      </c>
      <c r="C465" s="1" t="n">
        <v>45892</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28595-2025</t>
        </is>
      </c>
      <c r="B466" s="1" t="n">
        <v>45819.59429398148</v>
      </c>
      <c r="C466" s="1" t="n">
        <v>45892</v>
      </c>
      <c r="D466" t="inlineStr">
        <is>
          <t>JÄMTLANDS LÄN</t>
        </is>
      </c>
      <c r="E466" t="inlineStr">
        <is>
          <t>ÖSTERSUND</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20588-2023</t>
        </is>
      </c>
      <c r="B467" s="1" t="n">
        <v>45057</v>
      </c>
      <c r="C467" s="1" t="n">
        <v>45892</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28185-2025</t>
        </is>
      </c>
      <c r="B468" s="1" t="n">
        <v>45818.40337962963</v>
      </c>
      <c r="C468" s="1" t="n">
        <v>45892</v>
      </c>
      <c r="D468" t="inlineStr">
        <is>
          <t>JÄMTLANDS LÄN</t>
        </is>
      </c>
      <c r="E468" t="inlineStr">
        <is>
          <t>ÖSTERSUND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25535-2023</t>
        </is>
      </c>
      <c r="B469" s="1" t="n">
        <v>45089.54944444444</v>
      </c>
      <c r="C469" s="1" t="n">
        <v>45892</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28551-2025</t>
        </is>
      </c>
      <c r="B470" s="1" t="n">
        <v>45818</v>
      </c>
      <c r="C470" s="1" t="n">
        <v>45892</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32225-2024</t>
        </is>
      </c>
      <c r="B471" s="1" t="n">
        <v>45511.92825231481</v>
      </c>
      <c r="C471" s="1" t="n">
        <v>45892</v>
      </c>
      <c r="D471" t="inlineStr">
        <is>
          <t>JÄMTLANDS LÄN</t>
        </is>
      </c>
      <c r="E471" t="inlineStr">
        <is>
          <t>ÖSTERSUND</t>
        </is>
      </c>
      <c r="G471" t="n">
        <v>2</v>
      </c>
      <c r="H471" t="n">
        <v>0</v>
      </c>
      <c r="I471" t="n">
        <v>0</v>
      </c>
      <c r="J471" t="n">
        <v>0</v>
      </c>
      <c r="K471" t="n">
        <v>0</v>
      </c>
      <c r="L471" t="n">
        <v>0</v>
      </c>
      <c r="M471" t="n">
        <v>0</v>
      </c>
      <c r="N471" t="n">
        <v>0</v>
      </c>
      <c r="O471" t="n">
        <v>0</v>
      </c>
      <c r="P471" t="n">
        <v>0</v>
      </c>
      <c r="Q471" t="n">
        <v>0</v>
      </c>
      <c r="R471" s="2" t="inlineStr"/>
    </row>
    <row r="472" ht="15" customHeight="1">
      <c r="A472" t="inlineStr">
        <is>
          <t>A 4311-2025</t>
        </is>
      </c>
      <c r="B472" s="1" t="n">
        <v>45685.69267361111</v>
      </c>
      <c r="C472" s="1" t="n">
        <v>45892</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24781-2024</t>
        </is>
      </c>
      <c r="B473" s="1" t="n">
        <v>45460.7772800926</v>
      </c>
      <c r="C473" s="1" t="n">
        <v>45892</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27689-2024</t>
        </is>
      </c>
      <c r="B474" s="1" t="n">
        <v>45475.3378125</v>
      </c>
      <c r="C474" s="1" t="n">
        <v>45892</v>
      </c>
      <c r="D474" t="inlineStr">
        <is>
          <t>JÄMTLANDS LÄN</t>
        </is>
      </c>
      <c r="E474" t="inlineStr">
        <is>
          <t>ÖSTERSUND</t>
        </is>
      </c>
      <c r="G474" t="n">
        <v>0.6</v>
      </c>
      <c r="H474" t="n">
        <v>0</v>
      </c>
      <c r="I474" t="n">
        <v>0</v>
      </c>
      <c r="J474" t="n">
        <v>0</v>
      </c>
      <c r="K474" t="n">
        <v>0</v>
      </c>
      <c r="L474" t="n">
        <v>0</v>
      </c>
      <c r="M474" t="n">
        <v>0</v>
      </c>
      <c r="N474" t="n">
        <v>0</v>
      </c>
      <c r="O474" t="n">
        <v>0</v>
      </c>
      <c r="P474" t="n">
        <v>0</v>
      </c>
      <c r="Q474" t="n">
        <v>0</v>
      </c>
      <c r="R474" s="2" t="inlineStr"/>
    </row>
    <row r="475" ht="15" customHeight="1">
      <c r="A475" t="inlineStr">
        <is>
          <t>A 51818-2024</t>
        </is>
      </c>
      <c r="B475" s="1" t="n">
        <v>45607.49265046296</v>
      </c>
      <c r="C475" s="1" t="n">
        <v>45892</v>
      </c>
      <c r="D475" t="inlineStr">
        <is>
          <t>JÄMTLANDS LÄN</t>
        </is>
      </c>
      <c r="E475" t="inlineStr">
        <is>
          <t>ÖSTERSUND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12998-2025</t>
        </is>
      </c>
      <c r="B476" s="1" t="n">
        <v>45734.48991898148</v>
      </c>
      <c r="C476" s="1" t="n">
        <v>45892</v>
      </c>
      <c r="D476" t="inlineStr">
        <is>
          <t>JÄMTLANDS LÄN</t>
        </is>
      </c>
      <c r="E476" t="inlineStr">
        <is>
          <t>ÖSTERSUND</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36211-2025</t>
        </is>
      </c>
      <c r="B477" s="1" t="n">
        <v>45867.46946759259</v>
      </c>
      <c r="C477" s="1" t="n">
        <v>45892</v>
      </c>
      <c r="D477" t="inlineStr">
        <is>
          <t>JÄMTLANDS LÄN</t>
        </is>
      </c>
      <c r="E477" t="inlineStr">
        <is>
          <t>ÖSTERSUND</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51479-2023</t>
        </is>
      </c>
      <c r="B478" s="1" t="n">
        <v>45221.92429398148</v>
      </c>
      <c r="C478" s="1" t="n">
        <v>45892</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54913-2024</t>
        </is>
      </c>
      <c r="B479" s="1" t="n">
        <v>45618.6917824074</v>
      </c>
      <c r="C479" s="1" t="n">
        <v>45892</v>
      </c>
      <c r="D479" t="inlineStr">
        <is>
          <t>JÄMTLANDS LÄN</t>
        </is>
      </c>
      <c r="E479" t="inlineStr">
        <is>
          <t>ÖSTERSUND</t>
        </is>
      </c>
      <c r="G479" t="n">
        <v>4.7</v>
      </c>
      <c r="H479" t="n">
        <v>0</v>
      </c>
      <c r="I479" t="n">
        <v>0</v>
      </c>
      <c r="J479" t="n">
        <v>0</v>
      </c>
      <c r="K479" t="n">
        <v>0</v>
      </c>
      <c r="L479" t="n">
        <v>0</v>
      </c>
      <c r="M479" t="n">
        <v>0</v>
      </c>
      <c r="N479" t="n">
        <v>0</v>
      </c>
      <c r="O479" t="n">
        <v>0</v>
      </c>
      <c r="P479" t="n">
        <v>0</v>
      </c>
      <c r="Q479" t="n">
        <v>0</v>
      </c>
      <c r="R479" s="2" t="inlineStr"/>
    </row>
    <row r="480" ht="15" customHeight="1">
      <c r="A480" t="inlineStr">
        <is>
          <t>A 34923-2025</t>
        </is>
      </c>
      <c r="B480" s="1" t="n">
        <v>45849.55601851852</v>
      </c>
      <c r="C480" s="1" t="n">
        <v>45892</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36099-2025</t>
        </is>
      </c>
      <c r="B481" s="1" t="n">
        <v>45866.51630787037</v>
      </c>
      <c r="C481" s="1" t="n">
        <v>45892</v>
      </c>
      <c r="D481" t="inlineStr">
        <is>
          <t>JÄMTLANDS LÄN</t>
        </is>
      </c>
      <c r="E481" t="inlineStr">
        <is>
          <t>ÖSTERSUND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2978-2024</t>
        </is>
      </c>
      <c r="B482" s="1" t="n">
        <v>45315</v>
      </c>
      <c r="C482" s="1" t="n">
        <v>45892</v>
      </c>
      <c r="D482" t="inlineStr">
        <is>
          <t>JÄMTLANDS LÄN</t>
        </is>
      </c>
      <c r="E482" t="inlineStr">
        <is>
          <t>ÖSTERSUND</t>
        </is>
      </c>
      <c r="G482" t="n">
        <v>1.7</v>
      </c>
      <c r="H482" t="n">
        <v>0</v>
      </c>
      <c r="I482" t="n">
        <v>0</v>
      </c>
      <c r="J482" t="n">
        <v>0</v>
      </c>
      <c r="K482" t="n">
        <v>0</v>
      </c>
      <c r="L482" t="n">
        <v>0</v>
      </c>
      <c r="M482" t="n">
        <v>0</v>
      </c>
      <c r="N482" t="n">
        <v>0</v>
      </c>
      <c r="O482" t="n">
        <v>0</v>
      </c>
      <c r="P482" t="n">
        <v>0</v>
      </c>
      <c r="Q482" t="n">
        <v>0</v>
      </c>
      <c r="R482" s="2" t="inlineStr"/>
    </row>
    <row r="483" ht="15" customHeight="1">
      <c r="A483" t="inlineStr">
        <is>
          <t>A 36098-2025</t>
        </is>
      </c>
      <c r="B483" s="1" t="n">
        <v>45866.50549768518</v>
      </c>
      <c r="C483" s="1" t="n">
        <v>45892</v>
      </c>
      <c r="D483" t="inlineStr">
        <is>
          <t>JÄMTLANDS LÄN</t>
        </is>
      </c>
      <c r="E483" t="inlineStr">
        <is>
          <t>ÖSTERSUND</t>
        </is>
      </c>
      <c r="F483" t="inlineStr">
        <is>
          <t>Övriga Aktiebolag</t>
        </is>
      </c>
      <c r="G483" t="n">
        <v>1.1</v>
      </c>
      <c r="H483" t="n">
        <v>0</v>
      </c>
      <c r="I483" t="n">
        <v>0</v>
      </c>
      <c r="J483" t="n">
        <v>0</v>
      </c>
      <c r="K483" t="n">
        <v>0</v>
      </c>
      <c r="L483" t="n">
        <v>0</v>
      </c>
      <c r="M483" t="n">
        <v>0</v>
      </c>
      <c r="N483" t="n">
        <v>0</v>
      </c>
      <c r="O483" t="n">
        <v>0</v>
      </c>
      <c r="P483" t="n">
        <v>0</v>
      </c>
      <c r="Q483" t="n">
        <v>0</v>
      </c>
      <c r="R483" s="2" t="inlineStr"/>
    </row>
    <row r="484" ht="15" customHeight="1">
      <c r="A484" t="inlineStr">
        <is>
          <t>A 57398-2023</t>
        </is>
      </c>
      <c r="B484" s="1" t="n">
        <v>45245</v>
      </c>
      <c r="C484" s="1" t="n">
        <v>45892</v>
      </c>
      <c r="D484" t="inlineStr">
        <is>
          <t>JÄMTLANDS LÄN</t>
        </is>
      </c>
      <c r="E484" t="inlineStr">
        <is>
          <t>ÖSTERSUND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30320-2025</t>
        </is>
      </c>
      <c r="B485" s="1" t="n">
        <v>45827.49415509259</v>
      </c>
      <c r="C485" s="1" t="n">
        <v>45892</v>
      </c>
      <c r="D485" t="inlineStr">
        <is>
          <t>JÄMTLANDS LÄN</t>
        </is>
      </c>
      <c r="E485" t="inlineStr">
        <is>
          <t>ÖSTERSUND</t>
        </is>
      </c>
      <c r="G485" t="n">
        <v>4.6</v>
      </c>
      <c r="H485" t="n">
        <v>0</v>
      </c>
      <c r="I485" t="n">
        <v>0</v>
      </c>
      <c r="J485" t="n">
        <v>0</v>
      </c>
      <c r="K485" t="n">
        <v>0</v>
      </c>
      <c r="L485" t="n">
        <v>0</v>
      </c>
      <c r="M485" t="n">
        <v>0</v>
      </c>
      <c r="N485" t="n">
        <v>0</v>
      </c>
      <c r="O485" t="n">
        <v>0</v>
      </c>
      <c r="P485" t="n">
        <v>0</v>
      </c>
      <c r="Q485" t="n">
        <v>0</v>
      </c>
      <c r="R485" s="2" t="inlineStr"/>
    </row>
    <row r="486" ht="15" customHeight="1">
      <c r="A486" t="inlineStr">
        <is>
          <t>A 44051-2021</t>
        </is>
      </c>
      <c r="B486" s="1" t="n">
        <v>44434</v>
      </c>
      <c r="C486" s="1" t="n">
        <v>45892</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55235-2023</t>
        </is>
      </c>
      <c r="B487" s="1" t="n">
        <v>45231</v>
      </c>
      <c r="C487" s="1" t="n">
        <v>45892</v>
      </c>
      <c r="D487" t="inlineStr">
        <is>
          <t>JÄMTLANDS LÄN</t>
        </is>
      </c>
      <c r="E487" t="inlineStr">
        <is>
          <t>ÖSTERSUND</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28181-2024</t>
        </is>
      </c>
      <c r="B488" s="1" t="n">
        <v>45477.28482638889</v>
      </c>
      <c r="C488" s="1" t="n">
        <v>45892</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54587-2024</t>
        </is>
      </c>
      <c r="B489" s="1" t="n">
        <v>45617.65800925926</v>
      </c>
      <c r="C489" s="1" t="n">
        <v>45892</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38644-2021</t>
        </is>
      </c>
      <c r="B490" s="1" t="n">
        <v>44410.35376157407</v>
      </c>
      <c r="C490" s="1" t="n">
        <v>45892</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30210-2025</t>
        </is>
      </c>
      <c r="B491" s="1" t="n">
        <v>45827.36590277778</v>
      </c>
      <c r="C491" s="1" t="n">
        <v>45892</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61002-2024</t>
        </is>
      </c>
      <c r="B492" s="1" t="n">
        <v>45645.44158564815</v>
      </c>
      <c r="C492" s="1" t="n">
        <v>45892</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52913-2021</t>
        </is>
      </c>
      <c r="B493" s="1" t="n">
        <v>44466</v>
      </c>
      <c r="C493" s="1" t="n">
        <v>45892</v>
      </c>
      <c r="D493" t="inlineStr">
        <is>
          <t>JÄMTLANDS LÄN</t>
        </is>
      </c>
      <c r="E493" t="inlineStr">
        <is>
          <t>ÖSTERSUND</t>
        </is>
      </c>
      <c r="G493" t="n">
        <v>4.2</v>
      </c>
      <c r="H493" t="n">
        <v>0</v>
      </c>
      <c r="I493" t="n">
        <v>0</v>
      </c>
      <c r="J493" t="n">
        <v>0</v>
      </c>
      <c r="K493" t="n">
        <v>0</v>
      </c>
      <c r="L493" t="n">
        <v>0</v>
      </c>
      <c r="M493" t="n">
        <v>0</v>
      </c>
      <c r="N493" t="n">
        <v>0</v>
      </c>
      <c r="O493" t="n">
        <v>0</v>
      </c>
      <c r="P493" t="n">
        <v>0</v>
      </c>
      <c r="Q493" t="n">
        <v>0</v>
      </c>
      <c r="R493" s="2" t="inlineStr"/>
    </row>
    <row r="494" ht="15" customHeight="1">
      <c r="A494" t="inlineStr">
        <is>
          <t>A 20960-2022</t>
        </is>
      </c>
      <c r="B494" s="1" t="n">
        <v>44701.94034722223</v>
      </c>
      <c r="C494" s="1" t="n">
        <v>45892</v>
      </c>
      <c r="D494" t="inlineStr">
        <is>
          <t>JÄMTLANDS LÄN</t>
        </is>
      </c>
      <c r="E494" t="inlineStr">
        <is>
          <t>ÖSTERSUND</t>
        </is>
      </c>
      <c r="G494" t="n">
        <v>3.6</v>
      </c>
      <c r="H494" t="n">
        <v>0</v>
      </c>
      <c r="I494" t="n">
        <v>0</v>
      </c>
      <c r="J494" t="n">
        <v>0</v>
      </c>
      <c r="K494" t="n">
        <v>0</v>
      </c>
      <c r="L494" t="n">
        <v>0</v>
      </c>
      <c r="M494" t="n">
        <v>0</v>
      </c>
      <c r="N494" t="n">
        <v>0</v>
      </c>
      <c r="O494" t="n">
        <v>0</v>
      </c>
      <c r="P494" t="n">
        <v>0</v>
      </c>
      <c r="Q494" t="n">
        <v>0</v>
      </c>
      <c r="R494" s="2" t="inlineStr"/>
    </row>
    <row r="495" ht="15" customHeight="1">
      <c r="A495" t="inlineStr">
        <is>
          <t>A 10756-2025</t>
        </is>
      </c>
      <c r="B495" s="1" t="n">
        <v>45722.44892361111</v>
      </c>
      <c r="C495" s="1" t="n">
        <v>45892</v>
      </c>
      <c r="D495" t="inlineStr">
        <is>
          <t>JÄMTLANDS LÄN</t>
        </is>
      </c>
      <c r="E495" t="inlineStr">
        <is>
          <t>ÖSTERSUND</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39493-2023</t>
        </is>
      </c>
      <c r="B496" s="1" t="n">
        <v>45166.9569675926</v>
      </c>
      <c r="C496" s="1" t="n">
        <v>45892</v>
      </c>
      <c r="D496" t="inlineStr">
        <is>
          <t>JÄMTLANDS LÄN</t>
        </is>
      </c>
      <c r="E496" t="inlineStr">
        <is>
          <t>ÖSTERSUND</t>
        </is>
      </c>
      <c r="F496" t="inlineStr">
        <is>
          <t>SCA</t>
        </is>
      </c>
      <c r="G496" t="n">
        <v>4.5</v>
      </c>
      <c r="H496" t="n">
        <v>0</v>
      </c>
      <c r="I496" t="n">
        <v>0</v>
      </c>
      <c r="J496" t="n">
        <v>0</v>
      </c>
      <c r="K496" t="n">
        <v>0</v>
      </c>
      <c r="L496" t="n">
        <v>0</v>
      </c>
      <c r="M496" t="n">
        <v>0</v>
      </c>
      <c r="N496" t="n">
        <v>0</v>
      </c>
      <c r="O496" t="n">
        <v>0</v>
      </c>
      <c r="P496" t="n">
        <v>0</v>
      </c>
      <c r="Q496" t="n">
        <v>0</v>
      </c>
      <c r="R496" s="2" t="inlineStr"/>
    </row>
    <row r="497" ht="15" customHeight="1">
      <c r="A497" t="inlineStr">
        <is>
          <t>A 54883-2023</t>
        </is>
      </c>
      <c r="B497" s="1" t="n">
        <v>45236.62300925926</v>
      </c>
      <c r="C497" s="1" t="n">
        <v>45892</v>
      </c>
      <c r="D497" t="inlineStr">
        <is>
          <t>JÄMTLANDS LÄN</t>
        </is>
      </c>
      <c r="E497" t="inlineStr">
        <is>
          <t>ÖSTERSUND</t>
        </is>
      </c>
      <c r="F497" t="inlineStr">
        <is>
          <t>Övriga Aktiebolag</t>
        </is>
      </c>
      <c r="G497" t="n">
        <v>3.2</v>
      </c>
      <c r="H497" t="n">
        <v>0</v>
      </c>
      <c r="I497" t="n">
        <v>0</v>
      </c>
      <c r="J497" t="n">
        <v>0</v>
      </c>
      <c r="K497" t="n">
        <v>0</v>
      </c>
      <c r="L497" t="n">
        <v>0</v>
      </c>
      <c r="M497" t="n">
        <v>0</v>
      </c>
      <c r="N497" t="n">
        <v>0</v>
      </c>
      <c r="O497" t="n">
        <v>0</v>
      </c>
      <c r="P497" t="n">
        <v>0</v>
      </c>
      <c r="Q497" t="n">
        <v>0</v>
      </c>
      <c r="R497" s="2" t="inlineStr"/>
    </row>
    <row r="498" ht="15" customHeight="1">
      <c r="A498" t="inlineStr">
        <is>
          <t>A 7936-2025</t>
        </is>
      </c>
      <c r="B498" s="1" t="n">
        <v>45707</v>
      </c>
      <c r="C498" s="1" t="n">
        <v>45892</v>
      </c>
      <c r="D498" t="inlineStr">
        <is>
          <t>JÄMTLANDS LÄN</t>
        </is>
      </c>
      <c r="E498" t="inlineStr">
        <is>
          <t>ÖSTERSUND</t>
        </is>
      </c>
      <c r="G498" t="n">
        <v>0.2</v>
      </c>
      <c r="H498" t="n">
        <v>0</v>
      </c>
      <c r="I498" t="n">
        <v>0</v>
      </c>
      <c r="J498" t="n">
        <v>0</v>
      </c>
      <c r="K498" t="n">
        <v>0</v>
      </c>
      <c r="L498" t="n">
        <v>0</v>
      </c>
      <c r="M498" t="n">
        <v>0</v>
      </c>
      <c r="N498" t="n">
        <v>0</v>
      </c>
      <c r="O498" t="n">
        <v>0</v>
      </c>
      <c r="P498" t="n">
        <v>0</v>
      </c>
      <c r="Q498" t="n">
        <v>0</v>
      </c>
      <c r="R498" s="2" t="inlineStr"/>
    </row>
    <row r="499" ht="15" customHeight="1">
      <c r="A499" t="inlineStr">
        <is>
          <t>A 7940-2025</t>
        </is>
      </c>
      <c r="B499" s="1" t="n">
        <v>45707.40493055555</v>
      </c>
      <c r="C499" s="1" t="n">
        <v>45892</v>
      </c>
      <c r="D499" t="inlineStr">
        <is>
          <t>JÄMTLANDS LÄN</t>
        </is>
      </c>
      <c r="E499" t="inlineStr">
        <is>
          <t>ÖSTERSUND</t>
        </is>
      </c>
      <c r="F499" t="inlineStr">
        <is>
          <t>Övriga Aktiebolag</t>
        </is>
      </c>
      <c r="G499" t="n">
        <v>48.1</v>
      </c>
      <c r="H499" t="n">
        <v>0</v>
      </c>
      <c r="I499" t="n">
        <v>0</v>
      </c>
      <c r="J499" t="n">
        <v>0</v>
      </c>
      <c r="K499" t="n">
        <v>0</v>
      </c>
      <c r="L499" t="n">
        <v>0</v>
      </c>
      <c r="M499" t="n">
        <v>0</v>
      </c>
      <c r="N499" t="n">
        <v>0</v>
      </c>
      <c r="O499" t="n">
        <v>0</v>
      </c>
      <c r="P499" t="n">
        <v>0</v>
      </c>
      <c r="Q499" t="n">
        <v>0</v>
      </c>
      <c r="R499" s="2" t="inlineStr"/>
    </row>
    <row r="500" ht="15" customHeight="1">
      <c r="A500" t="inlineStr">
        <is>
          <t>A 2730-2025</t>
        </is>
      </c>
      <c r="B500" s="1" t="n">
        <v>45677.44393518518</v>
      </c>
      <c r="C500" s="1" t="n">
        <v>45892</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45691.40832175926</v>
      </c>
      <c r="C501" s="1" t="n">
        <v>45892</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45691.40836805556</v>
      </c>
      <c r="C502" s="1" t="n">
        <v>45892</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37085-2025</t>
        </is>
      </c>
      <c r="B503" s="1" t="n">
        <v>45875.44840277778</v>
      </c>
      <c r="C503" s="1" t="n">
        <v>45892</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62225-2022</t>
        </is>
      </c>
      <c r="B504" s="1" t="n">
        <v>44922</v>
      </c>
      <c r="C504" s="1" t="n">
        <v>45892</v>
      </c>
      <c r="D504" t="inlineStr">
        <is>
          <t>JÄMTLANDS LÄN</t>
        </is>
      </c>
      <c r="E504" t="inlineStr">
        <is>
          <t>ÖSTERSUND</t>
        </is>
      </c>
      <c r="G504" t="n">
        <v>1</v>
      </c>
      <c r="H504" t="n">
        <v>0</v>
      </c>
      <c r="I504" t="n">
        <v>0</v>
      </c>
      <c r="J504" t="n">
        <v>0</v>
      </c>
      <c r="K504" t="n">
        <v>0</v>
      </c>
      <c r="L504" t="n">
        <v>0</v>
      </c>
      <c r="M504" t="n">
        <v>0</v>
      </c>
      <c r="N504" t="n">
        <v>0</v>
      </c>
      <c r="O504" t="n">
        <v>0</v>
      </c>
      <c r="P504" t="n">
        <v>0</v>
      </c>
      <c r="Q504" t="n">
        <v>0</v>
      </c>
      <c r="R504" s="2" t="inlineStr"/>
    </row>
    <row r="505" ht="15" customHeight="1">
      <c r="A505" t="inlineStr">
        <is>
          <t>A 8216-2025</t>
        </is>
      </c>
      <c r="B505" s="1" t="n">
        <v>45708.44947916667</v>
      </c>
      <c r="C505" s="1" t="n">
        <v>45892</v>
      </c>
      <c r="D505" t="inlineStr">
        <is>
          <t>JÄMTLANDS LÄN</t>
        </is>
      </c>
      <c r="E505" t="inlineStr">
        <is>
          <t>ÖSTERSUND</t>
        </is>
      </c>
      <c r="F505" t="inlineStr">
        <is>
          <t>Övriga Aktiebolag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20634-2023</t>
        </is>
      </c>
      <c r="B506" s="1" t="n">
        <v>45057.9441087963</v>
      </c>
      <c r="C506" s="1" t="n">
        <v>45892</v>
      </c>
      <c r="D506" t="inlineStr">
        <is>
          <t>JÄMTLANDS LÄN</t>
        </is>
      </c>
      <c r="E506" t="inlineStr">
        <is>
          <t>ÖSTERSUND</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47727-2023</t>
        </is>
      </c>
      <c r="B507" s="1" t="n">
        <v>45203</v>
      </c>
      <c r="C507" s="1" t="n">
        <v>45892</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60767-2022</t>
        </is>
      </c>
      <c r="B508" s="1" t="n">
        <v>44914.35599537037</v>
      </c>
      <c r="C508" s="1" t="n">
        <v>45892</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36566-2025</t>
        </is>
      </c>
      <c r="B509" s="1" t="n">
        <v>45869</v>
      </c>
      <c r="C509" s="1" t="n">
        <v>45892</v>
      </c>
      <c r="D509" t="inlineStr">
        <is>
          <t>JÄMTLANDS LÄN</t>
        </is>
      </c>
      <c r="E509" t="inlineStr">
        <is>
          <t>ÖSTERSUND</t>
        </is>
      </c>
      <c r="F509" t="inlineStr">
        <is>
          <t>Sveaskog</t>
        </is>
      </c>
      <c r="G509" t="n">
        <v>6.9</v>
      </c>
      <c r="H509" t="n">
        <v>0</v>
      </c>
      <c r="I509" t="n">
        <v>0</v>
      </c>
      <c r="J509" t="n">
        <v>0</v>
      </c>
      <c r="K509" t="n">
        <v>0</v>
      </c>
      <c r="L509" t="n">
        <v>0</v>
      </c>
      <c r="M509" t="n">
        <v>0</v>
      </c>
      <c r="N509" t="n">
        <v>0</v>
      </c>
      <c r="O509" t="n">
        <v>0</v>
      </c>
      <c r="P509" t="n">
        <v>0</v>
      </c>
      <c r="Q509" t="n">
        <v>0</v>
      </c>
      <c r="R509" s="2" t="inlineStr"/>
    </row>
    <row r="510" ht="15" customHeight="1">
      <c r="A510" t="inlineStr">
        <is>
          <t>A 10306-2023</t>
        </is>
      </c>
      <c r="B510" s="1" t="n">
        <v>44986.94196759259</v>
      </c>
      <c r="C510" s="1" t="n">
        <v>45892</v>
      </c>
      <c r="D510" t="inlineStr">
        <is>
          <t>JÄMTLANDS LÄN</t>
        </is>
      </c>
      <c r="E510" t="inlineStr">
        <is>
          <t>ÖSTERSUND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16306-2025</t>
        </is>
      </c>
      <c r="B511" s="1" t="n">
        <v>45751.34664351852</v>
      </c>
      <c r="C511" s="1" t="n">
        <v>45892</v>
      </c>
      <c r="D511" t="inlineStr">
        <is>
          <t>JÄMTLANDS LÄN</t>
        </is>
      </c>
      <c r="E511" t="inlineStr">
        <is>
          <t>ÖSTERSUND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32071-2025</t>
        </is>
      </c>
      <c r="B512" s="1" t="n">
        <v>45835.4491087963</v>
      </c>
      <c r="C512" s="1" t="n">
        <v>45892</v>
      </c>
      <c r="D512" t="inlineStr">
        <is>
          <t>JÄMTLANDS LÄN</t>
        </is>
      </c>
      <c r="E512" t="inlineStr">
        <is>
          <t>ÖSTERSUND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26321-2022</t>
        </is>
      </c>
      <c r="B513" s="1" t="n">
        <v>44735</v>
      </c>
      <c r="C513" s="1" t="n">
        <v>45892</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43252-2023</t>
        </is>
      </c>
      <c r="B514" s="1" t="n">
        <v>45183</v>
      </c>
      <c r="C514" s="1" t="n">
        <v>45892</v>
      </c>
      <c r="D514" t="inlineStr">
        <is>
          <t>JÄMTLANDS LÄN</t>
        </is>
      </c>
      <c r="E514" t="inlineStr">
        <is>
          <t>ÖSTERSUND</t>
        </is>
      </c>
      <c r="G514" t="n">
        <v>2.9</v>
      </c>
      <c r="H514" t="n">
        <v>0</v>
      </c>
      <c r="I514" t="n">
        <v>0</v>
      </c>
      <c r="J514" t="n">
        <v>0</v>
      </c>
      <c r="K514" t="n">
        <v>0</v>
      </c>
      <c r="L514" t="n">
        <v>0</v>
      </c>
      <c r="M514" t="n">
        <v>0</v>
      </c>
      <c r="N514" t="n">
        <v>0</v>
      </c>
      <c r="O514" t="n">
        <v>0</v>
      </c>
      <c r="P514" t="n">
        <v>0</v>
      </c>
      <c r="Q514" t="n">
        <v>0</v>
      </c>
      <c r="R514" s="2" t="inlineStr"/>
    </row>
    <row r="515" ht="15" customHeight="1">
      <c r="A515" t="inlineStr">
        <is>
          <t>A 55-2023</t>
        </is>
      </c>
      <c r="B515" s="1" t="n">
        <v>44928</v>
      </c>
      <c r="C515" s="1" t="n">
        <v>45892</v>
      </c>
      <c r="D515" t="inlineStr">
        <is>
          <t>JÄMTLANDS LÄN</t>
        </is>
      </c>
      <c r="E515" t="inlineStr">
        <is>
          <t>ÖSTERSUND</t>
        </is>
      </c>
      <c r="G515" t="n">
        <v>4</v>
      </c>
      <c r="H515" t="n">
        <v>0</v>
      </c>
      <c r="I515" t="n">
        <v>0</v>
      </c>
      <c r="J515" t="n">
        <v>0</v>
      </c>
      <c r="K515" t="n">
        <v>0</v>
      </c>
      <c r="L515" t="n">
        <v>0</v>
      </c>
      <c r="M515" t="n">
        <v>0</v>
      </c>
      <c r="N515" t="n">
        <v>0</v>
      </c>
      <c r="O515" t="n">
        <v>0</v>
      </c>
      <c r="P515" t="n">
        <v>0</v>
      </c>
      <c r="Q515" t="n">
        <v>0</v>
      </c>
      <c r="R515" s="2" t="inlineStr"/>
    </row>
    <row r="516" ht="15" customHeight="1">
      <c r="A516" t="inlineStr">
        <is>
          <t>A 22126-2021</t>
        </is>
      </c>
      <c r="B516" s="1" t="n">
        <v>44323</v>
      </c>
      <c r="C516" s="1" t="n">
        <v>45892</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60623-2022</t>
        </is>
      </c>
      <c r="B517" s="1" t="n">
        <v>44911.6459837963</v>
      </c>
      <c r="C517" s="1" t="n">
        <v>45892</v>
      </c>
      <c r="D517" t="inlineStr">
        <is>
          <t>JÄMTLANDS LÄN</t>
        </is>
      </c>
      <c r="E517" t="inlineStr">
        <is>
          <t>ÖSTERSUND</t>
        </is>
      </c>
      <c r="G517" t="n">
        <v>10.9</v>
      </c>
      <c r="H517" t="n">
        <v>0</v>
      </c>
      <c r="I517" t="n">
        <v>0</v>
      </c>
      <c r="J517" t="n">
        <v>0</v>
      </c>
      <c r="K517" t="n">
        <v>0</v>
      </c>
      <c r="L517" t="n">
        <v>0</v>
      </c>
      <c r="M517" t="n">
        <v>0</v>
      </c>
      <c r="N517" t="n">
        <v>0</v>
      </c>
      <c r="O517" t="n">
        <v>0</v>
      </c>
      <c r="P517" t="n">
        <v>0</v>
      </c>
      <c r="Q517" t="n">
        <v>0</v>
      </c>
      <c r="R517" s="2" t="inlineStr"/>
    </row>
    <row r="518" ht="15" customHeight="1">
      <c r="A518" t="inlineStr">
        <is>
          <t>A 30217-2022</t>
        </is>
      </c>
      <c r="B518" s="1" t="n">
        <v>44757.92671296297</v>
      </c>
      <c r="C518" s="1" t="n">
        <v>45892</v>
      </c>
      <c r="D518" t="inlineStr">
        <is>
          <t>JÄMTLANDS LÄN</t>
        </is>
      </c>
      <c r="E518" t="inlineStr">
        <is>
          <t>ÖSTERSUND</t>
        </is>
      </c>
      <c r="G518" t="n">
        <v>2.9</v>
      </c>
      <c r="H518" t="n">
        <v>0</v>
      </c>
      <c r="I518" t="n">
        <v>0</v>
      </c>
      <c r="J518" t="n">
        <v>0</v>
      </c>
      <c r="K518" t="n">
        <v>0</v>
      </c>
      <c r="L518" t="n">
        <v>0</v>
      </c>
      <c r="M518" t="n">
        <v>0</v>
      </c>
      <c r="N518" t="n">
        <v>0</v>
      </c>
      <c r="O518" t="n">
        <v>0</v>
      </c>
      <c r="P518" t="n">
        <v>0</v>
      </c>
      <c r="Q518" t="n">
        <v>0</v>
      </c>
      <c r="R518" s="2" t="inlineStr"/>
    </row>
    <row r="519" ht="15" customHeight="1">
      <c r="A519" t="inlineStr">
        <is>
          <t>A 3615-2025</t>
        </is>
      </c>
      <c r="B519" s="1" t="n">
        <v>45681.36493055556</v>
      </c>
      <c r="C519" s="1" t="n">
        <v>45892</v>
      </c>
      <c r="D519" t="inlineStr">
        <is>
          <t>JÄMTLANDS LÄN</t>
        </is>
      </c>
      <c r="E519" t="inlineStr">
        <is>
          <t>ÖSTERSUND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3651-2025</t>
        </is>
      </c>
      <c r="B520" s="1" t="n">
        <v>45681.40689814815</v>
      </c>
      <c r="C520" s="1" t="n">
        <v>45892</v>
      </c>
      <c r="D520" t="inlineStr">
        <is>
          <t>JÄMTLANDS LÄN</t>
        </is>
      </c>
      <c r="E520" t="inlineStr">
        <is>
          <t>ÖSTERSUND</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3664-2025</t>
        </is>
      </c>
      <c r="B521" s="1" t="n">
        <v>45681.4275462963</v>
      </c>
      <c r="C521" s="1" t="n">
        <v>45892</v>
      </c>
      <c r="D521" t="inlineStr">
        <is>
          <t>JÄMTLANDS LÄN</t>
        </is>
      </c>
      <c r="E521" t="inlineStr">
        <is>
          <t>ÖSTERSUND</t>
        </is>
      </c>
      <c r="F521" t="inlineStr">
        <is>
          <t>SCA</t>
        </is>
      </c>
      <c r="G521" t="n">
        <v>10.9</v>
      </c>
      <c r="H521" t="n">
        <v>0</v>
      </c>
      <c r="I521" t="n">
        <v>0</v>
      </c>
      <c r="J521" t="n">
        <v>0</v>
      </c>
      <c r="K521" t="n">
        <v>0</v>
      </c>
      <c r="L521" t="n">
        <v>0</v>
      </c>
      <c r="M521" t="n">
        <v>0</v>
      </c>
      <c r="N521" t="n">
        <v>0</v>
      </c>
      <c r="O521" t="n">
        <v>0</v>
      </c>
      <c r="P521" t="n">
        <v>0</v>
      </c>
      <c r="Q521" t="n">
        <v>0</v>
      </c>
      <c r="R521" s="2" t="inlineStr"/>
    </row>
    <row r="522" ht="15" customHeight="1">
      <c r="A522" t="inlineStr">
        <is>
          <t>A 12821-2023</t>
        </is>
      </c>
      <c r="B522" s="1" t="n">
        <v>45000</v>
      </c>
      <c r="C522" s="1" t="n">
        <v>45892</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39928-2022</t>
        </is>
      </c>
      <c r="B523" s="1" t="n">
        <v>44819</v>
      </c>
      <c r="C523" s="1" t="n">
        <v>45892</v>
      </c>
      <c r="D523" t="inlineStr">
        <is>
          <t>JÄMTLANDS LÄN</t>
        </is>
      </c>
      <c r="E523" t="inlineStr">
        <is>
          <t>ÖSTERSUND</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55140-2023</t>
        </is>
      </c>
      <c r="B524" s="1" t="n">
        <v>45237.50966435186</v>
      </c>
      <c r="C524" s="1" t="n">
        <v>45892</v>
      </c>
      <c r="D524" t="inlineStr">
        <is>
          <t>JÄMTLANDS LÄN</t>
        </is>
      </c>
      <c r="E524" t="inlineStr">
        <is>
          <t>ÖSTERSUND</t>
        </is>
      </c>
      <c r="G524" t="n">
        <v>1.8</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44883.44737268519</v>
      </c>
      <c r="C525" s="1" t="n">
        <v>45892</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11052-2024</t>
        </is>
      </c>
      <c r="B526" s="1" t="n">
        <v>45370</v>
      </c>
      <c r="C526" s="1" t="n">
        <v>45892</v>
      </c>
      <c r="D526" t="inlineStr">
        <is>
          <t>JÄMTLANDS LÄN</t>
        </is>
      </c>
      <c r="E526" t="inlineStr">
        <is>
          <t>ÖSTERSUND</t>
        </is>
      </c>
      <c r="G526" t="n">
        <v>2.3</v>
      </c>
      <c r="H526" t="n">
        <v>0</v>
      </c>
      <c r="I526" t="n">
        <v>0</v>
      </c>
      <c r="J526" t="n">
        <v>0</v>
      </c>
      <c r="K526" t="n">
        <v>0</v>
      </c>
      <c r="L526" t="n">
        <v>0</v>
      </c>
      <c r="M526" t="n">
        <v>0</v>
      </c>
      <c r="N526" t="n">
        <v>0</v>
      </c>
      <c r="O526" t="n">
        <v>0</v>
      </c>
      <c r="P526" t="n">
        <v>0</v>
      </c>
      <c r="Q526" t="n">
        <v>0</v>
      </c>
      <c r="R526" s="2" t="inlineStr"/>
    </row>
    <row r="527" ht="15" customHeight="1">
      <c r="A527" t="inlineStr">
        <is>
          <t>A 44798-2023</t>
        </is>
      </c>
      <c r="B527" s="1" t="n">
        <v>45190</v>
      </c>
      <c r="C527" s="1" t="n">
        <v>45892</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4936-2025</t>
        </is>
      </c>
      <c r="B528" s="1" t="n">
        <v>45688.69356481481</v>
      </c>
      <c r="C528" s="1" t="n">
        <v>45892</v>
      </c>
      <c r="D528" t="inlineStr">
        <is>
          <t>JÄMTLANDS LÄN</t>
        </is>
      </c>
      <c r="E528" t="inlineStr">
        <is>
          <t>ÖSTERSUND</t>
        </is>
      </c>
      <c r="G528" t="n">
        <v>8.1</v>
      </c>
      <c r="H528" t="n">
        <v>0</v>
      </c>
      <c r="I528" t="n">
        <v>0</v>
      </c>
      <c r="J528" t="n">
        <v>0</v>
      </c>
      <c r="K528" t="n">
        <v>0</v>
      </c>
      <c r="L528" t="n">
        <v>0</v>
      </c>
      <c r="M528" t="n">
        <v>0</v>
      </c>
      <c r="N528" t="n">
        <v>0</v>
      </c>
      <c r="O528" t="n">
        <v>0</v>
      </c>
      <c r="P528" t="n">
        <v>0</v>
      </c>
      <c r="Q528" t="n">
        <v>0</v>
      </c>
      <c r="R528" s="2" t="inlineStr"/>
    </row>
    <row r="529" ht="15" customHeight="1">
      <c r="A529" t="inlineStr">
        <is>
          <t>A 32279-2025</t>
        </is>
      </c>
      <c r="B529" s="1" t="n">
        <v>45835.67109953704</v>
      </c>
      <c r="C529" s="1" t="n">
        <v>45892</v>
      </c>
      <c r="D529" t="inlineStr">
        <is>
          <t>JÄMTLANDS LÄN</t>
        </is>
      </c>
      <c r="E529" t="inlineStr">
        <is>
          <t>ÖSTERSUND</t>
        </is>
      </c>
      <c r="G529" t="n">
        <v>3.5</v>
      </c>
      <c r="H529" t="n">
        <v>0</v>
      </c>
      <c r="I529" t="n">
        <v>0</v>
      </c>
      <c r="J529" t="n">
        <v>0</v>
      </c>
      <c r="K529" t="n">
        <v>0</v>
      </c>
      <c r="L529" t="n">
        <v>0</v>
      </c>
      <c r="M529" t="n">
        <v>0</v>
      </c>
      <c r="N529" t="n">
        <v>0</v>
      </c>
      <c r="O529" t="n">
        <v>0</v>
      </c>
      <c r="P529" t="n">
        <v>0</v>
      </c>
      <c r="Q529" t="n">
        <v>0</v>
      </c>
      <c r="R529" s="2" t="inlineStr"/>
    </row>
    <row r="530" ht="15" customHeight="1">
      <c r="A530" t="inlineStr">
        <is>
          <t>A 37597-2023</t>
        </is>
      </c>
      <c r="B530" s="1" t="n">
        <v>45159.42180555555</v>
      </c>
      <c r="C530" s="1" t="n">
        <v>45892</v>
      </c>
      <c r="D530" t="inlineStr">
        <is>
          <t>JÄMTLANDS LÄN</t>
        </is>
      </c>
      <c r="E530" t="inlineStr">
        <is>
          <t>ÖSTERSUND</t>
        </is>
      </c>
      <c r="G530" t="n">
        <v>4.7</v>
      </c>
      <c r="H530" t="n">
        <v>0</v>
      </c>
      <c r="I530" t="n">
        <v>0</v>
      </c>
      <c r="J530" t="n">
        <v>0</v>
      </c>
      <c r="K530" t="n">
        <v>0</v>
      </c>
      <c r="L530" t="n">
        <v>0</v>
      </c>
      <c r="M530" t="n">
        <v>0</v>
      </c>
      <c r="N530" t="n">
        <v>0</v>
      </c>
      <c r="O530" t="n">
        <v>0</v>
      </c>
      <c r="P530" t="n">
        <v>0</v>
      </c>
      <c r="Q530" t="n">
        <v>0</v>
      </c>
      <c r="R530" s="2" t="inlineStr"/>
    </row>
    <row r="531" ht="15" customHeight="1">
      <c r="A531" t="inlineStr">
        <is>
          <t>A 6877-2024</t>
        </is>
      </c>
      <c r="B531" s="1" t="n">
        <v>45342</v>
      </c>
      <c r="C531" s="1" t="n">
        <v>45892</v>
      </c>
      <c r="D531" t="inlineStr">
        <is>
          <t>JÄMTLANDS LÄN</t>
        </is>
      </c>
      <c r="E531" t="inlineStr">
        <is>
          <t>ÖSTERSUND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55365-2024</t>
        </is>
      </c>
      <c r="B532" s="1" t="n">
        <v>45621.86827546296</v>
      </c>
      <c r="C532" s="1" t="n">
        <v>45892</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9971-2025</t>
        </is>
      </c>
      <c r="B533" s="1" t="n">
        <v>45719.38630787037</v>
      </c>
      <c r="C533" s="1" t="n">
        <v>45892</v>
      </c>
      <c r="D533" t="inlineStr">
        <is>
          <t>JÄMTLANDS LÄN</t>
        </is>
      </c>
      <c r="E533" t="inlineStr">
        <is>
          <t>ÖSTERSUND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44048-2024</t>
        </is>
      </c>
      <c r="B534" s="1" t="n">
        <v>45572.59430555555</v>
      </c>
      <c r="C534" s="1" t="n">
        <v>45892</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45892</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1322-2021</t>
        </is>
      </c>
      <c r="B536" s="1" t="n">
        <v>44208</v>
      </c>
      <c r="C536" s="1" t="n">
        <v>45892</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32358-2025</t>
        </is>
      </c>
      <c r="B537" s="1" t="n">
        <v>45837.57481481481</v>
      </c>
      <c r="C537" s="1" t="n">
        <v>45892</v>
      </c>
      <c r="D537" t="inlineStr">
        <is>
          <t>JÄMTLANDS LÄN</t>
        </is>
      </c>
      <c r="E537" t="inlineStr">
        <is>
          <t>ÖSTERSUND</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32353-2025</t>
        </is>
      </c>
      <c r="B538" s="1" t="n">
        <v>45837.51741898148</v>
      </c>
      <c r="C538" s="1" t="n">
        <v>45892</v>
      </c>
      <c r="D538" t="inlineStr">
        <is>
          <t>JÄMTLANDS LÄN</t>
        </is>
      </c>
      <c r="E538" t="inlineStr">
        <is>
          <t>ÖSTERSUND</t>
        </is>
      </c>
      <c r="F538" t="inlineStr">
        <is>
          <t>Övriga Aktiebolag</t>
        </is>
      </c>
      <c r="G538" t="n">
        <v>4.8</v>
      </c>
      <c r="H538" t="n">
        <v>0</v>
      </c>
      <c r="I538" t="n">
        <v>0</v>
      </c>
      <c r="J538" t="n">
        <v>0</v>
      </c>
      <c r="K538" t="n">
        <v>0</v>
      </c>
      <c r="L538" t="n">
        <v>0</v>
      </c>
      <c r="M538" t="n">
        <v>0</v>
      </c>
      <c r="N538" t="n">
        <v>0</v>
      </c>
      <c r="O538" t="n">
        <v>0</v>
      </c>
      <c r="P538" t="n">
        <v>0</v>
      </c>
      <c r="Q538" t="n">
        <v>0</v>
      </c>
      <c r="R538" s="2" t="inlineStr"/>
    </row>
    <row r="539" ht="15" customHeight="1">
      <c r="A539" t="inlineStr">
        <is>
          <t>A 32369-2025</t>
        </is>
      </c>
      <c r="B539" s="1" t="n">
        <v>45837.67381944445</v>
      </c>
      <c r="C539" s="1" t="n">
        <v>45892</v>
      </c>
      <c r="D539" t="inlineStr">
        <is>
          <t>JÄMTLANDS LÄN</t>
        </is>
      </c>
      <c r="E539" t="inlineStr">
        <is>
          <t>ÖSTERSUND</t>
        </is>
      </c>
      <c r="F539" t="inlineStr">
        <is>
          <t>Övriga Aktiebolag</t>
        </is>
      </c>
      <c r="G539" t="n">
        <v>5.7</v>
      </c>
      <c r="H539" t="n">
        <v>0</v>
      </c>
      <c r="I539" t="n">
        <v>0</v>
      </c>
      <c r="J539" t="n">
        <v>0</v>
      </c>
      <c r="K539" t="n">
        <v>0</v>
      </c>
      <c r="L539" t="n">
        <v>0</v>
      </c>
      <c r="M539" t="n">
        <v>0</v>
      </c>
      <c r="N539" t="n">
        <v>0</v>
      </c>
      <c r="O539" t="n">
        <v>0</v>
      </c>
      <c r="P539" t="n">
        <v>0</v>
      </c>
      <c r="Q539" t="n">
        <v>0</v>
      </c>
      <c r="R539" s="2" t="inlineStr"/>
    </row>
    <row r="540" ht="15" customHeight="1">
      <c r="A540" t="inlineStr">
        <is>
          <t>A 6351-2024</t>
        </is>
      </c>
      <c r="B540" s="1" t="n">
        <v>45338</v>
      </c>
      <c r="C540" s="1" t="n">
        <v>45892</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32368-2025</t>
        </is>
      </c>
      <c r="B541" s="1" t="n">
        <v>45837.66230324074</v>
      </c>
      <c r="C541" s="1" t="n">
        <v>45892</v>
      </c>
      <c r="D541" t="inlineStr">
        <is>
          <t>JÄMTLANDS LÄN</t>
        </is>
      </c>
      <c r="E541" t="inlineStr">
        <is>
          <t>ÖSTERSUND</t>
        </is>
      </c>
      <c r="F541" t="inlineStr">
        <is>
          <t>Övriga Aktiebolag</t>
        </is>
      </c>
      <c r="G541" t="n">
        <v>19.5</v>
      </c>
      <c r="H541" t="n">
        <v>0</v>
      </c>
      <c r="I541" t="n">
        <v>0</v>
      </c>
      <c r="J541" t="n">
        <v>0</v>
      </c>
      <c r="K541" t="n">
        <v>0</v>
      </c>
      <c r="L541" t="n">
        <v>0</v>
      </c>
      <c r="M541" t="n">
        <v>0</v>
      </c>
      <c r="N541" t="n">
        <v>0</v>
      </c>
      <c r="O541" t="n">
        <v>0</v>
      </c>
      <c r="P541" t="n">
        <v>0</v>
      </c>
      <c r="Q541" t="n">
        <v>0</v>
      </c>
      <c r="R541" s="2" t="inlineStr"/>
    </row>
    <row r="542" ht="15" customHeight="1">
      <c r="A542" t="inlineStr">
        <is>
          <t>A 60349-2024</t>
        </is>
      </c>
      <c r="B542" s="1" t="n">
        <v>45643.42986111111</v>
      </c>
      <c r="C542" s="1" t="n">
        <v>45892</v>
      </c>
      <c r="D542" t="inlineStr">
        <is>
          <t>JÄMTLANDS LÄN</t>
        </is>
      </c>
      <c r="E542" t="inlineStr">
        <is>
          <t>ÖSTERSUND</t>
        </is>
      </c>
      <c r="F542" t="inlineStr">
        <is>
          <t>Sveaskog</t>
        </is>
      </c>
      <c r="G542" t="n">
        <v>16.6</v>
      </c>
      <c r="H542" t="n">
        <v>0</v>
      </c>
      <c r="I542" t="n">
        <v>0</v>
      </c>
      <c r="J542" t="n">
        <v>0</v>
      </c>
      <c r="K542" t="n">
        <v>0</v>
      </c>
      <c r="L542" t="n">
        <v>0</v>
      </c>
      <c r="M542" t="n">
        <v>0</v>
      </c>
      <c r="N542" t="n">
        <v>0</v>
      </c>
      <c r="O542" t="n">
        <v>0</v>
      </c>
      <c r="P542" t="n">
        <v>0</v>
      </c>
      <c r="Q542" t="n">
        <v>0</v>
      </c>
      <c r="R542" s="2" t="inlineStr"/>
    </row>
    <row r="543" ht="15" customHeight="1">
      <c r="A543" t="inlineStr">
        <is>
          <t>A 18627-2024</t>
        </is>
      </c>
      <c r="B543" s="1" t="n">
        <v>45425.96443287037</v>
      </c>
      <c r="C543" s="1" t="n">
        <v>45892</v>
      </c>
      <c r="D543" t="inlineStr">
        <is>
          <t>JÄMTLANDS LÄN</t>
        </is>
      </c>
      <c r="E543" t="inlineStr">
        <is>
          <t>ÖSTERSUND</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45892</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3255-2025</t>
        </is>
      </c>
      <c r="B545" s="1" t="n">
        <v>45679.55256944444</v>
      </c>
      <c r="C545" s="1" t="n">
        <v>45892</v>
      </c>
      <c r="D545" t="inlineStr">
        <is>
          <t>JÄMTLANDS LÄN</t>
        </is>
      </c>
      <c r="E545" t="inlineStr">
        <is>
          <t>ÖSTERSUND</t>
        </is>
      </c>
      <c r="F545" t="inlineStr">
        <is>
          <t>SCA</t>
        </is>
      </c>
      <c r="G545" t="n">
        <v>16.7</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45892</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45892</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58364-2024</t>
        </is>
      </c>
      <c r="B548" s="1" t="n">
        <v>45632.68814814815</v>
      </c>
      <c r="C548" s="1" t="n">
        <v>45892</v>
      </c>
      <c r="D548" t="inlineStr">
        <is>
          <t>JÄMTLANDS LÄN</t>
        </is>
      </c>
      <c r="E548" t="inlineStr">
        <is>
          <t>ÖSTERSUND</t>
        </is>
      </c>
      <c r="G548" t="n">
        <v>5.5</v>
      </c>
      <c r="H548" t="n">
        <v>0</v>
      </c>
      <c r="I548" t="n">
        <v>0</v>
      </c>
      <c r="J548" t="n">
        <v>0</v>
      </c>
      <c r="K548" t="n">
        <v>0</v>
      </c>
      <c r="L548" t="n">
        <v>0</v>
      </c>
      <c r="M548" t="n">
        <v>0</v>
      </c>
      <c r="N548" t="n">
        <v>0</v>
      </c>
      <c r="O548" t="n">
        <v>0</v>
      </c>
      <c r="P548" t="n">
        <v>0</v>
      </c>
      <c r="Q548" t="n">
        <v>0</v>
      </c>
      <c r="R548" s="2" t="inlineStr"/>
    </row>
    <row r="549" ht="15" customHeight="1">
      <c r="A549" t="inlineStr">
        <is>
          <t>A 33358-2025</t>
        </is>
      </c>
      <c r="B549" s="1" t="n">
        <v>45841.38054398148</v>
      </c>
      <c r="C549" s="1" t="n">
        <v>45892</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33801-2022</t>
        </is>
      </c>
      <c r="B550" s="1" t="n">
        <v>44790</v>
      </c>
      <c r="C550" s="1" t="n">
        <v>45892</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3997-2025</t>
        </is>
      </c>
      <c r="B551" s="1" t="n">
        <v>45684.56725694444</v>
      </c>
      <c r="C551" s="1" t="n">
        <v>45892</v>
      </c>
      <c r="D551" t="inlineStr">
        <is>
          <t>JÄMTLANDS LÄN</t>
        </is>
      </c>
      <c r="E551" t="inlineStr">
        <is>
          <t>ÖSTERSUND</t>
        </is>
      </c>
      <c r="G551" t="n">
        <v>1.9</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45892</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64645-2021</t>
        </is>
      </c>
      <c r="B553" s="1" t="n">
        <v>44511.94629629629</v>
      </c>
      <c r="C553" s="1" t="n">
        <v>45892</v>
      </c>
      <c r="D553" t="inlineStr">
        <is>
          <t>JÄMTLANDS LÄN</t>
        </is>
      </c>
      <c r="E553" t="inlineStr">
        <is>
          <t>ÖSTERSUND</t>
        </is>
      </c>
      <c r="G553" t="n">
        <v>3.2</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45892</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2686-2021</t>
        </is>
      </c>
      <c r="B555" s="1" t="n">
        <v>44214</v>
      </c>
      <c r="C555" s="1" t="n">
        <v>45892</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33831-2021</t>
        </is>
      </c>
      <c r="B556" s="1" t="n">
        <v>44378</v>
      </c>
      <c r="C556" s="1" t="n">
        <v>45892</v>
      </c>
      <c r="D556" t="inlineStr">
        <is>
          <t>JÄMTLANDS LÄN</t>
        </is>
      </c>
      <c r="E556" t="inlineStr">
        <is>
          <t>ÖSTERSUND</t>
        </is>
      </c>
      <c r="G556" t="n">
        <v>2.5</v>
      </c>
      <c r="H556" t="n">
        <v>0</v>
      </c>
      <c r="I556" t="n">
        <v>0</v>
      </c>
      <c r="J556" t="n">
        <v>0</v>
      </c>
      <c r="K556" t="n">
        <v>0</v>
      </c>
      <c r="L556" t="n">
        <v>0</v>
      </c>
      <c r="M556" t="n">
        <v>0</v>
      </c>
      <c r="N556" t="n">
        <v>0</v>
      </c>
      <c r="O556" t="n">
        <v>0</v>
      </c>
      <c r="P556" t="n">
        <v>0</v>
      </c>
      <c r="Q556" t="n">
        <v>0</v>
      </c>
      <c r="R556" s="2" t="inlineStr"/>
    </row>
    <row r="557" ht="15" customHeight="1">
      <c r="A557" t="inlineStr">
        <is>
          <t>A 846-2024</t>
        </is>
      </c>
      <c r="B557" s="1" t="n">
        <v>45300</v>
      </c>
      <c r="C557" s="1" t="n">
        <v>45892</v>
      </c>
      <c r="D557" t="inlineStr">
        <is>
          <t>JÄMTLANDS LÄN</t>
        </is>
      </c>
      <c r="E557" t="inlineStr">
        <is>
          <t>ÖSTERSUND</t>
        </is>
      </c>
      <c r="G557" t="n">
        <v>2.8</v>
      </c>
      <c r="H557" t="n">
        <v>0</v>
      </c>
      <c r="I557" t="n">
        <v>0</v>
      </c>
      <c r="J557" t="n">
        <v>0</v>
      </c>
      <c r="K557" t="n">
        <v>0</v>
      </c>
      <c r="L557" t="n">
        <v>0</v>
      </c>
      <c r="M557" t="n">
        <v>0</v>
      </c>
      <c r="N557" t="n">
        <v>0</v>
      </c>
      <c r="O557" t="n">
        <v>0</v>
      </c>
      <c r="P557" t="n">
        <v>0</v>
      </c>
      <c r="Q557" t="n">
        <v>0</v>
      </c>
      <c r="R557" s="2" t="inlineStr"/>
    </row>
    <row r="558" ht="15" customHeight="1">
      <c r="A558" t="inlineStr">
        <is>
          <t>A 38871-2025</t>
        </is>
      </c>
      <c r="B558" s="1" t="n">
        <v>45887.57407407407</v>
      </c>
      <c r="C558" s="1" t="n">
        <v>45892</v>
      </c>
      <c r="D558" t="inlineStr">
        <is>
          <t>JÄMTLANDS LÄN</t>
        </is>
      </c>
      <c r="E558" t="inlineStr">
        <is>
          <t>ÖSTERSUND</t>
        </is>
      </c>
      <c r="G558" t="n">
        <v>3</v>
      </c>
      <c r="H558" t="n">
        <v>0</v>
      </c>
      <c r="I558" t="n">
        <v>0</v>
      </c>
      <c r="J558" t="n">
        <v>0</v>
      </c>
      <c r="K558" t="n">
        <v>0</v>
      </c>
      <c r="L558" t="n">
        <v>0</v>
      </c>
      <c r="M558" t="n">
        <v>0</v>
      </c>
      <c r="N558" t="n">
        <v>0</v>
      </c>
      <c r="O558" t="n">
        <v>0</v>
      </c>
      <c r="P558" t="n">
        <v>0</v>
      </c>
      <c r="Q558" t="n">
        <v>0</v>
      </c>
      <c r="R558" s="2" t="inlineStr"/>
    </row>
    <row r="559" ht="15" customHeight="1">
      <c r="A559" t="inlineStr">
        <is>
          <t>A 12102-2025</t>
        </is>
      </c>
      <c r="B559" s="1" t="n">
        <v>45729.3425</v>
      </c>
      <c r="C559" s="1" t="n">
        <v>45892</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51936-2023</t>
        </is>
      </c>
      <c r="B560" s="1" t="n">
        <v>45223.5036574074</v>
      </c>
      <c r="C560" s="1" t="n">
        <v>45892</v>
      </c>
      <c r="D560" t="inlineStr">
        <is>
          <t>JÄMTLANDS LÄN</t>
        </is>
      </c>
      <c r="E560" t="inlineStr">
        <is>
          <t>ÖSTERSUND</t>
        </is>
      </c>
      <c r="G560" t="n">
        <v>8.4</v>
      </c>
      <c r="H560" t="n">
        <v>0</v>
      </c>
      <c r="I560" t="n">
        <v>0</v>
      </c>
      <c r="J560" t="n">
        <v>0</v>
      </c>
      <c r="K560" t="n">
        <v>0</v>
      </c>
      <c r="L560" t="n">
        <v>0</v>
      </c>
      <c r="M560" t="n">
        <v>0</v>
      </c>
      <c r="N560" t="n">
        <v>0</v>
      </c>
      <c r="O560" t="n">
        <v>0</v>
      </c>
      <c r="P560" t="n">
        <v>0</v>
      </c>
      <c r="Q560" t="n">
        <v>0</v>
      </c>
      <c r="R560" s="2" t="inlineStr"/>
    </row>
    <row r="561" ht="15" customHeight="1">
      <c r="A561" t="inlineStr">
        <is>
          <t>A 38853-2025</t>
        </is>
      </c>
      <c r="B561" s="1" t="n">
        <v>45887.55666666666</v>
      </c>
      <c r="C561" s="1" t="n">
        <v>45892</v>
      </c>
      <c r="D561" t="inlineStr">
        <is>
          <t>JÄMTLANDS LÄN</t>
        </is>
      </c>
      <c r="E561" t="inlineStr">
        <is>
          <t>ÖSTERSUND</t>
        </is>
      </c>
      <c r="G561" t="n">
        <v>2.5</v>
      </c>
      <c r="H561" t="n">
        <v>0</v>
      </c>
      <c r="I561" t="n">
        <v>0</v>
      </c>
      <c r="J561" t="n">
        <v>0</v>
      </c>
      <c r="K561" t="n">
        <v>0</v>
      </c>
      <c r="L561" t="n">
        <v>0</v>
      </c>
      <c r="M561" t="n">
        <v>0</v>
      </c>
      <c r="N561" t="n">
        <v>0</v>
      </c>
      <c r="O561" t="n">
        <v>0</v>
      </c>
      <c r="P561" t="n">
        <v>0</v>
      </c>
      <c r="Q561" t="n">
        <v>0</v>
      </c>
      <c r="R561" s="2" t="inlineStr"/>
    </row>
    <row r="562" ht="15" customHeight="1">
      <c r="A562" t="inlineStr">
        <is>
          <t>A 54973-2023</t>
        </is>
      </c>
      <c r="B562" s="1" t="n">
        <v>45236.92776620371</v>
      </c>
      <c r="C562" s="1" t="n">
        <v>45892</v>
      </c>
      <c r="D562" t="inlineStr">
        <is>
          <t>JÄMTLANDS LÄN</t>
        </is>
      </c>
      <c r="E562" t="inlineStr">
        <is>
          <t>ÖSTERSUND</t>
        </is>
      </c>
      <c r="G562" t="n">
        <v>15.4</v>
      </c>
      <c r="H562" t="n">
        <v>0</v>
      </c>
      <c r="I562" t="n">
        <v>0</v>
      </c>
      <c r="J562" t="n">
        <v>0</v>
      </c>
      <c r="K562" t="n">
        <v>0</v>
      </c>
      <c r="L562" t="n">
        <v>0</v>
      </c>
      <c r="M562" t="n">
        <v>0</v>
      </c>
      <c r="N562" t="n">
        <v>0</v>
      </c>
      <c r="O562" t="n">
        <v>0</v>
      </c>
      <c r="P562" t="n">
        <v>0</v>
      </c>
      <c r="Q562" t="n">
        <v>0</v>
      </c>
      <c r="R562" s="2" t="inlineStr"/>
    </row>
    <row r="563" ht="15" customHeight="1">
      <c r="A563" t="inlineStr">
        <is>
          <t>A 28179-2024</t>
        </is>
      </c>
      <c r="B563" s="1" t="n">
        <v>45477.26746527778</v>
      </c>
      <c r="C563" s="1" t="n">
        <v>45892</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39030-2025</t>
        </is>
      </c>
      <c r="B564" s="1" t="n">
        <v>45888.40700231482</v>
      </c>
      <c r="C564" s="1" t="n">
        <v>45892</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34490-2025</t>
        </is>
      </c>
      <c r="B565" s="1" t="n">
        <v>45847.40722222222</v>
      </c>
      <c r="C565" s="1" t="n">
        <v>45892</v>
      </c>
      <c r="D565" t="inlineStr">
        <is>
          <t>JÄMTLANDS LÄN</t>
        </is>
      </c>
      <c r="E565" t="inlineStr">
        <is>
          <t>ÖSTERSUND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45892</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207-2025</t>
        </is>
      </c>
      <c r="B567" s="1" t="n">
        <v>45660.32672453704</v>
      </c>
      <c r="C567" s="1" t="n">
        <v>45892</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34331-2025</t>
        </is>
      </c>
      <c r="B568" s="1" t="n">
        <v>45846.44827546296</v>
      </c>
      <c r="C568" s="1" t="n">
        <v>45892</v>
      </c>
      <c r="D568" t="inlineStr">
        <is>
          <t>JÄMTLANDS LÄN</t>
        </is>
      </c>
      <c r="E568" t="inlineStr">
        <is>
          <t>ÖSTERSUND</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39103-2025</t>
        </is>
      </c>
      <c r="B569" s="1" t="n">
        <v>45888.52440972222</v>
      </c>
      <c r="C569" s="1" t="n">
        <v>45892</v>
      </c>
      <c r="D569" t="inlineStr">
        <is>
          <t>JÄMTLANDS LÄN</t>
        </is>
      </c>
      <c r="E569" t="inlineStr">
        <is>
          <t>ÖSTERSUND</t>
        </is>
      </c>
      <c r="G569" t="n">
        <v>23.9</v>
      </c>
      <c r="H569" t="n">
        <v>0</v>
      </c>
      <c r="I569" t="n">
        <v>0</v>
      </c>
      <c r="J569" t="n">
        <v>0</v>
      </c>
      <c r="K569" t="n">
        <v>0</v>
      </c>
      <c r="L569" t="n">
        <v>0</v>
      </c>
      <c r="M569" t="n">
        <v>0</v>
      </c>
      <c r="N569" t="n">
        <v>0</v>
      </c>
      <c r="O569" t="n">
        <v>0</v>
      </c>
      <c r="P569" t="n">
        <v>0</v>
      </c>
      <c r="Q569" t="n">
        <v>0</v>
      </c>
      <c r="R569" s="2" t="inlineStr"/>
    </row>
    <row r="570" ht="15" customHeight="1">
      <c r="A570" t="inlineStr">
        <is>
          <t>A 13738-2025</t>
        </is>
      </c>
      <c r="B570" s="1" t="n">
        <v>45737.40131944444</v>
      </c>
      <c r="C570" s="1" t="n">
        <v>45892</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7233-2024</t>
        </is>
      </c>
      <c r="B571" s="1" t="n">
        <v>45344</v>
      </c>
      <c r="C571" s="1" t="n">
        <v>45892</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7030-2025</t>
        </is>
      </c>
      <c r="B572" s="1" t="n">
        <v>45701.633125</v>
      </c>
      <c r="C572" s="1" t="n">
        <v>45892</v>
      </c>
      <c r="D572" t="inlineStr">
        <is>
          <t>JÄMTLANDS LÄN</t>
        </is>
      </c>
      <c r="E572" t="inlineStr">
        <is>
          <t>ÖSTERSUND</t>
        </is>
      </c>
      <c r="G572" t="n">
        <v>4.2</v>
      </c>
      <c r="H572" t="n">
        <v>0</v>
      </c>
      <c r="I572" t="n">
        <v>0</v>
      </c>
      <c r="J572" t="n">
        <v>0</v>
      </c>
      <c r="K572" t="n">
        <v>0</v>
      </c>
      <c r="L572" t="n">
        <v>0</v>
      </c>
      <c r="M572" t="n">
        <v>0</v>
      </c>
      <c r="N572" t="n">
        <v>0</v>
      </c>
      <c r="O572" t="n">
        <v>0</v>
      </c>
      <c r="P572" t="n">
        <v>0</v>
      </c>
      <c r="Q572" t="n">
        <v>0</v>
      </c>
      <c r="R572" s="2" t="inlineStr"/>
    </row>
    <row r="573" ht="15" customHeight="1">
      <c r="A573" t="inlineStr">
        <is>
          <t>A 34589-2025</t>
        </is>
      </c>
      <c r="B573" s="1" t="n">
        <v>45847.61561342593</v>
      </c>
      <c r="C573" s="1" t="n">
        <v>45892</v>
      </c>
      <c r="D573" t="inlineStr">
        <is>
          <t>JÄMTLANDS LÄN</t>
        </is>
      </c>
      <c r="E573" t="inlineStr">
        <is>
          <t>ÖSTERSUND</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34587-2025</t>
        </is>
      </c>
      <c r="B574" s="1" t="n">
        <v>45847.61533564814</v>
      </c>
      <c r="C574" s="1" t="n">
        <v>45892</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14182-2025</t>
        </is>
      </c>
      <c r="B575" s="1" t="n">
        <v>45740.54168981482</v>
      </c>
      <c r="C575" s="1" t="n">
        <v>45892</v>
      </c>
      <c r="D575" t="inlineStr">
        <is>
          <t>JÄMTLANDS LÄN</t>
        </is>
      </c>
      <c r="E575" t="inlineStr">
        <is>
          <t>ÖSTERSUND</t>
        </is>
      </c>
      <c r="F575" t="inlineStr">
        <is>
          <t>Övriga Aktiebolag</t>
        </is>
      </c>
      <c r="G575" t="n">
        <v>20.1</v>
      </c>
      <c r="H575" t="n">
        <v>0</v>
      </c>
      <c r="I575" t="n">
        <v>0</v>
      </c>
      <c r="J575" t="n">
        <v>0</v>
      </c>
      <c r="K575" t="n">
        <v>0</v>
      </c>
      <c r="L575" t="n">
        <v>0</v>
      </c>
      <c r="M575" t="n">
        <v>0</v>
      </c>
      <c r="N575" t="n">
        <v>0</v>
      </c>
      <c r="O575" t="n">
        <v>0</v>
      </c>
      <c r="P575" t="n">
        <v>0</v>
      </c>
      <c r="Q575" t="n">
        <v>0</v>
      </c>
      <c r="R575" s="2" t="inlineStr"/>
    </row>
    <row r="576" ht="15" customHeight="1">
      <c r="A576" t="inlineStr">
        <is>
          <t>A 18577-2025</t>
        </is>
      </c>
      <c r="B576" s="1" t="n">
        <v>45763</v>
      </c>
      <c r="C576" s="1" t="n">
        <v>45892</v>
      </c>
      <c r="D576" t="inlineStr">
        <is>
          <t>JÄMTLANDS LÄN</t>
        </is>
      </c>
      <c r="E576" t="inlineStr">
        <is>
          <t>ÖSTERSUND</t>
        </is>
      </c>
      <c r="G576" t="n">
        <v>3.5</v>
      </c>
      <c r="H576" t="n">
        <v>0</v>
      </c>
      <c r="I576" t="n">
        <v>0</v>
      </c>
      <c r="J576" t="n">
        <v>0</v>
      </c>
      <c r="K576" t="n">
        <v>0</v>
      </c>
      <c r="L576" t="n">
        <v>0</v>
      </c>
      <c r="M576" t="n">
        <v>0</v>
      </c>
      <c r="N576" t="n">
        <v>0</v>
      </c>
      <c r="O576" t="n">
        <v>0</v>
      </c>
      <c r="P576" t="n">
        <v>0</v>
      </c>
      <c r="Q576" t="n">
        <v>0</v>
      </c>
      <c r="R576" s="2" t="inlineStr"/>
    </row>
    <row r="577" ht="15" customHeight="1">
      <c r="A577" t="inlineStr">
        <is>
          <t>A 18578-2025</t>
        </is>
      </c>
      <c r="B577" s="1" t="n">
        <v>45763</v>
      </c>
      <c r="C577" s="1" t="n">
        <v>45892</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59691-2024</t>
        </is>
      </c>
      <c r="B578" s="1" t="n">
        <v>45639.40684027778</v>
      </c>
      <c r="C578" s="1" t="n">
        <v>45892</v>
      </c>
      <c r="D578" t="inlineStr">
        <is>
          <t>JÄMTLANDS LÄN</t>
        </is>
      </c>
      <c r="E578" t="inlineStr">
        <is>
          <t>ÖSTERSUND</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13655-2025</t>
        </is>
      </c>
      <c r="B579" s="1" t="n">
        <v>45736.71956018519</v>
      </c>
      <c r="C579" s="1" t="n">
        <v>45892</v>
      </c>
      <c r="D579" t="inlineStr">
        <is>
          <t>JÄMTLANDS LÄN</t>
        </is>
      </c>
      <c r="E579" t="inlineStr">
        <is>
          <t>ÖSTERSUND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23563-2022</t>
        </is>
      </c>
      <c r="B580" s="1" t="n">
        <v>44721.47241898148</v>
      </c>
      <c r="C580" s="1" t="n">
        <v>45892</v>
      </c>
      <c r="D580" t="inlineStr">
        <is>
          <t>JÄMTLANDS LÄN</t>
        </is>
      </c>
      <c r="E580" t="inlineStr">
        <is>
          <t>ÖSTERSUND</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3053-2025</t>
        </is>
      </c>
      <c r="B581" s="1" t="n">
        <v>45678.61495370371</v>
      </c>
      <c r="C581" s="1" t="n">
        <v>45892</v>
      </c>
      <c r="D581" t="inlineStr">
        <is>
          <t>JÄMTLANDS LÄN</t>
        </is>
      </c>
      <c r="E581" t="inlineStr">
        <is>
          <t>ÖSTERSUND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27118-2023</t>
        </is>
      </c>
      <c r="B582" s="1" t="n">
        <v>45096</v>
      </c>
      <c r="C582" s="1" t="n">
        <v>45892</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8972-2022</t>
        </is>
      </c>
      <c r="B583" s="1" t="n">
        <v>44614.91989583334</v>
      </c>
      <c r="C583" s="1" t="n">
        <v>45892</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61791-2023</t>
        </is>
      </c>
      <c r="B584" s="1" t="n">
        <v>45265.95795138889</v>
      </c>
      <c r="C584" s="1" t="n">
        <v>45892</v>
      </c>
      <c r="D584" t="inlineStr">
        <is>
          <t>JÄMTLANDS LÄN</t>
        </is>
      </c>
      <c r="E584" t="inlineStr">
        <is>
          <t>ÖSTERSUND</t>
        </is>
      </c>
      <c r="F584" t="inlineStr">
        <is>
          <t>SCA</t>
        </is>
      </c>
      <c r="G584" t="n">
        <v>11.4</v>
      </c>
      <c r="H584" t="n">
        <v>0</v>
      </c>
      <c r="I584" t="n">
        <v>0</v>
      </c>
      <c r="J584" t="n">
        <v>0</v>
      </c>
      <c r="K584" t="n">
        <v>0</v>
      </c>
      <c r="L584" t="n">
        <v>0</v>
      </c>
      <c r="M584" t="n">
        <v>0</v>
      </c>
      <c r="N584" t="n">
        <v>0</v>
      </c>
      <c r="O584" t="n">
        <v>0</v>
      </c>
      <c r="P584" t="n">
        <v>0</v>
      </c>
      <c r="Q584" t="n">
        <v>0</v>
      </c>
      <c r="R584" s="2" t="inlineStr"/>
    </row>
    <row r="585" ht="15" customHeight="1">
      <c r="A585" t="inlineStr">
        <is>
          <t>A 39586-2025</t>
        </is>
      </c>
      <c r="B585" s="1" t="n">
        <v>45890.50260416666</v>
      </c>
      <c r="C585" s="1" t="n">
        <v>45892</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47022-2024</t>
        </is>
      </c>
      <c r="B586" s="1" t="n">
        <v>45586.40660879629</v>
      </c>
      <c r="C586" s="1" t="n">
        <v>45892</v>
      </c>
      <c r="D586" t="inlineStr">
        <is>
          <t>JÄMTLANDS LÄN</t>
        </is>
      </c>
      <c r="E586" t="inlineStr">
        <is>
          <t>ÖSTERSUND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45892</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12-2023</t>
        </is>
      </c>
      <c r="B588" s="1" t="n">
        <v>44927.88021990741</v>
      </c>
      <c r="C588" s="1" t="n">
        <v>45892</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51865-2024</t>
        </is>
      </c>
      <c r="B589" s="1" t="n">
        <v>45607.55260416667</v>
      </c>
      <c r="C589" s="1" t="n">
        <v>45892</v>
      </c>
      <c r="D589" t="inlineStr">
        <is>
          <t>JÄMTLANDS LÄN</t>
        </is>
      </c>
      <c r="E589" t="inlineStr">
        <is>
          <t>ÖSTERSUND</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55235-2023</t>
        </is>
      </c>
      <c r="B590" s="1" t="n">
        <v>45231</v>
      </c>
      <c r="C590" s="1" t="n">
        <v>45892</v>
      </c>
      <c r="D590" t="inlineStr">
        <is>
          <t>JÄMTLANDS LÄN</t>
        </is>
      </c>
      <c r="E590" t="inlineStr">
        <is>
          <t>ÖSTERSUND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7953-2025</t>
        </is>
      </c>
      <c r="B591" s="1" t="n">
        <v>45707.42392361111</v>
      </c>
      <c r="C591" s="1" t="n">
        <v>45892</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64309-2023</t>
        </is>
      </c>
      <c r="B592" s="1" t="n">
        <v>45280</v>
      </c>
      <c r="C592" s="1" t="n">
        <v>45892</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45892</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45892</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4350-2024</t>
        </is>
      </c>
      <c r="B595" s="1" t="n">
        <v>45324.93804398148</v>
      </c>
      <c r="C595" s="1" t="n">
        <v>45892</v>
      </c>
      <c r="D595" t="inlineStr">
        <is>
          <t>JÄMTLANDS LÄN</t>
        </is>
      </c>
      <c r="E595" t="inlineStr">
        <is>
          <t>ÖSTERSUND</t>
        </is>
      </c>
      <c r="F595" t="inlineStr">
        <is>
          <t>SCA</t>
        </is>
      </c>
      <c r="G595" t="n">
        <v>6</v>
      </c>
      <c r="H595" t="n">
        <v>0</v>
      </c>
      <c r="I595" t="n">
        <v>0</v>
      </c>
      <c r="J595" t="n">
        <v>0</v>
      </c>
      <c r="K595" t="n">
        <v>0</v>
      </c>
      <c r="L595" t="n">
        <v>0</v>
      </c>
      <c r="M595" t="n">
        <v>0</v>
      </c>
      <c r="N595" t="n">
        <v>0</v>
      </c>
      <c r="O595" t="n">
        <v>0</v>
      </c>
      <c r="P595" t="n">
        <v>0</v>
      </c>
      <c r="Q595" t="n">
        <v>0</v>
      </c>
      <c r="R595" s="2" t="inlineStr"/>
    </row>
    <row r="596" ht="15" customHeight="1">
      <c r="A596" t="inlineStr">
        <is>
          <t>A 16336-2025</t>
        </is>
      </c>
      <c r="B596" s="1" t="n">
        <v>45751.36519675926</v>
      </c>
      <c r="C596" s="1" t="n">
        <v>45892</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17066-2024</t>
        </is>
      </c>
      <c r="B597" s="1" t="n">
        <v>45412.46636574074</v>
      </c>
      <c r="C597" s="1" t="n">
        <v>45892</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2756-2024</t>
        </is>
      </c>
      <c r="B598" s="1" t="n">
        <v>45314.58785879629</v>
      </c>
      <c r="C598" s="1" t="n">
        <v>45892</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61449-2024</t>
        </is>
      </c>
      <c r="B599" s="1" t="n">
        <v>45646.48988425926</v>
      </c>
      <c r="C599" s="1" t="n">
        <v>45892</v>
      </c>
      <c r="D599" t="inlineStr">
        <is>
          <t>JÄMTLANDS LÄN</t>
        </is>
      </c>
      <c r="E599" t="inlineStr">
        <is>
          <t>ÖSTERSUND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61450-2024</t>
        </is>
      </c>
      <c r="B600" s="1" t="n">
        <v>45646.49012731481</v>
      </c>
      <c r="C600" s="1" t="n">
        <v>45892</v>
      </c>
      <c r="D600" t="inlineStr">
        <is>
          <t>JÄMTLANDS LÄN</t>
        </is>
      </c>
      <c r="E600" t="inlineStr">
        <is>
          <t>ÖSTERSUND</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61451-2024</t>
        </is>
      </c>
      <c r="B601" s="1" t="n">
        <v>45646.49017361111</v>
      </c>
      <c r="C601" s="1" t="n">
        <v>45892</v>
      </c>
      <c r="D601" t="inlineStr">
        <is>
          <t>JÄMTLANDS LÄN</t>
        </is>
      </c>
      <c r="E601" t="inlineStr">
        <is>
          <t>ÖSTERSUND</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45892</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8261-2025</t>
        </is>
      </c>
      <c r="B603" s="1" t="n">
        <v>45708.50256944444</v>
      </c>
      <c r="C603" s="1" t="n">
        <v>45892</v>
      </c>
      <c r="D603" t="inlineStr">
        <is>
          <t>JÄMTLANDS LÄN</t>
        </is>
      </c>
      <c r="E603" t="inlineStr">
        <is>
          <t>ÖSTERSUND</t>
        </is>
      </c>
      <c r="G603" t="n">
        <v>5.4</v>
      </c>
      <c r="H603" t="n">
        <v>0</v>
      </c>
      <c r="I603" t="n">
        <v>0</v>
      </c>
      <c r="J603" t="n">
        <v>0</v>
      </c>
      <c r="K603" t="n">
        <v>0</v>
      </c>
      <c r="L603" t="n">
        <v>0</v>
      </c>
      <c r="M603" t="n">
        <v>0</v>
      </c>
      <c r="N603" t="n">
        <v>0</v>
      </c>
      <c r="O603" t="n">
        <v>0</v>
      </c>
      <c r="P603" t="n">
        <v>0</v>
      </c>
      <c r="Q603" t="n">
        <v>0</v>
      </c>
      <c r="R603" s="2" t="inlineStr"/>
    </row>
    <row r="604" ht="15" customHeight="1">
      <c r="A604" t="inlineStr">
        <is>
          <t>A 39975-2024</t>
        </is>
      </c>
      <c r="B604" s="1" t="n">
        <v>45553.60474537037</v>
      </c>
      <c r="C604" s="1" t="n">
        <v>45892</v>
      </c>
      <c r="D604" t="inlineStr">
        <is>
          <t>JÄMTLANDS LÄN</t>
        </is>
      </c>
      <c r="E604" t="inlineStr">
        <is>
          <t>ÖSTERSUND</t>
        </is>
      </c>
      <c r="G604" t="n">
        <v>3.8</v>
      </c>
      <c r="H604" t="n">
        <v>0</v>
      </c>
      <c r="I604" t="n">
        <v>0</v>
      </c>
      <c r="J604" t="n">
        <v>0</v>
      </c>
      <c r="K604" t="n">
        <v>0</v>
      </c>
      <c r="L604" t="n">
        <v>0</v>
      </c>
      <c r="M604" t="n">
        <v>0</v>
      </c>
      <c r="N604" t="n">
        <v>0</v>
      </c>
      <c r="O604" t="n">
        <v>0</v>
      </c>
      <c r="P604" t="n">
        <v>0</v>
      </c>
      <c r="Q604" t="n">
        <v>0</v>
      </c>
      <c r="R604" s="2" t="inlineStr"/>
    </row>
    <row r="605" ht="15" customHeight="1">
      <c r="A605" t="inlineStr">
        <is>
          <t>A 61506-2023</t>
        </is>
      </c>
      <c r="B605" s="1" t="n">
        <v>45264</v>
      </c>
      <c r="C605" s="1" t="n">
        <v>45892</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c r="A606" t="inlineStr">
        <is>
          <t>A 16753-2025</t>
        </is>
      </c>
      <c r="B606" s="1" t="n">
        <v>45754.56839120371</v>
      </c>
      <c r="C606" s="1" t="n">
        <v>45892</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2025-08-23T08:39:57Z</dcterms:created>
  <dcterms:modified xmlns:dcterms="http://purl.org/dc/terms/" xmlns:xsi="http://www.w3.org/2001/XMLSchema-instance" xsi:type="dcterms:W3CDTF">2025-08-23T08:39:57Z</dcterms:modified>
</cp:coreProperties>
</file>