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45628</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45628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45628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45628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45628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45628</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45628</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45628</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45628</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45628</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45628</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45628</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45628</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45628</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45628</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45628</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45628</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45628</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45628</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45628</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45628</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45628</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45628</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45628</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45628</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45628</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45628</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45628</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45628</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45628</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45628</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45628</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45628</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45628</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45628</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45628</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45628</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45628</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45628</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45628</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45628</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45628</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45628</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45628</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45628</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45628</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45628</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45628</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45628</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45628</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45628</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45628</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45628</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45628</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45628</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45628</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45628</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45628</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45628</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45628</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45628</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45628</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45628</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45628</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45628</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45628</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45628</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45628</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45628</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45628</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45628</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45628</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45628</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45628</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45628</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45628</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45628</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45628</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45628</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45628</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45628</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45628</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45628</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45628</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45628</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45628</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45628</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45628</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45628</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45628</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45628</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45628</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45628</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45628</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45628</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45628</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45628</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45628</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45628</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45628</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45628</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45628</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45628</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45628</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45628</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45628</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45628</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45628</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45628</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45628</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45628</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45628</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45628</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45628</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45628</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45628</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45628</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45628</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30941-2019</t>
        </is>
      </c>
      <c r="B120" s="1" t="n">
        <v>43636</v>
      </c>
      <c r="C120" s="1" t="n">
        <v>45628</v>
      </c>
      <c r="D120" t="inlineStr">
        <is>
          <t>JÄMTLANDS LÄN</t>
        </is>
      </c>
      <c r="E120" t="inlineStr">
        <is>
          <t>ÖSTERSUND</t>
        </is>
      </c>
      <c r="F120" t="inlineStr">
        <is>
          <t>SCA</t>
        </is>
      </c>
      <c r="G120" t="n">
        <v>1.9</v>
      </c>
      <c r="H120" t="n">
        <v>1</v>
      </c>
      <c r="I120" t="n">
        <v>1</v>
      </c>
      <c r="J120" t="n">
        <v>0</v>
      </c>
      <c r="K120" t="n">
        <v>0</v>
      </c>
      <c r="L120" t="n">
        <v>0</v>
      </c>
      <c r="M120" t="n">
        <v>0</v>
      </c>
      <c r="N120" t="n">
        <v>0</v>
      </c>
      <c r="O120" t="n">
        <v>0</v>
      </c>
      <c r="P120" t="n">
        <v>0</v>
      </c>
      <c r="Q120" t="n">
        <v>1</v>
      </c>
      <c r="R120" s="2" t="inlineStr">
        <is>
          <t>Tvåblad</t>
        </is>
      </c>
      <c r="S120">
        <f>HYPERLINK("https://klasma.github.io/Logging_2380/artfynd/A 30941-2019 artfynd.xlsx", "A 30941-2019")</f>
        <v/>
      </c>
      <c r="T120">
        <f>HYPERLINK("https://klasma.github.io/Logging_2380/kartor/A 30941-2019 karta.png", "A 30941-2019")</f>
        <v/>
      </c>
      <c r="V120">
        <f>HYPERLINK("https://klasma.github.io/Logging_2380/klagomål/A 30941-2019 FSC-klagomål.docx", "A 30941-2019")</f>
        <v/>
      </c>
      <c r="W120">
        <f>HYPERLINK("https://klasma.github.io/Logging_2380/klagomålsmail/A 30941-2019 FSC-klagomål mail.docx", "A 30941-2019")</f>
        <v/>
      </c>
      <c r="X120">
        <f>HYPERLINK("https://klasma.github.io/Logging_2380/tillsyn/A 30941-2019 tillsynsbegäran.docx", "A 30941-2019")</f>
        <v/>
      </c>
      <c r="Y120">
        <f>HYPERLINK("https://klasma.github.io/Logging_2380/tillsynsmail/A 30941-2019 tillsynsbegäran mail.docx", "A 30941-2019")</f>
        <v/>
      </c>
    </row>
    <row r="121" ht="15" customHeight="1">
      <c r="A121" t="inlineStr">
        <is>
          <t>A 57757-2019</t>
        </is>
      </c>
      <c r="B121" s="1" t="n">
        <v>43768</v>
      </c>
      <c r="C121" s="1" t="n">
        <v>45628</v>
      </c>
      <c r="D121" t="inlineStr">
        <is>
          <t>JÄMTLANDS LÄN</t>
        </is>
      </c>
      <c r="E121" t="inlineStr">
        <is>
          <t>ÖSTERSUND</t>
        </is>
      </c>
      <c r="G121" t="n">
        <v>1.3</v>
      </c>
      <c r="H121" t="n">
        <v>1</v>
      </c>
      <c r="I121" t="n">
        <v>0</v>
      </c>
      <c r="J121" t="n">
        <v>0</v>
      </c>
      <c r="K121" t="n">
        <v>0</v>
      </c>
      <c r="L121" t="n">
        <v>0</v>
      </c>
      <c r="M121" t="n">
        <v>0</v>
      </c>
      <c r="N121" t="n">
        <v>0</v>
      </c>
      <c r="O121" t="n">
        <v>0</v>
      </c>
      <c r="P121" t="n">
        <v>0</v>
      </c>
      <c r="Q121" t="n">
        <v>1</v>
      </c>
      <c r="R121" s="2" t="inlineStr">
        <is>
          <t>Revlummer</t>
        </is>
      </c>
      <c r="S121">
        <f>HYPERLINK("https://klasma.github.io/Logging_2380/artfynd/A 57757-2019 artfynd.xlsx", "A 57757-2019")</f>
        <v/>
      </c>
      <c r="T121">
        <f>HYPERLINK("https://klasma.github.io/Logging_2380/kartor/A 57757-2019 karta.png", "A 57757-2019")</f>
        <v/>
      </c>
      <c r="V121">
        <f>HYPERLINK("https://klasma.github.io/Logging_2380/klagomål/A 57757-2019 FSC-klagomål.docx", "A 57757-2019")</f>
        <v/>
      </c>
      <c r="W121">
        <f>HYPERLINK("https://klasma.github.io/Logging_2380/klagomålsmail/A 57757-2019 FSC-klagomål mail.docx", "A 57757-2019")</f>
        <v/>
      </c>
      <c r="X121">
        <f>HYPERLINK("https://klasma.github.io/Logging_2380/tillsyn/A 57757-2019 tillsynsbegäran.docx", "A 57757-2019")</f>
        <v/>
      </c>
      <c r="Y121">
        <f>HYPERLINK("https://klasma.github.io/Logging_2380/tillsynsmail/A 57757-2019 tillsynsbegäran mail.docx", "A 57757-2019")</f>
        <v/>
      </c>
    </row>
    <row r="122" ht="15" customHeight="1">
      <c r="A122" t="inlineStr">
        <is>
          <t>A 61628-2019</t>
        </is>
      </c>
      <c r="B122" s="1" t="n">
        <v>43784</v>
      </c>
      <c r="C122" s="1" t="n">
        <v>45628</v>
      </c>
      <c r="D122" t="inlineStr">
        <is>
          <t>JÄMTLANDS LÄN</t>
        </is>
      </c>
      <c r="E122" t="inlineStr">
        <is>
          <t>ÖSTERSUND</t>
        </is>
      </c>
      <c r="G122" t="n">
        <v>5.6</v>
      </c>
      <c r="H122" t="n">
        <v>0</v>
      </c>
      <c r="I122" t="n">
        <v>1</v>
      </c>
      <c r="J122" t="n">
        <v>0</v>
      </c>
      <c r="K122" t="n">
        <v>0</v>
      </c>
      <c r="L122" t="n">
        <v>0</v>
      </c>
      <c r="M122" t="n">
        <v>0</v>
      </c>
      <c r="N122" t="n">
        <v>0</v>
      </c>
      <c r="O122" t="n">
        <v>0</v>
      </c>
      <c r="P122" t="n">
        <v>0</v>
      </c>
      <c r="Q122" t="n">
        <v>1</v>
      </c>
      <c r="R122" s="2" t="inlineStr">
        <is>
          <t>Tibast</t>
        </is>
      </c>
      <c r="S122">
        <f>HYPERLINK("https://klasma.github.io/Logging_2380/artfynd/A 61628-2019 artfynd.xlsx", "A 61628-2019")</f>
        <v/>
      </c>
      <c r="T122">
        <f>HYPERLINK("https://klasma.github.io/Logging_2380/kartor/A 61628-2019 karta.png", "A 61628-2019")</f>
        <v/>
      </c>
      <c r="V122">
        <f>HYPERLINK("https://klasma.github.io/Logging_2380/klagomål/A 61628-2019 FSC-klagomål.docx", "A 61628-2019")</f>
        <v/>
      </c>
      <c r="W122">
        <f>HYPERLINK("https://klasma.github.io/Logging_2380/klagomålsmail/A 61628-2019 FSC-klagomål mail.docx", "A 61628-2019")</f>
        <v/>
      </c>
      <c r="X122">
        <f>HYPERLINK("https://klasma.github.io/Logging_2380/tillsyn/A 61628-2019 tillsynsbegäran.docx", "A 61628-2019")</f>
        <v/>
      </c>
      <c r="Y122">
        <f>HYPERLINK("https://klasma.github.io/Logging_2380/tillsynsmail/A 61628-2019 tillsynsbegäran mail.docx", "A 61628-2019")</f>
        <v/>
      </c>
    </row>
    <row r="123" ht="15" customHeight="1">
      <c r="A123" t="inlineStr">
        <is>
          <t>A 11561-2020</t>
        </is>
      </c>
      <c r="B123" s="1" t="n">
        <v>43893</v>
      </c>
      <c r="C123" s="1" t="n">
        <v>45628</v>
      </c>
      <c r="D123" t="inlineStr">
        <is>
          <t>JÄMTLANDS LÄN</t>
        </is>
      </c>
      <c r="E123" t="inlineStr">
        <is>
          <t>ÖSTERSUND</t>
        </is>
      </c>
      <c r="G123" t="n">
        <v>6.2</v>
      </c>
      <c r="H123" t="n">
        <v>1</v>
      </c>
      <c r="I123" t="n">
        <v>0</v>
      </c>
      <c r="J123" t="n">
        <v>0</v>
      </c>
      <c r="K123" t="n">
        <v>0</v>
      </c>
      <c r="L123" t="n">
        <v>0</v>
      </c>
      <c r="M123" t="n">
        <v>0</v>
      </c>
      <c r="N123" t="n">
        <v>0</v>
      </c>
      <c r="O123" t="n">
        <v>0</v>
      </c>
      <c r="P123" t="n">
        <v>0</v>
      </c>
      <c r="Q123" t="n">
        <v>1</v>
      </c>
      <c r="R123" s="2" t="inlineStr">
        <is>
          <t>Revlummer</t>
        </is>
      </c>
      <c r="S123">
        <f>HYPERLINK("https://klasma.github.io/Logging_2380/artfynd/A 11561-2020 artfynd.xlsx", "A 11561-2020")</f>
        <v/>
      </c>
      <c r="T123">
        <f>HYPERLINK("https://klasma.github.io/Logging_2380/kartor/A 11561-2020 karta.png", "A 11561-2020")</f>
        <v/>
      </c>
      <c r="V123">
        <f>HYPERLINK("https://klasma.github.io/Logging_2380/klagomål/A 11561-2020 FSC-klagomål.docx", "A 11561-2020")</f>
        <v/>
      </c>
      <c r="W123">
        <f>HYPERLINK("https://klasma.github.io/Logging_2380/klagomålsmail/A 11561-2020 FSC-klagomål mail.docx", "A 11561-2020")</f>
        <v/>
      </c>
      <c r="X123">
        <f>HYPERLINK("https://klasma.github.io/Logging_2380/tillsyn/A 11561-2020 tillsynsbegäran.docx", "A 11561-2020")</f>
        <v/>
      </c>
      <c r="Y123">
        <f>HYPERLINK("https://klasma.github.io/Logging_2380/tillsynsmail/A 11561-2020 tillsynsbegäran mail.docx", "A 11561-2020")</f>
        <v/>
      </c>
    </row>
    <row r="124" ht="15" customHeight="1">
      <c r="A124" t="inlineStr">
        <is>
          <t>A 35980-2020</t>
        </is>
      </c>
      <c r="B124" s="1" t="n">
        <v>44047</v>
      </c>
      <c r="C124" s="1" t="n">
        <v>45628</v>
      </c>
      <c r="D124" t="inlineStr">
        <is>
          <t>JÄMTLANDS LÄN</t>
        </is>
      </c>
      <c r="E124" t="inlineStr">
        <is>
          <t>ÖSTERSUND</t>
        </is>
      </c>
      <c r="G124" t="n">
        <v>0.7</v>
      </c>
      <c r="H124" t="n">
        <v>0</v>
      </c>
      <c r="I124" t="n">
        <v>0</v>
      </c>
      <c r="J124" t="n">
        <v>1</v>
      </c>
      <c r="K124" t="n">
        <v>0</v>
      </c>
      <c r="L124" t="n">
        <v>0</v>
      </c>
      <c r="M124" t="n">
        <v>0</v>
      </c>
      <c r="N124" t="n">
        <v>0</v>
      </c>
      <c r="O124" t="n">
        <v>1</v>
      </c>
      <c r="P124" t="n">
        <v>0</v>
      </c>
      <c r="Q124" t="n">
        <v>1</v>
      </c>
      <c r="R124" s="2" t="inlineStr">
        <is>
          <t>Slåtterfibbla</t>
        </is>
      </c>
      <c r="S124">
        <f>HYPERLINK("https://klasma.github.io/Logging_2380/artfynd/A 35980-2020 artfynd.xlsx", "A 35980-2020")</f>
        <v/>
      </c>
      <c r="T124">
        <f>HYPERLINK("https://klasma.github.io/Logging_2380/kartor/A 35980-2020 karta.png", "A 35980-2020")</f>
        <v/>
      </c>
      <c r="U124">
        <f>HYPERLINK("https://klasma.github.io/Logging_2380/knärot/A 35980-2020 karta knärot.png", "A 35980-2020")</f>
        <v/>
      </c>
      <c r="V124">
        <f>HYPERLINK("https://klasma.github.io/Logging_2380/klagomål/A 35980-2020 FSC-klagomål.docx", "A 35980-2020")</f>
        <v/>
      </c>
      <c r="W124">
        <f>HYPERLINK("https://klasma.github.io/Logging_2380/klagomålsmail/A 35980-2020 FSC-klagomål mail.docx", "A 35980-2020")</f>
        <v/>
      </c>
      <c r="X124">
        <f>HYPERLINK("https://klasma.github.io/Logging_2380/tillsyn/A 35980-2020 tillsynsbegäran.docx", "A 35980-2020")</f>
        <v/>
      </c>
      <c r="Y124">
        <f>HYPERLINK("https://klasma.github.io/Logging_2380/tillsynsmail/A 35980-2020 tillsynsbegäran mail.docx", "A 35980-2020")</f>
        <v/>
      </c>
    </row>
    <row r="125" ht="15" customHeight="1">
      <c r="A125" t="inlineStr">
        <is>
          <t>A 63775-2020</t>
        </is>
      </c>
      <c r="B125" s="1" t="n">
        <v>44165</v>
      </c>
      <c r="C125" s="1" t="n">
        <v>45628</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13362-2021</t>
        </is>
      </c>
      <c r="B126" s="1" t="n">
        <v>44272</v>
      </c>
      <c r="C126" s="1" t="n">
        <v>45628</v>
      </c>
      <c r="D126" t="inlineStr">
        <is>
          <t>JÄMTLANDS LÄN</t>
        </is>
      </c>
      <c r="E126" t="inlineStr">
        <is>
          <t>ÖSTERSUND</t>
        </is>
      </c>
      <c r="G126" t="n">
        <v>0.8</v>
      </c>
      <c r="H126" t="n">
        <v>1</v>
      </c>
      <c r="I126" t="n">
        <v>0</v>
      </c>
      <c r="J126" t="n">
        <v>0</v>
      </c>
      <c r="K126" t="n">
        <v>0</v>
      </c>
      <c r="L126" t="n">
        <v>0</v>
      </c>
      <c r="M126" t="n">
        <v>0</v>
      </c>
      <c r="N126" t="n">
        <v>0</v>
      </c>
      <c r="O126" t="n">
        <v>0</v>
      </c>
      <c r="P126" t="n">
        <v>0</v>
      </c>
      <c r="Q126" t="n">
        <v>1</v>
      </c>
      <c r="R126" s="2" t="inlineStr">
        <is>
          <t>Blåsippa</t>
        </is>
      </c>
      <c r="S126">
        <f>HYPERLINK("https://klasma.github.io/Logging_2380/artfynd/A 13362-2021 artfynd.xlsx", "A 13362-2021")</f>
        <v/>
      </c>
      <c r="T126">
        <f>HYPERLINK("https://klasma.github.io/Logging_2380/kartor/A 13362-2021 karta.png", "A 13362-2021")</f>
        <v/>
      </c>
      <c r="V126">
        <f>HYPERLINK("https://klasma.github.io/Logging_2380/klagomål/A 13362-2021 FSC-klagomål.docx", "A 13362-2021")</f>
        <v/>
      </c>
      <c r="W126">
        <f>HYPERLINK("https://klasma.github.io/Logging_2380/klagomålsmail/A 13362-2021 FSC-klagomål mail.docx", "A 13362-2021")</f>
        <v/>
      </c>
      <c r="X126">
        <f>HYPERLINK("https://klasma.github.io/Logging_2380/tillsyn/A 13362-2021 tillsynsbegäran.docx", "A 13362-2021")</f>
        <v/>
      </c>
      <c r="Y126">
        <f>HYPERLINK("https://klasma.github.io/Logging_2380/tillsynsmail/A 13362-2021 tillsynsbegäran mail.docx", "A 13362-2021")</f>
        <v/>
      </c>
    </row>
    <row r="127" ht="15" customHeight="1">
      <c r="A127" t="inlineStr">
        <is>
          <t>A 17217-2021</t>
        </is>
      </c>
      <c r="B127" s="1" t="n">
        <v>44298</v>
      </c>
      <c r="C127" s="1" t="n">
        <v>45628</v>
      </c>
      <c r="D127" t="inlineStr">
        <is>
          <t>JÄMTLANDS LÄN</t>
        </is>
      </c>
      <c r="E127" t="inlineStr">
        <is>
          <t>ÖSTERSUND</t>
        </is>
      </c>
      <c r="G127" t="n">
        <v>10.4</v>
      </c>
      <c r="H127" t="n">
        <v>0</v>
      </c>
      <c r="I127" t="n">
        <v>0</v>
      </c>
      <c r="J127" t="n">
        <v>1</v>
      </c>
      <c r="K127" t="n">
        <v>0</v>
      </c>
      <c r="L127" t="n">
        <v>0</v>
      </c>
      <c r="M127" t="n">
        <v>0</v>
      </c>
      <c r="N127" t="n">
        <v>0</v>
      </c>
      <c r="O127" t="n">
        <v>1</v>
      </c>
      <c r="P127" t="n">
        <v>0</v>
      </c>
      <c r="Q127" t="n">
        <v>1</v>
      </c>
      <c r="R127" s="2" t="inlineStr">
        <is>
          <t>Rödbrun klubbdyna</t>
        </is>
      </c>
      <c r="S127">
        <f>HYPERLINK("https://klasma.github.io/Logging_2380/artfynd/A 17217-2021 artfynd.xlsx", "A 17217-2021")</f>
        <v/>
      </c>
      <c r="T127">
        <f>HYPERLINK("https://klasma.github.io/Logging_2380/kartor/A 17217-2021 karta.png", "A 17217-2021")</f>
        <v/>
      </c>
      <c r="V127">
        <f>HYPERLINK("https://klasma.github.io/Logging_2380/klagomål/A 17217-2021 FSC-klagomål.docx", "A 17217-2021")</f>
        <v/>
      </c>
      <c r="W127">
        <f>HYPERLINK("https://klasma.github.io/Logging_2380/klagomålsmail/A 17217-2021 FSC-klagomål mail.docx", "A 17217-2021")</f>
        <v/>
      </c>
      <c r="X127">
        <f>HYPERLINK("https://klasma.github.io/Logging_2380/tillsyn/A 17217-2021 tillsynsbegäran.docx", "A 17217-2021")</f>
        <v/>
      </c>
      <c r="Y127">
        <f>HYPERLINK("https://klasma.github.io/Logging_2380/tillsynsmail/A 17217-2021 tillsynsbegäran mail.docx", "A 17217-2021")</f>
        <v/>
      </c>
    </row>
    <row r="128" ht="15" customHeight="1">
      <c r="A128" t="inlineStr">
        <is>
          <t>A 25839-2021</t>
        </is>
      </c>
      <c r="B128" s="1" t="n">
        <v>44343</v>
      </c>
      <c r="C128" s="1" t="n">
        <v>45628</v>
      </c>
      <c r="D128" t="inlineStr">
        <is>
          <t>JÄMTLANDS LÄN</t>
        </is>
      </c>
      <c r="E128" t="inlineStr">
        <is>
          <t>ÖSTERSUND</t>
        </is>
      </c>
      <c r="G128" t="n">
        <v>13</v>
      </c>
      <c r="H128" t="n">
        <v>1</v>
      </c>
      <c r="I128" t="n">
        <v>0</v>
      </c>
      <c r="J128" t="n">
        <v>0</v>
      </c>
      <c r="K128" t="n">
        <v>0</v>
      </c>
      <c r="L128" t="n">
        <v>1</v>
      </c>
      <c r="M128" t="n">
        <v>0</v>
      </c>
      <c r="N128" t="n">
        <v>0</v>
      </c>
      <c r="O128" t="n">
        <v>1</v>
      </c>
      <c r="P128" t="n">
        <v>1</v>
      </c>
      <c r="Q128" t="n">
        <v>1</v>
      </c>
      <c r="R128" s="2" t="inlineStr">
        <is>
          <t>Violett guldvinge</t>
        </is>
      </c>
      <c r="S128">
        <f>HYPERLINK("https://klasma.github.io/Logging_2380/artfynd/A 25839-2021 artfynd.xlsx", "A 25839-2021")</f>
        <v/>
      </c>
      <c r="T128">
        <f>HYPERLINK("https://klasma.github.io/Logging_2380/kartor/A 25839-2021 karta.png", "A 25839-2021")</f>
        <v/>
      </c>
      <c r="V128">
        <f>HYPERLINK("https://klasma.github.io/Logging_2380/klagomål/A 25839-2021 FSC-klagomål.docx", "A 25839-2021")</f>
        <v/>
      </c>
      <c r="W128">
        <f>HYPERLINK("https://klasma.github.io/Logging_2380/klagomålsmail/A 25839-2021 FSC-klagomål mail.docx", "A 25839-2021")</f>
        <v/>
      </c>
      <c r="X128">
        <f>HYPERLINK("https://klasma.github.io/Logging_2380/tillsyn/A 25839-2021 tillsynsbegäran.docx", "A 25839-2021")</f>
        <v/>
      </c>
      <c r="Y128">
        <f>HYPERLINK("https://klasma.github.io/Logging_2380/tillsynsmail/A 25839-2021 tillsynsbegäran mail.docx", "A 25839-2021")</f>
        <v/>
      </c>
    </row>
    <row r="129" ht="15" customHeight="1">
      <c r="A129" t="inlineStr">
        <is>
          <t>A 31328-2021</t>
        </is>
      </c>
      <c r="B129" s="1" t="n">
        <v>44368</v>
      </c>
      <c r="C129" s="1" t="n">
        <v>45628</v>
      </c>
      <c r="D129" t="inlineStr">
        <is>
          <t>JÄMTLANDS LÄN</t>
        </is>
      </c>
      <c r="E129" t="inlineStr">
        <is>
          <t>ÖSTERSUND</t>
        </is>
      </c>
      <c r="G129" t="n">
        <v>6.3</v>
      </c>
      <c r="H129" t="n">
        <v>1</v>
      </c>
      <c r="I129" t="n">
        <v>0</v>
      </c>
      <c r="J129" t="n">
        <v>0</v>
      </c>
      <c r="K129" t="n">
        <v>0</v>
      </c>
      <c r="L129" t="n">
        <v>0</v>
      </c>
      <c r="M129" t="n">
        <v>0</v>
      </c>
      <c r="N129" t="n">
        <v>0</v>
      </c>
      <c r="O129" t="n">
        <v>0</v>
      </c>
      <c r="P129" t="n">
        <v>0</v>
      </c>
      <c r="Q129" t="n">
        <v>1</v>
      </c>
      <c r="R129" s="2" t="inlineStr">
        <is>
          <t>Fläcknycklar</t>
        </is>
      </c>
      <c r="S129">
        <f>HYPERLINK("https://klasma.github.io/Logging_2380/artfynd/A 31328-2021 artfynd.xlsx", "A 31328-2021")</f>
        <v/>
      </c>
      <c r="T129">
        <f>HYPERLINK("https://klasma.github.io/Logging_2380/kartor/A 31328-2021 karta.png", "A 31328-2021")</f>
        <v/>
      </c>
      <c r="V129">
        <f>HYPERLINK("https://klasma.github.io/Logging_2380/klagomål/A 31328-2021 FSC-klagomål.docx", "A 31328-2021")</f>
        <v/>
      </c>
      <c r="W129">
        <f>HYPERLINK("https://klasma.github.io/Logging_2380/klagomålsmail/A 31328-2021 FSC-klagomål mail.docx", "A 31328-2021")</f>
        <v/>
      </c>
      <c r="X129">
        <f>HYPERLINK("https://klasma.github.io/Logging_2380/tillsyn/A 31328-2021 tillsynsbegäran.docx", "A 31328-2021")</f>
        <v/>
      </c>
      <c r="Y129">
        <f>HYPERLINK("https://klasma.github.io/Logging_2380/tillsynsmail/A 31328-2021 tillsynsbegäran mail.docx", "A 31328-2021")</f>
        <v/>
      </c>
    </row>
    <row r="130" ht="15" customHeight="1">
      <c r="A130" t="inlineStr">
        <is>
          <t>A 33137-2021</t>
        </is>
      </c>
      <c r="B130" s="1" t="n">
        <v>44376</v>
      </c>
      <c r="C130" s="1" t="n">
        <v>45628</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46163-2021</t>
        </is>
      </c>
      <c r="B131" s="1" t="n">
        <v>44441</v>
      </c>
      <c r="C131" s="1" t="n">
        <v>45628</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55821-2021</t>
        </is>
      </c>
      <c r="B132" s="1" t="n">
        <v>44476</v>
      </c>
      <c r="C132" s="1" t="n">
        <v>45628</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59433-2021</t>
        </is>
      </c>
      <c r="B133" s="1" t="n">
        <v>44491</v>
      </c>
      <c r="C133" s="1" t="n">
        <v>45628</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9739-2022</t>
        </is>
      </c>
      <c r="B134" s="1" t="n">
        <v>44617</v>
      </c>
      <c r="C134" s="1" t="n">
        <v>45628</v>
      </c>
      <c r="D134" t="inlineStr">
        <is>
          <t>JÄMTLANDS LÄN</t>
        </is>
      </c>
      <c r="E134" t="inlineStr">
        <is>
          <t>ÖSTERSUND</t>
        </is>
      </c>
      <c r="F134" t="inlineStr">
        <is>
          <t>SCA</t>
        </is>
      </c>
      <c r="G134" t="n">
        <v>13.5</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9739-2022 artfynd.xlsx", "A 9739-2022")</f>
        <v/>
      </c>
      <c r="T134">
        <f>HYPERLINK("https://klasma.github.io/Logging_2380/kartor/A 9739-2022 karta.png", "A 9739-2022")</f>
        <v/>
      </c>
      <c r="V134">
        <f>HYPERLINK("https://klasma.github.io/Logging_2380/klagomål/A 9739-2022 FSC-klagomål.docx", "A 9739-2022")</f>
        <v/>
      </c>
      <c r="W134">
        <f>HYPERLINK("https://klasma.github.io/Logging_2380/klagomålsmail/A 9739-2022 FSC-klagomål mail.docx", "A 9739-2022")</f>
        <v/>
      </c>
      <c r="X134">
        <f>HYPERLINK("https://klasma.github.io/Logging_2380/tillsyn/A 9739-2022 tillsynsbegäran.docx", "A 9739-2022")</f>
        <v/>
      </c>
      <c r="Y134">
        <f>HYPERLINK("https://klasma.github.io/Logging_2380/tillsynsmail/A 9739-2022 tillsynsbegäran mail.docx", "A 9739-2022")</f>
        <v/>
      </c>
    </row>
    <row r="135" ht="15" customHeight="1">
      <c r="A135" t="inlineStr">
        <is>
          <t>A 10336-2022</t>
        </is>
      </c>
      <c r="B135" s="1" t="n">
        <v>44623</v>
      </c>
      <c r="C135" s="1" t="n">
        <v>45628</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45628</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45628</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27576-2022</t>
        </is>
      </c>
      <c r="B138" s="1" t="n">
        <v>44742</v>
      </c>
      <c r="C138" s="1" t="n">
        <v>45628</v>
      </c>
      <c r="D138" t="inlineStr">
        <is>
          <t>JÄMTLANDS LÄN</t>
        </is>
      </c>
      <c r="E138" t="inlineStr">
        <is>
          <t>ÖSTERSUND</t>
        </is>
      </c>
      <c r="F138" t="inlineStr">
        <is>
          <t>SCA</t>
        </is>
      </c>
      <c r="G138" t="n">
        <v>0.6</v>
      </c>
      <c r="H138" t="n">
        <v>0</v>
      </c>
      <c r="I138" t="n">
        <v>0</v>
      </c>
      <c r="J138" t="n">
        <v>1</v>
      </c>
      <c r="K138" t="n">
        <v>0</v>
      </c>
      <c r="L138" t="n">
        <v>0</v>
      </c>
      <c r="M138" t="n">
        <v>0</v>
      </c>
      <c r="N138" t="n">
        <v>0</v>
      </c>
      <c r="O138" t="n">
        <v>1</v>
      </c>
      <c r="P138" t="n">
        <v>0</v>
      </c>
      <c r="Q138" t="n">
        <v>1</v>
      </c>
      <c r="R138" s="2" t="inlineStr">
        <is>
          <t>Ullticka</t>
        </is>
      </c>
      <c r="S138">
        <f>HYPERLINK("https://klasma.github.io/Logging_2380/artfynd/A 27576-2022 artfynd.xlsx", "A 27576-2022")</f>
        <v/>
      </c>
      <c r="T138">
        <f>HYPERLINK("https://klasma.github.io/Logging_2380/kartor/A 27576-2022 karta.png", "A 27576-2022")</f>
        <v/>
      </c>
      <c r="U138">
        <f>HYPERLINK("https://klasma.github.io/Logging_2380/knärot/A 27576-2022 karta knärot.png", "A 27576-2022")</f>
        <v/>
      </c>
      <c r="V138">
        <f>HYPERLINK("https://klasma.github.io/Logging_2380/klagomål/A 27576-2022 FSC-klagomål.docx", "A 27576-2022")</f>
        <v/>
      </c>
      <c r="W138">
        <f>HYPERLINK("https://klasma.github.io/Logging_2380/klagomålsmail/A 27576-2022 FSC-klagomål mail.docx", "A 27576-2022")</f>
        <v/>
      </c>
      <c r="X138">
        <f>HYPERLINK("https://klasma.github.io/Logging_2380/tillsyn/A 27576-2022 tillsynsbegäran.docx", "A 27576-2022")</f>
        <v/>
      </c>
      <c r="Y138">
        <f>HYPERLINK("https://klasma.github.io/Logging_2380/tillsynsmail/A 27576-2022 tillsynsbegäran mail.docx", "A 27576-2022")</f>
        <v/>
      </c>
    </row>
    <row r="139" ht="15" customHeight="1">
      <c r="A139" t="inlineStr">
        <is>
          <t>A 33267-2022</t>
        </is>
      </c>
      <c r="B139" s="1" t="n">
        <v>44785</v>
      </c>
      <c r="C139" s="1" t="n">
        <v>45628</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43947-2022</t>
        </is>
      </c>
      <c r="B140" s="1" t="n">
        <v>44838</v>
      </c>
      <c r="C140" s="1" t="n">
        <v>45628</v>
      </c>
      <c r="D140" t="inlineStr">
        <is>
          <t>JÄMTLANDS LÄN</t>
        </is>
      </c>
      <c r="E140" t="inlineStr">
        <is>
          <t>ÖSTERSUND</t>
        </is>
      </c>
      <c r="F140" t="inlineStr">
        <is>
          <t>Övriga Aktiebolag</t>
        </is>
      </c>
      <c r="G140" t="n">
        <v>15.7</v>
      </c>
      <c r="H140" t="n">
        <v>0</v>
      </c>
      <c r="I140" t="n">
        <v>0</v>
      </c>
      <c r="J140" t="n">
        <v>0</v>
      </c>
      <c r="K140" t="n">
        <v>1</v>
      </c>
      <c r="L140" t="n">
        <v>0</v>
      </c>
      <c r="M140" t="n">
        <v>0</v>
      </c>
      <c r="N140" t="n">
        <v>0</v>
      </c>
      <c r="O140" t="n">
        <v>1</v>
      </c>
      <c r="P140" t="n">
        <v>1</v>
      </c>
      <c r="Q140" t="n">
        <v>1</v>
      </c>
      <c r="R140" s="2" t="inlineStr">
        <is>
          <t>Sprickporing</t>
        </is>
      </c>
      <c r="S140">
        <f>HYPERLINK("https://klasma.github.io/Logging_2380/artfynd/A 43947-2022 artfynd.xlsx", "A 43947-2022")</f>
        <v/>
      </c>
      <c r="T140">
        <f>HYPERLINK("https://klasma.github.io/Logging_2380/kartor/A 43947-2022 karta.png", "A 43947-2022")</f>
        <v/>
      </c>
      <c r="V140">
        <f>HYPERLINK("https://klasma.github.io/Logging_2380/klagomål/A 43947-2022 FSC-klagomål.docx", "A 43947-2022")</f>
        <v/>
      </c>
      <c r="W140">
        <f>HYPERLINK("https://klasma.github.io/Logging_2380/klagomålsmail/A 43947-2022 FSC-klagomål mail.docx", "A 43947-2022")</f>
        <v/>
      </c>
      <c r="X140">
        <f>HYPERLINK("https://klasma.github.io/Logging_2380/tillsyn/A 43947-2022 tillsynsbegäran.docx", "A 43947-2022")</f>
        <v/>
      </c>
      <c r="Y140">
        <f>HYPERLINK("https://klasma.github.io/Logging_2380/tillsynsmail/A 43947-2022 tillsynsbegäran mail.docx", "A 43947-2022")</f>
        <v/>
      </c>
    </row>
    <row r="141" ht="15" customHeight="1">
      <c r="A141" t="inlineStr">
        <is>
          <t>A 45441-2022</t>
        </is>
      </c>
      <c r="B141" s="1" t="n">
        <v>44844</v>
      </c>
      <c r="C141" s="1" t="n">
        <v>45628</v>
      </c>
      <c r="D141" t="inlineStr">
        <is>
          <t>JÄMTLANDS LÄN</t>
        </is>
      </c>
      <c r="E141" t="inlineStr">
        <is>
          <t>ÖSTERSUND</t>
        </is>
      </c>
      <c r="F141" t="inlineStr">
        <is>
          <t>SCA</t>
        </is>
      </c>
      <c r="G141" t="n">
        <v>1.8</v>
      </c>
      <c r="H141" t="n">
        <v>0</v>
      </c>
      <c r="I141" t="n">
        <v>1</v>
      </c>
      <c r="J141" t="n">
        <v>0</v>
      </c>
      <c r="K141" t="n">
        <v>0</v>
      </c>
      <c r="L141" t="n">
        <v>0</v>
      </c>
      <c r="M141" t="n">
        <v>0</v>
      </c>
      <c r="N141" t="n">
        <v>0</v>
      </c>
      <c r="O141" t="n">
        <v>0</v>
      </c>
      <c r="P141" t="n">
        <v>0</v>
      </c>
      <c r="Q141" t="n">
        <v>1</v>
      </c>
      <c r="R141" s="2" t="inlineStr">
        <is>
          <t>Korallblylav</t>
        </is>
      </c>
      <c r="S141">
        <f>HYPERLINK("https://klasma.github.io/Logging_2380/artfynd/A 45441-2022 artfynd.xlsx", "A 45441-2022")</f>
        <v/>
      </c>
      <c r="T141">
        <f>HYPERLINK("https://klasma.github.io/Logging_2380/kartor/A 45441-2022 karta.png", "A 45441-2022")</f>
        <v/>
      </c>
      <c r="V141">
        <f>HYPERLINK("https://klasma.github.io/Logging_2380/klagomål/A 45441-2022 FSC-klagomål.docx", "A 45441-2022")</f>
        <v/>
      </c>
      <c r="W141">
        <f>HYPERLINK("https://klasma.github.io/Logging_2380/klagomålsmail/A 45441-2022 FSC-klagomål mail.docx", "A 45441-2022")</f>
        <v/>
      </c>
      <c r="X141">
        <f>HYPERLINK("https://klasma.github.io/Logging_2380/tillsyn/A 45441-2022 tillsynsbegäran.docx", "A 45441-2022")</f>
        <v/>
      </c>
      <c r="Y141">
        <f>HYPERLINK("https://klasma.github.io/Logging_2380/tillsynsmail/A 45441-2022 tillsynsbegäran mail.docx", "A 45441-2022")</f>
        <v/>
      </c>
    </row>
    <row r="142" ht="15" customHeight="1">
      <c r="A142" t="inlineStr">
        <is>
          <t>A 56245-2022</t>
        </is>
      </c>
      <c r="B142" s="1" t="n">
        <v>44890</v>
      </c>
      <c r="C142" s="1" t="n">
        <v>45628</v>
      </c>
      <c r="D142" t="inlineStr">
        <is>
          <t>JÄMTLANDS LÄN</t>
        </is>
      </c>
      <c r="E142" t="inlineStr">
        <is>
          <t>ÖSTERSUND</t>
        </is>
      </c>
      <c r="F142" t="inlineStr">
        <is>
          <t>Övriga Aktiebolag</t>
        </is>
      </c>
      <c r="G142" t="n">
        <v>10.6</v>
      </c>
      <c r="H142" t="n">
        <v>0</v>
      </c>
      <c r="I142" t="n">
        <v>0</v>
      </c>
      <c r="J142" t="n">
        <v>1</v>
      </c>
      <c r="K142" t="n">
        <v>0</v>
      </c>
      <c r="L142" t="n">
        <v>0</v>
      </c>
      <c r="M142" t="n">
        <v>0</v>
      </c>
      <c r="N142" t="n">
        <v>0</v>
      </c>
      <c r="O142" t="n">
        <v>1</v>
      </c>
      <c r="P142" t="n">
        <v>0</v>
      </c>
      <c r="Q142" t="n">
        <v>1</v>
      </c>
      <c r="R142" s="2" t="inlineStr">
        <is>
          <t>Garnlav</t>
        </is>
      </c>
      <c r="S142">
        <f>HYPERLINK("https://klasma.github.io/Logging_2380/artfynd/A 56245-2022 artfynd.xlsx", "A 56245-2022")</f>
        <v/>
      </c>
      <c r="T142">
        <f>HYPERLINK("https://klasma.github.io/Logging_2380/kartor/A 56245-2022 karta.png", "A 56245-2022")</f>
        <v/>
      </c>
      <c r="V142">
        <f>HYPERLINK("https://klasma.github.io/Logging_2380/klagomål/A 56245-2022 FSC-klagomål.docx", "A 56245-2022")</f>
        <v/>
      </c>
      <c r="W142">
        <f>HYPERLINK("https://klasma.github.io/Logging_2380/klagomålsmail/A 56245-2022 FSC-klagomål mail.docx", "A 56245-2022")</f>
        <v/>
      </c>
      <c r="X142">
        <f>HYPERLINK("https://klasma.github.io/Logging_2380/tillsyn/A 56245-2022 tillsynsbegäran.docx", "A 56245-2022")</f>
        <v/>
      </c>
      <c r="Y142">
        <f>HYPERLINK("https://klasma.github.io/Logging_2380/tillsynsmail/A 56245-2022 tillsynsbegäran mail.docx", "A 56245-2022")</f>
        <v/>
      </c>
    </row>
    <row r="143" ht="15" customHeight="1">
      <c r="A143" t="inlineStr">
        <is>
          <t>A 58181-2022</t>
        </is>
      </c>
      <c r="B143" s="1" t="n">
        <v>44900</v>
      </c>
      <c r="C143" s="1" t="n">
        <v>45628</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59739-2022</t>
        </is>
      </c>
      <c r="B144" s="1" t="n">
        <v>44908</v>
      </c>
      <c r="C144" s="1" t="n">
        <v>45628</v>
      </c>
      <c r="D144" t="inlineStr">
        <is>
          <t>JÄMTLANDS LÄN</t>
        </is>
      </c>
      <c r="E144" t="inlineStr">
        <is>
          <t>ÖSTERSUND</t>
        </is>
      </c>
      <c r="F144" t="inlineStr">
        <is>
          <t>Kommuner</t>
        </is>
      </c>
      <c r="G144" t="n">
        <v>1.9</v>
      </c>
      <c r="H144" t="n">
        <v>0</v>
      </c>
      <c r="I144" t="n">
        <v>1</v>
      </c>
      <c r="J144" t="n">
        <v>0</v>
      </c>
      <c r="K144" t="n">
        <v>0</v>
      </c>
      <c r="L144" t="n">
        <v>0</v>
      </c>
      <c r="M144" t="n">
        <v>0</v>
      </c>
      <c r="N144" t="n">
        <v>0</v>
      </c>
      <c r="O144" t="n">
        <v>0</v>
      </c>
      <c r="P144" t="n">
        <v>0</v>
      </c>
      <c r="Q144" t="n">
        <v>1</v>
      </c>
      <c r="R144" s="2" t="inlineStr">
        <is>
          <t>Vedticka</t>
        </is>
      </c>
      <c r="S144">
        <f>HYPERLINK("https://klasma.github.io/Logging_2380/artfynd/A 59739-2022 artfynd.xlsx", "A 59739-2022")</f>
        <v/>
      </c>
      <c r="T144">
        <f>HYPERLINK("https://klasma.github.io/Logging_2380/kartor/A 59739-2022 karta.png", "A 59739-2022")</f>
        <v/>
      </c>
      <c r="V144">
        <f>HYPERLINK("https://klasma.github.io/Logging_2380/klagomål/A 59739-2022 FSC-klagomål.docx", "A 59739-2022")</f>
        <v/>
      </c>
      <c r="W144">
        <f>HYPERLINK("https://klasma.github.io/Logging_2380/klagomålsmail/A 59739-2022 FSC-klagomål mail.docx", "A 59739-2022")</f>
        <v/>
      </c>
      <c r="X144">
        <f>HYPERLINK("https://klasma.github.io/Logging_2380/tillsyn/A 59739-2022 tillsynsbegäran.docx", "A 59739-2022")</f>
        <v/>
      </c>
      <c r="Y144">
        <f>HYPERLINK("https://klasma.github.io/Logging_2380/tillsynsmail/A 59739-2022 tillsynsbegäran mail.docx", "A 59739-2022")</f>
        <v/>
      </c>
    </row>
    <row r="145" ht="15" customHeight="1">
      <c r="A145" t="inlineStr">
        <is>
          <t>A 28980-2023</t>
        </is>
      </c>
      <c r="B145" s="1" t="n">
        <v>45096</v>
      </c>
      <c r="C145" s="1" t="n">
        <v>45628</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32411-2023</t>
        </is>
      </c>
      <c r="B146" s="1" t="n">
        <v>45120</v>
      </c>
      <c r="C146" s="1" t="n">
        <v>45628</v>
      </c>
      <c r="D146" t="inlineStr">
        <is>
          <t>JÄMTLANDS LÄN</t>
        </is>
      </c>
      <c r="E146" t="inlineStr">
        <is>
          <t>ÖSTERSUND</t>
        </is>
      </c>
      <c r="G146" t="n">
        <v>8.5</v>
      </c>
      <c r="H146" t="n">
        <v>1</v>
      </c>
      <c r="I146" t="n">
        <v>1</v>
      </c>
      <c r="J146" t="n">
        <v>0</v>
      </c>
      <c r="K146" t="n">
        <v>0</v>
      </c>
      <c r="L146" t="n">
        <v>0</v>
      </c>
      <c r="M146" t="n">
        <v>0</v>
      </c>
      <c r="N146" t="n">
        <v>0</v>
      </c>
      <c r="O146" t="n">
        <v>0</v>
      </c>
      <c r="P146" t="n">
        <v>0</v>
      </c>
      <c r="Q146" t="n">
        <v>1</v>
      </c>
      <c r="R146" s="2" t="inlineStr">
        <is>
          <t>Spindelblomster</t>
        </is>
      </c>
      <c r="S146">
        <f>HYPERLINK("https://klasma.github.io/Logging_2380/artfynd/A 32411-2023 artfynd.xlsx", "A 32411-2023")</f>
        <v/>
      </c>
      <c r="T146">
        <f>HYPERLINK("https://klasma.github.io/Logging_2380/kartor/A 32411-2023 karta.png", "A 32411-2023")</f>
        <v/>
      </c>
      <c r="V146">
        <f>HYPERLINK("https://klasma.github.io/Logging_2380/klagomål/A 32411-2023 FSC-klagomål.docx", "A 32411-2023")</f>
        <v/>
      </c>
      <c r="W146">
        <f>HYPERLINK("https://klasma.github.io/Logging_2380/klagomålsmail/A 32411-2023 FSC-klagomål mail.docx", "A 32411-2023")</f>
        <v/>
      </c>
      <c r="X146">
        <f>HYPERLINK("https://klasma.github.io/Logging_2380/tillsyn/A 32411-2023 tillsynsbegäran.docx", "A 32411-2023")</f>
        <v/>
      </c>
      <c r="Y146">
        <f>HYPERLINK("https://klasma.github.io/Logging_2380/tillsynsmail/A 32411-2023 tillsynsbegäran mail.docx", "A 32411-2023")</f>
        <v/>
      </c>
    </row>
    <row r="147" ht="15" customHeight="1">
      <c r="A147" t="inlineStr">
        <is>
          <t>A 50825-2023</t>
        </is>
      </c>
      <c r="B147" s="1" t="n">
        <v>45217</v>
      </c>
      <c r="C147" s="1" t="n">
        <v>45628</v>
      </c>
      <c r="D147" t="inlineStr">
        <is>
          <t>JÄMTLANDS LÄN</t>
        </is>
      </c>
      <c r="E147" t="inlineStr">
        <is>
          <t>ÖSTERSUND</t>
        </is>
      </c>
      <c r="G147" t="n">
        <v>24.3</v>
      </c>
      <c r="H147" t="n">
        <v>0</v>
      </c>
      <c r="I147" t="n">
        <v>0</v>
      </c>
      <c r="J147" t="n">
        <v>1</v>
      </c>
      <c r="K147" t="n">
        <v>0</v>
      </c>
      <c r="L147" t="n">
        <v>0</v>
      </c>
      <c r="M147" t="n">
        <v>0</v>
      </c>
      <c r="N147" t="n">
        <v>0</v>
      </c>
      <c r="O147" t="n">
        <v>1</v>
      </c>
      <c r="P147" t="n">
        <v>0</v>
      </c>
      <c r="Q147" t="n">
        <v>1</v>
      </c>
      <c r="R147" s="2" t="inlineStr">
        <is>
          <t>Granticka</t>
        </is>
      </c>
      <c r="S147">
        <f>HYPERLINK("https://klasma.github.io/Logging_2380/artfynd/A 50825-2023 artfynd.xlsx", "A 50825-2023")</f>
        <v/>
      </c>
      <c r="T147">
        <f>HYPERLINK("https://klasma.github.io/Logging_2380/kartor/A 50825-2023 karta.png", "A 50825-2023")</f>
        <v/>
      </c>
      <c r="V147">
        <f>HYPERLINK("https://klasma.github.io/Logging_2380/klagomål/A 50825-2023 FSC-klagomål.docx", "A 50825-2023")</f>
        <v/>
      </c>
      <c r="W147">
        <f>HYPERLINK("https://klasma.github.io/Logging_2380/klagomålsmail/A 50825-2023 FSC-klagomål mail.docx", "A 50825-2023")</f>
        <v/>
      </c>
      <c r="X147">
        <f>HYPERLINK("https://klasma.github.io/Logging_2380/tillsyn/A 50825-2023 tillsynsbegäran.docx", "A 50825-2023")</f>
        <v/>
      </c>
      <c r="Y147">
        <f>HYPERLINK("https://klasma.github.io/Logging_2380/tillsynsmail/A 50825-2023 tillsynsbegäran mail.docx", "A 50825-2023")</f>
        <v/>
      </c>
    </row>
    <row r="148" ht="15" customHeight="1">
      <c r="A148" t="inlineStr">
        <is>
          <t>A 56025-2023</t>
        </is>
      </c>
      <c r="B148" s="1" t="n">
        <v>45233</v>
      </c>
      <c r="C148" s="1" t="n">
        <v>45628</v>
      </c>
      <c r="D148" t="inlineStr">
        <is>
          <t>JÄMTLANDS LÄN</t>
        </is>
      </c>
      <c r="E148" t="inlineStr">
        <is>
          <t>ÖSTERSUND</t>
        </is>
      </c>
      <c r="G148" t="n">
        <v>3.9</v>
      </c>
      <c r="H148" t="n">
        <v>1</v>
      </c>
      <c r="I148" t="n">
        <v>0</v>
      </c>
      <c r="J148" t="n">
        <v>1</v>
      </c>
      <c r="K148" t="n">
        <v>0</v>
      </c>
      <c r="L148" t="n">
        <v>0</v>
      </c>
      <c r="M148" t="n">
        <v>0</v>
      </c>
      <c r="N148" t="n">
        <v>0</v>
      </c>
      <c r="O148" t="n">
        <v>1</v>
      </c>
      <c r="P148" t="n">
        <v>0</v>
      </c>
      <c r="Q148" t="n">
        <v>1</v>
      </c>
      <c r="R148" s="2" t="inlineStr">
        <is>
          <t>Jämtlandsmaskros</t>
        </is>
      </c>
      <c r="S148">
        <f>HYPERLINK("https://klasma.github.io/Logging_2380/artfynd/A 56025-2023 artfynd.xlsx", "A 56025-2023")</f>
        <v/>
      </c>
      <c r="T148">
        <f>HYPERLINK("https://klasma.github.io/Logging_2380/kartor/A 56025-2023 karta.png", "A 56025-2023")</f>
        <v/>
      </c>
      <c r="V148">
        <f>HYPERLINK("https://klasma.github.io/Logging_2380/klagomål/A 56025-2023 FSC-klagomål.docx", "A 56025-2023")</f>
        <v/>
      </c>
      <c r="W148">
        <f>HYPERLINK("https://klasma.github.io/Logging_2380/klagomålsmail/A 56025-2023 FSC-klagomål mail.docx", "A 56025-2023")</f>
        <v/>
      </c>
      <c r="X148">
        <f>HYPERLINK("https://klasma.github.io/Logging_2380/tillsyn/A 56025-2023 tillsynsbegäran.docx", "A 56025-2023")</f>
        <v/>
      </c>
      <c r="Y148">
        <f>HYPERLINK("https://klasma.github.io/Logging_2380/tillsynsmail/A 56025-2023 tillsynsbegäran mail.docx", "A 56025-2023")</f>
        <v/>
      </c>
    </row>
    <row r="149" ht="15" customHeight="1">
      <c r="A149" t="inlineStr">
        <is>
          <t>A 57864-2023</t>
        </is>
      </c>
      <c r="B149" s="1" t="n">
        <v>45244</v>
      </c>
      <c r="C149" s="1" t="n">
        <v>45628</v>
      </c>
      <c r="D149" t="inlineStr">
        <is>
          <t>JÄMTLANDS LÄN</t>
        </is>
      </c>
      <c r="E149" t="inlineStr">
        <is>
          <t>ÖSTERSUND</t>
        </is>
      </c>
      <c r="G149" t="n">
        <v>3.1</v>
      </c>
      <c r="H149" t="n">
        <v>1</v>
      </c>
      <c r="I149" t="n">
        <v>0</v>
      </c>
      <c r="J149" t="n">
        <v>0</v>
      </c>
      <c r="K149" t="n">
        <v>0</v>
      </c>
      <c r="L149" t="n">
        <v>0</v>
      </c>
      <c r="M149" t="n">
        <v>0</v>
      </c>
      <c r="N149" t="n">
        <v>0</v>
      </c>
      <c r="O149" t="n">
        <v>0</v>
      </c>
      <c r="P149" t="n">
        <v>0</v>
      </c>
      <c r="Q149" t="n">
        <v>1</v>
      </c>
      <c r="R149" s="2" t="inlineStr">
        <is>
          <t>Mattlummer</t>
        </is>
      </c>
      <c r="S149">
        <f>HYPERLINK("https://klasma.github.io/Logging_2380/artfynd/A 57864-2023 artfynd.xlsx", "A 57864-2023")</f>
        <v/>
      </c>
      <c r="T149">
        <f>HYPERLINK("https://klasma.github.io/Logging_2380/kartor/A 57864-2023 karta.png", "A 57864-2023")</f>
        <v/>
      </c>
      <c r="V149">
        <f>HYPERLINK("https://klasma.github.io/Logging_2380/klagomål/A 57864-2023 FSC-klagomål.docx", "A 57864-2023")</f>
        <v/>
      </c>
      <c r="W149">
        <f>HYPERLINK("https://klasma.github.io/Logging_2380/klagomålsmail/A 57864-2023 FSC-klagomål mail.docx", "A 57864-2023")</f>
        <v/>
      </c>
      <c r="X149">
        <f>HYPERLINK("https://klasma.github.io/Logging_2380/tillsyn/A 57864-2023 tillsynsbegäran.docx", "A 57864-2023")</f>
        <v/>
      </c>
      <c r="Y149">
        <f>HYPERLINK("https://klasma.github.io/Logging_2380/tillsynsmail/A 57864-2023 tillsynsbegäran mail.docx", "A 57864-2023")</f>
        <v/>
      </c>
    </row>
    <row r="150" ht="15" customHeight="1">
      <c r="A150" t="inlineStr">
        <is>
          <t>A 64380-2023</t>
        </is>
      </c>
      <c r="B150" s="1" t="n">
        <v>45280</v>
      </c>
      <c r="C150" s="1" t="n">
        <v>45628</v>
      </c>
      <c r="D150" t="inlineStr">
        <is>
          <t>JÄMTLANDS LÄN</t>
        </is>
      </c>
      <c r="E150" t="inlineStr">
        <is>
          <t>ÖSTERSUND</t>
        </is>
      </c>
      <c r="G150" t="n">
        <v>12.4</v>
      </c>
      <c r="H150" t="n">
        <v>0</v>
      </c>
      <c r="I150" t="n">
        <v>0</v>
      </c>
      <c r="J150" t="n">
        <v>1</v>
      </c>
      <c r="K150" t="n">
        <v>0</v>
      </c>
      <c r="L150" t="n">
        <v>0</v>
      </c>
      <c r="M150" t="n">
        <v>0</v>
      </c>
      <c r="N150" t="n">
        <v>0</v>
      </c>
      <c r="O150" t="n">
        <v>1</v>
      </c>
      <c r="P150" t="n">
        <v>0</v>
      </c>
      <c r="Q150" t="n">
        <v>1</v>
      </c>
      <c r="R150" s="2" t="inlineStr">
        <is>
          <t>Luddfingersvamp</t>
        </is>
      </c>
      <c r="S150">
        <f>HYPERLINK("https://klasma.github.io/Logging_2380/artfynd/A 64380-2023 artfynd.xlsx", "A 64380-2023")</f>
        <v/>
      </c>
      <c r="T150">
        <f>HYPERLINK("https://klasma.github.io/Logging_2380/kartor/A 64380-2023 karta.png", "A 64380-2023")</f>
        <v/>
      </c>
      <c r="V150">
        <f>HYPERLINK("https://klasma.github.io/Logging_2380/klagomål/A 64380-2023 FSC-klagomål.docx", "A 64380-2023")</f>
        <v/>
      </c>
      <c r="W150">
        <f>HYPERLINK("https://klasma.github.io/Logging_2380/klagomålsmail/A 64380-2023 FSC-klagomål mail.docx", "A 64380-2023")</f>
        <v/>
      </c>
      <c r="X150">
        <f>HYPERLINK("https://klasma.github.io/Logging_2380/tillsyn/A 64380-2023 tillsynsbegäran.docx", "A 64380-2023")</f>
        <v/>
      </c>
      <c r="Y150">
        <f>HYPERLINK("https://klasma.github.io/Logging_2380/tillsynsmail/A 64380-2023 tillsynsbegäran mail.docx", "A 64380-2023")</f>
        <v/>
      </c>
    </row>
    <row r="151" ht="15" customHeight="1">
      <c r="A151" t="inlineStr">
        <is>
          <t>A 3272-2024</t>
        </is>
      </c>
      <c r="B151" s="1" t="n">
        <v>45316</v>
      </c>
      <c r="C151" s="1" t="n">
        <v>45628</v>
      </c>
      <c r="D151" t="inlineStr">
        <is>
          <t>JÄMTLANDS LÄN</t>
        </is>
      </c>
      <c r="E151" t="inlineStr">
        <is>
          <t>ÖSTERSUND</t>
        </is>
      </c>
      <c r="G151" t="n">
        <v>5.6</v>
      </c>
      <c r="H151" t="n">
        <v>1</v>
      </c>
      <c r="I151" t="n">
        <v>1</v>
      </c>
      <c r="J151" t="n">
        <v>0</v>
      </c>
      <c r="K151" t="n">
        <v>0</v>
      </c>
      <c r="L151" t="n">
        <v>0</v>
      </c>
      <c r="M151" t="n">
        <v>0</v>
      </c>
      <c r="N151" t="n">
        <v>0</v>
      </c>
      <c r="O151" t="n">
        <v>0</v>
      </c>
      <c r="P151" t="n">
        <v>0</v>
      </c>
      <c r="Q151" t="n">
        <v>1</v>
      </c>
      <c r="R151" s="2" t="inlineStr">
        <is>
          <t>Korallrot</t>
        </is>
      </c>
      <c r="S151">
        <f>HYPERLINK("https://klasma.github.io/Logging_2380/artfynd/A 3272-2024 artfynd.xlsx", "A 3272-2024")</f>
        <v/>
      </c>
      <c r="T151">
        <f>HYPERLINK("https://klasma.github.io/Logging_2380/kartor/A 3272-2024 karta.png", "A 3272-2024")</f>
        <v/>
      </c>
      <c r="V151">
        <f>HYPERLINK("https://klasma.github.io/Logging_2380/klagomål/A 3272-2024 FSC-klagomål.docx", "A 3272-2024")</f>
        <v/>
      </c>
      <c r="W151">
        <f>HYPERLINK("https://klasma.github.io/Logging_2380/klagomålsmail/A 3272-2024 FSC-klagomål mail.docx", "A 3272-2024")</f>
        <v/>
      </c>
      <c r="X151">
        <f>HYPERLINK("https://klasma.github.io/Logging_2380/tillsyn/A 3272-2024 tillsynsbegäran.docx", "A 3272-2024")</f>
        <v/>
      </c>
      <c r="Y151">
        <f>HYPERLINK("https://klasma.github.io/Logging_2380/tillsynsmail/A 3272-2024 tillsynsbegäran mail.docx", "A 3272-2024")</f>
        <v/>
      </c>
    </row>
    <row r="152" ht="15" customHeight="1">
      <c r="A152" t="inlineStr">
        <is>
          <t>A 5781-2024</t>
        </is>
      </c>
      <c r="B152" s="1" t="n">
        <v>45335</v>
      </c>
      <c r="C152" s="1" t="n">
        <v>45628</v>
      </c>
      <c r="D152" t="inlineStr">
        <is>
          <t>JÄMTLANDS LÄN</t>
        </is>
      </c>
      <c r="E152" t="inlineStr">
        <is>
          <t>ÖSTERSUND</t>
        </is>
      </c>
      <c r="G152" t="n">
        <v>8.800000000000001</v>
      </c>
      <c r="H152" t="n">
        <v>1</v>
      </c>
      <c r="I152" t="n">
        <v>1</v>
      </c>
      <c r="J152" t="n">
        <v>0</v>
      </c>
      <c r="K152" t="n">
        <v>0</v>
      </c>
      <c r="L152" t="n">
        <v>0</v>
      </c>
      <c r="M152" t="n">
        <v>0</v>
      </c>
      <c r="N152" t="n">
        <v>0</v>
      </c>
      <c r="O152" t="n">
        <v>0</v>
      </c>
      <c r="P152" t="n">
        <v>0</v>
      </c>
      <c r="Q152" t="n">
        <v>1</v>
      </c>
      <c r="R152" s="2" t="inlineStr">
        <is>
          <t>Guckusko</t>
        </is>
      </c>
      <c r="S152">
        <f>HYPERLINK("https://klasma.github.io/Logging_2380/artfynd/A 5781-2024 artfynd.xlsx", "A 5781-2024")</f>
        <v/>
      </c>
      <c r="T152">
        <f>HYPERLINK("https://klasma.github.io/Logging_2380/kartor/A 5781-2024 karta.png", "A 5781-2024")</f>
        <v/>
      </c>
      <c r="V152">
        <f>HYPERLINK("https://klasma.github.io/Logging_2380/klagomål/A 5781-2024 FSC-klagomål.docx", "A 5781-2024")</f>
        <v/>
      </c>
      <c r="W152">
        <f>HYPERLINK("https://klasma.github.io/Logging_2380/klagomålsmail/A 5781-2024 FSC-klagomål mail.docx", "A 5781-2024")</f>
        <v/>
      </c>
      <c r="X152">
        <f>HYPERLINK("https://klasma.github.io/Logging_2380/tillsyn/A 5781-2024 tillsynsbegäran.docx", "A 5781-2024")</f>
        <v/>
      </c>
      <c r="Y152">
        <f>HYPERLINK("https://klasma.github.io/Logging_2380/tillsynsmail/A 5781-2024 tillsynsbegäran mail.docx", "A 5781-2024")</f>
        <v/>
      </c>
    </row>
    <row r="153" ht="15" customHeight="1">
      <c r="A153" t="inlineStr">
        <is>
          <t>A 5779-2024</t>
        </is>
      </c>
      <c r="B153" s="1" t="n">
        <v>45335</v>
      </c>
      <c r="C153" s="1" t="n">
        <v>45628</v>
      </c>
      <c r="D153" t="inlineStr">
        <is>
          <t>JÄMTLANDS LÄN</t>
        </is>
      </c>
      <c r="E153" t="inlineStr">
        <is>
          <t>ÖSTERSUND</t>
        </is>
      </c>
      <c r="G153" t="n">
        <v>9.9</v>
      </c>
      <c r="H153" t="n">
        <v>0</v>
      </c>
      <c r="I153" t="n">
        <v>1</v>
      </c>
      <c r="J153" t="n">
        <v>0</v>
      </c>
      <c r="K153" t="n">
        <v>0</v>
      </c>
      <c r="L153" t="n">
        <v>0</v>
      </c>
      <c r="M153" t="n">
        <v>0</v>
      </c>
      <c r="N153" t="n">
        <v>0</v>
      </c>
      <c r="O153" t="n">
        <v>0</v>
      </c>
      <c r="P153" t="n">
        <v>0</v>
      </c>
      <c r="Q153" t="n">
        <v>1</v>
      </c>
      <c r="R153" s="2" t="inlineStr">
        <is>
          <t>Kransrams</t>
        </is>
      </c>
      <c r="S153">
        <f>HYPERLINK("https://klasma.github.io/Logging_2380/artfynd/A 5779-2024 artfynd.xlsx", "A 5779-2024")</f>
        <v/>
      </c>
      <c r="T153">
        <f>HYPERLINK("https://klasma.github.io/Logging_2380/kartor/A 5779-2024 karta.png", "A 5779-2024")</f>
        <v/>
      </c>
      <c r="V153">
        <f>HYPERLINK("https://klasma.github.io/Logging_2380/klagomål/A 5779-2024 FSC-klagomål.docx", "A 5779-2024")</f>
        <v/>
      </c>
      <c r="W153">
        <f>HYPERLINK("https://klasma.github.io/Logging_2380/klagomålsmail/A 5779-2024 FSC-klagomål mail.docx", "A 5779-2024")</f>
        <v/>
      </c>
      <c r="X153">
        <f>HYPERLINK("https://klasma.github.io/Logging_2380/tillsyn/A 5779-2024 tillsynsbegäran.docx", "A 5779-2024")</f>
        <v/>
      </c>
      <c r="Y153">
        <f>HYPERLINK("https://klasma.github.io/Logging_2380/tillsynsmail/A 5779-2024 tillsynsbegäran mail.docx", "A 5779-2024")</f>
        <v/>
      </c>
    </row>
    <row r="154" ht="15" customHeight="1">
      <c r="A154" t="inlineStr">
        <is>
          <t>A 11513-2024</t>
        </is>
      </c>
      <c r="B154" s="1" t="n">
        <v>45372</v>
      </c>
      <c r="C154" s="1" t="n">
        <v>45628</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15090-2024</t>
        </is>
      </c>
      <c r="B155" s="1" t="n">
        <v>45399</v>
      </c>
      <c r="C155" s="1" t="n">
        <v>45628</v>
      </c>
      <c r="D155" t="inlineStr">
        <is>
          <t>JÄMTLANDS LÄN</t>
        </is>
      </c>
      <c r="E155" t="inlineStr">
        <is>
          <t>ÖSTERSUND</t>
        </is>
      </c>
      <c r="G155" t="n">
        <v>18</v>
      </c>
      <c r="H155" t="n">
        <v>0</v>
      </c>
      <c r="I155" t="n">
        <v>1</v>
      </c>
      <c r="J155" t="n">
        <v>0</v>
      </c>
      <c r="K155" t="n">
        <v>0</v>
      </c>
      <c r="L155" t="n">
        <v>0</v>
      </c>
      <c r="M155" t="n">
        <v>0</v>
      </c>
      <c r="N155" t="n">
        <v>0</v>
      </c>
      <c r="O155" t="n">
        <v>0</v>
      </c>
      <c r="P155" t="n">
        <v>0</v>
      </c>
      <c r="Q155" t="n">
        <v>1</v>
      </c>
      <c r="R155" s="2" t="inlineStr">
        <is>
          <t>Svavelriska</t>
        </is>
      </c>
      <c r="S155">
        <f>HYPERLINK("https://klasma.github.io/Logging_2380/artfynd/A 15090-2024 artfynd.xlsx", "A 15090-2024")</f>
        <v/>
      </c>
      <c r="T155">
        <f>HYPERLINK("https://klasma.github.io/Logging_2380/kartor/A 15090-2024 karta.png", "A 15090-2024")</f>
        <v/>
      </c>
      <c r="V155">
        <f>HYPERLINK("https://klasma.github.io/Logging_2380/klagomål/A 15090-2024 FSC-klagomål.docx", "A 15090-2024")</f>
        <v/>
      </c>
      <c r="W155">
        <f>HYPERLINK("https://klasma.github.io/Logging_2380/klagomålsmail/A 15090-2024 FSC-klagomål mail.docx", "A 15090-2024")</f>
        <v/>
      </c>
      <c r="X155">
        <f>HYPERLINK("https://klasma.github.io/Logging_2380/tillsyn/A 15090-2024 tillsynsbegäran.docx", "A 15090-2024")</f>
        <v/>
      </c>
      <c r="Y155">
        <f>HYPERLINK("https://klasma.github.io/Logging_2380/tillsynsmail/A 15090-2024 tillsynsbegäran mail.docx", "A 15090-2024")</f>
        <v/>
      </c>
    </row>
    <row r="156" ht="15" customHeight="1">
      <c r="A156" t="inlineStr">
        <is>
          <t>A 18951-2024</t>
        </is>
      </c>
      <c r="B156" s="1" t="n">
        <v>45427</v>
      </c>
      <c r="C156" s="1" t="n">
        <v>45628</v>
      </c>
      <c r="D156" t="inlineStr">
        <is>
          <t>JÄMTLANDS LÄN</t>
        </is>
      </c>
      <c r="E156" t="inlineStr">
        <is>
          <t>ÖSTERSUND</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HYPERLINK("https://klasma.github.io/Logging_2380/artfynd/A 18951-2024 artfynd.xlsx", "A 18951-2024")</f>
        <v/>
      </c>
      <c r="T156">
        <f>HYPERLINK("https://klasma.github.io/Logging_2380/kartor/A 18951-2024 karta.png", "A 18951-2024")</f>
        <v/>
      </c>
      <c r="V156">
        <f>HYPERLINK("https://klasma.github.io/Logging_2380/klagomål/A 18951-2024 FSC-klagomål.docx", "A 18951-2024")</f>
        <v/>
      </c>
      <c r="W156">
        <f>HYPERLINK("https://klasma.github.io/Logging_2380/klagomålsmail/A 18951-2024 FSC-klagomål mail.docx", "A 18951-2024")</f>
        <v/>
      </c>
      <c r="X156">
        <f>HYPERLINK("https://klasma.github.io/Logging_2380/tillsyn/A 18951-2024 tillsynsbegäran.docx", "A 18951-2024")</f>
        <v/>
      </c>
      <c r="Y156">
        <f>HYPERLINK("https://klasma.github.io/Logging_2380/tillsynsmail/A 18951-2024 tillsynsbegäran mail.docx", "A 18951-2024")</f>
        <v/>
      </c>
    </row>
    <row r="157" ht="15" customHeight="1">
      <c r="A157" t="inlineStr">
        <is>
          <t>A 21614-2024</t>
        </is>
      </c>
      <c r="B157" s="1" t="n">
        <v>45442</v>
      </c>
      <c r="C157" s="1" t="n">
        <v>45628</v>
      </c>
      <c r="D157" t="inlineStr">
        <is>
          <t>JÄMTLANDS LÄN</t>
        </is>
      </c>
      <c r="E157" t="inlineStr">
        <is>
          <t>ÖSTERSUND</t>
        </is>
      </c>
      <c r="F157" t="inlineStr">
        <is>
          <t>SCA</t>
        </is>
      </c>
      <c r="G157" t="n">
        <v>3.5</v>
      </c>
      <c r="H157" t="n">
        <v>0</v>
      </c>
      <c r="I157" t="n">
        <v>0</v>
      </c>
      <c r="J157" t="n">
        <v>1</v>
      </c>
      <c r="K157" t="n">
        <v>0</v>
      </c>
      <c r="L157" t="n">
        <v>0</v>
      </c>
      <c r="M157" t="n">
        <v>0</v>
      </c>
      <c r="N157" t="n">
        <v>0</v>
      </c>
      <c r="O157" t="n">
        <v>1</v>
      </c>
      <c r="P157" t="n">
        <v>0</v>
      </c>
      <c r="Q157" t="n">
        <v>1</v>
      </c>
      <c r="R157" s="2" t="inlineStr">
        <is>
          <t>Lunglav</t>
        </is>
      </c>
      <c r="S157">
        <f>HYPERLINK("https://klasma.github.io/Logging_2380/artfynd/A 21614-2024 artfynd.xlsx", "A 21614-2024")</f>
        <v/>
      </c>
      <c r="T157">
        <f>HYPERLINK("https://klasma.github.io/Logging_2380/kartor/A 21614-2024 karta.png", "A 21614-2024")</f>
        <v/>
      </c>
      <c r="U157">
        <f>HYPERLINK("https://klasma.github.io/Logging_2380/knärot/A 21614-2024 karta knärot.png", "A 21614-2024")</f>
        <v/>
      </c>
      <c r="V157">
        <f>HYPERLINK("https://klasma.github.io/Logging_2380/klagomål/A 21614-2024 FSC-klagomål.docx", "A 21614-2024")</f>
        <v/>
      </c>
      <c r="W157">
        <f>HYPERLINK("https://klasma.github.io/Logging_2380/klagomålsmail/A 21614-2024 FSC-klagomål mail.docx", "A 21614-2024")</f>
        <v/>
      </c>
      <c r="X157">
        <f>HYPERLINK("https://klasma.github.io/Logging_2380/tillsyn/A 21614-2024 tillsynsbegäran.docx", "A 21614-2024")</f>
        <v/>
      </c>
      <c r="Y157">
        <f>HYPERLINK("https://klasma.github.io/Logging_2380/tillsynsmail/A 21614-2024 tillsynsbegäran mail.docx", "A 21614-2024")</f>
        <v/>
      </c>
    </row>
    <row r="158" ht="15" customHeight="1">
      <c r="A158" t="inlineStr">
        <is>
          <t>A 31883-2024</t>
        </is>
      </c>
      <c r="B158" s="1" t="n">
        <v>45510</v>
      </c>
      <c r="C158" s="1" t="n">
        <v>45628</v>
      </c>
      <c r="D158" t="inlineStr">
        <is>
          <t>JÄMTLANDS LÄN</t>
        </is>
      </c>
      <c r="E158" t="inlineStr">
        <is>
          <t>ÖSTERSUND</t>
        </is>
      </c>
      <c r="F158" t="inlineStr">
        <is>
          <t>SCA</t>
        </is>
      </c>
      <c r="G158" t="n">
        <v>3.3</v>
      </c>
      <c r="H158" t="n">
        <v>1</v>
      </c>
      <c r="I158" t="n">
        <v>0</v>
      </c>
      <c r="J158" t="n">
        <v>0</v>
      </c>
      <c r="K158" t="n">
        <v>1</v>
      </c>
      <c r="L158" t="n">
        <v>0</v>
      </c>
      <c r="M158" t="n">
        <v>0</v>
      </c>
      <c r="N158" t="n">
        <v>0</v>
      </c>
      <c r="O158" t="n">
        <v>1</v>
      </c>
      <c r="P158" t="n">
        <v>1</v>
      </c>
      <c r="Q158" t="n">
        <v>1</v>
      </c>
      <c r="R158" s="2" t="inlineStr">
        <is>
          <t>Doftticka</t>
        </is>
      </c>
      <c r="S158">
        <f>HYPERLINK("https://klasma.github.io/Logging_2380/artfynd/A 31883-2024 artfynd.xlsx", "A 31883-2024")</f>
        <v/>
      </c>
      <c r="T158">
        <f>HYPERLINK("https://klasma.github.io/Logging_2380/kartor/A 31883-2024 karta.png", "A 31883-2024")</f>
        <v/>
      </c>
      <c r="V158">
        <f>HYPERLINK("https://klasma.github.io/Logging_2380/klagomål/A 31883-2024 FSC-klagomål.docx", "A 31883-2024")</f>
        <v/>
      </c>
      <c r="W158">
        <f>HYPERLINK("https://klasma.github.io/Logging_2380/klagomålsmail/A 31883-2024 FSC-klagomål mail.docx", "A 31883-2024")</f>
        <v/>
      </c>
      <c r="X158">
        <f>HYPERLINK("https://klasma.github.io/Logging_2380/tillsyn/A 31883-2024 tillsynsbegäran.docx", "A 31883-2024")</f>
        <v/>
      </c>
      <c r="Y158">
        <f>HYPERLINK("https://klasma.github.io/Logging_2380/tillsynsmail/A 31883-2024 tillsynsbegäran mail.docx", "A 31883-2024")</f>
        <v/>
      </c>
    </row>
    <row r="159" ht="15" customHeight="1">
      <c r="A159" t="inlineStr">
        <is>
          <t>A 35422-2024</t>
        </is>
      </c>
      <c r="B159" s="1" t="n">
        <v>45531</v>
      </c>
      <c r="C159" s="1" t="n">
        <v>45628</v>
      </c>
      <c r="D159" t="inlineStr">
        <is>
          <t>JÄMTLANDS LÄN</t>
        </is>
      </c>
      <c r="E159" t="inlineStr">
        <is>
          <t>ÖSTERSUND</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HYPERLINK("https://klasma.github.io/Logging_2380/artfynd/A 35422-2024 artfynd.xlsx", "A 35422-2024")</f>
        <v/>
      </c>
      <c r="T159">
        <f>HYPERLINK("https://klasma.github.io/Logging_2380/kartor/A 35422-2024 karta.png", "A 35422-2024")</f>
        <v/>
      </c>
      <c r="V159">
        <f>HYPERLINK("https://klasma.github.io/Logging_2380/klagomål/A 35422-2024 FSC-klagomål.docx", "A 35422-2024")</f>
        <v/>
      </c>
      <c r="W159">
        <f>HYPERLINK("https://klasma.github.io/Logging_2380/klagomålsmail/A 35422-2024 FSC-klagomål mail.docx", "A 35422-2024")</f>
        <v/>
      </c>
      <c r="X159">
        <f>HYPERLINK("https://klasma.github.io/Logging_2380/tillsyn/A 35422-2024 tillsynsbegäran.docx", "A 35422-2024")</f>
        <v/>
      </c>
      <c r="Y159">
        <f>HYPERLINK("https://klasma.github.io/Logging_2380/tillsynsmail/A 35422-2024 tillsynsbegäran mail.docx", "A 35422-2024")</f>
        <v/>
      </c>
    </row>
    <row r="160" ht="15" customHeight="1">
      <c r="A160" t="inlineStr">
        <is>
          <t>A 35421-2024</t>
        </is>
      </c>
      <c r="B160" s="1" t="n">
        <v>45531</v>
      </c>
      <c r="C160" s="1" t="n">
        <v>45628</v>
      </c>
      <c r="D160" t="inlineStr">
        <is>
          <t>JÄMTLANDS LÄN</t>
        </is>
      </c>
      <c r="E160" t="inlineStr">
        <is>
          <t>ÖSTERSUND</t>
        </is>
      </c>
      <c r="F160" t="inlineStr">
        <is>
          <t>SCA</t>
        </is>
      </c>
      <c r="G160" t="n">
        <v>1.6</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35421-2024 artfynd.xlsx", "A 35421-2024")</f>
        <v/>
      </c>
      <c r="T160">
        <f>HYPERLINK("https://klasma.github.io/Logging_2380/kartor/A 35421-2024 karta.png", "A 35421-2024")</f>
        <v/>
      </c>
      <c r="V160">
        <f>HYPERLINK("https://klasma.github.io/Logging_2380/klagomål/A 35421-2024 FSC-klagomål.docx", "A 35421-2024")</f>
        <v/>
      </c>
      <c r="W160">
        <f>HYPERLINK("https://klasma.github.io/Logging_2380/klagomålsmail/A 35421-2024 FSC-klagomål mail.docx", "A 35421-2024")</f>
        <v/>
      </c>
      <c r="X160">
        <f>HYPERLINK("https://klasma.github.io/Logging_2380/tillsyn/A 35421-2024 tillsynsbegäran.docx", "A 35421-2024")</f>
        <v/>
      </c>
      <c r="Y160">
        <f>HYPERLINK("https://klasma.github.io/Logging_2380/tillsynsmail/A 35421-2024 tillsynsbegäran mail.docx", "A 35421-2024")</f>
        <v/>
      </c>
    </row>
    <row r="161" ht="15" customHeight="1">
      <c r="A161" t="inlineStr">
        <is>
          <t>A 36472-2024</t>
        </is>
      </c>
      <c r="B161" s="1" t="n">
        <v>45537</v>
      </c>
      <c r="C161" s="1" t="n">
        <v>45628</v>
      </c>
      <c r="D161" t="inlineStr">
        <is>
          <t>JÄMTLANDS LÄN</t>
        </is>
      </c>
      <c r="E161" t="inlineStr">
        <is>
          <t>ÖSTERSUND</t>
        </is>
      </c>
      <c r="F161" t="inlineStr">
        <is>
          <t>SCA</t>
        </is>
      </c>
      <c r="G161" t="n">
        <v>2.1</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36472-2024 artfynd.xlsx", "A 36472-2024")</f>
        <v/>
      </c>
      <c r="T161">
        <f>HYPERLINK("https://klasma.github.io/Logging_2380/kartor/A 36472-2024 karta.png", "A 36472-2024")</f>
        <v/>
      </c>
      <c r="V161">
        <f>HYPERLINK("https://klasma.github.io/Logging_2380/klagomål/A 36472-2024 FSC-klagomål.docx", "A 36472-2024")</f>
        <v/>
      </c>
      <c r="W161">
        <f>HYPERLINK("https://klasma.github.io/Logging_2380/klagomålsmail/A 36472-2024 FSC-klagomål mail.docx", "A 36472-2024")</f>
        <v/>
      </c>
      <c r="X161">
        <f>HYPERLINK("https://klasma.github.io/Logging_2380/tillsyn/A 36472-2024 tillsynsbegäran.docx", "A 36472-2024")</f>
        <v/>
      </c>
      <c r="Y161">
        <f>HYPERLINK("https://klasma.github.io/Logging_2380/tillsynsmail/A 36472-2024 tillsynsbegäran mail.docx", "A 36472-2024")</f>
        <v/>
      </c>
    </row>
    <row r="162" ht="15" customHeight="1">
      <c r="A162" t="inlineStr">
        <is>
          <t>A 40694-2024</t>
        </is>
      </c>
      <c r="B162" s="1" t="n">
        <v>45558</v>
      </c>
      <c r="C162" s="1" t="n">
        <v>45628</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45628</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40696-2024</t>
        </is>
      </c>
      <c r="B164" s="1" t="n">
        <v>45558</v>
      </c>
      <c r="C164" s="1" t="n">
        <v>45628</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41312-2024</t>
        </is>
      </c>
      <c r="B165" s="1" t="n">
        <v>45559</v>
      </c>
      <c r="C165" s="1" t="n">
        <v>45628</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41275-2024</t>
        </is>
      </c>
      <c r="B166" s="1" t="n">
        <v>45559</v>
      </c>
      <c r="C166" s="1" t="n">
        <v>45628</v>
      </c>
      <c r="D166" t="inlineStr">
        <is>
          <t>JÄMTLANDS LÄN</t>
        </is>
      </c>
      <c r="E166" t="inlineStr">
        <is>
          <t>ÖSTERSUND</t>
        </is>
      </c>
      <c r="F166" t="inlineStr">
        <is>
          <t>SCA</t>
        </is>
      </c>
      <c r="G166" t="n">
        <v>3.3</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41275-2024 artfynd.xlsx", "A 41275-2024")</f>
        <v/>
      </c>
      <c r="T166">
        <f>HYPERLINK("https://klasma.github.io/Logging_2380/kartor/A 41275-2024 karta.png", "A 41275-2024")</f>
        <v/>
      </c>
      <c r="V166">
        <f>HYPERLINK("https://klasma.github.io/Logging_2380/klagomål/A 41275-2024 FSC-klagomål.docx", "A 41275-2024")</f>
        <v/>
      </c>
      <c r="W166">
        <f>HYPERLINK("https://klasma.github.io/Logging_2380/klagomålsmail/A 41275-2024 FSC-klagomål mail.docx", "A 41275-2024")</f>
        <v/>
      </c>
      <c r="X166">
        <f>HYPERLINK("https://klasma.github.io/Logging_2380/tillsyn/A 41275-2024 tillsynsbegäran.docx", "A 41275-2024")</f>
        <v/>
      </c>
      <c r="Y166">
        <f>HYPERLINK("https://klasma.github.io/Logging_2380/tillsynsmail/A 41275-2024 tillsynsbegäran mail.docx", "A 41275-2024")</f>
        <v/>
      </c>
    </row>
    <row r="167" ht="15" customHeight="1">
      <c r="A167" t="inlineStr">
        <is>
          <t>A 41279-2024</t>
        </is>
      </c>
      <c r="B167" s="1" t="n">
        <v>45559</v>
      </c>
      <c r="C167" s="1" t="n">
        <v>45628</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41286-2024</t>
        </is>
      </c>
      <c r="B168" s="1" t="n">
        <v>45559</v>
      </c>
      <c r="C168" s="1" t="n">
        <v>45628</v>
      </c>
      <c r="D168" t="inlineStr">
        <is>
          <t>JÄMTLANDS LÄN</t>
        </is>
      </c>
      <c r="E168" t="inlineStr">
        <is>
          <t>ÖSTERSUND</t>
        </is>
      </c>
      <c r="F168" t="inlineStr">
        <is>
          <t>SCA</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41286-2024 artfynd.xlsx", "A 41286-2024")</f>
        <v/>
      </c>
      <c r="T168">
        <f>HYPERLINK("https://klasma.github.io/Logging_2380/kartor/A 41286-2024 karta.png", "A 41286-2024")</f>
        <v/>
      </c>
      <c r="V168">
        <f>HYPERLINK("https://klasma.github.io/Logging_2380/klagomål/A 41286-2024 FSC-klagomål.docx", "A 41286-2024")</f>
        <v/>
      </c>
      <c r="W168">
        <f>HYPERLINK("https://klasma.github.io/Logging_2380/klagomålsmail/A 41286-2024 FSC-klagomål mail.docx", "A 41286-2024")</f>
        <v/>
      </c>
      <c r="X168">
        <f>HYPERLINK("https://klasma.github.io/Logging_2380/tillsyn/A 41286-2024 tillsynsbegäran.docx", "A 41286-2024")</f>
        <v/>
      </c>
      <c r="Y168">
        <f>HYPERLINK("https://klasma.github.io/Logging_2380/tillsynsmail/A 41286-2024 tillsynsbegäran mail.docx", "A 41286-2024")</f>
        <v/>
      </c>
    </row>
    <row r="169" ht="15" customHeight="1">
      <c r="A169" t="inlineStr">
        <is>
          <t>A 41755-2024</t>
        </is>
      </c>
      <c r="B169" s="1" t="n">
        <v>45561</v>
      </c>
      <c r="C169" s="1" t="n">
        <v>45628</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41755-2024 artfynd.xlsx", "A 41755-2024")</f>
        <v/>
      </c>
      <c r="T169">
        <f>HYPERLINK("https://klasma.github.io/Logging_2380/kartor/A 41755-2024 karta.png", "A 41755-2024")</f>
        <v/>
      </c>
      <c r="V169">
        <f>HYPERLINK("https://klasma.github.io/Logging_2380/klagomål/A 41755-2024 FSC-klagomål.docx", "A 41755-2024")</f>
        <v/>
      </c>
      <c r="W169">
        <f>HYPERLINK("https://klasma.github.io/Logging_2380/klagomålsmail/A 41755-2024 FSC-klagomål mail.docx", "A 41755-2024")</f>
        <v/>
      </c>
      <c r="X169">
        <f>HYPERLINK("https://klasma.github.io/Logging_2380/tillsyn/A 41755-2024 tillsynsbegäran.docx", "A 41755-2024")</f>
        <v/>
      </c>
      <c r="Y169">
        <f>HYPERLINK("https://klasma.github.io/Logging_2380/tillsynsmail/A 41755-2024 tillsynsbegäran mail.docx", "A 41755-2024")</f>
        <v/>
      </c>
    </row>
    <row r="170" ht="15" customHeight="1">
      <c r="A170" t="inlineStr">
        <is>
          <t>A 41762-2024</t>
        </is>
      </c>
      <c r="B170" s="1" t="n">
        <v>45561</v>
      </c>
      <c r="C170" s="1" t="n">
        <v>45628</v>
      </c>
      <c r="D170" t="inlineStr">
        <is>
          <t>JÄMTLANDS LÄN</t>
        </is>
      </c>
      <c r="E170" t="inlineStr">
        <is>
          <t>ÖSTERSUND</t>
        </is>
      </c>
      <c r="F170" t="inlineStr">
        <is>
          <t>SCA</t>
        </is>
      </c>
      <c r="G170" t="n">
        <v>5.9</v>
      </c>
      <c r="H170" t="n">
        <v>0</v>
      </c>
      <c r="I170" t="n">
        <v>1</v>
      </c>
      <c r="J170" t="n">
        <v>0</v>
      </c>
      <c r="K170" t="n">
        <v>0</v>
      </c>
      <c r="L170" t="n">
        <v>0</v>
      </c>
      <c r="M170" t="n">
        <v>0</v>
      </c>
      <c r="N170" t="n">
        <v>0</v>
      </c>
      <c r="O170" t="n">
        <v>0</v>
      </c>
      <c r="P170" t="n">
        <v>0</v>
      </c>
      <c r="Q170" t="n">
        <v>1</v>
      </c>
      <c r="R170" s="2" t="inlineStr">
        <is>
          <t>Dropptaggsvamp</t>
        </is>
      </c>
      <c r="S170">
        <f>HYPERLINK("https://klasma.github.io/Logging_2380/artfynd/A 41762-2024 artfynd.xlsx", "A 41762-2024")</f>
        <v/>
      </c>
      <c r="T170">
        <f>HYPERLINK("https://klasma.github.io/Logging_2380/kartor/A 41762-2024 karta.png", "A 41762-2024")</f>
        <v/>
      </c>
      <c r="V170">
        <f>HYPERLINK("https://klasma.github.io/Logging_2380/klagomål/A 41762-2024 FSC-klagomål.docx", "A 41762-2024")</f>
        <v/>
      </c>
      <c r="W170">
        <f>HYPERLINK("https://klasma.github.io/Logging_2380/klagomålsmail/A 41762-2024 FSC-klagomål mail.docx", "A 41762-2024")</f>
        <v/>
      </c>
      <c r="X170">
        <f>HYPERLINK("https://klasma.github.io/Logging_2380/tillsyn/A 41762-2024 tillsynsbegäran.docx", "A 41762-2024")</f>
        <v/>
      </c>
      <c r="Y170">
        <f>HYPERLINK("https://klasma.github.io/Logging_2380/tillsynsmail/A 41762-2024 tillsynsbegäran mail.docx", "A 41762-2024")</f>
        <v/>
      </c>
    </row>
    <row r="171" ht="15" customHeight="1">
      <c r="A171" t="inlineStr">
        <is>
          <t>A 41770-2024</t>
        </is>
      </c>
      <c r="B171" s="1" t="n">
        <v>45561</v>
      </c>
      <c r="C171" s="1" t="n">
        <v>45628</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44049-2024</t>
        </is>
      </c>
      <c r="B172" s="1" t="n">
        <v>45572</v>
      </c>
      <c r="C172" s="1" t="n">
        <v>45628</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44737-2024</t>
        </is>
      </c>
      <c r="B173" s="1" t="n">
        <v>45574</v>
      </c>
      <c r="C173" s="1" t="n">
        <v>45628</v>
      </c>
      <c r="D173" t="inlineStr">
        <is>
          <t>JÄMTLANDS LÄN</t>
        </is>
      </c>
      <c r="E173" t="inlineStr">
        <is>
          <t>ÖSTERSUND</t>
        </is>
      </c>
      <c r="F173" t="inlineStr">
        <is>
          <t>SCA</t>
        </is>
      </c>
      <c r="G173" t="n">
        <v>6.3</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44737-2024 artfynd.xlsx", "A 44737-2024")</f>
        <v/>
      </c>
      <c r="T173">
        <f>HYPERLINK("https://klasma.github.io/Logging_2380/kartor/A 44737-2024 karta.png", "A 44737-2024")</f>
        <v/>
      </c>
      <c r="V173">
        <f>HYPERLINK("https://klasma.github.io/Logging_2380/klagomål/A 44737-2024 FSC-klagomål.docx", "A 44737-2024")</f>
        <v/>
      </c>
      <c r="W173">
        <f>HYPERLINK("https://klasma.github.io/Logging_2380/klagomålsmail/A 44737-2024 FSC-klagomål mail.docx", "A 44737-2024")</f>
        <v/>
      </c>
      <c r="X173">
        <f>HYPERLINK("https://klasma.github.io/Logging_2380/tillsyn/A 44737-2024 tillsynsbegäran.docx", "A 44737-2024")</f>
        <v/>
      </c>
      <c r="Y173">
        <f>HYPERLINK("https://klasma.github.io/Logging_2380/tillsynsmail/A 44737-2024 tillsynsbegäran mail.docx", "A 44737-2024")</f>
        <v/>
      </c>
    </row>
    <row r="174" ht="15" customHeight="1">
      <c r="A174" t="inlineStr">
        <is>
          <t>A 45267-2024</t>
        </is>
      </c>
      <c r="B174" s="1" t="n">
        <v>45576</v>
      </c>
      <c r="C174" s="1" t="n">
        <v>45628</v>
      </c>
      <c r="D174" t="inlineStr">
        <is>
          <t>JÄMTLANDS LÄN</t>
        </is>
      </c>
      <c r="E174" t="inlineStr">
        <is>
          <t>ÖSTERSUND</t>
        </is>
      </c>
      <c r="G174" t="n">
        <v>8.6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45267-2024 artfynd.xlsx", "A 45267-2024")</f>
        <v/>
      </c>
      <c r="T174">
        <f>HYPERLINK("https://klasma.github.io/Logging_2380/kartor/A 45267-2024 karta.png", "A 45267-2024")</f>
        <v/>
      </c>
      <c r="V174">
        <f>HYPERLINK("https://klasma.github.io/Logging_2380/klagomål/A 45267-2024 FSC-klagomål.docx", "A 45267-2024")</f>
        <v/>
      </c>
      <c r="W174">
        <f>HYPERLINK("https://klasma.github.io/Logging_2380/klagomålsmail/A 45267-2024 FSC-klagomål mail.docx", "A 45267-2024")</f>
        <v/>
      </c>
      <c r="X174">
        <f>HYPERLINK("https://klasma.github.io/Logging_2380/tillsyn/A 45267-2024 tillsynsbegäran.docx", "A 45267-2024")</f>
        <v/>
      </c>
      <c r="Y174">
        <f>HYPERLINK("https://klasma.github.io/Logging_2380/tillsynsmail/A 45267-2024 tillsynsbegäran mail.docx", "A 45267-2024")</f>
        <v/>
      </c>
      <c r="Z174">
        <f>HYPERLINK("https://klasma.github.io/Logging_2380/fåglar/A 45267-2024 prioriterade fågelarter.docx", "A 45267-2024")</f>
        <v/>
      </c>
    </row>
    <row r="175" ht="15" customHeight="1">
      <c r="A175" t="inlineStr">
        <is>
          <t>A 47176-2024</t>
        </is>
      </c>
      <c r="B175" s="1" t="n">
        <v>45586</v>
      </c>
      <c r="C175" s="1" t="n">
        <v>45628</v>
      </c>
      <c r="D175" t="inlineStr">
        <is>
          <t>JÄMTLANDS LÄN</t>
        </is>
      </c>
      <c r="E175" t="inlineStr">
        <is>
          <t>ÖSTERSUND</t>
        </is>
      </c>
      <c r="F175" t="inlineStr">
        <is>
          <t>SCA</t>
        </is>
      </c>
      <c r="G175" t="n">
        <v>2.9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47176-2024 artfynd.xlsx", "A 47176-2024")</f>
        <v/>
      </c>
      <c r="T175">
        <f>HYPERLINK("https://klasma.github.io/Logging_2380/kartor/A 47176-2024 karta.png", "A 47176-2024")</f>
        <v/>
      </c>
      <c r="V175">
        <f>HYPERLINK("https://klasma.github.io/Logging_2380/klagomål/A 47176-2024 FSC-klagomål.docx", "A 47176-2024")</f>
        <v/>
      </c>
      <c r="W175">
        <f>HYPERLINK("https://klasma.github.io/Logging_2380/klagomålsmail/A 47176-2024 FSC-klagomål mail.docx", "A 47176-2024")</f>
        <v/>
      </c>
      <c r="X175">
        <f>HYPERLINK("https://klasma.github.io/Logging_2380/tillsyn/A 47176-2024 tillsynsbegäran.docx", "A 47176-2024")</f>
        <v/>
      </c>
      <c r="Y175">
        <f>HYPERLINK("https://klasma.github.io/Logging_2380/tillsynsmail/A 47176-2024 tillsynsbegäran mail.docx", "A 47176-2024")</f>
        <v/>
      </c>
    </row>
    <row r="176" ht="15" customHeight="1">
      <c r="A176" t="inlineStr">
        <is>
          <t>A 56201-2024</t>
        </is>
      </c>
      <c r="B176" s="1" t="n">
        <v>45624</v>
      </c>
      <c r="C176" s="1" t="n">
        <v>45628</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20319-2019</t>
        </is>
      </c>
      <c r="B177" s="1" t="n">
        <v>43571</v>
      </c>
      <c r="C177" s="1" t="n">
        <v>45628</v>
      </c>
      <c r="D177" t="inlineStr">
        <is>
          <t>JÄMTLANDS LÄN</t>
        </is>
      </c>
      <c r="E177" t="inlineStr">
        <is>
          <t>ÖSTERSUND</t>
        </is>
      </c>
      <c r="G177" t="n">
        <v>1.3</v>
      </c>
      <c r="H177" t="n">
        <v>0</v>
      </c>
      <c r="I177" t="n">
        <v>0</v>
      </c>
      <c r="J177" t="n">
        <v>0</v>
      </c>
      <c r="K177" t="n">
        <v>0</v>
      </c>
      <c r="L177" t="n">
        <v>0</v>
      </c>
      <c r="M177" t="n">
        <v>0</v>
      </c>
      <c r="N177" t="n">
        <v>0</v>
      </c>
      <c r="O177" t="n">
        <v>0</v>
      </c>
      <c r="P177" t="n">
        <v>0</v>
      </c>
      <c r="Q177" t="n">
        <v>0</v>
      </c>
      <c r="R177" s="2" t="inlineStr"/>
    </row>
    <row r="178" ht="15" customHeight="1">
      <c r="A178" t="inlineStr">
        <is>
          <t>A 21727-2019</t>
        </is>
      </c>
      <c r="B178" s="1" t="n">
        <v>43581</v>
      </c>
      <c r="C178" s="1" t="n">
        <v>45628</v>
      </c>
      <c r="D178" t="inlineStr">
        <is>
          <t>JÄMTLANDS LÄN</t>
        </is>
      </c>
      <c r="E178" t="inlineStr">
        <is>
          <t>ÖSTERSUND</t>
        </is>
      </c>
      <c r="G178" t="n">
        <v>0.8</v>
      </c>
      <c r="H178" t="n">
        <v>0</v>
      </c>
      <c r="I178" t="n">
        <v>0</v>
      </c>
      <c r="J178" t="n">
        <v>0</v>
      </c>
      <c r="K178" t="n">
        <v>0</v>
      </c>
      <c r="L178" t="n">
        <v>0</v>
      </c>
      <c r="M178" t="n">
        <v>0</v>
      </c>
      <c r="N178" t="n">
        <v>0</v>
      </c>
      <c r="O178" t="n">
        <v>0</v>
      </c>
      <c r="P178" t="n">
        <v>0</v>
      </c>
      <c r="Q178" t="n">
        <v>0</v>
      </c>
      <c r="R178" s="2" t="inlineStr"/>
    </row>
    <row r="179" ht="15" customHeight="1">
      <c r="A179" t="inlineStr">
        <is>
          <t>A 21793-2019</t>
        </is>
      </c>
      <c r="B179" s="1" t="n">
        <v>43581</v>
      </c>
      <c r="C179" s="1" t="n">
        <v>45628</v>
      </c>
      <c r="D179" t="inlineStr">
        <is>
          <t>JÄMTLANDS LÄN</t>
        </is>
      </c>
      <c r="E179" t="inlineStr">
        <is>
          <t>ÖSTERSUND</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22119-2019</t>
        </is>
      </c>
      <c r="B180" s="1" t="n">
        <v>43584</v>
      </c>
      <c r="C180" s="1" t="n">
        <v>45628</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22115-2019</t>
        </is>
      </c>
      <c r="B181" s="1" t="n">
        <v>43584</v>
      </c>
      <c r="C181" s="1" t="n">
        <v>45628</v>
      </c>
      <c r="D181" t="inlineStr">
        <is>
          <t>JÄMTLANDS LÄN</t>
        </is>
      </c>
      <c r="E181" t="inlineStr">
        <is>
          <t>ÖSTERSUND</t>
        </is>
      </c>
      <c r="G181" t="n">
        <v>15.1</v>
      </c>
      <c r="H181" t="n">
        <v>0</v>
      </c>
      <c r="I181" t="n">
        <v>0</v>
      </c>
      <c r="J181" t="n">
        <v>0</v>
      </c>
      <c r="K181" t="n">
        <v>0</v>
      </c>
      <c r="L181" t="n">
        <v>0</v>
      </c>
      <c r="M181" t="n">
        <v>0</v>
      </c>
      <c r="N181" t="n">
        <v>0</v>
      </c>
      <c r="O181" t="n">
        <v>0</v>
      </c>
      <c r="P181" t="n">
        <v>0</v>
      </c>
      <c r="Q181" t="n">
        <v>0</v>
      </c>
      <c r="R181" s="2" t="inlineStr"/>
      <c r="U181">
        <f>HYPERLINK("https://klasma.github.io/Logging_2380/knärot/A 22115-2019 karta knärot.png", "A 22115-2019")</f>
        <v/>
      </c>
      <c r="V181">
        <f>HYPERLINK("https://klasma.github.io/Logging_2380/klagomål/A 22115-2019 FSC-klagomål.docx", "A 22115-2019")</f>
        <v/>
      </c>
      <c r="W181">
        <f>HYPERLINK("https://klasma.github.io/Logging_2380/klagomålsmail/A 22115-2019 FSC-klagomål mail.docx", "A 22115-2019")</f>
        <v/>
      </c>
      <c r="X181">
        <f>HYPERLINK("https://klasma.github.io/Logging_2380/tillsyn/A 22115-2019 tillsynsbegäran.docx", "A 22115-2019")</f>
        <v/>
      </c>
      <c r="Y181">
        <f>HYPERLINK("https://klasma.github.io/Logging_2380/tillsynsmail/A 22115-2019 tillsynsbegäran mail.docx", "A 22115-2019")</f>
        <v/>
      </c>
    </row>
    <row r="182" ht="15" customHeight="1">
      <c r="A182" t="inlineStr">
        <is>
          <t>A 23609-2019</t>
        </is>
      </c>
      <c r="B182" s="1" t="n">
        <v>43594</v>
      </c>
      <c r="C182" s="1" t="n">
        <v>45628</v>
      </c>
      <c r="D182" t="inlineStr">
        <is>
          <t>JÄMTLANDS LÄN</t>
        </is>
      </c>
      <c r="E182" t="inlineStr">
        <is>
          <t>ÖSTERSUND</t>
        </is>
      </c>
      <c r="G182" t="n">
        <v>2.5</v>
      </c>
      <c r="H182" t="n">
        <v>0</v>
      </c>
      <c r="I182" t="n">
        <v>0</v>
      </c>
      <c r="J182" t="n">
        <v>0</v>
      </c>
      <c r="K182" t="n">
        <v>0</v>
      </c>
      <c r="L182" t="n">
        <v>0</v>
      </c>
      <c r="M182" t="n">
        <v>0</v>
      </c>
      <c r="N182" t="n">
        <v>0</v>
      </c>
      <c r="O182" t="n">
        <v>0</v>
      </c>
      <c r="P182" t="n">
        <v>0</v>
      </c>
      <c r="Q182" t="n">
        <v>0</v>
      </c>
      <c r="R182" s="2" t="inlineStr"/>
    </row>
    <row r="183" ht="15" customHeight="1">
      <c r="A183" t="inlineStr">
        <is>
          <t>A 23940-2019</t>
        </is>
      </c>
      <c r="B183" s="1" t="n">
        <v>43595</v>
      </c>
      <c r="C183" s="1" t="n">
        <v>45628</v>
      </c>
      <c r="D183" t="inlineStr">
        <is>
          <t>JÄMTLANDS LÄN</t>
        </is>
      </c>
      <c r="E183" t="inlineStr">
        <is>
          <t>ÖSTERSUND</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25205-2019</t>
        </is>
      </c>
      <c r="B184" s="1" t="n">
        <v>43600</v>
      </c>
      <c r="C184" s="1" t="n">
        <v>45628</v>
      </c>
      <c r="D184" t="inlineStr">
        <is>
          <t>JÄMTLANDS LÄN</t>
        </is>
      </c>
      <c r="E184" t="inlineStr">
        <is>
          <t>ÖSTERSUND</t>
        </is>
      </c>
      <c r="G184" t="n">
        <v>3.8</v>
      </c>
      <c r="H184" t="n">
        <v>0</v>
      </c>
      <c r="I184" t="n">
        <v>0</v>
      </c>
      <c r="J184" t="n">
        <v>0</v>
      </c>
      <c r="K184" t="n">
        <v>0</v>
      </c>
      <c r="L184" t="n">
        <v>0</v>
      </c>
      <c r="M184" t="n">
        <v>0</v>
      </c>
      <c r="N184" t="n">
        <v>0</v>
      </c>
      <c r="O184" t="n">
        <v>0</v>
      </c>
      <c r="P184" t="n">
        <v>0</v>
      </c>
      <c r="Q184" t="n">
        <v>0</v>
      </c>
      <c r="R184" s="2" t="inlineStr"/>
    </row>
    <row r="185" ht="15" customHeight="1">
      <c r="A185" t="inlineStr">
        <is>
          <t>A 28892-2019</t>
        </is>
      </c>
      <c r="B185" s="1" t="n">
        <v>43619</v>
      </c>
      <c r="C185" s="1" t="n">
        <v>45628</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28899-2019</t>
        </is>
      </c>
      <c r="B186" s="1" t="n">
        <v>43619</v>
      </c>
      <c r="C186" s="1" t="n">
        <v>45628</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28884-2019</t>
        </is>
      </c>
      <c r="B187" s="1" t="n">
        <v>43619</v>
      </c>
      <c r="C187" s="1" t="n">
        <v>45628</v>
      </c>
      <c r="D187" t="inlineStr">
        <is>
          <t>JÄMTLANDS LÄN</t>
        </is>
      </c>
      <c r="E187" t="inlineStr">
        <is>
          <t>ÖSTERSUND</t>
        </is>
      </c>
      <c r="G187" t="n">
        <v>0.3</v>
      </c>
      <c r="H187" t="n">
        <v>0</v>
      </c>
      <c r="I187" t="n">
        <v>0</v>
      </c>
      <c r="J187" t="n">
        <v>0</v>
      </c>
      <c r="K187" t="n">
        <v>0</v>
      </c>
      <c r="L187" t="n">
        <v>0</v>
      </c>
      <c r="M187" t="n">
        <v>0</v>
      </c>
      <c r="N187" t="n">
        <v>0</v>
      </c>
      <c r="O187" t="n">
        <v>0</v>
      </c>
      <c r="P187" t="n">
        <v>0</v>
      </c>
      <c r="Q187" t="n">
        <v>0</v>
      </c>
      <c r="R187" s="2" t="inlineStr"/>
    </row>
    <row r="188" ht="15" customHeight="1">
      <c r="A188" t="inlineStr">
        <is>
          <t>A 27977-2019</t>
        </is>
      </c>
      <c r="B188" s="1" t="n">
        <v>43620</v>
      </c>
      <c r="C188" s="1" t="n">
        <v>45628</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29058-2019</t>
        </is>
      </c>
      <c r="B189" s="1" t="n">
        <v>43621</v>
      </c>
      <c r="C189" s="1" t="n">
        <v>45628</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31189-2019</t>
        </is>
      </c>
      <c r="B190" s="1" t="n">
        <v>43635</v>
      </c>
      <c r="C190" s="1" t="n">
        <v>45628</v>
      </c>
      <c r="D190" t="inlineStr">
        <is>
          <t>JÄMTLANDS LÄN</t>
        </is>
      </c>
      <c r="E190" t="inlineStr">
        <is>
          <t>ÖSTERSUND</t>
        </is>
      </c>
      <c r="G190" t="n">
        <v>5.5</v>
      </c>
      <c r="H190" t="n">
        <v>0</v>
      </c>
      <c r="I190" t="n">
        <v>0</v>
      </c>
      <c r="J190" t="n">
        <v>0</v>
      </c>
      <c r="K190" t="n">
        <v>0</v>
      </c>
      <c r="L190" t="n">
        <v>0</v>
      </c>
      <c r="M190" t="n">
        <v>0</v>
      </c>
      <c r="N190" t="n">
        <v>0</v>
      </c>
      <c r="O190" t="n">
        <v>0</v>
      </c>
      <c r="P190" t="n">
        <v>0</v>
      </c>
      <c r="Q190" t="n">
        <v>0</v>
      </c>
      <c r="R190" s="2" t="inlineStr"/>
    </row>
    <row r="191" ht="15" customHeight="1">
      <c r="A191" t="inlineStr">
        <is>
          <t>A 30940-2019</t>
        </is>
      </c>
      <c r="B191" s="1" t="n">
        <v>43637</v>
      </c>
      <c r="C191" s="1" t="n">
        <v>45628</v>
      </c>
      <c r="D191" t="inlineStr">
        <is>
          <t>JÄMTLANDS LÄN</t>
        </is>
      </c>
      <c r="E191" t="inlineStr">
        <is>
          <t>ÖSTERSUND</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30946-2019</t>
        </is>
      </c>
      <c r="B192" s="1" t="n">
        <v>43636</v>
      </c>
      <c r="C192" s="1" t="n">
        <v>45628</v>
      </c>
      <c r="D192" t="inlineStr">
        <is>
          <t>JÄMTLANDS LÄN</t>
        </is>
      </c>
      <c r="E192" t="inlineStr">
        <is>
          <t>ÖSTERSUND</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31617-2019</t>
        </is>
      </c>
      <c r="B193" s="1" t="n">
        <v>43640</v>
      </c>
      <c r="C193" s="1" t="n">
        <v>45628</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31621-2019</t>
        </is>
      </c>
      <c r="B194" s="1" t="n">
        <v>43640</v>
      </c>
      <c r="C194" s="1" t="n">
        <v>45628</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34903-2019</t>
        </is>
      </c>
      <c r="B195" s="1" t="n">
        <v>43650</v>
      </c>
      <c r="C195" s="1" t="n">
        <v>45628</v>
      </c>
      <c r="D195" t="inlineStr">
        <is>
          <t>JÄMTLANDS LÄN</t>
        </is>
      </c>
      <c r="E195" t="inlineStr">
        <is>
          <t>ÖSTERSUND</t>
        </is>
      </c>
      <c r="G195" t="n">
        <v>1</v>
      </c>
      <c r="H195" t="n">
        <v>0</v>
      </c>
      <c r="I195" t="n">
        <v>0</v>
      </c>
      <c r="J195" t="n">
        <v>0</v>
      </c>
      <c r="K195" t="n">
        <v>0</v>
      </c>
      <c r="L195" t="n">
        <v>0</v>
      </c>
      <c r="M195" t="n">
        <v>0</v>
      </c>
      <c r="N195" t="n">
        <v>0</v>
      </c>
      <c r="O195" t="n">
        <v>0</v>
      </c>
      <c r="P195" t="n">
        <v>0</v>
      </c>
      <c r="Q195" t="n">
        <v>0</v>
      </c>
      <c r="R195" s="2" t="inlineStr"/>
    </row>
    <row r="196" ht="15" customHeight="1">
      <c r="A196" t="inlineStr">
        <is>
          <t>A 35500-2019</t>
        </is>
      </c>
      <c r="B196" s="1" t="n">
        <v>43651</v>
      </c>
      <c r="C196" s="1" t="n">
        <v>45628</v>
      </c>
      <c r="D196" t="inlineStr">
        <is>
          <t>JÄMTLANDS LÄN</t>
        </is>
      </c>
      <c r="E196" t="inlineStr">
        <is>
          <t>ÖSTERSUND</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35535-2019</t>
        </is>
      </c>
      <c r="B197" s="1" t="n">
        <v>43654</v>
      </c>
      <c r="C197" s="1" t="n">
        <v>45628</v>
      </c>
      <c r="D197" t="inlineStr">
        <is>
          <t>JÄMTLANDS LÄN</t>
        </is>
      </c>
      <c r="E197" t="inlineStr">
        <is>
          <t>ÖSTERSUND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34109-2019</t>
        </is>
      </c>
      <c r="B198" s="1" t="n">
        <v>43654</v>
      </c>
      <c r="C198" s="1" t="n">
        <v>45628</v>
      </c>
      <c r="D198" t="inlineStr">
        <is>
          <t>JÄMTLANDS LÄN</t>
        </is>
      </c>
      <c r="E198" t="inlineStr">
        <is>
          <t>ÖSTERSUND</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34246-2019</t>
        </is>
      </c>
      <c r="B199" s="1" t="n">
        <v>43655</v>
      </c>
      <c r="C199" s="1" t="n">
        <v>45628</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35678-2019</t>
        </is>
      </c>
      <c r="B200" s="1" t="n">
        <v>43656</v>
      </c>
      <c r="C200" s="1" t="n">
        <v>45628</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35688-2019</t>
        </is>
      </c>
      <c r="B201" s="1" t="n">
        <v>43656</v>
      </c>
      <c r="C201" s="1" t="n">
        <v>45628</v>
      </c>
      <c r="D201" t="inlineStr">
        <is>
          <t>JÄMTLANDS LÄN</t>
        </is>
      </c>
      <c r="E201" t="inlineStr">
        <is>
          <t>ÖSTERSUND</t>
        </is>
      </c>
      <c r="G201" t="n">
        <v>12.6</v>
      </c>
      <c r="H201" t="n">
        <v>0</v>
      </c>
      <c r="I201" t="n">
        <v>0</v>
      </c>
      <c r="J201" t="n">
        <v>0</v>
      </c>
      <c r="K201" t="n">
        <v>0</v>
      </c>
      <c r="L201" t="n">
        <v>0</v>
      </c>
      <c r="M201" t="n">
        <v>0</v>
      </c>
      <c r="N201" t="n">
        <v>0</v>
      </c>
      <c r="O201" t="n">
        <v>0</v>
      </c>
      <c r="P201" t="n">
        <v>0</v>
      </c>
      <c r="Q201" t="n">
        <v>0</v>
      </c>
      <c r="R201" s="2" t="inlineStr"/>
    </row>
    <row r="202" ht="15" customHeight="1">
      <c r="A202" t="inlineStr">
        <is>
          <t>A 36003-2019</t>
        </is>
      </c>
      <c r="B202" s="1" t="n">
        <v>43657</v>
      </c>
      <c r="C202" s="1" t="n">
        <v>45628</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36652-2019</t>
        </is>
      </c>
      <c r="B203" s="1" t="n">
        <v>43670</v>
      </c>
      <c r="C203" s="1" t="n">
        <v>45628</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37222-2019</t>
        </is>
      </c>
      <c r="B204" s="1" t="n">
        <v>43676</v>
      </c>
      <c r="C204" s="1" t="n">
        <v>45628</v>
      </c>
      <c r="D204" t="inlineStr">
        <is>
          <t>JÄMTLANDS LÄN</t>
        </is>
      </c>
      <c r="E204" t="inlineStr">
        <is>
          <t>ÖSTERSUND</t>
        </is>
      </c>
      <c r="G204" t="n">
        <v>2.4</v>
      </c>
      <c r="H204" t="n">
        <v>0</v>
      </c>
      <c r="I204" t="n">
        <v>0</v>
      </c>
      <c r="J204" t="n">
        <v>0</v>
      </c>
      <c r="K204" t="n">
        <v>0</v>
      </c>
      <c r="L204" t="n">
        <v>0</v>
      </c>
      <c r="M204" t="n">
        <v>0</v>
      </c>
      <c r="N204" t="n">
        <v>0</v>
      </c>
      <c r="O204" t="n">
        <v>0</v>
      </c>
      <c r="P204" t="n">
        <v>0</v>
      </c>
      <c r="Q204" t="n">
        <v>0</v>
      </c>
      <c r="R204" s="2" t="inlineStr"/>
    </row>
    <row r="205" ht="15" customHeight="1">
      <c r="A205" t="inlineStr">
        <is>
          <t>A 38662-2019</t>
        </is>
      </c>
      <c r="B205" s="1" t="n">
        <v>43684</v>
      </c>
      <c r="C205" s="1" t="n">
        <v>45628</v>
      </c>
      <c r="D205" t="inlineStr">
        <is>
          <t>JÄMTLANDS LÄN</t>
        </is>
      </c>
      <c r="E205" t="inlineStr">
        <is>
          <t>ÖSTERSUND</t>
        </is>
      </c>
      <c r="G205" t="n">
        <v>2.2</v>
      </c>
      <c r="H205" t="n">
        <v>0</v>
      </c>
      <c r="I205" t="n">
        <v>0</v>
      </c>
      <c r="J205" t="n">
        <v>0</v>
      </c>
      <c r="K205" t="n">
        <v>0</v>
      </c>
      <c r="L205" t="n">
        <v>0</v>
      </c>
      <c r="M205" t="n">
        <v>0</v>
      </c>
      <c r="N205" t="n">
        <v>0</v>
      </c>
      <c r="O205" t="n">
        <v>0</v>
      </c>
      <c r="P205" t="n">
        <v>0</v>
      </c>
      <c r="Q205" t="n">
        <v>0</v>
      </c>
      <c r="R205" s="2" t="inlineStr"/>
    </row>
    <row r="206" ht="15" customHeight="1">
      <c r="A206" t="inlineStr">
        <is>
          <t>A 39459-2019</t>
        </is>
      </c>
      <c r="B206" s="1" t="n">
        <v>43686</v>
      </c>
      <c r="C206" s="1" t="n">
        <v>45628</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40530-2019</t>
        </is>
      </c>
      <c r="B207" s="1" t="n">
        <v>43696</v>
      </c>
      <c r="C207" s="1" t="n">
        <v>45628</v>
      </c>
      <c r="D207" t="inlineStr">
        <is>
          <t>JÄMTLANDS LÄN</t>
        </is>
      </c>
      <c r="E207" t="inlineStr">
        <is>
          <t>ÖSTERSUND</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41364-2019</t>
        </is>
      </c>
      <c r="B208" s="1" t="n">
        <v>43696</v>
      </c>
      <c r="C208" s="1" t="n">
        <v>45628</v>
      </c>
      <c r="D208" t="inlineStr">
        <is>
          <t>JÄMTLANDS LÄN</t>
        </is>
      </c>
      <c r="E208" t="inlineStr">
        <is>
          <t>ÖSTERSUND</t>
        </is>
      </c>
      <c r="G208" t="n">
        <v>1.2</v>
      </c>
      <c r="H208" t="n">
        <v>0</v>
      </c>
      <c r="I208" t="n">
        <v>0</v>
      </c>
      <c r="J208" t="n">
        <v>0</v>
      </c>
      <c r="K208" t="n">
        <v>0</v>
      </c>
      <c r="L208" t="n">
        <v>0</v>
      </c>
      <c r="M208" t="n">
        <v>0</v>
      </c>
      <c r="N208" t="n">
        <v>0</v>
      </c>
      <c r="O208" t="n">
        <v>0</v>
      </c>
      <c r="P208" t="n">
        <v>0</v>
      </c>
      <c r="Q208" t="n">
        <v>0</v>
      </c>
      <c r="R208" s="2" t="inlineStr"/>
    </row>
    <row r="209" ht="15" customHeight="1">
      <c r="A209" t="inlineStr">
        <is>
          <t>A 40531-2019</t>
        </is>
      </c>
      <c r="B209" s="1" t="n">
        <v>43696</v>
      </c>
      <c r="C209" s="1" t="n">
        <v>45628</v>
      </c>
      <c r="D209" t="inlineStr">
        <is>
          <t>JÄMTLANDS LÄN</t>
        </is>
      </c>
      <c r="E209" t="inlineStr">
        <is>
          <t>ÖSTERSUND</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41556-2019</t>
        </is>
      </c>
      <c r="B210" s="1" t="n">
        <v>43696</v>
      </c>
      <c r="C210" s="1" t="n">
        <v>45628</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41588-2019</t>
        </is>
      </c>
      <c r="B211" s="1" t="n">
        <v>43699</v>
      </c>
      <c r="C211" s="1" t="n">
        <v>45628</v>
      </c>
      <c r="D211" t="inlineStr">
        <is>
          <t>JÄMTLANDS LÄN</t>
        </is>
      </c>
      <c r="E211" t="inlineStr">
        <is>
          <t>ÖSTERSUND</t>
        </is>
      </c>
      <c r="G211" t="n">
        <v>26.7</v>
      </c>
      <c r="H211" t="n">
        <v>0</v>
      </c>
      <c r="I211" t="n">
        <v>0</v>
      </c>
      <c r="J211" t="n">
        <v>0</v>
      </c>
      <c r="K211" t="n">
        <v>0</v>
      </c>
      <c r="L211" t="n">
        <v>0</v>
      </c>
      <c r="M211" t="n">
        <v>0</v>
      </c>
      <c r="N211" t="n">
        <v>0</v>
      </c>
      <c r="O211" t="n">
        <v>0</v>
      </c>
      <c r="P211" t="n">
        <v>0</v>
      </c>
      <c r="Q211" t="n">
        <v>0</v>
      </c>
      <c r="R211" s="2" t="inlineStr"/>
    </row>
    <row r="212" ht="15" customHeight="1">
      <c r="A212" t="inlineStr">
        <is>
          <t>A 43249-2019</t>
        </is>
      </c>
      <c r="B212" s="1" t="n">
        <v>43703</v>
      </c>
      <c r="C212" s="1" t="n">
        <v>45628</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43425-2019</t>
        </is>
      </c>
      <c r="B213" s="1" t="n">
        <v>43703</v>
      </c>
      <c r="C213" s="1" t="n">
        <v>45628</v>
      </c>
      <c r="D213" t="inlineStr">
        <is>
          <t>JÄMTLANDS LÄN</t>
        </is>
      </c>
      <c r="E213" t="inlineStr">
        <is>
          <t>ÖSTERSUND</t>
        </is>
      </c>
      <c r="G213" t="n">
        <v>2.4</v>
      </c>
      <c r="H213" t="n">
        <v>0</v>
      </c>
      <c r="I213" t="n">
        <v>0</v>
      </c>
      <c r="J213" t="n">
        <v>0</v>
      </c>
      <c r="K213" t="n">
        <v>0</v>
      </c>
      <c r="L213" t="n">
        <v>0</v>
      </c>
      <c r="M213" t="n">
        <v>0</v>
      </c>
      <c r="N213" t="n">
        <v>0</v>
      </c>
      <c r="O213" t="n">
        <v>0</v>
      </c>
      <c r="P213" t="n">
        <v>0</v>
      </c>
      <c r="Q213" t="n">
        <v>0</v>
      </c>
      <c r="R213" s="2" t="inlineStr"/>
    </row>
    <row r="214" ht="15" customHeight="1">
      <c r="A214" t="inlineStr">
        <is>
          <t>A 46346-2019</t>
        </is>
      </c>
      <c r="B214" s="1" t="n">
        <v>43718</v>
      </c>
      <c r="C214" s="1" t="n">
        <v>45628</v>
      </c>
      <c r="D214" t="inlineStr">
        <is>
          <t>JÄMTLANDS LÄN</t>
        </is>
      </c>
      <c r="E214" t="inlineStr">
        <is>
          <t>ÖSTERSUND</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47810-2019</t>
        </is>
      </c>
      <c r="B215" s="1" t="n">
        <v>43724</v>
      </c>
      <c r="C215" s="1" t="n">
        <v>45628</v>
      </c>
      <c r="D215" t="inlineStr">
        <is>
          <t>JÄMTLANDS LÄN</t>
        </is>
      </c>
      <c r="E215" t="inlineStr">
        <is>
          <t>ÖSTERSUND</t>
        </is>
      </c>
      <c r="F215" t="inlineStr">
        <is>
          <t>SCA</t>
        </is>
      </c>
      <c r="G215" t="n">
        <v>0.5</v>
      </c>
      <c r="H215" t="n">
        <v>0</v>
      </c>
      <c r="I215" t="n">
        <v>0</v>
      </c>
      <c r="J215" t="n">
        <v>0</v>
      </c>
      <c r="K215" t="n">
        <v>0</v>
      </c>
      <c r="L215" t="n">
        <v>0</v>
      </c>
      <c r="M215" t="n">
        <v>0</v>
      </c>
      <c r="N215" t="n">
        <v>0</v>
      </c>
      <c r="O215" t="n">
        <v>0</v>
      </c>
      <c r="P215" t="n">
        <v>0</v>
      </c>
      <c r="Q215" t="n">
        <v>0</v>
      </c>
      <c r="R215" s="2" t="inlineStr"/>
    </row>
    <row r="216" ht="15" customHeight="1">
      <c r="A216" t="inlineStr">
        <is>
          <t>A 48115-2019</t>
        </is>
      </c>
      <c r="B216" s="1" t="n">
        <v>43725</v>
      </c>
      <c r="C216" s="1" t="n">
        <v>45628</v>
      </c>
      <c r="D216" t="inlineStr">
        <is>
          <t>JÄMTLANDS LÄN</t>
        </is>
      </c>
      <c r="E216" t="inlineStr">
        <is>
          <t>ÖSTERSUND</t>
        </is>
      </c>
      <c r="F216" t="inlineStr">
        <is>
          <t>SCA</t>
        </is>
      </c>
      <c r="G216" t="n">
        <v>3</v>
      </c>
      <c r="H216" t="n">
        <v>0</v>
      </c>
      <c r="I216" t="n">
        <v>0</v>
      </c>
      <c r="J216" t="n">
        <v>0</v>
      </c>
      <c r="K216" t="n">
        <v>0</v>
      </c>
      <c r="L216" t="n">
        <v>0</v>
      </c>
      <c r="M216" t="n">
        <v>0</v>
      </c>
      <c r="N216" t="n">
        <v>0</v>
      </c>
      <c r="O216" t="n">
        <v>0</v>
      </c>
      <c r="P216" t="n">
        <v>0</v>
      </c>
      <c r="Q216" t="n">
        <v>0</v>
      </c>
      <c r="R216" s="2" t="inlineStr"/>
    </row>
    <row r="217" ht="15" customHeight="1">
      <c r="A217" t="inlineStr">
        <is>
          <t>A 48680-2019</t>
        </is>
      </c>
      <c r="B217" s="1" t="n">
        <v>43727</v>
      </c>
      <c r="C217" s="1" t="n">
        <v>45628</v>
      </c>
      <c r="D217" t="inlineStr">
        <is>
          <t>JÄMTLANDS LÄN</t>
        </is>
      </c>
      <c r="E217" t="inlineStr">
        <is>
          <t>ÖSTERSUND</t>
        </is>
      </c>
      <c r="G217" t="n">
        <v>3</v>
      </c>
      <c r="H217" t="n">
        <v>0</v>
      </c>
      <c r="I217" t="n">
        <v>0</v>
      </c>
      <c r="J217" t="n">
        <v>0</v>
      </c>
      <c r="K217" t="n">
        <v>0</v>
      </c>
      <c r="L217" t="n">
        <v>0</v>
      </c>
      <c r="M217" t="n">
        <v>0</v>
      </c>
      <c r="N217" t="n">
        <v>0</v>
      </c>
      <c r="O217" t="n">
        <v>0</v>
      </c>
      <c r="P217" t="n">
        <v>0</v>
      </c>
      <c r="Q217" t="n">
        <v>0</v>
      </c>
      <c r="R217" s="2" t="inlineStr"/>
    </row>
    <row r="218" ht="15" customHeight="1">
      <c r="A218" t="inlineStr">
        <is>
          <t>A 49629-2019</t>
        </is>
      </c>
      <c r="B218" s="1" t="n">
        <v>43732</v>
      </c>
      <c r="C218" s="1" t="n">
        <v>45628</v>
      </c>
      <c r="D218" t="inlineStr">
        <is>
          <t>JÄMTLANDS LÄN</t>
        </is>
      </c>
      <c r="E218" t="inlineStr">
        <is>
          <t>ÖSTERSUND</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51347-2019</t>
        </is>
      </c>
      <c r="B219" s="1" t="n">
        <v>43732</v>
      </c>
      <c r="C219" s="1" t="n">
        <v>45628</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49997-2019</t>
        </is>
      </c>
      <c r="B220" s="1" t="n">
        <v>43733</v>
      </c>
      <c r="C220" s="1" t="n">
        <v>45628</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50316-2019</t>
        </is>
      </c>
      <c r="B221" s="1" t="n">
        <v>43735</v>
      </c>
      <c r="C221" s="1" t="n">
        <v>45628</v>
      </c>
      <c r="D221" t="inlineStr">
        <is>
          <t>JÄMTLANDS LÄN</t>
        </is>
      </c>
      <c r="E221" t="inlineStr">
        <is>
          <t>ÖSTERSUND</t>
        </is>
      </c>
      <c r="G221" t="n">
        <v>9.5</v>
      </c>
      <c r="H221" t="n">
        <v>0</v>
      </c>
      <c r="I221" t="n">
        <v>0</v>
      </c>
      <c r="J221" t="n">
        <v>0</v>
      </c>
      <c r="K221" t="n">
        <v>0</v>
      </c>
      <c r="L221" t="n">
        <v>0</v>
      </c>
      <c r="M221" t="n">
        <v>0</v>
      </c>
      <c r="N221" t="n">
        <v>0</v>
      </c>
      <c r="O221" t="n">
        <v>0</v>
      </c>
      <c r="P221" t="n">
        <v>0</v>
      </c>
      <c r="Q221" t="n">
        <v>0</v>
      </c>
      <c r="R221" s="2" t="inlineStr"/>
    </row>
    <row r="222" ht="15" customHeight="1">
      <c r="A222" t="inlineStr">
        <is>
          <t>A 50779-2019</t>
        </is>
      </c>
      <c r="B222" s="1" t="n">
        <v>43738</v>
      </c>
      <c r="C222" s="1" t="n">
        <v>45628</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50968-2019</t>
        </is>
      </c>
      <c r="B223" s="1" t="n">
        <v>43738</v>
      </c>
      <c r="C223" s="1" t="n">
        <v>45628</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54498-2019</t>
        </is>
      </c>
      <c r="B224" s="1" t="n">
        <v>43747</v>
      </c>
      <c r="C224" s="1" t="n">
        <v>45628</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53297-2019</t>
        </is>
      </c>
      <c r="B225" s="1" t="n">
        <v>43748</v>
      </c>
      <c r="C225" s="1" t="n">
        <v>45628</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53533-2019</t>
        </is>
      </c>
      <c r="B226" s="1" t="n">
        <v>43749</v>
      </c>
      <c r="C226" s="1" t="n">
        <v>45628</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53859-2019</t>
        </is>
      </c>
      <c r="B227" s="1" t="n">
        <v>43752</v>
      </c>
      <c r="C227" s="1" t="n">
        <v>45628</v>
      </c>
      <c r="D227" t="inlineStr">
        <is>
          <t>JÄMTLANDS LÄN</t>
        </is>
      </c>
      <c r="E227" t="inlineStr">
        <is>
          <t>ÖSTERSUND</t>
        </is>
      </c>
      <c r="F227" t="inlineStr">
        <is>
          <t>Övriga Aktiebolag</t>
        </is>
      </c>
      <c r="G227" t="n">
        <v>4.3</v>
      </c>
      <c r="H227" t="n">
        <v>0</v>
      </c>
      <c r="I227" t="n">
        <v>0</v>
      </c>
      <c r="J227" t="n">
        <v>0</v>
      </c>
      <c r="K227" t="n">
        <v>0</v>
      </c>
      <c r="L227" t="n">
        <v>0</v>
      </c>
      <c r="M227" t="n">
        <v>0</v>
      </c>
      <c r="N227" t="n">
        <v>0</v>
      </c>
      <c r="O227" t="n">
        <v>0</v>
      </c>
      <c r="P227" t="n">
        <v>0</v>
      </c>
      <c r="Q227" t="n">
        <v>0</v>
      </c>
      <c r="R227" s="2" t="inlineStr"/>
    </row>
    <row r="228" ht="15" customHeight="1">
      <c r="A228" t="inlineStr">
        <is>
          <t>A 57466-2019</t>
        </is>
      </c>
      <c r="B228" s="1" t="n">
        <v>43761</v>
      </c>
      <c r="C228" s="1" t="n">
        <v>45628</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56512-2019</t>
        </is>
      </c>
      <c r="B229" s="1" t="n">
        <v>43762</v>
      </c>
      <c r="C229" s="1" t="n">
        <v>45628</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57845-2019</t>
        </is>
      </c>
      <c r="B230" s="1" t="n">
        <v>43768</v>
      </c>
      <c r="C230" s="1" t="n">
        <v>45628</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58216-2019</t>
        </is>
      </c>
      <c r="B231" s="1" t="n">
        <v>43770</v>
      </c>
      <c r="C231" s="1" t="n">
        <v>45628</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58210-2019</t>
        </is>
      </c>
      <c r="B232" s="1" t="n">
        <v>43770</v>
      </c>
      <c r="C232" s="1" t="n">
        <v>45628</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59437-2019</t>
        </is>
      </c>
      <c r="B233" s="1" t="n">
        <v>43773</v>
      </c>
      <c r="C233" s="1" t="n">
        <v>45628</v>
      </c>
      <c r="D233" t="inlineStr">
        <is>
          <t>JÄMTLANDS LÄN</t>
        </is>
      </c>
      <c r="E233" t="inlineStr">
        <is>
          <t>ÖSTERSUND</t>
        </is>
      </c>
      <c r="G233" t="n">
        <v>6.2</v>
      </c>
      <c r="H233" t="n">
        <v>0</v>
      </c>
      <c r="I233" t="n">
        <v>0</v>
      </c>
      <c r="J233" t="n">
        <v>0</v>
      </c>
      <c r="K233" t="n">
        <v>0</v>
      </c>
      <c r="L233" t="n">
        <v>0</v>
      </c>
      <c r="M233" t="n">
        <v>0</v>
      </c>
      <c r="N233" t="n">
        <v>0</v>
      </c>
      <c r="O233" t="n">
        <v>0</v>
      </c>
      <c r="P233" t="n">
        <v>0</v>
      </c>
      <c r="Q233" t="n">
        <v>0</v>
      </c>
      <c r="R233" s="2" t="inlineStr"/>
    </row>
    <row r="234" ht="15" customHeight="1">
      <c r="A234" t="inlineStr">
        <is>
          <t>A 60240-2019</t>
        </is>
      </c>
      <c r="B234" s="1" t="n">
        <v>43776</v>
      </c>
      <c r="C234" s="1" t="n">
        <v>45628</v>
      </c>
      <c r="D234" t="inlineStr">
        <is>
          <t>JÄMTLANDS LÄN</t>
        </is>
      </c>
      <c r="E234" t="inlineStr">
        <is>
          <t>ÖSTERSUND</t>
        </is>
      </c>
      <c r="G234" t="n">
        <v>3.9</v>
      </c>
      <c r="H234" t="n">
        <v>0</v>
      </c>
      <c r="I234" t="n">
        <v>0</v>
      </c>
      <c r="J234" t="n">
        <v>0</v>
      </c>
      <c r="K234" t="n">
        <v>0</v>
      </c>
      <c r="L234" t="n">
        <v>0</v>
      </c>
      <c r="M234" t="n">
        <v>0</v>
      </c>
      <c r="N234" t="n">
        <v>0</v>
      </c>
      <c r="O234" t="n">
        <v>0</v>
      </c>
      <c r="P234" t="n">
        <v>0</v>
      </c>
      <c r="Q234" t="n">
        <v>0</v>
      </c>
      <c r="R234" s="2" t="inlineStr"/>
    </row>
    <row r="235" ht="15" customHeight="1">
      <c r="A235" t="inlineStr">
        <is>
          <t>A 60001-2019</t>
        </is>
      </c>
      <c r="B235" s="1" t="n">
        <v>43777</v>
      </c>
      <c r="C235" s="1" t="n">
        <v>45628</v>
      </c>
      <c r="D235" t="inlineStr">
        <is>
          <t>JÄMTLANDS LÄN</t>
        </is>
      </c>
      <c r="E235" t="inlineStr">
        <is>
          <t>ÖSTERSUND</t>
        </is>
      </c>
      <c r="G235" t="n">
        <v>3.2</v>
      </c>
      <c r="H235" t="n">
        <v>0</v>
      </c>
      <c r="I235" t="n">
        <v>0</v>
      </c>
      <c r="J235" t="n">
        <v>0</v>
      </c>
      <c r="K235" t="n">
        <v>0</v>
      </c>
      <c r="L235" t="n">
        <v>0</v>
      </c>
      <c r="M235" t="n">
        <v>0</v>
      </c>
      <c r="N235" t="n">
        <v>0</v>
      </c>
      <c r="O235" t="n">
        <v>0</v>
      </c>
      <c r="P235" t="n">
        <v>0</v>
      </c>
      <c r="Q235" t="n">
        <v>0</v>
      </c>
      <c r="R235" s="2" t="inlineStr"/>
    </row>
    <row r="236" ht="15" customHeight="1">
      <c r="A236" t="inlineStr">
        <is>
          <t>A 60669-2019</t>
        </is>
      </c>
      <c r="B236" s="1" t="n">
        <v>43781</v>
      </c>
      <c r="C236" s="1" t="n">
        <v>45628</v>
      </c>
      <c r="D236" t="inlineStr">
        <is>
          <t>JÄMTLANDS LÄN</t>
        </is>
      </c>
      <c r="E236" t="inlineStr">
        <is>
          <t>ÖSTERSUND</t>
        </is>
      </c>
      <c r="G236" t="n">
        <v>3.6</v>
      </c>
      <c r="H236" t="n">
        <v>0</v>
      </c>
      <c r="I236" t="n">
        <v>0</v>
      </c>
      <c r="J236" t="n">
        <v>0</v>
      </c>
      <c r="K236" t="n">
        <v>0</v>
      </c>
      <c r="L236" t="n">
        <v>0</v>
      </c>
      <c r="M236" t="n">
        <v>0</v>
      </c>
      <c r="N236" t="n">
        <v>0</v>
      </c>
      <c r="O236" t="n">
        <v>0</v>
      </c>
      <c r="P236" t="n">
        <v>0</v>
      </c>
      <c r="Q236" t="n">
        <v>0</v>
      </c>
      <c r="R236" s="2" t="inlineStr"/>
    </row>
    <row r="237" ht="15" customHeight="1">
      <c r="A237" t="inlineStr">
        <is>
          <t>A 60604-2019</t>
        </is>
      </c>
      <c r="B237" s="1" t="n">
        <v>43781</v>
      </c>
      <c r="C237" s="1" t="n">
        <v>45628</v>
      </c>
      <c r="D237" t="inlineStr">
        <is>
          <t>JÄMTLANDS LÄN</t>
        </is>
      </c>
      <c r="E237" t="inlineStr">
        <is>
          <t>ÖSTERSUND</t>
        </is>
      </c>
      <c r="G237" t="n">
        <v>8.9</v>
      </c>
      <c r="H237" t="n">
        <v>0</v>
      </c>
      <c r="I237" t="n">
        <v>0</v>
      </c>
      <c r="J237" t="n">
        <v>0</v>
      </c>
      <c r="K237" t="n">
        <v>0</v>
      </c>
      <c r="L237" t="n">
        <v>0</v>
      </c>
      <c r="M237" t="n">
        <v>0</v>
      </c>
      <c r="N237" t="n">
        <v>0</v>
      </c>
      <c r="O237" t="n">
        <v>0</v>
      </c>
      <c r="P237" t="n">
        <v>0</v>
      </c>
      <c r="Q237" t="n">
        <v>0</v>
      </c>
      <c r="R237" s="2" t="inlineStr"/>
    </row>
    <row r="238" ht="15" customHeight="1">
      <c r="A238" t="inlineStr">
        <is>
          <t>A 62234-2019</t>
        </is>
      </c>
      <c r="B238" s="1" t="n">
        <v>43784</v>
      </c>
      <c r="C238" s="1" t="n">
        <v>45628</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62136-2019</t>
        </is>
      </c>
      <c r="B239" s="1" t="n">
        <v>43787</v>
      </c>
      <c r="C239" s="1" t="n">
        <v>45628</v>
      </c>
      <c r="D239" t="inlineStr">
        <is>
          <t>JÄMTLANDS LÄN</t>
        </is>
      </c>
      <c r="E239" t="inlineStr">
        <is>
          <t>ÖSTERSUND</t>
        </is>
      </c>
      <c r="F239" t="inlineStr">
        <is>
          <t>Övriga Aktiebolag</t>
        </is>
      </c>
      <c r="G239" t="n">
        <v>35.2</v>
      </c>
      <c r="H239" t="n">
        <v>0</v>
      </c>
      <c r="I239" t="n">
        <v>0</v>
      </c>
      <c r="J239" t="n">
        <v>0</v>
      </c>
      <c r="K239" t="n">
        <v>0</v>
      </c>
      <c r="L239" t="n">
        <v>0</v>
      </c>
      <c r="M239" t="n">
        <v>0</v>
      </c>
      <c r="N239" t="n">
        <v>0</v>
      </c>
      <c r="O239" t="n">
        <v>0</v>
      </c>
      <c r="P239" t="n">
        <v>0</v>
      </c>
      <c r="Q239" t="n">
        <v>0</v>
      </c>
      <c r="R239" s="2" t="inlineStr"/>
    </row>
    <row r="240" ht="15" customHeight="1">
      <c r="A240" t="inlineStr">
        <is>
          <t>A 64622-2019</t>
        </is>
      </c>
      <c r="B240" s="1" t="n">
        <v>43794</v>
      </c>
      <c r="C240" s="1" t="n">
        <v>45628</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65335-2019</t>
        </is>
      </c>
      <c r="B241" s="1" t="n">
        <v>43802</v>
      </c>
      <c r="C241" s="1" t="n">
        <v>45628</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67010-2019</t>
        </is>
      </c>
      <c r="B242" s="1" t="n">
        <v>43805</v>
      </c>
      <c r="C242" s="1" t="n">
        <v>45628</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66592-2019</t>
        </is>
      </c>
      <c r="B243" s="1" t="n">
        <v>43809</v>
      </c>
      <c r="C243" s="1" t="n">
        <v>45628</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67863-2019</t>
        </is>
      </c>
      <c r="B244" s="1" t="n">
        <v>43809</v>
      </c>
      <c r="C244" s="1" t="n">
        <v>45628</v>
      </c>
      <c r="D244" t="inlineStr">
        <is>
          <t>JÄMTLANDS LÄN</t>
        </is>
      </c>
      <c r="E244" t="inlineStr">
        <is>
          <t>ÖSTERSUND</t>
        </is>
      </c>
      <c r="G244" t="n">
        <v>2.3</v>
      </c>
      <c r="H244" t="n">
        <v>0</v>
      </c>
      <c r="I244" t="n">
        <v>0</v>
      </c>
      <c r="J244" t="n">
        <v>0</v>
      </c>
      <c r="K244" t="n">
        <v>0</v>
      </c>
      <c r="L244" t="n">
        <v>0</v>
      </c>
      <c r="M244" t="n">
        <v>0</v>
      </c>
      <c r="N244" t="n">
        <v>0</v>
      </c>
      <c r="O244" t="n">
        <v>0</v>
      </c>
      <c r="P244" t="n">
        <v>0</v>
      </c>
      <c r="Q244" t="n">
        <v>0</v>
      </c>
      <c r="R244" s="2" t="inlineStr"/>
    </row>
    <row r="245" ht="15" customHeight="1">
      <c r="A245" t="inlineStr">
        <is>
          <t>A 68238-2019</t>
        </is>
      </c>
      <c r="B245" s="1" t="n">
        <v>43817</v>
      </c>
      <c r="C245" s="1" t="n">
        <v>45628</v>
      </c>
      <c r="D245" t="inlineStr">
        <is>
          <t>JÄMTLANDS LÄN</t>
        </is>
      </c>
      <c r="E245" t="inlineStr">
        <is>
          <t>ÖSTERSUND</t>
        </is>
      </c>
      <c r="G245" t="n">
        <v>2.7</v>
      </c>
      <c r="H245" t="n">
        <v>0</v>
      </c>
      <c r="I245" t="n">
        <v>0</v>
      </c>
      <c r="J245" t="n">
        <v>0</v>
      </c>
      <c r="K245" t="n">
        <v>0</v>
      </c>
      <c r="L245" t="n">
        <v>0</v>
      </c>
      <c r="M245" t="n">
        <v>0</v>
      </c>
      <c r="N245" t="n">
        <v>0</v>
      </c>
      <c r="O245" t="n">
        <v>0</v>
      </c>
      <c r="P245" t="n">
        <v>0</v>
      </c>
      <c r="Q245" t="n">
        <v>0</v>
      </c>
      <c r="R245" s="2" t="inlineStr"/>
    </row>
    <row r="246" ht="15" customHeight="1">
      <c r="A246" t="inlineStr">
        <is>
          <t>A 745-2020</t>
        </is>
      </c>
      <c r="B246" s="1" t="n">
        <v>43838</v>
      </c>
      <c r="C246" s="1" t="n">
        <v>45628</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1088-2020</t>
        </is>
      </c>
      <c r="B247" s="1" t="n">
        <v>43840</v>
      </c>
      <c r="C247" s="1" t="n">
        <v>45628</v>
      </c>
      <c r="D247" t="inlineStr">
        <is>
          <t>JÄMTLANDS LÄN</t>
        </is>
      </c>
      <c r="E247" t="inlineStr">
        <is>
          <t>ÖSTERSUND</t>
        </is>
      </c>
      <c r="G247" t="n">
        <v>4.4</v>
      </c>
      <c r="H247" t="n">
        <v>0</v>
      </c>
      <c r="I247" t="n">
        <v>0</v>
      </c>
      <c r="J247" t="n">
        <v>0</v>
      </c>
      <c r="K247" t="n">
        <v>0</v>
      </c>
      <c r="L247" t="n">
        <v>0</v>
      </c>
      <c r="M247" t="n">
        <v>0</v>
      </c>
      <c r="N247" t="n">
        <v>0</v>
      </c>
      <c r="O247" t="n">
        <v>0</v>
      </c>
      <c r="P247" t="n">
        <v>0</v>
      </c>
      <c r="Q247" t="n">
        <v>0</v>
      </c>
      <c r="R247" s="2" t="inlineStr"/>
    </row>
    <row r="248" ht="15" customHeight="1">
      <c r="A248" t="inlineStr">
        <is>
          <t>A 1268-2020</t>
        </is>
      </c>
      <c r="B248" s="1" t="n">
        <v>43840</v>
      </c>
      <c r="C248" s="1" t="n">
        <v>45628</v>
      </c>
      <c r="D248" t="inlineStr">
        <is>
          <t>JÄMTLANDS LÄN</t>
        </is>
      </c>
      <c r="E248" t="inlineStr">
        <is>
          <t>ÖSTERSUND</t>
        </is>
      </c>
      <c r="G248" t="n">
        <v>1.6</v>
      </c>
      <c r="H248" t="n">
        <v>0</v>
      </c>
      <c r="I248" t="n">
        <v>0</v>
      </c>
      <c r="J248" t="n">
        <v>0</v>
      </c>
      <c r="K248" t="n">
        <v>0</v>
      </c>
      <c r="L248" t="n">
        <v>0</v>
      </c>
      <c r="M248" t="n">
        <v>0</v>
      </c>
      <c r="N248" t="n">
        <v>0</v>
      </c>
      <c r="O248" t="n">
        <v>0</v>
      </c>
      <c r="P248" t="n">
        <v>0</v>
      </c>
      <c r="Q248" t="n">
        <v>0</v>
      </c>
      <c r="R248" s="2" t="inlineStr"/>
    </row>
    <row r="249" ht="15" customHeight="1">
      <c r="A249" t="inlineStr">
        <is>
          <t>A 1077-2020</t>
        </is>
      </c>
      <c r="B249" s="1" t="n">
        <v>43840</v>
      </c>
      <c r="C249" s="1" t="n">
        <v>45628</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5905-2020</t>
        </is>
      </c>
      <c r="B250" s="1" t="n">
        <v>43861</v>
      </c>
      <c r="C250" s="1" t="n">
        <v>45628</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6028-2020</t>
        </is>
      </c>
      <c r="B251" s="1" t="n">
        <v>43864</v>
      </c>
      <c r="C251" s="1" t="n">
        <v>45628</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6522-2020</t>
        </is>
      </c>
      <c r="B252" s="1" t="n">
        <v>43864</v>
      </c>
      <c r="C252" s="1" t="n">
        <v>45628</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6566-2020</t>
        </is>
      </c>
      <c r="B253" s="1" t="n">
        <v>43865</v>
      </c>
      <c r="C253" s="1" t="n">
        <v>45628</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7255-2020</t>
        </is>
      </c>
      <c r="B254" s="1" t="n">
        <v>43871</v>
      </c>
      <c r="C254" s="1" t="n">
        <v>45628</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7570-2020</t>
        </is>
      </c>
      <c r="B255" s="1" t="n">
        <v>43871</v>
      </c>
      <c r="C255" s="1" t="n">
        <v>45628</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8401-2020</t>
        </is>
      </c>
      <c r="B256" s="1" t="n">
        <v>43875</v>
      </c>
      <c r="C256" s="1" t="n">
        <v>45628</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11566-2020</t>
        </is>
      </c>
      <c r="B257" s="1" t="n">
        <v>43893</v>
      </c>
      <c r="C257" s="1" t="n">
        <v>45628</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12202-2020</t>
        </is>
      </c>
      <c r="B258" s="1" t="n">
        <v>43895</v>
      </c>
      <c r="C258" s="1" t="n">
        <v>45628</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13264-2020</t>
        </is>
      </c>
      <c r="B259" s="1" t="n">
        <v>43901</v>
      </c>
      <c r="C259" s="1" t="n">
        <v>45628</v>
      </c>
      <c r="D259" t="inlineStr">
        <is>
          <t>JÄMTLANDS LÄN</t>
        </is>
      </c>
      <c r="E259" t="inlineStr">
        <is>
          <t>ÖSTERSUND</t>
        </is>
      </c>
      <c r="G259" t="n">
        <v>4.4</v>
      </c>
      <c r="H259" t="n">
        <v>0</v>
      </c>
      <c r="I259" t="n">
        <v>0</v>
      </c>
      <c r="J259" t="n">
        <v>0</v>
      </c>
      <c r="K259" t="n">
        <v>0</v>
      </c>
      <c r="L259" t="n">
        <v>0</v>
      </c>
      <c r="M259" t="n">
        <v>0</v>
      </c>
      <c r="N259" t="n">
        <v>0</v>
      </c>
      <c r="O259" t="n">
        <v>0</v>
      </c>
      <c r="P259" t="n">
        <v>0</v>
      </c>
      <c r="Q259" t="n">
        <v>0</v>
      </c>
      <c r="R259" s="2" t="inlineStr"/>
    </row>
    <row r="260" ht="15" customHeight="1">
      <c r="A260" t="inlineStr">
        <is>
          <t>A 14917-2020</t>
        </is>
      </c>
      <c r="B260" s="1" t="n">
        <v>43906</v>
      </c>
      <c r="C260" s="1" t="n">
        <v>45628</v>
      </c>
      <c r="D260" t="inlineStr">
        <is>
          <t>JÄMTLANDS LÄN</t>
        </is>
      </c>
      <c r="E260" t="inlineStr">
        <is>
          <t>ÖSTERSUND</t>
        </is>
      </c>
      <c r="G260" t="n">
        <v>12.9</v>
      </c>
      <c r="H260" t="n">
        <v>0</v>
      </c>
      <c r="I260" t="n">
        <v>0</v>
      </c>
      <c r="J260" t="n">
        <v>0</v>
      </c>
      <c r="K260" t="n">
        <v>0</v>
      </c>
      <c r="L260" t="n">
        <v>0</v>
      </c>
      <c r="M260" t="n">
        <v>0</v>
      </c>
      <c r="N260" t="n">
        <v>0</v>
      </c>
      <c r="O260" t="n">
        <v>0</v>
      </c>
      <c r="P260" t="n">
        <v>0</v>
      </c>
      <c r="Q260" t="n">
        <v>0</v>
      </c>
      <c r="R260" s="2" t="inlineStr"/>
    </row>
    <row r="261" ht="15" customHeight="1">
      <c r="A261" t="inlineStr">
        <is>
          <t>A 15797-2020</t>
        </is>
      </c>
      <c r="B261" s="1" t="n">
        <v>43909</v>
      </c>
      <c r="C261" s="1" t="n">
        <v>45628</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14903-2020</t>
        </is>
      </c>
      <c r="B262" s="1" t="n">
        <v>43910</v>
      </c>
      <c r="C262" s="1" t="n">
        <v>45628</v>
      </c>
      <c r="D262" t="inlineStr">
        <is>
          <t>JÄMTLANDS LÄN</t>
        </is>
      </c>
      <c r="E262" t="inlineStr">
        <is>
          <t>ÖSTERSUND</t>
        </is>
      </c>
      <c r="F262" t="inlineStr">
        <is>
          <t>Kyrkan</t>
        </is>
      </c>
      <c r="G262" t="n">
        <v>2.3</v>
      </c>
      <c r="H262" t="n">
        <v>0</v>
      </c>
      <c r="I262" t="n">
        <v>0</v>
      </c>
      <c r="J262" t="n">
        <v>0</v>
      </c>
      <c r="K262" t="n">
        <v>0</v>
      </c>
      <c r="L262" t="n">
        <v>0</v>
      </c>
      <c r="M262" t="n">
        <v>0</v>
      </c>
      <c r="N262" t="n">
        <v>0</v>
      </c>
      <c r="O262" t="n">
        <v>0</v>
      </c>
      <c r="P262" t="n">
        <v>0</v>
      </c>
      <c r="Q262" t="n">
        <v>0</v>
      </c>
      <c r="R262" s="2" t="inlineStr"/>
    </row>
    <row r="263" ht="15" customHeight="1">
      <c r="A263" t="inlineStr">
        <is>
          <t>A 17464-2020</t>
        </is>
      </c>
      <c r="B263" s="1" t="n">
        <v>43917</v>
      </c>
      <c r="C263" s="1" t="n">
        <v>45628</v>
      </c>
      <c r="D263" t="inlineStr">
        <is>
          <t>JÄMTLANDS LÄN</t>
        </is>
      </c>
      <c r="E263" t="inlineStr">
        <is>
          <t>ÖSTERSUND</t>
        </is>
      </c>
      <c r="G263" t="n">
        <v>3.8</v>
      </c>
      <c r="H263" t="n">
        <v>0</v>
      </c>
      <c r="I263" t="n">
        <v>0</v>
      </c>
      <c r="J263" t="n">
        <v>0</v>
      </c>
      <c r="K263" t="n">
        <v>0</v>
      </c>
      <c r="L263" t="n">
        <v>0</v>
      </c>
      <c r="M263" t="n">
        <v>0</v>
      </c>
      <c r="N263" t="n">
        <v>0</v>
      </c>
      <c r="O263" t="n">
        <v>0</v>
      </c>
      <c r="P263" t="n">
        <v>0</v>
      </c>
      <c r="Q263" t="n">
        <v>0</v>
      </c>
      <c r="R263" s="2" t="inlineStr"/>
    </row>
    <row r="264" ht="15" customHeight="1">
      <c r="A264" t="inlineStr">
        <is>
          <t>A 18339-2020</t>
        </is>
      </c>
      <c r="B264" s="1" t="n">
        <v>43928</v>
      </c>
      <c r="C264" s="1" t="n">
        <v>45628</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18683-2020</t>
        </is>
      </c>
      <c r="B265" s="1" t="n">
        <v>43930</v>
      </c>
      <c r="C265" s="1" t="n">
        <v>45628</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19631-2020</t>
        </is>
      </c>
      <c r="B266" s="1" t="n">
        <v>43936</v>
      </c>
      <c r="C266" s="1" t="n">
        <v>45628</v>
      </c>
      <c r="D266" t="inlineStr">
        <is>
          <t>JÄMTLANDS LÄN</t>
        </is>
      </c>
      <c r="E266" t="inlineStr">
        <is>
          <t>ÖSTERSUND</t>
        </is>
      </c>
      <c r="G266" t="n">
        <v>5.5</v>
      </c>
      <c r="H266" t="n">
        <v>0</v>
      </c>
      <c r="I266" t="n">
        <v>0</v>
      </c>
      <c r="J266" t="n">
        <v>0</v>
      </c>
      <c r="K266" t="n">
        <v>0</v>
      </c>
      <c r="L266" t="n">
        <v>0</v>
      </c>
      <c r="M266" t="n">
        <v>0</v>
      </c>
      <c r="N266" t="n">
        <v>0</v>
      </c>
      <c r="O266" t="n">
        <v>0</v>
      </c>
      <c r="P266" t="n">
        <v>0</v>
      </c>
      <c r="Q266" t="n">
        <v>0</v>
      </c>
      <c r="R266" s="2" t="inlineStr"/>
    </row>
    <row r="267" ht="15" customHeight="1">
      <c r="A267" t="inlineStr">
        <is>
          <t>A 19923-2020</t>
        </is>
      </c>
      <c r="B267" s="1" t="n">
        <v>43943</v>
      </c>
      <c r="C267" s="1" t="n">
        <v>45628</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20198-2020</t>
        </is>
      </c>
      <c r="B268" s="1" t="n">
        <v>43944</v>
      </c>
      <c r="C268" s="1" t="n">
        <v>45628</v>
      </c>
      <c r="D268" t="inlineStr">
        <is>
          <t>JÄMTLANDS LÄN</t>
        </is>
      </c>
      <c r="E268" t="inlineStr">
        <is>
          <t>ÖSTERSUND</t>
        </is>
      </c>
      <c r="G268" t="n">
        <v>2</v>
      </c>
      <c r="H268" t="n">
        <v>0</v>
      </c>
      <c r="I268" t="n">
        <v>0</v>
      </c>
      <c r="J268" t="n">
        <v>0</v>
      </c>
      <c r="K268" t="n">
        <v>0</v>
      </c>
      <c r="L268" t="n">
        <v>0</v>
      </c>
      <c r="M268" t="n">
        <v>0</v>
      </c>
      <c r="N268" t="n">
        <v>0</v>
      </c>
      <c r="O268" t="n">
        <v>0</v>
      </c>
      <c r="P268" t="n">
        <v>0</v>
      </c>
      <c r="Q268" t="n">
        <v>0</v>
      </c>
      <c r="R268" s="2" t="inlineStr"/>
    </row>
    <row r="269" ht="15" customHeight="1">
      <c r="A269" t="inlineStr">
        <is>
          <t>A 23507-2020</t>
        </is>
      </c>
      <c r="B269" s="1" t="n">
        <v>43969</v>
      </c>
      <c r="C269" s="1" t="n">
        <v>45628</v>
      </c>
      <c r="D269" t="inlineStr">
        <is>
          <t>JÄMTLANDS LÄN</t>
        </is>
      </c>
      <c r="E269" t="inlineStr">
        <is>
          <t>ÖSTERSUND</t>
        </is>
      </c>
      <c r="G269" t="n">
        <v>5.8</v>
      </c>
      <c r="H269" t="n">
        <v>0</v>
      </c>
      <c r="I269" t="n">
        <v>0</v>
      </c>
      <c r="J269" t="n">
        <v>0</v>
      </c>
      <c r="K269" t="n">
        <v>0</v>
      </c>
      <c r="L269" t="n">
        <v>0</v>
      </c>
      <c r="M269" t="n">
        <v>0</v>
      </c>
      <c r="N269" t="n">
        <v>0</v>
      </c>
      <c r="O269" t="n">
        <v>0</v>
      </c>
      <c r="P269" t="n">
        <v>0</v>
      </c>
      <c r="Q269" t="n">
        <v>0</v>
      </c>
      <c r="R269" s="2" t="inlineStr"/>
    </row>
    <row r="270" ht="15" customHeight="1">
      <c r="A270" t="inlineStr">
        <is>
          <t>A 23445-2020</t>
        </is>
      </c>
      <c r="B270" s="1" t="n">
        <v>43969</v>
      </c>
      <c r="C270" s="1" t="n">
        <v>45628</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24259-2020</t>
        </is>
      </c>
      <c r="B271" s="1" t="n">
        <v>43970</v>
      </c>
      <c r="C271" s="1" t="n">
        <v>45628</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24253-2020</t>
        </is>
      </c>
      <c r="B272" s="1" t="n">
        <v>43970</v>
      </c>
      <c r="C272" s="1" t="n">
        <v>45628</v>
      </c>
      <c r="D272" t="inlineStr">
        <is>
          <t>JÄMTLANDS LÄN</t>
        </is>
      </c>
      <c r="E272" t="inlineStr">
        <is>
          <t>ÖSTERSUND</t>
        </is>
      </c>
      <c r="G272" t="n">
        <v>1.2</v>
      </c>
      <c r="H272" t="n">
        <v>0</v>
      </c>
      <c r="I272" t="n">
        <v>0</v>
      </c>
      <c r="J272" t="n">
        <v>0</v>
      </c>
      <c r="K272" t="n">
        <v>0</v>
      </c>
      <c r="L272" t="n">
        <v>0</v>
      </c>
      <c r="M272" t="n">
        <v>0</v>
      </c>
      <c r="N272" t="n">
        <v>0</v>
      </c>
      <c r="O272" t="n">
        <v>0</v>
      </c>
      <c r="P272" t="n">
        <v>0</v>
      </c>
      <c r="Q272" t="n">
        <v>0</v>
      </c>
      <c r="R272" s="2" t="inlineStr"/>
    </row>
    <row r="273" ht="15" customHeight="1">
      <c r="A273" t="inlineStr">
        <is>
          <t>A 25148-2020</t>
        </is>
      </c>
      <c r="B273" s="1" t="n">
        <v>43978</v>
      </c>
      <c r="C273" s="1" t="n">
        <v>45628</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26410-2020</t>
        </is>
      </c>
      <c r="B274" s="1" t="n">
        <v>43986</v>
      </c>
      <c r="C274" s="1" t="n">
        <v>45628</v>
      </c>
      <c r="D274" t="inlineStr">
        <is>
          <t>JÄMTLANDS LÄN</t>
        </is>
      </c>
      <c r="E274" t="inlineStr">
        <is>
          <t>ÖSTERSUND</t>
        </is>
      </c>
      <c r="G274" t="n">
        <v>2.1</v>
      </c>
      <c r="H274" t="n">
        <v>0</v>
      </c>
      <c r="I274" t="n">
        <v>0</v>
      </c>
      <c r="J274" t="n">
        <v>0</v>
      </c>
      <c r="K274" t="n">
        <v>0</v>
      </c>
      <c r="L274" t="n">
        <v>0</v>
      </c>
      <c r="M274" t="n">
        <v>0</v>
      </c>
      <c r="N274" t="n">
        <v>0</v>
      </c>
      <c r="O274" t="n">
        <v>0</v>
      </c>
      <c r="P274" t="n">
        <v>0</v>
      </c>
      <c r="Q274" t="n">
        <v>0</v>
      </c>
      <c r="R274" s="2" t="inlineStr"/>
    </row>
    <row r="275" ht="15" customHeight="1">
      <c r="A275" t="inlineStr">
        <is>
          <t>A 27576-2020</t>
        </is>
      </c>
      <c r="B275" s="1" t="n">
        <v>43992</v>
      </c>
      <c r="C275" s="1" t="n">
        <v>45628</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29635-2020</t>
        </is>
      </c>
      <c r="B276" s="1" t="n">
        <v>44000</v>
      </c>
      <c r="C276" s="1" t="n">
        <v>45628</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29435-2020</t>
        </is>
      </c>
      <c r="B277" s="1" t="n">
        <v>44004</v>
      </c>
      <c r="C277" s="1" t="n">
        <v>45628</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29479-2020</t>
        </is>
      </c>
      <c r="B278" s="1" t="n">
        <v>44005</v>
      </c>
      <c r="C278" s="1" t="n">
        <v>45628</v>
      </c>
      <c r="D278" t="inlineStr">
        <is>
          <t>JÄMTLANDS LÄN</t>
        </is>
      </c>
      <c r="E278" t="inlineStr">
        <is>
          <t>ÖSTERSUND</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29581-2020</t>
        </is>
      </c>
      <c r="B279" s="1" t="n">
        <v>44004</v>
      </c>
      <c r="C279" s="1" t="n">
        <v>45628</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30676-2020</t>
        </is>
      </c>
      <c r="B280" s="1" t="n">
        <v>44008</v>
      </c>
      <c r="C280" s="1" t="n">
        <v>45628</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33945-2020</t>
        </is>
      </c>
      <c r="B281" s="1" t="n">
        <v>44027</v>
      </c>
      <c r="C281" s="1" t="n">
        <v>45628</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34703-2020</t>
        </is>
      </c>
      <c r="B282" s="1" t="n">
        <v>44035</v>
      </c>
      <c r="C282" s="1" t="n">
        <v>45628</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37500-2020</t>
        </is>
      </c>
      <c r="B283" s="1" t="n">
        <v>44055</v>
      </c>
      <c r="C283" s="1" t="n">
        <v>45628</v>
      </c>
      <c r="D283" t="inlineStr">
        <is>
          <t>JÄMTLANDS LÄN</t>
        </is>
      </c>
      <c r="E283" t="inlineStr">
        <is>
          <t>ÖSTERSUND</t>
        </is>
      </c>
      <c r="G283" t="n">
        <v>4.8</v>
      </c>
      <c r="H283" t="n">
        <v>0</v>
      </c>
      <c r="I283" t="n">
        <v>0</v>
      </c>
      <c r="J283" t="n">
        <v>0</v>
      </c>
      <c r="K283" t="n">
        <v>0</v>
      </c>
      <c r="L283" t="n">
        <v>0</v>
      </c>
      <c r="M283" t="n">
        <v>0</v>
      </c>
      <c r="N283" t="n">
        <v>0</v>
      </c>
      <c r="O283" t="n">
        <v>0</v>
      </c>
      <c r="P283" t="n">
        <v>0</v>
      </c>
      <c r="Q283" t="n">
        <v>0</v>
      </c>
      <c r="R283" s="2" t="inlineStr"/>
    </row>
    <row r="284" ht="15" customHeight="1">
      <c r="A284" t="inlineStr">
        <is>
          <t>A 38099-2020</t>
        </is>
      </c>
      <c r="B284" s="1" t="n">
        <v>44057</v>
      </c>
      <c r="C284" s="1" t="n">
        <v>45628</v>
      </c>
      <c r="D284" t="inlineStr">
        <is>
          <t>JÄMTLANDS LÄN</t>
        </is>
      </c>
      <c r="E284" t="inlineStr">
        <is>
          <t>ÖSTERSUND</t>
        </is>
      </c>
      <c r="F284" t="inlineStr">
        <is>
          <t>SCA</t>
        </is>
      </c>
      <c r="G284" t="n">
        <v>5.5</v>
      </c>
      <c r="H284" t="n">
        <v>0</v>
      </c>
      <c r="I284" t="n">
        <v>0</v>
      </c>
      <c r="J284" t="n">
        <v>0</v>
      </c>
      <c r="K284" t="n">
        <v>0</v>
      </c>
      <c r="L284" t="n">
        <v>0</v>
      </c>
      <c r="M284" t="n">
        <v>0</v>
      </c>
      <c r="N284" t="n">
        <v>0</v>
      </c>
      <c r="O284" t="n">
        <v>0</v>
      </c>
      <c r="P284" t="n">
        <v>0</v>
      </c>
      <c r="Q284" t="n">
        <v>0</v>
      </c>
      <c r="R284" s="2" t="inlineStr"/>
    </row>
    <row r="285" ht="15" customHeight="1">
      <c r="A285" t="inlineStr">
        <is>
          <t>A 41354-2020</t>
        </is>
      </c>
      <c r="B285" s="1" t="n">
        <v>44072</v>
      </c>
      <c r="C285" s="1" t="n">
        <v>45628</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42712-2020</t>
        </is>
      </c>
      <c r="B286" s="1" t="n">
        <v>44076</v>
      </c>
      <c r="C286" s="1" t="n">
        <v>45628</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42749-2020</t>
        </is>
      </c>
      <c r="B287" s="1" t="n">
        <v>44078</v>
      </c>
      <c r="C287" s="1" t="n">
        <v>45628</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42765-2020</t>
        </is>
      </c>
      <c r="B288" s="1" t="n">
        <v>44077</v>
      </c>
      <c r="C288" s="1" t="n">
        <v>45628</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42766-2020</t>
        </is>
      </c>
      <c r="B289" s="1" t="n">
        <v>44077</v>
      </c>
      <c r="C289" s="1" t="n">
        <v>45628</v>
      </c>
      <c r="D289" t="inlineStr">
        <is>
          <t>JÄMTLANDS LÄN</t>
        </is>
      </c>
      <c r="E289" t="inlineStr">
        <is>
          <t>ÖSTERSUND</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43796-2020</t>
        </is>
      </c>
      <c r="B290" s="1" t="n">
        <v>44082</v>
      </c>
      <c r="C290" s="1" t="n">
        <v>45628</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45820-2020</t>
        </is>
      </c>
      <c r="B291" s="1" t="n">
        <v>44090</v>
      </c>
      <c r="C291" s="1" t="n">
        <v>45628</v>
      </c>
      <c r="D291" t="inlineStr">
        <is>
          <t>JÄMTLANDS LÄN</t>
        </is>
      </c>
      <c r="E291" t="inlineStr">
        <is>
          <t>ÖSTERSUND</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50121-2020</t>
        </is>
      </c>
      <c r="B292" s="1" t="n">
        <v>44106</v>
      </c>
      <c r="C292" s="1" t="n">
        <v>45628</v>
      </c>
      <c r="D292" t="inlineStr">
        <is>
          <t>JÄMTLANDS LÄN</t>
        </is>
      </c>
      <c r="E292" t="inlineStr">
        <is>
          <t>ÖSTERSUND</t>
        </is>
      </c>
      <c r="F292" t="inlineStr">
        <is>
          <t>Övriga statliga verk och myndigheter</t>
        </is>
      </c>
      <c r="G292" t="n">
        <v>5.2</v>
      </c>
      <c r="H292" t="n">
        <v>0</v>
      </c>
      <c r="I292" t="n">
        <v>0</v>
      </c>
      <c r="J292" t="n">
        <v>0</v>
      </c>
      <c r="K292" t="n">
        <v>0</v>
      </c>
      <c r="L292" t="n">
        <v>0</v>
      </c>
      <c r="M292" t="n">
        <v>0</v>
      </c>
      <c r="N292" t="n">
        <v>0</v>
      </c>
      <c r="O292" t="n">
        <v>0</v>
      </c>
      <c r="P292" t="n">
        <v>0</v>
      </c>
      <c r="Q292" t="n">
        <v>0</v>
      </c>
      <c r="R292" s="2" t="inlineStr"/>
    </row>
    <row r="293" ht="15" customHeight="1">
      <c r="A293" t="inlineStr">
        <is>
          <t>A 50153-2020</t>
        </is>
      </c>
      <c r="B293" s="1" t="n">
        <v>44106</v>
      </c>
      <c r="C293" s="1" t="n">
        <v>45628</v>
      </c>
      <c r="D293" t="inlineStr">
        <is>
          <t>JÄMTLANDS LÄN</t>
        </is>
      </c>
      <c r="E293" t="inlineStr">
        <is>
          <t>ÖSTERSUND</t>
        </is>
      </c>
      <c r="F293" t="inlineStr">
        <is>
          <t>Övriga statliga verk och myndigheter</t>
        </is>
      </c>
      <c r="G293" t="n">
        <v>4.6</v>
      </c>
      <c r="H293" t="n">
        <v>0</v>
      </c>
      <c r="I293" t="n">
        <v>0</v>
      </c>
      <c r="J293" t="n">
        <v>0</v>
      </c>
      <c r="K293" t="n">
        <v>0</v>
      </c>
      <c r="L293" t="n">
        <v>0</v>
      </c>
      <c r="M293" t="n">
        <v>0</v>
      </c>
      <c r="N293" t="n">
        <v>0</v>
      </c>
      <c r="O293" t="n">
        <v>0</v>
      </c>
      <c r="P293" t="n">
        <v>0</v>
      </c>
      <c r="Q293" t="n">
        <v>0</v>
      </c>
      <c r="R293" s="2" t="inlineStr"/>
    </row>
    <row r="294" ht="15" customHeight="1">
      <c r="A294" t="inlineStr">
        <is>
          <t>A 50144-2020</t>
        </is>
      </c>
      <c r="B294" s="1" t="n">
        <v>44106</v>
      </c>
      <c r="C294" s="1" t="n">
        <v>45628</v>
      </c>
      <c r="D294" t="inlineStr">
        <is>
          <t>JÄMTLANDS LÄN</t>
        </is>
      </c>
      <c r="E294" t="inlineStr">
        <is>
          <t>ÖSTERSUND</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50632-2020</t>
        </is>
      </c>
      <c r="B295" s="1" t="n">
        <v>44110</v>
      </c>
      <c r="C295" s="1" t="n">
        <v>45628</v>
      </c>
      <c r="D295" t="inlineStr">
        <is>
          <t>JÄMTLANDS LÄN</t>
        </is>
      </c>
      <c r="E295" t="inlineStr">
        <is>
          <t>ÖSTERSUND</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52478-2020</t>
        </is>
      </c>
      <c r="B296" s="1" t="n">
        <v>44113</v>
      </c>
      <c r="C296" s="1" t="n">
        <v>45628</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52535-2020</t>
        </is>
      </c>
      <c r="B297" s="1" t="n">
        <v>44118</v>
      </c>
      <c r="C297" s="1" t="n">
        <v>45628</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52777-2020</t>
        </is>
      </c>
      <c r="B298" s="1" t="n">
        <v>44118</v>
      </c>
      <c r="C298" s="1" t="n">
        <v>45628</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52791-2020</t>
        </is>
      </c>
      <c r="B299" s="1" t="n">
        <v>44118</v>
      </c>
      <c r="C299" s="1" t="n">
        <v>45628</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53323-2020</t>
        </is>
      </c>
      <c r="B300" s="1" t="n">
        <v>44123</v>
      </c>
      <c r="C300" s="1" t="n">
        <v>45628</v>
      </c>
      <c r="D300" t="inlineStr">
        <is>
          <t>JÄMTLANDS LÄN</t>
        </is>
      </c>
      <c r="E300" t="inlineStr">
        <is>
          <t>ÖSTERSUND</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53967-2020</t>
        </is>
      </c>
      <c r="B301" s="1" t="n">
        <v>44125</v>
      </c>
      <c r="C301" s="1" t="n">
        <v>45628</v>
      </c>
      <c r="D301" t="inlineStr">
        <is>
          <t>JÄMTLANDS LÄN</t>
        </is>
      </c>
      <c r="E301" t="inlineStr">
        <is>
          <t>ÖSTERSUND</t>
        </is>
      </c>
      <c r="G301" t="n">
        <v>25.8</v>
      </c>
      <c r="H301" t="n">
        <v>0</v>
      </c>
      <c r="I301" t="n">
        <v>0</v>
      </c>
      <c r="J301" t="n">
        <v>0</v>
      </c>
      <c r="K301" t="n">
        <v>0</v>
      </c>
      <c r="L301" t="n">
        <v>0</v>
      </c>
      <c r="M301" t="n">
        <v>0</v>
      </c>
      <c r="N301" t="n">
        <v>0</v>
      </c>
      <c r="O301" t="n">
        <v>0</v>
      </c>
      <c r="P301" t="n">
        <v>0</v>
      </c>
      <c r="Q301" t="n">
        <v>0</v>
      </c>
      <c r="R301" s="2" t="inlineStr"/>
    </row>
    <row r="302" ht="15" customHeight="1">
      <c r="A302" t="inlineStr">
        <is>
          <t>A 54539-2020</t>
        </is>
      </c>
      <c r="B302" s="1" t="n">
        <v>44126</v>
      </c>
      <c r="C302" s="1" t="n">
        <v>45628</v>
      </c>
      <c r="D302" t="inlineStr">
        <is>
          <t>JÄMTLANDS LÄN</t>
        </is>
      </c>
      <c r="E302" t="inlineStr">
        <is>
          <t>ÖSTERSUND</t>
        </is>
      </c>
      <c r="G302" t="n">
        <v>4.2</v>
      </c>
      <c r="H302" t="n">
        <v>0</v>
      </c>
      <c r="I302" t="n">
        <v>0</v>
      </c>
      <c r="J302" t="n">
        <v>0</v>
      </c>
      <c r="K302" t="n">
        <v>0</v>
      </c>
      <c r="L302" t="n">
        <v>0</v>
      </c>
      <c r="M302" t="n">
        <v>0</v>
      </c>
      <c r="N302" t="n">
        <v>0</v>
      </c>
      <c r="O302" t="n">
        <v>0</v>
      </c>
      <c r="P302" t="n">
        <v>0</v>
      </c>
      <c r="Q302" t="n">
        <v>0</v>
      </c>
      <c r="R302" s="2" t="inlineStr"/>
    </row>
    <row r="303" ht="15" customHeight="1">
      <c r="A303" t="inlineStr">
        <is>
          <t>A 54844-2020</t>
        </is>
      </c>
      <c r="B303" s="1" t="n">
        <v>44126</v>
      </c>
      <c r="C303" s="1" t="n">
        <v>45628</v>
      </c>
      <c r="D303" t="inlineStr">
        <is>
          <t>JÄMTLANDS LÄN</t>
        </is>
      </c>
      <c r="E303" t="inlineStr">
        <is>
          <t>ÖSTERSUND</t>
        </is>
      </c>
      <c r="G303" t="n">
        <v>6.9</v>
      </c>
      <c r="H303" t="n">
        <v>0</v>
      </c>
      <c r="I303" t="n">
        <v>0</v>
      </c>
      <c r="J303" t="n">
        <v>0</v>
      </c>
      <c r="K303" t="n">
        <v>0</v>
      </c>
      <c r="L303" t="n">
        <v>0</v>
      </c>
      <c r="M303" t="n">
        <v>0</v>
      </c>
      <c r="N303" t="n">
        <v>0</v>
      </c>
      <c r="O303" t="n">
        <v>0</v>
      </c>
      <c r="P303" t="n">
        <v>0</v>
      </c>
      <c r="Q303" t="n">
        <v>0</v>
      </c>
      <c r="R303" s="2" t="inlineStr"/>
    </row>
    <row r="304" ht="15" customHeight="1">
      <c r="A304" t="inlineStr">
        <is>
          <t>A 56220-2020</t>
        </is>
      </c>
      <c r="B304" s="1" t="n">
        <v>44133</v>
      </c>
      <c r="C304" s="1" t="n">
        <v>45628</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56486-2020</t>
        </is>
      </c>
      <c r="B305" s="1" t="n">
        <v>44137</v>
      </c>
      <c r="C305" s="1" t="n">
        <v>45628</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56636-2020</t>
        </is>
      </c>
      <c r="B306" s="1" t="n">
        <v>44137</v>
      </c>
      <c r="C306" s="1" t="n">
        <v>45628</v>
      </c>
      <c r="D306" t="inlineStr">
        <is>
          <t>JÄMTLANDS LÄN</t>
        </is>
      </c>
      <c r="E306" t="inlineStr">
        <is>
          <t>ÖSTERSUND</t>
        </is>
      </c>
      <c r="F306" t="inlineStr">
        <is>
          <t>Övriga Aktiebolag</t>
        </is>
      </c>
      <c r="G306" t="n">
        <v>16.2</v>
      </c>
      <c r="H306" t="n">
        <v>0</v>
      </c>
      <c r="I306" t="n">
        <v>0</v>
      </c>
      <c r="J306" t="n">
        <v>0</v>
      </c>
      <c r="K306" t="n">
        <v>0</v>
      </c>
      <c r="L306" t="n">
        <v>0</v>
      </c>
      <c r="M306" t="n">
        <v>0</v>
      </c>
      <c r="N306" t="n">
        <v>0</v>
      </c>
      <c r="O306" t="n">
        <v>0</v>
      </c>
      <c r="P306" t="n">
        <v>0</v>
      </c>
      <c r="Q306" t="n">
        <v>0</v>
      </c>
      <c r="R306" s="2" t="inlineStr"/>
    </row>
    <row r="307" ht="15" customHeight="1">
      <c r="A307" t="inlineStr">
        <is>
          <t>A 56642-2020</t>
        </is>
      </c>
      <c r="B307" s="1" t="n">
        <v>44137</v>
      </c>
      <c r="C307" s="1" t="n">
        <v>45628</v>
      </c>
      <c r="D307" t="inlineStr">
        <is>
          <t>JÄMTLANDS LÄN</t>
        </is>
      </c>
      <c r="E307" t="inlineStr">
        <is>
          <t>ÖSTERSUND</t>
        </is>
      </c>
      <c r="F307" t="inlineStr">
        <is>
          <t>Övriga Aktiebolag</t>
        </is>
      </c>
      <c r="G307" t="n">
        <v>6</v>
      </c>
      <c r="H307" t="n">
        <v>0</v>
      </c>
      <c r="I307" t="n">
        <v>0</v>
      </c>
      <c r="J307" t="n">
        <v>0</v>
      </c>
      <c r="K307" t="n">
        <v>0</v>
      </c>
      <c r="L307" t="n">
        <v>0</v>
      </c>
      <c r="M307" t="n">
        <v>0</v>
      </c>
      <c r="N307" t="n">
        <v>0</v>
      </c>
      <c r="O307" t="n">
        <v>0</v>
      </c>
      <c r="P307" t="n">
        <v>0</v>
      </c>
      <c r="Q307" t="n">
        <v>0</v>
      </c>
      <c r="R307" s="2" t="inlineStr"/>
    </row>
    <row r="308" ht="15" customHeight="1">
      <c r="A308" t="inlineStr">
        <is>
          <t>A 57616-2020</t>
        </is>
      </c>
      <c r="B308" s="1" t="n">
        <v>44140</v>
      </c>
      <c r="C308" s="1" t="n">
        <v>45628</v>
      </c>
      <c r="D308" t="inlineStr">
        <is>
          <t>JÄMTLANDS LÄN</t>
        </is>
      </c>
      <c r="E308" t="inlineStr">
        <is>
          <t>ÖSTERSUND</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57624-2020</t>
        </is>
      </c>
      <c r="B309" s="1" t="n">
        <v>44140</v>
      </c>
      <c r="C309" s="1" t="n">
        <v>45628</v>
      </c>
      <c r="D309" t="inlineStr">
        <is>
          <t>JÄMTLANDS LÄN</t>
        </is>
      </c>
      <c r="E309" t="inlineStr">
        <is>
          <t>ÖSTERSUND</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57791-2020</t>
        </is>
      </c>
      <c r="B310" s="1" t="n">
        <v>44141</v>
      </c>
      <c r="C310" s="1" t="n">
        <v>45628</v>
      </c>
      <c r="D310" t="inlineStr">
        <is>
          <t>JÄMTLANDS LÄN</t>
        </is>
      </c>
      <c r="E310" t="inlineStr">
        <is>
          <t>ÖSTERSUND</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57771-2020</t>
        </is>
      </c>
      <c r="B311" s="1" t="n">
        <v>44141</v>
      </c>
      <c r="C311" s="1" t="n">
        <v>45628</v>
      </c>
      <c r="D311" t="inlineStr">
        <is>
          <t>JÄMTLANDS LÄN</t>
        </is>
      </c>
      <c r="E311" t="inlineStr">
        <is>
          <t>ÖSTERSUND</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60050-2020</t>
        </is>
      </c>
      <c r="B312" s="1" t="n">
        <v>44151</v>
      </c>
      <c r="C312" s="1" t="n">
        <v>45628</v>
      </c>
      <c r="D312" t="inlineStr">
        <is>
          <t>JÄMTLANDS LÄN</t>
        </is>
      </c>
      <c r="E312" t="inlineStr">
        <is>
          <t>ÖSTERSUND</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60126-2020</t>
        </is>
      </c>
      <c r="B313" s="1" t="n">
        <v>44152</v>
      </c>
      <c r="C313" s="1" t="n">
        <v>45628</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63171-2020</t>
        </is>
      </c>
      <c r="B314" s="1" t="n">
        <v>44162</v>
      </c>
      <c r="C314" s="1" t="n">
        <v>45628</v>
      </c>
      <c r="D314" t="inlineStr">
        <is>
          <t>JÄMTLANDS LÄN</t>
        </is>
      </c>
      <c r="E314" t="inlineStr">
        <is>
          <t>ÖSTERSUND</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65410-2020</t>
        </is>
      </c>
      <c r="B315" s="1" t="n">
        <v>44173</v>
      </c>
      <c r="C315" s="1" t="n">
        <v>45628</v>
      </c>
      <c r="D315" t="inlineStr">
        <is>
          <t>JÄMTLANDS LÄN</t>
        </is>
      </c>
      <c r="E315" t="inlineStr">
        <is>
          <t>ÖSTERSUND</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66269-2020</t>
        </is>
      </c>
      <c r="B316" s="1" t="n">
        <v>44174</v>
      </c>
      <c r="C316" s="1" t="n">
        <v>45628</v>
      </c>
      <c r="D316" t="inlineStr">
        <is>
          <t>JÄMTLANDS LÄN</t>
        </is>
      </c>
      <c r="E316" t="inlineStr">
        <is>
          <t>ÖSTERSUND</t>
        </is>
      </c>
      <c r="F316" t="inlineStr">
        <is>
          <t>Övriga statliga verk och myndigheter</t>
        </is>
      </c>
      <c r="G316" t="n">
        <v>10</v>
      </c>
      <c r="H316" t="n">
        <v>0</v>
      </c>
      <c r="I316" t="n">
        <v>0</v>
      </c>
      <c r="J316" t="n">
        <v>0</v>
      </c>
      <c r="K316" t="n">
        <v>0</v>
      </c>
      <c r="L316" t="n">
        <v>0</v>
      </c>
      <c r="M316" t="n">
        <v>0</v>
      </c>
      <c r="N316" t="n">
        <v>0</v>
      </c>
      <c r="O316" t="n">
        <v>0</v>
      </c>
      <c r="P316" t="n">
        <v>0</v>
      </c>
      <c r="Q316" t="n">
        <v>0</v>
      </c>
      <c r="R316" s="2" t="inlineStr"/>
    </row>
    <row r="317" ht="15" customHeight="1">
      <c r="A317" t="inlineStr">
        <is>
          <t>A 66288-2020</t>
        </is>
      </c>
      <c r="B317" s="1" t="n">
        <v>44174</v>
      </c>
      <c r="C317" s="1" t="n">
        <v>45628</v>
      </c>
      <c r="D317" t="inlineStr">
        <is>
          <t>JÄMTLANDS LÄN</t>
        </is>
      </c>
      <c r="E317" t="inlineStr">
        <is>
          <t>ÖSTERSUND</t>
        </is>
      </c>
      <c r="F317" t="inlineStr">
        <is>
          <t>Övriga statliga verk och myndigheter</t>
        </is>
      </c>
      <c r="G317" t="n">
        <v>1.2</v>
      </c>
      <c r="H317" t="n">
        <v>0</v>
      </c>
      <c r="I317" t="n">
        <v>0</v>
      </c>
      <c r="J317" t="n">
        <v>0</v>
      </c>
      <c r="K317" t="n">
        <v>0</v>
      </c>
      <c r="L317" t="n">
        <v>0</v>
      </c>
      <c r="M317" t="n">
        <v>0</v>
      </c>
      <c r="N317" t="n">
        <v>0</v>
      </c>
      <c r="O317" t="n">
        <v>0</v>
      </c>
      <c r="P317" t="n">
        <v>0</v>
      </c>
      <c r="Q317" t="n">
        <v>0</v>
      </c>
      <c r="R317" s="2" t="inlineStr"/>
    </row>
    <row r="318" ht="15" customHeight="1">
      <c r="A318" t="inlineStr">
        <is>
          <t>A 66286-2020</t>
        </is>
      </c>
      <c r="B318" s="1" t="n">
        <v>44174</v>
      </c>
      <c r="C318" s="1" t="n">
        <v>45628</v>
      </c>
      <c r="D318" t="inlineStr">
        <is>
          <t>JÄMTLANDS LÄN</t>
        </is>
      </c>
      <c r="E318" t="inlineStr">
        <is>
          <t>ÖSTERSUND</t>
        </is>
      </c>
      <c r="F318" t="inlineStr">
        <is>
          <t>Övriga statliga verk och myndigheter</t>
        </is>
      </c>
      <c r="G318" t="n">
        <v>1.1</v>
      </c>
      <c r="H318" t="n">
        <v>0</v>
      </c>
      <c r="I318" t="n">
        <v>0</v>
      </c>
      <c r="J318" t="n">
        <v>0</v>
      </c>
      <c r="K318" t="n">
        <v>0</v>
      </c>
      <c r="L318" t="n">
        <v>0</v>
      </c>
      <c r="M318" t="n">
        <v>0</v>
      </c>
      <c r="N318" t="n">
        <v>0</v>
      </c>
      <c r="O318" t="n">
        <v>0</v>
      </c>
      <c r="P318" t="n">
        <v>0</v>
      </c>
      <c r="Q318" t="n">
        <v>0</v>
      </c>
      <c r="R318" s="2" t="inlineStr"/>
    </row>
    <row r="319" ht="15" customHeight="1">
      <c r="A319" t="inlineStr">
        <is>
          <t>A 67646-2020</t>
        </is>
      </c>
      <c r="B319" s="1" t="n">
        <v>44180</v>
      </c>
      <c r="C319" s="1" t="n">
        <v>45628</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67643-2020</t>
        </is>
      </c>
      <c r="B320" s="1" t="n">
        <v>44180</v>
      </c>
      <c r="C320" s="1" t="n">
        <v>45628</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68408-2020</t>
        </is>
      </c>
      <c r="B321" s="1" t="n">
        <v>44186</v>
      </c>
      <c r="C321" s="1" t="n">
        <v>45628</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68937-2020</t>
        </is>
      </c>
      <c r="B322" s="1" t="n">
        <v>44187</v>
      </c>
      <c r="C322" s="1" t="n">
        <v>45628</v>
      </c>
      <c r="D322" t="inlineStr">
        <is>
          <t>JÄMTLANDS LÄN</t>
        </is>
      </c>
      <c r="E322" t="inlineStr">
        <is>
          <t>ÖSTERSUND</t>
        </is>
      </c>
      <c r="G322" t="n">
        <v>4.7</v>
      </c>
      <c r="H322" t="n">
        <v>0</v>
      </c>
      <c r="I322" t="n">
        <v>0</v>
      </c>
      <c r="J322" t="n">
        <v>0</v>
      </c>
      <c r="K322" t="n">
        <v>0</v>
      </c>
      <c r="L322" t="n">
        <v>0</v>
      </c>
      <c r="M322" t="n">
        <v>0</v>
      </c>
      <c r="N322" t="n">
        <v>0</v>
      </c>
      <c r="O322" t="n">
        <v>0</v>
      </c>
      <c r="P322" t="n">
        <v>0</v>
      </c>
      <c r="Q322" t="n">
        <v>0</v>
      </c>
      <c r="R322" s="2" t="inlineStr"/>
    </row>
    <row r="323" ht="15" customHeight="1">
      <c r="A323" t="inlineStr">
        <is>
          <t>A 126-2021</t>
        </is>
      </c>
      <c r="B323" s="1" t="n">
        <v>44200</v>
      </c>
      <c r="C323" s="1" t="n">
        <v>45628</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501-2021</t>
        </is>
      </c>
      <c r="B324" s="1" t="n">
        <v>44200</v>
      </c>
      <c r="C324" s="1" t="n">
        <v>45628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1322-2021</t>
        </is>
      </c>
      <c r="B325" s="1" t="n">
        <v>44208</v>
      </c>
      <c r="C325" s="1" t="n">
        <v>45628</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2686-2021</t>
        </is>
      </c>
      <c r="B326" s="1" t="n">
        <v>44214</v>
      </c>
      <c r="C326" s="1" t="n">
        <v>45628</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5460-2021</t>
        </is>
      </c>
      <c r="B327" s="1" t="n">
        <v>44229</v>
      </c>
      <c r="C327" s="1" t="n">
        <v>45628</v>
      </c>
      <c r="D327" t="inlineStr">
        <is>
          <t>JÄMTLANDS LÄN</t>
        </is>
      </c>
      <c r="E327" t="inlineStr">
        <is>
          <t>ÖSTERSUND</t>
        </is>
      </c>
      <c r="G327" t="n">
        <v>14.2</v>
      </c>
      <c r="H327" t="n">
        <v>0</v>
      </c>
      <c r="I327" t="n">
        <v>0</v>
      </c>
      <c r="J327" t="n">
        <v>0</v>
      </c>
      <c r="K327" t="n">
        <v>0</v>
      </c>
      <c r="L327" t="n">
        <v>0</v>
      </c>
      <c r="M327" t="n">
        <v>0</v>
      </c>
      <c r="N327" t="n">
        <v>0</v>
      </c>
      <c r="O327" t="n">
        <v>0</v>
      </c>
      <c r="P327" t="n">
        <v>0</v>
      </c>
      <c r="Q327" t="n">
        <v>0</v>
      </c>
      <c r="R327" s="2" t="inlineStr"/>
    </row>
    <row r="328" ht="15" customHeight="1">
      <c r="A328" t="inlineStr">
        <is>
          <t>A 6578-2021</t>
        </is>
      </c>
      <c r="B328" s="1" t="n">
        <v>44236</v>
      </c>
      <c r="C328" s="1" t="n">
        <v>45628</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8396-2021</t>
        </is>
      </c>
      <c r="B329" s="1" t="n">
        <v>44238</v>
      </c>
      <c r="C329" s="1" t="n">
        <v>45628</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10590-2021</t>
        </is>
      </c>
      <c r="B330" s="1" t="n">
        <v>44258</v>
      </c>
      <c r="C330" s="1" t="n">
        <v>45628</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10911-2021</t>
        </is>
      </c>
      <c r="B331" s="1" t="n">
        <v>44259</v>
      </c>
      <c r="C331" s="1" t="n">
        <v>45628</v>
      </c>
      <c r="D331" t="inlineStr">
        <is>
          <t>JÄMTLANDS LÄN</t>
        </is>
      </c>
      <c r="E331" t="inlineStr">
        <is>
          <t>ÖSTERSUND</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10834-2021</t>
        </is>
      </c>
      <c r="B332" s="1" t="n">
        <v>44259</v>
      </c>
      <c r="C332" s="1" t="n">
        <v>45628</v>
      </c>
      <c r="D332" t="inlineStr">
        <is>
          <t>JÄMTLANDS LÄN</t>
        </is>
      </c>
      <c r="E332" t="inlineStr">
        <is>
          <t>ÖSTERSUND</t>
        </is>
      </c>
      <c r="G332" t="n">
        <v>12.2</v>
      </c>
      <c r="H332" t="n">
        <v>0</v>
      </c>
      <c r="I332" t="n">
        <v>0</v>
      </c>
      <c r="J332" t="n">
        <v>0</v>
      </c>
      <c r="K332" t="n">
        <v>0</v>
      </c>
      <c r="L332" t="n">
        <v>0</v>
      </c>
      <c r="M332" t="n">
        <v>0</v>
      </c>
      <c r="N332" t="n">
        <v>0</v>
      </c>
      <c r="O332" t="n">
        <v>0</v>
      </c>
      <c r="P332" t="n">
        <v>0</v>
      </c>
      <c r="Q332" t="n">
        <v>0</v>
      </c>
      <c r="R332" s="2" t="inlineStr"/>
    </row>
    <row r="333" ht="15" customHeight="1">
      <c r="A333" t="inlineStr">
        <is>
          <t>A 12710-2021</t>
        </is>
      </c>
      <c r="B333" s="1" t="n">
        <v>44270</v>
      </c>
      <c r="C333" s="1" t="n">
        <v>45628</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12705-2021</t>
        </is>
      </c>
      <c r="B334" s="1" t="n">
        <v>44270</v>
      </c>
      <c r="C334" s="1" t="n">
        <v>45628</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14155-2021</t>
        </is>
      </c>
      <c r="B335" s="1" t="n">
        <v>44278</v>
      </c>
      <c r="C335" s="1" t="n">
        <v>45628</v>
      </c>
      <c r="D335" t="inlineStr">
        <is>
          <t>JÄMTLANDS LÄN</t>
        </is>
      </c>
      <c r="E335" t="inlineStr">
        <is>
          <t>ÖSTERSUND</t>
        </is>
      </c>
      <c r="G335" t="n">
        <v>2.6</v>
      </c>
      <c r="H335" t="n">
        <v>0</v>
      </c>
      <c r="I335" t="n">
        <v>0</v>
      </c>
      <c r="J335" t="n">
        <v>0</v>
      </c>
      <c r="K335" t="n">
        <v>0</v>
      </c>
      <c r="L335" t="n">
        <v>0</v>
      </c>
      <c r="M335" t="n">
        <v>0</v>
      </c>
      <c r="N335" t="n">
        <v>0</v>
      </c>
      <c r="O335" t="n">
        <v>0</v>
      </c>
      <c r="P335" t="n">
        <v>0</v>
      </c>
      <c r="Q335" t="n">
        <v>0</v>
      </c>
      <c r="R335" s="2" t="inlineStr"/>
    </row>
    <row r="336" ht="15" customHeight="1">
      <c r="A336" t="inlineStr">
        <is>
          <t>A 15659-2021</t>
        </is>
      </c>
      <c r="B336" s="1" t="n">
        <v>44298</v>
      </c>
      <c r="C336" s="1" t="n">
        <v>45628</v>
      </c>
      <c r="D336" t="inlineStr">
        <is>
          <t>JÄMTLANDS LÄN</t>
        </is>
      </c>
      <c r="E336" t="inlineStr">
        <is>
          <t>ÖSTERSUND</t>
        </is>
      </c>
      <c r="G336" t="n">
        <v>13.3</v>
      </c>
      <c r="H336" t="n">
        <v>0</v>
      </c>
      <c r="I336" t="n">
        <v>0</v>
      </c>
      <c r="J336" t="n">
        <v>0</v>
      </c>
      <c r="K336" t="n">
        <v>0</v>
      </c>
      <c r="L336" t="n">
        <v>0</v>
      </c>
      <c r="M336" t="n">
        <v>0</v>
      </c>
      <c r="N336" t="n">
        <v>0</v>
      </c>
      <c r="O336" t="n">
        <v>0</v>
      </c>
      <c r="P336" t="n">
        <v>0</v>
      </c>
      <c r="Q336" t="n">
        <v>0</v>
      </c>
      <c r="R336" s="2" t="inlineStr"/>
    </row>
    <row r="337" ht="15" customHeight="1">
      <c r="A337" t="inlineStr">
        <is>
          <t>A 17362-2021</t>
        </is>
      </c>
      <c r="B337" s="1" t="n">
        <v>44298</v>
      </c>
      <c r="C337" s="1" t="n">
        <v>45628</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17596-2021</t>
        </is>
      </c>
      <c r="B338" s="1" t="n">
        <v>44299</v>
      </c>
      <c r="C338" s="1" t="n">
        <v>45628</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19541-2021</t>
        </is>
      </c>
      <c r="B339" s="1" t="n">
        <v>44312</v>
      </c>
      <c r="C339" s="1" t="n">
        <v>45628</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20290-2021</t>
        </is>
      </c>
      <c r="B340" s="1" t="n">
        <v>44314</v>
      </c>
      <c r="C340" s="1" t="n">
        <v>45628</v>
      </c>
      <c r="D340" t="inlineStr">
        <is>
          <t>JÄMTLANDS LÄN</t>
        </is>
      </c>
      <c r="E340" t="inlineStr">
        <is>
          <t>ÖSTERSUND</t>
        </is>
      </c>
      <c r="F340" t="inlineStr">
        <is>
          <t>SCA</t>
        </is>
      </c>
      <c r="G340" t="n">
        <v>8.1</v>
      </c>
      <c r="H340" t="n">
        <v>0</v>
      </c>
      <c r="I340" t="n">
        <v>0</v>
      </c>
      <c r="J340" t="n">
        <v>0</v>
      </c>
      <c r="K340" t="n">
        <v>0</v>
      </c>
      <c r="L340" t="n">
        <v>0</v>
      </c>
      <c r="M340" t="n">
        <v>0</v>
      </c>
      <c r="N340" t="n">
        <v>0</v>
      </c>
      <c r="O340" t="n">
        <v>0</v>
      </c>
      <c r="P340" t="n">
        <v>0</v>
      </c>
      <c r="Q340" t="n">
        <v>0</v>
      </c>
      <c r="R340" s="2" t="inlineStr"/>
    </row>
    <row r="341" ht="15" customHeight="1">
      <c r="A341" t="inlineStr">
        <is>
          <t>A 20620-2021</t>
        </is>
      </c>
      <c r="B341" s="1" t="n">
        <v>44316</v>
      </c>
      <c r="C341" s="1" t="n">
        <v>45628</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21306-2021</t>
        </is>
      </c>
      <c r="B342" s="1" t="n">
        <v>44320</v>
      </c>
      <c r="C342" s="1" t="n">
        <v>45628</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21849-2021</t>
        </is>
      </c>
      <c r="B343" s="1" t="n">
        <v>44322</v>
      </c>
      <c r="C343" s="1" t="n">
        <v>45628</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22126-2021</t>
        </is>
      </c>
      <c r="B344" s="1" t="n">
        <v>44323</v>
      </c>
      <c r="C344" s="1" t="n">
        <v>45628</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23187-2021</t>
        </is>
      </c>
      <c r="B345" s="1" t="n">
        <v>44328</v>
      </c>
      <c r="C345" s="1" t="n">
        <v>45628</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23895-2021</t>
        </is>
      </c>
      <c r="B346" s="1" t="n">
        <v>44335</v>
      </c>
      <c r="C346" s="1" t="n">
        <v>45628</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24312-2021</t>
        </is>
      </c>
      <c r="B347" s="1" t="n">
        <v>44336</v>
      </c>
      <c r="C347" s="1" t="n">
        <v>45628</v>
      </c>
      <c r="D347" t="inlineStr">
        <is>
          <t>JÄMTLANDS LÄN</t>
        </is>
      </c>
      <c r="E347" t="inlineStr">
        <is>
          <t>ÖSTERSUND</t>
        </is>
      </c>
      <c r="G347" t="n">
        <v>10.6</v>
      </c>
      <c r="H347" t="n">
        <v>0</v>
      </c>
      <c r="I347" t="n">
        <v>0</v>
      </c>
      <c r="J347" t="n">
        <v>0</v>
      </c>
      <c r="K347" t="n">
        <v>0</v>
      </c>
      <c r="L347" t="n">
        <v>0</v>
      </c>
      <c r="M347" t="n">
        <v>0</v>
      </c>
      <c r="N347" t="n">
        <v>0</v>
      </c>
      <c r="O347" t="n">
        <v>0</v>
      </c>
      <c r="P347" t="n">
        <v>0</v>
      </c>
      <c r="Q347" t="n">
        <v>0</v>
      </c>
      <c r="R347" s="2" t="inlineStr"/>
    </row>
    <row r="348" ht="15" customHeight="1">
      <c r="A348" t="inlineStr">
        <is>
          <t>A 24706-2021</t>
        </is>
      </c>
      <c r="B348" s="1" t="n">
        <v>44340</v>
      </c>
      <c r="C348" s="1" t="n">
        <v>45628</v>
      </c>
      <c r="D348" t="inlineStr">
        <is>
          <t>JÄMTLANDS LÄN</t>
        </is>
      </c>
      <c r="E348" t="inlineStr">
        <is>
          <t>ÖSTERSUND</t>
        </is>
      </c>
      <c r="G348" t="n">
        <v>5.6</v>
      </c>
      <c r="H348" t="n">
        <v>0</v>
      </c>
      <c r="I348" t="n">
        <v>0</v>
      </c>
      <c r="J348" t="n">
        <v>0</v>
      </c>
      <c r="K348" t="n">
        <v>0</v>
      </c>
      <c r="L348" t="n">
        <v>0</v>
      </c>
      <c r="M348" t="n">
        <v>0</v>
      </c>
      <c r="N348" t="n">
        <v>0</v>
      </c>
      <c r="O348" t="n">
        <v>0</v>
      </c>
      <c r="P348" t="n">
        <v>0</v>
      </c>
      <c r="Q348" t="n">
        <v>0</v>
      </c>
      <c r="R348" s="2" t="inlineStr"/>
    </row>
    <row r="349" ht="15" customHeight="1">
      <c r="A349" t="inlineStr">
        <is>
          <t>A 24721-2021</t>
        </is>
      </c>
      <c r="B349" s="1" t="n">
        <v>44340</v>
      </c>
      <c r="C349" s="1" t="n">
        <v>45628</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26254-2021</t>
        </is>
      </c>
      <c r="B350" s="1" t="n">
        <v>44347</v>
      </c>
      <c r="C350" s="1" t="n">
        <v>45628</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26259-2021</t>
        </is>
      </c>
      <c r="B351" s="1" t="n">
        <v>44347</v>
      </c>
      <c r="C351" s="1" t="n">
        <v>45628</v>
      </c>
      <c r="D351" t="inlineStr">
        <is>
          <t>JÄMTLANDS LÄN</t>
        </is>
      </c>
      <c r="E351" t="inlineStr">
        <is>
          <t>ÖSTERSUND</t>
        </is>
      </c>
      <c r="G351" t="n">
        <v>4.3</v>
      </c>
      <c r="H351" t="n">
        <v>0</v>
      </c>
      <c r="I351" t="n">
        <v>0</v>
      </c>
      <c r="J351" t="n">
        <v>0</v>
      </c>
      <c r="K351" t="n">
        <v>0</v>
      </c>
      <c r="L351" t="n">
        <v>0</v>
      </c>
      <c r="M351" t="n">
        <v>0</v>
      </c>
      <c r="N351" t="n">
        <v>0</v>
      </c>
      <c r="O351" t="n">
        <v>0</v>
      </c>
      <c r="P351" t="n">
        <v>0</v>
      </c>
      <c r="Q351" t="n">
        <v>0</v>
      </c>
      <c r="R351" s="2" t="inlineStr"/>
    </row>
    <row r="352" ht="15" customHeight="1">
      <c r="A352" t="inlineStr">
        <is>
          <t>A 27061-2021</t>
        </is>
      </c>
      <c r="B352" s="1" t="n">
        <v>44349</v>
      </c>
      <c r="C352" s="1" t="n">
        <v>45628</v>
      </c>
      <c r="D352" t="inlineStr">
        <is>
          <t>JÄMTLANDS LÄN</t>
        </is>
      </c>
      <c r="E352" t="inlineStr">
        <is>
          <t>ÖSTERSUND</t>
        </is>
      </c>
      <c r="G352" t="n">
        <v>3.2</v>
      </c>
      <c r="H352" t="n">
        <v>0</v>
      </c>
      <c r="I352" t="n">
        <v>0</v>
      </c>
      <c r="J352" t="n">
        <v>0</v>
      </c>
      <c r="K352" t="n">
        <v>0</v>
      </c>
      <c r="L352" t="n">
        <v>0</v>
      </c>
      <c r="M352" t="n">
        <v>0</v>
      </c>
      <c r="N352" t="n">
        <v>0</v>
      </c>
      <c r="O352" t="n">
        <v>0</v>
      </c>
      <c r="P352" t="n">
        <v>0</v>
      </c>
      <c r="Q352" t="n">
        <v>0</v>
      </c>
      <c r="R352" s="2" t="inlineStr"/>
    </row>
    <row r="353" ht="15" customHeight="1">
      <c r="A353" t="inlineStr">
        <is>
          <t>A 27004-2021</t>
        </is>
      </c>
      <c r="B353" s="1" t="n">
        <v>44349</v>
      </c>
      <c r="C353" s="1" t="n">
        <v>45628</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29582-2021</t>
        </is>
      </c>
      <c r="B354" s="1" t="n">
        <v>44362</v>
      </c>
      <c r="C354" s="1" t="n">
        <v>45628</v>
      </c>
      <c r="D354" t="inlineStr">
        <is>
          <t>JÄMTLANDS LÄN</t>
        </is>
      </c>
      <c r="E354" t="inlineStr">
        <is>
          <t>ÖSTERSUND</t>
        </is>
      </c>
      <c r="G354" t="n">
        <v>31.5</v>
      </c>
      <c r="H354" t="n">
        <v>0</v>
      </c>
      <c r="I354" t="n">
        <v>0</v>
      </c>
      <c r="J354" t="n">
        <v>0</v>
      </c>
      <c r="K354" t="n">
        <v>0</v>
      </c>
      <c r="L354" t="n">
        <v>0</v>
      </c>
      <c r="M354" t="n">
        <v>0</v>
      </c>
      <c r="N354" t="n">
        <v>0</v>
      </c>
      <c r="O354" t="n">
        <v>0</v>
      </c>
      <c r="P354" t="n">
        <v>0</v>
      </c>
      <c r="Q354" t="n">
        <v>0</v>
      </c>
      <c r="R354" s="2" t="inlineStr"/>
    </row>
    <row r="355" ht="15" customHeight="1">
      <c r="A355" t="inlineStr">
        <is>
          <t>A 29707-2021</t>
        </is>
      </c>
      <c r="B355" s="1" t="n">
        <v>44362</v>
      </c>
      <c r="C355" s="1" t="n">
        <v>45628</v>
      </c>
      <c r="D355" t="inlineStr">
        <is>
          <t>JÄMTLANDS LÄN</t>
        </is>
      </c>
      <c r="E355" t="inlineStr">
        <is>
          <t>ÖSTERSUND</t>
        </is>
      </c>
      <c r="G355" t="n">
        <v>4</v>
      </c>
      <c r="H355" t="n">
        <v>0</v>
      </c>
      <c r="I355" t="n">
        <v>0</v>
      </c>
      <c r="J355" t="n">
        <v>0</v>
      </c>
      <c r="K355" t="n">
        <v>0</v>
      </c>
      <c r="L355" t="n">
        <v>0</v>
      </c>
      <c r="M355" t="n">
        <v>0</v>
      </c>
      <c r="N355" t="n">
        <v>0</v>
      </c>
      <c r="O355" t="n">
        <v>0</v>
      </c>
      <c r="P355" t="n">
        <v>0</v>
      </c>
      <c r="Q355" t="n">
        <v>0</v>
      </c>
      <c r="R355" s="2" t="inlineStr"/>
    </row>
    <row r="356" ht="15" customHeight="1">
      <c r="A356" t="inlineStr">
        <is>
          <t>A 31040-2021</t>
        </is>
      </c>
      <c r="B356" s="1" t="n">
        <v>44368</v>
      </c>
      <c r="C356" s="1" t="n">
        <v>45628</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32994-2021</t>
        </is>
      </c>
      <c r="B357" s="1" t="n">
        <v>44375</v>
      </c>
      <c r="C357" s="1" t="n">
        <v>45628</v>
      </c>
      <c r="D357" t="inlineStr">
        <is>
          <t>JÄMTLANDS LÄN</t>
        </is>
      </c>
      <c r="E357" t="inlineStr">
        <is>
          <t>ÖSTERSUND</t>
        </is>
      </c>
      <c r="G357" t="n">
        <v>0.1</v>
      </c>
      <c r="H357" t="n">
        <v>0</v>
      </c>
      <c r="I357" t="n">
        <v>0</v>
      </c>
      <c r="J357" t="n">
        <v>0</v>
      </c>
      <c r="K357" t="n">
        <v>0</v>
      </c>
      <c r="L357" t="n">
        <v>0</v>
      </c>
      <c r="M357" t="n">
        <v>0</v>
      </c>
      <c r="N357" t="n">
        <v>0</v>
      </c>
      <c r="O357" t="n">
        <v>0</v>
      </c>
      <c r="P357" t="n">
        <v>0</v>
      </c>
      <c r="Q357" t="n">
        <v>0</v>
      </c>
      <c r="R357" s="2" t="inlineStr"/>
    </row>
    <row r="358" ht="15" customHeight="1">
      <c r="A358" t="inlineStr">
        <is>
          <t>A 33004-2021</t>
        </is>
      </c>
      <c r="B358" s="1" t="n">
        <v>44375</v>
      </c>
      <c r="C358" s="1" t="n">
        <v>45628</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32998-2021</t>
        </is>
      </c>
      <c r="B359" s="1" t="n">
        <v>44375</v>
      </c>
      <c r="C359" s="1" t="n">
        <v>45628</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32986-2021</t>
        </is>
      </c>
      <c r="B360" s="1" t="n">
        <v>44375</v>
      </c>
      <c r="C360" s="1" t="n">
        <v>45628</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33002-2021</t>
        </is>
      </c>
      <c r="B361" s="1" t="n">
        <v>44375</v>
      </c>
      <c r="C361" s="1" t="n">
        <v>45628</v>
      </c>
      <c r="D361" t="inlineStr">
        <is>
          <t>JÄMTLANDS LÄN</t>
        </is>
      </c>
      <c r="E361" t="inlineStr">
        <is>
          <t>ÖSTERSUND</t>
        </is>
      </c>
      <c r="G361" t="n">
        <v>0.2</v>
      </c>
      <c r="H361" t="n">
        <v>0</v>
      </c>
      <c r="I361" t="n">
        <v>0</v>
      </c>
      <c r="J361" t="n">
        <v>0</v>
      </c>
      <c r="K361" t="n">
        <v>0</v>
      </c>
      <c r="L361" t="n">
        <v>0</v>
      </c>
      <c r="M361" t="n">
        <v>0</v>
      </c>
      <c r="N361" t="n">
        <v>0</v>
      </c>
      <c r="O361" t="n">
        <v>0</v>
      </c>
      <c r="P361" t="n">
        <v>0</v>
      </c>
      <c r="Q361" t="n">
        <v>0</v>
      </c>
      <c r="R361" s="2" t="inlineStr"/>
    </row>
    <row r="362" ht="15" customHeight="1">
      <c r="A362" t="inlineStr">
        <is>
          <t>A 32990-2021</t>
        </is>
      </c>
      <c r="B362" s="1" t="n">
        <v>44375</v>
      </c>
      <c r="C362" s="1" t="n">
        <v>45628</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33831-2021</t>
        </is>
      </c>
      <c r="B363" s="1" t="n">
        <v>44378</v>
      </c>
      <c r="C363" s="1" t="n">
        <v>45628</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35032-2021</t>
        </is>
      </c>
      <c r="B364" s="1" t="n">
        <v>44383</v>
      </c>
      <c r="C364" s="1" t="n">
        <v>45628</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35755-2021</t>
        </is>
      </c>
      <c r="B365" s="1" t="n">
        <v>44385</v>
      </c>
      <c r="C365" s="1" t="n">
        <v>45628</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38142-2021</t>
        </is>
      </c>
      <c r="B366" s="1" t="n">
        <v>44405</v>
      </c>
      <c r="C366" s="1" t="n">
        <v>45628</v>
      </c>
      <c r="D366" t="inlineStr">
        <is>
          <t>JÄMTLANDS LÄN</t>
        </is>
      </c>
      <c r="E366" t="inlineStr">
        <is>
          <t>ÖSTERSUND</t>
        </is>
      </c>
      <c r="G366" t="n">
        <v>1.7</v>
      </c>
      <c r="H366" t="n">
        <v>0</v>
      </c>
      <c r="I366" t="n">
        <v>0</v>
      </c>
      <c r="J366" t="n">
        <v>0</v>
      </c>
      <c r="K366" t="n">
        <v>0</v>
      </c>
      <c r="L366" t="n">
        <v>0</v>
      </c>
      <c r="M366" t="n">
        <v>0</v>
      </c>
      <c r="N366" t="n">
        <v>0</v>
      </c>
      <c r="O366" t="n">
        <v>0</v>
      </c>
      <c r="P366" t="n">
        <v>0</v>
      </c>
      <c r="Q366" t="n">
        <v>0</v>
      </c>
      <c r="R366" s="2" t="inlineStr"/>
    </row>
    <row r="367" ht="15" customHeight="1">
      <c r="A367" t="inlineStr">
        <is>
          <t>A 38647-2021</t>
        </is>
      </c>
      <c r="B367" s="1" t="n">
        <v>44410</v>
      </c>
      <c r="C367" s="1" t="n">
        <v>45628</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38644-2021</t>
        </is>
      </c>
      <c r="B368" s="1" t="n">
        <v>44410</v>
      </c>
      <c r="C368" s="1" t="n">
        <v>45628</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39735-2021</t>
        </is>
      </c>
      <c r="B369" s="1" t="n">
        <v>44414</v>
      </c>
      <c r="C369" s="1" t="n">
        <v>45628</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40038-2021</t>
        </is>
      </c>
      <c r="B370" s="1" t="n">
        <v>44418</v>
      </c>
      <c r="C370" s="1" t="n">
        <v>45628</v>
      </c>
      <c r="D370" t="inlineStr">
        <is>
          <t>JÄMTLANDS LÄN</t>
        </is>
      </c>
      <c r="E370" t="inlineStr">
        <is>
          <t>ÖSTERSUND</t>
        </is>
      </c>
      <c r="G370" t="n">
        <v>7</v>
      </c>
      <c r="H370" t="n">
        <v>0</v>
      </c>
      <c r="I370" t="n">
        <v>0</v>
      </c>
      <c r="J370" t="n">
        <v>0</v>
      </c>
      <c r="K370" t="n">
        <v>0</v>
      </c>
      <c r="L370" t="n">
        <v>0</v>
      </c>
      <c r="M370" t="n">
        <v>0</v>
      </c>
      <c r="N370" t="n">
        <v>0</v>
      </c>
      <c r="O370" t="n">
        <v>0</v>
      </c>
      <c r="P370" t="n">
        <v>0</v>
      </c>
      <c r="Q370" t="n">
        <v>0</v>
      </c>
      <c r="R370" s="2" t="inlineStr"/>
    </row>
    <row r="371" ht="15" customHeight="1">
      <c r="A371" t="inlineStr">
        <is>
          <t>A 41802-2021</t>
        </is>
      </c>
      <c r="B371" s="1" t="n">
        <v>44425</v>
      </c>
      <c r="C371" s="1" t="n">
        <v>45628</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42469-2021</t>
        </is>
      </c>
      <c r="B372" s="1" t="n">
        <v>44427</v>
      </c>
      <c r="C372" s="1" t="n">
        <v>45628</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42793-2021</t>
        </is>
      </c>
      <c r="B373" s="1" t="n">
        <v>44428</v>
      </c>
      <c r="C373" s="1" t="n">
        <v>45628</v>
      </c>
      <c r="D373" t="inlineStr">
        <is>
          <t>JÄMTLANDS LÄN</t>
        </is>
      </c>
      <c r="E373" t="inlineStr">
        <is>
          <t>ÖSTERSUND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42832-2021</t>
        </is>
      </c>
      <c r="B374" s="1" t="n">
        <v>44430</v>
      </c>
      <c r="C374" s="1" t="n">
        <v>45628</v>
      </c>
      <c r="D374" t="inlineStr">
        <is>
          <t>JÄMTLANDS LÄN</t>
        </is>
      </c>
      <c r="E374" t="inlineStr">
        <is>
          <t>ÖSTERSUND</t>
        </is>
      </c>
      <c r="G374" t="n">
        <v>9</v>
      </c>
      <c r="H374" t="n">
        <v>0</v>
      </c>
      <c r="I374" t="n">
        <v>0</v>
      </c>
      <c r="J374" t="n">
        <v>0</v>
      </c>
      <c r="K374" t="n">
        <v>0</v>
      </c>
      <c r="L374" t="n">
        <v>0</v>
      </c>
      <c r="M374" t="n">
        <v>0</v>
      </c>
      <c r="N374" t="n">
        <v>0</v>
      </c>
      <c r="O374" t="n">
        <v>0</v>
      </c>
      <c r="P374" t="n">
        <v>0</v>
      </c>
      <c r="Q374" t="n">
        <v>0</v>
      </c>
      <c r="R374" s="2" t="inlineStr"/>
    </row>
    <row r="375" ht="15" customHeight="1">
      <c r="A375" t="inlineStr">
        <is>
          <t>A 43310-2021</t>
        </is>
      </c>
      <c r="B375" s="1" t="n">
        <v>44432</v>
      </c>
      <c r="C375" s="1" t="n">
        <v>45628</v>
      </c>
      <c r="D375" t="inlineStr">
        <is>
          <t>JÄMTLANDS LÄN</t>
        </is>
      </c>
      <c r="E375" t="inlineStr">
        <is>
          <t>ÖSTERSUND</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45628</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44051-2021</t>
        </is>
      </c>
      <c r="B377" s="1" t="n">
        <v>44434</v>
      </c>
      <c r="C377" s="1" t="n">
        <v>45628</v>
      </c>
      <c r="D377" t="inlineStr">
        <is>
          <t>JÄMTLANDS LÄN</t>
        </is>
      </c>
      <c r="E377" t="inlineStr">
        <is>
          <t>ÖSTERSUND</t>
        </is>
      </c>
      <c r="G377" t="n">
        <v>2.9</v>
      </c>
      <c r="H377" t="n">
        <v>0</v>
      </c>
      <c r="I377" t="n">
        <v>0</v>
      </c>
      <c r="J377" t="n">
        <v>0</v>
      </c>
      <c r="K377" t="n">
        <v>0</v>
      </c>
      <c r="L377" t="n">
        <v>0</v>
      </c>
      <c r="M377" t="n">
        <v>0</v>
      </c>
      <c r="N377" t="n">
        <v>0</v>
      </c>
      <c r="O377" t="n">
        <v>0</v>
      </c>
      <c r="P377" t="n">
        <v>0</v>
      </c>
      <c r="Q377" t="n">
        <v>0</v>
      </c>
      <c r="R377" s="2" t="inlineStr"/>
    </row>
    <row r="378" ht="15" customHeight="1">
      <c r="A378" t="inlineStr">
        <is>
          <t>A 44267-2021</t>
        </is>
      </c>
      <c r="B378" s="1" t="n">
        <v>44434</v>
      </c>
      <c r="C378" s="1" t="n">
        <v>45628</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46002-2021</t>
        </is>
      </c>
      <c r="B379" s="1" t="n">
        <v>44441</v>
      </c>
      <c r="C379" s="1" t="n">
        <v>45628</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46004-2021</t>
        </is>
      </c>
      <c r="B380" s="1" t="n">
        <v>44441</v>
      </c>
      <c r="C380" s="1" t="n">
        <v>45628</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46111-2021</t>
        </is>
      </c>
      <c r="B381" s="1" t="n">
        <v>44441</v>
      </c>
      <c r="C381" s="1" t="n">
        <v>45628</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46139-2021</t>
        </is>
      </c>
      <c r="B382" s="1" t="n">
        <v>44441</v>
      </c>
      <c r="C382" s="1" t="n">
        <v>45628</v>
      </c>
      <c r="D382" t="inlineStr">
        <is>
          <t>JÄMTLANDS LÄN</t>
        </is>
      </c>
      <c r="E382" t="inlineStr">
        <is>
          <t>ÖSTERSUND</t>
        </is>
      </c>
      <c r="G382" t="n">
        <v>12.8</v>
      </c>
      <c r="H382" t="n">
        <v>0</v>
      </c>
      <c r="I382" t="n">
        <v>0</v>
      </c>
      <c r="J382" t="n">
        <v>0</v>
      </c>
      <c r="K382" t="n">
        <v>0</v>
      </c>
      <c r="L382" t="n">
        <v>0</v>
      </c>
      <c r="M382" t="n">
        <v>0</v>
      </c>
      <c r="N382" t="n">
        <v>0</v>
      </c>
      <c r="O382" t="n">
        <v>0</v>
      </c>
      <c r="P382" t="n">
        <v>0</v>
      </c>
      <c r="Q382" t="n">
        <v>0</v>
      </c>
      <c r="R382" s="2" t="inlineStr"/>
    </row>
    <row r="383" ht="15" customHeight="1">
      <c r="A383" t="inlineStr">
        <is>
          <t>A 48947-2021</t>
        </is>
      </c>
      <c r="B383" s="1" t="n">
        <v>44453</v>
      </c>
      <c r="C383" s="1" t="n">
        <v>45628</v>
      </c>
      <c r="D383" t="inlineStr">
        <is>
          <t>JÄMTLANDS LÄN</t>
        </is>
      </c>
      <c r="E383" t="inlineStr">
        <is>
          <t>ÖSTERSUND</t>
        </is>
      </c>
      <c r="G383" t="n">
        <v>22.3</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45628</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55302-2021</t>
        </is>
      </c>
      <c r="B385" s="1" t="n">
        <v>44475</v>
      </c>
      <c r="C385" s="1" t="n">
        <v>45628</v>
      </c>
      <c r="D385" t="inlineStr">
        <is>
          <t>JÄMTLANDS LÄN</t>
        </is>
      </c>
      <c r="E385" t="inlineStr">
        <is>
          <t>ÖSTERSUND</t>
        </is>
      </c>
      <c r="G385" t="n">
        <v>0.3</v>
      </c>
      <c r="H385" t="n">
        <v>0</v>
      </c>
      <c r="I385" t="n">
        <v>0</v>
      </c>
      <c r="J385" t="n">
        <v>0</v>
      </c>
      <c r="K385" t="n">
        <v>0</v>
      </c>
      <c r="L385" t="n">
        <v>0</v>
      </c>
      <c r="M385" t="n">
        <v>0</v>
      </c>
      <c r="N385" t="n">
        <v>0</v>
      </c>
      <c r="O385" t="n">
        <v>0</v>
      </c>
      <c r="P385" t="n">
        <v>0</v>
      </c>
      <c r="Q385" t="n">
        <v>0</v>
      </c>
      <c r="R385" s="2" t="inlineStr"/>
    </row>
    <row r="386" ht="15" customHeight="1">
      <c r="A386" t="inlineStr">
        <is>
          <t>A 61631-2021</t>
        </is>
      </c>
      <c r="B386" s="1" t="n">
        <v>44501</v>
      </c>
      <c r="C386" s="1" t="n">
        <v>45628</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64092-2021</t>
        </is>
      </c>
      <c r="B387" s="1" t="n">
        <v>44510</v>
      </c>
      <c r="C387" s="1" t="n">
        <v>45628</v>
      </c>
      <c r="D387" t="inlineStr">
        <is>
          <t>JÄMTLANDS LÄN</t>
        </is>
      </c>
      <c r="E387" t="inlineStr">
        <is>
          <t>ÖSTERSUND</t>
        </is>
      </c>
      <c r="G387" t="n">
        <v>5.6</v>
      </c>
      <c r="H387" t="n">
        <v>0</v>
      </c>
      <c r="I387" t="n">
        <v>0</v>
      </c>
      <c r="J387" t="n">
        <v>0</v>
      </c>
      <c r="K387" t="n">
        <v>0</v>
      </c>
      <c r="L387" t="n">
        <v>0</v>
      </c>
      <c r="M387" t="n">
        <v>0</v>
      </c>
      <c r="N387" t="n">
        <v>0</v>
      </c>
      <c r="O387" t="n">
        <v>0</v>
      </c>
      <c r="P387" t="n">
        <v>0</v>
      </c>
      <c r="Q387" t="n">
        <v>0</v>
      </c>
      <c r="R387" s="2" t="inlineStr"/>
    </row>
    <row r="388" ht="15" customHeight="1">
      <c r="A388" t="inlineStr">
        <is>
          <t>A 64645-2021</t>
        </is>
      </c>
      <c r="B388" s="1" t="n">
        <v>44511</v>
      </c>
      <c r="C388" s="1" t="n">
        <v>45628</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65428-2021</t>
        </is>
      </c>
      <c r="B389" s="1" t="n">
        <v>44515</v>
      </c>
      <c r="C389" s="1" t="n">
        <v>45628</v>
      </c>
      <c r="D389" t="inlineStr">
        <is>
          <t>JÄMTLANDS LÄN</t>
        </is>
      </c>
      <c r="E389" t="inlineStr">
        <is>
          <t>ÖSTERSUND</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65866-2021</t>
        </is>
      </c>
      <c r="B390" s="1" t="n">
        <v>44516</v>
      </c>
      <c r="C390" s="1" t="n">
        <v>45628</v>
      </c>
      <c r="D390" t="inlineStr">
        <is>
          <t>JÄMTLANDS LÄN</t>
        </is>
      </c>
      <c r="E390" t="inlineStr">
        <is>
          <t>ÖSTERSUND</t>
        </is>
      </c>
      <c r="G390" t="n">
        <v>2.6</v>
      </c>
      <c r="H390" t="n">
        <v>0</v>
      </c>
      <c r="I390" t="n">
        <v>0</v>
      </c>
      <c r="J390" t="n">
        <v>0</v>
      </c>
      <c r="K390" t="n">
        <v>0</v>
      </c>
      <c r="L390" t="n">
        <v>0</v>
      </c>
      <c r="M390" t="n">
        <v>0</v>
      </c>
      <c r="N390" t="n">
        <v>0</v>
      </c>
      <c r="O390" t="n">
        <v>0</v>
      </c>
      <c r="P390" t="n">
        <v>0</v>
      </c>
      <c r="Q390" t="n">
        <v>0</v>
      </c>
      <c r="R390" s="2" t="inlineStr"/>
    </row>
    <row r="391" ht="15" customHeight="1">
      <c r="A391" t="inlineStr">
        <is>
          <t>A 65991-2021</t>
        </is>
      </c>
      <c r="B391" s="1" t="n">
        <v>44517</v>
      </c>
      <c r="C391" s="1" t="n">
        <v>45628</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66940-2021</t>
        </is>
      </c>
      <c r="B392" s="1" t="n">
        <v>44522</v>
      </c>
      <c r="C392" s="1" t="n">
        <v>45628</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67695-2021</t>
        </is>
      </c>
      <c r="B393" s="1" t="n">
        <v>44524</v>
      </c>
      <c r="C393" s="1" t="n">
        <v>45628</v>
      </c>
      <c r="D393" t="inlineStr">
        <is>
          <t>JÄMTLANDS LÄN</t>
        </is>
      </c>
      <c r="E393" t="inlineStr">
        <is>
          <t>ÖSTERSUND</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67694-2021</t>
        </is>
      </c>
      <c r="B394" s="1" t="n">
        <v>44524</v>
      </c>
      <c r="C394" s="1" t="n">
        <v>45628</v>
      </c>
      <c r="D394" t="inlineStr">
        <is>
          <t>JÄMTLANDS LÄN</t>
        </is>
      </c>
      <c r="E394" t="inlineStr">
        <is>
          <t>ÖSTERSUND</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69190-2021</t>
        </is>
      </c>
      <c r="B395" s="1" t="n">
        <v>44529</v>
      </c>
      <c r="C395" s="1" t="n">
        <v>45628</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70256-2021</t>
        </is>
      </c>
      <c r="B396" s="1" t="n">
        <v>44533</v>
      </c>
      <c r="C396" s="1" t="n">
        <v>45628</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70678-2021</t>
        </is>
      </c>
      <c r="B397" s="1" t="n">
        <v>44537</v>
      </c>
      <c r="C397" s="1" t="n">
        <v>45628</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70816-2021</t>
        </is>
      </c>
      <c r="B398" s="1" t="n">
        <v>44537</v>
      </c>
      <c r="C398" s="1" t="n">
        <v>45628</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71823-2021</t>
        </is>
      </c>
      <c r="B399" s="1" t="n">
        <v>44539</v>
      </c>
      <c r="C399" s="1" t="n">
        <v>45628</v>
      </c>
      <c r="D399" t="inlineStr">
        <is>
          <t>JÄMTLANDS LÄN</t>
        </is>
      </c>
      <c r="E399" t="inlineStr">
        <is>
          <t>ÖSTERSUND</t>
        </is>
      </c>
      <c r="G399" t="n">
        <v>10.5</v>
      </c>
      <c r="H399" t="n">
        <v>0</v>
      </c>
      <c r="I399" t="n">
        <v>0</v>
      </c>
      <c r="J399" t="n">
        <v>0</v>
      </c>
      <c r="K399" t="n">
        <v>0</v>
      </c>
      <c r="L399" t="n">
        <v>0</v>
      </c>
      <c r="M399" t="n">
        <v>0</v>
      </c>
      <c r="N399" t="n">
        <v>0</v>
      </c>
      <c r="O399" t="n">
        <v>0</v>
      </c>
      <c r="P399" t="n">
        <v>0</v>
      </c>
      <c r="Q399" t="n">
        <v>0</v>
      </c>
      <c r="R399" s="2" t="inlineStr"/>
    </row>
    <row r="400" ht="15" customHeight="1">
      <c r="A400" t="inlineStr">
        <is>
          <t>A 72089-2021</t>
        </is>
      </c>
      <c r="B400" s="1" t="n">
        <v>44540</v>
      </c>
      <c r="C400" s="1" t="n">
        <v>45628</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72041-2021</t>
        </is>
      </c>
      <c r="B401" s="1" t="n">
        <v>44540</v>
      </c>
      <c r="C401" s="1" t="n">
        <v>45628</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72258-2021</t>
        </is>
      </c>
      <c r="B402" s="1" t="n">
        <v>44540</v>
      </c>
      <c r="C402" s="1" t="n">
        <v>45628</v>
      </c>
      <c r="D402" t="inlineStr">
        <is>
          <t>JÄMTLANDS LÄN</t>
        </is>
      </c>
      <c r="E402" t="inlineStr">
        <is>
          <t>ÖSTERSUND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72061-2021</t>
        </is>
      </c>
      <c r="B403" s="1" t="n">
        <v>44540</v>
      </c>
      <c r="C403" s="1" t="n">
        <v>45628</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71956-2021</t>
        </is>
      </c>
      <c r="B404" s="1" t="n">
        <v>44544</v>
      </c>
      <c r="C404" s="1" t="n">
        <v>45628</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72938-2021</t>
        </is>
      </c>
      <c r="B405" s="1" t="n">
        <v>44547</v>
      </c>
      <c r="C405" s="1" t="n">
        <v>45628</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73078-2021</t>
        </is>
      </c>
      <c r="B406" s="1" t="n">
        <v>44550</v>
      </c>
      <c r="C406" s="1" t="n">
        <v>45628</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73066-2021</t>
        </is>
      </c>
      <c r="B407" s="1" t="n">
        <v>44550</v>
      </c>
      <c r="C407" s="1" t="n">
        <v>45628</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73875-2021</t>
        </is>
      </c>
      <c r="B408" s="1" t="n">
        <v>44553</v>
      </c>
      <c r="C408" s="1" t="n">
        <v>45628</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73870-2021</t>
        </is>
      </c>
      <c r="B409" s="1" t="n">
        <v>44553</v>
      </c>
      <c r="C409" s="1" t="n">
        <v>45628</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154-2022</t>
        </is>
      </c>
      <c r="B410" s="1" t="n">
        <v>44561</v>
      </c>
      <c r="C410" s="1" t="n">
        <v>45628</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231-2022</t>
        </is>
      </c>
      <c r="B411" s="1" t="n">
        <v>44564</v>
      </c>
      <c r="C411" s="1" t="n">
        <v>45628</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681-2022</t>
        </is>
      </c>
      <c r="B412" s="1" t="n">
        <v>44566</v>
      </c>
      <c r="C412" s="1" t="n">
        <v>45628</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695-2022</t>
        </is>
      </c>
      <c r="B413" s="1" t="n">
        <v>44566</v>
      </c>
      <c r="C413" s="1" t="n">
        <v>45628</v>
      </c>
      <c r="D413" t="inlineStr">
        <is>
          <t>JÄMTLANDS LÄN</t>
        </is>
      </c>
      <c r="E413" t="inlineStr">
        <is>
          <t>ÖSTERSUND</t>
        </is>
      </c>
      <c r="G413" t="n">
        <v>14.9</v>
      </c>
      <c r="H413" t="n">
        <v>0</v>
      </c>
      <c r="I413" t="n">
        <v>0</v>
      </c>
      <c r="J413" t="n">
        <v>0</v>
      </c>
      <c r="K413" t="n">
        <v>0</v>
      </c>
      <c r="L413" t="n">
        <v>0</v>
      </c>
      <c r="M413" t="n">
        <v>0</v>
      </c>
      <c r="N413" t="n">
        <v>0</v>
      </c>
      <c r="O413" t="n">
        <v>0</v>
      </c>
      <c r="P413" t="n">
        <v>0</v>
      </c>
      <c r="Q413" t="n">
        <v>0</v>
      </c>
      <c r="R413" s="2" t="inlineStr"/>
    </row>
    <row r="414" ht="15" customHeight="1">
      <c r="A414" t="inlineStr">
        <is>
          <t>A 2431-2022</t>
        </is>
      </c>
      <c r="B414" s="1" t="n">
        <v>44579</v>
      </c>
      <c r="C414" s="1" t="n">
        <v>45628</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2763-2022</t>
        </is>
      </c>
      <c r="B415" s="1" t="n">
        <v>44580</v>
      </c>
      <c r="C415" s="1" t="n">
        <v>45628</v>
      </c>
      <c r="D415" t="inlineStr">
        <is>
          <t>JÄMTLANDS LÄN</t>
        </is>
      </c>
      <c r="E415" t="inlineStr">
        <is>
          <t>ÖSTERSUND</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2880-2022</t>
        </is>
      </c>
      <c r="B416" s="1" t="n">
        <v>44581</v>
      </c>
      <c r="C416" s="1" t="n">
        <v>45628</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3016-2022</t>
        </is>
      </c>
      <c r="B417" s="1" t="n">
        <v>44581</v>
      </c>
      <c r="C417" s="1" t="n">
        <v>45628</v>
      </c>
      <c r="D417" t="inlineStr">
        <is>
          <t>JÄMTLANDS LÄN</t>
        </is>
      </c>
      <c r="E417" t="inlineStr">
        <is>
          <t>ÖSTERSUND</t>
        </is>
      </c>
      <c r="G417" t="n">
        <v>3.3</v>
      </c>
      <c r="H417" t="n">
        <v>0</v>
      </c>
      <c r="I417" t="n">
        <v>0</v>
      </c>
      <c r="J417" t="n">
        <v>0</v>
      </c>
      <c r="K417" t="n">
        <v>0</v>
      </c>
      <c r="L417" t="n">
        <v>0</v>
      </c>
      <c r="M417" t="n">
        <v>0</v>
      </c>
      <c r="N417" t="n">
        <v>0</v>
      </c>
      <c r="O417" t="n">
        <v>0</v>
      </c>
      <c r="P417" t="n">
        <v>0</v>
      </c>
      <c r="Q417" t="n">
        <v>0</v>
      </c>
      <c r="R417" s="2" t="inlineStr"/>
    </row>
    <row r="418" ht="15" customHeight="1">
      <c r="A418" t="inlineStr">
        <is>
          <t>A 5145-2022</t>
        </is>
      </c>
      <c r="B418" s="1" t="n">
        <v>44594</v>
      </c>
      <c r="C418" s="1" t="n">
        <v>45628</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5670-2022</t>
        </is>
      </c>
      <c r="B419" s="1" t="n">
        <v>44595</v>
      </c>
      <c r="C419" s="1" t="n">
        <v>45628</v>
      </c>
      <c r="D419" t="inlineStr">
        <is>
          <t>JÄMTLANDS LÄN</t>
        </is>
      </c>
      <c r="E419" t="inlineStr">
        <is>
          <t>ÖSTERSUND</t>
        </is>
      </c>
      <c r="G419" t="n">
        <v>2.7</v>
      </c>
      <c r="H419" t="n">
        <v>0</v>
      </c>
      <c r="I419" t="n">
        <v>0</v>
      </c>
      <c r="J419" t="n">
        <v>0</v>
      </c>
      <c r="K419" t="n">
        <v>0</v>
      </c>
      <c r="L419" t="n">
        <v>0</v>
      </c>
      <c r="M419" t="n">
        <v>0</v>
      </c>
      <c r="N419" t="n">
        <v>0</v>
      </c>
      <c r="O419" t="n">
        <v>0</v>
      </c>
      <c r="P419" t="n">
        <v>0</v>
      </c>
      <c r="Q419" t="n">
        <v>0</v>
      </c>
      <c r="R419" s="2" t="inlineStr"/>
    </row>
    <row r="420" ht="15" customHeight="1">
      <c r="A420" t="inlineStr">
        <is>
          <t>A 6013-2022</t>
        </is>
      </c>
      <c r="B420" s="1" t="n">
        <v>44599</v>
      </c>
      <c r="C420" s="1" t="n">
        <v>45628</v>
      </c>
      <c r="D420" t="inlineStr">
        <is>
          <t>JÄMTLANDS LÄN</t>
        </is>
      </c>
      <c r="E420" t="inlineStr">
        <is>
          <t>ÖSTERSUND</t>
        </is>
      </c>
      <c r="G420" t="n">
        <v>2.5</v>
      </c>
      <c r="H420" t="n">
        <v>0</v>
      </c>
      <c r="I420" t="n">
        <v>0</v>
      </c>
      <c r="J420" t="n">
        <v>0</v>
      </c>
      <c r="K420" t="n">
        <v>0</v>
      </c>
      <c r="L420" t="n">
        <v>0</v>
      </c>
      <c r="M420" t="n">
        <v>0</v>
      </c>
      <c r="N420" t="n">
        <v>0</v>
      </c>
      <c r="O420" t="n">
        <v>0</v>
      </c>
      <c r="P420" t="n">
        <v>0</v>
      </c>
      <c r="Q420" t="n">
        <v>0</v>
      </c>
      <c r="R420" s="2" t="inlineStr"/>
    </row>
    <row r="421" ht="15" customHeight="1">
      <c r="A421" t="inlineStr">
        <is>
          <t>A 6458-2022</t>
        </is>
      </c>
      <c r="B421" s="1" t="n">
        <v>44601</v>
      </c>
      <c r="C421" s="1" t="n">
        <v>45628</v>
      </c>
      <c r="D421" t="inlineStr">
        <is>
          <t>JÄMTLANDS LÄN</t>
        </is>
      </c>
      <c r="E421" t="inlineStr">
        <is>
          <t>ÖSTERSUND</t>
        </is>
      </c>
      <c r="G421" t="n">
        <v>3.1</v>
      </c>
      <c r="H421" t="n">
        <v>0</v>
      </c>
      <c r="I421" t="n">
        <v>0</v>
      </c>
      <c r="J421" t="n">
        <v>0</v>
      </c>
      <c r="K421" t="n">
        <v>0</v>
      </c>
      <c r="L421" t="n">
        <v>0</v>
      </c>
      <c r="M421" t="n">
        <v>0</v>
      </c>
      <c r="N421" t="n">
        <v>0</v>
      </c>
      <c r="O421" t="n">
        <v>0</v>
      </c>
      <c r="P421" t="n">
        <v>0</v>
      </c>
      <c r="Q421" t="n">
        <v>0</v>
      </c>
      <c r="R421" s="2" t="inlineStr"/>
    </row>
    <row r="422" ht="15" customHeight="1">
      <c r="A422" t="inlineStr">
        <is>
          <t>A 7573-2022</t>
        </is>
      </c>
      <c r="B422" s="1" t="n">
        <v>44607</v>
      </c>
      <c r="C422" s="1" t="n">
        <v>45628</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8027-2022</t>
        </is>
      </c>
      <c r="B423" s="1" t="n">
        <v>44609</v>
      </c>
      <c r="C423" s="1" t="n">
        <v>45628</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8227-2022</t>
        </is>
      </c>
      <c r="B424" s="1" t="n">
        <v>44609</v>
      </c>
      <c r="C424" s="1" t="n">
        <v>45628</v>
      </c>
      <c r="D424" t="inlineStr">
        <is>
          <t>JÄMTLANDS LÄN</t>
        </is>
      </c>
      <c r="E424" t="inlineStr">
        <is>
          <t>ÖSTERSUND</t>
        </is>
      </c>
      <c r="G424" t="n">
        <v>6.6</v>
      </c>
      <c r="H424" t="n">
        <v>0</v>
      </c>
      <c r="I424" t="n">
        <v>0</v>
      </c>
      <c r="J424" t="n">
        <v>0</v>
      </c>
      <c r="K424" t="n">
        <v>0</v>
      </c>
      <c r="L424" t="n">
        <v>0</v>
      </c>
      <c r="M424" t="n">
        <v>0</v>
      </c>
      <c r="N424" t="n">
        <v>0</v>
      </c>
      <c r="O424" t="n">
        <v>0</v>
      </c>
      <c r="P424" t="n">
        <v>0</v>
      </c>
      <c r="Q424" t="n">
        <v>0</v>
      </c>
      <c r="R424" s="2" t="inlineStr"/>
    </row>
    <row r="425" ht="15" customHeight="1">
      <c r="A425" t="inlineStr">
        <is>
          <t>A 8647-2022</t>
        </is>
      </c>
      <c r="B425" s="1" t="n">
        <v>44613</v>
      </c>
      <c r="C425" s="1" t="n">
        <v>45628</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8972-2022</t>
        </is>
      </c>
      <c r="B426" s="1" t="n">
        <v>44614</v>
      </c>
      <c r="C426" s="1" t="n">
        <v>45628</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v>
      </c>
      <c r="C427" s="1" t="n">
        <v>45628</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11933-2022</t>
        </is>
      </c>
      <c r="B428" s="1" t="n">
        <v>44635</v>
      </c>
      <c r="C428" s="1" t="n">
        <v>45628</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12301-2022</t>
        </is>
      </c>
      <c r="B429" s="1" t="n">
        <v>44637</v>
      </c>
      <c r="C429" s="1" t="n">
        <v>45628</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12285-2022</t>
        </is>
      </c>
      <c r="B430" s="1" t="n">
        <v>44637</v>
      </c>
      <c r="C430" s="1" t="n">
        <v>45628</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12946-2022</t>
        </is>
      </c>
      <c r="B431" s="1" t="n">
        <v>44642</v>
      </c>
      <c r="C431" s="1" t="n">
        <v>45628</v>
      </c>
      <c r="D431" t="inlineStr">
        <is>
          <t>JÄMTLANDS LÄN</t>
        </is>
      </c>
      <c r="E431" t="inlineStr">
        <is>
          <t>ÖSTERSUND</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13024-2022</t>
        </is>
      </c>
      <c r="B432" s="1" t="n">
        <v>44643</v>
      </c>
      <c r="C432" s="1" t="n">
        <v>45628</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14653-2022</t>
        </is>
      </c>
      <c r="B433" s="1" t="n">
        <v>44655</v>
      </c>
      <c r="C433" s="1" t="n">
        <v>45628</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14657-2022</t>
        </is>
      </c>
      <c r="B434" s="1" t="n">
        <v>44655</v>
      </c>
      <c r="C434" s="1" t="n">
        <v>45628</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14658-2022</t>
        </is>
      </c>
      <c r="B435" s="1" t="n">
        <v>44655</v>
      </c>
      <c r="C435" s="1" t="n">
        <v>45628</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16025-2022</t>
        </is>
      </c>
      <c r="B436" s="1" t="n">
        <v>44665</v>
      </c>
      <c r="C436" s="1" t="n">
        <v>45628</v>
      </c>
      <c r="D436" t="inlineStr">
        <is>
          <t>JÄMTLANDS LÄN</t>
        </is>
      </c>
      <c r="E436" t="inlineStr">
        <is>
          <t>ÖSTERSUND</t>
        </is>
      </c>
      <c r="G436" t="n">
        <v>6</v>
      </c>
      <c r="H436" t="n">
        <v>0</v>
      </c>
      <c r="I436" t="n">
        <v>0</v>
      </c>
      <c r="J436" t="n">
        <v>0</v>
      </c>
      <c r="K436" t="n">
        <v>0</v>
      </c>
      <c r="L436" t="n">
        <v>0</v>
      </c>
      <c r="M436" t="n">
        <v>0</v>
      </c>
      <c r="N436" t="n">
        <v>0</v>
      </c>
      <c r="O436" t="n">
        <v>0</v>
      </c>
      <c r="P436" t="n">
        <v>0</v>
      </c>
      <c r="Q436" t="n">
        <v>0</v>
      </c>
      <c r="R436" s="2" t="inlineStr"/>
    </row>
    <row r="437" ht="15" customHeight="1">
      <c r="A437" t="inlineStr">
        <is>
          <t>A 16034-2022</t>
        </is>
      </c>
      <c r="B437" s="1" t="n">
        <v>44665</v>
      </c>
      <c r="C437" s="1" t="n">
        <v>45628</v>
      </c>
      <c r="D437" t="inlineStr">
        <is>
          <t>JÄMTLANDS LÄN</t>
        </is>
      </c>
      <c r="E437" t="inlineStr">
        <is>
          <t>ÖSTERSUND</t>
        </is>
      </c>
      <c r="G437" t="n">
        <v>5.2</v>
      </c>
      <c r="H437" t="n">
        <v>0</v>
      </c>
      <c r="I437" t="n">
        <v>0</v>
      </c>
      <c r="J437" t="n">
        <v>0</v>
      </c>
      <c r="K437" t="n">
        <v>0</v>
      </c>
      <c r="L437" t="n">
        <v>0</v>
      </c>
      <c r="M437" t="n">
        <v>0</v>
      </c>
      <c r="N437" t="n">
        <v>0</v>
      </c>
      <c r="O437" t="n">
        <v>0</v>
      </c>
      <c r="P437" t="n">
        <v>0</v>
      </c>
      <c r="Q437" t="n">
        <v>0</v>
      </c>
      <c r="R437" s="2" t="inlineStr"/>
    </row>
    <row r="438" ht="15" customHeight="1">
      <c r="A438" t="inlineStr">
        <is>
          <t>A 17574-2022</t>
        </is>
      </c>
      <c r="B438" s="1" t="n">
        <v>44680</v>
      </c>
      <c r="C438" s="1" t="n">
        <v>45628</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17732-2022</t>
        </is>
      </c>
      <c r="B439" s="1" t="n">
        <v>44681</v>
      </c>
      <c r="C439" s="1" t="n">
        <v>45628</v>
      </c>
      <c r="D439" t="inlineStr">
        <is>
          <t>JÄMTLANDS LÄN</t>
        </is>
      </c>
      <c r="E439" t="inlineStr">
        <is>
          <t>ÖSTERSUND</t>
        </is>
      </c>
      <c r="G439" t="n">
        <v>5.4</v>
      </c>
      <c r="H439" t="n">
        <v>0</v>
      </c>
      <c r="I439" t="n">
        <v>0</v>
      </c>
      <c r="J439" t="n">
        <v>0</v>
      </c>
      <c r="K439" t="n">
        <v>0</v>
      </c>
      <c r="L439" t="n">
        <v>0</v>
      </c>
      <c r="M439" t="n">
        <v>0</v>
      </c>
      <c r="N439" t="n">
        <v>0</v>
      </c>
      <c r="O439" t="n">
        <v>0</v>
      </c>
      <c r="P439" t="n">
        <v>0</v>
      </c>
      <c r="Q439" t="n">
        <v>0</v>
      </c>
      <c r="R439" s="2" t="inlineStr"/>
    </row>
    <row r="440" ht="15" customHeight="1">
      <c r="A440" t="inlineStr">
        <is>
          <t>A 17734-2022</t>
        </is>
      </c>
      <c r="B440" s="1" t="n">
        <v>44680</v>
      </c>
      <c r="C440" s="1" t="n">
        <v>45628</v>
      </c>
      <c r="D440" t="inlineStr">
        <is>
          <t>JÄMTLANDS LÄN</t>
        </is>
      </c>
      <c r="E440" t="inlineStr">
        <is>
          <t>ÖSTERSUND</t>
        </is>
      </c>
      <c r="G440" t="n">
        <v>26.4</v>
      </c>
      <c r="H440" t="n">
        <v>0</v>
      </c>
      <c r="I440" t="n">
        <v>0</v>
      </c>
      <c r="J440" t="n">
        <v>0</v>
      </c>
      <c r="K440" t="n">
        <v>0</v>
      </c>
      <c r="L440" t="n">
        <v>0</v>
      </c>
      <c r="M440" t="n">
        <v>0</v>
      </c>
      <c r="N440" t="n">
        <v>0</v>
      </c>
      <c r="O440" t="n">
        <v>0</v>
      </c>
      <c r="P440" t="n">
        <v>0</v>
      </c>
      <c r="Q440" t="n">
        <v>0</v>
      </c>
      <c r="R440" s="2" t="inlineStr"/>
    </row>
    <row r="441" ht="15" customHeight="1">
      <c r="A441" t="inlineStr">
        <is>
          <t>A 19022-2022</t>
        </is>
      </c>
      <c r="B441" s="1" t="n">
        <v>44690</v>
      </c>
      <c r="C441" s="1" t="n">
        <v>45628</v>
      </c>
      <c r="D441" t="inlineStr">
        <is>
          <t>JÄMTLANDS LÄN</t>
        </is>
      </c>
      <c r="E441" t="inlineStr">
        <is>
          <t>ÖSTERSUND</t>
        </is>
      </c>
      <c r="G441" t="n">
        <v>17.9</v>
      </c>
      <c r="H441" t="n">
        <v>0</v>
      </c>
      <c r="I441" t="n">
        <v>0</v>
      </c>
      <c r="J441" t="n">
        <v>0</v>
      </c>
      <c r="K441" t="n">
        <v>0</v>
      </c>
      <c r="L441" t="n">
        <v>0</v>
      </c>
      <c r="M441" t="n">
        <v>0</v>
      </c>
      <c r="N441" t="n">
        <v>0</v>
      </c>
      <c r="O441" t="n">
        <v>0</v>
      </c>
      <c r="P441" t="n">
        <v>0</v>
      </c>
      <c r="Q441" t="n">
        <v>0</v>
      </c>
      <c r="R441" s="2" t="inlineStr"/>
    </row>
    <row r="442" ht="15" customHeight="1">
      <c r="A442" t="inlineStr">
        <is>
          <t>A 20960-2022</t>
        </is>
      </c>
      <c r="B442" s="1" t="n">
        <v>44702</v>
      </c>
      <c r="C442" s="1" t="n">
        <v>45628</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20983-2022</t>
        </is>
      </c>
      <c r="B443" s="1" t="n">
        <v>44703</v>
      </c>
      <c r="C443" s="1" t="n">
        <v>45628</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21211-2022</t>
        </is>
      </c>
      <c r="B444" s="1" t="n">
        <v>44705</v>
      </c>
      <c r="C444" s="1" t="n">
        <v>45628</v>
      </c>
      <c r="D444" t="inlineStr">
        <is>
          <t>JÄMTLANDS LÄN</t>
        </is>
      </c>
      <c r="E444" t="inlineStr">
        <is>
          <t>ÖSTERSUND</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21495-2022</t>
        </is>
      </c>
      <c r="B445" s="1" t="n">
        <v>44706</v>
      </c>
      <c r="C445" s="1" t="n">
        <v>45628</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22083-2022</t>
        </is>
      </c>
      <c r="B446" s="1" t="n">
        <v>44711</v>
      </c>
      <c r="C446" s="1" t="n">
        <v>45628</v>
      </c>
      <c r="D446" t="inlineStr">
        <is>
          <t>JÄMTLANDS LÄN</t>
        </is>
      </c>
      <c r="E446" t="inlineStr">
        <is>
          <t>ÖSTERSUND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22085-2022</t>
        </is>
      </c>
      <c r="B447" s="1" t="n">
        <v>44711</v>
      </c>
      <c r="C447" s="1" t="n">
        <v>45628</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22084-2022</t>
        </is>
      </c>
      <c r="B448" s="1" t="n">
        <v>44711</v>
      </c>
      <c r="C448" s="1" t="n">
        <v>45628</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22082-2022</t>
        </is>
      </c>
      <c r="B449" s="1" t="n">
        <v>44712</v>
      </c>
      <c r="C449" s="1" t="n">
        <v>45628</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23555-2022</t>
        </is>
      </c>
      <c r="B450" s="1" t="n">
        <v>44721</v>
      </c>
      <c r="C450" s="1" t="n">
        <v>45628</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23563-2022</t>
        </is>
      </c>
      <c r="B451" s="1" t="n">
        <v>44721</v>
      </c>
      <c r="C451" s="1" t="n">
        <v>45628</v>
      </c>
      <c r="D451" t="inlineStr">
        <is>
          <t>JÄMTLANDS LÄN</t>
        </is>
      </c>
      <c r="E451" t="inlineStr">
        <is>
          <t>ÖSTERSUND</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23551-2022</t>
        </is>
      </c>
      <c r="B452" s="1" t="n">
        <v>44721</v>
      </c>
      <c r="C452" s="1" t="n">
        <v>45628</v>
      </c>
      <c r="D452" t="inlineStr">
        <is>
          <t>JÄMTLANDS LÄN</t>
        </is>
      </c>
      <c r="E452" t="inlineStr">
        <is>
          <t>ÖSTERSUND</t>
        </is>
      </c>
      <c r="G452" t="n">
        <v>0.3</v>
      </c>
      <c r="H452" t="n">
        <v>0</v>
      </c>
      <c r="I452" t="n">
        <v>0</v>
      </c>
      <c r="J452" t="n">
        <v>0</v>
      </c>
      <c r="K452" t="n">
        <v>0</v>
      </c>
      <c r="L452" t="n">
        <v>0</v>
      </c>
      <c r="M452" t="n">
        <v>0</v>
      </c>
      <c r="N452" t="n">
        <v>0</v>
      </c>
      <c r="O452" t="n">
        <v>0</v>
      </c>
      <c r="P452" t="n">
        <v>0</v>
      </c>
      <c r="Q452" t="n">
        <v>0</v>
      </c>
      <c r="R452" s="2" t="inlineStr"/>
    </row>
    <row r="453" ht="15" customHeight="1">
      <c r="A453" t="inlineStr">
        <is>
          <t>A 23992-2022</t>
        </is>
      </c>
      <c r="B453" s="1" t="n">
        <v>44722</v>
      </c>
      <c r="C453" s="1" t="n">
        <v>45628</v>
      </c>
      <c r="D453" t="inlineStr">
        <is>
          <t>JÄMTLANDS LÄN</t>
        </is>
      </c>
      <c r="E453" t="inlineStr">
        <is>
          <t>ÖSTERSUND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23993-2022</t>
        </is>
      </c>
      <c r="B454" s="1" t="n">
        <v>44723</v>
      </c>
      <c r="C454" s="1" t="n">
        <v>45628</v>
      </c>
      <c r="D454" t="inlineStr">
        <is>
          <t>JÄMTLANDS LÄN</t>
        </is>
      </c>
      <c r="E454" t="inlineStr">
        <is>
          <t>ÖSTERSUND</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26321-2022</t>
        </is>
      </c>
      <c r="B455" s="1" t="n">
        <v>44735</v>
      </c>
      <c r="C455" s="1" t="n">
        <v>45628</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26731-2022</t>
        </is>
      </c>
      <c r="B456" s="1" t="n">
        <v>44740</v>
      </c>
      <c r="C456" s="1" t="n">
        <v>45628</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27343-2022</t>
        </is>
      </c>
      <c r="B457" s="1" t="n">
        <v>44742</v>
      </c>
      <c r="C457" s="1" t="n">
        <v>45628</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27582-2022</t>
        </is>
      </c>
      <c r="B458" s="1" t="n">
        <v>44743</v>
      </c>
      <c r="C458" s="1" t="n">
        <v>45628</v>
      </c>
      <c r="D458" t="inlineStr">
        <is>
          <t>JÄMTLANDS LÄN</t>
        </is>
      </c>
      <c r="E458" t="inlineStr">
        <is>
          <t>ÖSTERSUND</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27575-2022</t>
        </is>
      </c>
      <c r="B459" s="1" t="n">
        <v>44742</v>
      </c>
      <c r="C459" s="1" t="n">
        <v>45628</v>
      </c>
      <c r="D459" t="inlineStr">
        <is>
          <t>JÄMTLANDS LÄN</t>
        </is>
      </c>
      <c r="E459" t="inlineStr">
        <is>
          <t>ÖSTERSUND</t>
        </is>
      </c>
      <c r="F459" t="inlineStr">
        <is>
          <t>SCA</t>
        </is>
      </c>
      <c r="G459" t="n">
        <v>2.4</v>
      </c>
      <c r="H459" t="n">
        <v>0</v>
      </c>
      <c r="I459" t="n">
        <v>0</v>
      </c>
      <c r="J459" t="n">
        <v>0</v>
      </c>
      <c r="K459" t="n">
        <v>0</v>
      </c>
      <c r="L459" t="n">
        <v>0</v>
      </c>
      <c r="M459" t="n">
        <v>0</v>
      </c>
      <c r="N459" t="n">
        <v>0</v>
      </c>
      <c r="O459" t="n">
        <v>0</v>
      </c>
      <c r="P459" t="n">
        <v>0</v>
      </c>
      <c r="Q459" t="n">
        <v>0</v>
      </c>
      <c r="R459" s="2" t="inlineStr"/>
      <c r="U459">
        <f>HYPERLINK("https://klasma.github.io/Logging_2380/knärot/A 27575-2022 karta knärot.png", "A 27575-2022")</f>
        <v/>
      </c>
      <c r="V459">
        <f>HYPERLINK("https://klasma.github.io/Logging_2380/klagomål/A 27575-2022 FSC-klagomål.docx", "A 27575-2022")</f>
        <v/>
      </c>
      <c r="W459">
        <f>HYPERLINK("https://klasma.github.io/Logging_2380/klagomålsmail/A 27575-2022 FSC-klagomål mail.docx", "A 27575-2022")</f>
        <v/>
      </c>
      <c r="X459">
        <f>HYPERLINK("https://klasma.github.io/Logging_2380/tillsyn/A 27575-2022 tillsynsbegäran.docx", "A 27575-2022")</f>
        <v/>
      </c>
      <c r="Y459">
        <f>HYPERLINK("https://klasma.github.io/Logging_2380/tillsynsmail/A 27575-2022 tillsynsbegäran mail.docx", "A 27575-2022")</f>
        <v/>
      </c>
    </row>
    <row r="460" ht="15" customHeight="1">
      <c r="A460" t="inlineStr">
        <is>
          <t>A 27581-2022</t>
        </is>
      </c>
      <c r="B460" s="1" t="n">
        <v>44742</v>
      </c>
      <c r="C460" s="1" t="n">
        <v>45628</v>
      </c>
      <c r="D460" t="inlineStr">
        <is>
          <t>JÄMTLANDS LÄN</t>
        </is>
      </c>
      <c r="E460" t="inlineStr">
        <is>
          <t>ÖSTERSUND</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45628</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29094-2022</t>
        </is>
      </c>
      <c r="B462" s="1" t="n">
        <v>44750</v>
      </c>
      <c r="C462" s="1" t="n">
        <v>45628</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29128-2022</t>
        </is>
      </c>
      <c r="B463" s="1" t="n">
        <v>44750</v>
      </c>
      <c r="C463" s="1" t="n">
        <v>45628</v>
      </c>
      <c r="D463" t="inlineStr">
        <is>
          <t>JÄMTLANDS LÄN</t>
        </is>
      </c>
      <c r="E463" t="inlineStr">
        <is>
          <t>ÖSTERSUND</t>
        </is>
      </c>
      <c r="G463" t="n">
        <v>3</v>
      </c>
      <c r="H463" t="n">
        <v>0</v>
      </c>
      <c r="I463" t="n">
        <v>0</v>
      </c>
      <c r="J463" t="n">
        <v>0</v>
      </c>
      <c r="K463" t="n">
        <v>0</v>
      </c>
      <c r="L463" t="n">
        <v>0</v>
      </c>
      <c r="M463" t="n">
        <v>0</v>
      </c>
      <c r="N463" t="n">
        <v>0</v>
      </c>
      <c r="O463" t="n">
        <v>0</v>
      </c>
      <c r="P463" t="n">
        <v>0</v>
      </c>
      <c r="Q463" t="n">
        <v>0</v>
      </c>
      <c r="R463" s="2" t="inlineStr"/>
    </row>
    <row r="464" ht="15" customHeight="1">
      <c r="A464" t="inlineStr">
        <is>
          <t>A 29829-2022</t>
        </is>
      </c>
      <c r="B464" s="1" t="n">
        <v>44755</v>
      </c>
      <c r="C464" s="1" t="n">
        <v>45628</v>
      </c>
      <c r="D464" t="inlineStr">
        <is>
          <t>JÄMTLANDS LÄN</t>
        </is>
      </c>
      <c r="E464" t="inlineStr">
        <is>
          <t>ÖSTERSUND</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29828-2022</t>
        </is>
      </c>
      <c r="B465" s="1" t="n">
        <v>44755</v>
      </c>
      <c r="C465" s="1" t="n">
        <v>45628</v>
      </c>
      <c r="D465" t="inlineStr">
        <is>
          <t>JÄMTLANDS LÄN</t>
        </is>
      </c>
      <c r="E465" t="inlineStr">
        <is>
          <t>ÖSTERSUND</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30217-2022</t>
        </is>
      </c>
      <c r="B466" s="1" t="n">
        <v>44758</v>
      </c>
      <c r="C466" s="1" t="n">
        <v>45628</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33804-2022</t>
        </is>
      </c>
      <c r="B467" s="1" t="n">
        <v>44790</v>
      </c>
      <c r="C467" s="1" t="n">
        <v>45628</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33808-2022</t>
        </is>
      </c>
      <c r="B468" s="1" t="n">
        <v>44790</v>
      </c>
      <c r="C468" s="1" t="n">
        <v>45628</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33813-2022</t>
        </is>
      </c>
      <c r="B469" s="1" t="n">
        <v>44790</v>
      </c>
      <c r="C469" s="1" t="n">
        <v>45628</v>
      </c>
      <c r="D469" t="inlineStr">
        <is>
          <t>JÄMTLANDS LÄN</t>
        </is>
      </c>
      <c r="E469" t="inlineStr">
        <is>
          <t>ÖSTERSUND</t>
        </is>
      </c>
      <c r="G469" t="n">
        <v>7.9</v>
      </c>
      <c r="H469" t="n">
        <v>0</v>
      </c>
      <c r="I469" t="n">
        <v>0</v>
      </c>
      <c r="J469" t="n">
        <v>0</v>
      </c>
      <c r="K469" t="n">
        <v>0</v>
      </c>
      <c r="L469" t="n">
        <v>0</v>
      </c>
      <c r="M469" t="n">
        <v>0</v>
      </c>
      <c r="N469" t="n">
        <v>0</v>
      </c>
      <c r="O469" t="n">
        <v>0</v>
      </c>
      <c r="P469" t="n">
        <v>0</v>
      </c>
      <c r="Q469" t="n">
        <v>0</v>
      </c>
      <c r="R469" s="2" t="inlineStr"/>
    </row>
    <row r="470" ht="15" customHeight="1">
      <c r="A470" t="inlineStr">
        <is>
          <t>A 33786-2022</t>
        </is>
      </c>
      <c r="B470" s="1" t="n">
        <v>44790</v>
      </c>
      <c r="C470" s="1" t="n">
        <v>45628</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33801-2022</t>
        </is>
      </c>
      <c r="B471" s="1" t="n">
        <v>44790</v>
      </c>
      <c r="C471" s="1" t="n">
        <v>45628</v>
      </c>
      <c r="D471" t="inlineStr">
        <is>
          <t>JÄMTLANDS LÄN</t>
        </is>
      </c>
      <c r="E471" t="inlineStr">
        <is>
          <t>ÖSTERSUND</t>
        </is>
      </c>
      <c r="G471" t="n">
        <v>7.6</v>
      </c>
      <c r="H471" t="n">
        <v>0</v>
      </c>
      <c r="I471" t="n">
        <v>0</v>
      </c>
      <c r="J471" t="n">
        <v>0</v>
      </c>
      <c r="K471" t="n">
        <v>0</v>
      </c>
      <c r="L471" t="n">
        <v>0</v>
      </c>
      <c r="M471" t="n">
        <v>0</v>
      </c>
      <c r="N471" t="n">
        <v>0</v>
      </c>
      <c r="O471" t="n">
        <v>0</v>
      </c>
      <c r="P471" t="n">
        <v>0</v>
      </c>
      <c r="Q471" t="n">
        <v>0</v>
      </c>
      <c r="R471" s="2" t="inlineStr"/>
    </row>
    <row r="472" ht="15" customHeight="1">
      <c r="A472" t="inlineStr">
        <is>
          <t>A 35556-2022</t>
        </is>
      </c>
      <c r="B472" s="1" t="n">
        <v>44799</v>
      </c>
      <c r="C472" s="1" t="n">
        <v>45628</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39828-2022</t>
        </is>
      </c>
      <c r="B473" s="1" t="n">
        <v>44817</v>
      </c>
      <c r="C473" s="1" t="n">
        <v>45628</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39928-2022</t>
        </is>
      </c>
      <c r="B474" s="1" t="n">
        <v>44819</v>
      </c>
      <c r="C474" s="1" t="n">
        <v>45628</v>
      </c>
      <c r="D474" t="inlineStr">
        <is>
          <t>JÄMTLANDS LÄN</t>
        </is>
      </c>
      <c r="E474" t="inlineStr">
        <is>
          <t>ÖSTERSUND</t>
        </is>
      </c>
      <c r="F474" t="inlineStr">
        <is>
          <t>SCA</t>
        </is>
      </c>
      <c r="G474" t="n">
        <v>8.9</v>
      </c>
      <c r="H474" t="n">
        <v>0</v>
      </c>
      <c r="I474" t="n">
        <v>0</v>
      </c>
      <c r="J474" t="n">
        <v>0</v>
      </c>
      <c r="K474" t="n">
        <v>0</v>
      </c>
      <c r="L474" t="n">
        <v>0</v>
      </c>
      <c r="M474" t="n">
        <v>0</v>
      </c>
      <c r="N474" t="n">
        <v>0</v>
      </c>
      <c r="O474" t="n">
        <v>0</v>
      </c>
      <c r="P474" t="n">
        <v>0</v>
      </c>
      <c r="Q474" t="n">
        <v>0</v>
      </c>
      <c r="R474" s="2" t="inlineStr"/>
    </row>
    <row r="475" ht="15" customHeight="1">
      <c r="A475" t="inlineStr">
        <is>
          <t>A 40885-2022</t>
        </is>
      </c>
      <c r="B475" s="1" t="n">
        <v>44820</v>
      </c>
      <c r="C475" s="1" t="n">
        <v>45628</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43511-2022</t>
        </is>
      </c>
      <c r="B476" s="1" t="n">
        <v>44837</v>
      </c>
      <c r="C476" s="1" t="n">
        <v>45628</v>
      </c>
      <c r="D476" t="inlineStr">
        <is>
          <t>JÄMTLANDS LÄN</t>
        </is>
      </c>
      <c r="E476" t="inlineStr">
        <is>
          <t>ÖSTERSUND</t>
        </is>
      </c>
      <c r="G476" t="n">
        <v>3.7</v>
      </c>
      <c r="H476" t="n">
        <v>0</v>
      </c>
      <c r="I476" t="n">
        <v>0</v>
      </c>
      <c r="J476" t="n">
        <v>0</v>
      </c>
      <c r="K476" t="n">
        <v>0</v>
      </c>
      <c r="L476" t="n">
        <v>0</v>
      </c>
      <c r="M476" t="n">
        <v>0</v>
      </c>
      <c r="N476" t="n">
        <v>0</v>
      </c>
      <c r="O476" t="n">
        <v>0</v>
      </c>
      <c r="P476" t="n">
        <v>0</v>
      </c>
      <c r="Q476" t="n">
        <v>0</v>
      </c>
      <c r="R476" s="2" t="inlineStr"/>
    </row>
    <row r="477" ht="15" customHeight="1">
      <c r="A477" t="inlineStr">
        <is>
          <t>A 43951-2022</t>
        </is>
      </c>
      <c r="B477" s="1" t="n">
        <v>44838</v>
      </c>
      <c r="C477" s="1" t="n">
        <v>45628</v>
      </c>
      <c r="D477" t="inlineStr">
        <is>
          <t>JÄMTLANDS LÄN</t>
        </is>
      </c>
      <c r="E477" t="inlineStr">
        <is>
          <t>ÖSTERSUND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44909-2022</t>
        </is>
      </c>
      <c r="B478" s="1" t="n">
        <v>44840</v>
      </c>
      <c r="C478" s="1" t="n">
        <v>45628</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45628</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45654-2022</t>
        </is>
      </c>
      <c r="B480" s="1" t="n">
        <v>44845</v>
      </c>
      <c r="C480" s="1" t="n">
        <v>45628</v>
      </c>
      <c r="D480" t="inlineStr">
        <is>
          <t>JÄMTLANDS LÄN</t>
        </is>
      </c>
      <c r="E480" t="inlineStr">
        <is>
          <t>ÖSTERSUND</t>
        </is>
      </c>
      <c r="G480" t="n">
        <v>0.4</v>
      </c>
      <c r="H480" t="n">
        <v>0</v>
      </c>
      <c r="I480" t="n">
        <v>0</v>
      </c>
      <c r="J480" t="n">
        <v>0</v>
      </c>
      <c r="K480" t="n">
        <v>0</v>
      </c>
      <c r="L480" t="n">
        <v>0</v>
      </c>
      <c r="M480" t="n">
        <v>0</v>
      </c>
      <c r="N480" t="n">
        <v>0</v>
      </c>
      <c r="O480" t="n">
        <v>0</v>
      </c>
      <c r="P480" t="n">
        <v>0</v>
      </c>
      <c r="Q480" t="n">
        <v>0</v>
      </c>
      <c r="R480" s="2" t="inlineStr"/>
    </row>
    <row r="481" ht="15" customHeight="1">
      <c r="A481" t="inlineStr">
        <is>
          <t>A 46913-2022</t>
        </is>
      </c>
      <c r="B481" s="1" t="n">
        <v>44851</v>
      </c>
      <c r="C481" s="1" t="n">
        <v>45628</v>
      </c>
      <c r="D481" t="inlineStr">
        <is>
          <t>JÄMTLANDS LÄN</t>
        </is>
      </c>
      <c r="E481" t="inlineStr">
        <is>
          <t>ÖSTERSUND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47296-2022</t>
        </is>
      </c>
      <c r="B482" s="1" t="n">
        <v>44853</v>
      </c>
      <c r="C482" s="1" t="n">
        <v>45628</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47294-2022</t>
        </is>
      </c>
      <c r="B483" s="1" t="n">
        <v>44852</v>
      </c>
      <c r="C483" s="1" t="n">
        <v>45628</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47295-2022</t>
        </is>
      </c>
      <c r="B484" s="1" t="n">
        <v>44852</v>
      </c>
      <c r="C484" s="1" t="n">
        <v>45628</v>
      </c>
      <c r="D484" t="inlineStr">
        <is>
          <t>JÄMTLANDS LÄN</t>
        </is>
      </c>
      <c r="E484" t="inlineStr">
        <is>
          <t>ÖSTERSUND</t>
        </is>
      </c>
      <c r="G484" t="n">
        <v>1.1</v>
      </c>
      <c r="H484" t="n">
        <v>0</v>
      </c>
      <c r="I484" t="n">
        <v>0</v>
      </c>
      <c r="J484" t="n">
        <v>0</v>
      </c>
      <c r="K484" t="n">
        <v>0</v>
      </c>
      <c r="L484" t="n">
        <v>0</v>
      </c>
      <c r="M484" t="n">
        <v>0</v>
      </c>
      <c r="N484" t="n">
        <v>0</v>
      </c>
      <c r="O484" t="n">
        <v>0</v>
      </c>
      <c r="P484" t="n">
        <v>0</v>
      </c>
      <c r="Q484" t="n">
        <v>0</v>
      </c>
      <c r="R484" s="2" t="inlineStr"/>
    </row>
    <row r="485" ht="15" customHeight="1">
      <c r="A485" t="inlineStr">
        <is>
          <t>A 49389-2022</t>
        </is>
      </c>
      <c r="B485" s="1" t="n">
        <v>44861</v>
      </c>
      <c r="C485" s="1" t="n">
        <v>45628</v>
      </c>
      <c r="D485" t="inlineStr">
        <is>
          <t>JÄMTLANDS LÄN</t>
        </is>
      </c>
      <c r="E485" t="inlineStr">
        <is>
          <t>ÖSTERSUND</t>
        </is>
      </c>
      <c r="F485" t="inlineStr">
        <is>
          <t>Övriga Aktiebolag</t>
        </is>
      </c>
      <c r="G485" t="n">
        <v>19.2</v>
      </c>
      <c r="H485" t="n">
        <v>0</v>
      </c>
      <c r="I485" t="n">
        <v>0</v>
      </c>
      <c r="J485" t="n">
        <v>0</v>
      </c>
      <c r="K485" t="n">
        <v>0</v>
      </c>
      <c r="L485" t="n">
        <v>0</v>
      </c>
      <c r="M485" t="n">
        <v>0</v>
      </c>
      <c r="N485" t="n">
        <v>0</v>
      </c>
      <c r="O485" t="n">
        <v>0</v>
      </c>
      <c r="P485" t="n">
        <v>0</v>
      </c>
      <c r="Q485" t="n">
        <v>0</v>
      </c>
      <c r="R485" s="2" t="inlineStr"/>
    </row>
    <row r="486" ht="15" customHeight="1">
      <c r="A486" t="inlineStr">
        <is>
          <t>A 50932-2022</t>
        </is>
      </c>
      <c r="B486" s="1" t="n">
        <v>44867</v>
      </c>
      <c r="C486" s="1" t="n">
        <v>45628</v>
      </c>
      <c r="D486" t="inlineStr">
        <is>
          <t>JÄMTLANDS LÄN</t>
        </is>
      </c>
      <c r="E486" t="inlineStr">
        <is>
          <t>ÖSTERSUND</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51164-2022</t>
        </is>
      </c>
      <c r="B487" s="1" t="n">
        <v>44868</v>
      </c>
      <c r="C487" s="1" t="n">
        <v>45628</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52155-2022</t>
        </is>
      </c>
      <c r="B488" s="1" t="n">
        <v>44873</v>
      </c>
      <c r="C488" s="1" t="n">
        <v>45628</v>
      </c>
      <c r="D488" t="inlineStr">
        <is>
          <t>JÄMTLANDS LÄN</t>
        </is>
      </c>
      <c r="E488" t="inlineStr">
        <is>
          <t>ÖSTERSUND</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52898-2022</t>
        </is>
      </c>
      <c r="B489" s="1" t="n">
        <v>44875</v>
      </c>
      <c r="C489" s="1" t="n">
        <v>45628</v>
      </c>
      <c r="D489" t="inlineStr">
        <is>
          <t>JÄMTLANDS LÄN</t>
        </is>
      </c>
      <c r="E489" t="inlineStr">
        <is>
          <t>ÖSTERSUND</t>
        </is>
      </c>
      <c r="F489" t="inlineStr">
        <is>
          <t>Övriga Aktiebolag</t>
        </is>
      </c>
      <c r="G489" t="n">
        <v>12.1</v>
      </c>
      <c r="H489" t="n">
        <v>0</v>
      </c>
      <c r="I489" t="n">
        <v>0</v>
      </c>
      <c r="J489" t="n">
        <v>0</v>
      </c>
      <c r="K489" t="n">
        <v>0</v>
      </c>
      <c r="L489" t="n">
        <v>0</v>
      </c>
      <c r="M489" t="n">
        <v>0</v>
      </c>
      <c r="N489" t="n">
        <v>0</v>
      </c>
      <c r="O489" t="n">
        <v>0</v>
      </c>
      <c r="P489" t="n">
        <v>0</v>
      </c>
      <c r="Q489" t="n">
        <v>0</v>
      </c>
      <c r="R489" s="2" t="inlineStr"/>
    </row>
    <row r="490" ht="15" customHeight="1">
      <c r="A490" t="inlineStr">
        <is>
          <t>A 53802-2022</t>
        </is>
      </c>
      <c r="B490" s="1" t="n">
        <v>44875</v>
      </c>
      <c r="C490" s="1" t="n">
        <v>45628</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53764-2022</t>
        </is>
      </c>
      <c r="B491" s="1" t="n">
        <v>44875</v>
      </c>
      <c r="C491" s="1" t="n">
        <v>45628</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53807-2022</t>
        </is>
      </c>
      <c r="B492" s="1" t="n">
        <v>44875</v>
      </c>
      <c r="C492" s="1" t="n">
        <v>45628</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53453-2022</t>
        </is>
      </c>
      <c r="B493" s="1" t="n">
        <v>44879</v>
      </c>
      <c r="C493" s="1" t="n">
        <v>45628</v>
      </c>
      <c r="D493" t="inlineStr">
        <is>
          <t>JÄMTLANDS LÄN</t>
        </is>
      </c>
      <c r="E493" t="inlineStr">
        <is>
          <t>ÖSTERSUND</t>
        </is>
      </c>
      <c r="G493" t="n">
        <v>22.2</v>
      </c>
      <c r="H493" t="n">
        <v>0</v>
      </c>
      <c r="I493" t="n">
        <v>0</v>
      </c>
      <c r="J493" t="n">
        <v>0</v>
      </c>
      <c r="K493" t="n">
        <v>0</v>
      </c>
      <c r="L493" t="n">
        <v>0</v>
      </c>
      <c r="M493" t="n">
        <v>0</v>
      </c>
      <c r="N493" t="n">
        <v>0</v>
      </c>
      <c r="O493" t="n">
        <v>0</v>
      </c>
      <c r="P493" t="n">
        <v>0</v>
      </c>
      <c r="Q493" t="n">
        <v>0</v>
      </c>
      <c r="R493" s="2" t="inlineStr"/>
    </row>
    <row r="494" ht="15" customHeight="1">
      <c r="A494" t="inlineStr">
        <is>
          <t>A 53556-2022</t>
        </is>
      </c>
      <c r="B494" s="1" t="n">
        <v>44879</v>
      </c>
      <c r="C494" s="1" t="n">
        <v>45628</v>
      </c>
      <c r="D494" t="inlineStr">
        <is>
          <t>JÄMTLANDS LÄN</t>
        </is>
      </c>
      <c r="E494" t="inlineStr">
        <is>
          <t>ÖSTERSUND</t>
        </is>
      </c>
      <c r="F494" t="inlineStr">
        <is>
          <t>Övriga Aktiebolag</t>
        </is>
      </c>
      <c r="G494" t="n">
        <v>3.5</v>
      </c>
      <c r="H494" t="n">
        <v>0</v>
      </c>
      <c r="I494" t="n">
        <v>0</v>
      </c>
      <c r="J494" t="n">
        <v>0</v>
      </c>
      <c r="K494" t="n">
        <v>0</v>
      </c>
      <c r="L494" t="n">
        <v>0</v>
      </c>
      <c r="M494" t="n">
        <v>0</v>
      </c>
      <c r="N494" t="n">
        <v>0</v>
      </c>
      <c r="O494" t="n">
        <v>0</v>
      </c>
      <c r="P494" t="n">
        <v>0</v>
      </c>
      <c r="Q494" t="n">
        <v>0</v>
      </c>
      <c r="R494" s="2" t="inlineStr"/>
    </row>
    <row r="495" ht="15" customHeight="1">
      <c r="A495" t="inlineStr">
        <is>
          <t>A 53714-2022</t>
        </is>
      </c>
      <c r="B495" s="1" t="n">
        <v>44880</v>
      </c>
      <c r="C495" s="1" t="n">
        <v>45628</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54712-2022</t>
        </is>
      </c>
      <c r="B496" s="1" t="n">
        <v>44883</v>
      </c>
      <c r="C496" s="1" t="n">
        <v>45628</v>
      </c>
      <c r="D496" t="inlineStr">
        <is>
          <t>JÄMTLANDS LÄN</t>
        </is>
      </c>
      <c r="E496" t="inlineStr">
        <is>
          <t>ÖSTERSUND</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54663-2022</t>
        </is>
      </c>
      <c r="B497" s="1" t="n">
        <v>44883</v>
      </c>
      <c r="C497" s="1" t="n">
        <v>45628</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55102-2022</t>
        </is>
      </c>
      <c r="B498" s="1" t="n">
        <v>44886</v>
      </c>
      <c r="C498" s="1" t="n">
        <v>45628</v>
      </c>
      <c r="D498" t="inlineStr">
        <is>
          <t>JÄMTLANDS LÄN</t>
        </is>
      </c>
      <c r="E498" t="inlineStr">
        <is>
          <t>ÖSTERSUND</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55008-2022</t>
        </is>
      </c>
      <c r="B499" s="1" t="n">
        <v>44886</v>
      </c>
      <c r="C499" s="1" t="n">
        <v>45628</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55105-2022</t>
        </is>
      </c>
      <c r="B500" s="1" t="n">
        <v>44886</v>
      </c>
      <c r="C500" s="1" t="n">
        <v>45628</v>
      </c>
      <c r="D500" t="inlineStr">
        <is>
          <t>JÄMTLANDS LÄN</t>
        </is>
      </c>
      <c r="E500" t="inlineStr">
        <is>
          <t>ÖSTERSUND</t>
        </is>
      </c>
      <c r="F500" t="inlineStr">
        <is>
          <t>Övriga Aktiebolag</t>
        </is>
      </c>
      <c r="G500" t="n">
        <v>2.4</v>
      </c>
      <c r="H500" t="n">
        <v>0</v>
      </c>
      <c r="I500" t="n">
        <v>0</v>
      </c>
      <c r="J500" t="n">
        <v>0</v>
      </c>
      <c r="K500" t="n">
        <v>0</v>
      </c>
      <c r="L500" t="n">
        <v>0</v>
      </c>
      <c r="M500" t="n">
        <v>0</v>
      </c>
      <c r="N500" t="n">
        <v>0</v>
      </c>
      <c r="O500" t="n">
        <v>0</v>
      </c>
      <c r="P500" t="n">
        <v>0</v>
      </c>
      <c r="Q500" t="n">
        <v>0</v>
      </c>
      <c r="R500" s="2" t="inlineStr"/>
      <c r="U500">
        <f>HYPERLINK("https://klasma.github.io/Logging_2380/knärot/A 55105-2022 karta knärot.png", "A 55105-2022")</f>
        <v/>
      </c>
      <c r="V500">
        <f>HYPERLINK("https://klasma.github.io/Logging_2380/klagomål/A 55105-2022 FSC-klagomål.docx", "A 55105-2022")</f>
        <v/>
      </c>
      <c r="W500">
        <f>HYPERLINK("https://klasma.github.io/Logging_2380/klagomålsmail/A 55105-2022 FSC-klagomål mail.docx", "A 55105-2022")</f>
        <v/>
      </c>
      <c r="X500">
        <f>HYPERLINK("https://klasma.github.io/Logging_2380/tillsyn/A 55105-2022 tillsynsbegäran.docx", "A 55105-2022")</f>
        <v/>
      </c>
      <c r="Y500">
        <f>HYPERLINK("https://klasma.github.io/Logging_2380/tillsynsmail/A 55105-2022 tillsynsbegäran mail.docx", "A 55105-2022")</f>
        <v/>
      </c>
    </row>
    <row r="501" ht="15" customHeight="1">
      <c r="A501" t="inlineStr">
        <is>
          <t>A 55371-2022</t>
        </is>
      </c>
      <c r="B501" s="1" t="n">
        <v>44887</v>
      </c>
      <c r="C501" s="1" t="n">
        <v>45628</v>
      </c>
      <c r="D501" t="inlineStr">
        <is>
          <t>JÄMTLANDS LÄN</t>
        </is>
      </c>
      <c r="E501" t="inlineStr">
        <is>
          <t>ÖSTERSUND</t>
        </is>
      </c>
      <c r="F501" t="inlineStr">
        <is>
          <t>Övriga Aktiebolag</t>
        </is>
      </c>
      <c r="G501" t="n">
        <v>15.4</v>
      </c>
      <c r="H501" t="n">
        <v>0</v>
      </c>
      <c r="I501" t="n">
        <v>0</v>
      </c>
      <c r="J501" t="n">
        <v>0</v>
      </c>
      <c r="K501" t="n">
        <v>0</v>
      </c>
      <c r="L501" t="n">
        <v>0</v>
      </c>
      <c r="M501" t="n">
        <v>0</v>
      </c>
      <c r="N501" t="n">
        <v>0</v>
      </c>
      <c r="O501" t="n">
        <v>0</v>
      </c>
      <c r="P501" t="n">
        <v>0</v>
      </c>
      <c r="Q501" t="n">
        <v>0</v>
      </c>
      <c r="R501" s="2" t="inlineStr"/>
    </row>
    <row r="502" ht="15" customHeight="1">
      <c r="A502" t="inlineStr">
        <is>
          <t>A 55448-2022</t>
        </is>
      </c>
      <c r="B502" s="1" t="n">
        <v>44887</v>
      </c>
      <c r="C502" s="1" t="n">
        <v>45628</v>
      </c>
      <c r="D502" t="inlineStr">
        <is>
          <t>JÄMTLANDS LÄN</t>
        </is>
      </c>
      <c r="E502" t="inlineStr">
        <is>
          <t>ÖSTERSUND</t>
        </is>
      </c>
      <c r="G502" t="n">
        <v>5.2</v>
      </c>
      <c r="H502" t="n">
        <v>0</v>
      </c>
      <c r="I502" t="n">
        <v>0</v>
      </c>
      <c r="J502" t="n">
        <v>0</v>
      </c>
      <c r="K502" t="n">
        <v>0</v>
      </c>
      <c r="L502" t="n">
        <v>0</v>
      </c>
      <c r="M502" t="n">
        <v>0</v>
      </c>
      <c r="N502" t="n">
        <v>0</v>
      </c>
      <c r="O502" t="n">
        <v>0</v>
      </c>
      <c r="P502" t="n">
        <v>0</v>
      </c>
      <c r="Q502" t="n">
        <v>0</v>
      </c>
      <c r="R502" s="2" t="inlineStr"/>
    </row>
    <row r="503" ht="15" customHeight="1">
      <c r="A503" t="inlineStr">
        <is>
          <t>A 56067-2022</t>
        </is>
      </c>
      <c r="B503" s="1" t="n">
        <v>44889</v>
      </c>
      <c r="C503" s="1" t="n">
        <v>45628</v>
      </c>
      <c r="D503" t="inlineStr">
        <is>
          <t>JÄMTLANDS LÄN</t>
        </is>
      </c>
      <c r="E503" t="inlineStr">
        <is>
          <t>ÖSTERSUND</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56148-2022</t>
        </is>
      </c>
      <c r="B504" s="1" t="n">
        <v>44889</v>
      </c>
      <c r="C504" s="1" t="n">
        <v>45628</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56111-2022</t>
        </is>
      </c>
      <c r="B505" s="1" t="n">
        <v>44889</v>
      </c>
      <c r="C505" s="1" t="n">
        <v>45628</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57009-2022</t>
        </is>
      </c>
      <c r="B506" s="1" t="n">
        <v>44894</v>
      </c>
      <c r="C506" s="1" t="n">
        <v>45628</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59266-2022</t>
        </is>
      </c>
      <c r="B507" s="1" t="n">
        <v>44904</v>
      </c>
      <c r="C507" s="1" t="n">
        <v>45628</v>
      </c>
      <c r="D507" t="inlineStr">
        <is>
          <t>JÄMTLANDS LÄN</t>
        </is>
      </c>
      <c r="E507" t="inlineStr">
        <is>
          <t>ÖSTERSUND</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59648-2022</t>
        </is>
      </c>
      <c r="B508" s="1" t="n">
        <v>44907</v>
      </c>
      <c r="C508" s="1" t="n">
        <v>45628</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59649-2022</t>
        </is>
      </c>
      <c r="B509" s="1" t="n">
        <v>44908</v>
      </c>
      <c r="C509" s="1" t="n">
        <v>45628</v>
      </c>
      <c r="D509" t="inlineStr">
        <is>
          <t>JÄMTLANDS LÄN</t>
        </is>
      </c>
      <c r="E509" t="inlineStr">
        <is>
          <t>ÖSTERSUND</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60174-2022</t>
        </is>
      </c>
      <c r="B510" s="1" t="n">
        <v>44910</v>
      </c>
      <c r="C510" s="1" t="n">
        <v>45628</v>
      </c>
      <c r="D510" t="inlineStr">
        <is>
          <t>JÄMTLANDS LÄN</t>
        </is>
      </c>
      <c r="E510" t="inlineStr">
        <is>
          <t>ÖSTERSUND</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61256-2022</t>
        </is>
      </c>
      <c r="B511" s="1" t="n">
        <v>44909</v>
      </c>
      <c r="C511" s="1" t="n">
        <v>45628</v>
      </c>
      <c r="D511" t="inlineStr">
        <is>
          <t>JÄMTLANDS LÄN</t>
        </is>
      </c>
      <c r="E511" t="inlineStr">
        <is>
          <t>ÖSTERSUND</t>
        </is>
      </c>
      <c r="G511" t="n">
        <v>3.9</v>
      </c>
      <c r="H511" t="n">
        <v>0</v>
      </c>
      <c r="I511" t="n">
        <v>0</v>
      </c>
      <c r="J511" t="n">
        <v>0</v>
      </c>
      <c r="K511" t="n">
        <v>0</v>
      </c>
      <c r="L511" t="n">
        <v>0</v>
      </c>
      <c r="M511" t="n">
        <v>0</v>
      </c>
      <c r="N511" t="n">
        <v>0</v>
      </c>
      <c r="O511" t="n">
        <v>0</v>
      </c>
      <c r="P511" t="n">
        <v>0</v>
      </c>
      <c r="Q511" t="n">
        <v>0</v>
      </c>
      <c r="R511" s="2" t="inlineStr"/>
    </row>
    <row r="512" ht="15" customHeight="1">
      <c r="A512" t="inlineStr">
        <is>
          <t>A 60430-2022</t>
        </is>
      </c>
      <c r="B512" s="1" t="n">
        <v>44911</v>
      </c>
      <c r="C512" s="1" t="n">
        <v>45628</v>
      </c>
      <c r="D512" t="inlineStr">
        <is>
          <t>JÄMTLANDS LÄN</t>
        </is>
      </c>
      <c r="E512" t="inlineStr">
        <is>
          <t>ÖSTERSUND</t>
        </is>
      </c>
      <c r="F512" t="inlineStr">
        <is>
          <t>Övriga Aktiebolag</t>
        </is>
      </c>
      <c r="G512" t="n">
        <v>24.2</v>
      </c>
      <c r="H512" t="n">
        <v>0</v>
      </c>
      <c r="I512" t="n">
        <v>0</v>
      </c>
      <c r="J512" t="n">
        <v>0</v>
      </c>
      <c r="K512" t="n">
        <v>0</v>
      </c>
      <c r="L512" t="n">
        <v>0</v>
      </c>
      <c r="M512" t="n">
        <v>0</v>
      </c>
      <c r="N512" t="n">
        <v>0</v>
      </c>
      <c r="O512" t="n">
        <v>0</v>
      </c>
      <c r="P512" t="n">
        <v>0</v>
      </c>
      <c r="Q512" t="n">
        <v>0</v>
      </c>
      <c r="R512" s="2" t="inlineStr"/>
    </row>
    <row r="513" ht="15" customHeight="1">
      <c r="A513" t="inlineStr">
        <is>
          <t>A 60575-2022</t>
        </is>
      </c>
      <c r="B513" s="1" t="n">
        <v>44911</v>
      </c>
      <c r="C513" s="1" t="n">
        <v>45628</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60674-2022</t>
        </is>
      </c>
      <c r="B514" s="1" t="n">
        <v>44911</v>
      </c>
      <c r="C514" s="1" t="n">
        <v>45628</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60677-2022</t>
        </is>
      </c>
      <c r="B515" s="1" t="n">
        <v>44911</v>
      </c>
      <c r="C515" s="1" t="n">
        <v>45628</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60681-2022</t>
        </is>
      </c>
      <c r="B516" s="1" t="n">
        <v>44911</v>
      </c>
      <c r="C516" s="1" t="n">
        <v>45628</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60678-2022</t>
        </is>
      </c>
      <c r="B517" s="1" t="n">
        <v>44911</v>
      </c>
      <c r="C517" s="1" t="n">
        <v>45628</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60560-2022</t>
        </is>
      </c>
      <c r="B518" s="1" t="n">
        <v>44911</v>
      </c>
      <c r="C518" s="1" t="n">
        <v>45628</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60676-2022</t>
        </is>
      </c>
      <c r="B519" s="1" t="n">
        <v>44911</v>
      </c>
      <c r="C519" s="1" t="n">
        <v>45628</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60680-2022</t>
        </is>
      </c>
      <c r="B520" s="1" t="n">
        <v>44911</v>
      </c>
      <c r="C520" s="1" t="n">
        <v>45628</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60623-2022</t>
        </is>
      </c>
      <c r="B521" s="1" t="n">
        <v>44911</v>
      </c>
      <c r="C521" s="1" t="n">
        <v>45628</v>
      </c>
      <c r="D521" t="inlineStr">
        <is>
          <t>JÄMTLANDS LÄN</t>
        </is>
      </c>
      <c r="E521" t="inlineStr">
        <is>
          <t>ÖSTERSUND</t>
        </is>
      </c>
      <c r="G521" t="n">
        <v>10.9</v>
      </c>
      <c r="H521" t="n">
        <v>0</v>
      </c>
      <c r="I521" t="n">
        <v>0</v>
      </c>
      <c r="J521" t="n">
        <v>0</v>
      </c>
      <c r="K521" t="n">
        <v>0</v>
      </c>
      <c r="L521" t="n">
        <v>0</v>
      </c>
      <c r="M521" t="n">
        <v>0</v>
      </c>
      <c r="N521" t="n">
        <v>0</v>
      </c>
      <c r="O521" t="n">
        <v>0</v>
      </c>
      <c r="P521" t="n">
        <v>0</v>
      </c>
      <c r="Q521" t="n">
        <v>0</v>
      </c>
      <c r="R521" s="2" t="inlineStr"/>
    </row>
    <row r="522" ht="15" customHeight="1">
      <c r="A522" t="inlineStr">
        <is>
          <t>A 60675-2022</t>
        </is>
      </c>
      <c r="B522" s="1" t="n">
        <v>44911</v>
      </c>
      <c r="C522" s="1" t="n">
        <v>45628</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60679-2022</t>
        </is>
      </c>
      <c r="B523" s="1" t="n">
        <v>44911</v>
      </c>
      <c r="C523" s="1" t="n">
        <v>45628</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60767-2022</t>
        </is>
      </c>
      <c r="B524" s="1" t="n">
        <v>44914</v>
      </c>
      <c r="C524" s="1" t="n">
        <v>45628</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61653-2022</t>
        </is>
      </c>
      <c r="B525" s="1" t="n">
        <v>44916</v>
      </c>
      <c r="C525" s="1" t="n">
        <v>45628</v>
      </c>
      <c r="D525" t="inlineStr">
        <is>
          <t>JÄMTLANDS LÄN</t>
        </is>
      </c>
      <c r="E525" t="inlineStr">
        <is>
          <t>ÖSTERSUND</t>
        </is>
      </c>
      <c r="G525" t="n">
        <v>7.6</v>
      </c>
      <c r="H525" t="n">
        <v>0</v>
      </c>
      <c r="I525" t="n">
        <v>0</v>
      </c>
      <c r="J525" t="n">
        <v>0</v>
      </c>
      <c r="K525" t="n">
        <v>0</v>
      </c>
      <c r="L525" t="n">
        <v>0</v>
      </c>
      <c r="M525" t="n">
        <v>0</v>
      </c>
      <c r="N525" t="n">
        <v>0</v>
      </c>
      <c r="O525" t="n">
        <v>0</v>
      </c>
      <c r="P525" t="n">
        <v>0</v>
      </c>
      <c r="Q525" t="n">
        <v>0</v>
      </c>
      <c r="R525" s="2" t="inlineStr"/>
    </row>
    <row r="526" ht="15" customHeight="1">
      <c r="A526" t="inlineStr">
        <is>
          <t>A 62040-2022</t>
        </is>
      </c>
      <c r="B526" s="1" t="n">
        <v>44918</v>
      </c>
      <c r="C526" s="1" t="n">
        <v>45628</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62043-2022</t>
        </is>
      </c>
      <c r="B527" s="1" t="n">
        <v>44918</v>
      </c>
      <c r="C527" s="1" t="n">
        <v>45628</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62227-2022</t>
        </is>
      </c>
      <c r="B528" s="1" t="n">
        <v>44922</v>
      </c>
      <c r="C528" s="1" t="n">
        <v>45628</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62225-2022</t>
        </is>
      </c>
      <c r="B529" s="1" t="n">
        <v>44922</v>
      </c>
      <c r="C529" s="1" t="n">
        <v>45628</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62222-2022</t>
        </is>
      </c>
      <c r="B530" s="1" t="n">
        <v>44922</v>
      </c>
      <c r="C530" s="1" t="n">
        <v>45628</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296-2023</t>
        </is>
      </c>
      <c r="B531" s="1" t="n">
        <v>44922</v>
      </c>
      <c r="C531" s="1" t="n">
        <v>45628</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12-2023</t>
        </is>
      </c>
      <c r="B532" s="1" t="n">
        <v>44927</v>
      </c>
      <c r="C532" s="1" t="n">
        <v>45628</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257-2023</t>
        </is>
      </c>
      <c r="B533" s="1" t="n">
        <v>44928</v>
      </c>
      <c r="C533" s="1" t="n">
        <v>45628</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55-2023</t>
        </is>
      </c>
      <c r="B534" s="1" t="n">
        <v>44928</v>
      </c>
      <c r="C534" s="1" t="n">
        <v>45628</v>
      </c>
      <c r="D534" t="inlineStr">
        <is>
          <t>JÄMTLANDS LÄN</t>
        </is>
      </c>
      <c r="E534" t="inlineStr">
        <is>
          <t>ÖSTERSUND</t>
        </is>
      </c>
      <c r="G534" t="n">
        <v>4</v>
      </c>
      <c r="H534" t="n">
        <v>0</v>
      </c>
      <c r="I534" t="n">
        <v>0</v>
      </c>
      <c r="J534" t="n">
        <v>0</v>
      </c>
      <c r="K534" t="n">
        <v>0</v>
      </c>
      <c r="L534" t="n">
        <v>0</v>
      </c>
      <c r="M534" t="n">
        <v>0</v>
      </c>
      <c r="N534" t="n">
        <v>0</v>
      </c>
      <c r="O534" t="n">
        <v>0</v>
      </c>
      <c r="P534" t="n">
        <v>0</v>
      </c>
      <c r="Q534" t="n">
        <v>0</v>
      </c>
      <c r="R534" s="2" t="inlineStr"/>
    </row>
    <row r="535" ht="15" customHeight="1">
      <c r="A535" t="inlineStr">
        <is>
          <t>A 1234-2023</t>
        </is>
      </c>
      <c r="B535" s="1" t="n">
        <v>44936</v>
      </c>
      <c r="C535" s="1" t="n">
        <v>45628</v>
      </c>
      <c r="D535" t="inlineStr">
        <is>
          <t>JÄMTLANDS LÄN</t>
        </is>
      </c>
      <c r="E535" t="inlineStr">
        <is>
          <t>ÖSTERSUND</t>
        </is>
      </c>
      <c r="G535" t="n">
        <v>2.3</v>
      </c>
      <c r="H535" t="n">
        <v>0</v>
      </c>
      <c r="I535" t="n">
        <v>0</v>
      </c>
      <c r="J535" t="n">
        <v>0</v>
      </c>
      <c r="K535" t="n">
        <v>0</v>
      </c>
      <c r="L535" t="n">
        <v>0</v>
      </c>
      <c r="M535" t="n">
        <v>0</v>
      </c>
      <c r="N535" t="n">
        <v>0</v>
      </c>
      <c r="O535" t="n">
        <v>0</v>
      </c>
      <c r="P535" t="n">
        <v>0</v>
      </c>
      <c r="Q535" t="n">
        <v>0</v>
      </c>
      <c r="R535" s="2" t="inlineStr"/>
    </row>
    <row r="536" ht="15" customHeight="1">
      <c r="A536" t="inlineStr">
        <is>
          <t>A 1893-2023</t>
        </is>
      </c>
      <c r="B536" s="1" t="n">
        <v>44937</v>
      </c>
      <c r="C536" s="1" t="n">
        <v>45628</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2420-2023</t>
        </is>
      </c>
      <c r="B537" s="1" t="n">
        <v>44943</v>
      </c>
      <c r="C537" s="1" t="n">
        <v>45628</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3339-2023</t>
        </is>
      </c>
      <c r="B538" s="1" t="n">
        <v>44949</v>
      </c>
      <c r="C538" s="1" t="n">
        <v>45628</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3749-2023</t>
        </is>
      </c>
      <c r="B539" s="1" t="n">
        <v>44949</v>
      </c>
      <c r="C539" s="1" t="n">
        <v>45628</v>
      </c>
      <c r="D539" t="inlineStr">
        <is>
          <t>JÄMTLANDS LÄN</t>
        </is>
      </c>
      <c r="E539" t="inlineStr">
        <is>
          <t>ÖSTERSUND</t>
        </is>
      </c>
      <c r="G539" t="n">
        <v>0.2</v>
      </c>
      <c r="H539" t="n">
        <v>0</v>
      </c>
      <c r="I539" t="n">
        <v>0</v>
      </c>
      <c r="J539" t="n">
        <v>0</v>
      </c>
      <c r="K539" t="n">
        <v>0</v>
      </c>
      <c r="L539" t="n">
        <v>0</v>
      </c>
      <c r="M539" t="n">
        <v>0</v>
      </c>
      <c r="N539" t="n">
        <v>0</v>
      </c>
      <c r="O539" t="n">
        <v>0</v>
      </c>
      <c r="P539" t="n">
        <v>0</v>
      </c>
      <c r="Q539" t="n">
        <v>0</v>
      </c>
      <c r="R539" s="2" t="inlineStr"/>
    </row>
    <row r="540" ht="15" customHeight="1">
      <c r="A540" t="inlineStr">
        <is>
          <t>A 3949-2023</t>
        </is>
      </c>
      <c r="B540" s="1" t="n">
        <v>44950</v>
      </c>
      <c r="C540" s="1" t="n">
        <v>45628</v>
      </c>
      <c r="D540" t="inlineStr">
        <is>
          <t>JÄMTLANDS LÄN</t>
        </is>
      </c>
      <c r="E540" t="inlineStr">
        <is>
          <t>ÖSTERSUND</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4134-2023</t>
        </is>
      </c>
      <c r="B541" s="1" t="n">
        <v>44952</v>
      </c>
      <c r="C541" s="1" t="n">
        <v>45628</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45628</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4136-2023</t>
        </is>
      </c>
      <c r="B543" s="1" t="n">
        <v>44952</v>
      </c>
      <c r="C543" s="1" t="n">
        <v>45628</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4345-2023</t>
        </is>
      </c>
      <c r="B544" s="1" t="n">
        <v>44954</v>
      </c>
      <c r="C544" s="1" t="n">
        <v>45628</v>
      </c>
      <c r="D544" t="inlineStr">
        <is>
          <t>JÄMTLANDS LÄN</t>
        </is>
      </c>
      <c r="E544" t="inlineStr">
        <is>
          <t>ÖSTERSUND</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5197-2023</t>
        </is>
      </c>
      <c r="B545" s="1" t="n">
        <v>44953</v>
      </c>
      <c r="C545" s="1" t="n">
        <v>45628</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4872-2023</t>
        </is>
      </c>
      <c r="B546" s="1" t="n">
        <v>44957</v>
      </c>
      <c r="C546" s="1" t="n">
        <v>45628</v>
      </c>
      <c r="D546" t="inlineStr">
        <is>
          <t>JÄMTLANDS LÄN</t>
        </is>
      </c>
      <c r="E546" t="inlineStr">
        <is>
          <t>ÖSTERSUND</t>
        </is>
      </c>
      <c r="G546" t="n">
        <v>10.7</v>
      </c>
      <c r="H546" t="n">
        <v>0</v>
      </c>
      <c r="I546" t="n">
        <v>0</v>
      </c>
      <c r="J546" t="n">
        <v>0</v>
      </c>
      <c r="K546" t="n">
        <v>0</v>
      </c>
      <c r="L546" t="n">
        <v>0</v>
      </c>
      <c r="M546" t="n">
        <v>0</v>
      </c>
      <c r="N546" t="n">
        <v>0</v>
      </c>
      <c r="O546" t="n">
        <v>0</v>
      </c>
      <c r="P546" t="n">
        <v>0</v>
      </c>
      <c r="Q546" t="n">
        <v>0</v>
      </c>
      <c r="R546" s="2" t="inlineStr"/>
    </row>
    <row r="547" ht="15" customHeight="1">
      <c r="A547" t="inlineStr">
        <is>
          <t>A 5951-2023</t>
        </is>
      </c>
      <c r="B547" s="1" t="n">
        <v>44963</v>
      </c>
      <c r="C547" s="1" t="n">
        <v>45628</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5950-2023</t>
        </is>
      </c>
      <c r="B548" s="1" t="n">
        <v>44963</v>
      </c>
      <c r="C548" s="1" t="n">
        <v>45628</v>
      </c>
      <c r="D548" t="inlineStr">
        <is>
          <t>JÄMTLANDS LÄN</t>
        </is>
      </c>
      <c r="E548" t="inlineStr">
        <is>
          <t>ÖSTERSUND</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6341-2023</t>
        </is>
      </c>
      <c r="B549" s="1" t="n">
        <v>44965</v>
      </c>
      <c r="C549" s="1" t="n">
        <v>45628</v>
      </c>
      <c r="D549" t="inlineStr">
        <is>
          <t>JÄMTLANDS LÄN</t>
        </is>
      </c>
      <c r="E549" t="inlineStr">
        <is>
          <t>ÖSTERSUND</t>
        </is>
      </c>
      <c r="G549" t="n">
        <v>6</v>
      </c>
      <c r="H549" t="n">
        <v>0</v>
      </c>
      <c r="I549" t="n">
        <v>0</v>
      </c>
      <c r="J549" t="n">
        <v>0</v>
      </c>
      <c r="K549" t="n">
        <v>0</v>
      </c>
      <c r="L549" t="n">
        <v>0</v>
      </c>
      <c r="M549" t="n">
        <v>0</v>
      </c>
      <c r="N549" t="n">
        <v>0</v>
      </c>
      <c r="O549" t="n">
        <v>0</v>
      </c>
      <c r="P549" t="n">
        <v>0</v>
      </c>
      <c r="Q549" t="n">
        <v>0</v>
      </c>
      <c r="R549" s="2" t="inlineStr"/>
    </row>
    <row r="550" ht="15" customHeight="1">
      <c r="A550" t="inlineStr">
        <is>
          <t>A 7327-2023</t>
        </is>
      </c>
      <c r="B550" s="1" t="n">
        <v>44971</v>
      </c>
      <c r="C550" s="1" t="n">
        <v>45628</v>
      </c>
      <c r="D550" t="inlineStr">
        <is>
          <t>JÄMTLANDS LÄN</t>
        </is>
      </c>
      <c r="E550" t="inlineStr">
        <is>
          <t>ÖSTERSUND</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7983-2023</t>
        </is>
      </c>
      <c r="B551" s="1" t="n">
        <v>44970</v>
      </c>
      <c r="C551" s="1" t="n">
        <v>45628</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8223-2023</t>
        </is>
      </c>
      <c r="B552" s="1" t="n">
        <v>44971</v>
      </c>
      <c r="C552" s="1" t="n">
        <v>45628</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8423-2023</t>
        </is>
      </c>
      <c r="B553" s="1" t="n">
        <v>44977</v>
      </c>
      <c r="C553" s="1" t="n">
        <v>45628</v>
      </c>
      <c r="D553" t="inlineStr">
        <is>
          <t>JÄMTLANDS LÄN</t>
        </is>
      </c>
      <c r="E553" t="inlineStr">
        <is>
          <t>ÖSTERSUND</t>
        </is>
      </c>
      <c r="F553" t="inlineStr">
        <is>
          <t>Övriga Aktiebolag</t>
        </is>
      </c>
      <c r="G553" t="n">
        <v>53.1</v>
      </c>
      <c r="H553" t="n">
        <v>0</v>
      </c>
      <c r="I553" t="n">
        <v>0</v>
      </c>
      <c r="J553" t="n">
        <v>0</v>
      </c>
      <c r="K553" t="n">
        <v>0</v>
      </c>
      <c r="L553" t="n">
        <v>0</v>
      </c>
      <c r="M553" t="n">
        <v>0</v>
      </c>
      <c r="N553" t="n">
        <v>0</v>
      </c>
      <c r="O553" t="n">
        <v>0</v>
      </c>
      <c r="P553" t="n">
        <v>0</v>
      </c>
      <c r="Q553" t="n">
        <v>0</v>
      </c>
      <c r="R553" s="2" t="inlineStr"/>
    </row>
    <row r="554" ht="15" customHeight="1">
      <c r="A554" t="inlineStr">
        <is>
          <t>A 8675-2023</t>
        </is>
      </c>
      <c r="B554" s="1" t="n">
        <v>44978</v>
      </c>
      <c r="C554" s="1" t="n">
        <v>45628</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10306-2023</t>
        </is>
      </c>
      <c r="B555" s="1" t="n">
        <v>44986</v>
      </c>
      <c r="C555" s="1" t="n">
        <v>45628</v>
      </c>
      <c r="D555" t="inlineStr">
        <is>
          <t>JÄMTLANDS LÄN</t>
        </is>
      </c>
      <c r="E555" t="inlineStr">
        <is>
          <t>ÖSTERSUND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10308-2023</t>
        </is>
      </c>
      <c r="B556" s="1" t="n">
        <v>44986</v>
      </c>
      <c r="C556" s="1" t="n">
        <v>45628</v>
      </c>
      <c r="D556" t="inlineStr">
        <is>
          <t>JÄMTLANDS LÄN</t>
        </is>
      </c>
      <c r="E556" t="inlineStr">
        <is>
          <t>ÖSTERSUND</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10307-2023</t>
        </is>
      </c>
      <c r="B557" s="1" t="n">
        <v>44986</v>
      </c>
      <c r="C557" s="1" t="n">
        <v>45628</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10315-2023</t>
        </is>
      </c>
      <c r="B558" s="1" t="n">
        <v>44986</v>
      </c>
      <c r="C558" s="1" t="n">
        <v>45628</v>
      </c>
      <c r="D558" t="inlineStr">
        <is>
          <t>JÄMTLANDS LÄN</t>
        </is>
      </c>
      <c r="E558" t="inlineStr">
        <is>
          <t>ÖSTERSUND</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10305-2023</t>
        </is>
      </c>
      <c r="B559" s="1" t="n">
        <v>44986</v>
      </c>
      <c r="C559" s="1" t="n">
        <v>45628</v>
      </c>
      <c r="D559" t="inlineStr">
        <is>
          <t>JÄMTLANDS LÄN</t>
        </is>
      </c>
      <c r="E559" t="inlineStr">
        <is>
          <t>ÖSTERSUND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11356-2023</t>
        </is>
      </c>
      <c r="B560" s="1" t="n">
        <v>44993</v>
      </c>
      <c r="C560" s="1" t="n">
        <v>45628</v>
      </c>
      <c r="D560" t="inlineStr">
        <is>
          <t>JÄMTLANDS LÄN</t>
        </is>
      </c>
      <c r="E560" t="inlineStr">
        <is>
          <t>ÖSTERSUND</t>
        </is>
      </c>
      <c r="G560" t="n">
        <v>8.1</v>
      </c>
      <c r="H560" t="n">
        <v>0</v>
      </c>
      <c r="I560" t="n">
        <v>0</v>
      </c>
      <c r="J560" t="n">
        <v>0</v>
      </c>
      <c r="K560" t="n">
        <v>0</v>
      </c>
      <c r="L560" t="n">
        <v>0</v>
      </c>
      <c r="M560" t="n">
        <v>0</v>
      </c>
      <c r="N560" t="n">
        <v>0</v>
      </c>
      <c r="O560" t="n">
        <v>0</v>
      </c>
      <c r="P560" t="n">
        <v>0</v>
      </c>
      <c r="Q560" t="n">
        <v>0</v>
      </c>
      <c r="R560" s="2" t="inlineStr"/>
    </row>
    <row r="561" ht="15" customHeight="1">
      <c r="A561" t="inlineStr">
        <is>
          <t>A 12821-2023</t>
        </is>
      </c>
      <c r="B561" s="1" t="n">
        <v>45000</v>
      </c>
      <c r="C561" s="1" t="n">
        <v>45628</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13166-2023</t>
        </is>
      </c>
      <c r="B562" s="1" t="n">
        <v>45002</v>
      </c>
      <c r="C562" s="1" t="n">
        <v>45628</v>
      </c>
      <c r="D562" t="inlineStr">
        <is>
          <t>JÄMTLANDS LÄN</t>
        </is>
      </c>
      <c r="E562" t="inlineStr">
        <is>
          <t>ÖSTERSUND</t>
        </is>
      </c>
      <c r="F562" t="inlineStr">
        <is>
          <t>Övriga statliga verk och myndigheter</t>
        </is>
      </c>
      <c r="G562" t="n">
        <v>1</v>
      </c>
      <c r="H562" t="n">
        <v>0</v>
      </c>
      <c r="I562" t="n">
        <v>0</v>
      </c>
      <c r="J562" t="n">
        <v>0</v>
      </c>
      <c r="K562" t="n">
        <v>0</v>
      </c>
      <c r="L562" t="n">
        <v>0</v>
      </c>
      <c r="M562" t="n">
        <v>0</v>
      </c>
      <c r="N562" t="n">
        <v>0</v>
      </c>
      <c r="O562" t="n">
        <v>0</v>
      </c>
      <c r="P562" t="n">
        <v>0</v>
      </c>
      <c r="Q562" t="n">
        <v>0</v>
      </c>
      <c r="R562" s="2" t="inlineStr"/>
    </row>
    <row r="563" ht="15" customHeight="1">
      <c r="A563" t="inlineStr">
        <is>
          <t>A 13148-2023</t>
        </is>
      </c>
      <c r="B563" s="1" t="n">
        <v>45002</v>
      </c>
      <c r="C563" s="1" t="n">
        <v>45628</v>
      </c>
      <c r="D563" t="inlineStr">
        <is>
          <t>JÄMTLANDS LÄN</t>
        </is>
      </c>
      <c r="E563" t="inlineStr">
        <is>
          <t>ÖSTERSUND</t>
        </is>
      </c>
      <c r="G563" t="n">
        <v>1.8</v>
      </c>
      <c r="H563" t="n">
        <v>0</v>
      </c>
      <c r="I563" t="n">
        <v>0</v>
      </c>
      <c r="J563" t="n">
        <v>0</v>
      </c>
      <c r="K563" t="n">
        <v>0</v>
      </c>
      <c r="L563" t="n">
        <v>0</v>
      </c>
      <c r="M563" t="n">
        <v>0</v>
      </c>
      <c r="N563" t="n">
        <v>0</v>
      </c>
      <c r="O563" t="n">
        <v>0</v>
      </c>
      <c r="P563" t="n">
        <v>0</v>
      </c>
      <c r="Q563" t="n">
        <v>0</v>
      </c>
      <c r="R563" s="2" t="inlineStr"/>
    </row>
    <row r="564" ht="15" customHeight="1">
      <c r="A564" t="inlineStr">
        <is>
          <t>A 13152-2023</t>
        </is>
      </c>
      <c r="B564" s="1" t="n">
        <v>45002</v>
      </c>
      <c r="C564" s="1" t="n">
        <v>45628</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13282-2023</t>
        </is>
      </c>
      <c r="B565" s="1" t="n">
        <v>45004</v>
      </c>
      <c r="C565" s="1" t="n">
        <v>45628</v>
      </c>
      <c r="D565" t="inlineStr">
        <is>
          <t>JÄMTLANDS LÄN</t>
        </is>
      </c>
      <c r="E565" t="inlineStr">
        <is>
          <t>ÖSTERSUND</t>
        </is>
      </c>
      <c r="G565" t="n">
        <v>28.5</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45628</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14520-2023</t>
        </is>
      </c>
      <c r="B567" s="1" t="n">
        <v>45012</v>
      </c>
      <c r="C567" s="1" t="n">
        <v>45628</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14523-2023</t>
        </is>
      </c>
      <c r="B568" s="1" t="n">
        <v>45012</v>
      </c>
      <c r="C568" s="1" t="n">
        <v>45628</v>
      </c>
      <c r="D568" t="inlineStr">
        <is>
          <t>JÄMTLANDS LÄN</t>
        </is>
      </c>
      <c r="E568" t="inlineStr">
        <is>
          <t>ÖSTERSUND</t>
        </is>
      </c>
      <c r="G568" t="n">
        <v>4.5</v>
      </c>
      <c r="H568" t="n">
        <v>0</v>
      </c>
      <c r="I568" t="n">
        <v>0</v>
      </c>
      <c r="J568" t="n">
        <v>0</v>
      </c>
      <c r="K568" t="n">
        <v>0</v>
      </c>
      <c r="L568" t="n">
        <v>0</v>
      </c>
      <c r="M568" t="n">
        <v>0</v>
      </c>
      <c r="N568" t="n">
        <v>0</v>
      </c>
      <c r="O568" t="n">
        <v>0</v>
      </c>
      <c r="P568" t="n">
        <v>0</v>
      </c>
      <c r="Q568" t="n">
        <v>0</v>
      </c>
      <c r="R568" s="2" t="inlineStr"/>
    </row>
    <row r="569" ht="15" customHeight="1">
      <c r="A569" t="inlineStr">
        <is>
          <t>A 14521-2023</t>
        </is>
      </c>
      <c r="B569" s="1" t="n">
        <v>45013</v>
      </c>
      <c r="C569" s="1" t="n">
        <v>45628</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14518-2023</t>
        </is>
      </c>
      <c r="B570" s="1" t="n">
        <v>45012</v>
      </c>
      <c r="C570" s="1" t="n">
        <v>45628</v>
      </c>
      <c r="D570" t="inlineStr">
        <is>
          <t>JÄMTLANDS LÄN</t>
        </is>
      </c>
      <c r="E570" t="inlineStr">
        <is>
          <t>ÖSTERSUND</t>
        </is>
      </c>
      <c r="G570" t="n">
        <v>14.4</v>
      </c>
      <c r="H570" t="n">
        <v>0</v>
      </c>
      <c r="I570" t="n">
        <v>0</v>
      </c>
      <c r="J570" t="n">
        <v>0</v>
      </c>
      <c r="K570" t="n">
        <v>0</v>
      </c>
      <c r="L570" t="n">
        <v>0</v>
      </c>
      <c r="M570" t="n">
        <v>0</v>
      </c>
      <c r="N570" t="n">
        <v>0</v>
      </c>
      <c r="O570" t="n">
        <v>0</v>
      </c>
      <c r="P570" t="n">
        <v>0</v>
      </c>
      <c r="Q570" t="n">
        <v>0</v>
      </c>
      <c r="R570" s="2" t="inlineStr"/>
    </row>
    <row r="571" ht="15" customHeight="1">
      <c r="A571" t="inlineStr">
        <is>
          <t>A 15984-2023</t>
        </is>
      </c>
      <c r="B571" s="1" t="n">
        <v>45022</v>
      </c>
      <c r="C571" s="1" t="n">
        <v>45628</v>
      </c>
      <c r="D571" t="inlineStr">
        <is>
          <t>JÄMTLANDS LÄN</t>
        </is>
      </c>
      <c r="E571" t="inlineStr">
        <is>
          <t>ÖSTERSUND</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16666-2023</t>
        </is>
      </c>
      <c r="B572" s="1" t="n">
        <v>45028</v>
      </c>
      <c r="C572" s="1" t="n">
        <v>45628</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16682-2023</t>
        </is>
      </c>
      <c r="B573" s="1" t="n">
        <v>45028</v>
      </c>
      <c r="C573" s="1" t="n">
        <v>45628</v>
      </c>
      <c r="D573" t="inlineStr">
        <is>
          <t>JÄMTLANDS LÄN</t>
        </is>
      </c>
      <c r="E573" t="inlineStr">
        <is>
          <t>ÖSTERSUND</t>
        </is>
      </c>
      <c r="G573" t="n">
        <v>7.9</v>
      </c>
      <c r="H573" t="n">
        <v>0</v>
      </c>
      <c r="I573" t="n">
        <v>0</v>
      </c>
      <c r="J573" t="n">
        <v>0</v>
      </c>
      <c r="K573" t="n">
        <v>0</v>
      </c>
      <c r="L573" t="n">
        <v>0</v>
      </c>
      <c r="M573" t="n">
        <v>0</v>
      </c>
      <c r="N573" t="n">
        <v>0</v>
      </c>
      <c r="O573" t="n">
        <v>0</v>
      </c>
      <c r="P573" t="n">
        <v>0</v>
      </c>
      <c r="Q573" t="n">
        <v>0</v>
      </c>
      <c r="R573" s="2" t="inlineStr"/>
    </row>
    <row r="574" ht="15" customHeight="1">
      <c r="A574" t="inlineStr">
        <is>
          <t>A 17225-2023</t>
        </is>
      </c>
      <c r="B574" s="1" t="n">
        <v>45035</v>
      </c>
      <c r="C574" s="1" t="n">
        <v>45628</v>
      </c>
      <c r="D574" t="inlineStr">
        <is>
          <t>JÄMTLANDS LÄN</t>
        </is>
      </c>
      <c r="E574" t="inlineStr">
        <is>
          <t>ÖSTERSUND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19573-2023</t>
        </is>
      </c>
      <c r="B575" s="1" t="n">
        <v>45049</v>
      </c>
      <c r="C575" s="1" t="n">
        <v>45628</v>
      </c>
      <c r="D575" t="inlineStr">
        <is>
          <t>JÄMTLANDS LÄN</t>
        </is>
      </c>
      <c r="E575" t="inlineStr">
        <is>
          <t>ÖSTERSUND</t>
        </is>
      </c>
      <c r="G575" t="n">
        <v>4.6</v>
      </c>
      <c r="H575" t="n">
        <v>0</v>
      </c>
      <c r="I575" t="n">
        <v>0</v>
      </c>
      <c r="J575" t="n">
        <v>0</v>
      </c>
      <c r="K575" t="n">
        <v>0</v>
      </c>
      <c r="L575" t="n">
        <v>0</v>
      </c>
      <c r="M575" t="n">
        <v>0</v>
      </c>
      <c r="N575" t="n">
        <v>0</v>
      </c>
      <c r="O575" t="n">
        <v>0</v>
      </c>
      <c r="P575" t="n">
        <v>0</v>
      </c>
      <c r="Q575" t="n">
        <v>0</v>
      </c>
      <c r="R575" s="2" t="inlineStr"/>
    </row>
    <row r="576" ht="15" customHeight="1">
      <c r="A576" t="inlineStr">
        <is>
          <t>A 19750-2023</t>
        </is>
      </c>
      <c r="B576" s="1" t="n">
        <v>45050</v>
      </c>
      <c r="C576" s="1" t="n">
        <v>45628</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20606-2023</t>
        </is>
      </c>
      <c r="B577" s="1" t="n">
        <v>45057</v>
      </c>
      <c r="C577" s="1" t="n">
        <v>45628</v>
      </c>
      <c r="D577" t="inlineStr">
        <is>
          <t>JÄMTLANDS LÄN</t>
        </is>
      </c>
      <c r="E577" t="inlineStr">
        <is>
          <t>ÖSTERSUND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20634-2023</t>
        </is>
      </c>
      <c r="B578" s="1" t="n">
        <v>45058</v>
      </c>
      <c r="C578" s="1" t="n">
        <v>45628</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20588-2023</t>
        </is>
      </c>
      <c r="B579" s="1" t="n">
        <v>45057</v>
      </c>
      <c r="C579" s="1" t="n">
        <v>45628</v>
      </c>
      <c r="D579" t="inlineStr">
        <is>
          <t>JÄMTLANDS LÄN</t>
        </is>
      </c>
      <c r="E579" t="inlineStr">
        <is>
          <t>ÖSTERSUND</t>
        </is>
      </c>
      <c r="G579" t="n">
        <v>0.9</v>
      </c>
      <c r="H579" t="n">
        <v>0</v>
      </c>
      <c r="I579" t="n">
        <v>0</v>
      </c>
      <c r="J579" t="n">
        <v>0</v>
      </c>
      <c r="K579" t="n">
        <v>0</v>
      </c>
      <c r="L579" t="n">
        <v>0</v>
      </c>
      <c r="M579" t="n">
        <v>0</v>
      </c>
      <c r="N579" t="n">
        <v>0</v>
      </c>
      <c r="O579" t="n">
        <v>0</v>
      </c>
      <c r="P579" t="n">
        <v>0</v>
      </c>
      <c r="Q579" t="n">
        <v>0</v>
      </c>
      <c r="R579" s="2" t="inlineStr"/>
    </row>
    <row r="580" ht="15" customHeight="1">
      <c r="A580" t="inlineStr">
        <is>
          <t>A 20635-2023</t>
        </is>
      </c>
      <c r="B580" s="1" t="n">
        <v>45058</v>
      </c>
      <c r="C580" s="1" t="n">
        <v>45628</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20633-2023</t>
        </is>
      </c>
      <c r="B581" s="1" t="n">
        <v>45058</v>
      </c>
      <c r="C581" s="1" t="n">
        <v>45628</v>
      </c>
      <c r="D581" t="inlineStr">
        <is>
          <t>JÄMTLANDS LÄN</t>
        </is>
      </c>
      <c r="E581" t="inlineStr">
        <is>
          <t>ÖSTERSUND</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20636-2023</t>
        </is>
      </c>
      <c r="B582" s="1" t="n">
        <v>45058</v>
      </c>
      <c r="C582" s="1" t="n">
        <v>45628</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24515-2023</t>
        </is>
      </c>
      <c r="B583" s="1" t="n">
        <v>45077</v>
      </c>
      <c r="C583" s="1" t="n">
        <v>45628</v>
      </c>
      <c r="D583" t="inlineStr">
        <is>
          <t>JÄMTLANDS LÄN</t>
        </is>
      </c>
      <c r="E583" t="inlineStr">
        <is>
          <t>ÖSTERSUND</t>
        </is>
      </c>
      <c r="G583" t="n">
        <v>27.8</v>
      </c>
      <c r="H583" t="n">
        <v>0</v>
      </c>
      <c r="I583" t="n">
        <v>0</v>
      </c>
      <c r="J583" t="n">
        <v>0</v>
      </c>
      <c r="K583" t="n">
        <v>0</v>
      </c>
      <c r="L583" t="n">
        <v>0</v>
      </c>
      <c r="M583" t="n">
        <v>0</v>
      </c>
      <c r="N583" t="n">
        <v>0</v>
      </c>
      <c r="O583" t="n">
        <v>0</v>
      </c>
      <c r="P583" t="n">
        <v>0</v>
      </c>
      <c r="Q583" t="n">
        <v>0</v>
      </c>
      <c r="R583" s="2" t="inlineStr"/>
    </row>
    <row r="584" ht="15" customHeight="1">
      <c r="A584" t="inlineStr">
        <is>
          <t>A 24396-2023</t>
        </is>
      </c>
      <c r="B584" s="1" t="n">
        <v>45082</v>
      </c>
      <c r="C584" s="1" t="n">
        <v>45628</v>
      </c>
      <c r="D584" t="inlineStr">
        <is>
          <t>JÄMTLANDS LÄN</t>
        </is>
      </c>
      <c r="E584" t="inlineStr">
        <is>
          <t>ÖSTERSUND</t>
        </is>
      </c>
      <c r="F584" t="inlineStr">
        <is>
          <t>Kyrkan</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25727-2023</t>
        </is>
      </c>
      <c r="B585" s="1" t="n">
        <v>45084</v>
      </c>
      <c r="C585" s="1" t="n">
        <v>45628</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25866-2023</t>
        </is>
      </c>
      <c r="B586" s="1" t="n">
        <v>45084</v>
      </c>
      <c r="C586" s="1" t="n">
        <v>45628</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25496-2023</t>
        </is>
      </c>
      <c r="B587" s="1" t="n">
        <v>45089</v>
      </c>
      <c r="C587" s="1" t="n">
        <v>45628</v>
      </c>
      <c r="D587" t="inlineStr">
        <is>
          <t>JÄMTLANDS LÄN</t>
        </is>
      </c>
      <c r="E587" t="inlineStr">
        <is>
          <t>ÖSTERSUND</t>
        </is>
      </c>
      <c r="F587" t="inlineStr">
        <is>
          <t>Kyrkan</t>
        </is>
      </c>
      <c r="G587" t="n">
        <v>5.7</v>
      </c>
      <c r="H587" t="n">
        <v>0</v>
      </c>
      <c r="I587" t="n">
        <v>0</v>
      </c>
      <c r="J587" t="n">
        <v>0</v>
      </c>
      <c r="K587" t="n">
        <v>0</v>
      </c>
      <c r="L587" t="n">
        <v>0</v>
      </c>
      <c r="M587" t="n">
        <v>0</v>
      </c>
      <c r="N587" t="n">
        <v>0</v>
      </c>
      <c r="O587" t="n">
        <v>0</v>
      </c>
      <c r="P587" t="n">
        <v>0</v>
      </c>
      <c r="Q587" t="n">
        <v>0</v>
      </c>
      <c r="R587" s="2" t="inlineStr"/>
    </row>
    <row r="588" ht="15" customHeight="1">
      <c r="A588" t="inlineStr">
        <is>
          <t>A 25535-2023</t>
        </is>
      </c>
      <c r="B588" s="1" t="n">
        <v>45089</v>
      </c>
      <c r="C588" s="1" t="n">
        <v>45628</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25514-2023</t>
        </is>
      </c>
      <c r="B589" s="1" t="n">
        <v>45089</v>
      </c>
      <c r="C589" s="1" t="n">
        <v>45628</v>
      </c>
      <c r="D589" t="inlineStr">
        <is>
          <t>JÄMTLANDS LÄN</t>
        </is>
      </c>
      <c r="E589" t="inlineStr">
        <is>
          <t>ÖSTERSUND</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26565-2023</t>
        </is>
      </c>
      <c r="B590" s="1" t="n">
        <v>45089</v>
      </c>
      <c r="C590" s="1" t="n">
        <v>45628</v>
      </c>
      <c r="D590" t="inlineStr">
        <is>
          <t>JÄMTLANDS LÄN</t>
        </is>
      </c>
      <c r="E590" t="inlineStr">
        <is>
          <t>ÖSTERSUND</t>
        </is>
      </c>
      <c r="G590" t="n">
        <v>5.2</v>
      </c>
      <c r="H590" t="n">
        <v>0</v>
      </c>
      <c r="I590" t="n">
        <v>0</v>
      </c>
      <c r="J590" t="n">
        <v>0</v>
      </c>
      <c r="K590" t="n">
        <v>0</v>
      </c>
      <c r="L590" t="n">
        <v>0</v>
      </c>
      <c r="M590" t="n">
        <v>0</v>
      </c>
      <c r="N590" t="n">
        <v>0</v>
      </c>
      <c r="O590" t="n">
        <v>0</v>
      </c>
      <c r="P590" t="n">
        <v>0</v>
      </c>
      <c r="Q590" t="n">
        <v>0</v>
      </c>
      <c r="R590" s="2" t="inlineStr"/>
    </row>
    <row r="591" ht="15" customHeight="1">
      <c r="A591" t="inlineStr">
        <is>
          <t>A 26521-2023</t>
        </is>
      </c>
      <c r="B591" s="1" t="n">
        <v>45089</v>
      </c>
      <c r="C591" s="1" t="n">
        <v>45628</v>
      </c>
      <c r="D591" t="inlineStr">
        <is>
          <t>JÄMTLANDS LÄN</t>
        </is>
      </c>
      <c r="E591" t="inlineStr">
        <is>
          <t>ÖSTERSUND</t>
        </is>
      </c>
      <c r="G591" t="n">
        <v>11.7</v>
      </c>
      <c r="H591" t="n">
        <v>0</v>
      </c>
      <c r="I591" t="n">
        <v>0</v>
      </c>
      <c r="J591" t="n">
        <v>0</v>
      </c>
      <c r="K591" t="n">
        <v>0</v>
      </c>
      <c r="L591" t="n">
        <v>0</v>
      </c>
      <c r="M591" t="n">
        <v>0</v>
      </c>
      <c r="N591" t="n">
        <v>0</v>
      </c>
      <c r="O591" t="n">
        <v>0</v>
      </c>
      <c r="P591" t="n">
        <v>0</v>
      </c>
      <c r="Q591" t="n">
        <v>0</v>
      </c>
      <c r="R591" s="2" t="inlineStr"/>
    </row>
    <row r="592" ht="15" customHeight="1">
      <c r="A592" t="inlineStr">
        <is>
          <t>A 25789-2023</t>
        </is>
      </c>
      <c r="B592" s="1" t="n">
        <v>45090</v>
      </c>
      <c r="C592" s="1" t="n">
        <v>45628</v>
      </c>
      <c r="D592" t="inlineStr">
        <is>
          <t>JÄMTLANDS LÄN</t>
        </is>
      </c>
      <c r="E592" t="inlineStr">
        <is>
          <t>ÖSTERSUND</t>
        </is>
      </c>
      <c r="G592" t="n">
        <v>3.1</v>
      </c>
      <c r="H592" t="n">
        <v>0</v>
      </c>
      <c r="I592" t="n">
        <v>0</v>
      </c>
      <c r="J592" t="n">
        <v>0</v>
      </c>
      <c r="K592" t="n">
        <v>0</v>
      </c>
      <c r="L592" t="n">
        <v>0</v>
      </c>
      <c r="M592" t="n">
        <v>0</v>
      </c>
      <c r="N592" t="n">
        <v>0</v>
      </c>
      <c r="O592" t="n">
        <v>0</v>
      </c>
      <c r="P592" t="n">
        <v>0</v>
      </c>
      <c r="Q592" t="n">
        <v>0</v>
      </c>
      <c r="R592" s="2" t="inlineStr"/>
    </row>
    <row r="593" ht="15" customHeight="1">
      <c r="A593" t="inlineStr">
        <is>
          <t>A 26012-2023</t>
        </is>
      </c>
      <c r="B593" s="1" t="n">
        <v>45091</v>
      </c>
      <c r="C593" s="1" t="n">
        <v>45628</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27294-2023</t>
        </is>
      </c>
      <c r="B594" s="1" t="n">
        <v>45092</v>
      </c>
      <c r="C594" s="1" t="n">
        <v>45628</v>
      </c>
      <c r="D594" t="inlineStr">
        <is>
          <t>JÄMTLANDS LÄN</t>
        </is>
      </c>
      <c r="E594" t="inlineStr">
        <is>
          <t>ÖSTERSUND</t>
        </is>
      </c>
      <c r="G594" t="n">
        <v>2.8</v>
      </c>
      <c r="H594" t="n">
        <v>0</v>
      </c>
      <c r="I594" t="n">
        <v>0</v>
      </c>
      <c r="J594" t="n">
        <v>0</v>
      </c>
      <c r="K594" t="n">
        <v>0</v>
      </c>
      <c r="L594" t="n">
        <v>0</v>
      </c>
      <c r="M594" t="n">
        <v>0</v>
      </c>
      <c r="N594" t="n">
        <v>0</v>
      </c>
      <c r="O594" t="n">
        <v>0</v>
      </c>
      <c r="P594" t="n">
        <v>0</v>
      </c>
      <c r="Q594" t="n">
        <v>0</v>
      </c>
      <c r="R594" s="2" t="inlineStr"/>
    </row>
    <row r="595" ht="15" customHeight="1">
      <c r="A595" t="inlineStr">
        <is>
          <t>A 27004-2023</t>
        </is>
      </c>
      <c r="B595" s="1" t="n">
        <v>45094</v>
      </c>
      <c r="C595" s="1" t="n">
        <v>45628</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27124-2023</t>
        </is>
      </c>
      <c r="B596" s="1" t="n">
        <v>45096</v>
      </c>
      <c r="C596" s="1" t="n">
        <v>45628</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27118-2023</t>
        </is>
      </c>
      <c r="B597" s="1" t="n">
        <v>45096</v>
      </c>
      <c r="C597" s="1" t="n">
        <v>45628</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27130-2023</t>
        </is>
      </c>
      <c r="B598" s="1" t="n">
        <v>45096</v>
      </c>
      <c r="C598" s="1" t="n">
        <v>45628</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29548-2023</t>
        </is>
      </c>
      <c r="B599" s="1" t="n">
        <v>45098</v>
      </c>
      <c r="C599" s="1" t="n">
        <v>45628</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30244-2023</t>
        </is>
      </c>
      <c r="B600" s="1" t="n">
        <v>45099</v>
      </c>
      <c r="C600" s="1" t="n">
        <v>45628</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30262-2023</t>
        </is>
      </c>
      <c r="B601" s="1" t="n">
        <v>45099</v>
      </c>
      <c r="C601" s="1" t="n">
        <v>45628</v>
      </c>
      <c r="D601" t="inlineStr">
        <is>
          <t>JÄMTLANDS LÄN</t>
        </is>
      </c>
      <c r="E601" t="inlineStr">
        <is>
          <t>ÖSTERSUND</t>
        </is>
      </c>
      <c r="G601" t="n">
        <v>5.2</v>
      </c>
      <c r="H601" t="n">
        <v>0</v>
      </c>
      <c r="I601" t="n">
        <v>0</v>
      </c>
      <c r="J601" t="n">
        <v>0</v>
      </c>
      <c r="K601" t="n">
        <v>0</v>
      </c>
      <c r="L601" t="n">
        <v>0</v>
      </c>
      <c r="M601" t="n">
        <v>0</v>
      </c>
      <c r="N601" t="n">
        <v>0</v>
      </c>
      <c r="O601" t="n">
        <v>0</v>
      </c>
      <c r="P601" t="n">
        <v>0</v>
      </c>
      <c r="Q601" t="n">
        <v>0</v>
      </c>
      <c r="R601" s="2" t="inlineStr"/>
    </row>
    <row r="602" ht="15" customHeight="1">
      <c r="A602" t="inlineStr">
        <is>
          <t>A 30255-2023</t>
        </is>
      </c>
      <c r="B602" s="1" t="n">
        <v>45099</v>
      </c>
      <c r="C602" s="1" t="n">
        <v>45628</v>
      </c>
      <c r="D602" t="inlineStr">
        <is>
          <t>JÄMTLANDS LÄN</t>
        </is>
      </c>
      <c r="E602" t="inlineStr">
        <is>
          <t>ÖSTERSUND</t>
        </is>
      </c>
      <c r="G602" t="n">
        <v>20.2</v>
      </c>
      <c r="H602" t="n">
        <v>0</v>
      </c>
      <c r="I602" t="n">
        <v>0</v>
      </c>
      <c r="J602" t="n">
        <v>0</v>
      </c>
      <c r="K602" t="n">
        <v>0</v>
      </c>
      <c r="L602" t="n">
        <v>0</v>
      </c>
      <c r="M602" t="n">
        <v>0</v>
      </c>
      <c r="N602" t="n">
        <v>0</v>
      </c>
      <c r="O602" t="n">
        <v>0</v>
      </c>
      <c r="P602" t="n">
        <v>0</v>
      </c>
      <c r="Q602" t="n">
        <v>0</v>
      </c>
      <c r="R602" s="2" t="inlineStr"/>
    </row>
    <row r="603" ht="15" customHeight="1">
      <c r="A603" t="inlineStr">
        <is>
          <t>A 30264-2023</t>
        </is>
      </c>
      <c r="B603" s="1" t="n">
        <v>45099</v>
      </c>
      <c r="C603" s="1" t="n">
        <v>45628</v>
      </c>
      <c r="D603" t="inlineStr">
        <is>
          <t>JÄMTLANDS LÄN</t>
        </is>
      </c>
      <c r="E603" t="inlineStr">
        <is>
          <t>ÖSTERSUND</t>
        </is>
      </c>
      <c r="G603" t="n">
        <v>10</v>
      </c>
      <c r="H603" t="n">
        <v>0</v>
      </c>
      <c r="I603" t="n">
        <v>0</v>
      </c>
      <c r="J603" t="n">
        <v>0</v>
      </c>
      <c r="K603" t="n">
        <v>0</v>
      </c>
      <c r="L603" t="n">
        <v>0</v>
      </c>
      <c r="M603" t="n">
        <v>0</v>
      </c>
      <c r="N603" t="n">
        <v>0</v>
      </c>
      <c r="O603" t="n">
        <v>0</v>
      </c>
      <c r="P603" t="n">
        <v>0</v>
      </c>
      <c r="Q603" t="n">
        <v>0</v>
      </c>
      <c r="R603" s="2" t="inlineStr"/>
    </row>
    <row r="604" ht="15" customHeight="1">
      <c r="A604" t="inlineStr">
        <is>
          <t>A 30206-2023</t>
        </is>
      </c>
      <c r="B604" s="1" t="n">
        <v>45099</v>
      </c>
      <c r="C604" s="1" t="n">
        <v>45628</v>
      </c>
      <c r="D604" t="inlineStr">
        <is>
          <t>JÄMTLANDS LÄN</t>
        </is>
      </c>
      <c r="E604" t="inlineStr">
        <is>
          <t>ÖSTERSUND</t>
        </is>
      </c>
      <c r="G604" t="n">
        <v>3.9</v>
      </c>
      <c r="H604" t="n">
        <v>0</v>
      </c>
      <c r="I604" t="n">
        <v>0</v>
      </c>
      <c r="J604" t="n">
        <v>0</v>
      </c>
      <c r="K604" t="n">
        <v>0</v>
      </c>
      <c r="L604" t="n">
        <v>0</v>
      </c>
      <c r="M604" t="n">
        <v>0</v>
      </c>
      <c r="N604" t="n">
        <v>0</v>
      </c>
      <c r="O604" t="n">
        <v>0</v>
      </c>
      <c r="P604" t="n">
        <v>0</v>
      </c>
      <c r="Q604" t="n">
        <v>0</v>
      </c>
      <c r="R604" s="2" t="inlineStr"/>
    </row>
    <row r="605" ht="15" customHeight="1">
      <c r="A605" t="inlineStr">
        <is>
          <t>A 30236-2023</t>
        </is>
      </c>
      <c r="B605" s="1" t="n">
        <v>45099</v>
      </c>
      <c r="C605" s="1" t="n">
        <v>45628</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28747-2023</t>
        </is>
      </c>
      <c r="B606" s="1" t="n">
        <v>45103</v>
      </c>
      <c r="C606" s="1" t="n">
        <v>45628</v>
      </c>
      <c r="D606" t="inlineStr">
        <is>
          <t>JÄMTLANDS LÄN</t>
        </is>
      </c>
      <c r="E606" t="inlineStr">
        <is>
          <t>ÖSTERSUND</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31870-2023</t>
        </is>
      </c>
      <c r="B607" s="1" t="n">
        <v>45106</v>
      </c>
      <c r="C607" s="1" t="n">
        <v>45628</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29703-2023</t>
        </is>
      </c>
      <c r="B608" s="1" t="n">
        <v>45107</v>
      </c>
      <c r="C608" s="1" t="n">
        <v>45628</v>
      </c>
      <c r="D608" t="inlineStr">
        <is>
          <t>JÄMTLANDS LÄN</t>
        </is>
      </c>
      <c r="E608" t="inlineStr">
        <is>
          <t>ÖSTERSUND</t>
        </is>
      </c>
      <c r="G608" t="n">
        <v>0.3</v>
      </c>
      <c r="H608" t="n">
        <v>0</v>
      </c>
      <c r="I608" t="n">
        <v>0</v>
      </c>
      <c r="J608" t="n">
        <v>0</v>
      </c>
      <c r="K608" t="n">
        <v>0</v>
      </c>
      <c r="L608" t="n">
        <v>0</v>
      </c>
      <c r="M608" t="n">
        <v>0</v>
      </c>
      <c r="N608" t="n">
        <v>0</v>
      </c>
      <c r="O608" t="n">
        <v>0</v>
      </c>
      <c r="P608" t="n">
        <v>0</v>
      </c>
      <c r="Q608" t="n">
        <v>0</v>
      </c>
      <c r="R608" s="2" t="inlineStr"/>
    </row>
    <row r="609" ht="15" customHeight="1">
      <c r="A609" t="inlineStr">
        <is>
          <t>A 29682-2023</t>
        </is>
      </c>
      <c r="B609" s="1" t="n">
        <v>45107</v>
      </c>
      <c r="C609" s="1" t="n">
        <v>45628</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30602-2023</t>
        </is>
      </c>
      <c r="B610" s="1" t="n">
        <v>45112</v>
      </c>
      <c r="C610" s="1" t="n">
        <v>45628</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31551-2023</t>
        </is>
      </c>
      <c r="B611" s="1" t="n">
        <v>45117</v>
      </c>
      <c r="C611" s="1" t="n">
        <v>45628</v>
      </c>
      <c r="D611" t="inlineStr">
        <is>
          <t>JÄMTLANDS LÄN</t>
        </is>
      </c>
      <c r="E611" t="inlineStr">
        <is>
          <t>ÖSTERSUND</t>
        </is>
      </c>
      <c r="G611" t="n">
        <v>0.6</v>
      </c>
      <c r="H611" t="n">
        <v>0</v>
      </c>
      <c r="I611" t="n">
        <v>0</v>
      </c>
      <c r="J611" t="n">
        <v>0</v>
      </c>
      <c r="K611" t="n">
        <v>0</v>
      </c>
      <c r="L611" t="n">
        <v>0</v>
      </c>
      <c r="M611" t="n">
        <v>0</v>
      </c>
      <c r="N611" t="n">
        <v>0</v>
      </c>
      <c r="O611" t="n">
        <v>0</v>
      </c>
      <c r="P611" t="n">
        <v>0</v>
      </c>
      <c r="Q611" t="n">
        <v>0</v>
      </c>
      <c r="R611" s="2" t="inlineStr"/>
    </row>
    <row r="612" ht="15" customHeight="1">
      <c r="A612" t="inlineStr">
        <is>
          <t>A 31600-2023</t>
        </is>
      </c>
      <c r="B612" s="1" t="n">
        <v>45117</v>
      </c>
      <c r="C612" s="1" t="n">
        <v>45628</v>
      </c>
      <c r="D612" t="inlineStr">
        <is>
          <t>JÄMTLANDS LÄN</t>
        </is>
      </c>
      <c r="E612" t="inlineStr">
        <is>
          <t>ÖSTERSUND</t>
        </is>
      </c>
      <c r="F612" t="inlineStr">
        <is>
          <t>Övriga Aktiebolag</t>
        </is>
      </c>
      <c r="G612" t="n">
        <v>2.7</v>
      </c>
      <c r="H612" t="n">
        <v>0</v>
      </c>
      <c r="I612" t="n">
        <v>0</v>
      </c>
      <c r="J612" t="n">
        <v>0</v>
      </c>
      <c r="K612" t="n">
        <v>0</v>
      </c>
      <c r="L612" t="n">
        <v>0</v>
      </c>
      <c r="M612" t="n">
        <v>0</v>
      </c>
      <c r="N612" t="n">
        <v>0</v>
      </c>
      <c r="O612" t="n">
        <v>0</v>
      </c>
      <c r="P612" t="n">
        <v>0</v>
      </c>
      <c r="Q612" t="n">
        <v>0</v>
      </c>
      <c r="R612" s="2" t="inlineStr"/>
    </row>
    <row r="613" ht="15" customHeight="1">
      <c r="A613" t="inlineStr">
        <is>
          <t>A 31549-2023</t>
        </is>
      </c>
      <c r="B613" s="1" t="n">
        <v>45117</v>
      </c>
      <c r="C613" s="1" t="n">
        <v>45628</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33501-2023</t>
        </is>
      </c>
      <c r="B614" s="1" t="n">
        <v>45118</v>
      </c>
      <c r="C614" s="1" t="n">
        <v>45628</v>
      </c>
      <c r="D614" t="inlineStr">
        <is>
          <t>JÄMTLANDS LÄN</t>
        </is>
      </c>
      <c r="E614" t="inlineStr">
        <is>
          <t>ÖSTERSUND</t>
        </is>
      </c>
      <c r="G614" t="n">
        <v>5.8</v>
      </c>
      <c r="H614" t="n">
        <v>0</v>
      </c>
      <c r="I614" t="n">
        <v>0</v>
      </c>
      <c r="J614" t="n">
        <v>0</v>
      </c>
      <c r="K614" t="n">
        <v>0</v>
      </c>
      <c r="L614" t="n">
        <v>0</v>
      </c>
      <c r="M614" t="n">
        <v>0</v>
      </c>
      <c r="N614" t="n">
        <v>0</v>
      </c>
      <c r="O614" t="n">
        <v>0</v>
      </c>
      <c r="P614" t="n">
        <v>0</v>
      </c>
      <c r="Q614" t="n">
        <v>0</v>
      </c>
      <c r="R614" s="2" t="inlineStr"/>
    </row>
    <row r="615" ht="15" customHeight="1">
      <c r="A615" t="inlineStr">
        <is>
          <t>A 33502-2023</t>
        </is>
      </c>
      <c r="B615" s="1" t="n">
        <v>45118</v>
      </c>
      <c r="C615" s="1" t="n">
        <v>45628</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32568-2023</t>
        </is>
      </c>
      <c r="B616" s="1" t="n">
        <v>45121</v>
      </c>
      <c r="C616" s="1" t="n">
        <v>45628</v>
      </c>
      <c r="D616" t="inlineStr">
        <is>
          <t>JÄMTLANDS LÄN</t>
        </is>
      </c>
      <c r="E616" t="inlineStr">
        <is>
          <t>ÖSTERSUND</t>
        </is>
      </c>
      <c r="G616" t="n">
        <v>14.9</v>
      </c>
      <c r="H616" t="n">
        <v>0</v>
      </c>
      <c r="I616" t="n">
        <v>0</v>
      </c>
      <c r="J616" t="n">
        <v>0</v>
      </c>
      <c r="K616" t="n">
        <v>0</v>
      </c>
      <c r="L616" t="n">
        <v>0</v>
      </c>
      <c r="M616" t="n">
        <v>0</v>
      </c>
      <c r="N616" t="n">
        <v>0</v>
      </c>
      <c r="O616" t="n">
        <v>0</v>
      </c>
      <c r="P616" t="n">
        <v>0</v>
      </c>
      <c r="Q616" t="n">
        <v>0</v>
      </c>
      <c r="R616" s="2" t="inlineStr"/>
    </row>
    <row r="617" ht="15" customHeight="1">
      <c r="A617" t="inlineStr">
        <is>
          <t>A 34052-2023</t>
        </is>
      </c>
      <c r="B617" s="1" t="n">
        <v>45125</v>
      </c>
      <c r="C617" s="1" t="n">
        <v>45628</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33875-2023</t>
        </is>
      </c>
      <c r="B618" s="1" t="n">
        <v>45134</v>
      </c>
      <c r="C618" s="1" t="n">
        <v>45628</v>
      </c>
      <c r="D618" t="inlineStr">
        <is>
          <t>JÄMTLANDS LÄN</t>
        </is>
      </c>
      <c r="E618" t="inlineStr">
        <is>
          <t>ÖSTERSUND</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34482-2023</t>
        </is>
      </c>
      <c r="B619" s="1" t="n">
        <v>45140</v>
      </c>
      <c r="C619" s="1" t="n">
        <v>45628</v>
      </c>
      <c r="D619" t="inlineStr">
        <is>
          <t>JÄMTLANDS LÄN</t>
        </is>
      </c>
      <c r="E619" t="inlineStr">
        <is>
          <t>ÖSTERSUND</t>
        </is>
      </c>
      <c r="F619" t="inlineStr">
        <is>
          <t>SCA</t>
        </is>
      </c>
      <c r="G619" t="n">
        <v>50</v>
      </c>
      <c r="H619" t="n">
        <v>0</v>
      </c>
      <c r="I619" t="n">
        <v>0</v>
      </c>
      <c r="J619" t="n">
        <v>0</v>
      </c>
      <c r="K619" t="n">
        <v>0</v>
      </c>
      <c r="L619" t="n">
        <v>0</v>
      </c>
      <c r="M619" t="n">
        <v>0</v>
      </c>
      <c r="N619" t="n">
        <v>0</v>
      </c>
      <c r="O619" t="n">
        <v>0</v>
      </c>
      <c r="P619" t="n">
        <v>0</v>
      </c>
      <c r="Q619" t="n">
        <v>0</v>
      </c>
      <c r="R619" s="2" t="inlineStr"/>
    </row>
    <row r="620" ht="15" customHeight="1">
      <c r="A620" t="inlineStr">
        <is>
          <t>A 34688-2023</t>
        </is>
      </c>
      <c r="B620" s="1" t="n">
        <v>45141</v>
      </c>
      <c r="C620" s="1" t="n">
        <v>45628</v>
      </c>
      <c r="D620" t="inlineStr">
        <is>
          <t>JÄMTLANDS LÄN</t>
        </is>
      </c>
      <c r="E620" t="inlineStr">
        <is>
          <t>ÖSTERSUND</t>
        </is>
      </c>
      <c r="G620" t="n">
        <v>7.4</v>
      </c>
      <c r="H620" t="n">
        <v>0</v>
      </c>
      <c r="I620" t="n">
        <v>0</v>
      </c>
      <c r="J620" t="n">
        <v>0</v>
      </c>
      <c r="K620" t="n">
        <v>0</v>
      </c>
      <c r="L620" t="n">
        <v>0</v>
      </c>
      <c r="M620" t="n">
        <v>0</v>
      </c>
      <c r="N620" t="n">
        <v>0</v>
      </c>
      <c r="O620" t="n">
        <v>0</v>
      </c>
      <c r="P620" t="n">
        <v>0</v>
      </c>
      <c r="Q620" t="n">
        <v>0</v>
      </c>
      <c r="R620" s="2" t="inlineStr"/>
    </row>
    <row r="621" ht="15" customHeight="1">
      <c r="A621" t="inlineStr">
        <is>
          <t>A 36406-2023</t>
        </is>
      </c>
      <c r="B621" s="1" t="n">
        <v>45149</v>
      </c>
      <c r="C621" s="1" t="n">
        <v>45628</v>
      </c>
      <c r="D621" t="inlineStr">
        <is>
          <t>JÄMTLANDS LÄN</t>
        </is>
      </c>
      <c r="E621" t="inlineStr">
        <is>
          <t>ÖSTERSUND</t>
        </is>
      </c>
      <c r="G621" t="n">
        <v>2.4</v>
      </c>
      <c r="H621" t="n">
        <v>0</v>
      </c>
      <c r="I621" t="n">
        <v>0</v>
      </c>
      <c r="J621" t="n">
        <v>0</v>
      </c>
      <c r="K621" t="n">
        <v>0</v>
      </c>
      <c r="L621" t="n">
        <v>0</v>
      </c>
      <c r="M621" t="n">
        <v>0</v>
      </c>
      <c r="N621" t="n">
        <v>0</v>
      </c>
      <c r="O621" t="n">
        <v>0</v>
      </c>
      <c r="P621" t="n">
        <v>0</v>
      </c>
      <c r="Q621" t="n">
        <v>0</v>
      </c>
      <c r="R621" s="2" t="inlineStr"/>
    </row>
    <row r="622" ht="15" customHeight="1">
      <c r="A622" t="inlineStr">
        <is>
          <t>A 37140-2023</t>
        </is>
      </c>
      <c r="B622" s="1" t="n">
        <v>45154</v>
      </c>
      <c r="C622" s="1" t="n">
        <v>45628</v>
      </c>
      <c r="D622" t="inlineStr">
        <is>
          <t>JÄMTLANDS LÄN</t>
        </is>
      </c>
      <c r="E622" t="inlineStr">
        <is>
          <t>ÖSTERSUND</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37597-2023</t>
        </is>
      </c>
      <c r="B623" s="1" t="n">
        <v>45159</v>
      </c>
      <c r="C623" s="1" t="n">
        <v>45628</v>
      </c>
      <c r="D623" t="inlineStr">
        <is>
          <t>JÄMTLANDS LÄN</t>
        </is>
      </c>
      <c r="E623" t="inlineStr">
        <is>
          <t>ÖSTERSUND</t>
        </is>
      </c>
      <c r="G623" t="n">
        <v>4.7</v>
      </c>
      <c r="H623" t="n">
        <v>0</v>
      </c>
      <c r="I623" t="n">
        <v>0</v>
      </c>
      <c r="J623" t="n">
        <v>0</v>
      </c>
      <c r="K623" t="n">
        <v>0</v>
      </c>
      <c r="L623" t="n">
        <v>0</v>
      </c>
      <c r="M623" t="n">
        <v>0</v>
      </c>
      <c r="N623" t="n">
        <v>0</v>
      </c>
      <c r="O623" t="n">
        <v>0</v>
      </c>
      <c r="P623" t="n">
        <v>0</v>
      </c>
      <c r="Q623" t="n">
        <v>0</v>
      </c>
      <c r="R623" s="2" t="inlineStr"/>
    </row>
    <row r="624" ht="15" customHeight="1">
      <c r="A624" t="inlineStr">
        <is>
          <t>A 37645-2023</t>
        </is>
      </c>
      <c r="B624" s="1" t="n">
        <v>45159</v>
      </c>
      <c r="C624" s="1" t="n">
        <v>45628</v>
      </c>
      <c r="D624" t="inlineStr">
        <is>
          <t>JÄMTLANDS LÄN</t>
        </is>
      </c>
      <c r="E624" t="inlineStr">
        <is>
          <t>ÖSTERSUND</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38335-2023</t>
        </is>
      </c>
      <c r="B625" s="1" t="n">
        <v>45161</v>
      </c>
      <c r="C625" s="1" t="n">
        <v>45628</v>
      </c>
      <c r="D625" t="inlineStr">
        <is>
          <t>JÄMTLANDS LÄN</t>
        </is>
      </c>
      <c r="E625" t="inlineStr">
        <is>
          <t>ÖSTERSUND</t>
        </is>
      </c>
      <c r="G625" t="n">
        <v>15.1</v>
      </c>
      <c r="H625" t="n">
        <v>0</v>
      </c>
      <c r="I625" t="n">
        <v>0</v>
      </c>
      <c r="J625" t="n">
        <v>0</v>
      </c>
      <c r="K625" t="n">
        <v>0</v>
      </c>
      <c r="L625" t="n">
        <v>0</v>
      </c>
      <c r="M625" t="n">
        <v>0</v>
      </c>
      <c r="N625" t="n">
        <v>0</v>
      </c>
      <c r="O625" t="n">
        <v>0</v>
      </c>
      <c r="P625" t="n">
        <v>0</v>
      </c>
      <c r="Q625" t="n">
        <v>0</v>
      </c>
      <c r="R625" s="2" t="inlineStr"/>
    </row>
    <row r="626" ht="15" customHeight="1">
      <c r="A626" t="inlineStr">
        <is>
          <t>A 38713-2023</t>
        </is>
      </c>
      <c r="B626" s="1" t="n">
        <v>45163</v>
      </c>
      <c r="C626" s="1" t="n">
        <v>45628</v>
      </c>
      <c r="D626" t="inlineStr">
        <is>
          <t>JÄMTLANDS LÄN</t>
        </is>
      </c>
      <c r="E626" t="inlineStr">
        <is>
          <t>ÖSTERSUND</t>
        </is>
      </c>
      <c r="G626" t="n">
        <v>6</v>
      </c>
      <c r="H626" t="n">
        <v>0</v>
      </c>
      <c r="I626" t="n">
        <v>0</v>
      </c>
      <c r="J626" t="n">
        <v>0</v>
      </c>
      <c r="K626" t="n">
        <v>0</v>
      </c>
      <c r="L626" t="n">
        <v>0</v>
      </c>
      <c r="M626" t="n">
        <v>0</v>
      </c>
      <c r="N626" t="n">
        <v>0</v>
      </c>
      <c r="O626" t="n">
        <v>0</v>
      </c>
      <c r="P626" t="n">
        <v>0</v>
      </c>
      <c r="Q626" t="n">
        <v>0</v>
      </c>
      <c r="R626" s="2" t="inlineStr"/>
    </row>
    <row r="627" ht="15" customHeight="1">
      <c r="A627" t="inlineStr">
        <is>
          <t>A 39494-2023</t>
        </is>
      </c>
      <c r="B627" s="1" t="n">
        <v>45166</v>
      </c>
      <c r="C627" s="1" t="n">
        <v>45628</v>
      </c>
      <c r="D627" t="inlineStr">
        <is>
          <t>JÄMTLANDS LÄN</t>
        </is>
      </c>
      <c r="E627" t="inlineStr">
        <is>
          <t>ÖSTERSUND</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45167</v>
      </c>
      <c r="C628" s="1" t="n">
        <v>45628</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39647-2023</t>
        </is>
      </c>
      <c r="B629" s="1" t="n">
        <v>45167</v>
      </c>
      <c r="C629" s="1" t="n">
        <v>45628</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39652-2023</t>
        </is>
      </c>
      <c r="B630" s="1" t="n">
        <v>45167</v>
      </c>
      <c r="C630" s="1" t="n">
        <v>45628</v>
      </c>
      <c r="D630" t="inlineStr">
        <is>
          <t>JÄMTLANDS LÄN</t>
        </is>
      </c>
      <c r="E630" t="inlineStr">
        <is>
          <t>ÖSTERSUND</t>
        </is>
      </c>
      <c r="G630" t="n">
        <v>2.6</v>
      </c>
      <c r="H630" t="n">
        <v>0</v>
      </c>
      <c r="I630" t="n">
        <v>0</v>
      </c>
      <c r="J630" t="n">
        <v>0</v>
      </c>
      <c r="K630" t="n">
        <v>0</v>
      </c>
      <c r="L630" t="n">
        <v>0</v>
      </c>
      <c r="M630" t="n">
        <v>0</v>
      </c>
      <c r="N630" t="n">
        <v>0</v>
      </c>
      <c r="O630" t="n">
        <v>0</v>
      </c>
      <c r="P630" t="n">
        <v>0</v>
      </c>
      <c r="Q630" t="n">
        <v>0</v>
      </c>
      <c r="R630" s="2" t="inlineStr"/>
    </row>
    <row r="631" ht="15" customHeight="1">
      <c r="A631" t="inlineStr">
        <is>
          <t>A 39805-2023</t>
        </is>
      </c>
      <c r="B631" s="1" t="n">
        <v>45168</v>
      </c>
      <c r="C631" s="1" t="n">
        <v>45628</v>
      </c>
      <c r="D631" t="inlineStr">
        <is>
          <t>JÄMTLANDS LÄN</t>
        </is>
      </c>
      <c r="E631" t="inlineStr">
        <is>
          <t>ÖSTERSUND</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40423-2023</t>
        </is>
      </c>
      <c r="B632" s="1" t="n">
        <v>45169</v>
      </c>
      <c r="C632" s="1" t="n">
        <v>45628</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40422-2023</t>
        </is>
      </c>
      <c r="B633" s="1" t="n">
        <v>45170</v>
      </c>
      <c r="C633" s="1" t="n">
        <v>45628</v>
      </c>
      <c r="D633" t="inlineStr">
        <is>
          <t>JÄMTLANDS LÄN</t>
        </is>
      </c>
      <c r="E633" t="inlineStr">
        <is>
          <t>ÖSTERSUND</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40792-2023</t>
        </is>
      </c>
      <c r="B634" s="1" t="n">
        <v>45170</v>
      </c>
      <c r="C634" s="1" t="n">
        <v>45628</v>
      </c>
      <c r="D634" t="inlineStr">
        <is>
          <t>JÄMTLANDS LÄN</t>
        </is>
      </c>
      <c r="E634" t="inlineStr">
        <is>
          <t>ÖSTERSUND</t>
        </is>
      </c>
      <c r="G634" t="n">
        <v>22.4</v>
      </c>
      <c r="H634" t="n">
        <v>0</v>
      </c>
      <c r="I634" t="n">
        <v>0</v>
      </c>
      <c r="J634" t="n">
        <v>0</v>
      </c>
      <c r="K634" t="n">
        <v>0</v>
      </c>
      <c r="L634" t="n">
        <v>0</v>
      </c>
      <c r="M634" t="n">
        <v>0</v>
      </c>
      <c r="N634" t="n">
        <v>0</v>
      </c>
      <c r="O634" t="n">
        <v>0</v>
      </c>
      <c r="P634" t="n">
        <v>0</v>
      </c>
      <c r="Q634" t="n">
        <v>0</v>
      </c>
      <c r="R634" s="2" t="inlineStr"/>
    </row>
    <row r="635" ht="15" customHeight="1">
      <c r="A635" t="inlineStr">
        <is>
          <t>A 40772-2023</t>
        </is>
      </c>
      <c r="B635" s="1" t="n">
        <v>45171</v>
      </c>
      <c r="C635" s="1" t="n">
        <v>45628</v>
      </c>
      <c r="D635" t="inlineStr">
        <is>
          <t>JÄMTLANDS LÄN</t>
        </is>
      </c>
      <c r="E635" t="inlineStr">
        <is>
          <t>ÖSTERSUND</t>
        </is>
      </c>
      <c r="F635" t="inlineStr">
        <is>
          <t>SCA</t>
        </is>
      </c>
      <c r="G635" t="n">
        <v>17.6</v>
      </c>
      <c r="H635" t="n">
        <v>0</v>
      </c>
      <c r="I635" t="n">
        <v>0</v>
      </c>
      <c r="J635" t="n">
        <v>0</v>
      </c>
      <c r="K635" t="n">
        <v>0</v>
      </c>
      <c r="L635" t="n">
        <v>0</v>
      </c>
      <c r="M635" t="n">
        <v>0</v>
      </c>
      <c r="N635" t="n">
        <v>0</v>
      </c>
      <c r="O635" t="n">
        <v>0</v>
      </c>
      <c r="P635" t="n">
        <v>0</v>
      </c>
      <c r="Q635" t="n">
        <v>0</v>
      </c>
      <c r="R635" s="2" t="inlineStr"/>
    </row>
    <row r="636" ht="15" customHeight="1">
      <c r="A636" t="inlineStr">
        <is>
          <t>A 41224-2023</t>
        </is>
      </c>
      <c r="B636" s="1" t="n">
        <v>45174</v>
      </c>
      <c r="C636" s="1" t="n">
        <v>45628</v>
      </c>
      <c r="D636" t="inlineStr">
        <is>
          <t>JÄMTLANDS LÄN</t>
        </is>
      </c>
      <c r="E636" t="inlineStr">
        <is>
          <t>ÖSTERSUND</t>
        </is>
      </c>
      <c r="G636" t="n">
        <v>13.3</v>
      </c>
      <c r="H636" t="n">
        <v>0</v>
      </c>
      <c r="I636" t="n">
        <v>0</v>
      </c>
      <c r="J636" t="n">
        <v>0</v>
      </c>
      <c r="K636" t="n">
        <v>0</v>
      </c>
      <c r="L636" t="n">
        <v>0</v>
      </c>
      <c r="M636" t="n">
        <v>0</v>
      </c>
      <c r="N636" t="n">
        <v>0</v>
      </c>
      <c r="O636" t="n">
        <v>0</v>
      </c>
      <c r="P636" t="n">
        <v>0</v>
      </c>
      <c r="Q636" t="n">
        <v>0</v>
      </c>
      <c r="R636" s="2" t="inlineStr"/>
    </row>
    <row r="637" ht="15" customHeight="1">
      <c r="A637" t="inlineStr">
        <is>
          <t>A 41649-2023</t>
        </is>
      </c>
      <c r="B637" s="1" t="n">
        <v>45176</v>
      </c>
      <c r="C637" s="1" t="n">
        <v>45628</v>
      </c>
      <c r="D637" t="inlineStr">
        <is>
          <t>JÄMTLANDS LÄN</t>
        </is>
      </c>
      <c r="E637" t="inlineStr">
        <is>
          <t>ÖSTERSUND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41919-2023</t>
        </is>
      </c>
      <c r="B638" s="1" t="n">
        <v>45177</v>
      </c>
      <c r="C638" s="1" t="n">
        <v>45628</v>
      </c>
      <c r="D638" t="inlineStr">
        <is>
          <t>JÄMTLANDS LÄN</t>
        </is>
      </c>
      <c r="E638" t="inlineStr">
        <is>
          <t>ÖSTERSUND</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41918-2023</t>
        </is>
      </c>
      <c r="B639" s="1" t="n">
        <v>45177</v>
      </c>
      <c r="C639" s="1" t="n">
        <v>45628</v>
      </c>
      <c r="D639" t="inlineStr">
        <is>
          <t>JÄMTLANDS LÄN</t>
        </is>
      </c>
      <c r="E639" t="inlineStr">
        <is>
          <t>ÖSTERSUND</t>
        </is>
      </c>
      <c r="F639" t="inlineStr">
        <is>
          <t>SCA</t>
        </is>
      </c>
      <c r="G639" t="n">
        <v>10.5</v>
      </c>
      <c r="H639" t="n">
        <v>0</v>
      </c>
      <c r="I639" t="n">
        <v>0</v>
      </c>
      <c r="J639" t="n">
        <v>0</v>
      </c>
      <c r="K639" t="n">
        <v>0</v>
      </c>
      <c r="L639" t="n">
        <v>0</v>
      </c>
      <c r="M639" t="n">
        <v>0</v>
      </c>
      <c r="N639" t="n">
        <v>0</v>
      </c>
      <c r="O639" t="n">
        <v>0</v>
      </c>
      <c r="P639" t="n">
        <v>0</v>
      </c>
      <c r="Q639" t="n">
        <v>0</v>
      </c>
      <c r="R639" s="2" t="inlineStr"/>
    </row>
    <row r="640" ht="15" customHeight="1">
      <c r="A640" t="inlineStr">
        <is>
          <t>A 41900-2023</t>
        </is>
      </c>
      <c r="B640" s="1" t="n">
        <v>45176</v>
      </c>
      <c r="C640" s="1" t="n">
        <v>45628</v>
      </c>
      <c r="D640" t="inlineStr">
        <is>
          <t>JÄMTLANDS LÄN</t>
        </is>
      </c>
      <c r="E640" t="inlineStr">
        <is>
          <t>ÖSTERSUND</t>
        </is>
      </c>
      <c r="G640" t="n">
        <v>24.4</v>
      </c>
      <c r="H640" t="n">
        <v>0</v>
      </c>
      <c r="I640" t="n">
        <v>0</v>
      </c>
      <c r="J640" t="n">
        <v>0</v>
      </c>
      <c r="K640" t="n">
        <v>0</v>
      </c>
      <c r="L640" t="n">
        <v>0</v>
      </c>
      <c r="M640" t="n">
        <v>0</v>
      </c>
      <c r="N640" t="n">
        <v>0</v>
      </c>
      <c r="O640" t="n">
        <v>0</v>
      </c>
      <c r="P640" t="n">
        <v>0</v>
      </c>
      <c r="Q640" t="n">
        <v>0</v>
      </c>
      <c r="R640" s="2" t="inlineStr"/>
    </row>
    <row r="641" ht="15" customHeight="1">
      <c r="A641" t="inlineStr">
        <is>
          <t>A 42151-2023</t>
        </is>
      </c>
      <c r="B641" s="1" t="n">
        <v>45178</v>
      </c>
      <c r="C641" s="1" t="n">
        <v>45628</v>
      </c>
      <c r="D641" t="inlineStr">
        <is>
          <t>JÄMTLANDS LÄN</t>
        </is>
      </c>
      <c r="E641" t="inlineStr">
        <is>
          <t>ÖSTERSUND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43557-2023</t>
        </is>
      </c>
      <c r="B642" s="1" t="n">
        <v>45181</v>
      </c>
      <c r="C642" s="1" t="n">
        <v>45628</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42664-2023</t>
        </is>
      </c>
      <c r="B643" s="1" t="n">
        <v>45181</v>
      </c>
      <c r="C643" s="1" t="n">
        <v>45628</v>
      </c>
      <c r="D643" t="inlineStr">
        <is>
          <t>JÄMTLANDS LÄN</t>
        </is>
      </c>
      <c r="E643" t="inlineStr">
        <is>
          <t>ÖSTERSUND</t>
        </is>
      </c>
      <c r="F643" t="inlineStr">
        <is>
          <t>Övriga Aktiebolag</t>
        </is>
      </c>
      <c r="G643" t="n">
        <v>3.7</v>
      </c>
      <c r="H643" t="n">
        <v>0</v>
      </c>
      <c r="I643" t="n">
        <v>0</v>
      </c>
      <c r="J643" t="n">
        <v>0</v>
      </c>
      <c r="K643" t="n">
        <v>0</v>
      </c>
      <c r="L643" t="n">
        <v>0</v>
      </c>
      <c r="M643" t="n">
        <v>0</v>
      </c>
      <c r="N643" t="n">
        <v>0</v>
      </c>
      <c r="O643" t="n">
        <v>0</v>
      </c>
      <c r="P643" t="n">
        <v>0</v>
      </c>
      <c r="Q643" t="n">
        <v>0</v>
      </c>
      <c r="R643" s="2" t="inlineStr"/>
    </row>
    <row r="644" ht="15" customHeight="1">
      <c r="A644" t="inlineStr">
        <is>
          <t>A 42679-2023</t>
        </is>
      </c>
      <c r="B644" s="1" t="n">
        <v>45181</v>
      </c>
      <c r="C644" s="1" t="n">
        <v>45628</v>
      </c>
      <c r="D644" t="inlineStr">
        <is>
          <t>JÄMTLANDS LÄN</t>
        </is>
      </c>
      <c r="E644" t="inlineStr">
        <is>
          <t>ÖSTERSUND</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43740-2023</t>
        </is>
      </c>
      <c r="B645" s="1" t="n">
        <v>45182</v>
      </c>
      <c r="C645" s="1" t="n">
        <v>45628</v>
      </c>
      <c r="D645" t="inlineStr">
        <is>
          <t>JÄMTLANDS LÄN</t>
        </is>
      </c>
      <c r="E645" t="inlineStr">
        <is>
          <t>ÖSTERSUND</t>
        </is>
      </c>
      <c r="G645" t="n">
        <v>10.2</v>
      </c>
      <c r="H645" t="n">
        <v>0</v>
      </c>
      <c r="I645" t="n">
        <v>0</v>
      </c>
      <c r="J645" t="n">
        <v>0</v>
      </c>
      <c r="K645" t="n">
        <v>0</v>
      </c>
      <c r="L645" t="n">
        <v>0</v>
      </c>
      <c r="M645" t="n">
        <v>0</v>
      </c>
      <c r="N645" t="n">
        <v>0</v>
      </c>
      <c r="O645" t="n">
        <v>0</v>
      </c>
      <c r="P645" t="n">
        <v>0</v>
      </c>
      <c r="Q645" t="n">
        <v>0</v>
      </c>
      <c r="R645" s="2" t="inlineStr"/>
    </row>
    <row r="646" ht="15" customHeight="1">
      <c r="A646" t="inlineStr">
        <is>
          <t>A 43135-2023</t>
        </is>
      </c>
      <c r="B646" s="1" t="n">
        <v>45183</v>
      </c>
      <c r="C646" s="1" t="n">
        <v>45628</v>
      </c>
      <c r="D646" t="inlineStr">
        <is>
          <t>JÄMTLANDS LÄN</t>
        </is>
      </c>
      <c r="E646" t="inlineStr">
        <is>
          <t>ÖSTERSUND</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43252-2023</t>
        </is>
      </c>
      <c r="B647" s="1" t="n">
        <v>45183</v>
      </c>
      <c r="C647" s="1" t="n">
        <v>45628</v>
      </c>
      <c r="D647" t="inlineStr">
        <is>
          <t>JÄMTLANDS LÄN</t>
        </is>
      </c>
      <c r="E647" t="inlineStr">
        <is>
          <t>ÖSTERSUND</t>
        </is>
      </c>
      <c r="G647" t="n">
        <v>2.9</v>
      </c>
      <c r="H647" t="n">
        <v>0</v>
      </c>
      <c r="I647" t="n">
        <v>0</v>
      </c>
      <c r="J647" t="n">
        <v>0</v>
      </c>
      <c r="K647" t="n">
        <v>0</v>
      </c>
      <c r="L647" t="n">
        <v>0</v>
      </c>
      <c r="M647" t="n">
        <v>0</v>
      </c>
      <c r="N647" t="n">
        <v>0</v>
      </c>
      <c r="O647" t="n">
        <v>0</v>
      </c>
      <c r="P647" t="n">
        <v>0</v>
      </c>
      <c r="Q647" t="n">
        <v>0</v>
      </c>
      <c r="R647" s="2" t="inlineStr"/>
    </row>
    <row r="648" ht="15" customHeight="1">
      <c r="A648" t="inlineStr">
        <is>
          <t>A 44327-2023</t>
        </is>
      </c>
      <c r="B648" s="1" t="n">
        <v>45188</v>
      </c>
      <c r="C648" s="1" t="n">
        <v>45628</v>
      </c>
      <c r="D648" t="inlineStr">
        <is>
          <t>JÄMTLANDS LÄN</t>
        </is>
      </c>
      <c r="E648" t="inlineStr">
        <is>
          <t>ÖSTERSUND</t>
        </is>
      </c>
      <c r="G648" t="n">
        <v>1.5</v>
      </c>
      <c r="H648" t="n">
        <v>0</v>
      </c>
      <c r="I648" t="n">
        <v>0</v>
      </c>
      <c r="J648" t="n">
        <v>0</v>
      </c>
      <c r="K648" t="n">
        <v>0</v>
      </c>
      <c r="L648" t="n">
        <v>0</v>
      </c>
      <c r="M648" t="n">
        <v>0</v>
      </c>
      <c r="N648" t="n">
        <v>0</v>
      </c>
      <c r="O648" t="n">
        <v>0</v>
      </c>
      <c r="P648" t="n">
        <v>0</v>
      </c>
      <c r="Q648" t="n">
        <v>0</v>
      </c>
      <c r="R648" s="2" t="inlineStr"/>
    </row>
    <row r="649" ht="15" customHeight="1">
      <c r="A649" t="inlineStr">
        <is>
          <t>A 44359-2023</t>
        </is>
      </c>
      <c r="B649" s="1" t="n">
        <v>45188</v>
      </c>
      <c r="C649" s="1" t="n">
        <v>45628</v>
      </c>
      <c r="D649" t="inlineStr">
        <is>
          <t>JÄMTLANDS LÄN</t>
        </is>
      </c>
      <c r="E649" t="inlineStr">
        <is>
          <t>ÖSTERSUND</t>
        </is>
      </c>
      <c r="G649" t="n">
        <v>8.1</v>
      </c>
      <c r="H649" t="n">
        <v>0</v>
      </c>
      <c r="I649" t="n">
        <v>0</v>
      </c>
      <c r="J649" t="n">
        <v>0</v>
      </c>
      <c r="K649" t="n">
        <v>0</v>
      </c>
      <c r="L649" t="n">
        <v>0</v>
      </c>
      <c r="M649" t="n">
        <v>0</v>
      </c>
      <c r="N649" t="n">
        <v>0</v>
      </c>
      <c r="O649" t="n">
        <v>0</v>
      </c>
      <c r="P649" t="n">
        <v>0</v>
      </c>
      <c r="Q649" t="n">
        <v>0</v>
      </c>
      <c r="R649" s="2" t="inlineStr"/>
    </row>
    <row r="650" ht="15" customHeight="1">
      <c r="A650" t="inlineStr">
        <is>
          <t>A 45980-2023</t>
        </is>
      </c>
      <c r="B650" s="1" t="n">
        <v>45189</v>
      </c>
      <c r="C650" s="1" t="n">
        <v>45628</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44719-2023</t>
        </is>
      </c>
      <c r="B651" s="1" t="n">
        <v>45190</v>
      </c>
      <c r="C651" s="1" t="n">
        <v>45628</v>
      </c>
      <c r="D651" t="inlineStr">
        <is>
          <t>JÄMTLANDS LÄN</t>
        </is>
      </c>
      <c r="E651" t="inlineStr">
        <is>
          <t>ÖSTERSUND</t>
        </is>
      </c>
      <c r="G651" t="n">
        <v>17.5</v>
      </c>
      <c r="H651" t="n">
        <v>0</v>
      </c>
      <c r="I651" t="n">
        <v>0</v>
      </c>
      <c r="J651" t="n">
        <v>0</v>
      </c>
      <c r="K651" t="n">
        <v>0</v>
      </c>
      <c r="L651" t="n">
        <v>0</v>
      </c>
      <c r="M651" t="n">
        <v>0</v>
      </c>
      <c r="N651" t="n">
        <v>0</v>
      </c>
      <c r="O651" t="n">
        <v>0</v>
      </c>
      <c r="P651" t="n">
        <v>0</v>
      </c>
      <c r="Q651" t="n">
        <v>0</v>
      </c>
      <c r="R651" s="2" t="inlineStr"/>
    </row>
    <row r="652" ht="15" customHeight="1">
      <c r="A652" t="inlineStr">
        <is>
          <t>A 44798-2023</t>
        </is>
      </c>
      <c r="B652" s="1" t="n">
        <v>45190</v>
      </c>
      <c r="C652" s="1" t="n">
        <v>45628</v>
      </c>
      <c r="D652" t="inlineStr">
        <is>
          <t>JÄMTLANDS LÄN</t>
        </is>
      </c>
      <c r="E652" t="inlineStr">
        <is>
          <t>ÖSTERSUND</t>
        </is>
      </c>
      <c r="G652" t="n">
        <v>1.1</v>
      </c>
      <c r="H652" t="n">
        <v>0</v>
      </c>
      <c r="I652" t="n">
        <v>0</v>
      </c>
      <c r="J652" t="n">
        <v>0</v>
      </c>
      <c r="K652" t="n">
        <v>0</v>
      </c>
      <c r="L652" t="n">
        <v>0</v>
      </c>
      <c r="M652" t="n">
        <v>0</v>
      </c>
      <c r="N652" t="n">
        <v>0</v>
      </c>
      <c r="O652" t="n">
        <v>0</v>
      </c>
      <c r="P652" t="n">
        <v>0</v>
      </c>
      <c r="Q652" t="n">
        <v>0</v>
      </c>
      <c r="R652" s="2" t="inlineStr"/>
    </row>
    <row r="653" ht="15" customHeight="1">
      <c r="A653" t="inlineStr">
        <is>
          <t>A 46375-2023</t>
        </is>
      </c>
      <c r="B653" s="1" t="n">
        <v>45197</v>
      </c>
      <c r="C653" s="1" t="n">
        <v>45628</v>
      </c>
      <c r="D653" t="inlineStr">
        <is>
          <t>JÄMTLANDS LÄN</t>
        </is>
      </c>
      <c r="E653" t="inlineStr">
        <is>
          <t>ÖSTERSUND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46763-2023</t>
        </is>
      </c>
      <c r="B654" s="1" t="n">
        <v>45198</v>
      </c>
      <c r="C654" s="1" t="n">
        <v>45628</v>
      </c>
      <c r="D654" t="inlineStr">
        <is>
          <t>JÄMTLANDS LÄN</t>
        </is>
      </c>
      <c r="E654" t="inlineStr">
        <is>
          <t>ÖSTERSUND</t>
        </is>
      </c>
      <c r="F654" t="inlineStr">
        <is>
          <t>Sveaskog</t>
        </is>
      </c>
      <c r="G654" t="n">
        <v>13.3</v>
      </c>
      <c r="H654" t="n">
        <v>0</v>
      </c>
      <c r="I654" t="n">
        <v>0</v>
      </c>
      <c r="J654" t="n">
        <v>0</v>
      </c>
      <c r="K654" t="n">
        <v>0</v>
      </c>
      <c r="L654" t="n">
        <v>0</v>
      </c>
      <c r="M654" t="n">
        <v>0</v>
      </c>
      <c r="N654" t="n">
        <v>0</v>
      </c>
      <c r="O654" t="n">
        <v>0</v>
      </c>
      <c r="P654" t="n">
        <v>0</v>
      </c>
      <c r="Q654" t="n">
        <v>0</v>
      </c>
      <c r="R654" s="2" t="inlineStr"/>
    </row>
    <row r="655" ht="15" customHeight="1">
      <c r="A655" t="inlineStr">
        <is>
          <t>A 46748-2023</t>
        </is>
      </c>
      <c r="B655" s="1" t="n">
        <v>45198</v>
      </c>
      <c r="C655" s="1" t="n">
        <v>45628</v>
      </c>
      <c r="D655" t="inlineStr">
        <is>
          <t>JÄMTLANDS LÄN</t>
        </is>
      </c>
      <c r="E655" t="inlineStr">
        <is>
          <t>ÖSTERSUND</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47086-2023</t>
        </is>
      </c>
      <c r="B656" s="1" t="n">
        <v>45201</v>
      </c>
      <c r="C656" s="1" t="n">
        <v>45628</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47252-2023</t>
        </is>
      </c>
      <c r="B657" s="1" t="n">
        <v>45202</v>
      </c>
      <c r="C657" s="1" t="n">
        <v>45628</v>
      </c>
      <c r="D657" t="inlineStr">
        <is>
          <t>JÄMTLANDS LÄN</t>
        </is>
      </c>
      <c r="E657" t="inlineStr">
        <is>
          <t>ÖSTERSUND</t>
        </is>
      </c>
      <c r="G657" t="n">
        <v>1.3</v>
      </c>
      <c r="H657" t="n">
        <v>0</v>
      </c>
      <c r="I657" t="n">
        <v>0</v>
      </c>
      <c r="J657" t="n">
        <v>0</v>
      </c>
      <c r="K657" t="n">
        <v>0</v>
      </c>
      <c r="L657" t="n">
        <v>0</v>
      </c>
      <c r="M657" t="n">
        <v>0</v>
      </c>
      <c r="N657" t="n">
        <v>0</v>
      </c>
      <c r="O657" t="n">
        <v>0</v>
      </c>
      <c r="P657" t="n">
        <v>0</v>
      </c>
      <c r="Q657" t="n">
        <v>0</v>
      </c>
      <c r="R657" s="2" t="inlineStr"/>
    </row>
    <row r="658" ht="15" customHeight="1">
      <c r="A658" t="inlineStr">
        <is>
          <t>A 47727-2023</t>
        </is>
      </c>
      <c r="B658" s="1" t="n">
        <v>45203</v>
      </c>
      <c r="C658" s="1" t="n">
        <v>45628</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48374-2023</t>
        </is>
      </c>
      <c r="B659" s="1" t="n">
        <v>45205</v>
      </c>
      <c r="C659" s="1" t="n">
        <v>45628</v>
      </c>
      <c r="D659" t="inlineStr">
        <is>
          <t>JÄMTLANDS LÄN</t>
        </is>
      </c>
      <c r="E659" t="inlineStr">
        <is>
          <t>ÖSTERSUND</t>
        </is>
      </c>
      <c r="G659" t="n">
        <v>5.6</v>
      </c>
      <c r="H659" t="n">
        <v>0</v>
      </c>
      <c r="I659" t="n">
        <v>0</v>
      </c>
      <c r="J659" t="n">
        <v>0</v>
      </c>
      <c r="K659" t="n">
        <v>0</v>
      </c>
      <c r="L659" t="n">
        <v>0</v>
      </c>
      <c r="M659" t="n">
        <v>0</v>
      </c>
      <c r="N659" t="n">
        <v>0</v>
      </c>
      <c r="O659" t="n">
        <v>0</v>
      </c>
      <c r="P659" t="n">
        <v>0</v>
      </c>
      <c r="Q659" t="n">
        <v>0</v>
      </c>
      <c r="R659" s="2" t="inlineStr"/>
    </row>
    <row r="660" ht="15" customHeight="1">
      <c r="A660" t="inlineStr">
        <is>
          <t>A 50753-2023</t>
        </is>
      </c>
      <c r="B660" s="1" t="n">
        <v>45210</v>
      </c>
      <c r="C660" s="1" t="n">
        <v>45628</v>
      </c>
      <c r="D660" t="inlineStr">
        <is>
          <t>JÄMTLANDS LÄN</t>
        </is>
      </c>
      <c r="E660" t="inlineStr">
        <is>
          <t>ÖSTERSUND</t>
        </is>
      </c>
      <c r="G660" t="n">
        <v>29.3</v>
      </c>
      <c r="H660" t="n">
        <v>0</v>
      </c>
      <c r="I660" t="n">
        <v>0</v>
      </c>
      <c r="J660" t="n">
        <v>0</v>
      </c>
      <c r="K660" t="n">
        <v>0</v>
      </c>
      <c r="L660" t="n">
        <v>0</v>
      </c>
      <c r="M660" t="n">
        <v>0</v>
      </c>
      <c r="N660" t="n">
        <v>0</v>
      </c>
      <c r="O660" t="n">
        <v>0</v>
      </c>
      <c r="P660" t="n">
        <v>0</v>
      </c>
      <c r="Q660" t="n">
        <v>0</v>
      </c>
      <c r="R660" s="2" t="inlineStr"/>
    </row>
    <row r="661" ht="15" customHeight="1">
      <c r="A661" t="inlineStr">
        <is>
          <t>A 50953-2023</t>
        </is>
      </c>
      <c r="B661" s="1" t="n">
        <v>45211</v>
      </c>
      <c r="C661" s="1" t="n">
        <v>45628</v>
      </c>
      <c r="D661" t="inlineStr">
        <is>
          <t>JÄMTLANDS LÄN</t>
        </is>
      </c>
      <c r="E661" t="inlineStr">
        <is>
          <t>ÖSTERSUND</t>
        </is>
      </c>
      <c r="G661" t="n">
        <v>2.2</v>
      </c>
      <c r="H661" t="n">
        <v>0</v>
      </c>
      <c r="I661" t="n">
        <v>0</v>
      </c>
      <c r="J661" t="n">
        <v>0</v>
      </c>
      <c r="K661" t="n">
        <v>0</v>
      </c>
      <c r="L661" t="n">
        <v>0</v>
      </c>
      <c r="M661" t="n">
        <v>0</v>
      </c>
      <c r="N661" t="n">
        <v>0</v>
      </c>
      <c r="O661" t="n">
        <v>0</v>
      </c>
      <c r="P661" t="n">
        <v>0</v>
      </c>
      <c r="Q661" t="n">
        <v>0</v>
      </c>
      <c r="R661" s="2" t="inlineStr"/>
    </row>
    <row r="662" ht="15" customHeight="1">
      <c r="A662" t="inlineStr">
        <is>
          <t>A 51701-2023</t>
        </is>
      </c>
      <c r="B662" s="1" t="n">
        <v>45215</v>
      </c>
      <c r="C662" s="1" t="n">
        <v>45628</v>
      </c>
      <c r="D662" t="inlineStr">
        <is>
          <t>JÄMTLANDS LÄN</t>
        </is>
      </c>
      <c r="E662" t="inlineStr">
        <is>
          <t>ÖSTERSUND</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52209-2023</t>
        </is>
      </c>
      <c r="B663" s="1" t="n">
        <v>45217</v>
      </c>
      <c r="C663" s="1" t="n">
        <v>45628</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50965-2023</t>
        </is>
      </c>
      <c r="B664" s="1" t="n">
        <v>45218</v>
      </c>
      <c r="C664" s="1" t="n">
        <v>45628</v>
      </c>
      <c r="D664" t="inlineStr">
        <is>
          <t>JÄMTLANDS LÄN</t>
        </is>
      </c>
      <c r="E664" t="inlineStr">
        <is>
          <t>ÖSTERSUND</t>
        </is>
      </c>
      <c r="G664" t="n">
        <v>3.5</v>
      </c>
      <c r="H664" t="n">
        <v>0</v>
      </c>
      <c r="I664" t="n">
        <v>0</v>
      </c>
      <c r="J664" t="n">
        <v>0</v>
      </c>
      <c r="K664" t="n">
        <v>0</v>
      </c>
      <c r="L664" t="n">
        <v>0</v>
      </c>
      <c r="M664" t="n">
        <v>0</v>
      </c>
      <c r="N664" t="n">
        <v>0</v>
      </c>
      <c r="O664" t="n">
        <v>0</v>
      </c>
      <c r="P664" t="n">
        <v>0</v>
      </c>
      <c r="Q664" t="n">
        <v>0</v>
      </c>
      <c r="R664" s="2" t="inlineStr"/>
    </row>
    <row r="665" ht="15" customHeight="1">
      <c r="A665" t="inlineStr">
        <is>
          <t>A 51480-2023</t>
        </is>
      </c>
      <c r="B665" s="1" t="n">
        <v>45222</v>
      </c>
      <c r="C665" s="1" t="n">
        <v>45628</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51482-2023</t>
        </is>
      </c>
      <c r="B666" s="1" t="n">
        <v>45222</v>
      </c>
      <c r="C666" s="1" t="n">
        <v>45628</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51481-2023</t>
        </is>
      </c>
      <c r="B667" s="1" t="n">
        <v>45222</v>
      </c>
      <c r="C667" s="1" t="n">
        <v>45628</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51479-2023</t>
        </is>
      </c>
      <c r="B668" s="1" t="n">
        <v>45222</v>
      </c>
      <c r="C668" s="1" t="n">
        <v>45628</v>
      </c>
      <c r="D668" t="inlineStr">
        <is>
          <t>JÄMTLANDS LÄN</t>
        </is>
      </c>
      <c r="E668" t="inlineStr">
        <is>
          <t>ÖSTERSUND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53152-2023</t>
        </is>
      </c>
      <c r="B669" s="1" t="n">
        <v>45222</v>
      </c>
      <c r="C669" s="1" t="n">
        <v>45628</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51818-2023</t>
        </is>
      </c>
      <c r="B670" s="1" t="n">
        <v>45223</v>
      </c>
      <c r="C670" s="1" t="n">
        <v>45628</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51913-2023</t>
        </is>
      </c>
      <c r="B671" s="1" t="n">
        <v>45223</v>
      </c>
      <c r="C671" s="1" t="n">
        <v>45628</v>
      </c>
      <c r="D671" t="inlineStr">
        <is>
          <t>JÄMTLANDS LÄN</t>
        </is>
      </c>
      <c r="E671" t="inlineStr">
        <is>
          <t>ÖSTERSUND</t>
        </is>
      </c>
      <c r="F671" t="inlineStr">
        <is>
          <t>Övriga Aktiebolag</t>
        </is>
      </c>
      <c r="G671" t="n">
        <v>3.4</v>
      </c>
      <c r="H671" t="n">
        <v>0</v>
      </c>
      <c r="I671" t="n">
        <v>0</v>
      </c>
      <c r="J671" t="n">
        <v>0</v>
      </c>
      <c r="K671" t="n">
        <v>0</v>
      </c>
      <c r="L671" t="n">
        <v>0</v>
      </c>
      <c r="M671" t="n">
        <v>0</v>
      </c>
      <c r="N671" t="n">
        <v>0</v>
      </c>
      <c r="O671" t="n">
        <v>0</v>
      </c>
      <c r="P671" t="n">
        <v>0</v>
      </c>
      <c r="Q671" t="n">
        <v>0</v>
      </c>
      <c r="R671" s="2" t="inlineStr"/>
    </row>
    <row r="672" ht="15" customHeight="1">
      <c r="A672" t="inlineStr">
        <is>
          <t>A 51942-2023</t>
        </is>
      </c>
      <c r="B672" s="1" t="n">
        <v>45223</v>
      </c>
      <c r="C672" s="1" t="n">
        <v>45628</v>
      </c>
      <c r="D672" t="inlineStr">
        <is>
          <t>JÄMTLANDS LÄN</t>
        </is>
      </c>
      <c r="E672" t="inlineStr">
        <is>
          <t>ÖSTERSUND</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52128-2023</t>
        </is>
      </c>
      <c r="B673" s="1" t="n">
        <v>45223</v>
      </c>
      <c r="C673" s="1" t="n">
        <v>45628</v>
      </c>
      <c r="D673" t="inlineStr">
        <is>
          <t>JÄMTLANDS LÄN</t>
        </is>
      </c>
      <c r="E673" t="inlineStr">
        <is>
          <t>ÖSTERSUND</t>
        </is>
      </c>
      <c r="F673" t="inlineStr">
        <is>
          <t>SCA</t>
        </is>
      </c>
      <c r="G673" t="n">
        <v>11.9</v>
      </c>
      <c r="H673" t="n">
        <v>0</v>
      </c>
      <c r="I673" t="n">
        <v>0</v>
      </c>
      <c r="J673" t="n">
        <v>0</v>
      </c>
      <c r="K673" t="n">
        <v>0</v>
      </c>
      <c r="L673" t="n">
        <v>0</v>
      </c>
      <c r="M673" t="n">
        <v>0</v>
      </c>
      <c r="N673" t="n">
        <v>0</v>
      </c>
      <c r="O673" t="n">
        <v>0</v>
      </c>
      <c r="P673" t="n">
        <v>0</v>
      </c>
      <c r="Q673" t="n">
        <v>0</v>
      </c>
      <c r="R673" s="2" t="inlineStr"/>
    </row>
    <row r="674" ht="15" customHeight="1">
      <c r="A674" t="inlineStr">
        <is>
          <t>A 51936-2023</t>
        </is>
      </c>
      <c r="B674" s="1" t="n">
        <v>45223</v>
      </c>
      <c r="C674" s="1" t="n">
        <v>45628</v>
      </c>
      <c r="D674" t="inlineStr">
        <is>
          <t>JÄMTLANDS LÄN</t>
        </is>
      </c>
      <c r="E674" t="inlineStr">
        <is>
          <t>ÖSTERSUND</t>
        </is>
      </c>
      <c r="G674" t="n">
        <v>8.4</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45628</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53378-2023</t>
        </is>
      </c>
      <c r="B676" s="1" t="n">
        <v>45223</v>
      </c>
      <c r="C676" s="1" t="n">
        <v>45628</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53380-2023</t>
        </is>
      </c>
      <c r="B677" s="1" t="n">
        <v>45223</v>
      </c>
      <c r="C677" s="1" t="n">
        <v>45628</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52553-2023</t>
        </is>
      </c>
      <c r="B678" s="1" t="n">
        <v>45225</v>
      </c>
      <c r="C678" s="1" t="n">
        <v>45628</v>
      </c>
      <c r="D678" t="inlineStr">
        <is>
          <t>JÄMTLANDS LÄN</t>
        </is>
      </c>
      <c r="E678" t="inlineStr">
        <is>
          <t>ÖSTERSUND</t>
        </is>
      </c>
      <c r="G678" t="n">
        <v>19.9</v>
      </c>
      <c r="H678" t="n">
        <v>0</v>
      </c>
      <c r="I678" t="n">
        <v>0</v>
      </c>
      <c r="J678" t="n">
        <v>0</v>
      </c>
      <c r="K678" t="n">
        <v>0</v>
      </c>
      <c r="L678" t="n">
        <v>0</v>
      </c>
      <c r="M678" t="n">
        <v>0</v>
      </c>
      <c r="N678" t="n">
        <v>0</v>
      </c>
      <c r="O678" t="n">
        <v>0</v>
      </c>
      <c r="P678" t="n">
        <v>0</v>
      </c>
      <c r="Q678" t="n">
        <v>0</v>
      </c>
      <c r="R678" s="2" t="inlineStr"/>
    </row>
    <row r="679" ht="15" customHeight="1">
      <c r="A679" t="inlineStr">
        <is>
          <t>A 55235-2023</t>
        </is>
      </c>
      <c r="B679" s="1" t="n">
        <v>45231</v>
      </c>
      <c r="C679" s="1" t="n">
        <v>45628</v>
      </c>
      <c r="D679" t="inlineStr">
        <is>
          <t>JÄMTLANDS LÄN</t>
        </is>
      </c>
      <c r="E679" t="inlineStr">
        <is>
          <t>ÖSTERSUND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55251-2023</t>
        </is>
      </c>
      <c r="B680" s="1" t="n">
        <v>45231</v>
      </c>
      <c r="C680" s="1" t="n">
        <v>45628</v>
      </c>
      <c r="D680" t="inlineStr">
        <is>
          <t>JÄMTLANDS LÄN</t>
        </is>
      </c>
      <c r="E680" t="inlineStr">
        <is>
          <t>ÖSTERSUND</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55400-2023</t>
        </is>
      </c>
      <c r="B681" s="1" t="n">
        <v>45231</v>
      </c>
      <c r="C681" s="1" t="n">
        <v>45628</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54131-2023</t>
        </is>
      </c>
      <c r="B682" s="1" t="n">
        <v>45232</v>
      </c>
      <c r="C682" s="1" t="n">
        <v>45628</v>
      </c>
      <c r="D682" t="inlineStr">
        <is>
          <t>JÄMTLANDS LÄN</t>
        </is>
      </c>
      <c r="E682" t="inlineStr">
        <is>
          <t>ÖSTERSUND</t>
        </is>
      </c>
      <c r="G682" t="n">
        <v>5.5</v>
      </c>
      <c r="H682" t="n">
        <v>0</v>
      </c>
      <c r="I682" t="n">
        <v>0</v>
      </c>
      <c r="J682" t="n">
        <v>0</v>
      </c>
      <c r="K682" t="n">
        <v>0</v>
      </c>
      <c r="L682" t="n">
        <v>0</v>
      </c>
      <c r="M682" t="n">
        <v>0</v>
      </c>
      <c r="N682" t="n">
        <v>0</v>
      </c>
      <c r="O682" t="n">
        <v>0</v>
      </c>
      <c r="P682" t="n">
        <v>0</v>
      </c>
      <c r="Q682" t="n">
        <v>0</v>
      </c>
      <c r="R682" s="2" t="inlineStr"/>
    </row>
    <row r="683" ht="15" customHeight="1">
      <c r="A683" t="inlineStr">
        <is>
          <t>A 54608-2023</t>
        </is>
      </c>
      <c r="B683" s="1" t="n">
        <v>45233</v>
      </c>
      <c r="C683" s="1" t="n">
        <v>45628</v>
      </c>
      <c r="D683" t="inlineStr">
        <is>
          <t>JÄMTLANDS LÄN</t>
        </is>
      </c>
      <c r="E683" t="inlineStr">
        <is>
          <t>ÖSTERSUND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55996-2023</t>
        </is>
      </c>
      <c r="B684" s="1" t="n">
        <v>45233</v>
      </c>
      <c r="C684" s="1" t="n">
        <v>45628</v>
      </c>
      <c r="D684" t="inlineStr">
        <is>
          <t>JÄMTLANDS LÄN</t>
        </is>
      </c>
      <c r="E684" t="inlineStr">
        <is>
          <t>ÖSTERSUND</t>
        </is>
      </c>
      <c r="G684" t="n">
        <v>2.4</v>
      </c>
      <c r="H684" t="n">
        <v>0</v>
      </c>
      <c r="I684" t="n">
        <v>0</v>
      </c>
      <c r="J684" t="n">
        <v>0</v>
      </c>
      <c r="K684" t="n">
        <v>0</v>
      </c>
      <c r="L684" t="n">
        <v>0</v>
      </c>
      <c r="M684" t="n">
        <v>0</v>
      </c>
      <c r="N684" t="n">
        <v>0</v>
      </c>
      <c r="O684" t="n">
        <v>0</v>
      </c>
      <c r="P684" t="n">
        <v>0</v>
      </c>
      <c r="Q684" t="n">
        <v>0</v>
      </c>
      <c r="R684" s="2" t="inlineStr"/>
    </row>
    <row r="685" ht="15" customHeight="1">
      <c r="A685" t="inlineStr">
        <is>
          <t>A 56043-2023</t>
        </is>
      </c>
      <c r="B685" s="1" t="n">
        <v>45233</v>
      </c>
      <c r="C685" s="1" t="n">
        <v>45628</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54576-2023</t>
        </is>
      </c>
      <c r="B686" s="1" t="n">
        <v>45233</v>
      </c>
      <c r="C686" s="1" t="n">
        <v>45628</v>
      </c>
      <c r="D686" t="inlineStr">
        <is>
          <t>JÄMTLANDS LÄN</t>
        </is>
      </c>
      <c r="E686" t="inlineStr">
        <is>
          <t>ÖSTERSUND</t>
        </is>
      </c>
      <c r="F686" t="inlineStr">
        <is>
          <t>Övriga Aktiebolag</t>
        </is>
      </c>
      <c r="G686" t="n">
        <v>7.3</v>
      </c>
      <c r="H686" t="n">
        <v>0</v>
      </c>
      <c r="I686" t="n">
        <v>0</v>
      </c>
      <c r="J686" t="n">
        <v>0</v>
      </c>
      <c r="K686" t="n">
        <v>0</v>
      </c>
      <c r="L686" t="n">
        <v>0</v>
      </c>
      <c r="M686" t="n">
        <v>0</v>
      </c>
      <c r="N686" t="n">
        <v>0</v>
      </c>
      <c r="O686" t="n">
        <v>0</v>
      </c>
      <c r="P686" t="n">
        <v>0</v>
      </c>
      <c r="Q686" t="n">
        <v>0</v>
      </c>
      <c r="R686" s="2" t="inlineStr"/>
    </row>
    <row r="687" ht="15" customHeight="1">
      <c r="A687" t="inlineStr">
        <is>
          <t>A 54762-2023</t>
        </is>
      </c>
      <c r="B687" s="1" t="n">
        <v>45236</v>
      </c>
      <c r="C687" s="1" t="n">
        <v>45628</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54883-2023</t>
        </is>
      </c>
      <c r="B688" s="1" t="n">
        <v>45236</v>
      </c>
      <c r="C688" s="1" t="n">
        <v>45628</v>
      </c>
      <c r="D688" t="inlineStr">
        <is>
          <t>JÄMTLANDS LÄN</t>
        </is>
      </c>
      <c r="E688" t="inlineStr">
        <is>
          <t>ÖSTERSUND</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54973-2023</t>
        </is>
      </c>
      <c r="B689" s="1" t="n">
        <v>45236</v>
      </c>
      <c r="C689" s="1" t="n">
        <v>45628</v>
      </c>
      <c r="D689" t="inlineStr">
        <is>
          <t>JÄMTLANDS LÄN</t>
        </is>
      </c>
      <c r="E689" t="inlineStr">
        <is>
          <t>ÖSTERSUND</t>
        </is>
      </c>
      <c r="G689" t="n">
        <v>15.4</v>
      </c>
      <c r="H689" t="n">
        <v>0</v>
      </c>
      <c r="I689" t="n">
        <v>0</v>
      </c>
      <c r="J689" t="n">
        <v>0</v>
      </c>
      <c r="K689" t="n">
        <v>0</v>
      </c>
      <c r="L689" t="n">
        <v>0</v>
      </c>
      <c r="M689" t="n">
        <v>0</v>
      </c>
      <c r="N689" t="n">
        <v>0</v>
      </c>
      <c r="O689" t="n">
        <v>0</v>
      </c>
      <c r="P689" t="n">
        <v>0</v>
      </c>
      <c r="Q689" t="n">
        <v>0</v>
      </c>
      <c r="R689" s="2" t="inlineStr"/>
    </row>
    <row r="690" ht="15" customHeight="1">
      <c r="A690" t="inlineStr">
        <is>
          <t>A 55140-2023</t>
        </is>
      </c>
      <c r="B690" s="1" t="n">
        <v>45237</v>
      </c>
      <c r="C690" s="1" t="n">
        <v>45628</v>
      </c>
      <c r="D690" t="inlineStr">
        <is>
          <t>JÄMTLANDS LÄN</t>
        </is>
      </c>
      <c r="E690" t="inlineStr">
        <is>
          <t>ÖSTERSUND</t>
        </is>
      </c>
      <c r="G690" t="n">
        <v>1.8</v>
      </c>
      <c r="H690" t="n">
        <v>0</v>
      </c>
      <c r="I690" t="n">
        <v>0</v>
      </c>
      <c r="J690" t="n">
        <v>0</v>
      </c>
      <c r="K690" t="n">
        <v>0</v>
      </c>
      <c r="L690" t="n">
        <v>0</v>
      </c>
      <c r="M690" t="n">
        <v>0</v>
      </c>
      <c r="N690" t="n">
        <v>0</v>
      </c>
      <c r="O690" t="n">
        <v>0</v>
      </c>
      <c r="P690" t="n">
        <v>0</v>
      </c>
      <c r="Q690" t="n">
        <v>0</v>
      </c>
      <c r="R690" s="2" t="inlineStr"/>
    </row>
    <row r="691" ht="15" customHeight="1">
      <c r="A691" t="inlineStr">
        <is>
          <t>A 55237-2023</t>
        </is>
      </c>
      <c r="B691" s="1" t="n">
        <v>45237</v>
      </c>
      <c r="C691" s="1" t="n">
        <v>45628</v>
      </c>
      <c r="D691" t="inlineStr">
        <is>
          <t>JÄMTLANDS LÄN</t>
        </is>
      </c>
      <c r="E691" t="inlineStr">
        <is>
          <t>ÖSTERSUND</t>
        </is>
      </c>
      <c r="G691" t="n">
        <v>2.7</v>
      </c>
      <c r="H691" t="n">
        <v>0</v>
      </c>
      <c r="I691" t="n">
        <v>0</v>
      </c>
      <c r="J691" t="n">
        <v>0</v>
      </c>
      <c r="K691" t="n">
        <v>0</v>
      </c>
      <c r="L691" t="n">
        <v>0</v>
      </c>
      <c r="M691" t="n">
        <v>0</v>
      </c>
      <c r="N691" t="n">
        <v>0</v>
      </c>
      <c r="O691" t="n">
        <v>0</v>
      </c>
      <c r="P691" t="n">
        <v>0</v>
      </c>
      <c r="Q691" t="n">
        <v>0</v>
      </c>
      <c r="R691" s="2" t="inlineStr"/>
    </row>
    <row r="692" ht="15" customHeight="1">
      <c r="A692" t="inlineStr">
        <is>
          <t>A 55233-2023</t>
        </is>
      </c>
      <c r="B692" s="1" t="n">
        <v>45237</v>
      </c>
      <c r="C692" s="1" t="n">
        <v>45628</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56440-2023</t>
        </is>
      </c>
      <c r="B693" s="1" t="n">
        <v>45237</v>
      </c>
      <c r="C693" s="1" t="n">
        <v>45628</v>
      </c>
      <c r="D693" t="inlineStr">
        <is>
          <t>JÄMTLANDS LÄN</t>
        </is>
      </c>
      <c r="E693" t="inlineStr">
        <is>
          <t>ÖSTERSUND</t>
        </is>
      </c>
      <c r="G693" t="n">
        <v>10.2</v>
      </c>
      <c r="H693" t="n">
        <v>0</v>
      </c>
      <c r="I693" t="n">
        <v>0</v>
      </c>
      <c r="J693" t="n">
        <v>0</v>
      </c>
      <c r="K693" t="n">
        <v>0</v>
      </c>
      <c r="L693" t="n">
        <v>0</v>
      </c>
      <c r="M693" t="n">
        <v>0</v>
      </c>
      <c r="N693" t="n">
        <v>0</v>
      </c>
      <c r="O693" t="n">
        <v>0</v>
      </c>
      <c r="P693" t="n">
        <v>0</v>
      </c>
      <c r="Q693" t="n">
        <v>0</v>
      </c>
      <c r="R693" s="2" t="inlineStr"/>
    </row>
    <row r="694" ht="15" customHeight="1">
      <c r="A694" t="inlineStr">
        <is>
          <t>A 55666-2023</t>
        </is>
      </c>
      <c r="B694" s="1" t="n">
        <v>45239</v>
      </c>
      <c r="C694" s="1" t="n">
        <v>45628</v>
      </c>
      <c r="D694" t="inlineStr">
        <is>
          <t>JÄMTLANDS LÄN</t>
        </is>
      </c>
      <c r="E694" t="inlineStr">
        <is>
          <t>ÖSTERSUND</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56597-2023</t>
        </is>
      </c>
      <c r="B695" s="1" t="n">
        <v>45238</v>
      </c>
      <c r="C695" s="1" t="n">
        <v>45628</v>
      </c>
      <c r="D695" t="inlineStr">
        <is>
          <t>JÄMTLANDS LÄN</t>
        </is>
      </c>
      <c r="E695" t="inlineStr">
        <is>
          <t>ÖSTERSUND</t>
        </is>
      </c>
      <c r="G695" t="n">
        <v>5.1</v>
      </c>
      <c r="H695" t="n">
        <v>0</v>
      </c>
      <c r="I695" t="n">
        <v>0</v>
      </c>
      <c r="J695" t="n">
        <v>0</v>
      </c>
      <c r="K695" t="n">
        <v>0</v>
      </c>
      <c r="L695" t="n">
        <v>0</v>
      </c>
      <c r="M695" t="n">
        <v>0</v>
      </c>
      <c r="N695" t="n">
        <v>0</v>
      </c>
      <c r="O695" t="n">
        <v>0</v>
      </c>
      <c r="P695" t="n">
        <v>0</v>
      </c>
      <c r="Q695" t="n">
        <v>0</v>
      </c>
      <c r="R695" s="2" t="inlineStr"/>
    </row>
    <row r="696" ht="15" customHeight="1">
      <c r="A696" t="inlineStr">
        <is>
          <t>A 55678-2023</t>
        </is>
      </c>
      <c r="B696" s="1" t="n">
        <v>45239</v>
      </c>
      <c r="C696" s="1" t="n">
        <v>45628</v>
      </c>
      <c r="D696" t="inlineStr">
        <is>
          <t>JÄMTLANDS LÄN</t>
        </is>
      </c>
      <c r="E696" t="inlineStr">
        <is>
          <t>ÖSTERSUND</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55785-2023</t>
        </is>
      </c>
      <c r="B697" s="1" t="n">
        <v>45239</v>
      </c>
      <c r="C697" s="1" t="n">
        <v>45628</v>
      </c>
      <c r="D697" t="inlineStr">
        <is>
          <t>JÄMTLANDS LÄN</t>
        </is>
      </c>
      <c r="E697" t="inlineStr">
        <is>
          <t>ÖSTERSUND</t>
        </is>
      </c>
      <c r="F697" t="inlineStr">
        <is>
          <t>Övriga Aktiebolag</t>
        </is>
      </c>
      <c r="G697" t="n">
        <v>16.4</v>
      </c>
      <c r="H697" t="n">
        <v>0</v>
      </c>
      <c r="I697" t="n">
        <v>0</v>
      </c>
      <c r="J697" t="n">
        <v>0</v>
      </c>
      <c r="K697" t="n">
        <v>0</v>
      </c>
      <c r="L697" t="n">
        <v>0</v>
      </c>
      <c r="M697" t="n">
        <v>0</v>
      </c>
      <c r="N697" t="n">
        <v>0</v>
      </c>
      <c r="O697" t="n">
        <v>0</v>
      </c>
      <c r="P697" t="n">
        <v>0</v>
      </c>
      <c r="Q697" t="n">
        <v>0</v>
      </c>
      <c r="R697" s="2" t="inlineStr"/>
    </row>
    <row r="698" ht="15" customHeight="1">
      <c r="A698" t="inlineStr">
        <is>
          <t>A 55827-2023</t>
        </is>
      </c>
      <c r="B698" s="1" t="n">
        <v>45239</v>
      </c>
      <c r="C698" s="1" t="n">
        <v>45628</v>
      </c>
      <c r="D698" t="inlineStr">
        <is>
          <t>JÄMTLANDS LÄN</t>
        </is>
      </c>
      <c r="E698" t="inlineStr">
        <is>
          <t>ÖSTERSUND</t>
        </is>
      </c>
      <c r="F698" t="inlineStr">
        <is>
          <t>Övriga Aktiebolag</t>
        </is>
      </c>
      <c r="G698" t="n">
        <v>9.1</v>
      </c>
      <c r="H698" t="n">
        <v>0</v>
      </c>
      <c r="I698" t="n">
        <v>0</v>
      </c>
      <c r="J698" t="n">
        <v>0</v>
      </c>
      <c r="K698" t="n">
        <v>0</v>
      </c>
      <c r="L698" t="n">
        <v>0</v>
      </c>
      <c r="M698" t="n">
        <v>0</v>
      </c>
      <c r="N698" t="n">
        <v>0</v>
      </c>
      <c r="O698" t="n">
        <v>0</v>
      </c>
      <c r="P698" t="n">
        <v>0</v>
      </c>
      <c r="Q698" t="n">
        <v>0</v>
      </c>
      <c r="R698" s="2" t="inlineStr"/>
    </row>
    <row r="699" ht="15" customHeight="1">
      <c r="A699" t="inlineStr">
        <is>
          <t>A 56465-2023</t>
        </is>
      </c>
      <c r="B699" s="1" t="n">
        <v>45243</v>
      </c>
      <c r="C699" s="1" t="n">
        <v>45628</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56478-2023</t>
        </is>
      </c>
      <c r="B700" s="1" t="n">
        <v>45243</v>
      </c>
      <c r="C700" s="1" t="n">
        <v>45628</v>
      </c>
      <c r="D700" t="inlineStr">
        <is>
          <t>JÄMTLANDS LÄN</t>
        </is>
      </c>
      <c r="E700" t="inlineStr">
        <is>
          <t>ÖSTERSUND</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57863-2023</t>
        </is>
      </c>
      <c r="B701" s="1" t="n">
        <v>45244</v>
      </c>
      <c r="C701" s="1" t="n">
        <v>45628</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57398-2023</t>
        </is>
      </c>
      <c r="B702" s="1" t="n">
        <v>45245</v>
      </c>
      <c r="C702" s="1" t="n">
        <v>45628</v>
      </c>
      <c r="D702" t="inlineStr">
        <is>
          <t>JÄMTLANDS LÄN</t>
        </is>
      </c>
      <c r="E702" t="inlineStr">
        <is>
          <t>ÖSTERSUND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58809-2023</t>
        </is>
      </c>
      <c r="B703" s="1" t="n">
        <v>45247</v>
      </c>
      <c r="C703" s="1" t="n">
        <v>45628</v>
      </c>
      <c r="D703" t="inlineStr">
        <is>
          <t>JÄMTLANDS LÄN</t>
        </is>
      </c>
      <c r="E703" t="inlineStr">
        <is>
          <t>ÖSTERSUND</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58818-2023</t>
        </is>
      </c>
      <c r="B704" s="1" t="n">
        <v>45247</v>
      </c>
      <c r="C704" s="1" t="n">
        <v>45628</v>
      </c>
      <c r="D704" t="inlineStr">
        <is>
          <t>JÄMTLANDS LÄN</t>
        </is>
      </c>
      <c r="E704" t="inlineStr">
        <is>
          <t>ÖSTERSUND</t>
        </is>
      </c>
      <c r="G704" t="n">
        <v>6.7</v>
      </c>
      <c r="H704" t="n">
        <v>0</v>
      </c>
      <c r="I704" t="n">
        <v>0</v>
      </c>
      <c r="J704" t="n">
        <v>0</v>
      </c>
      <c r="K704" t="n">
        <v>0</v>
      </c>
      <c r="L704" t="n">
        <v>0</v>
      </c>
      <c r="M704" t="n">
        <v>0</v>
      </c>
      <c r="N704" t="n">
        <v>0</v>
      </c>
      <c r="O704" t="n">
        <v>0</v>
      </c>
      <c r="P704" t="n">
        <v>0</v>
      </c>
      <c r="Q704" t="n">
        <v>0</v>
      </c>
      <c r="R704" s="2" t="inlineStr"/>
    </row>
    <row r="705" ht="15" customHeight="1">
      <c r="A705" t="inlineStr">
        <is>
          <t>A 57839-2023</t>
        </is>
      </c>
      <c r="B705" s="1" t="n">
        <v>45247</v>
      </c>
      <c r="C705" s="1" t="n">
        <v>45628</v>
      </c>
      <c r="D705" t="inlineStr">
        <is>
          <t>JÄMTLANDS LÄN</t>
        </is>
      </c>
      <c r="E705" t="inlineStr">
        <is>
          <t>ÖSTERSUND</t>
        </is>
      </c>
      <c r="G705" t="n">
        <v>6.1</v>
      </c>
      <c r="H705" t="n">
        <v>0</v>
      </c>
      <c r="I705" t="n">
        <v>0</v>
      </c>
      <c r="J705" t="n">
        <v>0</v>
      </c>
      <c r="K705" t="n">
        <v>0</v>
      </c>
      <c r="L705" t="n">
        <v>0</v>
      </c>
      <c r="M705" t="n">
        <v>0</v>
      </c>
      <c r="N705" t="n">
        <v>0</v>
      </c>
      <c r="O705" t="n">
        <v>0</v>
      </c>
      <c r="P705" t="n">
        <v>0</v>
      </c>
      <c r="Q705" t="n">
        <v>0</v>
      </c>
      <c r="R705" s="2" t="inlineStr"/>
    </row>
    <row r="706" ht="15" customHeight="1">
      <c r="A706" t="inlineStr">
        <is>
          <t>A 59021-2023</t>
        </is>
      </c>
      <c r="B706" s="1" t="n">
        <v>45250</v>
      </c>
      <c r="C706" s="1" t="n">
        <v>45628</v>
      </c>
      <c r="D706" t="inlineStr">
        <is>
          <t>JÄMTLANDS LÄN</t>
        </is>
      </c>
      <c r="E706" t="inlineStr">
        <is>
          <t>ÖSTERSUND</t>
        </is>
      </c>
      <c r="G706" t="n">
        <v>7</v>
      </c>
      <c r="H706" t="n">
        <v>0</v>
      </c>
      <c r="I706" t="n">
        <v>0</v>
      </c>
      <c r="J706" t="n">
        <v>0</v>
      </c>
      <c r="K706" t="n">
        <v>0</v>
      </c>
      <c r="L706" t="n">
        <v>0</v>
      </c>
      <c r="M706" t="n">
        <v>0</v>
      </c>
      <c r="N706" t="n">
        <v>0</v>
      </c>
      <c r="O706" t="n">
        <v>0</v>
      </c>
      <c r="P706" t="n">
        <v>0</v>
      </c>
      <c r="Q706" t="n">
        <v>0</v>
      </c>
      <c r="R706" s="2" t="inlineStr"/>
    </row>
    <row r="707" ht="15" customHeight="1">
      <c r="A707" t="inlineStr">
        <is>
          <t>A 59094-2023</t>
        </is>
      </c>
      <c r="B707" s="1" t="n">
        <v>45253</v>
      </c>
      <c r="C707" s="1" t="n">
        <v>45628</v>
      </c>
      <c r="D707" t="inlineStr">
        <is>
          <t>JÄMTLANDS LÄN</t>
        </is>
      </c>
      <c r="E707" t="inlineStr">
        <is>
          <t>ÖSTERSUND</t>
        </is>
      </c>
      <c r="G707" t="n">
        <v>0.8</v>
      </c>
      <c r="H707" t="n">
        <v>0</v>
      </c>
      <c r="I707" t="n">
        <v>0</v>
      </c>
      <c r="J707" t="n">
        <v>0</v>
      </c>
      <c r="K707" t="n">
        <v>0</v>
      </c>
      <c r="L707" t="n">
        <v>0</v>
      </c>
      <c r="M707" t="n">
        <v>0</v>
      </c>
      <c r="N707" t="n">
        <v>0</v>
      </c>
      <c r="O707" t="n">
        <v>0</v>
      </c>
      <c r="P707" t="n">
        <v>0</v>
      </c>
      <c r="Q707" t="n">
        <v>0</v>
      </c>
      <c r="R707" s="2" t="inlineStr"/>
    </row>
    <row r="708" ht="15" customHeight="1">
      <c r="A708" t="inlineStr">
        <is>
          <t>A 59095-2023</t>
        </is>
      </c>
      <c r="B708" s="1" t="n">
        <v>45253</v>
      </c>
      <c r="C708" s="1" t="n">
        <v>45628</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59611-2023</t>
        </is>
      </c>
      <c r="B709" s="1" t="n">
        <v>45254</v>
      </c>
      <c r="C709" s="1" t="n">
        <v>45628</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59953-2023</t>
        </is>
      </c>
      <c r="B710" s="1" t="n">
        <v>45254</v>
      </c>
      <c r="C710" s="1" t="n">
        <v>45628</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59694-2023</t>
        </is>
      </c>
      <c r="B711" s="1" t="n">
        <v>45256</v>
      </c>
      <c r="C711" s="1" t="n">
        <v>45628</v>
      </c>
      <c r="D711" t="inlineStr">
        <is>
          <t>JÄMTLANDS LÄN</t>
        </is>
      </c>
      <c r="E711" t="inlineStr">
        <is>
          <t>ÖSTERSUND</t>
        </is>
      </c>
      <c r="G711" t="n">
        <v>4.1</v>
      </c>
      <c r="H711" t="n">
        <v>0</v>
      </c>
      <c r="I711" t="n">
        <v>0</v>
      </c>
      <c r="J711" t="n">
        <v>0</v>
      </c>
      <c r="K711" t="n">
        <v>0</v>
      </c>
      <c r="L711" t="n">
        <v>0</v>
      </c>
      <c r="M711" t="n">
        <v>0</v>
      </c>
      <c r="N711" t="n">
        <v>0</v>
      </c>
      <c r="O711" t="n">
        <v>0</v>
      </c>
      <c r="P711" t="n">
        <v>0</v>
      </c>
      <c r="Q711" t="n">
        <v>0</v>
      </c>
      <c r="R711" s="2" t="inlineStr"/>
    </row>
    <row r="712" ht="15" customHeight="1">
      <c r="A712" t="inlineStr">
        <is>
          <t>A 59813-2023</t>
        </is>
      </c>
      <c r="B712" s="1" t="n">
        <v>45257</v>
      </c>
      <c r="C712" s="1" t="n">
        <v>45628</v>
      </c>
      <c r="D712" t="inlineStr">
        <is>
          <t>JÄMTLANDS LÄN</t>
        </is>
      </c>
      <c r="E712" t="inlineStr">
        <is>
          <t>ÖSTERSUND</t>
        </is>
      </c>
      <c r="G712" t="n">
        <v>3.8</v>
      </c>
      <c r="H712" t="n">
        <v>0</v>
      </c>
      <c r="I712" t="n">
        <v>0</v>
      </c>
      <c r="J712" t="n">
        <v>0</v>
      </c>
      <c r="K712" t="n">
        <v>0</v>
      </c>
      <c r="L712" t="n">
        <v>0</v>
      </c>
      <c r="M712" t="n">
        <v>0</v>
      </c>
      <c r="N712" t="n">
        <v>0</v>
      </c>
      <c r="O712" t="n">
        <v>0</v>
      </c>
      <c r="P712" t="n">
        <v>0</v>
      </c>
      <c r="Q712" t="n">
        <v>0</v>
      </c>
      <c r="R712" s="2" t="inlineStr"/>
    </row>
    <row r="713" ht="15" customHeight="1">
      <c r="A713" t="inlineStr">
        <is>
          <t>A 60029-2023</t>
        </is>
      </c>
      <c r="B713" s="1" t="n">
        <v>45258</v>
      </c>
      <c r="C713" s="1" t="n">
        <v>45628</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60477-2023</t>
        </is>
      </c>
      <c r="B714" s="1" t="n">
        <v>45258</v>
      </c>
      <c r="C714" s="1" t="n">
        <v>45628</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60794-2023</t>
        </is>
      </c>
      <c r="B715" s="1" t="n">
        <v>45260</v>
      </c>
      <c r="C715" s="1" t="n">
        <v>45628</v>
      </c>
      <c r="D715" t="inlineStr">
        <is>
          <t>JÄMTLANDS LÄN</t>
        </is>
      </c>
      <c r="E715" t="inlineStr">
        <is>
          <t>ÖSTERSUND</t>
        </is>
      </c>
      <c r="G715" t="n">
        <v>3.6</v>
      </c>
      <c r="H715" t="n">
        <v>0</v>
      </c>
      <c r="I715" t="n">
        <v>0</v>
      </c>
      <c r="J715" t="n">
        <v>0</v>
      </c>
      <c r="K715" t="n">
        <v>0</v>
      </c>
      <c r="L715" t="n">
        <v>0</v>
      </c>
      <c r="M715" t="n">
        <v>0</v>
      </c>
      <c r="N715" t="n">
        <v>0</v>
      </c>
      <c r="O715" t="n">
        <v>0</v>
      </c>
      <c r="P715" t="n">
        <v>0</v>
      </c>
      <c r="Q715" t="n">
        <v>0</v>
      </c>
      <c r="R715" s="2" t="inlineStr"/>
    </row>
    <row r="716" ht="15" customHeight="1">
      <c r="A716" t="inlineStr">
        <is>
          <t>A 60780-2023</t>
        </is>
      </c>
      <c r="B716" s="1" t="n">
        <v>45260</v>
      </c>
      <c r="C716" s="1" t="n">
        <v>45628</v>
      </c>
      <c r="D716" t="inlineStr">
        <is>
          <t>JÄMTLANDS LÄN</t>
        </is>
      </c>
      <c r="E716" t="inlineStr">
        <is>
          <t>ÖSTERSUND</t>
        </is>
      </c>
      <c r="G716" t="n">
        <v>3.7</v>
      </c>
      <c r="H716" t="n">
        <v>0</v>
      </c>
      <c r="I716" t="n">
        <v>0</v>
      </c>
      <c r="J716" t="n">
        <v>0</v>
      </c>
      <c r="K716" t="n">
        <v>0</v>
      </c>
      <c r="L716" t="n">
        <v>0</v>
      </c>
      <c r="M716" t="n">
        <v>0</v>
      </c>
      <c r="N716" t="n">
        <v>0</v>
      </c>
      <c r="O716" t="n">
        <v>0</v>
      </c>
      <c r="P716" t="n">
        <v>0</v>
      </c>
      <c r="Q716" t="n">
        <v>0</v>
      </c>
      <c r="R716" s="2" t="inlineStr"/>
    </row>
    <row r="717" ht="15" customHeight="1">
      <c r="A717" t="inlineStr">
        <is>
          <t>A 61135-2023</t>
        </is>
      </c>
      <c r="B717" s="1" t="n">
        <v>45261</v>
      </c>
      <c r="C717" s="1" t="n">
        <v>45628</v>
      </c>
      <c r="D717" t="inlineStr">
        <is>
          <t>JÄMTLANDS LÄN</t>
        </is>
      </c>
      <c r="E717" t="inlineStr">
        <is>
          <t>ÖSTERSUND</t>
        </is>
      </c>
      <c r="G717" t="n">
        <v>7.3</v>
      </c>
      <c r="H717" t="n">
        <v>0</v>
      </c>
      <c r="I717" t="n">
        <v>0</v>
      </c>
      <c r="J717" t="n">
        <v>0</v>
      </c>
      <c r="K717" t="n">
        <v>0</v>
      </c>
      <c r="L717" t="n">
        <v>0</v>
      </c>
      <c r="M717" t="n">
        <v>0</v>
      </c>
      <c r="N717" t="n">
        <v>0</v>
      </c>
      <c r="O717" t="n">
        <v>0</v>
      </c>
      <c r="P717" t="n">
        <v>0</v>
      </c>
      <c r="Q717" t="n">
        <v>0</v>
      </c>
      <c r="R717" s="2" t="inlineStr"/>
    </row>
    <row r="718" ht="15" customHeight="1">
      <c r="A718" t="inlineStr">
        <is>
          <t>A 61535-2023</t>
        </is>
      </c>
      <c r="B718" s="1" t="n">
        <v>45261</v>
      </c>
      <c r="C718" s="1" t="n">
        <v>45628</v>
      </c>
      <c r="D718" t="inlineStr">
        <is>
          <t>JÄMTLANDS LÄN</t>
        </is>
      </c>
      <c r="E718" t="inlineStr">
        <is>
          <t>ÖSTERSUND</t>
        </is>
      </c>
      <c r="F718" t="inlineStr">
        <is>
          <t>Övriga statliga verk och myndigheter</t>
        </is>
      </c>
      <c r="G718" t="n">
        <v>2.6</v>
      </c>
      <c r="H718" t="n">
        <v>0</v>
      </c>
      <c r="I718" t="n">
        <v>0</v>
      </c>
      <c r="J718" t="n">
        <v>0</v>
      </c>
      <c r="K718" t="n">
        <v>0</v>
      </c>
      <c r="L718" t="n">
        <v>0</v>
      </c>
      <c r="M718" t="n">
        <v>0</v>
      </c>
      <c r="N718" t="n">
        <v>0</v>
      </c>
      <c r="O718" t="n">
        <v>0</v>
      </c>
      <c r="P718" t="n">
        <v>0</v>
      </c>
      <c r="Q718" t="n">
        <v>0</v>
      </c>
      <c r="R718" s="2" t="inlineStr"/>
    </row>
    <row r="719" ht="15" customHeight="1">
      <c r="A719" t="inlineStr">
        <is>
          <t>A 61530-2023</t>
        </is>
      </c>
      <c r="B719" s="1" t="n">
        <v>45261</v>
      </c>
      <c r="C719" s="1" t="n">
        <v>45628</v>
      </c>
      <c r="D719" t="inlineStr">
        <is>
          <t>JÄMTLANDS LÄN</t>
        </is>
      </c>
      <c r="E719" t="inlineStr">
        <is>
          <t>ÖSTERSUND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61635-2023</t>
        </is>
      </c>
      <c r="B720" s="1" t="n">
        <v>45261</v>
      </c>
      <c r="C720" s="1" t="n">
        <v>45628</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61506-2023</t>
        </is>
      </c>
      <c r="B721" s="1" t="n">
        <v>45264</v>
      </c>
      <c r="C721" s="1" t="n">
        <v>45628</v>
      </c>
      <c r="D721" t="inlineStr">
        <is>
          <t>JÄMTLANDS LÄN</t>
        </is>
      </c>
      <c r="E721" t="inlineStr">
        <is>
          <t>ÖSTERSUND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61499-2023</t>
        </is>
      </c>
      <c r="B722" s="1" t="n">
        <v>45264</v>
      </c>
      <c r="C722" s="1" t="n">
        <v>45628</v>
      </c>
      <c r="D722" t="inlineStr">
        <is>
          <t>JÄMTLANDS LÄN</t>
        </is>
      </c>
      <c r="E722" t="inlineStr">
        <is>
          <t>ÖSTERSUND</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62052-2023</t>
        </is>
      </c>
      <c r="B723" s="1" t="n">
        <v>45265</v>
      </c>
      <c r="C723" s="1" t="n">
        <v>45628</v>
      </c>
      <c r="D723" t="inlineStr">
        <is>
          <t>JÄMTLANDS LÄN</t>
        </is>
      </c>
      <c r="E723" t="inlineStr">
        <is>
          <t>ÖSTERSUND</t>
        </is>
      </c>
      <c r="G723" t="n">
        <v>3.3</v>
      </c>
      <c r="H723" t="n">
        <v>0</v>
      </c>
      <c r="I723" t="n">
        <v>0</v>
      </c>
      <c r="J723" t="n">
        <v>0</v>
      </c>
      <c r="K723" t="n">
        <v>0</v>
      </c>
      <c r="L723" t="n">
        <v>0</v>
      </c>
      <c r="M723" t="n">
        <v>0</v>
      </c>
      <c r="N723" t="n">
        <v>0</v>
      </c>
      <c r="O723" t="n">
        <v>0</v>
      </c>
      <c r="P723" t="n">
        <v>0</v>
      </c>
      <c r="Q723" t="n">
        <v>0</v>
      </c>
      <c r="R723" s="2" t="inlineStr"/>
    </row>
    <row r="724" ht="15" customHeight="1">
      <c r="A724" t="inlineStr">
        <is>
          <t>A 61791-2023</t>
        </is>
      </c>
      <c r="B724" s="1" t="n">
        <v>45265</v>
      </c>
      <c r="C724" s="1" t="n">
        <v>45628</v>
      </c>
      <c r="D724" t="inlineStr">
        <is>
          <t>JÄMTLANDS LÄN</t>
        </is>
      </c>
      <c r="E724" t="inlineStr">
        <is>
          <t>ÖSTERSUND</t>
        </is>
      </c>
      <c r="F724" t="inlineStr">
        <is>
          <t>SCA</t>
        </is>
      </c>
      <c r="G724" t="n">
        <v>11.4</v>
      </c>
      <c r="H724" t="n">
        <v>0</v>
      </c>
      <c r="I724" t="n">
        <v>0</v>
      </c>
      <c r="J724" t="n">
        <v>0</v>
      </c>
      <c r="K724" t="n">
        <v>0</v>
      </c>
      <c r="L724" t="n">
        <v>0</v>
      </c>
      <c r="M724" t="n">
        <v>0</v>
      </c>
      <c r="N724" t="n">
        <v>0</v>
      </c>
      <c r="O724" t="n">
        <v>0</v>
      </c>
      <c r="P724" t="n">
        <v>0</v>
      </c>
      <c r="Q724" t="n">
        <v>0</v>
      </c>
      <c r="R724" s="2" t="inlineStr"/>
    </row>
    <row r="725" ht="15" customHeight="1">
      <c r="A725" t="inlineStr">
        <is>
          <t>A 62835-2023</t>
        </is>
      </c>
      <c r="B725" s="1" t="n">
        <v>45271</v>
      </c>
      <c r="C725" s="1" t="n">
        <v>45628</v>
      </c>
      <c r="D725" t="inlineStr">
        <is>
          <t>JÄMTLANDS LÄN</t>
        </is>
      </c>
      <c r="E725" t="inlineStr">
        <is>
          <t>ÖSTERSUND</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62834-2023</t>
        </is>
      </c>
      <c r="B726" s="1" t="n">
        <v>45271</v>
      </c>
      <c r="C726" s="1" t="n">
        <v>45628</v>
      </c>
      <c r="D726" t="inlineStr">
        <is>
          <t>JÄMTLANDS LÄN</t>
        </is>
      </c>
      <c r="E726" t="inlineStr">
        <is>
          <t>ÖSTERSUND</t>
        </is>
      </c>
      <c r="F726" t="inlineStr">
        <is>
          <t>SCA</t>
        </is>
      </c>
      <c r="G726" t="n">
        <v>12.2</v>
      </c>
      <c r="H726" t="n">
        <v>0</v>
      </c>
      <c r="I726" t="n">
        <v>0</v>
      </c>
      <c r="J726" t="n">
        <v>0</v>
      </c>
      <c r="K726" t="n">
        <v>0</v>
      </c>
      <c r="L726" t="n">
        <v>0</v>
      </c>
      <c r="M726" t="n">
        <v>0</v>
      </c>
      <c r="N726" t="n">
        <v>0</v>
      </c>
      <c r="O726" t="n">
        <v>0</v>
      </c>
      <c r="P726" t="n">
        <v>0</v>
      </c>
      <c r="Q726" t="n">
        <v>0</v>
      </c>
      <c r="R726" s="2" t="inlineStr"/>
    </row>
    <row r="727" ht="15" customHeight="1">
      <c r="A727" t="inlineStr">
        <is>
          <t>A 63086-2023</t>
        </is>
      </c>
      <c r="B727" s="1" t="n">
        <v>45272</v>
      </c>
      <c r="C727" s="1" t="n">
        <v>45628</v>
      </c>
      <c r="D727" t="inlineStr">
        <is>
          <t>JÄMTLANDS LÄN</t>
        </is>
      </c>
      <c r="E727" t="inlineStr">
        <is>
          <t>ÖSTERSUND</t>
        </is>
      </c>
      <c r="F727" t="inlineStr">
        <is>
          <t>Övriga statliga verk och myndigheter</t>
        </is>
      </c>
      <c r="G727" t="n">
        <v>2.9</v>
      </c>
      <c r="H727" t="n">
        <v>0</v>
      </c>
      <c r="I727" t="n">
        <v>0</v>
      </c>
      <c r="J727" t="n">
        <v>0</v>
      </c>
      <c r="K727" t="n">
        <v>0</v>
      </c>
      <c r="L727" t="n">
        <v>0</v>
      </c>
      <c r="M727" t="n">
        <v>0</v>
      </c>
      <c r="N727" t="n">
        <v>0</v>
      </c>
      <c r="O727" t="n">
        <v>0</v>
      </c>
      <c r="P727" t="n">
        <v>0</v>
      </c>
      <c r="Q727" t="n">
        <v>0</v>
      </c>
      <c r="R727" s="2" t="inlineStr"/>
    </row>
    <row r="728" ht="15" customHeight="1">
      <c r="A728" t="inlineStr">
        <is>
          <t>A 63101-2023</t>
        </is>
      </c>
      <c r="B728" s="1" t="n">
        <v>45273</v>
      </c>
      <c r="C728" s="1" t="n">
        <v>45628</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63099-2023</t>
        </is>
      </c>
      <c r="B729" s="1" t="n">
        <v>45273</v>
      </c>
      <c r="C729" s="1" t="n">
        <v>45628</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63320-2023</t>
        </is>
      </c>
      <c r="B730" s="1" t="n">
        <v>45273</v>
      </c>
      <c r="C730" s="1" t="n">
        <v>45628</v>
      </c>
      <c r="D730" t="inlineStr">
        <is>
          <t>JÄMTLANDS LÄN</t>
        </is>
      </c>
      <c r="E730" t="inlineStr">
        <is>
          <t>ÖSTERSUND</t>
        </is>
      </c>
      <c r="G730" t="n">
        <v>11.3</v>
      </c>
      <c r="H730" t="n">
        <v>0</v>
      </c>
      <c r="I730" t="n">
        <v>0</v>
      </c>
      <c r="J730" t="n">
        <v>0</v>
      </c>
      <c r="K730" t="n">
        <v>0</v>
      </c>
      <c r="L730" t="n">
        <v>0</v>
      </c>
      <c r="M730" t="n">
        <v>0</v>
      </c>
      <c r="N730" t="n">
        <v>0</v>
      </c>
      <c r="O730" t="n">
        <v>0</v>
      </c>
      <c r="P730" t="n">
        <v>0</v>
      </c>
      <c r="Q730" t="n">
        <v>0</v>
      </c>
      <c r="R730" s="2" t="inlineStr"/>
    </row>
    <row r="731" ht="15" customHeight="1">
      <c r="A731" t="inlineStr">
        <is>
          <t>A 63739-2023</t>
        </is>
      </c>
      <c r="B731" s="1" t="n">
        <v>45277</v>
      </c>
      <c r="C731" s="1" t="n">
        <v>45628</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63740-2023</t>
        </is>
      </c>
      <c r="B732" s="1" t="n">
        <v>45277</v>
      </c>
      <c r="C732" s="1" t="n">
        <v>45628</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64233-2023</t>
        </is>
      </c>
      <c r="B733" s="1" t="n">
        <v>45279</v>
      </c>
      <c r="C733" s="1" t="n">
        <v>45628</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64267-2023</t>
        </is>
      </c>
      <c r="B734" s="1" t="n">
        <v>45279</v>
      </c>
      <c r="C734" s="1" t="n">
        <v>45628</v>
      </c>
      <c r="D734" t="inlineStr">
        <is>
          <t>JÄMTLANDS LÄN</t>
        </is>
      </c>
      <c r="E734" t="inlineStr">
        <is>
          <t>ÖSTERSUND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45628</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64309-2023</t>
        </is>
      </c>
      <c r="B736" s="1" t="n">
        <v>45280</v>
      </c>
      <c r="C736" s="1" t="n">
        <v>45628</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64811-2023</t>
        </is>
      </c>
      <c r="B737" s="1" t="n">
        <v>45281</v>
      </c>
      <c r="C737" s="1" t="n">
        <v>45628</v>
      </c>
      <c r="D737" t="inlineStr">
        <is>
          <t>JÄMTLANDS LÄN</t>
        </is>
      </c>
      <c r="E737" t="inlineStr">
        <is>
          <t>ÖSTERSUND</t>
        </is>
      </c>
      <c r="G737" t="n">
        <v>7.6</v>
      </c>
      <c r="H737" t="n">
        <v>0</v>
      </c>
      <c r="I737" t="n">
        <v>0</v>
      </c>
      <c r="J737" t="n">
        <v>0</v>
      </c>
      <c r="K737" t="n">
        <v>0</v>
      </c>
      <c r="L737" t="n">
        <v>0</v>
      </c>
      <c r="M737" t="n">
        <v>0</v>
      </c>
      <c r="N737" t="n">
        <v>0</v>
      </c>
      <c r="O737" t="n">
        <v>0</v>
      </c>
      <c r="P737" t="n">
        <v>0</v>
      </c>
      <c r="Q737" t="n">
        <v>0</v>
      </c>
      <c r="R737" s="2" t="inlineStr"/>
    </row>
    <row r="738" ht="15" customHeight="1">
      <c r="A738" t="inlineStr">
        <is>
          <t>A 64954-2023</t>
        </is>
      </c>
      <c r="B738" s="1" t="n">
        <v>45282</v>
      </c>
      <c r="C738" s="1" t="n">
        <v>45628</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64953-2023</t>
        </is>
      </c>
      <c r="B739" s="1" t="n">
        <v>45282</v>
      </c>
      <c r="C739" s="1" t="n">
        <v>45628</v>
      </c>
      <c r="D739" t="inlineStr">
        <is>
          <t>JÄMTLANDS LÄN</t>
        </is>
      </c>
      <c r="E739" t="inlineStr">
        <is>
          <t>ÖSTERSUND</t>
        </is>
      </c>
      <c r="G739" t="n">
        <v>0.6</v>
      </c>
      <c r="H739" t="n">
        <v>0</v>
      </c>
      <c r="I739" t="n">
        <v>0</v>
      </c>
      <c r="J739" t="n">
        <v>0</v>
      </c>
      <c r="K739" t="n">
        <v>0</v>
      </c>
      <c r="L739" t="n">
        <v>0</v>
      </c>
      <c r="M739" t="n">
        <v>0</v>
      </c>
      <c r="N739" t="n">
        <v>0</v>
      </c>
      <c r="O739" t="n">
        <v>0</v>
      </c>
      <c r="P739" t="n">
        <v>0</v>
      </c>
      <c r="Q739" t="n">
        <v>0</v>
      </c>
      <c r="R739" s="2" t="inlineStr"/>
    </row>
    <row r="740" ht="15" customHeight="1">
      <c r="A740" t="inlineStr">
        <is>
          <t>A 440-2024</t>
        </is>
      </c>
      <c r="B740" s="1" t="n">
        <v>45296</v>
      </c>
      <c r="C740" s="1" t="n">
        <v>45628</v>
      </c>
      <c r="D740" t="inlineStr">
        <is>
          <t>JÄMTLANDS LÄN</t>
        </is>
      </c>
      <c r="E740" t="inlineStr">
        <is>
          <t>ÖSTERSUND</t>
        </is>
      </c>
      <c r="F740" t="inlineStr">
        <is>
          <t>Kommuner</t>
        </is>
      </c>
      <c r="G740" t="n">
        <v>10.1</v>
      </c>
      <c r="H740" t="n">
        <v>0</v>
      </c>
      <c r="I740" t="n">
        <v>0</v>
      </c>
      <c r="J740" t="n">
        <v>0</v>
      </c>
      <c r="K740" t="n">
        <v>0</v>
      </c>
      <c r="L740" t="n">
        <v>0</v>
      </c>
      <c r="M740" t="n">
        <v>0</v>
      </c>
      <c r="N740" t="n">
        <v>0</v>
      </c>
      <c r="O740" t="n">
        <v>0</v>
      </c>
      <c r="P740" t="n">
        <v>0</v>
      </c>
      <c r="Q740" t="n">
        <v>0</v>
      </c>
      <c r="R740" s="2" t="inlineStr"/>
    </row>
    <row r="741" ht="15" customHeight="1">
      <c r="A741" t="inlineStr">
        <is>
          <t>A 484-2024</t>
        </is>
      </c>
      <c r="B741" s="1" t="n">
        <v>45298</v>
      </c>
      <c r="C741" s="1" t="n">
        <v>45628</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485-2024</t>
        </is>
      </c>
      <c r="B742" s="1" t="n">
        <v>45298</v>
      </c>
      <c r="C742" s="1" t="n">
        <v>45628</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846-2024</t>
        </is>
      </c>
      <c r="B743" s="1" t="n">
        <v>45300</v>
      </c>
      <c r="C743" s="1" t="n">
        <v>45628</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748-2024</t>
        </is>
      </c>
      <c r="B744" s="1" t="n">
        <v>45300</v>
      </c>
      <c r="C744" s="1" t="n">
        <v>45628</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1159-2024</t>
        </is>
      </c>
      <c r="B745" s="1" t="n">
        <v>45302</v>
      </c>
      <c r="C745" s="1" t="n">
        <v>45628</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1669-2024</t>
        </is>
      </c>
      <c r="B746" s="1" t="n">
        <v>45306</v>
      </c>
      <c r="C746" s="1" t="n">
        <v>45628</v>
      </c>
      <c r="D746" t="inlineStr">
        <is>
          <t>JÄMTLANDS LÄN</t>
        </is>
      </c>
      <c r="E746" t="inlineStr">
        <is>
          <t>ÖSTERSUND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1670-2024</t>
        </is>
      </c>
      <c r="B747" s="1" t="n">
        <v>45306</v>
      </c>
      <c r="C747" s="1" t="n">
        <v>45628</v>
      </c>
      <c r="D747" t="inlineStr">
        <is>
          <t>JÄMTLANDS LÄN</t>
        </is>
      </c>
      <c r="E747" t="inlineStr">
        <is>
          <t>ÖSTERSUND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1873-2024</t>
        </is>
      </c>
      <c r="B748" s="1" t="n">
        <v>45307</v>
      </c>
      <c r="C748" s="1" t="n">
        <v>45628</v>
      </c>
      <c r="D748" t="inlineStr">
        <is>
          <t>JÄMTLANDS LÄN</t>
        </is>
      </c>
      <c r="E748" t="inlineStr">
        <is>
          <t>ÖSTERSUND</t>
        </is>
      </c>
      <c r="G748" t="n">
        <v>4.3</v>
      </c>
      <c r="H748" t="n">
        <v>0</v>
      </c>
      <c r="I748" t="n">
        <v>0</v>
      </c>
      <c r="J748" t="n">
        <v>0</v>
      </c>
      <c r="K748" t="n">
        <v>0</v>
      </c>
      <c r="L748" t="n">
        <v>0</v>
      </c>
      <c r="M748" t="n">
        <v>0</v>
      </c>
      <c r="N748" t="n">
        <v>0</v>
      </c>
      <c r="O748" t="n">
        <v>0</v>
      </c>
      <c r="P748" t="n">
        <v>0</v>
      </c>
      <c r="Q748" t="n">
        <v>0</v>
      </c>
      <c r="R748" s="2" t="inlineStr"/>
    </row>
    <row r="749" ht="15" customHeight="1">
      <c r="A749" t="inlineStr">
        <is>
          <t>A 2228-2024</t>
        </is>
      </c>
      <c r="B749" s="1" t="n">
        <v>45309</v>
      </c>
      <c r="C749" s="1" t="n">
        <v>45628</v>
      </c>
      <c r="D749" t="inlineStr">
        <is>
          <t>JÄMTLANDS LÄN</t>
        </is>
      </c>
      <c r="E749" t="inlineStr">
        <is>
          <t>ÖSTERSUND</t>
        </is>
      </c>
      <c r="G749" t="n">
        <v>2.5</v>
      </c>
      <c r="H749" t="n">
        <v>0</v>
      </c>
      <c r="I749" t="n">
        <v>0</v>
      </c>
      <c r="J749" t="n">
        <v>0</v>
      </c>
      <c r="K749" t="n">
        <v>0</v>
      </c>
      <c r="L749" t="n">
        <v>0</v>
      </c>
      <c r="M749" t="n">
        <v>0</v>
      </c>
      <c r="N749" t="n">
        <v>0</v>
      </c>
      <c r="O749" t="n">
        <v>0</v>
      </c>
      <c r="P749" t="n">
        <v>0</v>
      </c>
      <c r="Q749" t="n">
        <v>0</v>
      </c>
      <c r="R749" s="2" t="inlineStr"/>
    </row>
    <row r="750" ht="15" customHeight="1">
      <c r="A750" t="inlineStr">
        <is>
          <t>A 2615-2024</t>
        </is>
      </c>
      <c r="B750" s="1" t="n">
        <v>45313</v>
      </c>
      <c r="C750" s="1" t="n">
        <v>45628</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2627-2024</t>
        </is>
      </c>
      <c r="B751" s="1" t="n">
        <v>45313</v>
      </c>
      <c r="C751" s="1" t="n">
        <v>45628</v>
      </c>
      <c r="D751" t="inlineStr">
        <is>
          <t>JÄMTLANDS LÄN</t>
        </is>
      </c>
      <c r="E751" t="inlineStr">
        <is>
          <t>ÖSTERSUND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2756-2024</t>
        </is>
      </c>
      <c r="B752" s="1" t="n">
        <v>45314</v>
      </c>
      <c r="C752" s="1" t="n">
        <v>45628</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2984-2024</t>
        </is>
      </c>
      <c r="B753" s="1" t="n">
        <v>45315</v>
      </c>
      <c r="C753" s="1" t="n">
        <v>45628</v>
      </c>
      <c r="D753" t="inlineStr">
        <is>
          <t>JÄMTLANDS LÄN</t>
        </is>
      </c>
      <c r="E753" t="inlineStr">
        <is>
          <t>ÖSTERSUND</t>
        </is>
      </c>
      <c r="G753" t="n">
        <v>0.7</v>
      </c>
      <c r="H753" t="n">
        <v>0</v>
      </c>
      <c r="I753" t="n">
        <v>0</v>
      </c>
      <c r="J753" t="n">
        <v>0</v>
      </c>
      <c r="K753" t="n">
        <v>0</v>
      </c>
      <c r="L753" t="n">
        <v>0</v>
      </c>
      <c r="M753" t="n">
        <v>0</v>
      </c>
      <c r="N753" t="n">
        <v>0</v>
      </c>
      <c r="O753" t="n">
        <v>0</v>
      </c>
      <c r="P753" t="n">
        <v>0</v>
      </c>
      <c r="Q753" t="n">
        <v>0</v>
      </c>
      <c r="R753" s="2" t="inlineStr"/>
    </row>
    <row r="754" ht="15" customHeight="1">
      <c r="A754" t="inlineStr">
        <is>
          <t>A 2978-2024</t>
        </is>
      </c>
      <c r="B754" s="1" t="n">
        <v>45315</v>
      </c>
      <c r="C754" s="1" t="n">
        <v>45628</v>
      </c>
      <c r="D754" t="inlineStr">
        <is>
          <t>JÄMTLANDS LÄN</t>
        </is>
      </c>
      <c r="E754" t="inlineStr">
        <is>
          <t>ÖSTERSUND</t>
        </is>
      </c>
      <c r="G754" t="n">
        <v>1.7</v>
      </c>
      <c r="H754" t="n">
        <v>0</v>
      </c>
      <c r="I754" t="n">
        <v>0</v>
      </c>
      <c r="J754" t="n">
        <v>0</v>
      </c>
      <c r="K754" t="n">
        <v>0</v>
      </c>
      <c r="L754" t="n">
        <v>0</v>
      </c>
      <c r="M754" t="n">
        <v>0</v>
      </c>
      <c r="N754" t="n">
        <v>0</v>
      </c>
      <c r="O754" t="n">
        <v>0</v>
      </c>
      <c r="P754" t="n">
        <v>0</v>
      </c>
      <c r="Q754" t="n">
        <v>0</v>
      </c>
      <c r="R754" s="2" t="inlineStr"/>
    </row>
    <row r="755" ht="15" customHeight="1">
      <c r="A755" t="inlineStr">
        <is>
          <t>A 3186-2024</t>
        </is>
      </c>
      <c r="B755" s="1" t="n">
        <v>45316</v>
      </c>
      <c r="C755" s="1" t="n">
        <v>45628</v>
      </c>
      <c r="D755" t="inlineStr">
        <is>
          <t>JÄMTLANDS LÄN</t>
        </is>
      </c>
      <c r="E755" t="inlineStr">
        <is>
          <t>ÖSTERSUND</t>
        </is>
      </c>
      <c r="G755" t="n">
        <v>5.1</v>
      </c>
      <c r="H755" t="n">
        <v>0</v>
      </c>
      <c r="I755" t="n">
        <v>0</v>
      </c>
      <c r="J755" t="n">
        <v>0</v>
      </c>
      <c r="K755" t="n">
        <v>0</v>
      </c>
      <c r="L755" t="n">
        <v>0</v>
      </c>
      <c r="M755" t="n">
        <v>0</v>
      </c>
      <c r="N755" t="n">
        <v>0</v>
      </c>
      <c r="O755" t="n">
        <v>0</v>
      </c>
      <c r="P755" t="n">
        <v>0</v>
      </c>
      <c r="Q755" t="n">
        <v>0</v>
      </c>
      <c r="R755" s="2" t="inlineStr"/>
    </row>
    <row r="756" ht="15" customHeight="1">
      <c r="A756" t="inlineStr">
        <is>
          <t>A 3230-2024</t>
        </is>
      </c>
      <c r="B756" s="1" t="n">
        <v>45316</v>
      </c>
      <c r="C756" s="1" t="n">
        <v>45628</v>
      </c>
      <c r="D756" t="inlineStr">
        <is>
          <t>JÄMTLANDS LÄN</t>
        </is>
      </c>
      <c r="E756" t="inlineStr">
        <is>
          <t>ÖSTERSUND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3270-2024</t>
        </is>
      </c>
      <c r="B757" s="1" t="n">
        <v>45316</v>
      </c>
      <c r="C757" s="1" t="n">
        <v>45628</v>
      </c>
      <c r="D757" t="inlineStr">
        <is>
          <t>JÄMTLANDS LÄN</t>
        </is>
      </c>
      <c r="E757" t="inlineStr">
        <is>
          <t>ÖSTERSUND</t>
        </is>
      </c>
      <c r="G757" t="n">
        <v>7.5</v>
      </c>
      <c r="H757" t="n">
        <v>0</v>
      </c>
      <c r="I757" t="n">
        <v>0</v>
      </c>
      <c r="J757" t="n">
        <v>0</v>
      </c>
      <c r="K757" t="n">
        <v>0</v>
      </c>
      <c r="L757" t="n">
        <v>0</v>
      </c>
      <c r="M757" t="n">
        <v>0</v>
      </c>
      <c r="N757" t="n">
        <v>0</v>
      </c>
      <c r="O757" t="n">
        <v>0</v>
      </c>
      <c r="P757" t="n">
        <v>0</v>
      </c>
      <c r="Q757" t="n">
        <v>0</v>
      </c>
      <c r="R757" s="2" t="inlineStr"/>
    </row>
    <row r="758" ht="15" customHeight="1">
      <c r="A758" t="inlineStr">
        <is>
          <t>A 3610-2024</t>
        </is>
      </c>
      <c r="B758" s="1" t="n">
        <v>45320</v>
      </c>
      <c r="C758" s="1" t="n">
        <v>45628</v>
      </c>
      <c r="D758" t="inlineStr">
        <is>
          <t>JÄMTLANDS LÄN</t>
        </is>
      </c>
      <c r="E758" t="inlineStr">
        <is>
          <t>ÖSTERSUND</t>
        </is>
      </c>
      <c r="G758" t="n">
        <v>6.2</v>
      </c>
      <c r="H758" t="n">
        <v>0</v>
      </c>
      <c r="I758" t="n">
        <v>0</v>
      </c>
      <c r="J758" t="n">
        <v>0</v>
      </c>
      <c r="K758" t="n">
        <v>0</v>
      </c>
      <c r="L758" t="n">
        <v>0</v>
      </c>
      <c r="M758" t="n">
        <v>0</v>
      </c>
      <c r="N758" t="n">
        <v>0</v>
      </c>
      <c r="O758" t="n">
        <v>0</v>
      </c>
      <c r="P758" t="n">
        <v>0</v>
      </c>
      <c r="Q758" t="n">
        <v>0</v>
      </c>
      <c r="R758" s="2" t="inlineStr"/>
    </row>
    <row r="759" ht="15" customHeight="1">
      <c r="A759" t="inlineStr">
        <is>
          <t>A 3844-2024</t>
        </is>
      </c>
      <c r="B759" s="1" t="n">
        <v>45321</v>
      </c>
      <c r="C759" s="1" t="n">
        <v>45628</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4176-2024</t>
        </is>
      </c>
      <c r="B760" s="1" t="n">
        <v>45323</v>
      </c>
      <c r="C760" s="1" t="n">
        <v>45628</v>
      </c>
      <c r="D760" t="inlineStr">
        <is>
          <t>JÄMTLANDS LÄN</t>
        </is>
      </c>
      <c r="E760" t="inlineStr">
        <is>
          <t>ÖSTERSUND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4350-2024</t>
        </is>
      </c>
      <c r="B761" s="1" t="n">
        <v>45324</v>
      </c>
      <c r="C761" s="1" t="n">
        <v>45628</v>
      </c>
      <c r="D761" t="inlineStr">
        <is>
          <t>JÄMTLANDS LÄN</t>
        </is>
      </c>
      <c r="E761" t="inlineStr">
        <is>
          <t>ÖSTERSUND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4707-2024</t>
        </is>
      </c>
      <c r="B762" s="1" t="n">
        <v>45328</v>
      </c>
      <c r="C762" s="1" t="n">
        <v>45628</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5455-2024</t>
        </is>
      </c>
      <c r="B763" s="1" t="n">
        <v>45331</v>
      </c>
      <c r="C763" s="1" t="n">
        <v>45628</v>
      </c>
      <c r="D763" t="inlineStr">
        <is>
          <t>JÄMTLANDS LÄN</t>
        </is>
      </c>
      <c r="E763" t="inlineStr">
        <is>
          <t>ÖSTERSUND</t>
        </is>
      </c>
      <c r="G763" t="n">
        <v>4.8</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45628</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45628</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6056-2024</t>
        </is>
      </c>
      <c r="B766" s="1" t="n">
        <v>45336</v>
      </c>
      <c r="C766" s="1" t="n">
        <v>45628</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6053-2024</t>
        </is>
      </c>
      <c r="B767" s="1" t="n">
        <v>45336</v>
      </c>
      <c r="C767" s="1" t="n">
        <v>45628</v>
      </c>
      <c r="D767" t="inlineStr">
        <is>
          <t>JÄMTLANDS LÄN</t>
        </is>
      </c>
      <c r="E767" t="inlineStr">
        <is>
          <t>ÖSTERSUND</t>
        </is>
      </c>
      <c r="G767" t="n">
        <v>1.4</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45628</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45628</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6376-2024</t>
        </is>
      </c>
      <c r="B770" s="1" t="n">
        <v>45338</v>
      </c>
      <c r="C770" s="1" t="n">
        <v>45628</v>
      </c>
      <c r="D770" t="inlineStr">
        <is>
          <t>JÄMTLANDS LÄN</t>
        </is>
      </c>
      <c r="E770" t="inlineStr">
        <is>
          <t>ÖSTERSUND</t>
        </is>
      </c>
      <c r="G770" t="n">
        <v>4.6</v>
      </c>
      <c r="H770" t="n">
        <v>0</v>
      </c>
      <c r="I770" t="n">
        <v>0</v>
      </c>
      <c r="J770" t="n">
        <v>0</v>
      </c>
      <c r="K770" t="n">
        <v>0</v>
      </c>
      <c r="L770" t="n">
        <v>0</v>
      </c>
      <c r="M770" t="n">
        <v>0</v>
      </c>
      <c r="N770" t="n">
        <v>0</v>
      </c>
      <c r="O770" t="n">
        <v>0</v>
      </c>
      <c r="P770" t="n">
        <v>0</v>
      </c>
      <c r="Q770" t="n">
        <v>0</v>
      </c>
      <c r="R770" s="2" t="inlineStr"/>
    </row>
    <row r="771" ht="15" customHeight="1">
      <c r="A771" t="inlineStr">
        <is>
          <t>A 6402-2024</t>
        </is>
      </c>
      <c r="B771" s="1" t="n">
        <v>45338</v>
      </c>
      <c r="C771" s="1" t="n">
        <v>45628</v>
      </c>
      <c r="D771" t="inlineStr">
        <is>
          <t>JÄMTLANDS LÄN</t>
        </is>
      </c>
      <c r="E771" t="inlineStr">
        <is>
          <t>ÖSTERSUND</t>
        </is>
      </c>
      <c r="G771" t="n">
        <v>4.4</v>
      </c>
      <c r="H771" t="n">
        <v>0</v>
      </c>
      <c r="I771" t="n">
        <v>0</v>
      </c>
      <c r="J771" t="n">
        <v>0</v>
      </c>
      <c r="K771" t="n">
        <v>0</v>
      </c>
      <c r="L771" t="n">
        <v>0</v>
      </c>
      <c r="M771" t="n">
        <v>0</v>
      </c>
      <c r="N771" t="n">
        <v>0</v>
      </c>
      <c r="O771" t="n">
        <v>0</v>
      </c>
      <c r="P771" t="n">
        <v>0</v>
      </c>
      <c r="Q771" t="n">
        <v>0</v>
      </c>
      <c r="R771" s="2" t="inlineStr"/>
    </row>
    <row r="772" ht="15" customHeight="1">
      <c r="A772" t="inlineStr">
        <is>
          <t>A 6481-2024</t>
        </is>
      </c>
      <c r="B772" s="1" t="n">
        <v>45338</v>
      </c>
      <c r="C772" s="1" t="n">
        <v>45628</v>
      </c>
      <c r="D772" t="inlineStr">
        <is>
          <t>JÄMTLANDS LÄN</t>
        </is>
      </c>
      <c r="E772" t="inlineStr">
        <is>
          <t>ÖSTERSUND</t>
        </is>
      </c>
      <c r="F772" t="inlineStr">
        <is>
          <t>SCA</t>
        </is>
      </c>
      <c r="G772" t="n">
        <v>21.3</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45628</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7233-2024</t>
        </is>
      </c>
      <c r="B774" s="1" t="n">
        <v>45344</v>
      </c>
      <c r="C774" s="1" t="n">
        <v>45628</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7224-2024</t>
        </is>
      </c>
      <c r="B775" s="1" t="n">
        <v>45344</v>
      </c>
      <c r="C775" s="1" t="n">
        <v>45628</v>
      </c>
      <c r="D775" t="inlineStr">
        <is>
          <t>JÄMTLANDS LÄN</t>
        </is>
      </c>
      <c r="E775" t="inlineStr">
        <is>
          <t>ÖSTERSUND</t>
        </is>
      </c>
      <c r="G775" t="n">
        <v>2.9</v>
      </c>
      <c r="H775" t="n">
        <v>0</v>
      </c>
      <c r="I775" t="n">
        <v>0</v>
      </c>
      <c r="J775" t="n">
        <v>0</v>
      </c>
      <c r="K775" t="n">
        <v>0</v>
      </c>
      <c r="L775" t="n">
        <v>0</v>
      </c>
      <c r="M775" t="n">
        <v>0</v>
      </c>
      <c r="N775" t="n">
        <v>0</v>
      </c>
      <c r="O775" t="n">
        <v>0</v>
      </c>
      <c r="P775" t="n">
        <v>0</v>
      </c>
      <c r="Q775" t="n">
        <v>0</v>
      </c>
      <c r="R775" s="2" t="inlineStr"/>
    </row>
    <row r="776" ht="15" customHeight="1">
      <c r="A776" t="inlineStr">
        <is>
          <t>A 7228-2024</t>
        </is>
      </c>
      <c r="B776" s="1" t="n">
        <v>45344</v>
      </c>
      <c r="C776" s="1" t="n">
        <v>45628</v>
      </c>
      <c r="D776" t="inlineStr">
        <is>
          <t>JÄMTLANDS LÄN</t>
        </is>
      </c>
      <c r="E776" t="inlineStr">
        <is>
          <t>ÖSTERSUND</t>
        </is>
      </c>
      <c r="G776" t="n">
        <v>3</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45628</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45628</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45628</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ht="15" customHeight="1">
      <c r="A780" t="inlineStr">
        <is>
          <t>A 9151-2024</t>
        </is>
      </c>
      <c r="B780" s="1" t="n">
        <v>45358</v>
      </c>
      <c r="C780" s="1" t="n">
        <v>45628</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row r="781" ht="15" customHeight="1">
      <c r="A781" t="inlineStr">
        <is>
          <t>A 9859-2024</t>
        </is>
      </c>
      <c r="B781" s="1" t="n">
        <v>45363</v>
      </c>
      <c r="C781" s="1" t="n">
        <v>45628</v>
      </c>
      <c r="D781" t="inlineStr">
        <is>
          <t>JÄMTLANDS LÄN</t>
        </is>
      </c>
      <c r="E781" t="inlineStr">
        <is>
          <t>ÖSTERSUND</t>
        </is>
      </c>
      <c r="G781" t="n">
        <v>5.5</v>
      </c>
      <c r="H781" t="n">
        <v>0</v>
      </c>
      <c r="I781" t="n">
        <v>0</v>
      </c>
      <c r="J781" t="n">
        <v>0</v>
      </c>
      <c r="K781" t="n">
        <v>0</v>
      </c>
      <c r="L781" t="n">
        <v>0</v>
      </c>
      <c r="M781" t="n">
        <v>0</v>
      </c>
      <c r="N781" t="n">
        <v>0</v>
      </c>
      <c r="O781" t="n">
        <v>0</v>
      </c>
      <c r="P781" t="n">
        <v>0</v>
      </c>
      <c r="Q781" t="n">
        <v>0</v>
      </c>
      <c r="R781" s="2" t="inlineStr"/>
    </row>
    <row r="782" ht="15" customHeight="1">
      <c r="A782" t="inlineStr">
        <is>
          <t>A 10064-2024</t>
        </is>
      </c>
      <c r="B782" s="1" t="n">
        <v>45364</v>
      </c>
      <c r="C782" s="1" t="n">
        <v>45628</v>
      </c>
      <c r="D782" t="inlineStr">
        <is>
          <t>JÄMTLANDS LÄN</t>
        </is>
      </c>
      <c r="E782" t="inlineStr">
        <is>
          <t>ÖSTERSUND</t>
        </is>
      </c>
      <c r="G782" t="n">
        <v>13.9</v>
      </c>
      <c r="H782" t="n">
        <v>0</v>
      </c>
      <c r="I782" t="n">
        <v>0</v>
      </c>
      <c r="J782" t="n">
        <v>0</v>
      </c>
      <c r="K782" t="n">
        <v>0</v>
      </c>
      <c r="L782" t="n">
        <v>0</v>
      </c>
      <c r="M782" t="n">
        <v>0</v>
      </c>
      <c r="N782" t="n">
        <v>0</v>
      </c>
      <c r="O782" t="n">
        <v>0</v>
      </c>
      <c r="P782" t="n">
        <v>0</v>
      </c>
      <c r="Q782" t="n">
        <v>0</v>
      </c>
      <c r="R782" s="2" t="inlineStr"/>
    </row>
    <row r="783" ht="15" customHeight="1">
      <c r="A783" t="inlineStr">
        <is>
          <t>A 10619-2024</t>
        </is>
      </c>
      <c r="B783" s="1" t="n">
        <v>45367</v>
      </c>
      <c r="C783" s="1" t="n">
        <v>45628</v>
      </c>
      <c r="D783" t="inlineStr">
        <is>
          <t>JÄMTLANDS LÄN</t>
        </is>
      </c>
      <c r="E783" t="inlineStr">
        <is>
          <t>ÖSTERSUND</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11052-2024</t>
        </is>
      </c>
      <c r="B784" s="1" t="n">
        <v>45370</v>
      </c>
      <c r="C784" s="1" t="n">
        <v>45628</v>
      </c>
      <c r="D784" t="inlineStr">
        <is>
          <t>JÄMTLANDS LÄN</t>
        </is>
      </c>
      <c r="E784" t="inlineStr">
        <is>
          <t>ÖSTERSUND</t>
        </is>
      </c>
      <c r="G784" t="n">
        <v>2.3</v>
      </c>
      <c r="H784" t="n">
        <v>0</v>
      </c>
      <c r="I784" t="n">
        <v>0</v>
      </c>
      <c r="J784" t="n">
        <v>0</v>
      </c>
      <c r="K784" t="n">
        <v>0</v>
      </c>
      <c r="L784" t="n">
        <v>0</v>
      </c>
      <c r="M784" t="n">
        <v>0</v>
      </c>
      <c r="N784" t="n">
        <v>0</v>
      </c>
      <c r="O784" t="n">
        <v>0</v>
      </c>
      <c r="P784" t="n">
        <v>0</v>
      </c>
      <c r="Q784" t="n">
        <v>0</v>
      </c>
      <c r="R784" s="2" t="inlineStr"/>
    </row>
    <row r="785" ht="15" customHeight="1">
      <c r="A785" t="inlineStr">
        <is>
          <t>A 11768-2024</t>
        </is>
      </c>
      <c r="B785" s="1" t="n">
        <v>45373</v>
      </c>
      <c r="C785" s="1" t="n">
        <v>45628</v>
      </c>
      <c r="D785" t="inlineStr">
        <is>
          <t>JÄMTLANDS LÄN</t>
        </is>
      </c>
      <c r="E785" t="inlineStr">
        <is>
          <t>ÖSTERSUND</t>
        </is>
      </c>
      <c r="F785" t="inlineStr">
        <is>
          <t>SCA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11877-2024</t>
        </is>
      </c>
      <c r="B786" s="1" t="n">
        <v>45376</v>
      </c>
      <c r="C786" s="1" t="n">
        <v>45628</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11931-2024</t>
        </is>
      </c>
      <c r="B787" s="1" t="n">
        <v>45376</v>
      </c>
      <c r="C787" s="1" t="n">
        <v>45628</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14142-2024</t>
        </is>
      </c>
      <c r="B788" s="1" t="n">
        <v>45392</v>
      </c>
      <c r="C788" s="1" t="n">
        <v>45628</v>
      </c>
      <c r="D788" t="inlineStr">
        <is>
          <t>JÄMTLANDS LÄN</t>
        </is>
      </c>
      <c r="E788" t="inlineStr">
        <is>
          <t>ÖSTERSUND</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16068-2024</t>
        </is>
      </c>
      <c r="B789" s="1" t="n">
        <v>45406</v>
      </c>
      <c r="C789" s="1" t="n">
        <v>45628</v>
      </c>
      <c r="D789" t="inlineStr">
        <is>
          <t>JÄMTLANDS LÄN</t>
        </is>
      </c>
      <c r="E789" t="inlineStr">
        <is>
          <t>ÖSTERSUND</t>
        </is>
      </c>
      <c r="F789" t="inlineStr">
        <is>
          <t>SCA</t>
        </is>
      </c>
      <c r="G789" t="n">
        <v>35.6</v>
      </c>
      <c r="H789" t="n">
        <v>0</v>
      </c>
      <c r="I789" t="n">
        <v>0</v>
      </c>
      <c r="J789" t="n">
        <v>0</v>
      </c>
      <c r="K789" t="n">
        <v>0</v>
      </c>
      <c r="L789" t="n">
        <v>0</v>
      </c>
      <c r="M789" t="n">
        <v>0</v>
      </c>
      <c r="N789" t="n">
        <v>0</v>
      </c>
      <c r="O789" t="n">
        <v>0</v>
      </c>
      <c r="P789" t="n">
        <v>0</v>
      </c>
      <c r="Q789" t="n">
        <v>0</v>
      </c>
      <c r="R789" s="2" t="inlineStr"/>
    </row>
    <row r="790" ht="15" customHeight="1">
      <c r="A790" t="inlineStr">
        <is>
          <t>A 16065-2024</t>
        </is>
      </c>
      <c r="B790" s="1" t="n">
        <v>45406</v>
      </c>
      <c r="C790" s="1" t="n">
        <v>45628</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16459-2024</t>
        </is>
      </c>
      <c r="B791" s="1" t="n">
        <v>45407</v>
      </c>
      <c r="C791" s="1" t="n">
        <v>45628</v>
      </c>
      <c r="D791" t="inlineStr">
        <is>
          <t>JÄMTLANDS LÄN</t>
        </is>
      </c>
      <c r="E791" t="inlineStr">
        <is>
          <t>ÖSTERSUND</t>
        </is>
      </c>
      <c r="G791" t="n">
        <v>24</v>
      </c>
      <c r="H791" t="n">
        <v>0</v>
      </c>
      <c r="I791" t="n">
        <v>0</v>
      </c>
      <c r="J791" t="n">
        <v>0</v>
      </c>
      <c r="K791" t="n">
        <v>0</v>
      </c>
      <c r="L791" t="n">
        <v>0</v>
      </c>
      <c r="M791" t="n">
        <v>0</v>
      </c>
      <c r="N791" t="n">
        <v>0</v>
      </c>
      <c r="O791" t="n">
        <v>0</v>
      </c>
      <c r="P791" t="n">
        <v>0</v>
      </c>
      <c r="Q791" t="n">
        <v>0</v>
      </c>
      <c r="R791" s="2" t="inlineStr"/>
    </row>
    <row r="792" ht="15" customHeight="1">
      <c r="A792" t="inlineStr">
        <is>
          <t>A 16689-2024</t>
        </is>
      </c>
      <c r="B792" s="1" t="n">
        <v>45408</v>
      </c>
      <c r="C792" s="1" t="n">
        <v>45628</v>
      </c>
      <c r="D792" t="inlineStr">
        <is>
          <t>JÄMTLANDS LÄN</t>
        </is>
      </c>
      <c r="E792" t="inlineStr">
        <is>
          <t>ÖSTERSUND</t>
        </is>
      </c>
      <c r="G792" t="n">
        <v>0.6</v>
      </c>
      <c r="H792" t="n">
        <v>0</v>
      </c>
      <c r="I792" t="n">
        <v>0</v>
      </c>
      <c r="J792" t="n">
        <v>0</v>
      </c>
      <c r="K792" t="n">
        <v>0</v>
      </c>
      <c r="L792" t="n">
        <v>0</v>
      </c>
      <c r="M792" t="n">
        <v>0</v>
      </c>
      <c r="N792" t="n">
        <v>0</v>
      </c>
      <c r="O792" t="n">
        <v>0</v>
      </c>
      <c r="P792" t="n">
        <v>0</v>
      </c>
      <c r="Q792" t="n">
        <v>0</v>
      </c>
      <c r="R792" s="2" t="inlineStr"/>
    </row>
    <row r="793" ht="15" customHeight="1">
      <c r="A793" t="inlineStr">
        <is>
          <t>A 17188-2024</t>
        </is>
      </c>
      <c r="B793" s="1" t="n">
        <v>45413</v>
      </c>
      <c r="C793" s="1" t="n">
        <v>45628</v>
      </c>
      <c r="D793" t="inlineStr">
        <is>
          <t>JÄMTLANDS LÄN</t>
        </is>
      </c>
      <c r="E793" t="inlineStr">
        <is>
          <t>ÖSTERSUND</t>
        </is>
      </c>
      <c r="F793" t="inlineStr">
        <is>
          <t>SCA</t>
        </is>
      </c>
      <c r="G793" t="n">
        <v>14.6</v>
      </c>
      <c r="H793" t="n">
        <v>0</v>
      </c>
      <c r="I793" t="n">
        <v>0</v>
      </c>
      <c r="J793" t="n">
        <v>0</v>
      </c>
      <c r="K793" t="n">
        <v>0</v>
      </c>
      <c r="L793" t="n">
        <v>0</v>
      </c>
      <c r="M793" t="n">
        <v>0</v>
      </c>
      <c r="N793" t="n">
        <v>0</v>
      </c>
      <c r="O793" t="n">
        <v>0</v>
      </c>
      <c r="P793" t="n">
        <v>0</v>
      </c>
      <c r="Q793" t="n">
        <v>0</v>
      </c>
      <c r="R793" s="2" t="inlineStr"/>
    </row>
    <row r="794" ht="15" customHeight="1">
      <c r="A794" t="inlineStr">
        <is>
          <t>A 17062-2024</t>
        </is>
      </c>
      <c r="B794" s="1" t="n">
        <v>45412</v>
      </c>
      <c r="C794" s="1" t="n">
        <v>45628</v>
      </c>
      <c r="D794" t="inlineStr">
        <is>
          <t>JÄMTLANDS LÄN</t>
        </is>
      </c>
      <c r="E794" t="inlineStr">
        <is>
          <t>ÖSTERSUND</t>
        </is>
      </c>
      <c r="G794" t="n">
        <v>8</v>
      </c>
      <c r="H794" t="n">
        <v>0</v>
      </c>
      <c r="I794" t="n">
        <v>0</v>
      </c>
      <c r="J794" t="n">
        <v>0</v>
      </c>
      <c r="K794" t="n">
        <v>0</v>
      </c>
      <c r="L794" t="n">
        <v>0</v>
      </c>
      <c r="M794" t="n">
        <v>0</v>
      </c>
      <c r="N794" t="n">
        <v>0</v>
      </c>
      <c r="O794" t="n">
        <v>0</v>
      </c>
      <c r="P794" t="n">
        <v>0</v>
      </c>
      <c r="Q794" t="n">
        <v>0</v>
      </c>
      <c r="R794" s="2" t="inlineStr"/>
    </row>
    <row r="795" ht="15" customHeight="1">
      <c r="A795" t="inlineStr">
        <is>
          <t>A 17066-2024</t>
        </is>
      </c>
      <c r="B795" s="1" t="n">
        <v>45412</v>
      </c>
      <c r="C795" s="1" t="n">
        <v>45628</v>
      </c>
      <c r="D795" t="inlineStr">
        <is>
          <t>JÄMTLANDS LÄN</t>
        </is>
      </c>
      <c r="E795" t="inlineStr">
        <is>
          <t>ÖSTERSUND</t>
        </is>
      </c>
      <c r="G795" t="n">
        <v>4.2</v>
      </c>
      <c r="H795" t="n">
        <v>0</v>
      </c>
      <c r="I795" t="n">
        <v>0</v>
      </c>
      <c r="J795" t="n">
        <v>0</v>
      </c>
      <c r="K795" t="n">
        <v>0</v>
      </c>
      <c r="L795" t="n">
        <v>0</v>
      </c>
      <c r="M795" t="n">
        <v>0</v>
      </c>
      <c r="N795" t="n">
        <v>0</v>
      </c>
      <c r="O795" t="n">
        <v>0</v>
      </c>
      <c r="P795" t="n">
        <v>0</v>
      </c>
      <c r="Q795" t="n">
        <v>0</v>
      </c>
      <c r="R795" s="2" t="inlineStr"/>
    </row>
    <row r="796" ht="15" customHeight="1">
      <c r="A796" t="inlineStr">
        <is>
          <t>A 17547-2024</t>
        </is>
      </c>
      <c r="B796" s="1" t="n">
        <v>45415</v>
      </c>
      <c r="C796" s="1" t="n">
        <v>45628</v>
      </c>
      <c r="D796" t="inlineStr">
        <is>
          <t>JÄMTLANDS LÄN</t>
        </is>
      </c>
      <c r="E796" t="inlineStr">
        <is>
          <t>ÖSTERSUND</t>
        </is>
      </c>
      <c r="G796" t="n">
        <v>2.1</v>
      </c>
      <c r="H796" t="n">
        <v>0</v>
      </c>
      <c r="I796" t="n">
        <v>0</v>
      </c>
      <c r="J796" t="n">
        <v>0</v>
      </c>
      <c r="K796" t="n">
        <v>0</v>
      </c>
      <c r="L796" t="n">
        <v>0</v>
      </c>
      <c r="M796" t="n">
        <v>0</v>
      </c>
      <c r="N796" t="n">
        <v>0</v>
      </c>
      <c r="O796" t="n">
        <v>0</v>
      </c>
      <c r="P796" t="n">
        <v>0</v>
      </c>
      <c r="Q796" t="n">
        <v>0</v>
      </c>
      <c r="R796" s="2" t="inlineStr"/>
    </row>
    <row r="797" ht="15" customHeight="1">
      <c r="A797" t="inlineStr">
        <is>
          <t>A 17760-2024</t>
        </is>
      </c>
      <c r="B797" s="1" t="n">
        <v>45418</v>
      </c>
      <c r="C797" s="1" t="n">
        <v>45628</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17709-2024</t>
        </is>
      </c>
      <c r="B798" s="1" t="n">
        <v>45418</v>
      </c>
      <c r="C798" s="1" t="n">
        <v>45628</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18627-2024</t>
        </is>
      </c>
      <c r="B799" s="1" t="n">
        <v>45426</v>
      </c>
      <c r="C799" s="1" t="n">
        <v>45628</v>
      </c>
      <c r="D799" t="inlineStr">
        <is>
          <t>JÄMTLANDS LÄN</t>
        </is>
      </c>
      <c r="E799" t="inlineStr">
        <is>
          <t>ÖSTERSUND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18643-2024</t>
        </is>
      </c>
      <c r="B800" s="1" t="n">
        <v>45426</v>
      </c>
      <c r="C800" s="1" t="n">
        <v>45628</v>
      </c>
      <c r="D800" t="inlineStr">
        <is>
          <t>JÄMTLANDS LÄN</t>
        </is>
      </c>
      <c r="E800" t="inlineStr">
        <is>
          <t>ÖSTERSUND</t>
        </is>
      </c>
      <c r="F800" t="inlineStr">
        <is>
          <t>SCA</t>
        </is>
      </c>
      <c r="G800" t="n">
        <v>10.3</v>
      </c>
      <c r="H800" t="n">
        <v>0</v>
      </c>
      <c r="I800" t="n">
        <v>0</v>
      </c>
      <c r="J800" t="n">
        <v>0</v>
      </c>
      <c r="K800" t="n">
        <v>0</v>
      </c>
      <c r="L800" t="n">
        <v>0</v>
      </c>
      <c r="M800" t="n">
        <v>0</v>
      </c>
      <c r="N800" t="n">
        <v>0</v>
      </c>
      <c r="O800" t="n">
        <v>0</v>
      </c>
      <c r="P800" t="n">
        <v>0</v>
      </c>
      <c r="Q800" t="n">
        <v>0</v>
      </c>
      <c r="R800" s="2" t="inlineStr"/>
    </row>
    <row r="801" ht="15" customHeight="1">
      <c r="A801" t="inlineStr">
        <is>
          <t>A 18624-2024</t>
        </is>
      </c>
      <c r="B801" s="1" t="n">
        <v>45426</v>
      </c>
      <c r="C801" s="1" t="n">
        <v>45628</v>
      </c>
      <c r="D801" t="inlineStr">
        <is>
          <t>JÄMTLANDS LÄN</t>
        </is>
      </c>
      <c r="E801" t="inlineStr">
        <is>
          <t>ÖSTERSUND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19112-2024</t>
        </is>
      </c>
      <c r="B802" s="1" t="n">
        <v>45427</v>
      </c>
      <c r="C802" s="1" t="n">
        <v>45628</v>
      </c>
      <c r="D802" t="inlineStr">
        <is>
          <t>JÄMTLANDS LÄN</t>
        </is>
      </c>
      <c r="E802" t="inlineStr">
        <is>
          <t>ÖSTERSUND</t>
        </is>
      </c>
      <c r="G802" t="n">
        <v>3.6</v>
      </c>
      <c r="H802" t="n">
        <v>0</v>
      </c>
      <c r="I802" t="n">
        <v>0</v>
      </c>
      <c r="J802" t="n">
        <v>0</v>
      </c>
      <c r="K802" t="n">
        <v>0</v>
      </c>
      <c r="L802" t="n">
        <v>0</v>
      </c>
      <c r="M802" t="n">
        <v>0</v>
      </c>
      <c r="N802" t="n">
        <v>0</v>
      </c>
      <c r="O802" t="n">
        <v>0</v>
      </c>
      <c r="P802" t="n">
        <v>0</v>
      </c>
      <c r="Q802" t="n">
        <v>0</v>
      </c>
      <c r="R802" s="2" t="inlineStr"/>
    </row>
    <row r="803" ht="15" customHeight="1">
      <c r="A803" t="inlineStr">
        <is>
          <t>A 19037-2024</t>
        </is>
      </c>
      <c r="B803" s="1" t="n">
        <v>45427</v>
      </c>
      <c r="C803" s="1" t="n">
        <v>45628</v>
      </c>
      <c r="D803" t="inlineStr">
        <is>
          <t>JÄMTLANDS LÄN</t>
        </is>
      </c>
      <c r="E803" t="inlineStr">
        <is>
          <t>ÖSTERSUND</t>
        </is>
      </c>
      <c r="G803" t="n">
        <v>2</v>
      </c>
      <c r="H803" t="n">
        <v>0</v>
      </c>
      <c r="I803" t="n">
        <v>0</v>
      </c>
      <c r="J803" t="n">
        <v>0</v>
      </c>
      <c r="K803" t="n">
        <v>0</v>
      </c>
      <c r="L803" t="n">
        <v>0</v>
      </c>
      <c r="M803" t="n">
        <v>0</v>
      </c>
      <c r="N803" t="n">
        <v>0</v>
      </c>
      <c r="O803" t="n">
        <v>0</v>
      </c>
      <c r="P803" t="n">
        <v>0</v>
      </c>
      <c r="Q803" t="n">
        <v>0</v>
      </c>
      <c r="R803" s="2" t="inlineStr"/>
    </row>
    <row r="804" ht="15" customHeight="1">
      <c r="A804" t="inlineStr">
        <is>
          <t>A 19138-2024</t>
        </is>
      </c>
      <c r="B804" s="1" t="n">
        <v>45428</v>
      </c>
      <c r="C804" s="1" t="n">
        <v>45628</v>
      </c>
      <c r="D804" t="inlineStr">
        <is>
          <t>JÄMTLANDS LÄN</t>
        </is>
      </c>
      <c r="E804" t="inlineStr">
        <is>
          <t>ÖSTERSUND</t>
        </is>
      </c>
      <c r="G804" t="n">
        <v>13.6</v>
      </c>
      <c r="H804" t="n">
        <v>0</v>
      </c>
      <c r="I804" t="n">
        <v>0</v>
      </c>
      <c r="J804" t="n">
        <v>0</v>
      </c>
      <c r="K804" t="n">
        <v>0</v>
      </c>
      <c r="L804" t="n">
        <v>0</v>
      </c>
      <c r="M804" t="n">
        <v>0</v>
      </c>
      <c r="N804" t="n">
        <v>0</v>
      </c>
      <c r="O804" t="n">
        <v>0</v>
      </c>
      <c r="P804" t="n">
        <v>0</v>
      </c>
      <c r="Q804" t="n">
        <v>0</v>
      </c>
      <c r="R804" s="2" t="inlineStr"/>
    </row>
    <row r="805" ht="15" customHeight="1">
      <c r="A805" t="inlineStr">
        <is>
          <t>A 19233-2024</t>
        </is>
      </c>
      <c r="B805" s="1" t="n">
        <v>45428</v>
      </c>
      <c r="C805" s="1" t="n">
        <v>45628</v>
      </c>
      <c r="D805" t="inlineStr">
        <is>
          <t>JÄMTLANDS LÄN</t>
        </is>
      </c>
      <c r="E805" t="inlineStr">
        <is>
          <t>ÖSTERSUND</t>
        </is>
      </c>
      <c r="G805" t="n">
        <v>2.2</v>
      </c>
      <c r="H805" t="n">
        <v>0</v>
      </c>
      <c r="I805" t="n">
        <v>0</v>
      </c>
      <c r="J805" t="n">
        <v>0</v>
      </c>
      <c r="K805" t="n">
        <v>0</v>
      </c>
      <c r="L805" t="n">
        <v>0</v>
      </c>
      <c r="M805" t="n">
        <v>0</v>
      </c>
      <c r="N805" t="n">
        <v>0</v>
      </c>
      <c r="O805" t="n">
        <v>0</v>
      </c>
      <c r="P805" t="n">
        <v>0</v>
      </c>
      <c r="Q805" t="n">
        <v>0</v>
      </c>
      <c r="R805" s="2" t="inlineStr"/>
    </row>
    <row r="806" ht="15" customHeight="1">
      <c r="A806" t="inlineStr">
        <is>
          <t>A 19408-2024</t>
        </is>
      </c>
      <c r="B806" s="1" t="n">
        <v>45428</v>
      </c>
      <c r="C806" s="1" t="n">
        <v>45628</v>
      </c>
      <c r="D806" t="inlineStr">
        <is>
          <t>JÄMTLANDS LÄN</t>
        </is>
      </c>
      <c r="E806" t="inlineStr">
        <is>
          <t>ÖSTERSUND</t>
        </is>
      </c>
      <c r="G806" t="n">
        <v>11.1</v>
      </c>
      <c r="H806" t="n">
        <v>0</v>
      </c>
      <c r="I806" t="n">
        <v>0</v>
      </c>
      <c r="J806" t="n">
        <v>0</v>
      </c>
      <c r="K806" t="n">
        <v>0</v>
      </c>
      <c r="L806" t="n">
        <v>0</v>
      </c>
      <c r="M806" t="n">
        <v>0</v>
      </c>
      <c r="N806" t="n">
        <v>0</v>
      </c>
      <c r="O806" t="n">
        <v>0</v>
      </c>
      <c r="P806" t="n">
        <v>0</v>
      </c>
      <c r="Q806" t="n">
        <v>0</v>
      </c>
      <c r="R806" s="2" t="inlineStr"/>
    </row>
    <row r="807" ht="15" customHeight="1">
      <c r="A807" t="inlineStr">
        <is>
          <t>A 19323-2024</t>
        </is>
      </c>
      <c r="B807" s="1" t="n">
        <v>45429</v>
      </c>
      <c r="C807" s="1" t="n">
        <v>45628</v>
      </c>
      <c r="D807" t="inlineStr">
        <is>
          <t>JÄMTLANDS LÄN</t>
        </is>
      </c>
      <c r="E807" t="inlineStr">
        <is>
          <t>ÖSTERSUND</t>
        </is>
      </c>
      <c r="F807" t="inlineStr">
        <is>
          <t>Kommuner</t>
        </is>
      </c>
      <c r="G807" t="n">
        <v>0.2</v>
      </c>
      <c r="H807" t="n">
        <v>0</v>
      </c>
      <c r="I807" t="n">
        <v>0</v>
      </c>
      <c r="J807" t="n">
        <v>0</v>
      </c>
      <c r="K807" t="n">
        <v>0</v>
      </c>
      <c r="L807" t="n">
        <v>0</v>
      </c>
      <c r="M807" t="n">
        <v>0</v>
      </c>
      <c r="N807" t="n">
        <v>0</v>
      </c>
      <c r="O807" t="n">
        <v>0</v>
      </c>
      <c r="P807" t="n">
        <v>0</v>
      </c>
      <c r="Q807" t="n">
        <v>0</v>
      </c>
      <c r="R807" s="2" t="inlineStr"/>
    </row>
    <row r="808" ht="15" customHeight="1">
      <c r="A808" t="inlineStr">
        <is>
          <t>A 19566-2024</t>
        </is>
      </c>
      <c r="B808" s="1" t="n">
        <v>45430</v>
      </c>
      <c r="C808" s="1" t="n">
        <v>45628</v>
      </c>
      <c r="D808" t="inlineStr">
        <is>
          <t>JÄMTLANDS LÄN</t>
        </is>
      </c>
      <c r="E808" t="inlineStr">
        <is>
          <t>ÖSTERSUND</t>
        </is>
      </c>
      <c r="G808" t="n">
        <v>0</v>
      </c>
      <c r="H808" t="n">
        <v>0</v>
      </c>
      <c r="I808" t="n">
        <v>0</v>
      </c>
      <c r="J808" t="n">
        <v>0</v>
      </c>
      <c r="K808" t="n">
        <v>0</v>
      </c>
      <c r="L808" t="n">
        <v>0</v>
      </c>
      <c r="M808" t="n">
        <v>0</v>
      </c>
      <c r="N808" t="n">
        <v>0</v>
      </c>
      <c r="O808" t="n">
        <v>0</v>
      </c>
      <c r="P808" t="n">
        <v>0</v>
      </c>
      <c r="Q808" t="n">
        <v>0</v>
      </c>
      <c r="R808" s="2" t="inlineStr"/>
    </row>
    <row r="809" ht="15" customHeight="1">
      <c r="A809" t="inlineStr">
        <is>
          <t>A 19570-2024</t>
        </is>
      </c>
      <c r="B809" s="1" t="n">
        <v>45430</v>
      </c>
      <c r="C809" s="1" t="n">
        <v>45628</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19725-2024</t>
        </is>
      </c>
      <c r="B810" s="1" t="n">
        <v>45432</v>
      </c>
      <c r="C810" s="1" t="n">
        <v>45628</v>
      </c>
      <c r="D810" t="inlineStr">
        <is>
          <t>JÄMTLANDS LÄN</t>
        </is>
      </c>
      <c r="E810" t="inlineStr">
        <is>
          <t>ÖSTERSUND</t>
        </is>
      </c>
      <c r="G810" t="n">
        <v>7.2</v>
      </c>
      <c r="H810" t="n">
        <v>0</v>
      </c>
      <c r="I810" t="n">
        <v>0</v>
      </c>
      <c r="J810" t="n">
        <v>0</v>
      </c>
      <c r="K810" t="n">
        <v>0</v>
      </c>
      <c r="L810" t="n">
        <v>0</v>
      </c>
      <c r="M810" t="n">
        <v>0</v>
      </c>
      <c r="N810" t="n">
        <v>0</v>
      </c>
      <c r="O810" t="n">
        <v>0</v>
      </c>
      <c r="P810" t="n">
        <v>0</v>
      </c>
      <c r="Q810" t="n">
        <v>0</v>
      </c>
      <c r="R810" s="2" t="inlineStr"/>
    </row>
    <row r="811" ht="15" customHeight="1">
      <c r="A811" t="inlineStr">
        <is>
          <t>A 20068-2024</t>
        </is>
      </c>
      <c r="B811" s="1" t="n">
        <v>45434</v>
      </c>
      <c r="C811" s="1" t="n">
        <v>45628</v>
      </c>
      <c r="D811" t="inlineStr">
        <is>
          <t>JÄMTLANDS LÄN</t>
        </is>
      </c>
      <c r="E811" t="inlineStr">
        <is>
          <t>ÖSTERSUND</t>
        </is>
      </c>
      <c r="G811" t="n">
        <v>10.2</v>
      </c>
      <c r="H811" t="n">
        <v>0</v>
      </c>
      <c r="I811" t="n">
        <v>0</v>
      </c>
      <c r="J811" t="n">
        <v>0</v>
      </c>
      <c r="K811" t="n">
        <v>0</v>
      </c>
      <c r="L811" t="n">
        <v>0</v>
      </c>
      <c r="M811" t="n">
        <v>0</v>
      </c>
      <c r="N811" t="n">
        <v>0</v>
      </c>
      <c r="O811" t="n">
        <v>0</v>
      </c>
      <c r="P811" t="n">
        <v>0</v>
      </c>
      <c r="Q811" t="n">
        <v>0</v>
      </c>
      <c r="R811" s="2" t="inlineStr"/>
    </row>
    <row r="812" ht="15" customHeight="1">
      <c r="A812" t="inlineStr">
        <is>
          <t>A 20400-2024</t>
        </is>
      </c>
      <c r="B812" s="1" t="n">
        <v>45435</v>
      </c>
      <c r="C812" s="1" t="n">
        <v>45628</v>
      </c>
      <c r="D812" t="inlineStr">
        <is>
          <t>JÄMTLANDS LÄN</t>
        </is>
      </c>
      <c r="E812" t="inlineStr">
        <is>
          <t>ÖSTERSUND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20632-2024</t>
        </is>
      </c>
      <c r="B813" s="1" t="n">
        <v>45436</v>
      </c>
      <c r="C813" s="1" t="n">
        <v>45628</v>
      </c>
      <c r="D813" t="inlineStr">
        <is>
          <t>JÄMTLANDS LÄN</t>
        </is>
      </c>
      <c r="E813" t="inlineStr">
        <is>
          <t>ÖSTERSUND</t>
        </is>
      </c>
      <c r="G813" t="n">
        <v>5.6</v>
      </c>
      <c r="H813" t="n">
        <v>0</v>
      </c>
      <c r="I813" t="n">
        <v>0</v>
      </c>
      <c r="J813" t="n">
        <v>0</v>
      </c>
      <c r="K813" t="n">
        <v>0</v>
      </c>
      <c r="L813" t="n">
        <v>0</v>
      </c>
      <c r="M813" t="n">
        <v>0</v>
      </c>
      <c r="N813" t="n">
        <v>0</v>
      </c>
      <c r="O813" t="n">
        <v>0</v>
      </c>
      <c r="P813" t="n">
        <v>0</v>
      </c>
      <c r="Q813" t="n">
        <v>0</v>
      </c>
      <c r="R813" s="2" t="inlineStr"/>
    </row>
    <row r="814" ht="15" customHeight="1">
      <c r="A814" t="inlineStr">
        <is>
          <t>A 20629-2024</t>
        </is>
      </c>
      <c r="B814" s="1" t="n">
        <v>45436</v>
      </c>
      <c r="C814" s="1" t="n">
        <v>45628</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20736-2024</t>
        </is>
      </c>
      <c r="B815" s="1" t="n">
        <v>45436</v>
      </c>
      <c r="C815" s="1" t="n">
        <v>45628</v>
      </c>
      <c r="D815" t="inlineStr">
        <is>
          <t>JÄMTLANDS LÄN</t>
        </is>
      </c>
      <c r="E815" t="inlineStr">
        <is>
          <t>ÖSTERSUND</t>
        </is>
      </c>
      <c r="G815" t="n">
        <v>5.3</v>
      </c>
      <c r="H815" t="n">
        <v>0</v>
      </c>
      <c r="I815" t="n">
        <v>0</v>
      </c>
      <c r="J815" t="n">
        <v>0</v>
      </c>
      <c r="K815" t="n">
        <v>0</v>
      </c>
      <c r="L815" t="n">
        <v>0</v>
      </c>
      <c r="M815" t="n">
        <v>0</v>
      </c>
      <c r="N815" t="n">
        <v>0</v>
      </c>
      <c r="O815" t="n">
        <v>0</v>
      </c>
      <c r="P815" t="n">
        <v>0</v>
      </c>
      <c r="Q815" t="n">
        <v>0</v>
      </c>
      <c r="R815" s="2" t="inlineStr"/>
    </row>
    <row r="816" ht="15" customHeight="1">
      <c r="A816" t="inlineStr">
        <is>
          <t>A 21094-2024</t>
        </is>
      </c>
      <c r="B816" s="1" t="n">
        <v>45440</v>
      </c>
      <c r="C816" s="1" t="n">
        <v>45628</v>
      </c>
      <c r="D816" t="inlineStr">
        <is>
          <t>JÄMTLANDS LÄN</t>
        </is>
      </c>
      <c r="E816" t="inlineStr">
        <is>
          <t>ÖSTERSUND</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21093-2024</t>
        </is>
      </c>
      <c r="B817" s="1" t="n">
        <v>45440</v>
      </c>
      <c r="C817" s="1" t="n">
        <v>45628</v>
      </c>
      <c r="D817" t="inlineStr">
        <is>
          <t>JÄMTLANDS LÄN</t>
        </is>
      </c>
      <c r="E817" t="inlineStr">
        <is>
          <t>ÖSTERSUND</t>
        </is>
      </c>
      <c r="F817" t="inlineStr">
        <is>
          <t>SCA</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21373-2024</t>
        </is>
      </c>
      <c r="B818" s="1" t="n">
        <v>45441</v>
      </c>
      <c r="C818" s="1" t="n">
        <v>45628</v>
      </c>
      <c r="D818" t="inlineStr">
        <is>
          <t>JÄMTLANDS LÄN</t>
        </is>
      </c>
      <c r="E818" t="inlineStr">
        <is>
          <t>ÖSTERSUND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21822-2024</t>
        </is>
      </c>
      <c r="B819" s="1" t="n">
        <v>45442</v>
      </c>
      <c r="C819" s="1" t="n">
        <v>45628</v>
      </c>
      <c r="D819" t="inlineStr">
        <is>
          <t>JÄMTLANDS LÄN</t>
        </is>
      </c>
      <c r="E819" t="inlineStr">
        <is>
          <t>ÖSTERSUND</t>
        </is>
      </c>
      <c r="G819" t="n">
        <v>5.1</v>
      </c>
      <c r="H819" t="n">
        <v>0</v>
      </c>
      <c r="I819" t="n">
        <v>0</v>
      </c>
      <c r="J819" t="n">
        <v>0</v>
      </c>
      <c r="K819" t="n">
        <v>0</v>
      </c>
      <c r="L819" t="n">
        <v>0</v>
      </c>
      <c r="M819" t="n">
        <v>0</v>
      </c>
      <c r="N819" t="n">
        <v>0</v>
      </c>
      <c r="O819" t="n">
        <v>0</v>
      </c>
      <c r="P819" t="n">
        <v>0</v>
      </c>
      <c r="Q819" t="n">
        <v>0</v>
      </c>
      <c r="R819" s="2" t="inlineStr"/>
    </row>
    <row r="820" ht="15" customHeight="1">
      <c r="A820" t="inlineStr">
        <is>
          <t>A 21667-2024</t>
        </is>
      </c>
      <c r="B820" s="1" t="n">
        <v>45442</v>
      </c>
      <c r="C820" s="1" t="n">
        <v>45628</v>
      </c>
      <c r="D820" t="inlineStr">
        <is>
          <t>JÄMTLANDS LÄN</t>
        </is>
      </c>
      <c r="E820" t="inlineStr">
        <is>
          <t>ÖSTERSUND</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22123-2024</t>
        </is>
      </c>
      <c r="B821" s="1" t="n">
        <v>45444</v>
      </c>
      <c r="C821" s="1" t="n">
        <v>45628</v>
      </c>
      <c r="D821" t="inlineStr">
        <is>
          <t>JÄMTLANDS LÄN</t>
        </is>
      </c>
      <c r="E821" t="inlineStr">
        <is>
          <t>ÖSTERSUND</t>
        </is>
      </c>
      <c r="G821" t="n">
        <v>5.1</v>
      </c>
      <c r="H821" t="n">
        <v>0</v>
      </c>
      <c r="I821" t="n">
        <v>0</v>
      </c>
      <c r="J821" t="n">
        <v>0</v>
      </c>
      <c r="K821" t="n">
        <v>0</v>
      </c>
      <c r="L821" t="n">
        <v>0</v>
      </c>
      <c r="M821" t="n">
        <v>0</v>
      </c>
      <c r="N821" t="n">
        <v>0</v>
      </c>
      <c r="O821" t="n">
        <v>0</v>
      </c>
      <c r="P821" t="n">
        <v>0</v>
      </c>
      <c r="Q821" t="n">
        <v>0</v>
      </c>
      <c r="R821" s="2" t="inlineStr"/>
    </row>
    <row r="822" ht="15" customHeight="1">
      <c r="A822" t="inlineStr">
        <is>
          <t>A 22478-2024</t>
        </is>
      </c>
      <c r="B822" s="1" t="n">
        <v>45447</v>
      </c>
      <c r="C822" s="1" t="n">
        <v>45628</v>
      </c>
      <c r="D822" t="inlineStr">
        <is>
          <t>JÄMTLANDS LÄN</t>
        </is>
      </c>
      <c r="E822" t="inlineStr">
        <is>
          <t>ÖSTERSUND</t>
        </is>
      </c>
      <c r="F822" t="inlineStr">
        <is>
          <t>SCA</t>
        </is>
      </c>
      <c r="G822" t="n">
        <v>5.8</v>
      </c>
      <c r="H822" t="n">
        <v>0</v>
      </c>
      <c r="I822" t="n">
        <v>0</v>
      </c>
      <c r="J822" t="n">
        <v>0</v>
      </c>
      <c r="K822" t="n">
        <v>0</v>
      </c>
      <c r="L822" t="n">
        <v>0</v>
      </c>
      <c r="M822" t="n">
        <v>0</v>
      </c>
      <c r="N822" t="n">
        <v>0</v>
      </c>
      <c r="O822" t="n">
        <v>0</v>
      </c>
      <c r="P822" t="n">
        <v>0</v>
      </c>
      <c r="Q822" t="n">
        <v>0</v>
      </c>
      <c r="R822" s="2" t="inlineStr"/>
    </row>
    <row r="823" ht="15" customHeight="1">
      <c r="A823" t="inlineStr">
        <is>
          <t>A 23124-2024</t>
        </is>
      </c>
      <c r="B823" s="1" t="n">
        <v>45450</v>
      </c>
      <c r="C823" s="1" t="n">
        <v>45628</v>
      </c>
      <c r="D823" t="inlineStr">
        <is>
          <t>JÄMTLANDS LÄN</t>
        </is>
      </c>
      <c r="E823" t="inlineStr">
        <is>
          <t>ÖSTERSUND</t>
        </is>
      </c>
      <c r="G823" t="n">
        <v>5.8</v>
      </c>
      <c r="H823" t="n">
        <v>0</v>
      </c>
      <c r="I823" t="n">
        <v>0</v>
      </c>
      <c r="J823" t="n">
        <v>0</v>
      </c>
      <c r="K823" t="n">
        <v>0</v>
      </c>
      <c r="L823" t="n">
        <v>0</v>
      </c>
      <c r="M823" t="n">
        <v>0</v>
      </c>
      <c r="N823" t="n">
        <v>0</v>
      </c>
      <c r="O823" t="n">
        <v>0</v>
      </c>
      <c r="P823" t="n">
        <v>0</v>
      </c>
      <c r="Q823" t="n">
        <v>0</v>
      </c>
      <c r="R823" s="2" t="inlineStr"/>
    </row>
    <row r="824" ht="15" customHeight="1">
      <c r="A824" t="inlineStr">
        <is>
          <t>A 23191-2024</t>
        </is>
      </c>
      <c r="B824" s="1" t="n">
        <v>45450</v>
      </c>
      <c r="C824" s="1" t="n">
        <v>45628</v>
      </c>
      <c r="D824" t="inlineStr">
        <is>
          <t>JÄMTLANDS LÄN</t>
        </is>
      </c>
      <c r="E824" t="inlineStr">
        <is>
          <t>ÖSTERSUND</t>
        </is>
      </c>
      <c r="G824" t="n">
        <v>7</v>
      </c>
      <c r="H824" t="n">
        <v>0</v>
      </c>
      <c r="I824" t="n">
        <v>0</v>
      </c>
      <c r="J824" t="n">
        <v>0</v>
      </c>
      <c r="K824" t="n">
        <v>0</v>
      </c>
      <c r="L824" t="n">
        <v>0</v>
      </c>
      <c r="M824" t="n">
        <v>0</v>
      </c>
      <c r="N824" t="n">
        <v>0</v>
      </c>
      <c r="O824" t="n">
        <v>0</v>
      </c>
      <c r="P824" t="n">
        <v>0</v>
      </c>
      <c r="Q824" t="n">
        <v>0</v>
      </c>
      <c r="R824" s="2" t="inlineStr"/>
    </row>
    <row r="825" ht="15" customHeight="1">
      <c r="A825" t="inlineStr">
        <is>
          <t>A 23492-2024</t>
        </is>
      </c>
      <c r="B825" s="1" t="n">
        <v>45453</v>
      </c>
      <c r="C825" s="1" t="n">
        <v>45628</v>
      </c>
      <c r="D825" t="inlineStr">
        <is>
          <t>JÄMTLANDS LÄN</t>
        </is>
      </c>
      <c r="E825" t="inlineStr">
        <is>
          <t>ÖSTERSUND</t>
        </is>
      </c>
      <c r="G825" t="n">
        <v>9.1</v>
      </c>
      <c r="H825" t="n">
        <v>0</v>
      </c>
      <c r="I825" t="n">
        <v>0</v>
      </c>
      <c r="J825" t="n">
        <v>0</v>
      </c>
      <c r="K825" t="n">
        <v>0</v>
      </c>
      <c r="L825" t="n">
        <v>0</v>
      </c>
      <c r="M825" t="n">
        <v>0</v>
      </c>
      <c r="N825" t="n">
        <v>0</v>
      </c>
      <c r="O825" t="n">
        <v>0</v>
      </c>
      <c r="P825" t="n">
        <v>0</v>
      </c>
      <c r="Q825" t="n">
        <v>0</v>
      </c>
      <c r="R825" s="2" t="inlineStr"/>
    </row>
    <row r="826" ht="15" customHeight="1">
      <c r="A826" t="inlineStr">
        <is>
          <t>A 24246-2024</t>
        </is>
      </c>
      <c r="B826" s="1" t="n">
        <v>45457</v>
      </c>
      <c r="C826" s="1" t="n">
        <v>45628</v>
      </c>
      <c r="D826" t="inlineStr">
        <is>
          <t>JÄMTLANDS LÄN</t>
        </is>
      </c>
      <c r="E826" t="inlineStr">
        <is>
          <t>ÖSTERSUND</t>
        </is>
      </c>
      <c r="G826" t="n">
        <v>5.3</v>
      </c>
      <c r="H826" t="n">
        <v>0</v>
      </c>
      <c r="I826" t="n">
        <v>0</v>
      </c>
      <c r="J826" t="n">
        <v>0</v>
      </c>
      <c r="K826" t="n">
        <v>0</v>
      </c>
      <c r="L826" t="n">
        <v>0</v>
      </c>
      <c r="M826" t="n">
        <v>0</v>
      </c>
      <c r="N826" t="n">
        <v>0</v>
      </c>
      <c r="O826" t="n">
        <v>0</v>
      </c>
      <c r="P826" t="n">
        <v>0</v>
      </c>
      <c r="Q826" t="n">
        <v>0</v>
      </c>
      <c r="R826" s="2" t="inlineStr"/>
    </row>
    <row r="827" ht="15" customHeight="1">
      <c r="A827" t="inlineStr">
        <is>
          <t>A 24781-2024</t>
        </is>
      </c>
      <c r="B827" s="1" t="n">
        <v>45460</v>
      </c>
      <c r="C827" s="1" t="n">
        <v>45628</v>
      </c>
      <c r="D827" t="inlineStr">
        <is>
          <t>JÄMTLANDS LÄN</t>
        </is>
      </c>
      <c r="E827" t="inlineStr">
        <is>
          <t>ÖSTERSUND</t>
        </is>
      </c>
      <c r="G827" t="n">
        <v>2.2</v>
      </c>
      <c r="H827" t="n">
        <v>0</v>
      </c>
      <c r="I827" t="n">
        <v>0</v>
      </c>
      <c r="J827" t="n">
        <v>0</v>
      </c>
      <c r="K827" t="n">
        <v>0</v>
      </c>
      <c r="L827" t="n">
        <v>0</v>
      </c>
      <c r="M827" t="n">
        <v>0</v>
      </c>
      <c r="N827" t="n">
        <v>0</v>
      </c>
      <c r="O827" t="n">
        <v>0</v>
      </c>
      <c r="P827" t="n">
        <v>0</v>
      </c>
      <c r="Q827" t="n">
        <v>0</v>
      </c>
      <c r="R827" s="2" t="inlineStr"/>
    </row>
    <row r="828" ht="15" customHeight="1">
      <c r="A828" t="inlineStr">
        <is>
          <t>A 24786-2024</t>
        </is>
      </c>
      <c r="B828" s="1" t="n">
        <v>45460</v>
      </c>
      <c r="C828" s="1" t="n">
        <v>45628</v>
      </c>
      <c r="D828" t="inlineStr">
        <is>
          <t>JÄMTLANDS LÄN</t>
        </is>
      </c>
      <c r="E828" t="inlineStr">
        <is>
          <t>ÖSTERSUND</t>
        </is>
      </c>
      <c r="G828" t="n">
        <v>0.1</v>
      </c>
      <c r="H828" t="n">
        <v>0</v>
      </c>
      <c r="I828" t="n">
        <v>0</v>
      </c>
      <c r="J828" t="n">
        <v>0</v>
      </c>
      <c r="K828" t="n">
        <v>0</v>
      </c>
      <c r="L828" t="n">
        <v>0</v>
      </c>
      <c r="M828" t="n">
        <v>0</v>
      </c>
      <c r="N828" t="n">
        <v>0</v>
      </c>
      <c r="O828" t="n">
        <v>0</v>
      </c>
      <c r="P828" t="n">
        <v>0</v>
      </c>
      <c r="Q828" t="n">
        <v>0</v>
      </c>
      <c r="R828" s="2" t="inlineStr"/>
    </row>
    <row r="829" ht="15" customHeight="1">
      <c r="A829" t="inlineStr">
        <is>
          <t>A 24605-2024</t>
        </is>
      </c>
      <c r="B829" s="1" t="n">
        <v>45460</v>
      </c>
      <c r="C829" s="1" t="n">
        <v>45628</v>
      </c>
      <c r="D829" t="inlineStr">
        <is>
          <t>JÄMTLANDS LÄN</t>
        </is>
      </c>
      <c r="E829" t="inlineStr">
        <is>
          <t>ÖSTERSUND</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25388-2024</t>
        </is>
      </c>
      <c r="B830" s="1" t="n">
        <v>45463</v>
      </c>
      <c r="C830" s="1" t="n">
        <v>45628</v>
      </c>
      <c r="D830" t="inlineStr">
        <is>
          <t>JÄMTLANDS LÄN</t>
        </is>
      </c>
      <c r="E830" t="inlineStr">
        <is>
          <t>ÖSTERSUND</t>
        </is>
      </c>
      <c r="G830" t="n">
        <v>2.7</v>
      </c>
      <c r="H830" t="n">
        <v>0</v>
      </c>
      <c r="I830" t="n">
        <v>0</v>
      </c>
      <c r="J830" t="n">
        <v>0</v>
      </c>
      <c r="K830" t="n">
        <v>0</v>
      </c>
      <c r="L830" t="n">
        <v>0</v>
      </c>
      <c r="M830" t="n">
        <v>0</v>
      </c>
      <c r="N830" t="n">
        <v>0</v>
      </c>
      <c r="O830" t="n">
        <v>0</v>
      </c>
      <c r="P830" t="n">
        <v>0</v>
      </c>
      <c r="Q830" t="n">
        <v>0</v>
      </c>
      <c r="R830" s="2" t="inlineStr"/>
    </row>
    <row r="831" ht="15" customHeight="1">
      <c r="A831" t="inlineStr">
        <is>
          <t>A 25385-2024</t>
        </is>
      </c>
      <c r="B831" s="1" t="n">
        <v>45463</v>
      </c>
      <c r="C831" s="1" t="n">
        <v>45628</v>
      </c>
      <c r="D831" t="inlineStr">
        <is>
          <t>JÄMTLANDS LÄN</t>
        </is>
      </c>
      <c r="E831" t="inlineStr">
        <is>
          <t>ÖSTERSUND</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25187-2024</t>
        </is>
      </c>
      <c r="B832" s="1" t="n">
        <v>45462</v>
      </c>
      <c r="C832" s="1" t="n">
        <v>45628</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26202-2024</t>
        </is>
      </c>
      <c r="B833" s="1" t="n">
        <v>45468</v>
      </c>
      <c r="C833" s="1" t="n">
        <v>45628</v>
      </c>
      <c r="D833" t="inlineStr">
        <is>
          <t>JÄMTLANDS LÄN</t>
        </is>
      </c>
      <c r="E833" t="inlineStr">
        <is>
          <t>ÖSTERSUND</t>
        </is>
      </c>
      <c r="G833" t="n">
        <v>6.7</v>
      </c>
      <c r="H833" t="n">
        <v>0</v>
      </c>
      <c r="I833" t="n">
        <v>0</v>
      </c>
      <c r="J833" t="n">
        <v>0</v>
      </c>
      <c r="K833" t="n">
        <v>0</v>
      </c>
      <c r="L833" t="n">
        <v>0</v>
      </c>
      <c r="M833" t="n">
        <v>0</v>
      </c>
      <c r="N833" t="n">
        <v>0</v>
      </c>
      <c r="O833" t="n">
        <v>0</v>
      </c>
      <c r="P833" t="n">
        <v>0</v>
      </c>
      <c r="Q833" t="n">
        <v>0</v>
      </c>
      <c r="R833" s="2" t="inlineStr"/>
    </row>
    <row r="834" ht="15" customHeight="1">
      <c r="A834" t="inlineStr">
        <is>
          <t>A 27906-2024</t>
        </is>
      </c>
      <c r="B834" s="1" t="n">
        <v>45476</v>
      </c>
      <c r="C834" s="1" t="n">
        <v>45628</v>
      </c>
      <c r="D834" t="inlineStr">
        <is>
          <t>JÄMTLANDS LÄN</t>
        </is>
      </c>
      <c r="E834" t="inlineStr">
        <is>
          <t>ÖSTERSUND</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27689-2024</t>
        </is>
      </c>
      <c r="B835" s="1" t="n">
        <v>45475</v>
      </c>
      <c r="C835" s="1" t="n">
        <v>45628</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27764-2024</t>
        </is>
      </c>
      <c r="B836" s="1" t="n">
        <v>45475</v>
      </c>
      <c r="C836" s="1" t="n">
        <v>45628</v>
      </c>
      <c r="D836" t="inlineStr">
        <is>
          <t>JÄMTLANDS LÄN</t>
        </is>
      </c>
      <c r="E836" t="inlineStr">
        <is>
          <t>ÖSTERSUND</t>
        </is>
      </c>
      <c r="G836" t="n">
        <v>2.8</v>
      </c>
      <c r="H836" t="n">
        <v>0</v>
      </c>
      <c r="I836" t="n">
        <v>0</v>
      </c>
      <c r="J836" t="n">
        <v>0</v>
      </c>
      <c r="K836" t="n">
        <v>0</v>
      </c>
      <c r="L836" t="n">
        <v>0</v>
      </c>
      <c r="M836" t="n">
        <v>0</v>
      </c>
      <c r="N836" t="n">
        <v>0</v>
      </c>
      <c r="O836" t="n">
        <v>0</v>
      </c>
      <c r="P836" t="n">
        <v>0</v>
      </c>
      <c r="Q836" t="n">
        <v>0</v>
      </c>
      <c r="R836" s="2" t="inlineStr"/>
    </row>
    <row r="837" ht="15" customHeight="1">
      <c r="A837" t="inlineStr">
        <is>
          <t>A 27779-2024</t>
        </is>
      </c>
      <c r="B837" s="1" t="n">
        <v>45475</v>
      </c>
      <c r="C837" s="1" t="n">
        <v>45628</v>
      </c>
      <c r="D837" t="inlineStr">
        <is>
          <t>JÄMTLANDS LÄN</t>
        </is>
      </c>
      <c r="E837" t="inlineStr">
        <is>
          <t>ÖSTERSUND</t>
        </is>
      </c>
      <c r="G837" t="n">
        <v>4.3</v>
      </c>
      <c r="H837" t="n">
        <v>0</v>
      </c>
      <c r="I837" t="n">
        <v>0</v>
      </c>
      <c r="J837" t="n">
        <v>0</v>
      </c>
      <c r="K837" t="n">
        <v>0</v>
      </c>
      <c r="L837" t="n">
        <v>0</v>
      </c>
      <c r="M837" t="n">
        <v>0</v>
      </c>
      <c r="N837" t="n">
        <v>0</v>
      </c>
      <c r="O837" t="n">
        <v>0</v>
      </c>
      <c r="P837" t="n">
        <v>0</v>
      </c>
      <c r="Q837" t="n">
        <v>0</v>
      </c>
      <c r="R837" s="2" t="inlineStr"/>
    </row>
    <row r="838" ht="15" customHeight="1">
      <c r="A838" t="inlineStr">
        <is>
          <t>A 28277-2024</t>
        </is>
      </c>
      <c r="B838" s="1" t="n">
        <v>45477</v>
      </c>
      <c r="C838" s="1" t="n">
        <v>45628</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28179-2024</t>
        </is>
      </c>
      <c r="B839" s="1" t="n">
        <v>45477</v>
      </c>
      <c r="C839" s="1" t="n">
        <v>45628</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28180-2024</t>
        </is>
      </c>
      <c r="B840" s="1" t="n">
        <v>45477</v>
      </c>
      <c r="C840" s="1" t="n">
        <v>45628</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28181-2024</t>
        </is>
      </c>
      <c r="B841" s="1" t="n">
        <v>45477</v>
      </c>
      <c r="C841" s="1" t="n">
        <v>45628</v>
      </c>
      <c r="D841" t="inlineStr">
        <is>
          <t>JÄMTLANDS LÄN</t>
        </is>
      </c>
      <c r="E841" t="inlineStr">
        <is>
          <t>ÖSTERSUND</t>
        </is>
      </c>
      <c r="G841" t="n">
        <v>0.7</v>
      </c>
      <c r="H841" t="n">
        <v>0</v>
      </c>
      <c r="I841" t="n">
        <v>0</v>
      </c>
      <c r="J841" t="n">
        <v>0</v>
      </c>
      <c r="K841" t="n">
        <v>0</v>
      </c>
      <c r="L841" t="n">
        <v>0</v>
      </c>
      <c r="M841" t="n">
        <v>0</v>
      </c>
      <c r="N841" t="n">
        <v>0</v>
      </c>
      <c r="O841" t="n">
        <v>0</v>
      </c>
      <c r="P841" t="n">
        <v>0</v>
      </c>
      <c r="Q841" t="n">
        <v>0</v>
      </c>
      <c r="R841" s="2" t="inlineStr"/>
    </row>
    <row r="842" ht="15" customHeight="1">
      <c r="A842" t="inlineStr">
        <is>
          <t>A 28543-2024</t>
        </is>
      </c>
      <c r="B842" s="1" t="n">
        <v>45478</v>
      </c>
      <c r="C842" s="1" t="n">
        <v>45628</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29496-2024</t>
        </is>
      </c>
      <c r="B843" s="1" t="n">
        <v>45484</v>
      </c>
      <c r="C843" s="1" t="n">
        <v>45628</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30539-2024</t>
        </is>
      </c>
      <c r="B844" s="1" t="n">
        <v>45492</v>
      </c>
      <c r="C844" s="1" t="n">
        <v>45628</v>
      </c>
      <c r="D844" t="inlineStr">
        <is>
          <t>JÄMTLANDS LÄN</t>
        </is>
      </c>
      <c r="E844" t="inlineStr">
        <is>
          <t>ÖSTERSUND</t>
        </is>
      </c>
      <c r="G844" t="n">
        <v>4.9</v>
      </c>
      <c r="H844" t="n">
        <v>0</v>
      </c>
      <c r="I844" t="n">
        <v>0</v>
      </c>
      <c r="J844" t="n">
        <v>0</v>
      </c>
      <c r="K844" t="n">
        <v>0</v>
      </c>
      <c r="L844" t="n">
        <v>0</v>
      </c>
      <c r="M844" t="n">
        <v>0</v>
      </c>
      <c r="N844" t="n">
        <v>0</v>
      </c>
      <c r="O844" t="n">
        <v>0</v>
      </c>
      <c r="P844" t="n">
        <v>0</v>
      </c>
      <c r="Q844" t="n">
        <v>0</v>
      </c>
      <c r="R844" s="2" t="inlineStr"/>
    </row>
    <row r="845" ht="15" customHeight="1">
      <c r="A845" t="inlineStr">
        <is>
          <t>A 30821-2024</t>
        </is>
      </c>
      <c r="B845" s="1" t="n">
        <v>45497</v>
      </c>
      <c r="C845" s="1" t="n">
        <v>45628</v>
      </c>
      <c r="D845" t="inlineStr">
        <is>
          <t>JÄMTLANDS LÄN</t>
        </is>
      </c>
      <c r="E845" t="inlineStr">
        <is>
          <t>ÖSTERSUND</t>
        </is>
      </c>
      <c r="G845" t="n">
        <v>3.4</v>
      </c>
      <c r="H845" t="n">
        <v>0</v>
      </c>
      <c r="I845" t="n">
        <v>0</v>
      </c>
      <c r="J845" t="n">
        <v>0</v>
      </c>
      <c r="K845" t="n">
        <v>0</v>
      </c>
      <c r="L845" t="n">
        <v>0</v>
      </c>
      <c r="M845" t="n">
        <v>0</v>
      </c>
      <c r="N845" t="n">
        <v>0</v>
      </c>
      <c r="O845" t="n">
        <v>0</v>
      </c>
      <c r="P845" t="n">
        <v>0</v>
      </c>
      <c r="Q845" t="n">
        <v>0</v>
      </c>
      <c r="R845" s="2" t="inlineStr"/>
    </row>
    <row r="846" ht="15" customHeight="1">
      <c r="A846" t="inlineStr">
        <is>
          <t>A 31448-2024</t>
        </is>
      </c>
      <c r="B846" s="1" t="n">
        <v>45506</v>
      </c>
      <c r="C846" s="1" t="n">
        <v>45628</v>
      </c>
      <c r="D846" t="inlineStr">
        <is>
          <t>JÄMTLANDS LÄN</t>
        </is>
      </c>
      <c r="E846" t="inlineStr">
        <is>
          <t>ÖSTERSUND</t>
        </is>
      </c>
      <c r="G846" t="n">
        <v>10</v>
      </c>
      <c r="H846" t="n">
        <v>0</v>
      </c>
      <c r="I846" t="n">
        <v>0</v>
      </c>
      <c r="J846" t="n">
        <v>0</v>
      </c>
      <c r="K846" t="n">
        <v>0</v>
      </c>
      <c r="L846" t="n">
        <v>0</v>
      </c>
      <c r="M846" t="n">
        <v>0</v>
      </c>
      <c r="N846" t="n">
        <v>0</v>
      </c>
      <c r="O846" t="n">
        <v>0</v>
      </c>
      <c r="P846" t="n">
        <v>0</v>
      </c>
      <c r="Q846" t="n">
        <v>0</v>
      </c>
      <c r="R846" s="2" t="inlineStr"/>
    </row>
    <row r="847" ht="15" customHeight="1">
      <c r="A847" t="inlineStr">
        <is>
          <t>A 31464-2024</t>
        </is>
      </c>
      <c r="B847" s="1" t="n">
        <v>45506</v>
      </c>
      <c r="C847" s="1" t="n">
        <v>45628</v>
      </c>
      <c r="D847" t="inlineStr">
        <is>
          <t>JÄMTLANDS LÄN</t>
        </is>
      </c>
      <c r="E847" t="inlineStr">
        <is>
          <t>ÖSTERSUND</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31446-2024</t>
        </is>
      </c>
      <c r="B848" s="1" t="n">
        <v>45506</v>
      </c>
      <c r="C848" s="1" t="n">
        <v>45628</v>
      </c>
      <c r="D848" t="inlineStr">
        <is>
          <t>JÄMTLANDS LÄN</t>
        </is>
      </c>
      <c r="E848" t="inlineStr">
        <is>
          <t>ÖSTERSUND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31445-2024</t>
        </is>
      </c>
      <c r="B849" s="1" t="n">
        <v>45506</v>
      </c>
      <c r="C849" s="1" t="n">
        <v>45628</v>
      </c>
      <c r="D849" t="inlineStr">
        <is>
          <t>JÄMTLANDS LÄN</t>
        </is>
      </c>
      <c r="E849" t="inlineStr">
        <is>
          <t>ÖSTERSUND</t>
        </is>
      </c>
      <c r="G849" t="n">
        <v>0.8</v>
      </c>
      <c r="H849" t="n">
        <v>0</v>
      </c>
      <c r="I849" t="n">
        <v>0</v>
      </c>
      <c r="J849" t="n">
        <v>0</v>
      </c>
      <c r="K849" t="n">
        <v>0</v>
      </c>
      <c r="L849" t="n">
        <v>0</v>
      </c>
      <c r="M849" t="n">
        <v>0</v>
      </c>
      <c r="N849" t="n">
        <v>0</v>
      </c>
      <c r="O849" t="n">
        <v>0</v>
      </c>
      <c r="P849" t="n">
        <v>0</v>
      </c>
      <c r="Q849" t="n">
        <v>0</v>
      </c>
      <c r="R849" s="2" t="inlineStr"/>
    </row>
    <row r="850" ht="15" customHeight="1">
      <c r="A850" t="inlineStr">
        <is>
          <t>A 32224-2024</t>
        </is>
      </c>
      <c r="B850" s="1" t="n">
        <v>45512</v>
      </c>
      <c r="C850" s="1" t="n">
        <v>45628</v>
      </c>
      <c r="D850" t="inlineStr">
        <is>
          <t>JÄMTLANDS LÄN</t>
        </is>
      </c>
      <c r="E850" t="inlineStr">
        <is>
          <t>ÖSTERSUND</t>
        </is>
      </c>
      <c r="G850" t="n">
        <v>1</v>
      </c>
      <c r="H850" t="n">
        <v>0</v>
      </c>
      <c r="I850" t="n">
        <v>0</v>
      </c>
      <c r="J850" t="n">
        <v>0</v>
      </c>
      <c r="K850" t="n">
        <v>0</v>
      </c>
      <c r="L850" t="n">
        <v>0</v>
      </c>
      <c r="M850" t="n">
        <v>0</v>
      </c>
      <c r="N850" t="n">
        <v>0</v>
      </c>
      <c r="O850" t="n">
        <v>0</v>
      </c>
      <c r="P850" t="n">
        <v>0</v>
      </c>
      <c r="Q850" t="n">
        <v>0</v>
      </c>
      <c r="R850" s="2" t="inlineStr"/>
    </row>
    <row r="851" ht="15" customHeight="1">
      <c r="A851" t="inlineStr">
        <is>
          <t>A 32225-2024</t>
        </is>
      </c>
      <c r="B851" s="1" t="n">
        <v>45512</v>
      </c>
      <c r="C851" s="1" t="n">
        <v>45628</v>
      </c>
      <c r="D851" t="inlineStr">
        <is>
          <t>JÄMTLANDS LÄN</t>
        </is>
      </c>
      <c r="E851" t="inlineStr">
        <is>
          <t>ÖSTERSUND</t>
        </is>
      </c>
      <c r="G851" t="n">
        <v>2</v>
      </c>
      <c r="H851" t="n">
        <v>0</v>
      </c>
      <c r="I851" t="n">
        <v>0</v>
      </c>
      <c r="J851" t="n">
        <v>0</v>
      </c>
      <c r="K851" t="n">
        <v>0</v>
      </c>
      <c r="L851" t="n">
        <v>0</v>
      </c>
      <c r="M851" t="n">
        <v>0</v>
      </c>
      <c r="N851" t="n">
        <v>0</v>
      </c>
      <c r="O851" t="n">
        <v>0</v>
      </c>
      <c r="P851" t="n">
        <v>0</v>
      </c>
      <c r="Q851" t="n">
        <v>0</v>
      </c>
      <c r="R851" s="2" t="inlineStr"/>
    </row>
    <row r="852" ht="15" customHeight="1">
      <c r="A852" t="inlineStr">
        <is>
          <t>A 33091-2024</t>
        </is>
      </c>
      <c r="B852" s="1" t="n">
        <v>45517</v>
      </c>
      <c r="C852" s="1" t="n">
        <v>45628</v>
      </c>
      <c r="D852" t="inlineStr">
        <is>
          <t>JÄMTLANDS LÄN</t>
        </is>
      </c>
      <c r="E852" t="inlineStr">
        <is>
          <t>ÖSTERSUND</t>
        </is>
      </c>
      <c r="G852" t="n">
        <v>1</v>
      </c>
      <c r="H852" t="n">
        <v>0</v>
      </c>
      <c r="I852" t="n">
        <v>0</v>
      </c>
      <c r="J852" t="n">
        <v>0</v>
      </c>
      <c r="K852" t="n">
        <v>0</v>
      </c>
      <c r="L852" t="n">
        <v>0</v>
      </c>
      <c r="M852" t="n">
        <v>0</v>
      </c>
      <c r="N852" t="n">
        <v>0</v>
      </c>
      <c r="O852" t="n">
        <v>0</v>
      </c>
      <c r="P852" t="n">
        <v>0</v>
      </c>
      <c r="Q852" t="n">
        <v>0</v>
      </c>
      <c r="R852" s="2" t="inlineStr"/>
    </row>
    <row r="853" ht="15" customHeight="1">
      <c r="A853" t="inlineStr">
        <is>
          <t>A 33015-2024</t>
        </is>
      </c>
      <c r="B853" s="1" t="n">
        <v>45517</v>
      </c>
      <c r="C853" s="1" t="n">
        <v>45628</v>
      </c>
      <c r="D853" t="inlineStr">
        <is>
          <t>JÄMTLANDS LÄN</t>
        </is>
      </c>
      <c r="E853" t="inlineStr">
        <is>
          <t>ÖSTERSUND</t>
        </is>
      </c>
      <c r="G853" t="n">
        <v>2.6</v>
      </c>
      <c r="H853" t="n">
        <v>0</v>
      </c>
      <c r="I853" t="n">
        <v>0</v>
      </c>
      <c r="J853" t="n">
        <v>0</v>
      </c>
      <c r="K853" t="n">
        <v>0</v>
      </c>
      <c r="L853" t="n">
        <v>0</v>
      </c>
      <c r="M853" t="n">
        <v>0</v>
      </c>
      <c r="N853" t="n">
        <v>0</v>
      </c>
      <c r="O853" t="n">
        <v>0</v>
      </c>
      <c r="P853" t="n">
        <v>0</v>
      </c>
      <c r="Q853" t="n">
        <v>0</v>
      </c>
      <c r="R853" s="2" t="inlineStr"/>
    </row>
    <row r="854" ht="15" customHeight="1">
      <c r="A854" t="inlineStr">
        <is>
          <t>A 33621-2024</t>
        </is>
      </c>
      <c r="B854" s="1" t="n">
        <v>45520</v>
      </c>
      <c r="C854" s="1" t="n">
        <v>45628</v>
      </c>
      <c r="D854" t="inlineStr">
        <is>
          <t>JÄMTLANDS LÄN</t>
        </is>
      </c>
      <c r="E854" t="inlineStr">
        <is>
          <t>ÖSTERSUND</t>
        </is>
      </c>
      <c r="G854" t="n">
        <v>2.1</v>
      </c>
      <c r="H854" t="n">
        <v>0</v>
      </c>
      <c r="I854" t="n">
        <v>0</v>
      </c>
      <c r="J854" t="n">
        <v>0</v>
      </c>
      <c r="K854" t="n">
        <v>0</v>
      </c>
      <c r="L854" t="n">
        <v>0</v>
      </c>
      <c r="M854" t="n">
        <v>0</v>
      </c>
      <c r="N854" t="n">
        <v>0</v>
      </c>
      <c r="O854" t="n">
        <v>0</v>
      </c>
      <c r="P854" t="n">
        <v>0</v>
      </c>
      <c r="Q854" t="n">
        <v>0</v>
      </c>
      <c r="R854" s="2" t="inlineStr"/>
    </row>
    <row r="855" ht="15" customHeight="1">
      <c r="A855" t="inlineStr">
        <is>
          <t>A 33779-2024</t>
        </is>
      </c>
      <c r="B855" s="1" t="n">
        <v>45520</v>
      </c>
      <c r="C855" s="1" t="n">
        <v>45628</v>
      </c>
      <c r="D855" t="inlineStr">
        <is>
          <t>JÄMTLANDS LÄN</t>
        </is>
      </c>
      <c r="E855" t="inlineStr">
        <is>
          <t>ÖSTERSUND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34112-2024</t>
        </is>
      </c>
      <c r="B856" s="1" t="n">
        <v>45524</v>
      </c>
      <c r="C856" s="1" t="n">
        <v>45628</v>
      </c>
      <c r="D856" t="inlineStr">
        <is>
          <t>JÄMTLANDS LÄN</t>
        </is>
      </c>
      <c r="E856" t="inlineStr">
        <is>
          <t>ÖSTERSUND</t>
        </is>
      </c>
      <c r="G856" t="n">
        <v>1.2</v>
      </c>
      <c r="H856" t="n">
        <v>0</v>
      </c>
      <c r="I856" t="n">
        <v>0</v>
      </c>
      <c r="J856" t="n">
        <v>0</v>
      </c>
      <c r="K856" t="n">
        <v>0</v>
      </c>
      <c r="L856" t="n">
        <v>0</v>
      </c>
      <c r="M856" t="n">
        <v>0</v>
      </c>
      <c r="N856" t="n">
        <v>0</v>
      </c>
      <c r="O856" t="n">
        <v>0</v>
      </c>
      <c r="P856" t="n">
        <v>0</v>
      </c>
      <c r="Q856" t="n">
        <v>0</v>
      </c>
      <c r="R856" s="2" t="inlineStr"/>
    </row>
    <row r="857" ht="15" customHeight="1">
      <c r="A857" t="inlineStr">
        <is>
          <t>A 34118-2024</t>
        </is>
      </c>
      <c r="B857" s="1" t="n">
        <v>45524</v>
      </c>
      <c r="C857" s="1" t="n">
        <v>45628</v>
      </c>
      <c r="D857" t="inlineStr">
        <is>
          <t>JÄMTLANDS LÄN</t>
        </is>
      </c>
      <c r="E857" t="inlineStr">
        <is>
          <t>ÖSTERSUND</t>
        </is>
      </c>
      <c r="G857" t="n">
        <v>1.5</v>
      </c>
      <c r="H857" t="n">
        <v>0</v>
      </c>
      <c r="I857" t="n">
        <v>0</v>
      </c>
      <c r="J857" t="n">
        <v>0</v>
      </c>
      <c r="K857" t="n">
        <v>0</v>
      </c>
      <c r="L857" t="n">
        <v>0</v>
      </c>
      <c r="M857" t="n">
        <v>0</v>
      </c>
      <c r="N857" t="n">
        <v>0</v>
      </c>
      <c r="O857" t="n">
        <v>0</v>
      </c>
      <c r="P857" t="n">
        <v>0</v>
      </c>
      <c r="Q857" t="n">
        <v>0</v>
      </c>
      <c r="R857" s="2" t="inlineStr"/>
    </row>
    <row r="858" ht="15" customHeight="1">
      <c r="A858" t="inlineStr">
        <is>
          <t>A 34470-2024</t>
        </is>
      </c>
      <c r="B858" s="1" t="n">
        <v>45525</v>
      </c>
      <c r="C858" s="1" t="n">
        <v>45628</v>
      </c>
      <c r="D858" t="inlineStr">
        <is>
          <t>JÄMTLANDS LÄN</t>
        </is>
      </c>
      <c r="E858" t="inlineStr">
        <is>
          <t>ÖSTERSUND</t>
        </is>
      </c>
      <c r="G858" t="n">
        <v>7.6</v>
      </c>
      <c r="H858" t="n">
        <v>0</v>
      </c>
      <c r="I858" t="n">
        <v>0</v>
      </c>
      <c r="J858" t="n">
        <v>0</v>
      </c>
      <c r="K858" t="n">
        <v>0</v>
      </c>
      <c r="L858" t="n">
        <v>0</v>
      </c>
      <c r="M858" t="n">
        <v>0</v>
      </c>
      <c r="N858" t="n">
        <v>0</v>
      </c>
      <c r="O858" t="n">
        <v>0</v>
      </c>
      <c r="P858" t="n">
        <v>0</v>
      </c>
      <c r="Q858" t="n">
        <v>0</v>
      </c>
      <c r="R858" s="2" t="inlineStr"/>
    </row>
    <row r="859" ht="15" customHeight="1">
      <c r="A859" t="inlineStr">
        <is>
          <t>A 34507-2024</t>
        </is>
      </c>
      <c r="B859" s="1" t="n">
        <v>45525</v>
      </c>
      <c r="C859" s="1" t="n">
        <v>45628</v>
      </c>
      <c r="D859" t="inlineStr">
        <is>
          <t>JÄMTLANDS LÄN</t>
        </is>
      </c>
      <c r="E859" t="inlineStr">
        <is>
          <t>ÖSTERSUND</t>
        </is>
      </c>
      <c r="G859" t="n">
        <v>0.6</v>
      </c>
      <c r="H859" t="n">
        <v>0</v>
      </c>
      <c r="I859" t="n">
        <v>0</v>
      </c>
      <c r="J859" t="n">
        <v>0</v>
      </c>
      <c r="K859" t="n">
        <v>0</v>
      </c>
      <c r="L859" t="n">
        <v>0</v>
      </c>
      <c r="M859" t="n">
        <v>0</v>
      </c>
      <c r="N859" t="n">
        <v>0</v>
      </c>
      <c r="O859" t="n">
        <v>0</v>
      </c>
      <c r="P859" t="n">
        <v>0</v>
      </c>
      <c r="Q859" t="n">
        <v>0</v>
      </c>
      <c r="R859" s="2" t="inlineStr"/>
    </row>
    <row r="860" ht="15" customHeight="1">
      <c r="A860" t="inlineStr">
        <is>
          <t>A 35984-2024</t>
        </is>
      </c>
      <c r="B860" s="1" t="n">
        <v>45533</v>
      </c>
      <c r="C860" s="1" t="n">
        <v>45628</v>
      </c>
      <c r="D860" t="inlineStr">
        <is>
          <t>JÄMTLANDS LÄN</t>
        </is>
      </c>
      <c r="E860" t="inlineStr">
        <is>
          <t>ÖSTERSUND</t>
        </is>
      </c>
      <c r="G860" t="n">
        <v>2.9</v>
      </c>
      <c r="H860" t="n">
        <v>0</v>
      </c>
      <c r="I860" t="n">
        <v>0</v>
      </c>
      <c r="J860" t="n">
        <v>0</v>
      </c>
      <c r="K860" t="n">
        <v>0</v>
      </c>
      <c r="L860" t="n">
        <v>0</v>
      </c>
      <c r="M860" t="n">
        <v>0</v>
      </c>
      <c r="N860" t="n">
        <v>0</v>
      </c>
      <c r="O860" t="n">
        <v>0</v>
      </c>
      <c r="P860" t="n">
        <v>0</v>
      </c>
      <c r="Q860" t="n">
        <v>0</v>
      </c>
      <c r="R860" s="2" t="inlineStr"/>
    </row>
    <row r="861" ht="15" customHeight="1">
      <c r="A861" t="inlineStr">
        <is>
          <t>A 36465-2024</t>
        </is>
      </c>
      <c r="B861" s="1" t="n">
        <v>45537</v>
      </c>
      <c r="C861" s="1" t="n">
        <v>45628</v>
      </c>
      <c r="D861" t="inlineStr">
        <is>
          <t>JÄMTLANDS LÄN</t>
        </is>
      </c>
      <c r="E861" t="inlineStr">
        <is>
          <t>ÖSTERSUND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36469-2024</t>
        </is>
      </c>
      <c r="B862" s="1" t="n">
        <v>45537</v>
      </c>
      <c r="C862" s="1" t="n">
        <v>45628</v>
      </c>
      <c r="D862" t="inlineStr">
        <is>
          <t>JÄMTLANDS LÄN</t>
        </is>
      </c>
      <c r="E862" t="inlineStr">
        <is>
          <t>ÖSTERSUND</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37270-2024</t>
        </is>
      </c>
      <c r="B863" s="1" t="n">
        <v>45540</v>
      </c>
      <c r="C863" s="1" t="n">
        <v>45628</v>
      </c>
      <c r="D863" t="inlineStr">
        <is>
          <t>JÄMTLANDS LÄN</t>
        </is>
      </c>
      <c r="E863" t="inlineStr">
        <is>
          <t>ÖSTERSUND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37685-2024</t>
        </is>
      </c>
      <c r="B864" s="1" t="n">
        <v>45541</v>
      </c>
      <c r="C864" s="1" t="n">
        <v>45628</v>
      </c>
      <c r="D864" t="inlineStr">
        <is>
          <t>JÄMTLANDS LÄN</t>
        </is>
      </c>
      <c r="E864" t="inlineStr">
        <is>
          <t>ÖSTERSUND</t>
        </is>
      </c>
      <c r="F864" t="inlineStr">
        <is>
          <t>SCA</t>
        </is>
      </c>
      <c r="G864" t="n">
        <v>11.2</v>
      </c>
      <c r="H864" t="n">
        <v>0</v>
      </c>
      <c r="I864" t="n">
        <v>0</v>
      </c>
      <c r="J864" t="n">
        <v>0</v>
      </c>
      <c r="K864" t="n">
        <v>0</v>
      </c>
      <c r="L864" t="n">
        <v>0</v>
      </c>
      <c r="M864" t="n">
        <v>0</v>
      </c>
      <c r="N864" t="n">
        <v>0</v>
      </c>
      <c r="O864" t="n">
        <v>0</v>
      </c>
      <c r="P864" t="n">
        <v>0</v>
      </c>
      <c r="Q864" t="n">
        <v>0</v>
      </c>
      <c r="R864" s="2" t="inlineStr"/>
    </row>
    <row r="865" ht="15" customHeight="1">
      <c r="A865" t="inlineStr">
        <is>
          <t>A 38926-2024</t>
        </is>
      </c>
      <c r="B865" s="1" t="n">
        <v>45547</v>
      </c>
      <c r="C865" s="1" t="n">
        <v>45628</v>
      </c>
      <c r="D865" t="inlineStr">
        <is>
          <t>JÄMTLANDS LÄN</t>
        </is>
      </c>
      <c r="E865" t="inlineStr">
        <is>
          <t>ÖSTERSUND</t>
        </is>
      </c>
      <c r="G865" t="n">
        <v>0.4</v>
      </c>
      <c r="H865" t="n">
        <v>0</v>
      </c>
      <c r="I865" t="n">
        <v>0</v>
      </c>
      <c r="J865" t="n">
        <v>0</v>
      </c>
      <c r="K865" t="n">
        <v>0</v>
      </c>
      <c r="L865" t="n">
        <v>0</v>
      </c>
      <c r="M865" t="n">
        <v>0</v>
      </c>
      <c r="N865" t="n">
        <v>0</v>
      </c>
      <c r="O865" t="n">
        <v>0</v>
      </c>
      <c r="P865" t="n">
        <v>0</v>
      </c>
      <c r="Q865" t="n">
        <v>0</v>
      </c>
      <c r="R865" s="2" t="inlineStr"/>
    </row>
    <row r="866" ht="15" customHeight="1">
      <c r="A866" t="inlineStr">
        <is>
          <t>A 38920-2024</t>
        </is>
      </c>
      <c r="B866" s="1" t="n">
        <v>45547</v>
      </c>
      <c r="C866" s="1" t="n">
        <v>45628</v>
      </c>
      <c r="D866" t="inlineStr">
        <is>
          <t>JÄMTLANDS LÄN</t>
        </is>
      </c>
      <c r="E866" t="inlineStr">
        <is>
          <t>ÖSTERSUND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38924-2024</t>
        </is>
      </c>
      <c r="B867" s="1" t="n">
        <v>45547</v>
      </c>
      <c r="C867" s="1" t="n">
        <v>45628</v>
      </c>
      <c r="D867" t="inlineStr">
        <is>
          <t>JÄMTLANDS LÄN</t>
        </is>
      </c>
      <c r="E867" t="inlineStr">
        <is>
          <t>ÖSTERSUND</t>
        </is>
      </c>
      <c r="G867" t="n">
        <v>3.5</v>
      </c>
      <c r="H867" t="n">
        <v>0</v>
      </c>
      <c r="I867" t="n">
        <v>0</v>
      </c>
      <c r="J867" t="n">
        <v>0</v>
      </c>
      <c r="K867" t="n">
        <v>0</v>
      </c>
      <c r="L867" t="n">
        <v>0</v>
      </c>
      <c r="M867" t="n">
        <v>0</v>
      </c>
      <c r="N867" t="n">
        <v>0</v>
      </c>
      <c r="O867" t="n">
        <v>0</v>
      </c>
      <c r="P867" t="n">
        <v>0</v>
      </c>
      <c r="Q867" t="n">
        <v>0</v>
      </c>
      <c r="R867" s="2" t="inlineStr"/>
    </row>
    <row r="868" ht="15" customHeight="1">
      <c r="A868" t="inlineStr">
        <is>
          <t>A 39065-2024</t>
        </is>
      </c>
      <c r="B868" s="1" t="n">
        <v>45548</v>
      </c>
      <c r="C868" s="1" t="n">
        <v>45628</v>
      </c>
      <c r="D868" t="inlineStr">
        <is>
          <t>JÄMTLANDS LÄN</t>
        </is>
      </c>
      <c r="E868" t="inlineStr">
        <is>
          <t>ÖSTERSUND</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39510-2024</t>
        </is>
      </c>
      <c r="B869" s="1" t="n">
        <v>45551</v>
      </c>
      <c r="C869" s="1" t="n">
        <v>45628</v>
      </c>
      <c r="D869" t="inlineStr">
        <is>
          <t>JÄMTLANDS LÄN</t>
        </is>
      </c>
      <c r="E869" t="inlineStr">
        <is>
          <t>ÖSTERSUND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39509-2024</t>
        </is>
      </c>
      <c r="B870" s="1" t="n">
        <v>45551</v>
      </c>
      <c r="C870" s="1" t="n">
        <v>45628</v>
      </c>
      <c r="D870" t="inlineStr">
        <is>
          <t>JÄMTLANDS LÄN</t>
        </is>
      </c>
      <c r="E870" t="inlineStr">
        <is>
          <t>ÖSTERSUND</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39915-2024</t>
        </is>
      </c>
      <c r="B871" s="1" t="n">
        <v>45553</v>
      </c>
      <c r="C871" s="1" t="n">
        <v>45628</v>
      </c>
      <c r="D871" t="inlineStr">
        <is>
          <t>JÄMTLANDS LÄN</t>
        </is>
      </c>
      <c r="E871" t="inlineStr">
        <is>
          <t>ÖSTERSUND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39975-2024</t>
        </is>
      </c>
      <c r="B872" s="1" t="n">
        <v>45553</v>
      </c>
      <c r="C872" s="1" t="n">
        <v>45628</v>
      </c>
      <c r="D872" t="inlineStr">
        <is>
          <t>JÄMTLANDS LÄN</t>
        </is>
      </c>
      <c r="E872" t="inlineStr">
        <is>
          <t>ÖSTERSUND</t>
        </is>
      </c>
      <c r="G872" t="n">
        <v>3.8</v>
      </c>
      <c r="H872" t="n">
        <v>0</v>
      </c>
      <c r="I872" t="n">
        <v>0</v>
      </c>
      <c r="J872" t="n">
        <v>0</v>
      </c>
      <c r="K872" t="n">
        <v>0</v>
      </c>
      <c r="L872" t="n">
        <v>0</v>
      </c>
      <c r="M872" t="n">
        <v>0</v>
      </c>
      <c r="N872" t="n">
        <v>0</v>
      </c>
      <c r="O872" t="n">
        <v>0</v>
      </c>
      <c r="P872" t="n">
        <v>0</v>
      </c>
      <c r="Q872" t="n">
        <v>0</v>
      </c>
      <c r="R872" s="2" t="inlineStr"/>
    </row>
    <row r="873" ht="15" customHeight="1">
      <c r="A873" t="inlineStr">
        <is>
          <t>A 40672-2024</t>
        </is>
      </c>
      <c r="B873" s="1" t="n">
        <v>45557</v>
      </c>
      <c r="C873" s="1" t="n">
        <v>45628</v>
      </c>
      <c r="D873" t="inlineStr">
        <is>
          <t>JÄMTLANDS LÄN</t>
        </is>
      </c>
      <c r="E873" t="inlineStr">
        <is>
          <t>ÖSTERSUND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40983-2024</t>
        </is>
      </c>
      <c r="B874" s="1" t="n">
        <v>45558</v>
      </c>
      <c r="C874" s="1" t="n">
        <v>45628</v>
      </c>
      <c r="D874" t="inlineStr">
        <is>
          <t>JÄMTLANDS LÄN</t>
        </is>
      </c>
      <c r="E874" t="inlineStr">
        <is>
          <t>ÖSTERSUND</t>
        </is>
      </c>
      <c r="F874" t="inlineStr">
        <is>
          <t>SCA</t>
        </is>
      </c>
      <c r="G874" t="n">
        <v>10.6</v>
      </c>
      <c r="H874" t="n">
        <v>0</v>
      </c>
      <c r="I874" t="n">
        <v>0</v>
      </c>
      <c r="J874" t="n">
        <v>0</v>
      </c>
      <c r="K874" t="n">
        <v>0</v>
      </c>
      <c r="L874" t="n">
        <v>0</v>
      </c>
      <c r="M874" t="n">
        <v>0</v>
      </c>
      <c r="N874" t="n">
        <v>0</v>
      </c>
      <c r="O874" t="n">
        <v>0</v>
      </c>
      <c r="P874" t="n">
        <v>0</v>
      </c>
      <c r="Q874" t="n">
        <v>0</v>
      </c>
      <c r="R874" s="2" t="inlineStr"/>
    </row>
    <row r="875" ht="15" customHeight="1">
      <c r="A875" t="inlineStr">
        <is>
          <t>A 41280-2024</t>
        </is>
      </c>
      <c r="B875" s="1" t="n">
        <v>45559</v>
      </c>
      <c r="C875" s="1" t="n">
        <v>45628</v>
      </c>
      <c r="D875" t="inlineStr">
        <is>
          <t>JÄMTLANDS LÄN</t>
        </is>
      </c>
      <c r="E875" t="inlineStr">
        <is>
          <t>ÖSTERSUND</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41483-2024</t>
        </is>
      </c>
      <c r="B876" s="1" t="n">
        <v>45560</v>
      </c>
      <c r="C876" s="1" t="n">
        <v>45628</v>
      </c>
      <c r="D876" t="inlineStr">
        <is>
          <t>JÄMTLANDS LÄN</t>
        </is>
      </c>
      <c r="E876" t="inlineStr">
        <is>
          <t>ÖSTERSUND</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41780-2024</t>
        </is>
      </c>
      <c r="B877" s="1" t="n">
        <v>45561</v>
      </c>
      <c r="C877" s="1" t="n">
        <v>45628</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42550-2024</t>
        </is>
      </c>
      <c r="B878" s="1" t="n">
        <v>45565</v>
      </c>
      <c r="C878" s="1" t="n">
        <v>45628</v>
      </c>
      <c r="D878" t="inlineStr">
        <is>
          <t>JÄMTLANDS LÄN</t>
        </is>
      </c>
      <c r="E878" t="inlineStr">
        <is>
          <t>ÖSTERSUND</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42547-2024</t>
        </is>
      </c>
      <c r="B879" s="1" t="n">
        <v>45565</v>
      </c>
      <c r="C879" s="1" t="n">
        <v>45628</v>
      </c>
      <c r="D879" t="inlineStr">
        <is>
          <t>JÄMTLANDS LÄN</t>
        </is>
      </c>
      <c r="E879" t="inlineStr">
        <is>
          <t>ÖSTERSUND</t>
        </is>
      </c>
      <c r="F879" t="inlineStr">
        <is>
          <t>Övriga Aktiebolag</t>
        </is>
      </c>
      <c r="G879" t="n">
        <v>7.1</v>
      </c>
      <c r="H879" t="n">
        <v>0</v>
      </c>
      <c r="I879" t="n">
        <v>0</v>
      </c>
      <c r="J879" t="n">
        <v>0</v>
      </c>
      <c r="K879" t="n">
        <v>0</v>
      </c>
      <c r="L879" t="n">
        <v>0</v>
      </c>
      <c r="M879" t="n">
        <v>0</v>
      </c>
      <c r="N879" t="n">
        <v>0</v>
      </c>
      <c r="O879" t="n">
        <v>0</v>
      </c>
      <c r="P879" t="n">
        <v>0</v>
      </c>
      <c r="Q879" t="n">
        <v>0</v>
      </c>
      <c r="R879" s="2" t="inlineStr"/>
    </row>
    <row r="880" ht="15" customHeight="1">
      <c r="A880" t="inlineStr">
        <is>
          <t>A 43082-2024</t>
        </is>
      </c>
      <c r="B880" s="1" t="n">
        <v>45567</v>
      </c>
      <c r="C880" s="1" t="n">
        <v>45628</v>
      </c>
      <c r="D880" t="inlineStr">
        <is>
          <t>JÄMTLANDS LÄN</t>
        </is>
      </c>
      <c r="E880" t="inlineStr">
        <is>
          <t>ÖSTERSUND</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43118-2024</t>
        </is>
      </c>
      <c r="B881" s="1" t="n">
        <v>45567</v>
      </c>
      <c r="C881" s="1" t="n">
        <v>45628</v>
      </c>
      <c r="D881" t="inlineStr">
        <is>
          <t>JÄMTLANDS LÄN</t>
        </is>
      </c>
      <c r="E881" t="inlineStr">
        <is>
          <t>ÖSTERSUND</t>
        </is>
      </c>
      <c r="G881" t="n">
        <v>5.1</v>
      </c>
      <c r="H881" t="n">
        <v>0</v>
      </c>
      <c r="I881" t="n">
        <v>0</v>
      </c>
      <c r="J881" t="n">
        <v>0</v>
      </c>
      <c r="K881" t="n">
        <v>0</v>
      </c>
      <c r="L881" t="n">
        <v>0</v>
      </c>
      <c r="M881" t="n">
        <v>0</v>
      </c>
      <c r="N881" t="n">
        <v>0</v>
      </c>
      <c r="O881" t="n">
        <v>0</v>
      </c>
      <c r="P881" t="n">
        <v>0</v>
      </c>
      <c r="Q881" t="n">
        <v>0</v>
      </c>
      <c r="R881" s="2" t="inlineStr"/>
    </row>
    <row r="882" ht="15" customHeight="1">
      <c r="A882" t="inlineStr">
        <is>
          <t>A 43016-2024</t>
        </is>
      </c>
      <c r="B882" s="1" t="n">
        <v>45567</v>
      </c>
      <c r="C882" s="1" t="n">
        <v>45628</v>
      </c>
      <c r="D882" t="inlineStr">
        <is>
          <t>JÄMTLANDS LÄN</t>
        </is>
      </c>
      <c r="E882" t="inlineStr">
        <is>
          <t>ÖSTERSUND</t>
        </is>
      </c>
      <c r="G882" t="n">
        <v>5.3</v>
      </c>
      <c r="H882" t="n">
        <v>0</v>
      </c>
      <c r="I882" t="n">
        <v>0</v>
      </c>
      <c r="J882" t="n">
        <v>0</v>
      </c>
      <c r="K882" t="n">
        <v>0</v>
      </c>
      <c r="L882" t="n">
        <v>0</v>
      </c>
      <c r="M882" t="n">
        <v>0</v>
      </c>
      <c r="N882" t="n">
        <v>0</v>
      </c>
      <c r="O882" t="n">
        <v>0</v>
      </c>
      <c r="P882" t="n">
        <v>0</v>
      </c>
      <c r="Q882" t="n">
        <v>0</v>
      </c>
      <c r="R882" s="2" t="inlineStr"/>
    </row>
    <row r="883" ht="15" customHeight="1">
      <c r="A883" t="inlineStr">
        <is>
          <t>A 43148-2024</t>
        </is>
      </c>
      <c r="B883" s="1" t="n">
        <v>45567</v>
      </c>
      <c r="C883" s="1" t="n">
        <v>45628</v>
      </c>
      <c r="D883" t="inlineStr">
        <is>
          <t>JÄMTLANDS LÄN</t>
        </is>
      </c>
      <c r="E883" t="inlineStr">
        <is>
          <t>ÖSTERSUND</t>
        </is>
      </c>
      <c r="G883" t="n">
        <v>3</v>
      </c>
      <c r="H883" t="n">
        <v>0</v>
      </c>
      <c r="I883" t="n">
        <v>0</v>
      </c>
      <c r="J883" t="n">
        <v>0</v>
      </c>
      <c r="K883" t="n">
        <v>0</v>
      </c>
      <c r="L883" t="n">
        <v>0</v>
      </c>
      <c r="M883" t="n">
        <v>0</v>
      </c>
      <c r="N883" t="n">
        <v>0</v>
      </c>
      <c r="O883" t="n">
        <v>0</v>
      </c>
      <c r="P883" t="n">
        <v>0</v>
      </c>
      <c r="Q883" t="n">
        <v>0</v>
      </c>
      <c r="R883" s="2" t="inlineStr"/>
    </row>
    <row r="884" ht="15" customHeight="1">
      <c r="A884" t="inlineStr">
        <is>
          <t>A 43557-2024</t>
        </is>
      </c>
      <c r="B884" s="1" t="n">
        <v>45569</v>
      </c>
      <c r="C884" s="1" t="n">
        <v>45628</v>
      </c>
      <c r="D884" t="inlineStr">
        <is>
          <t>JÄMTLANDS LÄN</t>
        </is>
      </c>
      <c r="E884" t="inlineStr">
        <is>
          <t>ÖSTERSUND</t>
        </is>
      </c>
      <c r="G884" t="n">
        <v>3.6</v>
      </c>
      <c r="H884" t="n">
        <v>0</v>
      </c>
      <c r="I884" t="n">
        <v>0</v>
      </c>
      <c r="J884" t="n">
        <v>0</v>
      </c>
      <c r="K884" t="n">
        <v>0</v>
      </c>
      <c r="L884" t="n">
        <v>0</v>
      </c>
      <c r="M884" t="n">
        <v>0</v>
      </c>
      <c r="N884" t="n">
        <v>0</v>
      </c>
      <c r="O884" t="n">
        <v>0</v>
      </c>
      <c r="P884" t="n">
        <v>0</v>
      </c>
      <c r="Q884" t="n">
        <v>0</v>
      </c>
      <c r="R884" s="2" t="inlineStr"/>
    </row>
    <row r="885" ht="15" customHeight="1">
      <c r="A885" t="inlineStr">
        <is>
          <t>A 43560-2024</t>
        </is>
      </c>
      <c r="B885" s="1" t="n">
        <v>45569</v>
      </c>
      <c r="C885" s="1" t="n">
        <v>45628</v>
      </c>
      <c r="D885" t="inlineStr">
        <is>
          <t>JÄMTLANDS LÄN</t>
        </is>
      </c>
      <c r="E885" t="inlineStr">
        <is>
          <t>ÖSTERSUND</t>
        </is>
      </c>
      <c r="G885" t="n">
        <v>2.7</v>
      </c>
      <c r="H885" t="n">
        <v>0</v>
      </c>
      <c r="I885" t="n">
        <v>0</v>
      </c>
      <c r="J885" t="n">
        <v>0</v>
      </c>
      <c r="K885" t="n">
        <v>0</v>
      </c>
      <c r="L885" t="n">
        <v>0</v>
      </c>
      <c r="M885" t="n">
        <v>0</v>
      </c>
      <c r="N885" t="n">
        <v>0</v>
      </c>
      <c r="O885" t="n">
        <v>0</v>
      </c>
      <c r="P885" t="n">
        <v>0</v>
      </c>
      <c r="Q885" t="n">
        <v>0</v>
      </c>
      <c r="R885" s="2" t="inlineStr"/>
    </row>
    <row r="886" ht="15" customHeight="1">
      <c r="A886" t="inlineStr">
        <is>
          <t>A 44048-2024</t>
        </is>
      </c>
      <c r="B886" s="1" t="n">
        <v>45572</v>
      </c>
      <c r="C886" s="1" t="n">
        <v>45628</v>
      </c>
      <c r="D886" t="inlineStr">
        <is>
          <t>JÄMTLANDS LÄN</t>
        </is>
      </c>
      <c r="E886" t="inlineStr">
        <is>
          <t>ÖSTERSUND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44489-2024</t>
        </is>
      </c>
      <c r="B887" s="1" t="n">
        <v>45574</v>
      </c>
      <c r="C887" s="1" t="n">
        <v>45628</v>
      </c>
      <c r="D887" t="inlineStr">
        <is>
          <t>JÄMTLANDS LÄN</t>
        </is>
      </c>
      <c r="E887" t="inlineStr">
        <is>
          <t>ÖSTERSUND</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44707-2024</t>
        </is>
      </c>
      <c r="B888" s="1" t="n">
        <v>45574</v>
      </c>
      <c r="C888" s="1" t="n">
        <v>45628</v>
      </c>
      <c r="D888" t="inlineStr">
        <is>
          <t>JÄMTLANDS LÄN</t>
        </is>
      </c>
      <c r="E888" t="inlineStr">
        <is>
          <t>ÖSTERSUND</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45341-2024</t>
        </is>
      </c>
      <c r="B889" s="1" t="n">
        <v>45576</v>
      </c>
      <c r="C889" s="1" t="n">
        <v>45628</v>
      </c>
      <c r="D889" t="inlineStr">
        <is>
          <t>JÄMTLANDS LÄN</t>
        </is>
      </c>
      <c r="E889" t="inlineStr">
        <is>
          <t>ÖSTERSUND</t>
        </is>
      </c>
      <c r="G889" t="n">
        <v>5.9</v>
      </c>
      <c r="H889" t="n">
        <v>0</v>
      </c>
      <c r="I889" t="n">
        <v>0</v>
      </c>
      <c r="J889" t="n">
        <v>0</v>
      </c>
      <c r="K889" t="n">
        <v>0</v>
      </c>
      <c r="L889" t="n">
        <v>0</v>
      </c>
      <c r="M889" t="n">
        <v>0</v>
      </c>
      <c r="N889" t="n">
        <v>0</v>
      </c>
      <c r="O889" t="n">
        <v>0</v>
      </c>
      <c r="P889" t="n">
        <v>0</v>
      </c>
      <c r="Q889" t="n">
        <v>0</v>
      </c>
      <c r="R889" s="2" t="inlineStr"/>
    </row>
    <row r="890" ht="15" customHeight="1">
      <c r="A890" t="inlineStr">
        <is>
          <t>A 45338-2024</t>
        </is>
      </c>
      <c r="B890" s="1" t="n">
        <v>45576</v>
      </c>
      <c r="C890" s="1" t="n">
        <v>45628</v>
      </c>
      <c r="D890" t="inlineStr">
        <is>
          <t>JÄMTLANDS LÄN</t>
        </is>
      </c>
      <c r="E890" t="inlineStr">
        <is>
          <t>ÖSTERSUND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45340-2024</t>
        </is>
      </c>
      <c r="B891" s="1" t="n">
        <v>45576</v>
      </c>
      <c r="C891" s="1" t="n">
        <v>45628</v>
      </c>
      <c r="D891" t="inlineStr">
        <is>
          <t>JÄMTLANDS LÄN</t>
        </is>
      </c>
      <c r="E891" t="inlineStr">
        <is>
          <t>ÖSTERSUND</t>
        </is>
      </c>
      <c r="G891" t="n">
        <v>1.6</v>
      </c>
      <c r="H891" t="n">
        <v>0</v>
      </c>
      <c r="I891" t="n">
        <v>0</v>
      </c>
      <c r="J891" t="n">
        <v>0</v>
      </c>
      <c r="K891" t="n">
        <v>0</v>
      </c>
      <c r="L891" t="n">
        <v>0</v>
      </c>
      <c r="M891" t="n">
        <v>0</v>
      </c>
      <c r="N891" t="n">
        <v>0</v>
      </c>
      <c r="O891" t="n">
        <v>0</v>
      </c>
      <c r="P891" t="n">
        <v>0</v>
      </c>
      <c r="Q891" t="n">
        <v>0</v>
      </c>
      <c r="R891" s="2" t="inlineStr"/>
    </row>
    <row r="892" ht="15" customHeight="1">
      <c r="A892" t="inlineStr">
        <is>
          <t>A 45610-2024</t>
        </is>
      </c>
      <c r="B892" s="1" t="n">
        <v>45579</v>
      </c>
      <c r="C892" s="1" t="n">
        <v>45628</v>
      </c>
      <c r="D892" t="inlineStr">
        <is>
          <t>JÄMTLANDS LÄN</t>
        </is>
      </c>
      <c r="E892" t="inlineStr">
        <is>
          <t>ÖSTERSUND</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45742-2024</t>
        </is>
      </c>
      <c r="B893" s="1" t="n">
        <v>45579</v>
      </c>
      <c r="C893" s="1" t="n">
        <v>45628</v>
      </c>
      <c r="D893" t="inlineStr">
        <is>
          <t>JÄMTLANDS LÄN</t>
        </is>
      </c>
      <c r="E893" t="inlineStr">
        <is>
          <t>ÖSTERSUND</t>
        </is>
      </c>
      <c r="G893" t="n">
        <v>2.4</v>
      </c>
      <c r="H893" t="n">
        <v>0</v>
      </c>
      <c r="I893" t="n">
        <v>0</v>
      </c>
      <c r="J893" t="n">
        <v>0</v>
      </c>
      <c r="K893" t="n">
        <v>0</v>
      </c>
      <c r="L893" t="n">
        <v>0</v>
      </c>
      <c r="M893" t="n">
        <v>0</v>
      </c>
      <c r="N893" t="n">
        <v>0</v>
      </c>
      <c r="O893" t="n">
        <v>0</v>
      </c>
      <c r="P893" t="n">
        <v>0</v>
      </c>
      <c r="Q893" t="n">
        <v>0</v>
      </c>
      <c r="R893" s="2" t="inlineStr"/>
    </row>
    <row r="894" ht="15" customHeight="1">
      <c r="A894" t="inlineStr">
        <is>
          <t>A 45895-2024</t>
        </is>
      </c>
      <c r="B894" s="1" t="n">
        <v>45580</v>
      </c>
      <c r="C894" s="1" t="n">
        <v>45628</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45856-2024</t>
        </is>
      </c>
      <c r="B895" s="1" t="n">
        <v>45580</v>
      </c>
      <c r="C895" s="1" t="n">
        <v>45628</v>
      </c>
      <c r="D895" t="inlineStr">
        <is>
          <t>JÄMTLANDS LÄN</t>
        </is>
      </c>
      <c r="E895" t="inlineStr">
        <is>
          <t>ÖSTERSUND</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46732-2024</t>
        </is>
      </c>
      <c r="B896" s="1" t="n">
        <v>45583</v>
      </c>
      <c r="C896" s="1" t="n">
        <v>45628</v>
      </c>
      <c r="D896" t="inlineStr">
        <is>
          <t>JÄMTLANDS LÄN</t>
        </is>
      </c>
      <c r="E896" t="inlineStr">
        <is>
          <t>ÖSTERSUND</t>
        </is>
      </c>
      <c r="G896" t="n">
        <v>3.3</v>
      </c>
      <c r="H896" t="n">
        <v>0</v>
      </c>
      <c r="I896" t="n">
        <v>0</v>
      </c>
      <c r="J896" t="n">
        <v>0</v>
      </c>
      <c r="K896" t="n">
        <v>0</v>
      </c>
      <c r="L896" t="n">
        <v>0</v>
      </c>
      <c r="M896" t="n">
        <v>0</v>
      </c>
      <c r="N896" t="n">
        <v>0</v>
      </c>
      <c r="O896" t="n">
        <v>0</v>
      </c>
      <c r="P896" t="n">
        <v>0</v>
      </c>
      <c r="Q896" t="n">
        <v>0</v>
      </c>
      <c r="R896" s="2" t="inlineStr"/>
    </row>
    <row r="897" ht="15" customHeight="1">
      <c r="A897" t="inlineStr">
        <is>
          <t>A 47245-2024</t>
        </is>
      </c>
      <c r="B897" s="1" t="n">
        <v>45586</v>
      </c>
      <c r="C897" s="1" t="n">
        <v>45628</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47022-2024</t>
        </is>
      </c>
      <c r="B898" s="1" t="n">
        <v>45586</v>
      </c>
      <c r="C898" s="1" t="n">
        <v>45628</v>
      </c>
      <c r="D898" t="inlineStr">
        <is>
          <t>JÄMTLANDS LÄN</t>
        </is>
      </c>
      <c r="E898" t="inlineStr">
        <is>
          <t>ÖSTERSUND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47357-2024</t>
        </is>
      </c>
      <c r="B899" s="1" t="n">
        <v>45587</v>
      </c>
      <c r="C899" s="1" t="n">
        <v>45628</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47804-2024</t>
        </is>
      </c>
      <c r="B900" s="1" t="n">
        <v>45588</v>
      </c>
      <c r="C900" s="1" t="n">
        <v>45628</v>
      </c>
      <c r="D900" t="inlineStr">
        <is>
          <t>JÄMTLANDS LÄN</t>
        </is>
      </c>
      <c r="E900" t="inlineStr">
        <is>
          <t>ÖSTERSUND</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47630-2024</t>
        </is>
      </c>
      <c r="B901" s="1" t="n">
        <v>45588</v>
      </c>
      <c r="C901" s="1" t="n">
        <v>45628</v>
      </c>
      <c r="D901" t="inlineStr">
        <is>
          <t>JÄMTLANDS LÄN</t>
        </is>
      </c>
      <c r="E901" t="inlineStr">
        <is>
          <t>ÖSTERSUND</t>
        </is>
      </c>
      <c r="G901" t="n">
        <v>0.9</v>
      </c>
      <c r="H901" t="n">
        <v>0</v>
      </c>
      <c r="I901" t="n">
        <v>0</v>
      </c>
      <c r="J901" t="n">
        <v>0</v>
      </c>
      <c r="K901" t="n">
        <v>0</v>
      </c>
      <c r="L901" t="n">
        <v>0</v>
      </c>
      <c r="M901" t="n">
        <v>0</v>
      </c>
      <c r="N901" t="n">
        <v>0</v>
      </c>
      <c r="O901" t="n">
        <v>0</v>
      </c>
      <c r="P901" t="n">
        <v>0</v>
      </c>
      <c r="Q901" t="n">
        <v>0</v>
      </c>
      <c r="R901" s="2" t="inlineStr"/>
    </row>
    <row r="902" ht="15" customHeight="1">
      <c r="A902" t="inlineStr">
        <is>
          <t>A 47628-2024</t>
        </is>
      </c>
      <c r="B902" s="1" t="n">
        <v>45588</v>
      </c>
      <c r="C902" s="1" t="n">
        <v>45628</v>
      </c>
      <c r="D902" t="inlineStr">
        <is>
          <t>JÄMTLANDS LÄN</t>
        </is>
      </c>
      <c r="E902" t="inlineStr">
        <is>
          <t>ÖSTERSUND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47789-2024</t>
        </is>
      </c>
      <c r="B903" s="1" t="n">
        <v>45588</v>
      </c>
      <c r="C903" s="1" t="n">
        <v>45628</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47805-2024</t>
        </is>
      </c>
      <c r="B904" s="1" t="n">
        <v>45588</v>
      </c>
      <c r="C904" s="1" t="n">
        <v>45628</v>
      </c>
      <c r="D904" t="inlineStr">
        <is>
          <t>JÄMTLANDS LÄN</t>
        </is>
      </c>
      <c r="E904" t="inlineStr">
        <is>
          <t>ÖSTERSUND</t>
        </is>
      </c>
      <c r="G904" t="n">
        <v>7.4</v>
      </c>
      <c r="H904" t="n">
        <v>0</v>
      </c>
      <c r="I904" t="n">
        <v>0</v>
      </c>
      <c r="J904" t="n">
        <v>0</v>
      </c>
      <c r="K904" t="n">
        <v>0</v>
      </c>
      <c r="L904" t="n">
        <v>0</v>
      </c>
      <c r="M904" t="n">
        <v>0</v>
      </c>
      <c r="N904" t="n">
        <v>0</v>
      </c>
      <c r="O904" t="n">
        <v>0</v>
      </c>
      <c r="P904" t="n">
        <v>0</v>
      </c>
      <c r="Q904" t="n">
        <v>0</v>
      </c>
      <c r="R904" s="2" t="inlineStr"/>
    </row>
    <row r="905" ht="15" customHeight="1">
      <c r="A905" t="inlineStr">
        <is>
          <t>A 47627-2024</t>
        </is>
      </c>
      <c r="B905" s="1" t="n">
        <v>45588</v>
      </c>
      <c r="C905" s="1" t="n">
        <v>45628</v>
      </c>
      <c r="D905" t="inlineStr">
        <is>
          <t>JÄMTLANDS LÄN</t>
        </is>
      </c>
      <c r="E905" t="inlineStr">
        <is>
          <t>ÖSTERSUND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48131-2024</t>
        </is>
      </c>
      <c r="B906" s="1" t="n">
        <v>45589</v>
      </c>
      <c r="C906" s="1" t="n">
        <v>45628</v>
      </c>
      <c r="D906" t="inlineStr">
        <is>
          <t>JÄMTLANDS LÄN</t>
        </is>
      </c>
      <c r="E906" t="inlineStr">
        <is>
          <t>ÖSTERSUND</t>
        </is>
      </c>
      <c r="G906" t="n">
        <v>2.6</v>
      </c>
      <c r="H906" t="n">
        <v>0</v>
      </c>
      <c r="I906" t="n">
        <v>0</v>
      </c>
      <c r="J906" t="n">
        <v>0</v>
      </c>
      <c r="K906" t="n">
        <v>0</v>
      </c>
      <c r="L906" t="n">
        <v>0</v>
      </c>
      <c r="M906" t="n">
        <v>0</v>
      </c>
      <c r="N906" t="n">
        <v>0</v>
      </c>
      <c r="O906" t="n">
        <v>0</v>
      </c>
      <c r="P906" t="n">
        <v>0</v>
      </c>
      <c r="Q906" t="n">
        <v>0</v>
      </c>
      <c r="R906" s="2" t="inlineStr"/>
    </row>
    <row r="907" ht="15" customHeight="1">
      <c r="A907" t="inlineStr">
        <is>
          <t>A 48106-2024</t>
        </is>
      </c>
      <c r="B907" s="1" t="n">
        <v>45589</v>
      </c>
      <c r="C907" s="1" t="n">
        <v>45628</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48421-2024</t>
        </is>
      </c>
      <c r="B908" s="1" t="n">
        <v>45590</v>
      </c>
      <c r="C908" s="1" t="n">
        <v>45628</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48422-2024</t>
        </is>
      </c>
      <c r="B909" s="1" t="n">
        <v>45590</v>
      </c>
      <c r="C909" s="1" t="n">
        <v>45628</v>
      </c>
      <c r="D909" t="inlineStr">
        <is>
          <t>JÄMTLANDS LÄN</t>
        </is>
      </c>
      <c r="E909" t="inlineStr">
        <is>
          <t>ÖSTERSUND</t>
        </is>
      </c>
      <c r="G909" t="n">
        <v>14.6</v>
      </c>
      <c r="H909" t="n">
        <v>0</v>
      </c>
      <c r="I909" t="n">
        <v>0</v>
      </c>
      <c r="J909" t="n">
        <v>0</v>
      </c>
      <c r="K909" t="n">
        <v>0</v>
      </c>
      <c r="L909" t="n">
        <v>0</v>
      </c>
      <c r="M909" t="n">
        <v>0</v>
      </c>
      <c r="N909" t="n">
        <v>0</v>
      </c>
      <c r="O909" t="n">
        <v>0</v>
      </c>
      <c r="P909" t="n">
        <v>0</v>
      </c>
      <c r="Q909" t="n">
        <v>0</v>
      </c>
      <c r="R909" s="2" t="inlineStr"/>
    </row>
    <row r="910" ht="15" customHeight="1">
      <c r="A910" t="inlineStr">
        <is>
          <t>A 48696-2024</t>
        </is>
      </c>
      <c r="B910" s="1" t="n">
        <v>45593</v>
      </c>
      <c r="C910" s="1" t="n">
        <v>45628</v>
      </c>
      <c r="D910" t="inlineStr">
        <is>
          <t>JÄMTLANDS LÄN</t>
        </is>
      </c>
      <c r="E910" t="inlineStr">
        <is>
          <t>ÖSTERSUND</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48737-2024</t>
        </is>
      </c>
      <c r="B911" s="1" t="n">
        <v>45593</v>
      </c>
      <c r="C911" s="1" t="n">
        <v>45628</v>
      </c>
      <c r="D911" t="inlineStr">
        <is>
          <t>JÄMTLANDS LÄN</t>
        </is>
      </c>
      <c r="E911" t="inlineStr">
        <is>
          <t>ÖSTERSUND</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49192-2024</t>
        </is>
      </c>
      <c r="B912" s="1" t="n">
        <v>45595</v>
      </c>
      <c r="C912" s="1" t="n">
        <v>45628</v>
      </c>
      <c r="D912" t="inlineStr">
        <is>
          <t>JÄMTLANDS LÄN</t>
        </is>
      </c>
      <c r="E912" t="inlineStr">
        <is>
          <t>ÖSTERSUND</t>
        </is>
      </c>
      <c r="G912" t="n">
        <v>1.1</v>
      </c>
      <c r="H912" t="n">
        <v>0</v>
      </c>
      <c r="I912" t="n">
        <v>0</v>
      </c>
      <c r="J912" t="n">
        <v>0</v>
      </c>
      <c r="K912" t="n">
        <v>0</v>
      </c>
      <c r="L912" t="n">
        <v>0</v>
      </c>
      <c r="M912" t="n">
        <v>0</v>
      </c>
      <c r="N912" t="n">
        <v>0</v>
      </c>
      <c r="O912" t="n">
        <v>0</v>
      </c>
      <c r="P912" t="n">
        <v>0</v>
      </c>
      <c r="Q912" t="n">
        <v>0</v>
      </c>
      <c r="R912" s="2" t="inlineStr"/>
    </row>
    <row r="913" ht="15" customHeight="1">
      <c r="A913" t="inlineStr">
        <is>
          <t>A 49240-2024</t>
        </is>
      </c>
      <c r="B913" s="1" t="n">
        <v>45595</v>
      </c>
      <c r="C913" s="1" t="n">
        <v>45628</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49546-2024</t>
        </is>
      </c>
      <c r="B914" s="1" t="n">
        <v>45596</v>
      </c>
      <c r="C914" s="1" t="n">
        <v>45628</v>
      </c>
      <c r="D914" t="inlineStr">
        <is>
          <t>JÄMTLANDS LÄN</t>
        </is>
      </c>
      <c r="E914" t="inlineStr">
        <is>
          <t>ÖSTERSUND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49592-2024</t>
        </is>
      </c>
      <c r="B915" s="1" t="n">
        <v>45596</v>
      </c>
      <c r="C915" s="1" t="n">
        <v>45628</v>
      </c>
      <c r="D915" t="inlineStr">
        <is>
          <t>JÄMTLANDS LÄN</t>
        </is>
      </c>
      <c r="E915" t="inlineStr">
        <is>
          <t>ÖSTERSUND</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49788-2024</t>
        </is>
      </c>
      <c r="B916" s="1" t="n">
        <v>45597</v>
      </c>
      <c r="C916" s="1" t="n">
        <v>45628</v>
      </c>
      <c r="D916" t="inlineStr">
        <is>
          <t>JÄMTLANDS LÄN</t>
        </is>
      </c>
      <c r="E916" t="inlineStr">
        <is>
          <t>ÖSTERSUND</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50088-2024</t>
        </is>
      </c>
      <c r="B917" s="1" t="n">
        <v>45600</v>
      </c>
      <c r="C917" s="1" t="n">
        <v>45628</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50218-2024</t>
        </is>
      </c>
      <c r="B918" s="1" t="n">
        <v>45600</v>
      </c>
      <c r="C918" s="1" t="n">
        <v>45628</v>
      </c>
      <c r="D918" t="inlineStr">
        <is>
          <t>JÄMTLANDS LÄN</t>
        </is>
      </c>
      <c r="E918" t="inlineStr">
        <is>
          <t>ÖSTERSUND</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50560-2024</t>
        </is>
      </c>
      <c r="B919" s="1" t="n">
        <v>45601</v>
      </c>
      <c r="C919" s="1" t="n">
        <v>45628</v>
      </c>
      <c r="D919" t="inlineStr">
        <is>
          <t>JÄMTLANDS LÄN</t>
        </is>
      </c>
      <c r="E919" t="inlineStr">
        <is>
          <t>ÖSTERSUND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50861-2024</t>
        </is>
      </c>
      <c r="B920" s="1" t="n">
        <v>45602</v>
      </c>
      <c r="C920" s="1" t="n">
        <v>45628</v>
      </c>
      <c r="D920" t="inlineStr">
        <is>
          <t>JÄMTLANDS LÄN</t>
        </is>
      </c>
      <c r="E920" t="inlineStr">
        <is>
          <t>ÖSTERSUND</t>
        </is>
      </c>
      <c r="G920" t="n">
        <v>5</v>
      </c>
      <c r="H920" t="n">
        <v>0</v>
      </c>
      <c r="I920" t="n">
        <v>0</v>
      </c>
      <c r="J920" t="n">
        <v>0</v>
      </c>
      <c r="K920" t="n">
        <v>0</v>
      </c>
      <c r="L920" t="n">
        <v>0</v>
      </c>
      <c r="M920" t="n">
        <v>0</v>
      </c>
      <c r="N920" t="n">
        <v>0</v>
      </c>
      <c r="O920" t="n">
        <v>0</v>
      </c>
      <c r="P920" t="n">
        <v>0</v>
      </c>
      <c r="Q920" t="n">
        <v>0</v>
      </c>
      <c r="R920" s="2" t="inlineStr"/>
    </row>
    <row r="921" ht="15" customHeight="1">
      <c r="A921" t="inlineStr">
        <is>
          <t>A 50860-2024</t>
        </is>
      </c>
      <c r="B921" s="1" t="n">
        <v>45602</v>
      </c>
      <c r="C921" s="1" t="n">
        <v>45628</v>
      </c>
      <c r="D921" t="inlineStr">
        <is>
          <t>JÄMTLANDS LÄN</t>
        </is>
      </c>
      <c r="E921" t="inlineStr">
        <is>
          <t>ÖSTERSUND</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50971-2024</t>
        </is>
      </c>
      <c r="B922" s="1" t="n">
        <v>45603</v>
      </c>
      <c r="C922" s="1" t="n">
        <v>45628</v>
      </c>
      <c r="D922" t="inlineStr">
        <is>
          <t>JÄMTLANDS LÄN</t>
        </is>
      </c>
      <c r="E922" t="inlineStr">
        <is>
          <t>ÖSTERSUND</t>
        </is>
      </c>
      <c r="G922" t="n">
        <v>3.2</v>
      </c>
      <c r="H922" t="n">
        <v>0</v>
      </c>
      <c r="I922" t="n">
        <v>0</v>
      </c>
      <c r="J922" t="n">
        <v>0</v>
      </c>
      <c r="K922" t="n">
        <v>0</v>
      </c>
      <c r="L922" t="n">
        <v>0</v>
      </c>
      <c r="M922" t="n">
        <v>0</v>
      </c>
      <c r="N922" t="n">
        <v>0</v>
      </c>
      <c r="O922" t="n">
        <v>0</v>
      </c>
      <c r="P922" t="n">
        <v>0</v>
      </c>
      <c r="Q922" t="n">
        <v>0</v>
      </c>
      <c r="R922" s="2" t="inlineStr"/>
    </row>
    <row r="923" ht="15" customHeight="1">
      <c r="A923" t="inlineStr">
        <is>
          <t>A 51379-2024</t>
        </is>
      </c>
      <c r="B923" s="1" t="n">
        <v>45604</v>
      </c>
      <c r="C923" s="1" t="n">
        <v>45628</v>
      </c>
      <c r="D923" t="inlineStr">
        <is>
          <t>JÄMTLANDS LÄN</t>
        </is>
      </c>
      <c r="E923" t="inlineStr">
        <is>
          <t>ÖSTERSUND</t>
        </is>
      </c>
      <c r="G923" t="n">
        <v>2</v>
      </c>
      <c r="H923" t="n">
        <v>0</v>
      </c>
      <c r="I923" t="n">
        <v>0</v>
      </c>
      <c r="J923" t="n">
        <v>0</v>
      </c>
      <c r="K923" t="n">
        <v>0</v>
      </c>
      <c r="L923" t="n">
        <v>0</v>
      </c>
      <c r="M923" t="n">
        <v>0</v>
      </c>
      <c r="N923" t="n">
        <v>0</v>
      </c>
      <c r="O923" t="n">
        <v>0</v>
      </c>
      <c r="P923" t="n">
        <v>0</v>
      </c>
      <c r="Q923" t="n">
        <v>0</v>
      </c>
      <c r="R923" s="2" t="inlineStr"/>
    </row>
    <row r="924" ht="15" customHeight="1">
      <c r="A924" t="inlineStr">
        <is>
          <t>A 51818-2024</t>
        </is>
      </c>
      <c r="B924" s="1" t="n">
        <v>45607</v>
      </c>
      <c r="C924" s="1" t="n">
        <v>45628</v>
      </c>
      <c r="D924" t="inlineStr">
        <is>
          <t>JÄMTLANDS LÄN</t>
        </is>
      </c>
      <c r="E924" t="inlineStr">
        <is>
          <t>ÖSTERSUND</t>
        </is>
      </c>
      <c r="G924" t="n">
        <v>4.6</v>
      </c>
      <c r="H924" t="n">
        <v>0</v>
      </c>
      <c r="I924" t="n">
        <v>0</v>
      </c>
      <c r="J924" t="n">
        <v>0</v>
      </c>
      <c r="K924" t="n">
        <v>0</v>
      </c>
      <c r="L924" t="n">
        <v>0</v>
      </c>
      <c r="M924" t="n">
        <v>0</v>
      </c>
      <c r="N924" t="n">
        <v>0</v>
      </c>
      <c r="O924" t="n">
        <v>0</v>
      </c>
      <c r="P924" t="n">
        <v>0</v>
      </c>
      <c r="Q924" t="n">
        <v>0</v>
      </c>
      <c r="R924" s="2" t="inlineStr"/>
    </row>
    <row r="925" ht="15" customHeight="1">
      <c r="A925" t="inlineStr">
        <is>
          <t>A 51826-2024</t>
        </is>
      </c>
      <c r="B925" s="1" t="n">
        <v>45607</v>
      </c>
      <c r="C925" s="1" t="n">
        <v>45628</v>
      </c>
      <c r="D925" t="inlineStr">
        <is>
          <t>JÄMTLANDS LÄN</t>
        </is>
      </c>
      <c r="E925" t="inlineStr">
        <is>
          <t>ÖSTERSUND</t>
        </is>
      </c>
      <c r="G925" t="n">
        <v>1.1</v>
      </c>
      <c r="H925" t="n">
        <v>0</v>
      </c>
      <c r="I925" t="n">
        <v>0</v>
      </c>
      <c r="J925" t="n">
        <v>0</v>
      </c>
      <c r="K925" t="n">
        <v>0</v>
      </c>
      <c r="L925" t="n">
        <v>0</v>
      </c>
      <c r="M925" t="n">
        <v>0</v>
      </c>
      <c r="N925" t="n">
        <v>0</v>
      </c>
      <c r="O925" t="n">
        <v>0</v>
      </c>
      <c r="P925" t="n">
        <v>0</v>
      </c>
      <c r="Q925" t="n">
        <v>0</v>
      </c>
      <c r="R925" s="2" t="inlineStr"/>
    </row>
    <row r="926" ht="15" customHeight="1">
      <c r="A926" t="inlineStr">
        <is>
          <t>A 51856-2024</t>
        </is>
      </c>
      <c r="B926" s="1" t="n">
        <v>45607</v>
      </c>
      <c r="C926" s="1" t="n">
        <v>45628</v>
      </c>
      <c r="D926" t="inlineStr">
        <is>
          <t>JÄMTLANDS LÄN</t>
        </is>
      </c>
      <c r="E926" t="inlineStr">
        <is>
          <t>ÖSTERSUND</t>
        </is>
      </c>
      <c r="G926" t="n">
        <v>13.5</v>
      </c>
      <c r="H926" t="n">
        <v>0</v>
      </c>
      <c r="I926" t="n">
        <v>0</v>
      </c>
      <c r="J926" t="n">
        <v>0</v>
      </c>
      <c r="K926" t="n">
        <v>0</v>
      </c>
      <c r="L926" t="n">
        <v>0</v>
      </c>
      <c r="M926" t="n">
        <v>0</v>
      </c>
      <c r="N926" t="n">
        <v>0</v>
      </c>
      <c r="O926" t="n">
        <v>0</v>
      </c>
      <c r="P926" t="n">
        <v>0</v>
      </c>
      <c r="Q926" t="n">
        <v>0</v>
      </c>
      <c r="R926" s="2" t="inlineStr"/>
    </row>
    <row r="927" ht="15" customHeight="1">
      <c r="A927" t="inlineStr">
        <is>
          <t>A 51865-2024</t>
        </is>
      </c>
      <c r="B927" s="1" t="n">
        <v>45607</v>
      </c>
      <c r="C927" s="1" t="n">
        <v>45628</v>
      </c>
      <c r="D927" t="inlineStr">
        <is>
          <t>JÄMTLANDS LÄN</t>
        </is>
      </c>
      <c r="E927" t="inlineStr">
        <is>
          <t>ÖSTERSUND</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52483-2024</t>
        </is>
      </c>
      <c r="B928" s="1" t="n">
        <v>45609</v>
      </c>
      <c r="C928" s="1" t="n">
        <v>45628</v>
      </c>
      <c r="D928" t="inlineStr">
        <is>
          <t>JÄMTLANDS LÄN</t>
        </is>
      </c>
      <c r="E928" t="inlineStr">
        <is>
          <t>ÖSTERSUND</t>
        </is>
      </c>
      <c r="G928" t="n">
        <v>3</v>
      </c>
      <c r="H928" t="n">
        <v>0</v>
      </c>
      <c r="I928" t="n">
        <v>0</v>
      </c>
      <c r="J928" t="n">
        <v>0</v>
      </c>
      <c r="K928" t="n">
        <v>0</v>
      </c>
      <c r="L928" t="n">
        <v>0</v>
      </c>
      <c r="M928" t="n">
        <v>0</v>
      </c>
      <c r="N928" t="n">
        <v>0</v>
      </c>
      <c r="O928" t="n">
        <v>0</v>
      </c>
      <c r="P928" t="n">
        <v>0</v>
      </c>
      <c r="Q928" t="n">
        <v>0</v>
      </c>
      <c r="R928" s="2" t="inlineStr"/>
    </row>
    <row r="929" ht="15" customHeight="1">
      <c r="A929" t="inlineStr">
        <is>
          <t>A 52405-2024</t>
        </is>
      </c>
      <c r="B929" s="1" t="n">
        <v>45609</v>
      </c>
      <c r="C929" s="1" t="n">
        <v>45628</v>
      </c>
      <c r="D929" t="inlineStr">
        <is>
          <t>JÄMTLANDS LÄN</t>
        </is>
      </c>
      <c r="E929" t="inlineStr">
        <is>
          <t>ÖSTERSUND</t>
        </is>
      </c>
      <c r="G929" t="n">
        <v>4.3</v>
      </c>
      <c r="H929" t="n">
        <v>0</v>
      </c>
      <c r="I929" t="n">
        <v>0</v>
      </c>
      <c r="J929" t="n">
        <v>0</v>
      </c>
      <c r="K929" t="n">
        <v>0</v>
      </c>
      <c r="L929" t="n">
        <v>0</v>
      </c>
      <c r="M929" t="n">
        <v>0</v>
      </c>
      <c r="N929" t="n">
        <v>0</v>
      </c>
      <c r="O929" t="n">
        <v>0</v>
      </c>
      <c r="P929" t="n">
        <v>0</v>
      </c>
      <c r="Q929" t="n">
        <v>0</v>
      </c>
      <c r="R929" s="2" t="inlineStr"/>
    </row>
    <row r="930" ht="15" customHeight="1">
      <c r="A930" t="inlineStr">
        <is>
          <t>A 52480-2024</t>
        </is>
      </c>
      <c r="B930" s="1" t="n">
        <v>45609</v>
      </c>
      <c r="C930" s="1" t="n">
        <v>45628</v>
      </c>
      <c r="D930" t="inlineStr">
        <is>
          <t>JÄMTLANDS LÄN</t>
        </is>
      </c>
      <c r="E930" t="inlineStr">
        <is>
          <t>ÖSTERSUND</t>
        </is>
      </c>
      <c r="G930" t="n">
        <v>20.2</v>
      </c>
      <c r="H930" t="n">
        <v>0</v>
      </c>
      <c r="I930" t="n">
        <v>0</v>
      </c>
      <c r="J930" t="n">
        <v>0</v>
      </c>
      <c r="K930" t="n">
        <v>0</v>
      </c>
      <c r="L930" t="n">
        <v>0</v>
      </c>
      <c r="M930" t="n">
        <v>0</v>
      </c>
      <c r="N930" t="n">
        <v>0</v>
      </c>
      <c r="O930" t="n">
        <v>0</v>
      </c>
      <c r="P930" t="n">
        <v>0</v>
      </c>
      <c r="Q930" t="n">
        <v>0</v>
      </c>
      <c r="R930" s="2" t="inlineStr"/>
    </row>
    <row r="931" ht="15" customHeight="1">
      <c r="A931" t="inlineStr">
        <is>
          <t>A 52482-2024</t>
        </is>
      </c>
      <c r="B931" s="1" t="n">
        <v>45609</v>
      </c>
      <c r="C931" s="1" t="n">
        <v>45628</v>
      </c>
      <c r="D931" t="inlineStr">
        <is>
          <t>JÄMTLANDS LÄN</t>
        </is>
      </c>
      <c r="E931" t="inlineStr">
        <is>
          <t>ÖSTERSUND</t>
        </is>
      </c>
      <c r="G931" t="n">
        <v>7.3</v>
      </c>
      <c r="H931" t="n">
        <v>0</v>
      </c>
      <c r="I931" t="n">
        <v>0</v>
      </c>
      <c r="J931" t="n">
        <v>0</v>
      </c>
      <c r="K931" t="n">
        <v>0</v>
      </c>
      <c r="L931" t="n">
        <v>0</v>
      </c>
      <c r="M931" t="n">
        <v>0</v>
      </c>
      <c r="N931" t="n">
        <v>0</v>
      </c>
      <c r="O931" t="n">
        <v>0</v>
      </c>
      <c r="P931" t="n">
        <v>0</v>
      </c>
      <c r="Q931" t="n">
        <v>0</v>
      </c>
      <c r="R931" s="2" t="inlineStr"/>
    </row>
    <row r="932" ht="15" customHeight="1">
      <c r="A932" t="inlineStr">
        <is>
          <t>A 52481-2024</t>
        </is>
      </c>
      <c r="B932" s="1" t="n">
        <v>45609</v>
      </c>
      <c r="C932" s="1" t="n">
        <v>45628</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52854-2024</t>
        </is>
      </c>
      <c r="B933" s="1" t="n">
        <v>45610</v>
      </c>
      <c r="C933" s="1" t="n">
        <v>45628</v>
      </c>
      <c r="D933" t="inlineStr">
        <is>
          <t>JÄMTLANDS LÄN</t>
        </is>
      </c>
      <c r="E933" t="inlineStr">
        <is>
          <t>ÖSTERSUND</t>
        </is>
      </c>
      <c r="G933" t="n">
        <v>2.5</v>
      </c>
      <c r="H933" t="n">
        <v>0</v>
      </c>
      <c r="I933" t="n">
        <v>0</v>
      </c>
      <c r="J933" t="n">
        <v>0</v>
      </c>
      <c r="K933" t="n">
        <v>0</v>
      </c>
      <c r="L933" t="n">
        <v>0</v>
      </c>
      <c r="M933" t="n">
        <v>0</v>
      </c>
      <c r="N933" t="n">
        <v>0</v>
      </c>
      <c r="O933" t="n">
        <v>0</v>
      </c>
      <c r="P933" t="n">
        <v>0</v>
      </c>
      <c r="Q933" t="n">
        <v>0</v>
      </c>
      <c r="R933" s="2" t="inlineStr"/>
    </row>
    <row r="934" ht="15" customHeight="1">
      <c r="A934" t="inlineStr">
        <is>
          <t>A 53060-2024</t>
        </is>
      </c>
      <c r="B934" s="1" t="n">
        <v>45611</v>
      </c>
      <c r="C934" s="1" t="n">
        <v>45628</v>
      </c>
      <c r="D934" t="inlineStr">
        <is>
          <t>JÄMTLANDS LÄN</t>
        </is>
      </c>
      <c r="E934" t="inlineStr">
        <is>
          <t>ÖSTERSUND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53130-2024</t>
        </is>
      </c>
      <c r="B935" s="1" t="n">
        <v>45611</v>
      </c>
      <c r="C935" s="1" t="n">
        <v>45628</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53176-2024</t>
        </is>
      </c>
      <c r="B936" s="1" t="n">
        <v>45611</v>
      </c>
      <c r="C936" s="1" t="n">
        <v>45628</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53536-2024</t>
        </is>
      </c>
      <c r="B937" s="1" t="n">
        <v>45614</v>
      </c>
      <c r="C937" s="1" t="n">
        <v>45628</v>
      </c>
      <c r="D937" t="inlineStr">
        <is>
          <t>JÄMTLANDS LÄN</t>
        </is>
      </c>
      <c r="E937" t="inlineStr">
        <is>
          <t>ÖSTERSUND</t>
        </is>
      </c>
      <c r="G937" t="n">
        <v>4.1</v>
      </c>
      <c r="H937" t="n">
        <v>0</v>
      </c>
      <c r="I937" t="n">
        <v>0</v>
      </c>
      <c r="J937" t="n">
        <v>0</v>
      </c>
      <c r="K937" t="n">
        <v>0</v>
      </c>
      <c r="L937" t="n">
        <v>0</v>
      </c>
      <c r="M937" t="n">
        <v>0</v>
      </c>
      <c r="N937" t="n">
        <v>0</v>
      </c>
      <c r="O937" t="n">
        <v>0</v>
      </c>
      <c r="P937" t="n">
        <v>0</v>
      </c>
      <c r="Q937" t="n">
        <v>0</v>
      </c>
      <c r="R937" s="2" t="inlineStr"/>
    </row>
    <row r="938" ht="15" customHeight="1">
      <c r="A938" t="inlineStr">
        <is>
          <t>A 53516-2024</t>
        </is>
      </c>
      <c r="B938" s="1" t="n">
        <v>45614</v>
      </c>
      <c r="C938" s="1" t="n">
        <v>45628</v>
      </c>
      <c r="D938" t="inlineStr">
        <is>
          <t>JÄMTLANDS LÄN</t>
        </is>
      </c>
      <c r="E938" t="inlineStr">
        <is>
          <t>ÖSTERSUND</t>
        </is>
      </c>
      <c r="G938" t="n">
        <v>4.5</v>
      </c>
      <c r="H938" t="n">
        <v>0</v>
      </c>
      <c r="I938" t="n">
        <v>0</v>
      </c>
      <c r="J938" t="n">
        <v>0</v>
      </c>
      <c r="K938" t="n">
        <v>0</v>
      </c>
      <c r="L938" t="n">
        <v>0</v>
      </c>
      <c r="M938" t="n">
        <v>0</v>
      </c>
      <c r="N938" t="n">
        <v>0</v>
      </c>
      <c r="O938" t="n">
        <v>0</v>
      </c>
      <c r="P938" t="n">
        <v>0</v>
      </c>
      <c r="Q938" t="n">
        <v>0</v>
      </c>
      <c r="R938" s="2" t="inlineStr"/>
    </row>
    <row r="939" ht="15" customHeight="1">
      <c r="A939" t="inlineStr">
        <is>
          <t>A 53520-2024</t>
        </is>
      </c>
      <c r="B939" s="1" t="n">
        <v>45614</v>
      </c>
      <c r="C939" s="1" t="n">
        <v>45628</v>
      </c>
      <c r="D939" t="inlineStr">
        <is>
          <t>JÄMTLANDS LÄN</t>
        </is>
      </c>
      <c r="E939" t="inlineStr">
        <is>
          <t>ÖSTERSUND</t>
        </is>
      </c>
      <c r="G939" t="n">
        <v>3</v>
      </c>
      <c r="H939" t="n">
        <v>0</v>
      </c>
      <c r="I939" t="n">
        <v>0</v>
      </c>
      <c r="J939" t="n">
        <v>0</v>
      </c>
      <c r="K939" t="n">
        <v>0</v>
      </c>
      <c r="L939" t="n">
        <v>0</v>
      </c>
      <c r="M939" t="n">
        <v>0</v>
      </c>
      <c r="N939" t="n">
        <v>0</v>
      </c>
      <c r="O939" t="n">
        <v>0</v>
      </c>
      <c r="P939" t="n">
        <v>0</v>
      </c>
      <c r="Q939" t="n">
        <v>0</v>
      </c>
      <c r="R939" s="2" t="inlineStr"/>
    </row>
    <row r="940" ht="15" customHeight="1">
      <c r="A940" t="inlineStr">
        <is>
          <t>A 53745-2024</t>
        </is>
      </c>
      <c r="B940" s="1" t="n">
        <v>45615</v>
      </c>
      <c r="C940" s="1" t="n">
        <v>45628</v>
      </c>
      <c r="D940" t="inlineStr">
        <is>
          <t>JÄMTLANDS LÄN</t>
        </is>
      </c>
      <c r="E940" t="inlineStr">
        <is>
          <t>ÖSTERSUND</t>
        </is>
      </c>
      <c r="G940" t="n">
        <v>2.3</v>
      </c>
      <c r="H940" t="n">
        <v>0</v>
      </c>
      <c r="I940" t="n">
        <v>0</v>
      </c>
      <c r="J940" t="n">
        <v>0</v>
      </c>
      <c r="K940" t="n">
        <v>0</v>
      </c>
      <c r="L940" t="n">
        <v>0</v>
      </c>
      <c r="M940" t="n">
        <v>0</v>
      </c>
      <c r="N940" t="n">
        <v>0</v>
      </c>
      <c r="O940" t="n">
        <v>0</v>
      </c>
      <c r="P940" t="n">
        <v>0</v>
      </c>
      <c r="Q940" t="n">
        <v>0</v>
      </c>
      <c r="R940" s="2" t="inlineStr"/>
    </row>
    <row r="941" ht="15" customHeight="1">
      <c r="A941" t="inlineStr">
        <is>
          <t>A 53864-2024</t>
        </is>
      </c>
      <c r="B941" s="1" t="n">
        <v>45615</v>
      </c>
      <c r="C941" s="1" t="n">
        <v>45628</v>
      </c>
      <c r="D941" t="inlineStr">
        <is>
          <t>JÄMTLANDS LÄN</t>
        </is>
      </c>
      <c r="E941" t="inlineStr">
        <is>
          <t>ÖSTERSUND</t>
        </is>
      </c>
      <c r="G941" t="n">
        <v>5.5</v>
      </c>
      <c r="H941" t="n">
        <v>0</v>
      </c>
      <c r="I941" t="n">
        <v>0</v>
      </c>
      <c r="J941" t="n">
        <v>0</v>
      </c>
      <c r="K941" t="n">
        <v>0</v>
      </c>
      <c r="L941" t="n">
        <v>0</v>
      </c>
      <c r="M941" t="n">
        <v>0</v>
      </c>
      <c r="N941" t="n">
        <v>0</v>
      </c>
      <c r="O941" t="n">
        <v>0</v>
      </c>
      <c r="P941" t="n">
        <v>0</v>
      </c>
      <c r="Q941" t="n">
        <v>0</v>
      </c>
      <c r="R941" s="2" t="inlineStr"/>
    </row>
    <row r="942" ht="15" customHeight="1">
      <c r="A942" t="inlineStr">
        <is>
          <t>A 53660-2024</t>
        </is>
      </c>
      <c r="B942" s="1" t="n">
        <v>45615</v>
      </c>
      <c r="C942" s="1" t="n">
        <v>45628</v>
      </c>
      <c r="D942" t="inlineStr">
        <is>
          <t>JÄMTLANDS LÄN</t>
        </is>
      </c>
      <c r="E942" t="inlineStr">
        <is>
          <t>ÖSTERSUND</t>
        </is>
      </c>
      <c r="G942" t="n">
        <v>1.1</v>
      </c>
      <c r="H942" t="n">
        <v>0</v>
      </c>
      <c r="I942" t="n">
        <v>0</v>
      </c>
      <c r="J942" t="n">
        <v>0</v>
      </c>
      <c r="K942" t="n">
        <v>0</v>
      </c>
      <c r="L942" t="n">
        <v>0</v>
      </c>
      <c r="M942" t="n">
        <v>0</v>
      </c>
      <c r="N942" t="n">
        <v>0</v>
      </c>
      <c r="O942" t="n">
        <v>0</v>
      </c>
      <c r="P942" t="n">
        <v>0</v>
      </c>
      <c r="Q942" t="n">
        <v>0</v>
      </c>
      <c r="R942" s="2" t="inlineStr"/>
    </row>
    <row r="943" ht="15" customHeight="1">
      <c r="A943" t="inlineStr">
        <is>
          <t>A 54237-2024</t>
        </is>
      </c>
      <c r="B943" s="1" t="n">
        <v>45616</v>
      </c>
      <c r="C943" s="1" t="n">
        <v>45628</v>
      </c>
      <c r="D943" t="inlineStr">
        <is>
          <t>JÄMTLANDS LÄN</t>
        </is>
      </c>
      <c r="E943" t="inlineStr">
        <is>
          <t>ÖSTERSUND</t>
        </is>
      </c>
      <c r="F943" t="inlineStr">
        <is>
          <t>SCA</t>
        </is>
      </c>
      <c r="G943" t="n">
        <v>8.9</v>
      </c>
      <c r="H943" t="n">
        <v>0</v>
      </c>
      <c r="I943" t="n">
        <v>0</v>
      </c>
      <c r="J943" t="n">
        <v>0</v>
      </c>
      <c r="K943" t="n">
        <v>0</v>
      </c>
      <c r="L943" t="n">
        <v>0</v>
      </c>
      <c r="M943" t="n">
        <v>0</v>
      </c>
      <c r="N943" t="n">
        <v>0</v>
      </c>
      <c r="O943" t="n">
        <v>0</v>
      </c>
      <c r="P943" t="n">
        <v>0</v>
      </c>
      <c r="Q943" t="n">
        <v>0</v>
      </c>
      <c r="R943" s="2" t="inlineStr"/>
    </row>
    <row r="944" ht="15" customHeight="1">
      <c r="A944" t="inlineStr">
        <is>
          <t>A 54317-2024</t>
        </is>
      </c>
      <c r="B944" s="1" t="n">
        <v>45617</v>
      </c>
      <c r="C944" s="1" t="n">
        <v>45628</v>
      </c>
      <c r="D944" t="inlineStr">
        <is>
          <t>JÄMTLANDS LÄN</t>
        </is>
      </c>
      <c r="E944" t="inlineStr">
        <is>
          <t>ÖSTERSUND</t>
        </is>
      </c>
      <c r="G944" t="n">
        <v>4.3</v>
      </c>
      <c r="H944" t="n">
        <v>0</v>
      </c>
      <c r="I944" t="n">
        <v>0</v>
      </c>
      <c r="J944" t="n">
        <v>0</v>
      </c>
      <c r="K944" t="n">
        <v>0</v>
      </c>
      <c r="L944" t="n">
        <v>0</v>
      </c>
      <c r="M944" t="n">
        <v>0</v>
      </c>
      <c r="N944" t="n">
        <v>0</v>
      </c>
      <c r="O944" t="n">
        <v>0</v>
      </c>
      <c r="P944" t="n">
        <v>0</v>
      </c>
      <c r="Q944" t="n">
        <v>0</v>
      </c>
      <c r="R944" s="2" t="inlineStr"/>
    </row>
    <row r="945" ht="15" customHeight="1">
      <c r="A945" t="inlineStr">
        <is>
          <t>A 54359-2024</t>
        </is>
      </c>
      <c r="B945" s="1" t="n">
        <v>45617</v>
      </c>
      <c r="C945" s="1" t="n">
        <v>45628</v>
      </c>
      <c r="D945" t="inlineStr">
        <is>
          <t>JÄMTLANDS LÄN</t>
        </is>
      </c>
      <c r="E945" t="inlineStr">
        <is>
          <t>ÖSTERSUND</t>
        </is>
      </c>
      <c r="G945" t="n">
        <v>3.2</v>
      </c>
      <c r="H945" t="n">
        <v>0</v>
      </c>
      <c r="I945" t="n">
        <v>0</v>
      </c>
      <c r="J945" t="n">
        <v>0</v>
      </c>
      <c r="K945" t="n">
        <v>0</v>
      </c>
      <c r="L945" t="n">
        <v>0</v>
      </c>
      <c r="M945" t="n">
        <v>0</v>
      </c>
      <c r="N945" t="n">
        <v>0</v>
      </c>
      <c r="O945" t="n">
        <v>0</v>
      </c>
      <c r="P945" t="n">
        <v>0</v>
      </c>
      <c r="Q945" t="n">
        <v>0</v>
      </c>
      <c r="R945" s="2" t="inlineStr"/>
    </row>
    <row r="946" ht="15" customHeight="1">
      <c r="A946" t="inlineStr">
        <is>
          <t>A 54354-2024</t>
        </is>
      </c>
      <c r="B946" s="1" t="n">
        <v>45617</v>
      </c>
      <c r="C946" s="1" t="n">
        <v>45628</v>
      </c>
      <c r="D946" t="inlineStr">
        <is>
          <t>JÄMTLANDS LÄN</t>
        </is>
      </c>
      <c r="E946" t="inlineStr">
        <is>
          <t>ÖSTERSUND</t>
        </is>
      </c>
      <c r="G946" t="n">
        <v>7</v>
      </c>
      <c r="H946" t="n">
        <v>0</v>
      </c>
      <c r="I946" t="n">
        <v>0</v>
      </c>
      <c r="J946" t="n">
        <v>0</v>
      </c>
      <c r="K946" t="n">
        <v>0</v>
      </c>
      <c r="L946" t="n">
        <v>0</v>
      </c>
      <c r="M946" t="n">
        <v>0</v>
      </c>
      <c r="N946" t="n">
        <v>0</v>
      </c>
      <c r="O946" t="n">
        <v>0</v>
      </c>
      <c r="P946" t="n">
        <v>0</v>
      </c>
      <c r="Q946" t="n">
        <v>0</v>
      </c>
      <c r="R946" s="2" t="inlineStr"/>
    </row>
    <row r="947" ht="15" customHeight="1">
      <c r="A947" t="inlineStr">
        <is>
          <t>A 54508-2024</t>
        </is>
      </c>
      <c r="B947" s="1" t="n">
        <v>45617</v>
      </c>
      <c r="C947" s="1" t="n">
        <v>45628</v>
      </c>
      <c r="D947" t="inlineStr">
        <is>
          <t>JÄMTLANDS LÄN</t>
        </is>
      </c>
      <c r="E947" t="inlineStr">
        <is>
          <t>ÖSTERSUND</t>
        </is>
      </c>
      <c r="G947" t="n">
        <v>7.6</v>
      </c>
      <c r="H947" t="n">
        <v>0</v>
      </c>
      <c r="I947" t="n">
        <v>0</v>
      </c>
      <c r="J947" t="n">
        <v>0</v>
      </c>
      <c r="K947" t="n">
        <v>0</v>
      </c>
      <c r="L947" t="n">
        <v>0</v>
      </c>
      <c r="M947" t="n">
        <v>0</v>
      </c>
      <c r="N947" t="n">
        <v>0</v>
      </c>
      <c r="O947" t="n">
        <v>0</v>
      </c>
      <c r="P947" t="n">
        <v>0</v>
      </c>
      <c r="Q947" t="n">
        <v>0</v>
      </c>
      <c r="R947" s="2" t="inlineStr"/>
    </row>
    <row r="948" ht="15" customHeight="1">
      <c r="A948" t="inlineStr">
        <is>
          <t>A 54587-2024</t>
        </is>
      </c>
      <c r="B948" s="1" t="n">
        <v>45617</v>
      </c>
      <c r="C948" s="1" t="n">
        <v>45628</v>
      </c>
      <c r="D948" t="inlineStr">
        <is>
          <t>JÄMTLANDS LÄN</t>
        </is>
      </c>
      <c r="E948" t="inlineStr">
        <is>
          <t>ÖSTERSUND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54913-2024</t>
        </is>
      </c>
      <c r="B949" s="1" t="n">
        <v>45618</v>
      </c>
      <c r="C949" s="1" t="n">
        <v>45628</v>
      </c>
      <c r="D949" t="inlineStr">
        <is>
          <t>JÄMTLANDS LÄN</t>
        </is>
      </c>
      <c r="E949" t="inlineStr">
        <is>
          <t>ÖSTERSUND</t>
        </is>
      </c>
      <c r="G949" t="n">
        <v>4.7</v>
      </c>
      <c r="H949" t="n">
        <v>0</v>
      </c>
      <c r="I949" t="n">
        <v>0</v>
      </c>
      <c r="J949" t="n">
        <v>0</v>
      </c>
      <c r="K949" t="n">
        <v>0</v>
      </c>
      <c r="L949" t="n">
        <v>0</v>
      </c>
      <c r="M949" t="n">
        <v>0</v>
      </c>
      <c r="N949" t="n">
        <v>0</v>
      </c>
      <c r="O949" t="n">
        <v>0</v>
      </c>
      <c r="P949" t="n">
        <v>0</v>
      </c>
      <c r="Q949" t="n">
        <v>0</v>
      </c>
      <c r="R949" s="2" t="inlineStr"/>
    </row>
    <row r="950" ht="15" customHeight="1">
      <c r="A950" t="inlineStr">
        <is>
          <t>A 55061-2024</t>
        </is>
      </c>
      <c r="B950" s="1" t="n">
        <v>45621</v>
      </c>
      <c r="C950" s="1" t="n">
        <v>45628</v>
      </c>
      <c r="D950" t="inlineStr">
        <is>
          <t>JÄMTLANDS LÄN</t>
        </is>
      </c>
      <c r="E950" t="inlineStr">
        <is>
          <t>ÖSTERSUND</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55002-2024</t>
        </is>
      </c>
      <c r="B951" s="1" t="n">
        <v>45621</v>
      </c>
      <c r="C951" s="1" t="n">
        <v>45628</v>
      </c>
      <c r="D951" t="inlineStr">
        <is>
          <t>JÄMTLANDS LÄN</t>
        </is>
      </c>
      <c r="E951" t="inlineStr">
        <is>
          <t>ÖSTERSUND</t>
        </is>
      </c>
      <c r="F951" t="inlineStr">
        <is>
          <t>Övriga Aktiebolag</t>
        </is>
      </c>
      <c r="G951" t="n">
        <v>0.3</v>
      </c>
      <c r="H951" t="n">
        <v>0</v>
      </c>
      <c r="I951" t="n">
        <v>0</v>
      </c>
      <c r="J951" t="n">
        <v>0</v>
      </c>
      <c r="K951" t="n">
        <v>0</v>
      </c>
      <c r="L951" t="n">
        <v>0</v>
      </c>
      <c r="M951" t="n">
        <v>0</v>
      </c>
      <c r="N951" t="n">
        <v>0</v>
      </c>
      <c r="O951" t="n">
        <v>0</v>
      </c>
      <c r="P951" t="n">
        <v>0</v>
      </c>
      <c r="Q951" t="n">
        <v>0</v>
      </c>
      <c r="R951" s="2" t="inlineStr"/>
    </row>
    <row r="952" ht="15" customHeight="1">
      <c r="A952" t="inlineStr">
        <is>
          <t>A 55064-2024</t>
        </is>
      </c>
      <c r="B952" s="1" t="n">
        <v>45621</v>
      </c>
      <c r="C952" s="1" t="n">
        <v>45628</v>
      </c>
      <c r="D952" t="inlineStr">
        <is>
          <t>JÄMTLANDS LÄN</t>
        </is>
      </c>
      <c r="E952" t="inlineStr">
        <is>
          <t>ÖSTERSUND</t>
        </is>
      </c>
      <c r="G952" t="n">
        <v>0.8</v>
      </c>
      <c r="H952" t="n">
        <v>0</v>
      </c>
      <c r="I952" t="n">
        <v>0</v>
      </c>
      <c r="J952" t="n">
        <v>0</v>
      </c>
      <c r="K952" t="n">
        <v>0</v>
      </c>
      <c r="L952" t="n">
        <v>0</v>
      </c>
      <c r="M952" t="n">
        <v>0</v>
      </c>
      <c r="N952" t="n">
        <v>0</v>
      </c>
      <c r="O952" t="n">
        <v>0</v>
      </c>
      <c r="P952" t="n">
        <v>0</v>
      </c>
      <c r="Q952" t="n">
        <v>0</v>
      </c>
      <c r="R952" s="2" t="inlineStr"/>
    </row>
    <row r="953" ht="15" customHeight="1">
      <c r="A953" t="inlineStr">
        <is>
          <t>A 55294-2024</t>
        </is>
      </c>
      <c r="B953" s="1" t="n">
        <v>45621</v>
      </c>
      <c r="C953" s="1" t="n">
        <v>45628</v>
      </c>
      <c r="D953" t="inlineStr">
        <is>
          <t>JÄMTLANDS LÄN</t>
        </is>
      </c>
      <c r="E953" t="inlineStr">
        <is>
          <t>ÖSTERSUND</t>
        </is>
      </c>
      <c r="G953" t="n">
        <v>3</v>
      </c>
      <c r="H953" t="n">
        <v>0</v>
      </c>
      <c r="I953" t="n">
        <v>0</v>
      </c>
      <c r="J953" t="n">
        <v>0</v>
      </c>
      <c r="K953" t="n">
        <v>0</v>
      </c>
      <c r="L953" t="n">
        <v>0</v>
      </c>
      <c r="M953" t="n">
        <v>0</v>
      </c>
      <c r="N953" t="n">
        <v>0</v>
      </c>
      <c r="O953" t="n">
        <v>0</v>
      </c>
      <c r="P953" t="n">
        <v>0</v>
      </c>
      <c r="Q953" t="n">
        <v>0</v>
      </c>
      <c r="R953" s="2" t="inlineStr"/>
    </row>
    <row r="954" ht="15" customHeight="1">
      <c r="A954" t="inlineStr">
        <is>
          <t>A 55319-2024</t>
        </is>
      </c>
      <c r="B954" s="1" t="n">
        <v>45621</v>
      </c>
      <c r="C954" s="1" t="n">
        <v>45628</v>
      </c>
      <c r="D954" t="inlineStr">
        <is>
          <t>JÄMTLANDS LÄN</t>
        </is>
      </c>
      <c r="E954" t="inlineStr">
        <is>
          <t>ÖSTERSUND</t>
        </is>
      </c>
      <c r="G954" t="n">
        <v>7.1</v>
      </c>
      <c r="H954" t="n">
        <v>0</v>
      </c>
      <c r="I954" t="n">
        <v>0</v>
      </c>
      <c r="J954" t="n">
        <v>0</v>
      </c>
      <c r="K954" t="n">
        <v>0</v>
      </c>
      <c r="L954" t="n">
        <v>0</v>
      </c>
      <c r="M954" t="n">
        <v>0</v>
      </c>
      <c r="N954" t="n">
        <v>0</v>
      </c>
      <c r="O954" t="n">
        <v>0</v>
      </c>
      <c r="P954" t="n">
        <v>0</v>
      </c>
      <c r="Q954" t="n">
        <v>0</v>
      </c>
      <c r="R954" s="2" t="inlineStr"/>
    </row>
    <row r="955" ht="15" customHeight="1">
      <c r="A955" t="inlineStr">
        <is>
          <t>A 55323-2024</t>
        </is>
      </c>
      <c r="B955" s="1" t="n">
        <v>45621</v>
      </c>
      <c r="C955" s="1" t="n">
        <v>45628</v>
      </c>
      <c r="D955" t="inlineStr">
        <is>
          <t>JÄMTLANDS LÄN</t>
        </is>
      </c>
      <c r="E955" t="inlineStr">
        <is>
          <t>ÖSTERSUND</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55302-2024</t>
        </is>
      </c>
      <c r="B956" s="1" t="n">
        <v>45621</v>
      </c>
      <c r="C956" s="1" t="n">
        <v>45628</v>
      </c>
      <c r="D956" t="inlineStr">
        <is>
          <t>JÄMTLANDS LÄN</t>
        </is>
      </c>
      <c r="E956" t="inlineStr">
        <is>
          <t>ÖSTERSUND</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55365-2024</t>
        </is>
      </c>
      <c r="B957" s="1" t="n">
        <v>45621</v>
      </c>
      <c r="C957" s="1" t="n">
        <v>45628</v>
      </c>
      <c r="D957" t="inlineStr">
        <is>
          <t>JÄMTLANDS LÄN</t>
        </is>
      </c>
      <c r="E957" t="inlineStr">
        <is>
          <t>ÖSTERSUND</t>
        </is>
      </c>
      <c r="G957" t="n">
        <v>1.6</v>
      </c>
      <c r="H957" t="n">
        <v>0</v>
      </c>
      <c r="I957" t="n">
        <v>0</v>
      </c>
      <c r="J957" t="n">
        <v>0</v>
      </c>
      <c r="K957" t="n">
        <v>0</v>
      </c>
      <c r="L957" t="n">
        <v>0</v>
      </c>
      <c r="M957" t="n">
        <v>0</v>
      </c>
      <c r="N957" t="n">
        <v>0</v>
      </c>
      <c r="O957" t="n">
        <v>0</v>
      </c>
      <c r="P957" t="n">
        <v>0</v>
      </c>
      <c r="Q957" t="n">
        <v>0</v>
      </c>
      <c r="R957" s="2" t="inlineStr"/>
    </row>
    <row r="958" ht="15" customHeight="1">
      <c r="A958" t="inlineStr">
        <is>
          <t>A 55314-2024</t>
        </is>
      </c>
      <c r="B958" s="1" t="n">
        <v>45621</v>
      </c>
      <c r="C958" s="1" t="n">
        <v>45628</v>
      </c>
      <c r="D958" t="inlineStr">
        <is>
          <t>JÄMTLANDS LÄN</t>
        </is>
      </c>
      <c r="E958" t="inlineStr">
        <is>
          <t>ÖSTERSUND</t>
        </is>
      </c>
      <c r="G958" t="n">
        <v>14.2</v>
      </c>
      <c r="H958" t="n">
        <v>0</v>
      </c>
      <c r="I958" t="n">
        <v>0</v>
      </c>
      <c r="J958" t="n">
        <v>0</v>
      </c>
      <c r="K958" t="n">
        <v>0</v>
      </c>
      <c r="L958" t="n">
        <v>0</v>
      </c>
      <c r="M958" t="n">
        <v>0</v>
      </c>
      <c r="N958" t="n">
        <v>0</v>
      </c>
      <c r="O958" t="n">
        <v>0</v>
      </c>
      <c r="P958" t="n">
        <v>0</v>
      </c>
      <c r="Q958" t="n">
        <v>0</v>
      </c>
      <c r="R958" s="2" t="inlineStr"/>
    </row>
    <row r="959" ht="15" customHeight="1">
      <c r="A959" t="inlineStr">
        <is>
          <t>A 55572-2024</t>
        </is>
      </c>
      <c r="B959" s="1" t="n">
        <v>45622</v>
      </c>
      <c r="C959" s="1" t="n">
        <v>45628</v>
      </c>
      <c r="D959" t="inlineStr">
        <is>
          <t>JÄMTLANDS LÄN</t>
        </is>
      </c>
      <c r="E959" t="inlineStr">
        <is>
          <t>ÖSTERSUND</t>
        </is>
      </c>
      <c r="F959" t="inlineStr">
        <is>
          <t>SCA</t>
        </is>
      </c>
      <c r="G959" t="n">
        <v>11.2</v>
      </c>
      <c r="H959" t="n">
        <v>0</v>
      </c>
      <c r="I959" t="n">
        <v>0</v>
      </c>
      <c r="J959" t="n">
        <v>0</v>
      </c>
      <c r="K959" t="n">
        <v>0</v>
      </c>
      <c r="L959" t="n">
        <v>0</v>
      </c>
      <c r="M959" t="n">
        <v>0</v>
      </c>
      <c r="N959" t="n">
        <v>0</v>
      </c>
      <c r="O959" t="n">
        <v>0</v>
      </c>
      <c r="P959" t="n">
        <v>0</v>
      </c>
      <c r="Q959" t="n">
        <v>0</v>
      </c>
      <c r="R959" s="2" t="inlineStr"/>
    </row>
    <row r="960" ht="15" customHeight="1">
      <c r="A960" t="inlineStr">
        <is>
          <t>A 55600-2024</t>
        </is>
      </c>
      <c r="B960" s="1" t="n">
        <v>45622</v>
      </c>
      <c r="C960" s="1" t="n">
        <v>45628</v>
      </c>
      <c r="D960" t="inlineStr">
        <is>
          <t>JÄMTLANDS LÄN</t>
        </is>
      </c>
      <c r="E960" t="inlineStr">
        <is>
          <t>ÖSTERSUND</t>
        </is>
      </c>
      <c r="G960" t="n">
        <v>6.5</v>
      </c>
      <c r="H960" t="n">
        <v>0</v>
      </c>
      <c r="I960" t="n">
        <v>0</v>
      </c>
      <c r="J960" t="n">
        <v>0</v>
      </c>
      <c r="K960" t="n">
        <v>0</v>
      </c>
      <c r="L960" t="n">
        <v>0</v>
      </c>
      <c r="M960" t="n">
        <v>0</v>
      </c>
      <c r="N960" t="n">
        <v>0</v>
      </c>
      <c r="O960" t="n">
        <v>0</v>
      </c>
      <c r="P960" t="n">
        <v>0</v>
      </c>
      <c r="Q960" t="n">
        <v>0</v>
      </c>
      <c r="R960" s="2" t="inlineStr"/>
    </row>
    <row r="961" ht="15" customHeight="1">
      <c r="A961" t="inlineStr">
        <is>
          <t>A 55700-2024</t>
        </is>
      </c>
      <c r="B961" s="1" t="n">
        <v>45622</v>
      </c>
      <c r="C961" s="1" t="n">
        <v>45628</v>
      </c>
      <c r="D961" t="inlineStr">
        <is>
          <t>JÄMTLANDS LÄN</t>
        </is>
      </c>
      <c r="E961" t="inlineStr">
        <is>
          <t>ÖSTERSUND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56599-2024</t>
        </is>
      </c>
      <c r="B962" s="1" t="n">
        <v>45625</v>
      </c>
      <c r="C962" s="1" t="n">
        <v>45628</v>
      </c>
      <c r="D962" t="inlineStr">
        <is>
          <t>JÄMTLANDS LÄN</t>
        </is>
      </c>
      <c r="E962" t="inlineStr">
        <is>
          <t>ÖSTERSUND</t>
        </is>
      </c>
      <c r="G962" t="n">
        <v>2.1</v>
      </c>
      <c r="H962" t="n">
        <v>0</v>
      </c>
      <c r="I962" t="n">
        <v>0</v>
      </c>
      <c r="J962" t="n">
        <v>0</v>
      </c>
      <c r="K962" t="n">
        <v>0</v>
      </c>
      <c r="L962" t="n">
        <v>0</v>
      </c>
      <c r="M962" t="n">
        <v>0</v>
      </c>
      <c r="N962" t="n">
        <v>0</v>
      </c>
      <c r="O962" t="n">
        <v>0</v>
      </c>
      <c r="P962" t="n">
        <v>0</v>
      </c>
      <c r="Q962" t="n">
        <v>0</v>
      </c>
      <c r="R962" s="2" t="inlineStr"/>
    </row>
    <row r="963" ht="15" customHeight="1">
      <c r="A963" t="inlineStr">
        <is>
          <t>A 56646-2024</t>
        </is>
      </c>
      <c r="B963" s="1" t="n">
        <v>45625</v>
      </c>
      <c r="C963" s="1" t="n">
        <v>45628</v>
      </c>
      <c r="D963" t="inlineStr">
        <is>
          <t>JÄMTLANDS LÄN</t>
        </is>
      </c>
      <c r="E963" t="inlineStr">
        <is>
          <t>ÖSTERSUND</t>
        </is>
      </c>
      <c r="G963" t="n">
        <v>18.9</v>
      </c>
      <c r="H963" t="n">
        <v>0</v>
      </c>
      <c r="I963" t="n">
        <v>0</v>
      </c>
      <c r="J963" t="n">
        <v>0</v>
      </c>
      <c r="K963" t="n">
        <v>0</v>
      </c>
      <c r="L963" t="n">
        <v>0</v>
      </c>
      <c r="M963" t="n">
        <v>0</v>
      </c>
      <c r="N963" t="n">
        <v>0</v>
      </c>
      <c r="O963" t="n">
        <v>0</v>
      </c>
      <c r="P963" t="n">
        <v>0</v>
      </c>
      <c r="Q963" t="n">
        <v>0</v>
      </c>
      <c r="R963" s="2" t="inlineStr"/>
    </row>
    <row r="964">
      <c r="A964" t="inlineStr">
        <is>
          <t>A 56375-2024</t>
        </is>
      </c>
      <c r="B964" s="1" t="n">
        <v>45625</v>
      </c>
      <c r="C964" s="1" t="n">
        <v>45628</v>
      </c>
      <c r="D964" t="inlineStr">
        <is>
          <t>JÄMTLANDS LÄN</t>
        </is>
      </c>
      <c r="E964" t="inlineStr">
        <is>
          <t>ÖSTERSUND</t>
        </is>
      </c>
      <c r="G964" t="n">
        <v>0.7</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2024-12-02T14:46:55Z</dcterms:created>
  <dcterms:modified xmlns:dcterms="http://purl.org/dc/terms/" xmlns:xsi="http://www.w3.org/2001/XMLSchema-instance" xsi:type="dcterms:W3CDTF">2024-12-02T14:46:56Z</dcterms:modified>
</cp:coreProperties>
</file>