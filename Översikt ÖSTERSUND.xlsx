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46092</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46092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46092</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46092</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46092</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46092</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46092</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46092</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46092</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46092</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46092</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55314-2024</t>
        </is>
      </c>
      <c r="B26" s="1" t="n">
        <v>45621</v>
      </c>
      <c r="C26" s="1" t="n">
        <v>46092</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48959-2025</t>
        </is>
      </c>
      <c r="B27" s="1" t="n">
        <v>45937.55055555556</v>
      </c>
      <c r="C27" s="1" t="n">
        <v>46092</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46051.68951388889</v>
      </c>
      <c r="C28" s="1" t="n">
        <v>46092</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46092</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49056-2025</t>
        </is>
      </c>
      <c r="B30" s="1" t="n">
        <v>45937.64063657408</v>
      </c>
      <c r="C30" s="1" t="n">
        <v>46092</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46092</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26796-2024</t>
        </is>
      </c>
      <c r="B32" s="1" t="n">
        <v>45470</v>
      </c>
      <c r="C32" s="1" t="n">
        <v>46092</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46092</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46092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agg.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46092</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45224-2024</t>
        </is>
      </c>
      <c r="B36" s="1" t="n">
        <v>45575.77440972222</v>
      </c>
      <c r="C36" s="1" t="n">
        <v>46092</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34816-2024</t>
        </is>
      </c>
      <c r="B37" s="1" t="n">
        <v>45526</v>
      </c>
      <c r="C37" s="1" t="n">
        <v>46092</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57729-2025</t>
        </is>
      </c>
      <c r="B38" s="1" t="n">
        <v>45981.50630787037</v>
      </c>
      <c r="C38" s="1" t="n">
        <v>46092</v>
      </c>
      <c r="D38" t="inlineStr">
        <is>
          <t>JÄMTLANDS LÄN</t>
        </is>
      </c>
      <c r="E38" t="inlineStr">
        <is>
          <t>ÖSTERSUND</t>
        </is>
      </c>
      <c r="G38" t="n">
        <v>5.2</v>
      </c>
      <c r="H38" t="n">
        <v>4</v>
      </c>
      <c r="I38" t="n">
        <v>2</v>
      </c>
      <c r="J38" t="n">
        <v>4</v>
      </c>
      <c r="K38" t="n">
        <v>0</v>
      </c>
      <c r="L38" t="n">
        <v>0</v>
      </c>
      <c r="M38" t="n">
        <v>0</v>
      </c>
      <c r="N38" t="n">
        <v>0</v>
      </c>
      <c r="O38" t="n">
        <v>4</v>
      </c>
      <c r="P38" t="n">
        <v>0</v>
      </c>
      <c r="Q38" t="n">
        <v>8</v>
      </c>
      <c r="R38" s="2" t="inlineStr">
        <is>
          <t>Granticka
Kråka
Talltita
Ullticka
Stuplav
Vedticka
Lopplummer (aggregat)
Revlummer</t>
        </is>
      </c>
      <c r="S38">
        <f>HYPERLINK("https://klasma.github.io/Logging_2380/artfynd/A 57729-2025 artfynd.xlsx", "A 57729-2025")</f>
        <v/>
      </c>
      <c r="T38">
        <f>HYPERLINK("https://klasma.github.io/Logging_2380/kartor/A 57729-2025 karta.png", "A 57729-2025")</f>
        <v/>
      </c>
      <c r="V38">
        <f>HYPERLINK("https://klasma.github.io/Logging_2380/klagomål/A 57729-2025 FSC-klagomål.docx", "A 57729-2025")</f>
        <v/>
      </c>
      <c r="W38">
        <f>HYPERLINK("https://klasma.github.io/Logging_2380/klagomålsmail/A 57729-2025 FSC-klagomål mail.docx", "A 57729-2025")</f>
        <v/>
      </c>
      <c r="X38">
        <f>HYPERLINK("https://klasma.github.io/Logging_2380/tillsyn/A 57729-2025 tillsynsbegäran.docx", "A 57729-2025")</f>
        <v/>
      </c>
      <c r="Y38">
        <f>HYPERLINK("https://klasma.github.io/Logging_2380/tillsynsmail/A 57729-2025 tillsynsbegäran mail.docx", "A 57729-2025")</f>
        <v/>
      </c>
      <c r="Z38">
        <f>HYPERLINK("https://klasma.github.io/Logging_2380/fåglar/A 57729-2025 prioriterade fågelarter.docx", "A 57729-2025")</f>
        <v/>
      </c>
    </row>
    <row r="39" ht="15" customHeight="1">
      <c r="A39" t="inlineStr">
        <is>
          <t>A 21753-2023</t>
        </is>
      </c>
      <c r="B39" s="1" t="n">
        <v>45063</v>
      </c>
      <c r="C39" s="1" t="n">
        <v>46092</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10744-2024</t>
        </is>
      </c>
      <c r="B40" s="1" t="n">
        <v>45369</v>
      </c>
      <c r="C40" s="1" t="n">
        <v>46092</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379-2026</t>
        </is>
      </c>
      <c r="B41" s="1" t="n">
        <v>46027.7344212963</v>
      </c>
      <c r="C41" s="1" t="n">
        <v>46092</v>
      </c>
      <c r="D41" t="inlineStr">
        <is>
          <t>JÄMTLANDS LÄN</t>
        </is>
      </c>
      <c r="E41" t="inlineStr">
        <is>
          <t>ÖSTERSUND</t>
        </is>
      </c>
      <c r="G41" t="n">
        <v>5.6</v>
      </c>
      <c r="H41" t="n">
        <v>1</v>
      </c>
      <c r="I41" t="n">
        <v>2</v>
      </c>
      <c r="J41" t="n">
        <v>6</v>
      </c>
      <c r="K41" t="n">
        <v>0</v>
      </c>
      <c r="L41" t="n">
        <v>0</v>
      </c>
      <c r="M41" t="n">
        <v>0</v>
      </c>
      <c r="N41" t="n">
        <v>0</v>
      </c>
      <c r="O41" t="n">
        <v>6</v>
      </c>
      <c r="P41" t="n">
        <v>0</v>
      </c>
      <c r="Q41" t="n">
        <v>8</v>
      </c>
      <c r="R41" s="2" t="inlineStr">
        <is>
          <t>Garnlav
Granticka
Lunglav
Skrovellav
Tretåig hackspett
Ullticka
Korallblylav
Stuplav</t>
        </is>
      </c>
      <c r="S41">
        <f>HYPERLINK("https://klasma.github.io/Logging_2380/artfynd/A 379-2026 artfynd.xlsx", "A 379-2026")</f>
        <v/>
      </c>
      <c r="T41">
        <f>HYPERLINK("https://klasma.github.io/Logging_2380/kartor/A 379-2026 karta.png", "A 379-2026")</f>
        <v/>
      </c>
      <c r="V41">
        <f>HYPERLINK("https://klasma.github.io/Logging_2380/klagomål/A 379-2026 FSC-klagomål.docx", "A 379-2026")</f>
        <v/>
      </c>
      <c r="W41">
        <f>HYPERLINK("https://klasma.github.io/Logging_2380/klagomålsmail/A 379-2026 FSC-klagomål mail.docx", "A 379-2026")</f>
        <v/>
      </c>
      <c r="X41">
        <f>HYPERLINK("https://klasma.github.io/Logging_2380/tillsyn/A 379-2026 tillsynsbegäran.docx", "A 379-2026")</f>
        <v/>
      </c>
      <c r="Y41">
        <f>HYPERLINK("https://klasma.github.io/Logging_2380/tillsynsmail/A 379-2026 tillsynsbegäran mail.docx", "A 379-2026")</f>
        <v/>
      </c>
      <c r="Z41">
        <f>HYPERLINK("https://klasma.github.io/Logging_2380/fåglar/A 379-2026 prioriterade fågelarter.docx", "A 379-2026")</f>
        <v/>
      </c>
    </row>
    <row r="42" ht="15" customHeight="1">
      <c r="A42" t="inlineStr">
        <is>
          <t>A 31122-2025</t>
        </is>
      </c>
      <c r="B42" s="1" t="n">
        <v>45831</v>
      </c>
      <c r="C42" s="1" t="n">
        <v>46092</v>
      </c>
      <c r="D42" t="inlineStr">
        <is>
          <t>JÄMTLANDS LÄN</t>
        </is>
      </c>
      <c r="E42" t="inlineStr">
        <is>
          <t>ÖSTERSUND</t>
        </is>
      </c>
      <c r="G42" t="n">
        <v>5.5</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31122-2025 artfynd.xlsx", "A 31122-2025")</f>
        <v/>
      </c>
      <c r="T42">
        <f>HYPERLINK("https://klasma.github.io/Logging_2380/kartor/A 31122-2025 karta.png", "A 31122-2025")</f>
        <v/>
      </c>
      <c r="V42">
        <f>HYPERLINK("https://klasma.github.io/Logging_2380/klagomål/A 31122-2025 FSC-klagomål.docx", "A 31122-2025")</f>
        <v/>
      </c>
      <c r="W42">
        <f>HYPERLINK("https://klasma.github.io/Logging_2380/klagomålsmail/A 31122-2025 FSC-klagomål mail.docx", "A 31122-2025")</f>
        <v/>
      </c>
      <c r="X42">
        <f>HYPERLINK("https://klasma.github.io/Logging_2380/tillsyn/A 31122-2025 tillsynsbegäran.docx", "A 31122-2025")</f>
        <v/>
      </c>
      <c r="Y42">
        <f>HYPERLINK("https://klasma.github.io/Logging_2380/tillsynsmail/A 31122-2025 tillsynsbegäran mail.docx", "A 31122-2025")</f>
        <v/>
      </c>
      <c r="Z42">
        <f>HYPERLINK("https://klasma.github.io/Logging_2380/fåglar/A 31122-2025 prioriterade fågelarter.docx", "A 31122-2025")</f>
        <v/>
      </c>
    </row>
    <row r="43" ht="15" customHeight="1">
      <c r="A43" t="inlineStr">
        <is>
          <t>A 56648-2025</t>
        </is>
      </c>
      <c r="B43" s="1" t="n">
        <v>45975</v>
      </c>
      <c r="C43" s="1" t="n">
        <v>46092</v>
      </c>
      <c r="D43" t="inlineStr">
        <is>
          <t>JÄMTLANDS LÄN</t>
        </is>
      </c>
      <c r="E43" t="inlineStr">
        <is>
          <t>ÖSTERSUND</t>
        </is>
      </c>
      <c r="G43" t="n">
        <v>4.3</v>
      </c>
      <c r="H43" t="n">
        <v>4</v>
      </c>
      <c r="I43" t="n">
        <v>1</v>
      </c>
      <c r="J43" t="n">
        <v>6</v>
      </c>
      <c r="K43" t="n">
        <v>0</v>
      </c>
      <c r="L43" t="n">
        <v>0</v>
      </c>
      <c r="M43" t="n">
        <v>0</v>
      </c>
      <c r="N43" t="n">
        <v>0</v>
      </c>
      <c r="O43" t="n">
        <v>6</v>
      </c>
      <c r="P43" t="n">
        <v>0</v>
      </c>
      <c r="Q43" t="n">
        <v>8</v>
      </c>
      <c r="R43" s="2" t="inlineStr">
        <is>
          <t>Garnlav
Granticka
Spillkråka
Talltita
Tretåig hackspett
Ullticka
Stuplav
Revlummer</t>
        </is>
      </c>
      <c r="S43">
        <f>HYPERLINK("https://klasma.github.io/Logging_2380/artfynd/A 56648-2025 artfynd.xlsx", "A 56648-2025")</f>
        <v/>
      </c>
      <c r="T43">
        <f>HYPERLINK("https://klasma.github.io/Logging_2380/kartor/A 56648-2025 karta.png", "A 56648-2025")</f>
        <v/>
      </c>
      <c r="V43">
        <f>HYPERLINK("https://klasma.github.io/Logging_2380/klagomål/A 56648-2025 FSC-klagomål.docx", "A 56648-2025")</f>
        <v/>
      </c>
      <c r="W43">
        <f>HYPERLINK("https://klasma.github.io/Logging_2380/klagomålsmail/A 56648-2025 FSC-klagomål mail.docx", "A 56648-2025")</f>
        <v/>
      </c>
      <c r="X43">
        <f>HYPERLINK("https://klasma.github.io/Logging_2380/tillsyn/A 56648-2025 tillsynsbegäran.docx", "A 56648-2025")</f>
        <v/>
      </c>
      <c r="Y43">
        <f>HYPERLINK("https://klasma.github.io/Logging_2380/tillsynsmail/A 56648-2025 tillsynsbegäran mail.docx", "A 56648-2025")</f>
        <v/>
      </c>
      <c r="Z43">
        <f>HYPERLINK("https://klasma.github.io/Logging_2380/fåglar/A 56648-2025 prioriterade fågelarter.docx", "A 56648-2025")</f>
        <v/>
      </c>
    </row>
    <row r="44" ht="15" customHeight="1">
      <c r="A44" t="inlineStr">
        <is>
          <t>A 63193-2025</t>
        </is>
      </c>
      <c r="B44" s="1" t="n">
        <v>46010.45428240741</v>
      </c>
      <c r="C44" s="1" t="n">
        <v>46092</v>
      </c>
      <c r="D44" t="inlineStr">
        <is>
          <t>JÄMTLANDS LÄN</t>
        </is>
      </c>
      <c r="E44" t="inlineStr">
        <is>
          <t>ÖSTERSUND</t>
        </is>
      </c>
      <c r="G44" t="n">
        <v>9</v>
      </c>
      <c r="H44" t="n">
        <v>1</v>
      </c>
      <c r="I44" t="n">
        <v>1</v>
      </c>
      <c r="J44" t="n">
        <v>7</v>
      </c>
      <c r="K44" t="n">
        <v>0</v>
      </c>
      <c r="L44" t="n">
        <v>0</v>
      </c>
      <c r="M44" t="n">
        <v>0</v>
      </c>
      <c r="N44" t="n">
        <v>0</v>
      </c>
      <c r="O44" t="n">
        <v>7</v>
      </c>
      <c r="P44" t="n">
        <v>0</v>
      </c>
      <c r="Q44" t="n">
        <v>8</v>
      </c>
      <c r="R44" s="2" t="inlineStr">
        <is>
          <t>Garnlav
Granticka
Harticka
Lunglav
Skrovellav
Tretåig hackspett
Ullticka
Kransrams</t>
        </is>
      </c>
      <c r="S44">
        <f>HYPERLINK("https://klasma.github.io/Logging_2380/artfynd/A 63193-2025 artfynd.xlsx", "A 63193-2025")</f>
        <v/>
      </c>
      <c r="T44">
        <f>HYPERLINK("https://klasma.github.io/Logging_2380/kartor/A 63193-2025 karta.png", "A 63193-2025")</f>
        <v/>
      </c>
      <c r="U44">
        <f>HYPERLINK("https://klasma.github.io/Logging_2380/knärot/A 63193-2025 karta knärot.png", "A 63193-2025")</f>
        <v/>
      </c>
      <c r="V44">
        <f>HYPERLINK("https://klasma.github.io/Logging_2380/klagomål/A 63193-2025 FSC-klagomål.docx", "A 63193-2025")</f>
        <v/>
      </c>
      <c r="W44">
        <f>HYPERLINK("https://klasma.github.io/Logging_2380/klagomålsmail/A 63193-2025 FSC-klagomål mail.docx", "A 63193-2025")</f>
        <v/>
      </c>
      <c r="X44">
        <f>HYPERLINK("https://klasma.github.io/Logging_2380/tillsyn/A 63193-2025 tillsynsbegäran.docx", "A 63193-2025")</f>
        <v/>
      </c>
      <c r="Y44">
        <f>HYPERLINK("https://klasma.github.io/Logging_2380/tillsynsmail/A 63193-2025 tillsynsbegäran mail.docx", "A 63193-2025")</f>
        <v/>
      </c>
      <c r="Z44">
        <f>HYPERLINK("https://klasma.github.io/Logging_2380/fåglar/A 63193-2025 prioriterade fågelarter.docx", "A 63193-2025")</f>
        <v/>
      </c>
    </row>
    <row r="45" ht="15" customHeight="1">
      <c r="A45" t="inlineStr">
        <is>
          <t>A 3894-2026</t>
        </is>
      </c>
      <c r="B45" s="1" t="n">
        <v>46043.67922453704</v>
      </c>
      <c r="C45" s="1" t="n">
        <v>46092</v>
      </c>
      <c r="D45" t="inlineStr">
        <is>
          <t>JÄMTLANDS LÄN</t>
        </is>
      </c>
      <c r="E45" t="inlineStr">
        <is>
          <t>ÖSTERSUND</t>
        </is>
      </c>
      <c r="G45" t="n">
        <v>3.5</v>
      </c>
      <c r="H45" t="n">
        <v>2</v>
      </c>
      <c r="I45" t="n">
        <v>1</v>
      </c>
      <c r="J45" t="n">
        <v>6</v>
      </c>
      <c r="K45" t="n">
        <v>1</v>
      </c>
      <c r="L45" t="n">
        <v>0</v>
      </c>
      <c r="M45" t="n">
        <v>0</v>
      </c>
      <c r="N45" t="n">
        <v>0</v>
      </c>
      <c r="O45" t="n">
        <v>7</v>
      </c>
      <c r="P45" t="n">
        <v>1</v>
      </c>
      <c r="Q45" t="n">
        <v>8</v>
      </c>
      <c r="R45" s="2" t="inlineStr">
        <is>
          <t>Rynkskinn
Garnlav
Granticka
Lunglav
Talltita
Tretåig hackspett
Vitgrynig nållav
Trådticka</t>
        </is>
      </c>
      <c r="S45">
        <f>HYPERLINK("https://klasma.github.io/Logging_2380/artfynd/A 3894-2026 artfynd.xlsx", "A 3894-2026")</f>
        <v/>
      </c>
      <c r="T45">
        <f>HYPERLINK("https://klasma.github.io/Logging_2380/kartor/A 3894-2026 karta.png", "A 3894-2026")</f>
        <v/>
      </c>
      <c r="V45">
        <f>HYPERLINK("https://klasma.github.io/Logging_2380/klagomål/A 3894-2026 FSC-klagomål.docx", "A 3894-2026")</f>
        <v/>
      </c>
      <c r="W45">
        <f>HYPERLINK("https://klasma.github.io/Logging_2380/klagomålsmail/A 3894-2026 FSC-klagomål mail.docx", "A 3894-2026")</f>
        <v/>
      </c>
      <c r="X45">
        <f>HYPERLINK("https://klasma.github.io/Logging_2380/tillsyn/A 3894-2026 tillsynsbegäran.docx", "A 3894-2026")</f>
        <v/>
      </c>
      <c r="Y45">
        <f>HYPERLINK("https://klasma.github.io/Logging_2380/tillsynsmail/A 3894-2026 tillsynsbegäran mail.docx", "A 3894-2026")</f>
        <v/>
      </c>
      <c r="Z45">
        <f>HYPERLINK("https://klasma.github.io/Logging_2380/fåglar/A 3894-2026 prioriterade fågelarter.docx", "A 3894-2026")</f>
        <v/>
      </c>
    </row>
    <row r="46" ht="15" customHeight="1">
      <c r="A46" t="inlineStr">
        <is>
          <t>A 17716-2024</t>
        </is>
      </c>
      <c r="B46" s="1" t="n">
        <v>45415</v>
      </c>
      <c r="C46" s="1" t="n">
        <v>46092</v>
      </c>
      <c r="D46" t="inlineStr">
        <is>
          <t>JÄMTLANDS LÄN</t>
        </is>
      </c>
      <c r="E46" t="inlineStr">
        <is>
          <t>ÖSTERSUND</t>
        </is>
      </c>
      <c r="G46" t="n">
        <v>1.4</v>
      </c>
      <c r="H46" t="n">
        <v>8</v>
      </c>
      <c r="I46" t="n">
        <v>2</v>
      </c>
      <c r="J46" t="n">
        <v>1</v>
      </c>
      <c r="K46" t="n">
        <v>1</v>
      </c>
      <c r="L46" t="n">
        <v>1</v>
      </c>
      <c r="M46" t="n">
        <v>0</v>
      </c>
      <c r="N46" t="n">
        <v>0</v>
      </c>
      <c r="O46" t="n">
        <v>3</v>
      </c>
      <c r="P46" t="n">
        <v>2</v>
      </c>
      <c r="Q46" t="n">
        <v>8</v>
      </c>
      <c r="R46" s="2" t="inlineStr">
        <is>
          <t>Storspov
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40777-2023</t>
        </is>
      </c>
      <c r="B47" s="1" t="n">
        <v>45170</v>
      </c>
      <c r="C47" s="1" t="n">
        <v>46092</v>
      </c>
      <c r="D47" t="inlineStr">
        <is>
          <t>JÄMTLANDS LÄN</t>
        </is>
      </c>
      <c r="E47" t="inlineStr">
        <is>
          <t>ÖSTERSUND</t>
        </is>
      </c>
      <c r="F47" t="inlineStr">
        <is>
          <t>SCA</t>
        </is>
      </c>
      <c r="G47" t="n">
        <v>16.4</v>
      </c>
      <c r="H47" t="n">
        <v>3</v>
      </c>
      <c r="I47" t="n">
        <v>1</v>
      </c>
      <c r="J47" t="n">
        <v>5</v>
      </c>
      <c r="K47" t="n">
        <v>1</v>
      </c>
      <c r="L47" t="n">
        <v>0</v>
      </c>
      <c r="M47" t="n">
        <v>0</v>
      </c>
      <c r="N47" t="n">
        <v>0</v>
      </c>
      <c r="O47" t="n">
        <v>6</v>
      </c>
      <c r="P47" t="n">
        <v>1</v>
      </c>
      <c r="Q47" t="n">
        <v>8</v>
      </c>
      <c r="R47" s="2" t="inlineStr">
        <is>
          <t>Doftticka
Kungsörn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c r="Z47">
        <f>HYPERLINK("https://klasma.github.io/Logging_2380/fåglar/A 40777-2023 prioriterade fågelarter.docx", "A 40777-2023")</f>
        <v/>
      </c>
    </row>
    <row r="48" ht="15" customHeight="1">
      <c r="A48" t="inlineStr">
        <is>
          <t>A 7710-2024</t>
        </is>
      </c>
      <c r="B48" s="1" t="n">
        <v>45349</v>
      </c>
      <c r="C48" s="1" t="n">
        <v>46092</v>
      </c>
      <c r="D48" t="inlineStr">
        <is>
          <t>JÄMTLANDS LÄN</t>
        </is>
      </c>
      <c r="E48" t="inlineStr">
        <is>
          <t>ÖSTERSUND</t>
        </is>
      </c>
      <c r="F48" t="inlineStr">
        <is>
          <t>Övriga Aktiebolag</t>
        </is>
      </c>
      <c r="G48" t="n">
        <v>0.7</v>
      </c>
      <c r="H48" t="n">
        <v>7</v>
      </c>
      <c r="I48" t="n">
        <v>3</v>
      </c>
      <c r="J48" t="n">
        <v>2</v>
      </c>
      <c r="K48" t="n">
        <v>0</v>
      </c>
      <c r="L48" t="n">
        <v>0</v>
      </c>
      <c r="M48" t="n">
        <v>0</v>
      </c>
      <c r="N48" t="n">
        <v>0</v>
      </c>
      <c r="O48" t="n">
        <v>2</v>
      </c>
      <c r="P48" t="n">
        <v>0</v>
      </c>
      <c r="Q48" t="n">
        <v>8</v>
      </c>
      <c r="R48" s="2" t="inlineStr">
        <is>
          <t>Garnlav
Talltita
Guckusko
Spindelblomster
Tvåblad
Brudsporre
Fläcknycklar
Revlummer</t>
        </is>
      </c>
      <c r="S48">
        <f>HYPERLINK("https://klasma.github.io/Logging_2380/artfynd/A 7710-2024 artfynd.xlsx", "A 7710-2024")</f>
        <v/>
      </c>
      <c r="T48">
        <f>HYPERLINK("https://klasma.github.io/Logging_2380/kartor/A 7710-2024 karta.png", "A 7710-2024")</f>
        <v/>
      </c>
      <c r="V48">
        <f>HYPERLINK("https://klasma.github.io/Logging_2380/klagomål/A 7710-2024 FSC-klagomål.docx", "A 7710-2024")</f>
        <v/>
      </c>
      <c r="W48">
        <f>HYPERLINK("https://klasma.github.io/Logging_2380/klagomålsmail/A 7710-2024 FSC-klagomål mail.docx", "A 7710-2024")</f>
        <v/>
      </c>
      <c r="X48">
        <f>HYPERLINK("https://klasma.github.io/Logging_2380/tillsyn/A 7710-2024 tillsynsbegäran.docx", "A 7710-2024")</f>
        <v/>
      </c>
      <c r="Y48">
        <f>HYPERLINK("https://klasma.github.io/Logging_2380/tillsynsmail/A 7710-2024 tillsynsbegäran mail.docx", "A 7710-2024")</f>
        <v/>
      </c>
      <c r="Z48">
        <f>HYPERLINK("https://klasma.github.io/Logging_2380/fåglar/A 7710-2024 prioriterade fågelarter.docx", "A 7710-2024")</f>
        <v/>
      </c>
    </row>
    <row r="49" ht="15" customHeight="1">
      <c r="A49" t="inlineStr">
        <is>
          <t>A 39735-2021</t>
        </is>
      </c>
      <c r="B49" s="1" t="n">
        <v>44414</v>
      </c>
      <c r="C49" s="1" t="n">
        <v>46092</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48736-2025</t>
        </is>
      </c>
      <c r="B50" s="1" t="n">
        <v>45936.66547453704</v>
      </c>
      <c r="C50" s="1" t="n">
        <v>46092</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39586-2025</t>
        </is>
      </c>
      <c r="B51" s="1" t="n">
        <v>45890</v>
      </c>
      <c r="C51" s="1" t="n">
        <v>46092</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50529-2025</t>
        </is>
      </c>
      <c r="B52" s="1" t="n">
        <v>45945.47331018518</v>
      </c>
      <c r="C52" s="1" t="n">
        <v>46092</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46092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52297-2025</t>
        </is>
      </c>
      <c r="B54" s="1" t="n">
        <v>45953</v>
      </c>
      <c r="C54" s="1" t="n">
        <v>46092</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53292-2025</t>
        </is>
      </c>
      <c r="B55" s="1" t="n">
        <v>45958</v>
      </c>
      <c r="C55" s="1" t="n">
        <v>46092</v>
      </c>
      <c r="D55" t="inlineStr">
        <is>
          <t>JÄMTLANDS LÄN</t>
        </is>
      </c>
      <c r="E55" t="inlineStr">
        <is>
          <t>ÖSTERSUND</t>
        </is>
      </c>
      <c r="G55" t="n">
        <v>3</v>
      </c>
      <c r="H55" t="n">
        <v>5</v>
      </c>
      <c r="I55" t="n">
        <v>0</v>
      </c>
      <c r="J55" t="n">
        <v>3</v>
      </c>
      <c r="K55" t="n">
        <v>1</v>
      </c>
      <c r="L55" t="n">
        <v>0</v>
      </c>
      <c r="M55" t="n">
        <v>0</v>
      </c>
      <c r="N55" t="n">
        <v>0</v>
      </c>
      <c r="O55" t="n">
        <v>4</v>
      </c>
      <c r="P55" t="n">
        <v>1</v>
      </c>
      <c r="Q55" t="n">
        <v>7</v>
      </c>
      <c r="R55" s="2" t="inlineStr">
        <is>
          <t>Knärot
Garnlav
Granticka
Talltita
Kungsfågel
Blåsippa
Revlummer</t>
        </is>
      </c>
      <c r="S55">
        <f>HYPERLINK("https://klasma.github.io/Logging_2380/artfynd/A 53292-2025 artfynd.xlsx", "A 53292-2025")</f>
        <v/>
      </c>
      <c r="T55">
        <f>HYPERLINK("https://klasma.github.io/Logging_2380/kartor/A 53292-2025 karta.png", "A 53292-2025")</f>
        <v/>
      </c>
      <c r="U55">
        <f>HYPERLINK("https://klasma.github.io/Logging_2380/knärot/A 53292-2025 karta knärot.png", "A 53292-2025")</f>
        <v/>
      </c>
      <c r="V55">
        <f>HYPERLINK("https://klasma.github.io/Logging_2380/klagomål/A 53292-2025 FSC-klagomål.docx", "A 53292-2025")</f>
        <v/>
      </c>
      <c r="W55">
        <f>HYPERLINK("https://klasma.github.io/Logging_2380/klagomålsmail/A 53292-2025 FSC-klagomål mail.docx", "A 53292-2025")</f>
        <v/>
      </c>
      <c r="X55">
        <f>HYPERLINK("https://klasma.github.io/Logging_2380/tillsyn/A 53292-2025 tillsynsbegäran.docx", "A 53292-2025")</f>
        <v/>
      </c>
      <c r="Y55">
        <f>HYPERLINK("https://klasma.github.io/Logging_2380/tillsynsmail/A 53292-2025 tillsynsbegäran mail.docx", "A 53292-2025")</f>
        <v/>
      </c>
      <c r="Z55">
        <f>HYPERLINK("https://klasma.github.io/Logging_2380/fåglar/A 53292-2025 prioriterade fågelarter.docx", "A 53292-2025")</f>
        <v/>
      </c>
    </row>
    <row r="56" ht="15" customHeight="1">
      <c r="A56" t="inlineStr">
        <is>
          <t>A 5203-2026</t>
        </is>
      </c>
      <c r="B56" s="1" t="n">
        <v>46049</v>
      </c>
      <c r="C56" s="1" t="n">
        <v>46092</v>
      </c>
      <c r="D56" t="inlineStr">
        <is>
          <t>JÄMTLANDS LÄN</t>
        </is>
      </c>
      <c r="E56" t="inlineStr">
        <is>
          <t>ÖSTERSUND</t>
        </is>
      </c>
      <c r="G56" t="n">
        <v>14.6</v>
      </c>
      <c r="H56" t="n">
        <v>3</v>
      </c>
      <c r="I56" t="n">
        <v>2</v>
      </c>
      <c r="J56" t="n">
        <v>3</v>
      </c>
      <c r="K56" t="n">
        <v>1</v>
      </c>
      <c r="L56" t="n">
        <v>0</v>
      </c>
      <c r="M56" t="n">
        <v>0</v>
      </c>
      <c r="N56" t="n">
        <v>0</v>
      </c>
      <c r="O56" t="n">
        <v>4</v>
      </c>
      <c r="P56" t="n">
        <v>1</v>
      </c>
      <c r="Q56" t="n">
        <v>7</v>
      </c>
      <c r="R56" s="2" t="inlineStr">
        <is>
          <t>Knärot
Garnlav
Talltita
Ullticka
Kransrams
Svavelriska
Revlummer</t>
        </is>
      </c>
      <c r="S56">
        <f>HYPERLINK("https://klasma.github.io/Logging_2380/artfynd/A 5203-2026 artfynd.xlsx", "A 5203-2026")</f>
        <v/>
      </c>
      <c r="T56">
        <f>HYPERLINK("https://klasma.github.io/Logging_2380/kartor/A 5203-2026 karta.png", "A 5203-2026")</f>
        <v/>
      </c>
      <c r="U56">
        <f>HYPERLINK("https://klasma.github.io/Logging_2380/knärot/A 5203-2026 karta knärot.png", "A 5203-2026")</f>
        <v/>
      </c>
      <c r="V56">
        <f>HYPERLINK("https://klasma.github.io/Logging_2380/klagomål/A 5203-2026 FSC-klagomål.docx", "A 5203-2026")</f>
        <v/>
      </c>
      <c r="W56">
        <f>HYPERLINK("https://klasma.github.io/Logging_2380/klagomålsmail/A 5203-2026 FSC-klagomål mail.docx", "A 5203-2026")</f>
        <v/>
      </c>
      <c r="X56">
        <f>HYPERLINK("https://klasma.github.io/Logging_2380/tillsyn/A 5203-2026 tillsynsbegäran.docx", "A 5203-2026")</f>
        <v/>
      </c>
      <c r="Y56">
        <f>HYPERLINK("https://klasma.github.io/Logging_2380/tillsynsmail/A 5203-2026 tillsynsbegäran mail.docx", "A 5203-2026")</f>
        <v/>
      </c>
      <c r="Z56">
        <f>HYPERLINK("https://klasma.github.io/Logging_2380/fåglar/A 5203-2026 prioriterade fågelarter.docx", "A 5203-2026")</f>
        <v/>
      </c>
    </row>
    <row r="57" ht="15" customHeight="1">
      <c r="A57" t="inlineStr">
        <is>
          <t>A 3512-2026</t>
        </is>
      </c>
      <c r="B57" s="1" t="n">
        <v>46042.58655092592</v>
      </c>
      <c r="C57" s="1" t="n">
        <v>46092</v>
      </c>
      <c r="D57" t="inlineStr">
        <is>
          <t>JÄMTLANDS LÄN</t>
        </is>
      </c>
      <c r="E57" t="inlineStr">
        <is>
          <t>ÖSTERSUND</t>
        </is>
      </c>
      <c r="G57" t="n">
        <v>5.7</v>
      </c>
      <c r="H57" t="n">
        <v>2</v>
      </c>
      <c r="I57" t="n">
        <v>1</v>
      </c>
      <c r="J57" t="n">
        <v>6</v>
      </c>
      <c r="K57" t="n">
        <v>0</v>
      </c>
      <c r="L57" t="n">
        <v>0</v>
      </c>
      <c r="M57" t="n">
        <v>0</v>
      </c>
      <c r="N57" t="n">
        <v>0</v>
      </c>
      <c r="O57" t="n">
        <v>6</v>
      </c>
      <c r="P57" t="n">
        <v>0</v>
      </c>
      <c r="Q57" t="n">
        <v>7</v>
      </c>
      <c r="R57" s="2" t="inlineStr">
        <is>
          <t>Garnlav
Kolflarnlav
Slåtterfibbla
Talltita
Tretåig hackspett
Vitgrynig nållav
Skinnlav</t>
        </is>
      </c>
      <c r="S57">
        <f>HYPERLINK("https://klasma.github.io/Logging_2380/artfynd/A 3512-2026 artfynd.xlsx", "A 3512-2026")</f>
        <v/>
      </c>
      <c r="T57">
        <f>HYPERLINK("https://klasma.github.io/Logging_2380/kartor/A 3512-2026 karta.png", "A 3512-2026")</f>
        <v/>
      </c>
      <c r="V57">
        <f>HYPERLINK("https://klasma.github.io/Logging_2380/klagomål/A 3512-2026 FSC-klagomål.docx", "A 3512-2026")</f>
        <v/>
      </c>
      <c r="W57">
        <f>HYPERLINK("https://klasma.github.io/Logging_2380/klagomålsmail/A 3512-2026 FSC-klagomål mail.docx", "A 3512-2026")</f>
        <v/>
      </c>
      <c r="X57">
        <f>HYPERLINK("https://klasma.github.io/Logging_2380/tillsyn/A 3512-2026 tillsynsbegäran.docx", "A 3512-2026")</f>
        <v/>
      </c>
      <c r="Y57">
        <f>HYPERLINK("https://klasma.github.io/Logging_2380/tillsynsmail/A 3512-2026 tillsynsbegäran mail.docx", "A 3512-2026")</f>
        <v/>
      </c>
      <c r="Z57">
        <f>HYPERLINK("https://klasma.github.io/Logging_2380/fåglar/A 3512-2026 prioriterade fågelarter.docx", "A 3512-2026")</f>
        <v/>
      </c>
    </row>
    <row r="58" ht="15" customHeight="1">
      <c r="A58" t="inlineStr">
        <is>
          <t>A 16369-2023</t>
        </is>
      </c>
      <c r="B58" s="1" t="n">
        <v>45028</v>
      </c>
      <c r="C58" s="1" t="n">
        <v>46092</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54608-2023</t>
        </is>
      </c>
      <c r="B59" s="1" t="n">
        <v>45233</v>
      </c>
      <c r="C59" s="1" t="n">
        <v>46092</v>
      </c>
      <c r="D59" t="inlineStr">
        <is>
          <t>JÄMTLANDS LÄN</t>
        </is>
      </c>
      <c r="E59" t="inlineStr">
        <is>
          <t>ÖSTERSUND</t>
        </is>
      </c>
      <c r="F59" t="inlineStr">
        <is>
          <t>SCA</t>
        </is>
      </c>
      <c r="G59" t="n">
        <v>4.3</v>
      </c>
      <c r="H59" t="n">
        <v>1</v>
      </c>
      <c r="I59" t="n">
        <v>5</v>
      </c>
      <c r="J59" t="n">
        <v>2</v>
      </c>
      <c r="K59" t="n">
        <v>0</v>
      </c>
      <c r="L59" t="n">
        <v>0</v>
      </c>
      <c r="M59" t="n">
        <v>0</v>
      </c>
      <c r="N59" t="n">
        <v>0</v>
      </c>
      <c r="O59" t="n">
        <v>2</v>
      </c>
      <c r="P59" t="n">
        <v>0</v>
      </c>
      <c r="Q59" t="n">
        <v>7</v>
      </c>
      <c r="R59" s="2" t="inlineStr">
        <is>
          <t>Granticka
Ullticka
Guckusko
Svavelriska
Trådfräken
Trådticka
Underviol</t>
        </is>
      </c>
      <c r="S59">
        <f>HYPERLINK("https://klasma.github.io/Logging_2380/artfynd/A 54608-2023 artfynd.xlsx", "A 54608-2023")</f>
        <v/>
      </c>
      <c r="T59">
        <f>HYPERLINK("https://klasma.github.io/Logging_2380/kartor/A 54608-2023 karta.png", "A 54608-2023")</f>
        <v/>
      </c>
      <c r="V59">
        <f>HYPERLINK("https://klasma.github.io/Logging_2380/klagomål/A 54608-2023 FSC-klagomål.docx", "A 54608-2023")</f>
        <v/>
      </c>
      <c r="W59">
        <f>HYPERLINK("https://klasma.github.io/Logging_2380/klagomålsmail/A 54608-2023 FSC-klagomål mail.docx", "A 54608-2023")</f>
        <v/>
      </c>
      <c r="X59">
        <f>HYPERLINK("https://klasma.github.io/Logging_2380/tillsyn/A 54608-2023 tillsynsbegäran.docx", "A 54608-2023")</f>
        <v/>
      </c>
      <c r="Y59">
        <f>HYPERLINK("https://klasma.github.io/Logging_2380/tillsynsmail/A 54608-2023 tillsynsbegäran mail.docx", "A 54608-2023")</f>
        <v/>
      </c>
    </row>
    <row r="60" ht="15" customHeight="1">
      <c r="A60" t="inlineStr">
        <is>
          <t>A 28512-2021</t>
        </is>
      </c>
      <c r="B60" s="1" t="n">
        <v>44356</v>
      </c>
      <c r="C60" s="1" t="n">
        <v>46092</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18338-2025</t>
        </is>
      </c>
      <c r="B61" s="1" t="n">
        <v>45762.51075231482</v>
      </c>
      <c r="C61" s="1" t="n">
        <v>46092</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59537-2023</t>
        </is>
      </c>
      <c r="B62" s="1" t="n">
        <v>45254</v>
      </c>
      <c r="C62" s="1" t="n">
        <v>46092</v>
      </c>
      <c r="D62" t="inlineStr">
        <is>
          <t>JÄMTLANDS LÄN</t>
        </is>
      </c>
      <c r="E62" t="inlineStr">
        <is>
          <t>ÖSTERSUND</t>
        </is>
      </c>
      <c r="G62" t="n">
        <v>4.1</v>
      </c>
      <c r="H62" t="n">
        <v>4</v>
      </c>
      <c r="I62" t="n">
        <v>0</v>
      </c>
      <c r="J62" t="n">
        <v>4</v>
      </c>
      <c r="K62" t="n">
        <v>0</v>
      </c>
      <c r="L62" t="n">
        <v>0</v>
      </c>
      <c r="M62" t="n">
        <v>0</v>
      </c>
      <c r="N62" t="n">
        <v>0</v>
      </c>
      <c r="O62" t="n">
        <v>4</v>
      </c>
      <c r="P62" t="n">
        <v>0</v>
      </c>
      <c r="Q62" t="n">
        <v>6</v>
      </c>
      <c r="R62" s="2" t="inlineStr">
        <is>
          <t>Granticka
Kråka
Talltita
Ullticka
Lopplummer (aggregat)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40815-2025</t>
        </is>
      </c>
      <c r="B63" s="1" t="n">
        <v>45897</v>
      </c>
      <c r="C63" s="1" t="n">
        <v>46092</v>
      </c>
      <c r="D63" t="inlineStr">
        <is>
          <t>JÄMTLANDS LÄN</t>
        </is>
      </c>
      <c r="E63" t="inlineStr">
        <is>
          <t>ÖSTERSUND</t>
        </is>
      </c>
      <c r="F63" t="inlineStr">
        <is>
          <t>Kommuner</t>
        </is>
      </c>
      <c r="G63" t="n">
        <v>0.8</v>
      </c>
      <c r="H63" t="n">
        <v>2</v>
      </c>
      <c r="I63" t="n">
        <v>2</v>
      </c>
      <c r="J63" t="n">
        <v>2</v>
      </c>
      <c r="K63" t="n">
        <v>0</v>
      </c>
      <c r="L63" t="n">
        <v>0</v>
      </c>
      <c r="M63" t="n">
        <v>0</v>
      </c>
      <c r="N63" t="n">
        <v>0</v>
      </c>
      <c r="O63" t="n">
        <v>2</v>
      </c>
      <c r="P63" t="n">
        <v>0</v>
      </c>
      <c r="Q63" t="n">
        <v>6</v>
      </c>
      <c r="R63" s="2" t="inlineStr">
        <is>
          <t>Granticka
Lunglav
Svart trolldruva
Tibast
Blåsippa
Revlummer</t>
        </is>
      </c>
      <c r="S63">
        <f>HYPERLINK("https://klasma.github.io/Logging_2380/artfynd/A 40815-2025 artfynd.xlsx", "A 40815-2025")</f>
        <v/>
      </c>
      <c r="T63">
        <f>HYPERLINK("https://klasma.github.io/Logging_2380/kartor/A 40815-2025 karta.png", "A 40815-2025")</f>
        <v/>
      </c>
      <c r="V63">
        <f>HYPERLINK("https://klasma.github.io/Logging_2380/klagomål/A 40815-2025 FSC-klagomål.docx", "A 40815-2025")</f>
        <v/>
      </c>
      <c r="W63">
        <f>HYPERLINK("https://klasma.github.io/Logging_2380/klagomålsmail/A 40815-2025 FSC-klagomål mail.docx", "A 40815-2025")</f>
        <v/>
      </c>
      <c r="X63">
        <f>HYPERLINK("https://klasma.github.io/Logging_2380/tillsyn/A 40815-2025 tillsynsbegäran.docx", "A 40815-2025")</f>
        <v/>
      </c>
      <c r="Y63">
        <f>HYPERLINK("https://klasma.github.io/Logging_2380/tillsynsmail/A 40815-2025 tillsynsbegäran mail.docx", "A 40815-2025")</f>
        <v/>
      </c>
    </row>
    <row r="64" ht="15" customHeight="1">
      <c r="A64" t="inlineStr">
        <is>
          <t>A 62696-2025</t>
        </is>
      </c>
      <c r="B64" s="1" t="n">
        <v>46008.48708333333</v>
      </c>
      <c r="C64" s="1" t="n">
        <v>46092</v>
      </c>
      <c r="D64" t="inlineStr">
        <is>
          <t>JÄMTLANDS LÄN</t>
        </is>
      </c>
      <c r="E64" t="inlineStr">
        <is>
          <t>ÖSTERSUND</t>
        </is>
      </c>
      <c r="G64" t="n">
        <v>11.3</v>
      </c>
      <c r="H64" t="n">
        <v>3</v>
      </c>
      <c r="I64" t="n">
        <v>1</v>
      </c>
      <c r="J64" t="n">
        <v>4</v>
      </c>
      <c r="K64" t="n">
        <v>0</v>
      </c>
      <c r="L64" t="n">
        <v>0</v>
      </c>
      <c r="M64" t="n">
        <v>0</v>
      </c>
      <c r="N64" t="n">
        <v>0</v>
      </c>
      <c r="O64" t="n">
        <v>4</v>
      </c>
      <c r="P64" t="n">
        <v>0</v>
      </c>
      <c r="Q64" t="n">
        <v>6</v>
      </c>
      <c r="R64" s="2" t="inlineStr">
        <is>
          <t>Garnlav
Spillkråka
Tretåig hackspett
Ullticka
Stuplav
Revlummer</t>
        </is>
      </c>
      <c r="S64">
        <f>HYPERLINK("https://klasma.github.io/Logging_2380/artfynd/A 62696-2025 artfynd.xlsx", "A 62696-2025")</f>
        <v/>
      </c>
      <c r="T64">
        <f>HYPERLINK("https://klasma.github.io/Logging_2380/kartor/A 62696-2025 karta.png", "A 62696-2025")</f>
        <v/>
      </c>
      <c r="V64">
        <f>HYPERLINK("https://klasma.github.io/Logging_2380/klagomål/A 62696-2025 FSC-klagomål.docx", "A 62696-2025")</f>
        <v/>
      </c>
      <c r="W64">
        <f>HYPERLINK("https://klasma.github.io/Logging_2380/klagomålsmail/A 62696-2025 FSC-klagomål mail.docx", "A 62696-2025")</f>
        <v/>
      </c>
      <c r="X64">
        <f>HYPERLINK("https://klasma.github.io/Logging_2380/tillsyn/A 62696-2025 tillsynsbegäran.docx", "A 62696-2025")</f>
        <v/>
      </c>
      <c r="Y64">
        <f>HYPERLINK("https://klasma.github.io/Logging_2380/tillsynsmail/A 62696-2025 tillsynsbegäran mail.docx", "A 62696-2025")</f>
        <v/>
      </c>
      <c r="Z64">
        <f>HYPERLINK("https://klasma.github.io/Logging_2380/fåglar/A 62696-2025 prioriterade fågelarter.docx", "A 62696-2025")</f>
        <v/>
      </c>
    </row>
    <row r="65" ht="15" customHeight="1">
      <c r="A65" t="inlineStr">
        <is>
          <t>A 63201-2025</t>
        </is>
      </c>
      <c r="B65" s="1" t="n">
        <v>46010.46366898148</v>
      </c>
      <c r="C65" s="1" t="n">
        <v>46092</v>
      </c>
      <c r="D65" t="inlineStr">
        <is>
          <t>JÄMTLANDS LÄN</t>
        </is>
      </c>
      <c r="E65" t="inlineStr">
        <is>
          <t>ÖSTERSUND</t>
        </is>
      </c>
      <c r="G65" t="n">
        <v>5.8</v>
      </c>
      <c r="H65" t="n">
        <v>5</v>
      </c>
      <c r="I65" t="n">
        <v>1</v>
      </c>
      <c r="J65" t="n">
        <v>2</v>
      </c>
      <c r="K65" t="n">
        <v>1</v>
      </c>
      <c r="L65" t="n">
        <v>0</v>
      </c>
      <c r="M65" t="n">
        <v>0</v>
      </c>
      <c r="N65" t="n">
        <v>0</v>
      </c>
      <c r="O65" t="n">
        <v>3</v>
      </c>
      <c r="P65" t="n">
        <v>1</v>
      </c>
      <c r="Q65" t="n">
        <v>6</v>
      </c>
      <c r="R65" s="2" t="inlineStr">
        <is>
          <t>Knärot
Spillkråka
Tretåig hackspett
Kransrams
Lavskrika
Revlummer</t>
        </is>
      </c>
      <c r="S65">
        <f>HYPERLINK("https://klasma.github.io/Logging_2380/artfynd/A 63201-2025 artfynd.xlsx", "A 63201-2025")</f>
        <v/>
      </c>
      <c r="T65">
        <f>HYPERLINK("https://klasma.github.io/Logging_2380/kartor/A 63201-2025 karta.png", "A 63201-2025")</f>
        <v/>
      </c>
      <c r="U65">
        <f>HYPERLINK("https://klasma.github.io/Logging_2380/knärot/A 63201-2025 karta knärot.png", "A 63201-2025")</f>
        <v/>
      </c>
      <c r="V65">
        <f>HYPERLINK("https://klasma.github.io/Logging_2380/klagomål/A 63201-2025 FSC-klagomål.docx", "A 63201-2025")</f>
        <v/>
      </c>
      <c r="W65">
        <f>HYPERLINK("https://klasma.github.io/Logging_2380/klagomålsmail/A 63201-2025 FSC-klagomål mail.docx", "A 63201-2025")</f>
        <v/>
      </c>
      <c r="X65">
        <f>HYPERLINK("https://klasma.github.io/Logging_2380/tillsyn/A 63201-2025 tillsynsbegäran.docx", "A 63201-2025")</f>
        <v/>
      </c>
      <c r="Y65">
        <f>HYPERLINK("https://klasma.github.io/Logging_2380/tillsynsmail/A 63201-2025 tillsynsbegäran mail.docx", "A 63201-2025")</f>
        <v/>
      </c>
      <c r="Z65">
        <f>HYPERLINK("https://klasma.github.io/Logging_2380/fåglar/A 63201-2025 prioriterade fågelarter.docx", "A 63201-2025")</f>
        <v/>
      </c>
    </row>
    <row r="66" ht="15" customHeight="1">
      <c r="A66" t="inlineStr">
        <is>
          <t>A 3995-2025</t>
        </is>
      </c>
      <c r="B66" s="1" t="n">
        <v>45684</v>
      </c>
      <c r="C66" s="1" t="n">
        <v>46092</v>
      </c>
      <c r="D66" t="inlineStr">
        <is>
          <t>JÄMTLANDS LÄN</t>
        </is>
      </c>
      <c r="E66" t="inlineStr">
        <is>
          <t>ÖSTERSUND</t>
        </is>
      </c>
      <c r="G66" t="n">
        <v>6.5</v>
      </c>
      <c r="H66" t="n">
        <v>1</v>
      </c>
      <c r="I66" t="n">
        <v>0</v>
      </c>
      <c r="J66" t="n">
        <v>5</v>
      </c>
      <c r="K66" t="n">
        <v>1</v>
      </c>
      <c r="L66" t="n">
        <v>0</v>
      </c>
      <c r="M66" t="n">
        <v>0</v>
      </c>
      <c r="N66" t="n">
        <v>0</v>
      </c>
      <c r="O66" t="n">
        <v>6</v>
      </c>
      <c r="P66" t="n">
        <v>1</v>
      </c>
      <c r="Q66" t="n">
        <v>6</v>
      </c>
      <c r="R66" s="2" t="inlineStr">
        <is>
          <t>Rynkskinn
Gränsticka
Rosenticka
Tretåig hackspett
Ullticka
Vedtrappmossa</t>
        </is>
      </c>
      <c r="S66">
        <f>HYPERLINK("https://klasma.github.io/Logging_2380/artfynd/A 3995-2025 artfynd.xlsx", "A 3995-2025")</f>
        <v/>
      </c>
      <c r="T66">
        <f>HYPERLINK("https://klasma.github.io/Logging_2380/kartor/A 3995-2025 karta.png", "A 3995-2025")</f>
        <v/>
      </c>
      <c r="V66">
        <f>HYPERLINK("https://klasma.github.io/Logging_2380/klagomål/A 3995-2025 FSC-klagomål.docx", "A 3995-2025")</f>
        <v/>
      </c>
      <c r="W66">
        <f>HYPERLINK("https://klasma.github.io/Logging_2380/klagomålsmail/A 3995-2025 FSC-klagomål mail.docx", "A 3995-2025")</f>
        <v/>
      </c>
      <c r="X66">
        <f>HYPERLINK("https://klasma.github.io/Logging_2380/tillsyn/A 3995-2025 tillsynsbegäran.docx", "A 3995-2025")</f>
        <v/>
      </c>
      <c r="Y66">
        <f>HYPERLINK("https://klasma.github.io/Logging_2380/tillsynsmail/A 3995-2025 tillsynsbegäran mail.docx", "A 3995-2025")</f>
        <v/>
      </c>
      <c r="Z66">
        <f>HYPERLINK("https://klasma.github.io/Logging_2380/fåglar/A 3995-2025 prioriterade fågelarter.docx", "A 3995-2025")</f>
        <v/>
      </c>
    </row>
    <row r="67" ht="15" customHeight="1">
      <c r="A67" t="inlineStr">
        <is>
          <t>A 376-2023</t>
        </is>
      </c>
      <c r="B67" s="1" t="n">
        <v>44929</v>
      </c>
      <c r="C67" s="1" t="n">
        <v>46092</v>
      </c>
      <c r="D67" t="inlineStr">
        <is>
          <t>JÄMTLANDS LÄN</t>
        </is>
      </c>
      <c r="E67" t="inlineStr">
        <is>
          <t>ÖSTERSUND</t>
        </is>
      </c>
      <c r="G67" t="n">
        <v>11.5</v>
      </c>
      <c r="H67" t="n">
        <v>2</v>
      </c>
      <c r="I67" t="n">
        <v>1</v>
      </c>
      <c r="J67" t="n">
        <v>5</v>
      </c>
      <c r="K67" t="n">
        <v>0</v>
      </c>
      <c r="L67" t="n">
        <v>0</v>
      </c>
      <c r="M67" t="n">
        <v>0</v>
      </c>
      <c r="N67" t="n">
        <v>0</v>
      </c>
      <c r="O67" t="n">
        <v>5</v>
      </c>
      <c r="P67" t="n">
        <v>0</v>
      </c>
      <c r="Q67" t="n">
        <v>6</v>
      </c>
      <c r="R67" s="2" t="inlineStr">
        <is>
          <t>Garnlav
Lunglav
Skrovellav
Spillkråka
Tretåig hackspett
Stuplav</t>
        </is>
      </c>
      <c r="S67">
        <f>HYPERLINK("https://klasma.github.io/Logging_2380/artfynd/A 376-2023 artfynd.xlsx", "A 376-2023")</f>
        <v/>
      </c>
      <c r="T67">
        <f>HYPERLINK("https://klasma.github.io/Logging_2380/kartor/A 376-2023 karta.png", "A 376-2023")</f>
        <v/>
      </c>
      <c r="V67">
        <f>HYPERLINK("https://klasma.github.io/Logging_2380/klagomål/A 376-2023 FSC-klagomål.docx", "A 376-2023")</f>
        <v/>
      </c>
      <c r="W67">
        <f>HYPERLINK("https://klasma.github.io/Logging_2380/klagomålsmail/A 376-2023 FSC-klagomål mail.docx", "A 376-2023")</f>
        <v/>
      </c>
      <c r="X67">
        <f>HYPERLINK("https://klasma.github.io/Logging_2380/tillsyn/A 376-2023 tillsynsbegäran.docx", "A 376-2023")</f>
        <v/>
      </c>
      <c r="Y67">
        <f>HYPERLINK("https://klasma.github.io/Logging_2380/tillsynsmail/A 376-2023 tillsynsbegäran mail.docx", "A 376-2023")</f>
        <v/>
      </c>
      <c r="Z67">
        <f>HYPERLINK("https://klasma.github.io/Logging_2380/fåglar/A 376-2023 prioriterade fågelarter.docx", "A 376-2023")</f>
        <v/>
      </c>
    </row>
    <row r="68" ht="15" customHeight="1">
      <c r="A68" t="inlineStr">
        <is>
          <t>A 1026-2026</t>
        </is>
      </c>
      <c r="B68" s="1" t="n">
        <v>46030.61326388889</v>
      </c>
      <c r="C68" s="1" t="n">
        <v>46092</v>
      </c>
      <c r="D68" t="inlineStr">
        <is>
          <t>JÄMTLANDS LÄN</t>
        </is>
      </c>
      <c r="E68" t="inlineStr">
        <is>
          <t>ÖSTERSUND</t>
        </is>
      </c>
      <c r="G68" t="n">
        <v>6.6</v>
      </c>
      <c r="H68" t="n">
        <v>3</v>
      </c>
      <c r="I68" t="n">
        <v>0</v>
      </c>
      <c r="J68" t="n">
        <v>6</v>
      </c>
      <c r="K68" t="n">
        <v>0</v>
      </c>
      <c r="L68" t="n">
        <v>0</v>
      </c>
      <c r="M68" t="n">
        <v>0</v>
      </c>
      <c r="N68" t="n">
        <v>0</v>
      </c>
      <c r="O68" t="n">
        <v>6</v>
      </c>
      <c r="P68" t="n">
        <v>0</v>
      </c>
      <c r="Q68" t="n">
        <v>6</v>
      </c>
      <c r="R68" s="2" t="inlineStr">
        <is>
          <t>Garnlav
Granticka
Järpe
Lunglav
Talltita
Tretåig hackspett</t>
        </is>
      </c>
      <c r="S68">
        <f>HYPERLINK("https://klasma.github.io/Logging_2380/artfynd/A 1026-2026 artfynd.xlsx", "A 1026-2026")</f>
        <v/>
      </c>
      <c r="T68">
        <f>HYPERLINK("https://klasma.github.io/Logging_2380/kartor/A 1026-2026 karta.png", "A 1026-2026")</f>
        <v/>
      </c>
      <c r="V68">
        <f>HYPERLINK("https://klasma.github.io/Logging_2380/klagomål/A 1026-2026 FSC-klagomål.docx", "A 1026-2026")</f>
        <v/>
      </c>
      <c r="W68">
        <f>HYPERLINK("https://klasma.github.io/Logging_2380/klagomålsmail/A 1026-2026 FSC-klagomål mail.docx", "A 1026-2026")</f>
        <v/>
      </c>
      <c r="X68">
        <f>HYPERLINK("https://klasma.github.io/Logging_2380/tillsyn/A 1026-2026 tillsynsbegäran.docx", "A 1026-2026")</f>
        <v/>
      </c>
      <c r="Y68">
        <f>HYPERLINK("https://klasma.github.io/Logging_2380/tillsynsmail/A 1026-2026 tillsynsbegäran mail.docx", "A 1026-2026")</f>
        <v/>
      </c>
      <c r="Z68">
        <f>HYPERLINK("https://klasma.github.io/Logging_2380/fåglar/A 1026-2026 prioriterade fågelarter.docx", "A 1026-2026")</f>
        <v/>
      </c>
    </row>
    <row r="69" ht="15" customHeight="1">
      <c r="A69" t="inlineStr">
        <is>
          <t>A 61212-2025</t>
        </is>
      </c>
      <c r="B69" s="1" t="n">
        <v>46000.61640046296</v>
      </c>
      <c r="C69" s="1" t="n">
        <v>46092</v>
      </c>
      <c r="D69" t="inlineStr">
        <is>
          <t>JÄMTLANDS LÄN</t>
        </is>
      </c>
      <c r="E69" t="inlineStr">
        <is>
          <t>ÖSTERSUND</t>
        </is>
      </c>
      <c r="G69" t="n">
        <v>7.8</v>
      </c>
      <c r="H69" t="n">
        <v>3</v>
      </c>
      <c r="I69" t="n">
        <v>0</v>
      </c>
      <c r="J69" t="n">
        <v>5</v>
      </c>
      <c r="K69" t="n">
        <v>1</v>
      </c>
      <c r="L69" t="n">
        <v>0</v>
      </c>
      <c r="M69" t="n">
        <v>0</v>
      </c>
      <c r="N69" t="n">
        <v>0</v>
      </c>
      <c r="O69" t="n">
        <v>6</v>
      </c>
      <c r="P69" t="n">
        <v>1</v>
      </c>
      <c r="Q69" t="n">
        <v>6</v>
      </c>
      <c r="R69" s="2" t="inlineStr">
        <is>
          <t>Knärot
Granticka
Harticka
Spillkråka
Talltita
Ullticka</t>
        </is>
      </c>
      <c r="S69">
        <f>HYPERLINK("https://klasma.github.io/Logging_2380/artfynd/A 61212-2025 artfynd.xlsx", "A 61212-2025")</f>
        <v/>
      </c>
      <c r="T69">
        <f>HYPERLINK("https://klasma.github.io/Logging_2380/kartor/A 61212-2025 karta.png", "A 61212-2025")</f>
        <v/>
      </c>
      <c r="U69">
        <f>HYPERLINK("https://klasma.github.io/Logging_2380/knärot/A 61212-2025 karta knärot.png", "A 61212-2025")</f>
        <v/>
      </c>
      <c r="V69">
        <f>HYPERLINK("https://klasma.github.io/Logging_2380/klagomål/A 61212-2025 FSC-klagomål.docx", "A 61212-2025")</f>
        <v/>
      </c>
      <c r="W69">
        <f>HYPERLINK("https://klasma.github.io/Logging_2380/klagomålsmail/A 61212-2025 FSC-klagomål mail.docx", "A 61212-2025")</f>
        <v/>
      </c>
      <c r="X69">
        <f>HYPERLINK("https://klasma.github.io/Logging_2380/tillsyn/A 61212-2025 tillsynsbegäran.docx", "A 61212-2025")</f>
        <v/>
      </c>
      <c r="Y69">
        <f>HYPERLINK("https://klasma.github.io/Logging_2380/tillsynsmail/A 61212-2025 tillsynsbegäran mail.docx", "A 61212-2025")</f>
        <v/>
      </c>
      <c r="Z69">
        <f>HYPERLINK("https://klasma.github.io/Logging_2380/fåglar/A 61212-2025 prioriterade fågelarter.docx", "A 61212-2025")</f>
        <v/>
      </c>
    </row>
    <row r="70" ht="15" customHeight="1">
      <c r="A70" t="inlineStr">
        <is>
          <t>A 60614-2022</t>
        </is>
      </c>
      <c r="B70" s="1" t="n">
        <v>44911</v>
      </c>
      <c r="C70" s="1" t="n">
        <v>46092</v>
      </c>
      <c r="D70" t="inlineStr">
        <is>
          <t>JÄMTLANDS LÄN</t>
        </is>
      </c>
      <c r="E70" t="inlineStr">
        <is>
          <t>ÖSTERSUND</t>
        </is>
      </c>
      <c r="G70" t="n">
        <v>17.6</v>
      </c>
      <c r="H70" t="n">
        <v>2</v>
      </c>
      <c r="I70" t="n">
        <v>1</v>
      </c>
      <c r="J70" t="n">
        <v>4</v>
      </c>
      <c r="K70" t="n">
        <v>0</v>
      </c>
      <c r="L70" t="n">
        <v>0</v>
      </c>
      <c r="M70" t="n">
        <v>0</v>
      </c>
      <c r="N70" t="n">
        <v>0</v>
      </c>
      <c r="O70" t="n">
        <v>4</v>
      </c>
      <c r="P70" t="n">
        <v>0</v>
      </c>
      <c r="Q70" t="n">
        <v>6</v>
      </c>
      <c r="R70" s="2" t="inlineStr">
        <is>
          <t>Garnlav
Granticka
Kolflarnlav
Tretåig hackspett
Dropptaggsvamp
Blåsippa</t>
        </is>
      </c>
      <c r="S70">
        <f>HYPERLINK("https://klasma.github.io/Logging_2380/artfynd/A 60614-2022 artfynd.xlsx", "A 60614-2022")</f>
        <v/>
      </c>
      <c r="T70">
        <f>HYPERLINK("https://klasma.github.io/Logging_2380/kartor/A 60614-2022 karta.png", "A 60614-2022")</f>
        <v/>
      </c>
      <c r="V70">
        <f>HYPERLINK("https://klasma.github.io/Logging_2380/klagomål/A 60614-2022 FSC-klagomål.docx", "A 60614-2022")</f>
        <v/>
      </c>
      <c r="W70">
        <f>HYPERLINK("https://klasma.github.io/Logging_2380/klagomålsmail/A 60614-2022 FSC-klagomål mail.docx", "A 60614-2022")</f>
        <v/>
      </c>
      <c r="X70">
        <f>HYPERLINK("https://klasma.github.io/Logging_2380/tillsyn/A 60614-2022 tillsynsbegäran.docx", "A 60614-2022")</f>
        <v/>
      </c>
      <c r="Y70">
        <f>HYPERLINK("https://klasma.github.io/Logging_2380/tillsynsmail/A 60614-2022 tillsynsbegäran mail.docx", "A 60614-2022")</f>
        <v/>
      </c>
      <c r="Z70">
        <f>HYPERLINK("https://klasma.github.io/Logging_2380/fåglar/A 60614-2022 prioriterade fågelarter.docx", "A 60614-2022")</f>
        <v/>
      </c>
    </row>
    <row r="71" ht="15" customHeight="1">
      <c r="A71" t="inlineStr">
        <is>
          <t>A 40555-2024</t>
        </is>
      </c>
      <c r="B71" s="1" t="n">
        <v>45555</v>
      </c>
      <c r="C71" s="1" t="n">
        <v>46092</v>
      </c>
      <c r="D71" t="inlineStr">
        <is>
          <t>JÄMTLANDS LÄN</t>
        </is>
      </c>
      <c r="E71" t="inlineStr">
        <is>
          <t>ÖSTERSUND</t>
        </is>
      </c>
      <c r="G71" t="n">
        <v>7.7</v>
      </c>
      <c r="H71" t="n">
        <v>3</v>
      </c>
      <c r="I71" t="n">
        <v>3</v>
      </c>
      <c r="J71" t="n">
        <v>2</v>
      </c>
      <c r="K71" t="n">
        <v>1</v>
      </c>
      <c r="L71" t="n">
        <v>0</v>
      </c>
      <c r="M71" t="n">
        <v>0</v>
      </c>
      <c r="N71" t="n">
        <v>0</v>
      </c>
      <c r="O71" t="n">
        <v>3</v>
      </c>
      <c r="P71" t="n">
        <v>1</v>
      </c>
      <c r="Q71" t="n">
        <v>6</v>
      </c>
      <c r="R71" s="2" t="inlineStr">
        <is>
          <t>Knärot
Lunglav
Talltita
Guckusko
Luddlav
Skinnlav</t>
        </is>
      </c>
      <c r="S71">
        <f>HYPERLINK("https://klasma.github.io/Logging_2380/artfynd/A 40555-2024 artfynd.xlsx", "A 40555-2024")</f>
        <v/>
      </c>
      <c r="T71">
        <f>HYPERLINK("https://klasma.github.io/Logging_2380/kartor/A 40555-2024 karta.png", "A 40555-2024")</f>
        <v/>
      </c>
      <c r="U71">
        <f>HYPERLINK("https://klasma.github.io/Logging_2380/knärot/A 40555-2024 karta knärot.png", "A 40555-2024")</f>
        <v/>
      </c>
      <c r="V71">
        <f>HYPERLINK("https://klasma.github.io/Logging_2380/klagomål/A 40555-2024 FSC-klagomål.docx", "A 40555-2024")</f>
        <v/>
      </c>
      <c r="W71">
        <f>HYPERLINK("https://klasma.github.io/Logging_2380/klagomålsmail/A 40555-2024 FSC-klagomål mail.docx", "A 40555-2024")</f>
        <v/>
      </c>
      <c r="X71">
        <f>HYPERLINK("https://klasma.github.io/Logging_2380/tillsyn/A 40555-2024 tillsynsbegäran.docx", "A 40555-2024")</f>
        <v/>
      </c>
      <c r="Y71">
        <f>HYPERLINK("https://klasma.github.io/Logging_2380/tillsynsmail/A 40555-2024 tillsynsbegäran mail.docx", "A 40555-2024")</f>
        <v/>
      </c>
      <c r="Z71">
        <f>HYPERLINK("https://klasma.github.io/Logging_2380/fåglar/A 40555-2024 prioriterade fågelarter.docx", "A 40555-2024")</f>
        <v/>
      </c>
    </row>
    <row r="72" ht="15" customHeight="1">
      <c r="A72" t="inlineStr">
        <is>
          <t>A 60623-2022</t>
        </is>
      </c>
      <c r="B72" s="1" t="n">
        <v>44911.6459837963</v>
      </c>
      <c r="C72" s="1" t="n">
        <v>46092</v>
      </c>
      <c r="D72" t="inlineStr">
        <is>
          <t>JÄMTLANDS LÄN</t>
        </is>
      </c>
      <c r="E72" t="inlineStr">
        <is>
          <t>ÖSTERSUND</t>
        </is>
      </c>
      <c r="G72" t="n">
        <v>10.9</v>
      </c>
      <c r="H72" t="n">
        <v>3</v>
      </c>
      <c r="I72" t="n">
        <v>0</v>
      </c>
      <c r="J72" t="n">
        <v>6</v>
      </c>
      <c r="K72" t="n">
        <v>0</v>
      </c>
      <c r="L72" t="n">
        <v>0</v>
      </c>
      <c r="M72" t="n">
        <v>0</v>
      </c>
      <c r="N72" t="n">
        <v>0</v>
      </c>
      <c r="O72" t="n">
        <v>6</v>
      </c>
      <c r="P72" t="n">
        <v>0</v>
      </c>
      <c r="Q72" t="n">
        <v>6</v>
      </c>
      <c r="R72" s="2" t="inlineStr">
        <is>
          <t>Garnlav
Granticka
Järpe
Spillkråka
Tretåig hackspett
Vitgrynig nållav</t>
        </is>
      </c>
      <c r="S72">
        <f>HYPERLINK("https://klasma.github.io/Logging_2380/artfynd/A 60623-2022 artfynd.xlsx", "A 60623-2022")</f>
        <v/>
      </c>
      <c r="T72">
        <f>HYPERLINK("https://klasma.github.io/Logging_2380/kartor/A 60623-2022 karta.png", "A 60623-2022")</f>
        <v/>
      </c>
      <c r="V72">
        <f>HYPERLINK("https://klasma.github.io/Logging_2380/klagomål/A 60623-2022 FSC-klagomål.docx", "A 60623-2022")</f>
        <v/>
      </c>
      <c r="W72">
        <f>HYPERLINK("https://klasma.github.io/Logging_2380/klagomålsmail/A 60623-2022 FSC-klagomål mail.docx", "A 60623-2022")</f>
        <v/>
      </c>
      <c r="X72">
        <f>HYPERLINK("https://klasma.github.io/Logging_2380/tillsyn/A 60623-2022 tillsynsbegäran.docx", "A 60623-2022")</f>
        <v/>
      </c>
      <c r="Y72">
        <f>HYPERLINK("https://klasma.github.io/Logging_2380/tillsynsmail/A 60623-2022 tillsynsbegäran mail.docx", "A 60623-2022")</f>
        <v/>
      </c>
      <c r="Z72">
        <f>HYPERLINK("https://klasma.github.io/Logging_2380/fåglar/A 60623-2022 prioriterade fågelarter.docx", "A 60623-2022")</f>
        <v/>
      </c>
    </row>
    <row r="73" ht="15" customHeight="1">
      <c r="A73" t="inlineStr">
        <is>
          <t>A 24523-2021</t>
        </is>
      </c>
      <c r="B73" s="1" t="n">
        <v>44337</v>
      </c>
      <c r="C73" s="1" t="n">
        <v>46092</v>
      </c>
      <c r="D73" t="inlineStr">
        <is>
          <t>JÄMTLANDS LÄN</t>
        </is>
      </c>
      <c r="E73" t="inlineStr">
        <is>
          <t>ÖSTERSUND</t>
        </is>
      </c>
      <c r="G73" t="n">
        <v>9.300000000000001</v>
      </c>
      <c r="H73" t="n">
        <v>2</v>
      </c>
      <c r="I73" t="n">
        <v>3</v>
      </c>
      <c r="J73" t="n">
        <v>2</v>
      </c>
      <c r="K73" t="n">
        <v>0</v>
      </c>
      <c r="L73" t="n">
        <v>0</v>
      </c>
      <c r="M73" t="n">
        <v>0</v>
      </c>
      <c r="N73" t="n">
        <v>0</v>
      </c>
      <c r="O73" t="n">
        <v>2</v>
      </c>
      <c r="P73" t="n">
        <v>0</v>
      </c>
      <c r="Q73" t="n">
        <v>6</v>
      </c>
      <c r="R73" s="2" t="inlineStr">
        <is>
          <t>Garnlav
Spillkråka
Svart trolldruva
Tibast
Underviol
Blåsippa</t>
        </is>
      </c>
      <c r="S73">
        <f>HYPERLINK("https://klasma.github.io/Logging_2380/artfynd/A 24523-2021 artfynd.xlsx", "A 24523-2021")</f>
        <v/>
      </c>
      <c r="T73">
        <f>HYPERLINK("https://klasma.github.io/Logging_2380/kartor/A 24523-2021 karta.png", "A 24523-2021")</f>
        <v/>
      </c>
      <c r="V73">
        <f>HYPERLINK("https://klasma.github.io/Logging_2380/klagomål/A 24523-2021 FSC-klagomål.docx", "A 24523-2021")</f>
        <v/>
      </c>
      <c r="W73">
        <f>HYPERLINK("https://klasma.github.io/Logging_2380/klagomålsmail/A 24523-2021 FSC-klagomål mail.docx", "A 24523-2021")</f>
        <v/>
      </c>
      <c r="X73">
        <f>HYPERLINK("https://klasma.github.io/Logging_2380/tillsyn/A 24523-2021 tillsynsbegäran.docx", "A 24523-2021")</f>
        <v/>
      </c>
      <c r="Y73">
        <f>HYPERLINK("https://klasma.github.io/Logging_2380/tillsynsmail/A 24523-2021 tillsynsbegäran mail.docx", "A 24523-2021")</f>
        <v/>
      </c>
      <c r="Z73">
        <f>HYPERLINK("https://klasma.github.io/Logging_2380/fåglar/A 24523-2021 prioriterade fågelarter.docx", "A 24523-2021")</f>
        <v/>
      </c>
    </row>
    <row r="74" ht="15" customHeight="1">
      <c r="A74" t="inlineStr">
        <is>
          <t>A 47392-2022</t>
        </is>
      </c>
      <c r="B74" s="1" t="n">
        <v>44851</v>
      </c>
      <c r="C74" s="1" t="n">
        <v>46092</v>
      </c>
      <c r="D74" t="inlineStr">
        <is>
          <t>JÄMTLANDS LÄN</t>
        </is>
      </c>
      <c r="E74" t="inlineStr">
        <is>
          <t>ÖSTERSUND</t>
        </is>
      </c>
      <c r="G74" t="n">
        <v>1.6</v>
      </c>
      <c r="H74" t="n">
        <v>4</v>
      </c>
      <c r="I74" t="n">
        <v>3</v>
      </c>
      <c r="J74" t="n">
        <v>1</v>
      </c>
      <c r="K74" t="n">
        <v>1</v>
      </c>
      <c r="L74" t="n">
        <v>0</v>
      </c>
      <c r="M74" t="n">
        <v>0</v>
      </c>
      <c r="N74" t="n">
        <v>0</v>
      </c>
      <c r="O74" t="n">
        <v>2</v>
      </c>
      <c r="P74" t="n">
        <v>1</v>
      </c>
      <c r="Q74" t="n">
        <v>6</v>
      </c>
      <c r="R74" s="2" t="inlineStr">
        <is>
          <t>Knärot
Garnlav
Guckusko
Plattlummer
Trådfräken
Revlummer</t>
        </is>
      </c>
      <c r="S74">
        <f>HYPERLINK("https://klasma.github.io/Logging_2380/artfynd/A 47392-2022 artfynd.xlsx", "A 47392-2022")</f>
        <v/>
      </c>
      <c r="T74">
        <f>HYPERLINK("https://klasma.github.io/Logging_2380/kartor/A 47392-2022 karta.png", "A 47392-2022")</f>
        <v/>
      </c>
      <c r="U74">
        <f>HYPERLINK("https://klasma.github.io/Logging_2380/knärot/A 47392-2022 karta knärot.png", "A 47392-2022")</f>
        <v/>
      </c>
      <c r="V74">
        <f>HYPERLINK("https://klasma.github.io/Logging_2380/klagomål/A 47392-2022 FSC-klagomål.docx", "A 47392-2022")</f>
        <v/>
      </c>
      <c r="W74">
        <f>HYPERLINK("https://klasma.github.io/Logging_2380/klagomålsmail/A 47392-2022 FSC-klagomål mail.docx", "A 47392-2022")</f>
        <v/>
      </c>
      <c r="X74">
        <f>HYPERLINK("https://klasma.github.io/Logging_2380/tillsyn/A 47392-2022 tillsynsbegäran.docx", "A 47392-2022")</f>
        <v/>
      </c>
      <c r="Y74">
        <f>HYPERLINK("https://klasma.github.io/Logging_2380/tillsynsmail/A 47392-2022 tillsynsbegäran mail.docx", "A 47392-2022")</f>
        <v/>
      </c>
    </row>
    <row r="75" ht="15" customHeight="1">
      <c r="A75" t="inlineStr">
        <is>
          <t>A 12712-2021</t>
        </is>
      </c>
      <c r="B75" s="1" t="n">
        <v>44270.58950231481</v>
      </c>
      <c r="C75" s="1" t="n">
        <v>46092</v>
      </c>
      <c r="D75" t="inlineStr">
        <is>
          <t>JÄMTLANDS LÄN</t>
        </is>
      </c>
      <c r="E75" t="inlineStr">
        <is>
          <t>ÖSTERSUND</t>
        </is>
      </c>
      <c r="G75" t="n">
        <v>8</v>
      </c>
      <c r="H75" t="n">
        <v>2</v>
      </c>
      <c r="I75" t="n">
        <v>3</v>
      </c>
      <c r="J75" t="n">
        <v>1</v>
      </c>
      <c r="K75" t="n">
        <v>0</v>
      </c>
      <c r="L75" t="n">
        <v>1</v>
      </c>
      <c r="M75" t="n">
        <v>0</v>
      </c>
      <c r="N75" t="n">
        <v>0</v>
      </c>
      <c r="O75" t="n">
        <v>2</v>
      </c>
      <c r="P75" t="n">
        <v>1</v>
      </c>
      <c r="Q75" t="n">
        <v>6</v>
      </c>
      <c r="R75" s="2" t="inlineStr">
        <is>
          <t>Trolldruvemätare
Talltita
Kransrams
Tibast
Underviol
Blåsippa</t>
        </is>
      </c>
      <c r="S75">
        <f>HYPERLINK("https://klasma.github.io/Logging_2380/artfynd/A 12712-2021 artfynd.xlsx", "A 12712-2021")</f>
        <v/>
      </c>
      <c r="T75">
        <f>HYPERLINK("https://klasma.github.io/Logging_2380/kartor/A 12712-2021 karta.png", "A 12712-2021")</f>
        <v/>
      </c>
      <c r="V75">
        <f>HYPERLINK("https://klasma.github.io/Logging_2380/klagomål/A 12712-2021 FSC-klagomål.docx", "A 12712-2021")</f>
        <v/>
      </c>
      <c r="W75">
        <f>HYPERLINK("https://klasma.github.io/Logging_2380/klagomålsmail/A 12712-2021 FSC-klagomål mail.docx", "A 12712-2021")</f>
        <v/>
      </c>
      <c r="X75">
        <f>HYPERLINK("https://klasma.github.io/Logging_2380/tillsyn/A 12712-2021 tillsynsbegäran.docx", "A 12712-2021")</f>
        <v/>
      </c>
      <c r="Y75">
        <f>HYPERLINK("https://klasma.github.io/Logging_2380/tillsynsmail/A 12712-2021 tillsynsbegäran mail.docx", "A 12712-2021")</f>
        <v/>
      </c>
      <c r="Z75">
        <f>HYPERLINK("https://klasma.github.io/Logging_2380/fåglar/A 12712-2021 prioriterade fågelarter.docx", "A 12712-2021")</f>
        <v/>
      </c>
    </row>
    <row r="76" ht="15" customHeight="1">
      <c r="A76" t="inlineStr">
        <is>
          <t>A 61153-2024</t>
        </is>
      </c>
      <c r="B76" s="1" t="n">
        <v>45645</v>
      </c>
      <c r="C76" s="1" t="n">
        <v>46092</v>
      </c>
      <c r="D76" t="inlineStr">
        <is>
          <t>JÄMTLANDS LÄN</t>
        </is>
      </c>
      <c r="E76" t="inlineStr">
        <is>
          <t>ÖSTERSUND</t>
        </is>
      </c>
      <c r="G76" t="n">
        <v>8.699999999999999</v>
      </c>
      <c r="H76" t="n">
        <v>5</v>
      </c>
      <c r="I76" t="n">
        <v>0</v>
      </c>
      <c r="J76" t="n">
        <v>4</v>
      </c>
      <c r="K76" t="n">
        <v>1</v>
      </c>
      <c r="L76" t="n">
        <v>0</v>
      </c>
      <c r="M76" t="n">
        <v>0</v>
      </c>
      <c r="N76" t="n">
        <v>0</v>
      </c>
      <c r="O76" t="n">
        <v>5</v>
      </c>
      <c r="P76" t="n">
        <v>1</v>
      </c>
      <c r="Q76" t="n">
        <v>6</v>
      </c>
      <c r="R76" s="2" t="inlineStr">
        <is>
          <t>Knärot
Garnlav
Mindre hackspett
Spillkråka
Talltita
Tjäder</t>
        </is>
      </c>
      <c r="S76">
        <f>HYPERLINK("https://klasma.github.io/Logging_2380/artfynd/A 61153-2024 artfynd.xlsx", "A 61153-2024")</f>
        <v/>
      </c>
      <c r="T76">
        <f>HYPERLINK("https://klasma.github.io/Logging_2380/kartor/A 61153-2024 karta.png", "A 61153-2024")</f>
        <v/>
      </c>
      <c r="U76">
        <f>HYPERLINK("https://klasma.github.io/Logging_2380/knärot/A 61153-2024 karta knärot.png", "A 61153-2024")</f>
        <v/>
      </c>
      <c r="V76">
        <f>HYPERLINK("https://klasma.github.io/Logging_2380/klagomål/A 61153-2024 FSC-klagomål.docx", "A 61153-2024")</f>
        <v/>
      </c>
      <c r="W76">
        <f>HYPERLINK("https://klasma.github.io/Logging_2380/klagomålsmail/A 61153-2024 FSC-klagomål mail.docx", "A 61153-2024")</f>
        <v/>
      </c>
      <c r="X76">
        <f>HYPERLINK("https://klasma.github.io/Logging_2380/tillsyn/A 61153-2024 tillsynsbegäran.docx", "A 61153-2024")</f>
        <v/>
      </c>
      <c r="Y76">
        <f>HYPERLINK("https://klasma.github.io/Logging_2380/tillsynsmail/A 61153-2024 tillsynsbegäran mail.docx", "A 61153-2024")</f>
        <v/>
      </c>
      <c r="Z76">
        <f>HYPERLINK("https://klasma.github.io/Logging_2380/fåglar/A 61153-2024 prioriterade fågelarter.docx", "A 61153-2024")</f>
        <v/>
      </c>
    </row>
    <row r="77" ht="15" customHeight="1">
      <c r="A77" t="inlineStr">
        <is>
          <t>A 27577-2022</t>
        </is>
      </c>
      <c r="B77" s="1" t="n">
        <v>44742</v>
      </c>
      <c r="C77" s="1" t="n">
        <v>46092</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56934-2025</t>
        </is>
      </c>
      <c r="B78" s="1" t="n">
        <v>45978.61351851852</v>
      </c>
      <c r="C78" s="1" t="n">
        <v>46092</v>
      </c>
      <c r="D78" t="inlineStr">
        <is>
          <t>JÄMTLANDS LÄN</t>
        </is>
      </c>
      <c r="E78" t="inlineStr">
        <is>
          <t>ÖSTERSUND</t>
        </is>
      </c>
      <c r="G78" t="n">
        <v>4.3</v>
      </c>
      <c r="H78" t="n">
        <v>2</v>
      </c>
      <c r="I78" t="n">
        <v>0</v>
      </c>
      <c r="J78" t="n">
        <v>4</v>
      </c>
      <c r="K78" t="n">
        <v>0</v>
      </c>
      <c r="L78" t="n">
        <v>0</v>
      </c>
      <c r="M78" t="n">
        <v>0</v>
      </c>
      <c r="N78" t="n">
        <v>0</v>
      </c>
      <c r="O78" t="n">
        <v>4</v>
      </c>
      <c r="P78" t="n">
        <v>0</v>
      </c>
      <c r="Q78" t="n">
        <v>5</v>
      </c>
      <c r="R78" s="2" t="inlineStr">
        <is>
          <t>Garnlav
Granticka
Harticka
Talltita
Revlummer</t>
        </is>
      </c>
      <c r="S78">
        <f>HYPERLINK("https://klasma.github.io/Logging_2380/artfynd/A 56934-2025 artfynd.xlsx", "A 56934-2025")</f>
        <v/>
      </c>
      <c r="T78">
        <f>HYPERLINK("https://klasma.github.io/Logging_2380/kartor/A 56934-2025 karta.png", "A 56934-2025")</f>
        <v/>
      </c>
      <c r="V78">
        <f>HYPERLINK("https://klasma.github.io/Logging_2380/klagomål/A 56934-2025 FSC-klagomål.docx", "A 56934-2025")</f>
        <v/>
      </c>
      <c r="W78">
        <f>HYPERLINK("https://klasma.github.io/Logging_2380/klagomålsmail/A 56934-2025 FSC-klagomål mail.docx", "A 56934-2025")</f>
        <v/>
      </c>
      <c r="X78">
        <f>HYPERLINK("https://klasma.github.io/Logging_2380/tillsyn/A 56934-2025 tillsynsbegäran.docx", "A 56934-2025")</f>
        <v/>
      </c>
      <c r="Y78">
        <f>HYPERLINK("https://klasma.github.io/Logging_2380/tillsynsmail/A 56934-2025 tillsynsbegäran mail.docx", "A 56934-2025")</f>
        <v/>
      </c>
      <c r="Z78">
        <f>HYPERLINK("https://klasma.github.io/Logging_2380/fåglar/A 56934-2025 prioriterade fågelarter.docx", "A 56934-2025")</f>
        <v/>
      </c>
    </row>
    <row r="79" ht="15" customHeight="1">
      <c r="A79" t="inlineStr">
        <is>
          <t>A 56499-2025</t>
        </is>
      </c>
      <c r="B79" s="1" t="n">
        <v>45975.43427083334</v>
      </c>
      <c r="C79" s="1" t="n">
        <v>46092</v>
      </c>
      <c r="D79" t="inlineStr">
        <is>
          <t>JÄMTLANDS LÄN</t>
        </is>
      </c>
      <c r="E79" t="inlineStr">
        <is>
          <t>ÖSTERSUND</t>
        </is>
      </c>
      <c r="G79" t="n">
        <v>7.4</v>
      </c>
      <c r="H79" t="n">
        <v>2</v>
      </c>
      <c r="I79" t="n">
        <v>1</v>
      </c>
      <c r="J79" t="n">
        <v>3</v>
      </c>
      <c r="K79" t="n">
        <v>0</v>
      </c>
      <c r="L79" t="n">
        <v>0</v>
      </c>
      <c r="M79" t="n">
        <v>0</v>
      </c>
      <c r="N79" t="n">
        <v>0</v>
      </c>
      <c r="O79" t="n">
        <v>3</v>
      </c>
      <c r="P79" t="n">
        <v>0</v>
      </c>
      <c r="Q79" t="n">
        <v>5</v>
      </c>
      <c r="R79" s="2" t="inlineStr">
        <is>
          <t>Garnlav
Lunglav
Tretåig hackspett
Luddlav
Revlummer</t>
        </is>
      </c>
      <c r="S79">
        <f>HYPERLINK("https://klasma.github.io/Logging_2380/artfynd/A 56499-2025 artfynd.xlsx", "A 56499-2025")</f>
        <v/>
      </c>
      <c r="T79">
        <f>HYPERLINK("https://klasma.github.io/Logging_2380/kartor/A 56499-2025 karta.png", "A 56499-2025")</f>
        <v/>
      </c>
      <c r="V79">
        <f>HYPERLINK("https://klasma.github.io/Logging_2380/klagomål/A 56499-2025 FSC-klagomål.docx", "A 56499-2025")</f>
        <v/>
      </c>
      <c r="W79">
        <f>HYPERLINK("https://klasma.github.io/Logging_2380/klagomålsmail/A 56499-2025 FSC-klagomål mail.docx", "A 56499-2025")</f>
        <v/>
      </c>
      <c r="X79">
        <f>HYPERLINK("https://klasma.github.io/Logging_2380/tillsyn/A 56499-2025 tillsynsbegäran.docx", "A 56499-2025")</f>
        <v/>
      </c>
      <c r="Y79">
        <f>HYPERLINK("https://klasma.github.io/Logging_2380/tillsynsmail/A 56499-2025 tillsynsbegäran mail.docx", "A 56499-2025")</f>
        <v/>
      </c>
      <c r="Z79">
        <f>HYPERLINK("https://klasma.github.io/Logging_2380/fåglar/A 56499-2025 prioriterade fågelarter.docx", "A 56499-2025")</f>
        <v/>
      </c>
    </row>
    <row r="80" ht="15" customHeight="1">
      <c r="A80" t="inlineStr">
        <is>
          <t>A 62060-2025</t>
        </is>
      </c>
      <c r="B80" s="1" t="n">
        <v>46006.34435185185</v>
      </c>
      <c r="C80" s="1" t="n">
        <v>46092</v>
      </c>
      <c r="D80" t="inlineStr">
        <is>
          <t>JÄMTLANDS LÄN</t>
        </is>
      </c>
      <c r="E80" t="inlineStr">
        <is>
          <t>ÖSTERSUND</t>
        </is>
      </c>
      <c r="F80" t="inlineStr">
        <is>
          <t>SCA</t>
        </is>
      </c>
      <c r="G80" t="n">
        <v>6</v>
      </c>
      <c r="H80" t="n">
        <v>1</v>
      </c>
      <c r="I80" t="n">
        <v>3</v>
      </c>
      <c r="J80" t="n">
        <v>2</v>
      </c>
      <c r="K80" t="n">
        <v>0</v>
      </c>
      <c r="L80" t="n">
        <v>0</v>
      </c>
      <c r="M80" t="n">
        <v>0</v>
      </c>
      <c r="N80" t="n">
        <v>0</v>
      </c>
      <c r="O80" t="n">
        <v>2</v>
      </c>
      <c r="P80" t="n">
        <v>0</v>
      </c>
      <c r="Q80" t="n">
        <v>5</v>
      </c>
      <c r="R80" s="2" t="inlineStr">
        <is>
          <t>Skrovlig taggsvamp
Tretåig hackspett
Dropptaggsvamp
Fjällig taggsvamp s.str.
Skarp dropptaggsvamp</t>
        </is>
      </c>
      <c r="S80">
        <f>HYPERLINK("https://klasma.github.io/Logging_2380/artfynd/A 62060-2025 artfynd.xlsx", "A 62060-2025")</f>
        <v/>
      </c>
      <c r="T80">
        <f>HYPERLINK("https://klasma.github.io/Logging_2380/kartor/A 62060-2025 karta.png", "A 62060-2025")</f>
        <v/>
      </c>
      <c r="V80">
        <f>HYPERLINK("https://klasma.github.io/Logging_2380/klagomål/A 62060-2025 FSC-klagomål.docx", "A 62060-2025")</f>
        <v/>
      </c>
      <c r="W80">
        <f>HYPERLINK("https://klasma.github.io/Logging_2380/klagomålsmail/A 62060-2025 FSC-klagomål mail.docx", "A 62060-2025")</f>
        <v/>
      </c>
      <c r="X80">
        <f>HYPERLINK("https://klasma.github.io/Logging_2380/tillsyn/A 62060-2025 tillsynsbegäran.docx", "A 62060-2025")</f>
        <v/>
      </c>
      <c r="Y80">
        <f>HYPERLINK("https://klasma.github.io/Logging_2380/tillsynsmail/A 62060-2025 tillsynsbegäran mail.docx", "A 62060-2025")</f>
        <v/>
      </c>
      <c r="Z80">
        <f>HYPERLINK("https://klasma.github.io/Logging_2380/fåglar/A 62060-2025 prioriterade fågelarter.docx", "A 62060-2025")</f>
        <v/>
      </c>
    </row>
    <row r="81" ht="15" customHeight="1">
      <c r="A81" t="inlineStr">
        <is>
          <t>A 29117-2025</t>
        </is>
      </c>
      <c r="B81" s="1" t="n">
        <v>45821.59243055555</v>
      </c>
      <c r="C81" s="1" t="n">
        <v>46092</v>
      </c>
      <c r="D81" t="inlineStr">
        <is>
          <t>JÄMTLANDS LÄN</t>
        </is>
      </c>
      <c r="E81" t="inlineStr">
        <is>
          <t>ÖSTERSUND</t>
        </is>
      </c>
      <c r="G81" t="n">
        <v>15.4</v>
      </c>
      <c r="H81" t="n">
        <v>5</v>
      </c>
      <c r="I81" t="n">
        <v>2</v>
      </c>
      <c r="J81" t="n">
        <v>0</v>
      </c>
      <c r="K81" t="n">
        <v>1</v>
      </c>
      <c r="L81" t="n">
        <v>0</v>
      </c>
      <c r="M81" t="n">
        <v>0</v>
      </c>
      <c r="N81" t="n">
        <v>0</v>
      </c>
      <c r="O81" t="n">
        <v>1</v>
      </c>
      <c r="P81" t="n">
        <v>1</v>
      </c>
      <c r="Q81" t="n">
        <v>5</v>
      </c>
      <c r="R81" s="2" t="inlineStr">
        <is>
          <t>Knärot
Guckusko
Spindelblomster
Fläcknycklar
Revlummer</t>
        </is>
      </c>
      <c r="S81">
        <f>HYPERLINK("https://klasma.github.io/Logging_2380/artfynd/A 29117-2025 artfynd.xlsx", "A 29117-2025")</f>
        <v/>
      </c>
      <c r="T81">
        <f>HYPERLINK("https://klasma.github.io/Logging_2380/kartor/A 29117-2025 karta.png", "A 29117-2025")</f>
        <v/>
      </c>
      <c r="U81">
        <f>HYPERLINK("https://klasma.github.io/Logging_2380/knärot/A 29117-2025 karta knärot.png", "A 29117-2025")</f>
        <v/>
      </c>
      <c r="V81">
        <f>HYPERLINK("https://klasma.github.io/Logging_2380/klagomål/A 29117-2025 FSC-klagomål.docx", "A 29117-2025")</f>
        <v/>
      </c>
      <c r="W81">
        <f>HYPERLINK("https://klasma.github.io/Logging_2380/klagomålsmail/A 29117-2025 FSC-klagomål mail.docx", "A 29117-2025")</f>
        <v/>
      </c>
      <c r="X81">
        <f>HYPERLINK("https://klasma.github.io/Logging_2380/tillsyn/A 29117-2025 tillsynsbegäran.docx", "A 29117-2025")</f>
        <v/>
      </c>
      <c r="Y81">
        <f>HYPERLINK("https://klasma.github.io/Logging_2380/tillsynsmail/A 29117-2025 tillsynsbegäran mail.docx", "A 29117-2025")</f>
        <v/>
      </c>
    </row>
    <row r="82" ht="15" customHeight="1">
      <c r="A82" t="inlineStr">
        <is>
          <t>A 58372-2025</t>
        </is>
      </c>
      <c r="B82" s="1" t="n">
        <v>45985.53155092592</v>
      </c>
      <c r="C82" s="1" t="n">
        <v>46092</v>
      </c>
      <c r="D82" t="inlineStr">
        <is>
          <t>JÄMTLANDS LÄN</t>
        </is>
      </c>
      <c r="E82" t="inlineStr">
        <is>
          <t>ÖSTERSUND</t>
        </is>
      </c>
      <c r="G82" t="n">
        <v>7.1</v>
      </c>
      <c r="H82" t="n">
        <v>1</v>
      </c>
      <c r="I82" t="n">
        <v>0</v>
      </c>
      <c r="J82" t="n">
        <v>5</v>
      </c>
      <c r="K82" t="n">
        <v>0</v>
      </c>
      <c r="L82" t="n">
        <v>0</v>
      </c>
      <c r="M82" t="n">
        <v>0</v>
      </c>
      <c r="N82" t="n">
        <v>0</v>
      </c>
      <c r="O82" t="n">
        <v>5</v>
      </c>
      <c r="P82" t="n">
        <v>0</v>
      </c>
      <c r="Q82" t="n">
        <v>5</v>
      </c>
      <c r="R82" s="2" t="inlineStr">
        <is>
          <t>Garnlav
Harticka
Lunglav
Tretåig hackspett
Ullticka</t>
        </is>
      </c>
      <c r="S82">
        <f>HYPERLINK("https://klasma.github.io/Logging_2380/artfynd/A 58372-2025 artfynd.xlsx", "A 58372-2025")</f>
        <v/>
      </c>
      <c r="T82">
        <f>HYPERLINK("https://klasma.github.io/Logging_2380/kartor/A 58372-2025 karta.png", "A 58372-2025")</f>
        <v/>
      </c>
      <c r="V82">
        <f>HYPERLINK("https://klasma.github.io/Logging_2380/klagomål/A 58372-2025 FSC-klagomål.docx", "A 58372-2025")</f>
        <v/>
      </c>
      <c r="W82">
        <f>HYPERLINK("https://klasma.github.io/Logging_2380/klagomålsmail/A 58372-2025 FSC-klagomål mail.docx", "A 58372-2025")</f>
        <v/>
      </c>
      <c r="X82">
        <f>HYPERLINK("https://klasma.github.io/Logging_2380/tillsyn/A 58372-2025 tillsynsbegäran.docx", "A 58372-2025")</f>
        <v/>
      </c>
      <c r="Y82">
        <f>HYPERLINK("https://klasma.github.io/Logging_2380/tillsynsmail/A 58372-2025 tillsynsbegäran mail.docx", "A 58372-2025")</f>
        <v/>
      </c>
      <c r="Z82">
        <f>HYPERLINK("https://klasma.github.io/Logging_2380/fåglar/A 58372-2025 prioriterade fågelarter.docx", "A 58372-2025")</f>
        <v/>
      </c>
    </row>
    <row r="83" ht="15" customHeight="1">
      <c r="A83" t="inlineStr">
        <is>
          <t>A 54731-2024</t>
        </is>
      </c>
      <c r="B83" s="1" t="n">
        <v>45618.43853009259</v>
      </c>
      <c r="C83" s="1" t="n">
        <v>46092</v>
      </c>
      <c r="D83" t="inlineStr">
        <is>
          <t>JÄMTLANDS LÄN</t>
        </is>
      </c>
      <c r="E83" t="inlineStr">
        <is>
          <t>ÖSTERSUND</t>
        </is>
      </c>
      <c r="F83" t="inlineStr">
        <is>
          <t>SCA</t>
        </is>
      </c>
      <c r="G83" t="n">
        <v>16.8</v>
      </c>
      <c r="H83" t="n">
        <v>1</v>
      </c>
      <c r="I83" t="n">
        <v>1</v>
      </c>
      <c r="J83" t="n">
        <v>4</v>
      </c>
      <c r="K83" t="n">
        <v>0</v>
      </c>
      <c r="L83" t="n">
        <v>0</v>
      </c>
      <c r="M83" t="n">
        <v>0</v>
      </c>
      <c r="N83" t="n">
        <v>0</v>
      </c>
      <c r="O83" t="n">
        <v>4</v>
      </c>
      <c r="P83" t="n">
        <v>0</v>
      </c>
      <c r="Q83" t="n">
        <v>5</v>
      </c>
      <c r="R83" s="2" t="inlineStr">
        <is>
          <t>Granticka
Lunglav
Rödvingetrast
Ullticka
Kransrams</t>
        </is>
      </c>
      <c r="S83">
        <f>HYPERLINK("https://klasma.github.io/Logging_2380/artfynd/A 54731-2024 artfynd.xlsx", "A 54731-2024")</f>
        <v/>
      </c>
      <c r="T83">
        <f>HYPERLINK("https://klasma.github.io/Logging_2380/kartor/A 54731-2024 karta.png", "A 54731-2024")</f>
        <v/>
      </c>
      <c r="V83">
        <f>HYPERLINK("https://klasma.github.io/Logging_2380/klagomål/A 54731-2024 FSC-klagomål.docx", "A 54731-2024")</f>
        <v/>
      </c>
      <c r="W83">
        <f>HYPERLINK("https://klasma.github.io/Logging_2380/klagomålsmail/A 54731-2024 FSC-klagomål mail.docx", "A 54731-2024")</f>
        <v/>
      </c>
      <c r="X83">
        <f>HYPERLINK("https://klasma.github.io/Logging_2380/tillsyn/A 54731-2024 tillsynsbegäran.docx", "A 54731-2024")</f>
        <v/>
      </c>
      <c r="Y83">
        <f>HYPERLINK("https://klasma.github.io/Logging_2380/tillsynsmail/A 54731-2024 tillsynsbegäran mail.docx", "A 54731-2024")</f>
        <v/>
      </c>
      <c r="Z83">
        <f>HYPERLINK("https://klasma.github.io/Logging_2380/fåglar/A 54731-2024 prioriterade fågelarter.docx", "A 54731-2024")</f>
        <v/>
      </c>
    </row>
    <row r="84" ht="15" customHeight="1">
      <c r="A84" t="inlineStr">
        <is>
          <t>A 7717-2024</t>
        </is>
      </c>
      <c r="B84" s="1" t="n">
        <v>45349</v>
      </c>
      <c r="C84" s="1" t="n">
        <v>46092</v>
      </c>
      <c r="D84" t="inlineStr">
        <is>
          <t>JÄMTLANDS LÄN</t>
        </is>
      </c>
      <c r="E84" t="inlineStr">
        <is>
          <t>ÖSTERSUND</t>
        </is>
      </c>
      <c r="F84" t="inlineStr">
        <is>
          <t>Övriga Aktiebolag</t>
        </is>
      </c>
      <c r="G84" t="n">
        <v>2.5</v>
      </c>
      <c r="H84" t="n">
        <v>1</v>
      </c>
      <c r="I84" t="n">
        <v>1</v>
      </c>
      <c r="J84" t="n">
        <v>4</v>
      </c>
      <c r="K84" t="n">
        <v>0</v>
      </c>
      <c r="L84" t="n">
        <v>0</v>
      </c>
      <c r="M84" t="n">
        <v>0</v>
      </c>
      <c r="N84" t="n">
        <v>0</v>
      </c>
      <c r="O84" t="n">
        <v>4</v>
      </c>
      <c r="P84" t="n">
        <v>0</v>
      </c>
      <c r="Q84" t="n">
        <v>5</v>
      </c>
      <c r="R84" s="2" t="inlineStr">
        <is>
          <t>Garnlav
Lunglav
Skrovellav
Talltita
Stuplav</t>
        </is>
      </c>
      <c r="S84">
        <f>HYPERLINK("https://klasma.github.io/Logging_2380/artfynd/A 7717-2024 artfynd.xlsx", "A 7717-2024")</f>
        <v/>
      </c>
      <c r="T84">
        <f>HYPERLINK("https://klasma.github.io/Logging_2380/kartor/A 7717-2024 karta.png", "A 7717-2024")</f>
        <v/>
      </c>
      <c r="V84">
        <f>HYPERLINK("https://klasma.github.io/Logging_2380/klagomål/A 7717-2024 FSC-klagomål.docx", "A 7717-2024")</f>
        <v/>
      </c>
      <c r="W84">
        <f>HYPERLINK("https://klasma.github.io/Logging_2380/klagomålsmail/A 7717-2024 FSC-klagomål mail.docx", "A 7717-2024")</f>
        <v/>
      </c>
      <c r="X84">
        <f>HYPERLINK("https://klasma.github.io/Logging_2380/tillsyn/A 7717-2024 tillsynsbegäran.docx", "A 7717-2024")</f>
        <v/>
      </c>
      <c r="Y84">
        <f>HYPERLINK("https://klasma.github.io/Logging_2380/tillsynsmail/A 7717-2024 tillsynsbegäran mail.docx", "A 7717-2024")</f>
        <v/>
      </c>
      <c r="Z84">
        <f>HYPERLINK("https://klasma.github.io/Logging_2380/fåglar/A 7717-2024 prioriterade fågelarter.docx", "A 7717-2024")</f>
        <v/>
      </c>
    </row>
    <row r="85" ht="15" customHeight="1">
      <c r="A85" t="inlineStr">
        <is>
          <t>A 10747-2024</t>
        </is>
      </c>
      <c r="B85" s="1" t="n">
        <v>45369</v>
      </c>
      <c r="C85" s="1" t="n">
        <v>46092</v>
      </c>
      <c r="D85" t="inlineStr">
        <is>
          <t>JÄMTLANDS LÄN</t>
        </is>
      </c>
      <c r="E85" t="inlineStr">
        <is>
          <t>ÖSTERSUND</t>
        </is>
      </c>
      <c r="G85" t="n">
        <v>4.3</v>
      </c>
      <c r="H85" t="n">
        <v>1</v>
      </c>
      <c r="I85" t="n">
        <v>1</v>
      </c>
      <c r="J85" t="n">
        <v>3</v>
      </c>
      <c r="K85" t="n">
        <v>1</v>
      </c>
      <c r="L85" t="n">
        <v>0</v>
      </c>
      <c r="M85" t="n">
        <v>0</v>
      </c>
      <c r="N85" t="n">
        <v>0</v>
      </c>
      <c r="O85" t="n">
        <v>4</v>
      </c>
      <c r="P85" t="n">
        <v>1</v>
      </c>
      <c r="Q85" t="n">
        <v>5</v>
      </c>
      <c r="R85" s="2" t="inlineStr">
        <is>
          <t>Fjällfotad musseron
Barrviolspindling
Gultoppig fingersvamp
Tretåig hackspett
Fjällig taggsvamp s.str.</t>
        </is>
      </c>
      <c r="S85">
        <f>HYPERLINK("https://klasma.github.io/Logging_2380/artfynd/A 10747-2024 artfynd.xlsx", "A 10747-2024")</f>
        <v/>
      </c>
      <c r="T85">
        <f>HYPERLINK("https://klasma.github.io/Logging_2380/kartor/A 10747-2024 karta.png", "A 10747-2024")</f>
        <v/>
      </c>
      <c r="V85">
        <f>HYPERLINK("https://klasma.github.io/Logging_2380/klagomål/A 10747-2024 FSC-klagomål.docx", "A 10747-2024")</f>
        <v/>
      </c>
      <c r="W85">
        <f>HYPERLINK("https://klasma.github.io/Logging_2380/klagomålsmail/A 10747-2024 FSC-klagomål mail.docx", "A 10747-2024")</f>
        <v/>
      </c>
      <c r="X85">
        <f>HYPERLINK("https://klasma.github.io/Logging_2380/tillsyn/A 10747-2024 tillsynsbegäran.docx", "A 10747-2024")</f>
        <v/>
      </c>
      <c r="Y85">
        <f>HYPERLINK("https://klasma.github.io/Logging_2380/tillsynsmail/A 10747-2024 tillsynsbegäran mail.docx", "A 10747-2024")</f>
        <v/>
      </c>
      <c r="Z85">
        <f>HYPERLINK("https://klasma.github.io/Logging_2380/fåglar/A 10747-2024 prioriterade fågelarter.docx", "A 10747-2024")</f>
        <v/>
      </c>
    </row>
    <row r="86" ht="15" customHeight="1">
      <c r="A86" t="inlineStr">
        <is>
          <t>A 38334-2023</t>
        </is>
      </c>
      <c r="B86" s="1" t="n">
        <v>45161</v>
      </c>
      <c r="C86" s="1" t="n">
        <v>46092</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45979-2023</t>
        </is>
      </c>
      <c r="B87" s="1" t="n">
        <v>45189</v>
      </c>
      <c r="C87" s="1" t="n">
        <v>46092</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39941-2024</t>
        </is>
      </c>
      <c r="B88" s="1" t="n">
        <v>45553</v>
      </c>
      <c r="C88" s="1" t="n">
        <v>46092</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55258-2025</t>
        </is>
      </c>
      <c r="B89" s="1" t="n">
        <v>45968.6444212963</v>
      </c>
      <c r="C89" s="1" t="n">
        <v>46092</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55344-2023</t>
        </is>
      </c>
      <c r="B90" s="1" t="n">
        <v>45237</v>
      </c>
      <c r="C90" s="1" t="n">
        <v>46092</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57711-2025</t>
        </is>
      </c>
      <c r="B91" s="1" t="n">
        <v>45981.47217592593</v>
      </c>
      <c r="C91" s="1" t="n">
        <v>46092</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7698-2024</t>
        </is>
      </c>
      <c r="B92" s="1" t="n">
        <v>45349</v>
      </c>
      <c r="C92" s="1" t="n">
        <v>46092</v>
      </c>
      <c r="D92" t="inlineStr">
        <is>
          <t>JÄMTLANDS LÄN</t>
        </is>
      </c>
      <c r="E92" t="inlineStr">
        <is>
          <t>ÖSTERSUND</t>
        </is>
      </c>
      <c r="F92" t="inlineStr">
        <is>
          <t>Övriga Aktiebolag</t>
        </is>
      </c>
      <c r="G92" t="n">
        <v>4.5</v>
      </c>
      <c r="H92" t="n">
        <v>2</v>
      </c>
      <c r="I92" t="n">
        <v>1</v>
      </c>
      <c r="J92" t="n">
        <v>2</v>
      </c>
      <c r="K92" t="n">
        <v>0</v>
      </c>
      <c r="L92" t="n">
        <v>0</v>
      </c>
      <c r="M92" t="n">
        <v>0</v>
      </c>
      <c r="N92" t="n">
        <v>0</v>
      </c>
      <c r="O92" t="n">
        <v>2</v>
      </c>
      <c r="P92" t="n">
        <v>0</v>
      </c>
      <c r="Q92" t="n">
        <v>4</v>
      </c>
      <c r="R92" s="2" t="inlineStr">
        <is>
          <t>Brunklöver
Månlåsbräken
Tvåblad
Brudsporre</t>
        </is>
      </c>
      <c r="S92">
        <f>HYPERLINK("https://klasma.github.io/Logging_2380/artfynd/A 7698-2024 artfynd.xlsx", "A 7698-2024")</f>
        <v/>
      </c>
      <c r="T92">
        <f>HYPERLINK("https://klasma.github.io/Logging_2380/kartor/A 7698-2024 karta.png", "A 7698-2024")</f>
        <v/>
      </c>
      <c r="V92">
        <f>HYPERLINK("https://klasma.github.io/Logging_2380/klagomål/A 7698-2024 FSC-klagomål.docx", "A 7698-2024")</f>
        <v/>
      </c>
      <c r="W92">
        <f>HYPERLINK("https://klasma.github.io/Logging_2380/klagomålsmail/A 7698-2024 FSC-klagomål mail.docx", "A 7698-2024")</f>
        <v/>
      </c>
      <c r="X92">
        <f>HYPERLINK("https://klasma.github.io/Logging_2380/tillsyn/A 7698-2024 tillsynsbegäran.docx", "A 7698-2024")</f>
        <v/>
      </c>
      <c r="Y92">
        <f>HYPERLINK("https://klasma.github.io/Logging_2380/tillsynsmail/A 7698-2024 tillsynsbegäran mail.docx", "A 7698-2024")</f>
        <v/>
      </c>
    </row>
    <row r="93" ht="15" customHeight="1">
      <c r="A93" t="inlineStr">
        <is>
          <t>A 41493-2025</t>
        </is>
      </c>
      <c r="B93" s="1" t="n">
        <v>45901.49171296296</v>
      </c>
      <c r="C93" s="1" t="n">
        <v>46092</v>
      </c>
      <c r="D93" t="inlineStr">
        <is>
          <t>JÄMTLANDS LÄN</t>
        </is>
      </c>
      <c r="E93" t="inlineStr">
        <is>
          <t>ÖSTERSUND</t>
        </is>
      </c>
      <c r="F93" t="inlineStr">
        <is>
          <t>Övriga Aktiebolag</t>
        </is>
      </c>
      <c r="G93" t="n">
        <v>0.8</v>
      </c>
      <c r="H93" t="n">
        <v>1</v>
      </c>
      <c r="I93" t="n">
        <v>1</v>
      </c>
      <c r="J93" t="n">
        <v>2</v>
      </c>
      <c r="K93" t="n">
        <v>0</v>
      </c>
      <c r="L93" t="n">
        <v>0</v>
      </c>
      <c r="M93" t="n">
        <v>0</v>
      </c>
      <c r="N93" t="n">
        <v>0</v>
      </c>
      <c r="O93" t="n">
        <v>2</v>
      </c>
      <c r="P93" t="n">
        <v>0</v>
      </c>
      <c r="Q93" t="n">
        <v>4</v>
      </c>
      <c r="R93" s="2" t="inlineStr">
        <is>
          <t>Granticka
Harticka
Trådticka
Revlummer</t>
        </is>
      </c>
      <c r="S93">
        <f>HYPERLINK("https://klasma.github.io/Logging_2380/artfynd/A 41493-2025 artfynd.xlsx", "A 41493-2025")</f>
        <v/>
      </c>
      <c r="T93">
        <f>HYPERLINK("https://klasma.github.io/Logging_2380/kartor/A 41493-2025 karta.png", "A 41493-2025")</f>
        <v/>
      </c>
      <c r="V93">
        <f>HYPERLINK("https://klasma.github.io/Logging_2380/klagomål/A 41493-2025 FSC-klagomål.docx", "A 41493-2025")</f>
        <v/>
      </c>
      <c r="W93">
        <f>HYPERLINK("https://klasma.github.io/Logging_2380/klagomålsmail/A 41493-2025 FSC-klagomål mail.docx", "A 41493-2025")</f>
        <v/>
      </c>
      <c r="X93">
        <f>HYPERLINK("https://klasma.github.io/Logging_2380/tillsyn/A 41493-2025 tillsynsbegäran.docx", "A 41493-2025")</f>
        <v/>
      </c>
      <c r="Y93">
        <f>HYPERLINK("https://klasma.github.io/Logging_2380/tillsynsmail/A 41493-2025 tillsynsbegäran mail.docx", "A 41493-2025")</f>
        <v/>
      </c>
    </row>
    <row r="94" ht="15" customHeight="1">
      <c r="A94" t="inlineStr">
        <is>
          <t>A 31127-2025</t>
        </is>
      </c>
      <c r="B94" s="1" t="n">
        <v>45831</v>
      </c>
      <c r="C94" s="1" t="n">
        <v>46092</v>
      </c>
      <c r="D94" t="inlineStr">
        <is>
          <t>JÄMTLANDS LÄN</t>
        </is>
      </c>
      <c r="E94" t="inlineStr">
        <is>
          <t>ÖSTERSUND</t>
        </is>
      </c>
      <c r="G94" t="n">
        <v>4.3</v>
      </c>
      <c r="H94" t="n">
        <v>2</v>
      </c>
      <c r="I94" t="n">
        <v>1</v>
      </c>
      <c r="J94" t="n">
        <v>2</v>
      </c>
      <c r="K94" t="n">
        <v>0</v>
      </c>
      <c r="L94" t="n">
        <v>0</v>
      </c>
      <c r="M94" t="n">
        <v>0</v>
      </c>
      <c r="N94" t="n">
        <v>0</v>
      </c>
      <c r="O94" t="n">
        <v>2</v>
      </c>
      <c r="P94" t="n">
        <v>0</v>
      </c>
      <c r="Q94" t="n">
        <v>4</v>
      </c>
      <c r="R94" s="2" t="inlineStr">
        <is>
          <t>Granticka
Talltita
Kransrams
Revlummer</t>
        </is>
      </c>
      <c r="S94">
        <f>HYPERLINK("https://klasma.github.io/Logging_2380/artfynd/A 31127-2025 artfynd.xlsx", "A 31127-2025")</f>
        <v/>
      </c>
      <c r="T94">
        <f>HYPERLINK("https://klasma.github.io/Logging_2380/kartor/A 31127-2025 karta.png", "A 31127-2025")</f>
        <v/>
      </c>
      <c r="V94">
        <f>HYPERLINK("https://klasma.github.io/Logging_2380/klagomål/A 31127-2025 FSC-klagomål.docx", "A 31127-2025")</f>
        <v/>
      </c>
      <c r="W94">
        <f>HYPERLINK("https://klasma.github.io/Logging_2380/klagomålsmail/A 31127-2025 FSC-klagomål mail.docx", "A 31127-2025")</f>
        <v/>
      </c>
      <c r="X94">
        <f>HYPERLINK("https://klasma.github.io/Logging_2380/tillsyn/A 31127-2025 tillsynsbegäran.docx", "A 31127-2025")</f>
        <v/>
      </c>
      <c r="Y94">
        <f>HYPERLINK("https://klasma.github.io/Logging_2380/tillsynsmail/A 31127-2025 tillsynsbegäran mail.docx", "A 31127-2025")</f>
        <v/>
      </c>
      <c r="Z94">
        <f>HYPERLINK("https://klasma.github.io/Logging_2380/fåglar/A 31127-2025 prioriterade fågelarter.docx", "A 31127-2025")</f>
        <v/>
      </c>
    </row>
    <row r="95" ht="15" customHeight="1">
      <c r="A95" t="inlineStr">
        <is>
          <t>A 25369-2024</t>
        </is>
      </c>
      <c r="B95" s="1" t="n">
        <v>45462.95982638889</v>
      </c>
      <c r="C95" s="1" t="n">
        <v>46092</v>
      </c>
      <c r="D95" t="inlineStr">
        <is>
          <t>JÄMTLANDS LÄN</t>
        </is>
      </c>
      <c r="E95" t="inlineStr">
        <is>
          <t>ÖSTERSUND</t>
        </is>
      </c>
      <c r="G95" t="n">
        <v>14.7</v>
      </c>
      <c r="H95" t="n">
        <v>1</v>
      </c>
      <c r="I95" t="n">
        <v>2</v>
      </c>
      <c r="J95" t="n">
        <v>1</v>
      </c>
      <c r="K95" t="n">
        <v>0</v>
      </c>
      <c r="L95" t="n">
        <v>0</v>
      </c>
      <c r="M95" t="n">
        <v>0</v>
      </c>
      <c r="N95" t="n">
        <v>0</v>
      </c>
      <c r="O95" t="n">
        <v>1</v>
      </c>
      <c r="P95" t="n">
        <v>0</v>
      </c>
      <c r="Q95" t="n">
        <v>4</v>
      </c>
      <c r="R95" s="2" t="inlineStr">
        <is>
          <t>Ullticka
Kransrams
Underviol
Blåsippa</t>
        </is>
      </c>
      <c r="S95">
        <f>HYPERLINK("https://klasma.github.io/Logging_2380/artfynd/A 25369-2024 artfynd.xlsx", "A 25369-2024")</f>
        <v/>
      </c>
      <c r="T95">
        <f>HYPERLINK("https://klasma.github.io/Logging_2380/kartor/A 25369-2024 karta.png", "A 25369-2024")</f>
        <v/>
      </c>
      <c r="V95">
        <f>HYPERLINK("https://klasma.github.io/Logging_2380/klagomål/A 25369-2024 FSC-klagomål.docx", "A 25369-2024")</f>
        <v/>
      </c>
      <c r="W95">
        <f>HYPERLINK("https://klasma.github.io/Logging_2380/klagomålsmail/A 25369-2024 FSC-klagomål mail.docx", "A 25369-2024")</f>
        <v/>
      </c>
      <c r="X95">
        <f>HYPERLINK("https://klasma.github.io/Logging_2380/tillsyn/A 25369-2024 tillsynsbegäran.docx", "A 25369-2024")</f>
        <v/>
      </c>
      <c r="Y95">
        <f>HYPERLINK("https://klasma.github.io/Logging_2380/tillsynsmail/A 25369-2024 tillsynsbegäran mail.docx", "A 25369-2024")</f>
        <v/>
      </c>
    </row>
    <row r="96" ht="15" customHeight="1">
      <c r="A96" t="inlineStr">
        <is>
          <t>A 49192-2025</t>
        </is>
      </c>
      <c r="B96" s="1" t="n">
        <v>45938.40790509259</v>
      </c>
      <c r="C96" s="1" t="n">
        <v>46092</v>
      </c>
      <c r="D96" t="inlineStr">
        <is>
          <t>JÄMTLANDS LÄN</t>
        </is>
      </c>
      <c r="E96" t="inlineStr">
        <is>
          <t>ÖSTERSUND</t>
        </is>
      </c>
      <c r="F96" t="inlineStr">
        <is>
          <t>SCA</t>
        </is>
      </c>
      <c r="G96" t="n">
        <v>2.6</v>
      </c>
      <c r="H96" t="n">
        <v>2</v>
      </c>
      <c r="I96" t="n">
        <v>2</v>
      </c>
      <c r="J96" t="n">
        <v>1</v>
      </c>
      <c r="K96" t="n">
        <v>0</v>
      </c>
      <c r="L96" t="n">
        <v>0</v>
      </c>
      <c r="M96" t="n">
        <v>0</v>
      </c>
      <c r="N96" t="n">
        <v>0</v>
      </c>
      <c r="O96" t="n">
        <v>1</v>
      </c>
      <c r="P96" t="n">
        <v>0</v>
      </c>
      <c r="Q96" t="n">
        <v>4</v>
      </c>
      <c r="R96" s="2" t="inlineStr">
        <is>
          <t>Kolflarnlav
Guckusko
Tibast
Blåsippa</t>
        </is>
      </c>
      <c r="S96">
        <f>HYPERLINK("https://klasma.github.io/Logging_2380/artfynd/A 49192-2025 artfynd.xlsx", "A 49192-2025")</f>
        <v/>
      </c>
      <c r="T96">
        <f>HYPERLINK("https://klasma.github.io/Logging_2380/kartor/A 49192-2025 karta.png", "A 49192-2025")</f>
        <v/>
      </c>
      <c r="V96">
        <f>HYPERLINK("https://klasma.github.io/Logging_2380/klagomål/A 49192-2025 FSC-klagomål.docx", "A 49192-2025")</f>
        <v/>
      </c>
      <c r="W96">
        <f>HYPERLINK("https://klasma.github.io/Logging_2380/klagomålsmail/A 49192-2025 FSC-klagomål mail.docx", "A 49192-2025")</f>
        <v/>
      </c>
      <c r="X96">
        <f>HYPERLINK("https://klasma.github.io/Logging_2380/tillsyn/A 49192-2025 tillsynsbegäran.docx", "A 49192-2025")</f>
        <v/>
      </c>
      <c r="Y96">
        <f>HYPERLINK("https://klasma.github.io/Logging_2380/tillsynsmail/A 49192-2025 tillsynsbegäran mail.docx", "A 49192-2025")</f>
        <v/>
      </c>
    </row>
    <row r="97" ht="15" customHeight="1">
      <c r="A97" t="inlineStr">
        <is>
          <t>A 2962-2023</t>
        </is>
      </c>
      <c r="B97" s="1" t="n">
        <v>44945</v>
      </c>
      <c r="C97" s="1" t="n">
        <v>46092</v>
      </c>
      <c r="D97" t="inlineStr">
        <is>
          <t>JÄMTLANDS LÄN</t>
        </is>
      </c>
      <c r="E97" t="inlineStr">
        <is>
          <t>ÖSTERSUND</t>
        </is>
      </c>
      <c r="F97" t="inlineStr">
        <is>
          <t>Övriga Aktiebolag</t>
        </is>
      </c>
      <c r="G97" t="n">
        <v>14.4</v>
      </c>
      <c r="H97" t="n">
        <v>2</v>
      </c>
      <c r="I97" t="n">
        <v>0</v>
      </c>
      <c r="J97" t="n">
        <v>3</v>
      </c>
      <c r="K97" t="n">
        <v>0</v>
      </c>
      <c r="L97" t="n">
        <v>0</v>
      </c>
      <c r="M97" t="n">
        <v>0</v>
      </c>
      <c r="N97" t="n">
        <v>0</v>
      </c>
      <c r="O97" t="n">
        <v>3</v>
      </c>
      <c r="P97" t="n">
        <v>0</v>
      </c>
      <c r="Q97" t="n">
        <v>4</v>
      </c>
      <c r="R97" s="2" t="inlineStr">
        <is>
          <t>Garnlav
Lunglav
Tretåig hackspett
Revlummer</t>
        </is>
      </c>
      <c r="S97">
        <f>HYPERLINK("https://klasma.github.io/Logging_2380/artfynd/A 2962-2023 artfynd.xlsx", "A 2962-2023")</f>
        <v/>
      </c>
      <c r="T97">
        <f>HYPERLINK("https://klasma.github.io/Logging_2380/kartor/A 2962-2023 karta.png", "A 2962-2023")</f>
        <v/>
      </c>
      <c r="V97">
        <f>HYPERLINK("https://klasma.github.io/Logging_2380/klagomål/A 2962-2023 FSC-klagomål.docx", "A 2962-2023")</f>
        <v/>
      </c>
      <c r="W97">
        <f>HYPERLINK("https://klasma.github.io/Logging_2380/klagomålsmail/A 2962-2023 FSC-klagomål mail.docx", "A 2962-2023")</f>
        <v/>
      </c>
      <c r="X97">
        <f>HYPERLINK("https://klasma.github.io/Logging_2380/tillsyn/A 2962-2023 tillsynsbegäran.docx", "A 2962-2023")</f>
        <v/>
      </c>
      <c r="Y97">
        <f>HYPERLINK("https://klasma.github.io/Logging_2380/tillsynsmail/A 2962-2023 tillsynsbegäran mail.docx", "A 2962-2023")</f>
        <v/>
      </c>
      <c r="Z97">
        <f>HYPERLINK("https://klasma.github.io/Logging_2380/fåglar/A 2962-2023 prioriterade fågelarter.docx", "A 2962-2023")</f>
        <v/>
      </c>
    </row>
    <row r="98" ht="15" customHeight="1">
      <c r="A98" t="inlineStr">
        <is>
          <t>A 5171-2026</t>
        </is>
      </c>
      <c r="B98" s="1" t="n">
        <v>46049.64416666667</v>
      </c>
      <c r="C98" s="1" t="n">
        <v>46092</v>
      </c>
      <c r="D98" t="inlineStr">
        <is>
          <t>JÄMTLANDS LÄN</t>
        </is>
      </c>
      <c r="E98" t="inlineStr">
        <is>
          <t>ÖSTERSUND</t>
        </is>
      </c>
      <c r="G98" t="n">
        <v>4.1</v>
      </c>
      <c r="H98" t="n">
        <v>1</v>
      </c>
      <c r="I98" t="n">
        <v>4</v>
      </c>
      <c r="J98" t="n">
        <v>0</v>
      </c>
      <c r="K98" t="n">
        <v>0</v>
      </c>
      <c r="L98" t="n">
        <v>0</v>
      </c>
      <c r="M98" t="n">
        <v>0</v>
      </c>
      <c r="N98" t="n">
        <v>0</v>
      </c>
      <c r="O98" t="n">
        <v>0</v>
      </c>
      <c r="P98" t="n">
        <v>0</v>
      </c>
      <c r="Q98" t="n">
        <v>4</v>
      </c>
      <c r="R98" s="2" t="inlineStr">
        <is>
          <t>Fjällig taggsvamp s.str.
Korallblylav
Korallrot
Stuplav</t>
        </is>
      </c>
      <c r="S98">
        <f>HYPERLINK("https://klasma.github.io/Logging_2380/artfynd/A 5171-2026 artfynd.xlsx", "A 5171-2026")</f>
        <v/>
      </c>
      <c r="T98">
        <f>HYPERLINK("https://klasma.github.io/Logging_2380/kartor/A 5171-2026 karta.png", "A 5171-2026")</f>
        <v/>
      </c>
      <c r="V98">
        <f>HYPERLINK("https://klasma.github.io/Logging_2380/klagomål/A 5171-2026 FSC-klagomål.docx", "A 5171-2026")</f>
        <v/>
      </c>
      <c r="W98">
        <f>HYPERLINK("https://klasma.github.io/Logging_2380/klagomålsmail/A 5171-2026 FSC-klagomål mail.docx", "A 5171-2026")</f>
        <v/>
      </c>
      <c r="X98">
        <f>HYPERLINK("https://klasma.github.io/Logging_2380/tillsyn/A 5171-2026 tillsynsbegäran.docx", "A 5171-2026")</f>
        <v/>
      </c>
      <c r="Y98">
        <f>HYPERLINK("https://klasma.github.io/Logging_2380/tillsynsmail/A 5171-2026 tillsynsbegäran mail.docx", "A 5171-2026")</f>
        <v/>
      </c>
    </row>
    <row r="99" ht="15" customHeight="1">
      <c r="A99" t="inlineStr">
        <is>
          <t>A 59291-2022</t>
        </is>
      </c>
      <c r="B99" s="1" t="n">
        <v>44904</v>
      </c>
      <c r="C99" s="1" t="n">
        <v>46092</v>
      </c>
      <c r="D99" t="inlineStr">
        <is>
          <t>JÄMTLANDS LÄN</t>
        </is>
      </c>
      <c r="E99" t="inlineStr">
        <is>
          <t>ÖSTERSUND</t>
        </is>
      </c>
      <c r="G99" t="n">
        <v>9.199999999999999</v>
      </c>
      <c r="H99" t="n">
        <v>1</v>
      </c>
      <c r="I99" t="n">
        <v>0</v>
      </c>
      <c r="J99" t="n">
        <v>3</v>
      </c>
      <c r="K99" t="n">
        <v>0</v>
      </c>
      <c r="L99" t="n">
        <v>0</v>
      </c>
      <c r="M99" t="n">
        <v>0</v>
      </c>
      <c r="N99" t="n">
        <v>0</v>
      </c>
      <c r="O99" t="n">
        <v>3</v>
      </c>
      <c r="P99" t="n">
        <v>0</v>
      </c>
      <c r="Q99" t="n">
        <v>4</v>
      </c>
      <c r="R99" s="2" t="inlineStr">
        <is>
          <t>Garnlav
Lunglav
Skrovellav
Revlummer</t>
        </is>
      </c>
      <c r="S99">
        <f>HYPERLINK("https://klasma.github.io/Logging_2380/artfynd/A 59291-2022 artfynd.xlsx", "A 59291-2022")</f>
        <v/>
      </c>
      <c r="T99">
        <f>HYPERLINK("https://klasma.github.io/Logging_2380/kartor/A 59291-2022 karta.png", "A 59291-2022")</f>
        <v/>
      </c>
      <c r="V99">
        <f>HYPERLINK("https://klasma.github.io/Logging_2380/klagomål/A 59291-2022 FSC-klagomål.docx", "A 59291-2022")</f>
        <v/>
      </c>
      <c r="W99">
        <f>HYPERLINK("https://klasma.github.io/Logging_2380/klagomålsmail/A 59291-2022 FSC-klagomål mail.docx", "A 59291-2022")</f>
        <v/>
      </c>
      <c r="X99">
        <f>HYPERLINK("https://klasma.github.io/Logging_2380/tillsyn/A 59291-2022 tillsynsbegäran.docx", "A 59291-2022")</f>
        <v/>
      </c>
      <c r="Y99">
        <f>HYPERLINK("https://klasma.github.io/Logging_2380/tillsynsmail/A 59291-2022 tillsynsbegäran mail.docx", "A 59291-2022")</f>
        <v/>
      </c>
    </row>
    <row r="100" ht="15" customHeight="1">
      <c r="A100" t="inlineStr">
        <is>
          <t>A 60580-2024</t>
        </is>
      </c>
      <c r="B100" s="1" t="n">
        <v>45644</v>
      </c>
      <c r="C100" s="1" t="n">
        <v>46092</v>
      </c>
      <c r="D100" t="inlineStr">
        <is>
          <t>JÄMTLANDS LÄN</t>
        </is>
      </c>
      <c r="E100" t="inlineStr">
        <is>
          <t>ÖSTERSUND</t>
        </is>
      </c>
      <c r="G100" t="n">
        <v>13.5</v>
      </c>
      <c r="H100" t="n">
        <v>2</v>
      </c>
      <c r="I100" t="n">
        <v>0</v>
      </c>
      <c r="J100" t="n">
        <v>4</v>
      </c>
      <c r="K100" t="n">
        <v>0</v>
      </c>
      <c r="L100" t="n">
        <v>0</v>
      </c>
      <c r="M100" t="n">
        <v>0</v>
      </c>
      <c r="N100" t="n">
        <v>0</v>
      </c>
      <c r="O100" t="n">
        <v>4</v>
      </c>
      <c r="P100" t="n">
        <v>0</v>
      </c>
      <c r="Q100" t="n">
        <v>4</v>
      </c>
      <c r="R100" s="2" t="inlineStr">
        <is>
          <t>Granticka
Lunglav
Spillkråka
Tretåig hackspett</t>
        </is>
      </c>
      <c r="S100">
        <f>HYPERLINK("https://klasma.github.io/Logging_2380/artfynd/A 60580-2024 artfynd.xlsx", "A 60580-2024")</f>
        <v/>
      </c>
      <c r="T100">
        <f>HYPERLINK("https://klasma.github.io/Logging_2380/kartor/A 60580-2024 karta.png", "A 60580-2024")</f>
        <v/>
      </c>
      <c r="V100">
        <f>HYPERLINK("https://klasma.github.io/Logging_2380/klagomål/A 60580-2024 FSC-klagomål.docx", "A 60580-2024")</f>
        <v/>
      </c>
      <c r="W100">
        <f>HYPERLINK("https://klasma.github.io/Logging_2380/klagomålsmail/A 60580-2024 FSC-klagomål mail.docx", "A 60580-2024")</f>
        <v/>
      </c>
      <c r="X100">
        <f>HYPERLINK("https://klasma.github.io/Logging_2380/tillsyn/A 60580-2024 tillsynsbegäran.docx", "A 60580-2024")</f>
        <v/>
      </c>
      <c r="Y100">
        <f>HYPERLINK("https://klasma.github.io/Logging_2380/tillsynsmail/A 60580-2024 tillsynsbegäran mail.docx", "A 60580-2024")</f>
        <v/>
      </c>
      <c r="Z100">
        <f>HYPERLINK("https://klasma.github.io/Logging_2380/fåglar/A 60580-2024 prioriterade fågelarter.docx", "A 60580-2024")</f>
        <v/>
      </c>
    </row>
    <row r="101" ht="15" customHeight="1">
      <c r="A101" t="inlineStr">
        <is>
          <t>A 29135-2022</t>
        </is>
      </c>
      <c r="B101" s="1" t="n">
        <v>44750</v>
      </c>
      <c r="C101" s="1" t="n">
        <v>46092</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46092</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54421-2021</t>
        </is>
      </c>
      <c r="B103" s="1" t="n">
        <v>44473.43114583333</v>
      </c>
      <c r="C103" s="1" t="n">
        <v>46092</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46092</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7965-2025</t>
        </is>
      </c>
      <c r="B105" s="1" t="n">
        <v>45707.45219907408</v>
      </c>
      <c r="C105" s="1" t="n">
        <v>46092</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43981-2023</t>
        </is>
      </c>
      <c r="B106" s="1" t="n">
        <v>45187</v>
      </c>
      <c r="C106" s="1" t="n">
        <v>46092</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3846-2024</t>
        </is>
      </c>
      <c r="B107" s="1" t="n">
        <v>45321</v>
      </c>
      <c r="C107" s="1" t="n">
        <v>46092</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36742-2024</t>
        </is>
      </c>
      <c r="B108" s="1" t="n">
        <v>45538.33584490741</v>
      </c>
      <c r="C108" s="1" t="n">
        <v>46092</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56647-2025</t>
        </is>
      </c>
      <c r="B109" s="1" t="n">
        <v>45975.63585648148</v>
      </c>
      <c r="C109" s="1" t="n">
        <v>46092</v>
      </c>
      <c r="D109" t="inlineStr">
        <is>
          <t>JÄMTLANDS LÄN</t>
        </is>
      </c>
      <c r="E109" t="inlineStr">
        <is>
          <t>ÖSTERSUND</t>
        </is>
      </c>
      <c r="G109" t="n">
        <v>12.1</v>
      </c>
      <c r="H109" t="n">
        <v>1</v>
      </c>
      <c r="I109" t="n">
        <v>0</v>
      </c>
      <c r="J109" t="n">
        <v>2</v>
      </c>
      <c r="K109" t="n">
        <v>1</v>
      </c>
      <c r="L109" t="n">
        <v>0</v>
      </c>
      <c r="M109" t="n">
        <v>0</v>
      </c>
      <c r="N109" t="n">
        <v>0</v>
      </c>
      <c r="O109" t="n">
        <v>3</v>
      </c>
      <c r="P109" t="n">
        <v>1</v>
      </c>
      <c r="Q109" t="n">
        <v>3</v>
      </c>
      <c r="R109" s="2" t="inlineStr">
        <is>
          <t>Rynkskinn
Garnlav
Tretåig hackspett</t>
        </is>
      </c>
      <c r="S109">
        <f>HYPERLINK("https://klasma.github.io/Logging_2380/artfynd/A 56647-2025 artfynd.xlsx", "A 56647-2025")</f>
        <v/>
      </c>
      <c r="T109">
        <f>HYPERLINK("https://klasma.github.io/Logging_2380/kartor/A 56647-2025 karta.png", "A 56647-2025")</f>
        <v/>
      </c>
      <c r="V109">
        <f>HYPERLINK("https://klasma.github.io/Logging_2380/klagomål/A 56647-2025 FSC-klagomål.docx", "A 56647-2025")</f>
        <v/>
      </c>
      <c r="W109">
        <f>HYPERLINK("https://klasma.github.io/Logging_2380/klagomålsmail/A 56647-2025 FSC-klagomål mail.docx", "A 56647-2025")</f>
        <v/>
      </c>
      <c r="X109">
        <f>HYPERLINK("https://klasma.github.io/Logging_2380/tillsyn/A 56647-2025 tillsynsbegäran.docx", "A 56647-2025")</f>
        <v/>
      </c>
      <c r="Y109">
        <f>HYPERLINK("https://klasma.github.io/Logging_2380/tillsynsmail/A 56647-2025 tillsynsbegäran mail.docx", "A 56647-2025")</f>
        <v/>
      </c>
      <c r="Z109">
        <f>HYPERLINK("https://klasma.github.io/Logging_2380/fåglar/A 56647-2025 prioriterade fågelarter.docx", "A 56647-2025")</f>
        <v/>
      </c>
    </row>
    <row r="110" ht="15" customHeight="1">
      <c r="A110" t="inlineStr">
        <is>
          <t>A 5100-2023</t>
        </is>
      </c>
      <c r="B110" s="1" t="n">
        <v>44956</v>
      </c>
      <c r="C110" s="1" t="n">
        <v>46092</v>
      </c>
      <c r="D110" t="inlineStr">
        <is>
          <t>JÄMTLANDS LÄN</t>
        </is>
      </c>
      <c r="E110" t="inlineStr">
        <is>
          <t>ÖSTERSUND</t>
        </is>
      </c>
      <c r="G110" t="n">
        <v>2.6</v>
      </c>
      <c r="H110" t="n">
        <v>0</v>
      </c>
      <c r="I110" t="n">
        <v>2</v>
      </c>
      <c r="J110" t="n">
        <v>0</v>
      </c>
      <c r="K110" t="n">
        <v>0</v>
      </c>
      <c r="L110" t="n">
        <v>1</v>
      </c>
      <c r="M110" t="n">
        <v>0</v>
      </c>
      <c r="N110" t="n">
        <v>0</v>
      </c>
      <c r="O110" t="n">
        <v>1</v>
      </c>
      <c r="P110" t="n">
        <v>1</v>
      </c>
      <c r="Q110" t="n">
        <v>3</v>
      </c>
      <c r="R110" s="2" t="inlineStr">
        <is>
          <t>Trolldruvemätare
Svart trolldruva
Tibast</t>
        </is>
      </c>
      <c r="S110">
        <f>HYPERLINK("https://klasma.github.io/Logging_2380/artfynd/A 5100-2023 artfynd.xlsx", "A 5100-2023")</f>
        <v/>
      </c>
      <c r="T110">
        <f>HYPERLINK("https://klasma.github.io/Logging_2380/kartor/A 5100-2023 karta.png", "A 5100-2023")</f>
        <v/>
      </c>
      <c r="V110">
        <f>HYPERLINK("https://klasma.github.io/Logging_2380/klagomål/A 5100-2023 FSC-klagomål.docx", "A 5100-2023")</f>
        <v/>
      </c>
      <c r="W110">
        <f>HYPERLINK("https://klasma.github.io/Logging_2380/klagomålsmail/A 5100-2023 FSC-klagomål mail.docx", "A 5100-2023")</f>
        <v/>
      </c>
      <c r="X110">
        <f>HYPERLINK("https://klasma.github.io/Logging_2380/tillsyn/A 5100-2023 tillsynsbegäran.docx", "A 5100-2023")</f>
        <v/>
      </c>
      <c r="Y110">
        <f>HYPERLINK("https://klasma.github.io/Logging_2380/tillsynsmail/A 5100-2023 tillsynsbegäran mail.docx", "A 5100-2023")</f>
        <v/>
      </c>
    </row>
    <row r="111" ht="15" customHeight="1">
      <c r="A111" t="inlineStr">
        <is>
          <t>A 19520-2023</t>
        </is>
      </c>
      <c r="B111" s="1" t="n">
        <v>45049</v>
      </c>
      <c r="C111" s="1" t="n">
        <v>46092</v>
      </c>
      <c r="D111" t="inlineStr">
        <is>
          <t>JÄMTLANDS LÄN</t>
        </is>
      </c>
      <c r="E111" t="inlineStr">
        <is>
          <t>ÖSTERSUND</t>
        </is>
      </c>
      <c r="G111" t="n">
        <v>2</v>
      </c>
      <c r="H111" t="n">
        <v>0</v>
      </c>
      <c r="I111" t="n">
        <v>2</v>
      </c>
      <c r="J111" t="n">
        <v>0</v>
      </c>
      <c r="K111" t="n">
        <v>0</v>
      </c>
      <c r="L111" t="n">
        <v>1</v>
      </c>
      <c r="M111" t="n">
        <v>0</v>
      </c>
      <c r="N111" t="n">
        <v>0</v>
      </c>
      <c r="O111" t="n">
        <v>1</v>
      </c>
      <c r="P111" t="n">
        <v>1</v>
      </c>
      <c r="Q111" t="n">
        <v>3</v>
      </c>
      <c r="R111" s="2" t="inlineStr">
        <is>
          <t>Trolldruvemätare
Svart trolldruva
Svavelriska</t>
        </is>
      </c>
      <c r="S111">
        <f>HYPERLINK("https://klasma.github.io/Logging_2380/artfynd/A 19520-2023 artfynd.xlsx", "A 19520-2023")</f>
        <v/>
      </c>
      <c r="T111">
        <f>HYPERLINK("https://klasma.github.io/Logging_2380/kartor/A 19520-2023 karta.png", "A 19520-2023")</f>
        <v/>
      </c>
      <c r="V111">
        <f>HYPERLINK("https://klasma.github.io/Logging_2380/klagomål/A 19520-2023 FSC-klagomål.docx", "A 19520-2023")</f>
        <v/>
      </c>
      <c r="W111">
        <f>HYPERLINK("https://klasma.github.io/Logging_2380/klagomålsmail/A 19520-2023 FSC-klagomål mail.docx", "A 19520-2023")</f>
        <v/>
      </c>
      <c r="X111">
        <f>HYPERLINK("https://klasma.github.io/Logging_2380/tillsyn/A 19520-2023 tillsynsbegäran.docx", "A 19520-2023")</f>
        <v/>
      </c>
      <c r="Y111">
        <f>HYPERLINK("https://klasma.github.io/Logging_2380/tillsynsmail/A 19520-2023 tillsynsbegäran mail.docx", "A 19520-2023")</f>
        <v/>
      </c>
    </row>
    <row r="112" ht="15" customHeight="1">
      <c r="A112" t="inlineStr">
        <is>
          <t>A 36806-2025</t>
        </is>
      </c>
      <c r="B112" s="1" t="n">
        <v>45873.69988425926</v>
      </c>
      <c r="C112" s="1" t="n">
        <v>46092</v>
      </c>
      <c r="D112" t="inlineStr">
        <is>
          <t>JÄMTLANDS LÄN</t>
        </is>
      </c>
      <c r="E112" t="inlineStr">
        <is>
          <t>ÖSTERSUND</t>
        </is>
      </c>
      <c r="G112" t="n">
        <v>9.800000000000001</v>
      </c>
      <c r="H112" t="n">
        <v>2</v>
      </c>
      <c r="I112" t="n">
        <v>2</v>
      </c>
      <c r="J112" t="n">
        <v>0</v>
      </c>
      <c r="K112" t="n">
        <v>0</v>
      </c>
      <c r="L112" t="n">
        <v>0</v>
      </c>
      <c r="M112" t="n">
        <v>0</v>
      </c>
      <c r="N112" t="n">
        <v>0</v>
      </c>
      <c r="O112" t="n">
        <v>0</v>
      </c>
      <c r="P112" t="n">
        <v>0</v>
      </c>
      <c r="Q112" t="n">
        <v>3</v>
      </c>
      <c r="R112" s="2" t="inlineStr">
        <is>
          <t>Grönkulla
Vårärt
Blåsippa</t>
        </is>
      </c>
      <c r="S112">
        <f>HYPERLINK("https://klasma.github.io/Logging_2380/artfynd/A 36806-2025 artfynd.xlsx", "A 36806-2025")</f>
        <v/>
      </c>
      <c r="T112">
        <f>HYPERLINK("https://klasma.github.io/Logging_2380/kartor/A 36806-2025 karta.png", "A 36806-2025")</f>
        <v/>
      </c>
      <c r="V112">
        <f>HYPERLINK("https://klasma.github.io/Logging_2380/klagomål/A 36806-2025 FSC-klagomål.docx", "A 36806-2025")</f>
        <v/>
      </c>
      <c r="W112">
        <f>HYPERLINK("https://klasma.github.io/Logging_2380/klagomålsmail/A 36806-2025 FSC-klagomål mail.docx", "A 36806-2025")</f>
        <v/>
      </c>
      <c r="X112">
        <f>HYPERLINK("https://klasma.github.io/Logging_2380/tillsyn/A 36806-2025 tillsynsbegäran.docx", "A 36806-2025")</f>
        <v/>
      </c>
      <c r="Y112">
        <f>HYPERLINK("https://klasma.github.io/Logging_2380/tillsynsmail/A 36806-2025 tillsynsbegäran mail.docx", "A 36806-2025")</f>
        <v/>
      </c>
    </row>
    <row r="113" ht="15" customHeight="1">
      <c r="A113" t="inlineStr">
        <is>
          <t>A 60565-2022</t>
        </is>
      </c>
      <c r="B113" s="1" t="n">
        <v>44904</v>
      </c>
      <c r="C113" s="1" t="n">
        <v>46092</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46705-2023</t>
        </is>
      </c>
      <c r="B114" s="1" t="n">
        <v>45198</v>
      </c>
      <c r="C114" s="1" t="n">
        <v>46092</v>
      </c>
      <c r="D114" t="inlineStr">
        <is>
          <t>JÄMTLANDS LÄN</t>
        </is>
      </c>
      <c r="E114" t="inlineStr">
        <is>
          <t>ÖSTERSUND</t>
        </is>
      </c>
      <c r="F114" t="inlineStr">
        <is>
          <t>Sveaskog</t>
        </is>
      </c>
      <c r="G114" t="n">
        <v>7.5</v>
      </c>
      <c r="H114" t="n">
        <v>1</v>
      </c>
      <c r="I114" t="n">
        <v>3</v>
      </c>
      <c r="J114" t="n">
        <v>0</v>
      </c>
      <c r="K114" t="n">
        <v>0</v>
      </c>
      <c r="L114" t="n">
        <v>0</v>
      </c>
      <c r="M114" t="n">
        <v>0</v>
      </c>
      <c r="N114" t="n">
        <v>0</v>
      </c>
      <c r="O114" t="n">
        <v>0</v>
      </c>
      <c r="P114" t="n">
        <v>0</v>
      </c>
      <c r="Q114" t="n">
        <v>3</v>
      </c>
      <c r="R114" s="2" t="inlineStr">
        <is>
          <t>Finbräken
Guckusko
Ögonpyrola</t>
        </is>
      </c>
      <c r="S114">
        <f>HYPERLINK("https://klasma.github.io/Logging_2380/artfynd/A 46705-2023 artfynd.xlsx", "A 46705-2023")</f>
        <v/>
      </c>
      <c r="T114">
        <f>HYPERLINK("https://klasma.github.io/Logging_2380/kartor/A 46705-2023 karta.png", "A 46705-2023")</f>
        <v/>
      </c>
      <c r="V114">
        <f>HYPERLINK("https://klasma.github.io/Logging_2380/klagomål/A 46705-2023 FSC-klagomål.docx", "A 46705-2023")</f>
        <v/>
      </c>
      <c r="W114">
        <f>HYPERLINK("https://klasma.github.io/Logging_2380/klagomålsmail/A 46705-2023 FSC-klagomål mail.docx", "A 46705-2023")</f>
        <v/>
      </c>
      <c r="X114">
        <f>HYPERLINK("https://klasma.github.io/Logging_2380/tillsyn/A 46705-2023 tillsynsbegäran.docx", "A 46705-2023")</f>
        <v/>
      </c>
      <c r="Y114">
        <f>HYPERLINK("https://klasma.github.io/Logging_2380/tillsynsmail/A 46705-2023 tillsynsbegäran mail.docx", "A 46705-2023")</f>
        <v/>
      </c>
    </row>
    <row r="115" ht="15" customHeight="1">
      <c r="A115" t="inlineStr">
        <is>
          <t>A 60565-2022</t>
        </is>
      </c>
      <c r="B115" s="1" t="n">
        <v>44904</v>
      </c>
      <c r="C115" s="1" t="n">
        <v>46092</v>
      </c>
      <c r="D115" t="inlineStr">
        <is>
          <t>JÄMTLANDS LÄN</t>
        </is>
      </c>
      <c r="E115" t="inlineStr">
        <is>
          <t>ÖSTERSUND</t>
        </is>
      </c>
      <c r="G115" t="n">
        <v>2.5</v>
      </c>
      <c r="H115" t="n">
        <v>2</v>
      </c>
      <c r="I115" t="n">
        <v>0</v>
      </c>
      <c r="J115" t="n">
        <v>2</v>
      </c>
      <c r="K115" t="n">
        <v>0</v>
      </c>
      <c r="L115" t="n">
        <v>0</v>
      </c>
      <c r="M115" t="n">
        <v>0</v>
      </c>
      <c r="N115" t="n">
        <v>0</v>
      </c>
      <c r="O115" t="n">
        <v>2</v>
      </c>
      <c r="P115" t="n">
        <v>0</v>
      </c>
      <c r="Q115" t="n">
        <v>3</v>
      </c>
      <c r="R115" s="2" t="inlineStr">
        <is>
          <t>Garnlav
Talltita
Revlummer</t>
        </is>
      </c>
      <c r="S115">
        <f>HYPERLINK("https://klasma.github.io/Logging_2380/artfynd/A 60565-2022 artfynd.xlsx", "A 60565-2022")</f>
        <v/>
      </c>
      <c r="T115">
        <f>HYPERLINK("https://klasma.github.io/Logging_2380/kartor/A 60565-2022 karta.png", "A 60565-2022")</f>
        <v/>
      </c>
      <c r="V115">
        <f>HYPERLINK("https://klasma.github.io/Logging_2380/klagomål/A 60565-2022 FSC-klagomål.docx", "A 60565-2022")</f>
        <v/>
      </c>
      <c r="W115">
        <f>HYPERLINK("https://klasma.github.io/Logging_2380/klagomålsmail/A 60565-2022 FSC-klagomål mail.docx", "A 60565-2022")</f>
        <v/>
      </c>
      <c r="X115">
        <f>HYPERLINK("https://klasma.github.io/Logging_2380/tillsyn/A 60565-2022 tillsynsbegäran.docx", "A 60565-2022")</f>
        <v/>
      </c>
      <c r="Y115">
        <f>HYPERLINK("https://klasma.github.io/Logging_2380/tillsynsmail/A 60565-2022 tillsynsbegäran mail.docx", "A 60565-2022")</f>
        <v/>
      </c>
      <c r="Z115">
        <f>HYPERLINK("https://klasma.github.io/Logging_2380/fåglar/A 60565-2022 prioriterade fågelarter.docx", "A 60565-2022")</f>
        <v/>
      </c>
    </row>
    <row r="116" ht="15" customHeight="1">
      <c r="A116" t="inlineStr">
        <is>
          <t>A 40695-2024</t>
        </is>
      </c>
      <c r="B116" s="1" t="n">
        <v>45558</v>
      </c>
      <c r="C116" s="1" t="n">
        <v>46092</v>
      </c>
      <c r="D116" t="inlineStr">
        <is>
          <t>JÄMTLANDS LÄN</t>
        </is>
      </c>
      <c r="E116" t="inlineStr">
        <is>
          <t>ÖSTERSUND</t>
        </is>
      </c>
      <c r="F116" t="inlineStr">
        <is>
          <t>SCA</t>
        </is>
      </c>
      <c r="G116" t="n">
        <v>2.9</v>
      </c>
      <c r="H116" t="n">
        <v>0</v>
      </c>
      <c r="I116" t="n">
        <v>2</v>
      </c>
      <c r="J116" t="n">
        <v>1</v>
      </c>
      <c r="K116" t="n">
        <v>0</v>
      </c>
      <c r="L116" t="n">
        <v>0</v>
      </c>
      <c r="M116" t="n">
        <v>0</v>
      </c>
      <c r="N116" t="n">
        <v>0</v>
      </c>
      <c r="O116" t="n">
        <v>1</v>
      </c>
      <c r="P116" t="n">
        <v>0</v>
      </c>
      <c r="Q116" t="n">
        <v>3</v>
      </c>
      <c r="R116" s="2" t="inlineStr">
        <is>
          <t>Lunglav
Dropptaggsvamp
Skinnlav</t>
        </is>
      </c>
      <c r="S116">
        <f>HYPERLINK("https://klasma.github.io/Logging_2380/artfynd/A 40695-2024 artfynd.xlsx", "A 40695-2024")</f>
        <v/>
      </c>
      <c r="T116">
        <f>HYPERLINK("https://klasma.github.io/Logging_2380/kartor/A 40695-2024 karta.png", "A 40695-2024")</f>
        <v/>
      </c>
      <c r="V116">
        <f>HYPERLINK("https://klasma.github.io/Logging_2380/klagomål/A 40695-2024 FSC-klagomål.docx", "A 40695-2024")</f>
        <v/>
      </c>
      <c r="W116">
        <f>HYPERLINK("https://klasma.github.io/Logging_2380/klagomålsmail/A 40695-2024 FSC-klagomål mail.docx", "A 40695-2024")</f>
        <v/>
      </c>
      <c r="X116">
        <f>HYPERLINK("https://klasma.github.io/Logging_2380/tillsyn/A 40695-2024 tillsynsbegäran.docx", "A 40695-2024")</f>
        <v/>
      </c>
      <c r="Y116">
        <f>HYPERLINK("https://klasma.github.io/Logging_2380/tillsynsmail/A 40695-2024 tillsynsbegäran mail.docx", "A 40695-2024")</f>
        <v/>
      </c>
    </row>
    <row r="117" ht="15" customHeight="1">
      <c r="A117" t="inlineStr">
        <is>
          <t>A 53652-2024</t>
        </is>
      </c>
      <c r="B117" s="1" t="n">
        <v>45615.29761574074</v>
      </c>
      <c r="C117" s="1" t="n">
        <v>46092</v>
      </c>
      <c r="D117" t="inlineStr">
        <is>
          <t>JÄMTLANDS LÄN</t>
        </is>
      </c>
      <c r="E117" t="inlineStr">
        <is>
          <t>ÖSTERSUND</t>
        </is>
      </c>
      <c r="G117" t="n">
        <v>4.2</v>
      </c>
      <c r="H117" t="n">
        <v>1</v>
      </c>
      <c r="I117" t="n">
        <v>1</v>
      </c>
      <c r="J117" t="n">
        <v>1</v>
      </c>
      <c r="K117" t="n">
        <v>0</v>
      </c>
      <c r="L117" t="n">
        <v>0</v>
      </c>
      <c r="M117" t="n">
        <v>0</v>
      </c>
      <c r="N117" t="n">
        <v>0</v>
      </c>
      <c r="O117" t="n">
        <v>1</v>
      </c>
      <c r="P117" t="n">
        <v>0</v>
      </c>
      <c r="Q117" t="n">
        <v>3</v>
      </c>
      <c r="R117" s="2" t="inlineStr">
        <is>
          <t>Flattoppad klubbsvamp
Kransrams
Revlummer</t>
        </is>
      </c>
      <c r="S117">
        <f>HYPERLINK("https://klasma.github.io/Logging_2380/artfynd/A 53652-2024 artfynd.xlsx", "A 53652-2024")</f>
        <v/>
      </c>
      <c r="T117">
        <f>HYPERLINK("https://klasma.github.io/Logging_2380/kartor/A 53652-2024 karta.png", "A 53652-2024")</f>
        <v/>
      </c>
      <c r="V117">
        <f>HYPERLINK("https://klasma.github.io/Logging_2380/klagomål/A 53652-2024 FSC-klagomål.docx", "A 53652-2024")</f>
        <v/>
      </c>
      <c r="W117">
        <f>HYPERLINK("https://klasma.github.io/Logging_2380/klagomålsmail/A 53652-2024 FSC-klagomål mail.docx", "A 53652-2024")</f>
        <v/>
      </c>
      <c r="X117">
        <f>HYPERLINK("https://klasma.github.io/Logging_2380/tillsyn/A 53652-2024 tillsynsbegäran.docx", "A 53652-2024")</f>
        <v/>
      </c>
      <c r="Y117">
        <f>HYPERLINK("https://klasma.github.io/Logging_2380/tillsynsmail/A 53652-2024 tillsynsbegäran mail.docx", "A 53652-2024")</f>
        <v/>
      </c>
    </row>
    <row r="118" ht="15" customHeight="1">
      <c r="A118" t="inlineStr">
        <is>
          <t>A 60534-2022</t>
        </is>
      </c>
      <c r="B118" s="1" t="n">
        <v>44904</v>
      </c>
      <c r="C118" s="1" t="n">
        <v>46092</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50125-2024</t>
        </is>
      </c>
      <c r="B119" s="1" t="n">
        <v>45600.42737268518</v>
      </c>
      <c r="C119" s="1" t="n">
        <v>46092</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60446-2024</t>
        </is>
      </c>
      <c r="B120" s="1" t="n">
        <v>45643.59420138889</v>
      </c>
      <c r="C120" s="1" t="n">
        <v>46092</v>
      </c>
      <c r="D120" t="inlineStr">
        <is>
          <t>JÄMTLANDS LÄN</t>
        </is>
      </c>
      <c r="E120" t="inlineStr">
        <is>
          <t>ÖSTERSUND</t>
        </is>
      </c>
      <c r="F120" t="inlineStr">
        <is>
          <t>SCA</t>
        </is>
      </c>
      <c r="G120" t="n">
        <v>3.6</v>
      </c>
      <c r="H120" t="n">
        <v>0</v>
      </c>
      <c r="I120" t="n">
        <v>1</v>
      </c>
      <c r="J120" t="n">
        <v>1</v>
      </c>
      <c r="K120" t="n">
        <v>0</v>
      </c>
      <c r="L120" t="n">
        <v>0</v>
      </c>
      <c r="M120" t="n">
        <v>0</v>
      </c>
      <c r="N120" t="n">
        <v>0</v>
      </c>
      <c r="O120" t="n">
        <v>1</v>
      </c>
      <c r="P120" t="n">
        <v>0</v>
      </c>
      <c r="Q120" t="n">
        <v>2</v>
      </c>
      <c r="R120" s="2" t="inlineStr">
        <is>
          <t>Ullticka
Vedticka</t>
        </is>
      </c>
      <c r="S120">
        <f>HYPERLINK("https://klasma.github.io/Logging_2380/artfynd/A 60446-2024 artfynd.xlsx", "A 60446-2024")</f>
        <v/>
      </c>
      <c r="T120">
        <f>HYPERLINK("https://klasma.github.io/Logging_2380/kartor/A 60446-2024 karta.png", "A 60446-2024")</f>
        <v/>
      </c>
      <c r="V120">
        <f>HYPERLINK("https://klasma.github.io/Logging_2380/klagomål/A 60446-2024 FSC-klagomål.docx", "A 60446-2024")</f>
        <v/>
      </c>
      <c r="W120">
        <f>HYPERLINK("https://klasma.github.io/Logging_2380/klagomålsmail/A 60446-2024 FSC-klagomål mail.docx", "A 60446-2024")</f>
        <v/>
      </c>
      <c r="X120">
        <f>HYPERLINK("https://klasma.github.io/Logging_2380/tillsyn/A 60446-2024 tillsynsbegäran.docx", "A 60446-2024")</f>
        <v/>
      </c>
      <c r="Y120">
        <f>HYPERLINK("https://klasma.github.io/Logging_2380/tillsynsmail/A 60446-2024 tillsynsbegäran mail.docx", "A 60446-2024")</f>
        <v/>
      </c>
    </row>
    <row r="121" ht="15" customHeight="1">
      <c r="A121" t="inlineStr">
        <is>
          <t>A 58931-2025</t>
        </is>
      </c>
      <c r="B121" s="1" t="n">
        <v>45987.55831018519</v>
      </c>
      <c r="C121" s="1" t="n">
        <v>46092</v>
      </c>
      <c r="D121" t="inlineStr">
        <is>
          <t>JÄMTLANDS LÄN</t>
        </is>
      </c>
      <c r="E121" t="inlineStr">
        <is>
          <t>ÖSTERSUND</t>
        </is>
      </c>
      <c r="G121" t="n">
        <v>3.9</v>
      </c>
      <c r="H121" t="n">
        <v>2</v>
      </c>
      <c r="I121" t="n">
        <v>0</v>
      </c>
      <c r="J121" t="n">
        <v>0</v>
      </c>
      <c r="K121" t="n">
        <v>0</v>
      </c>
      <c r="L121" t="n">
        <v>0</v>
      </c>
      <c r="M121" t="n">
        <v>0</v>
      </c>
      <c r="N121" t="n">
        <v>0</v>
      </c>
      <c r="O121" t="n">
        <v>0</v>
      </c>
      <c r="P121" t="n">
        <v>0</v>
      </c>
      <c r="Q121" t="n">
        <v>2</v>
      </c>
      <c r="R121" s="2" t="inlineStr">
        <is>
          <t>Blåsippa
Revlummer</t>
        </is>
      </c>
      <c r="S121">
        <f>HYPERLINK("https://klasma.github.io/Logging_2380/artfynd/A 58931-2025 artfynd.xlsx", "A 58931-2025")</f>
        <v/>
      </c>
      <c r="T121">
        <f>HYPERLINK("https://klasma.github.io/Logging_2380/kartor/A 58931-2025 karta.png", "A 58931-2025")</f>
        <v/>
      </c>
      <c r="V121">
        <f>HYPERLINK("https://klasma.github.io/Logging_2380/klagomål/A 58931-2025 FSC-klagomål.docx", "A 58931-2025")</f>
        <v/>
      </c>
      <c r="W121">
        <f>HYPERLINK("https://klasma.github.io/Logging_2380/klagomålsmail/A 58931-2025 FSC-klagomål mail.docx", "A 58931-2025")</f>
        <v/>
      </c>
      <c r="X121">
        <f>HYPERLINK("https://klasma.github.io/Logging_2380/tillsyn/A 58931-2025 tillsynsbegäran.docx", "A 58931-2025")</f>
        <v/>
      </c>
      <c r="Y121">
        <f>HYPERLINK("https://klasma.github.io/Logging_2380/tillsynsmail/A 58931-2025 tillsynsbegäran mail.docx", "A 58931-2025")</f>
        <v/>
      </c>
    </row>
    <row r="122" ht="15" customHeight="1">
      <c r="A122" t="inlineStr">
        <is>
          <t>A 40207-2025</t>
        </is>
      </c>
      <c r="B122" s="1" t="n">
        <v>45894.67988425926</v>
      </c>
      <c r="C122" s="1" t="n">
        <v>46092</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15700-2025</t>
        </is>
      </c>
      <c r="B123" s="1" t="n">
        <v>45748.47314814815</v>
      </c>
      <c r="C123" s="1" t="n">
        <v>46092</v>
      </c>
      <c r="D123" t="inlineStr">
        <is>
          <t>JÄMTLANDS LÄN</t>
        </is>
      </c>
      <c r="E123" t="inlineStr">
        <is>
          <t>ÖSTERSUND</t>
        </is>
      </c>
      <c r="G123" t="n">
        <v>0.9</v>
      </c>
      <c r="H123" t="n">
        <v>0</v>
      </c>
      <c r="I123" t="n">
        <v>2</v>
      </c>
      <c r="J123" t="n">
        <v>0</v>
      </c>
      <c r="K123" t="n">
        <v>0</v>
      </c>
      <c r="L123" t="n">
        <v>0</v>
      </c>
      <c r="M123" t="n">
        <v>0</v>
      </c>
      <c r="N123" t="n">
        <v>0</v>
      </c>
      <c r="O123" t="n">
        <v>0</v>
      </c>
      <c r="P123" t="n">
        <v>0</v>
      </c>
      <c r="Q123" t="n">
        <v>2</v>
      </c>
      <c r="R123" s="2" t="inlineStr">
        <is>
          <t>Brun klibbskivling
Droppklibbskivling</t>
        </is>
      </c>
      <c r="S123">
        <f>HYPERLINK("https://klasma.github.io/Logging_2380/artfynd/A 15700-2025 artfynd.xlsx", "A 15700-2025")</f>
        <v/>
      </c>
      <c r="T123">
        <f>HYPERLINK("https://klasma.github.io/Logging_2380/kartor/A 15700-2025 karta.png", "A 15700-2025")</f>
        <v/>
      </c>
      <c r="V123">
        <f>HYPERLINK("https://klasma.github.io/Logging_2380/klagomål/A 15700-2025 FSC-klagomål.docx", "A 15700-2025")</f>
        <v/>
      </c>
      <c r="W123">
        <f>HYPERLINK("https://klasma.github.io/Logging_2380/klagomålsmail/A 15700-2025 FSC-klagomål mail.docx", "A 15700-2025")</f>
        <v/>
      </c>
      <c r="X123">
        <f>HYPERLINK("https://klasma.github.io/Logging_2380/tillsyn/A 15700-2025 tillsynsbegäran.docx", "A 15700-2025")</f>
        <v/>
      </c>
      <c r="Y123">
        <f>HYPERLINK("https://klasma.github.io/Logging_2380/tillsynsmail/A 15700-2025 tillsynsbegäran mail.docx", "A 15700-2025")</f>
        <v/>
      </c>
    </row>
    <row r="124" ht="15" customHeight="1">
      <c r="A124" t="inlineStr">
        <is>
          <t>A 45237-2025</t>
        </is>
      </c>
      <c r="B124" s="1" t="n">
        <v>45919.59467592592</v>
      </c>
      <c r="C124" s="1" t="n">
        <v>46092</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56750-2025</t>
        </is>
      </c>
      <c r="B125" s="1" t="n">
        <v>45975</v>
      </c>
      <c r="C125" s="1" t="n">
        <v>46092</v>
      </c>
      <c r="D125" t="inlineStr">
        <is>
          <t>JÄMTLANDS LÄN</t>
        </is>
      </c>
      <c r="E125" t="inlineStr">
        <is>
          <t>ÖSTERSUND</t>
        </is>
      </c>
      <c r="G125" t="n">
        <v>5.1</v>
      </c>
      <c r="H125" t="n">
        <v>1</v>
      </c>
      <c r="I125" t="n">
        <v>0</v>
      </c>
      <c r="J125" t="n">
        <v>1</v>
      </c>
      <c r="K125" t="n">
        <v>0</v>
      </c>
      <c r="L125" t="n">
        <v>0</v>
      </c>
      <c r="M125" t="n">
        <v>0</v>
      </c>
      <c r="N125" t="n">
        <v>0</v>
      </c>
      <c r="O125" t="n">
        <v>1</v>
      </c>
      <c r="P125" t="n">
        <v>0</v>
      </c>
      <c r="Q125" t="n">
        <v>2</v>
      </c>
      <c r="R125" s="2" t="inlineStr">
        <is>
          <t>Garnlav
Revlummer</t>
        </is>
      </c>
      <c r="S125">
        <f>HYPERLINK("https://klasma.github.io/Logging_2380/artfynd/A 56750-2025 artfynd.xlsx", "A 56750-2025")</f>
        <v/>
      </c>
      <c r="T125">
        <f>HYPERLINK("https://klasma.github.io/Logging_2380/kartor/A 56750-2025 karta.png", "A 56750-2025")</f>
        <v/>
      </c>
      <c r="V125">
        <f>HYPERLINK("https://klasma.github.io/Logging_2380/klagomål/A 56750-2025 FSC-klagomål.docx", "A 56750-2025")</f>
        <v/>
      </c>
      <c r="W125">
        <f>HYPERLINK("https://klasma.github.io/Logging_2380/klagomålsmail/A 56750-2025 FSC-klagomål mail.docx", "A 56750-2025")</f>
        <v/>
      </c>
      <c r="X125">
        <f>HYPERLINK("https://klasma.github.io/Logging_2380/tillsyn/A 56750-2025 tillsynsbegäran.docx", "A 56750-2025")</f>
        <v/>
      </c>
      <c r="Y125">
        <f>HYPERLINK("https://klasma.github.io/Logging_2380/tillsynsmail/A 56750-2025 tillsynsbegäran mail.docx", "A 56750-2025")</f>
        <v/>
      </c>
    </row>
    <row r="126" ht="15" customHeight="1">
      <c r="A126" t="inlineStr">
        <is>
          <t>A 26612-2025</t>
        </is>
      </c>
      <c r="B126" s="1" t="n">
        <v>45810</v>
      </c>
      <c r="C126" s="1" t="n">
        <v>46092</v>
      </c>
      <c r="D126" t="inlineStr">
        <is>
          <t>JÄMTLANDS LÄN</t>
        </is>
      </c>
      <c r="E126" t="inlineStr">
        <is>
          <t>ÖSTERSUND</t>
        </is>
      </c>
      <c r="G126" t="n">
        <v>20.6</v>
      </c>
      <c r="H126" t="n">
        <v>1</v>
      </c>
      <c r="I126" t="n">
        <v>0</v>
      </c>
      <c r="J126" t="n">
        <v>0</v>
      </c>
      <c r="K126" t="n">
        <v>1</v>
      </c>
      <c r="L126" t="n">
        <v>1</v>
      </c>
      <c r="M126" t="n">
        <v>0</v>
      </c>
      <c r="N126" t="n">
        <v>0</v>
      </c>
      <c r="O126" t="n">
        <v>2</v>
      </c>
      <c r="P126" t="n">
        <v>2</v>
      </c>
      <c r="Q126" t="n">
        <v>2</v>
      </c>
      <c r="R126" s="2" t="inlineStr">
        <is>
          <t>Violett guldvinge
Turkos blåvinge</t>
        </is>
      </c>
      <c r="S126">
        <f>HYPERLINK("https://klasma.github.io/Logging_2380/artfynd/A 26612-2025 artfynd.xlsx", "A 26612-2025")</f>
        <v/>
      </c>
      <c r="T126">
        <f>HYPERLINK("https://klasma.github.io/Logging_2380/kartor/A 26612-2025 karta.png", "A 26612-2025")</f>
        <v/>
      </c>
      <c r="V126">
        <f>HYPERLINK("https://klasma.github.io/Logging_2380/klagomål/A 26612-2025 FSC-klagomål.docx", "A 26612-2025")</f>
        <v/>
      </c>
      <c r="W126">
        <f>HYPERLINK("https://klasma.github.io/Logging_2380/klagomålsmail/A 26612-2025 FSC-klagomål mail.docx", "A 26612-2025")</f>
        <v/>
      </c>
      <c r="X126">
        <f>HYPERLINK("https://klasma.github.io/Logging_2380/tillsyn/A 26612-2025 tillsynsbegäran.docx", "A 26612-2025")</f>
        <v/>
      </c>
      <c r="Y126">
        <f>HYPERLINK("https://klasma.github.io/Logging_2380/tillsynsmail/A 26612-2025 tillsynsbegäran mail.docx", "A 26612-2025")</f>
        <v/>
      </c>
    </row>
    <row r="127" ht="15" customHeight="1">
      <c r="A127" t="inlineStr">
        <is>
          <t>A 10796-2026</t>
        </is>
      </c>
      <c r="B127" s="1" t="n">
        <v>46078.59487268519</v>
      </c>
      <c r="C127" s="1" t="n">
        <v>46092</v>
      </c>
      <c r="D127" t="inlineStr">
        <is>
          <t>JÄMTLANDS LÄN</t>
        </is>
      </c>
      <c r="E127" t="inlineStr">
        <is>
          <t>ÖSTERSUND</t>
        </is>
      </c>
      <c r="G127" t="n">
        <v>3.3</v>
      </c>
      <c r="H127" t="n">
        <v>0</v>
      </c>
      <c r="I127" t="n">
        <v>0</v>
      </c>
      <c r="J127" t="n">
        <v>2</v>
      </c>
      <c r="K127" t="n">
        <v>0</v>
      </c>
      <c r="L127" t="n">
        <v>0</v>
      </c>
      <c r="M127" t="n">
        <v>0</v>
      </c>
      <c r="N127" t="n">
        <v>0</v>
      </c>
      <c r="O127" t="n">
        <v>2</v>
      </c>
      <c r="P127" t="n">
        <v>0</v>
      </c>
      <c r="Q127" t="n">
        <v>2</v>
      </c>
      <c r="R127" s="2" t="inlineStr">
        <is>
          <t>Granticka
Harticka</t>
        </is>
      </c>
      <c r="S127">
        <f>HYPERLINK("https://klasma.github.io/Logging_2380/artfynd/A 10796-2026 artfynd.xlsx", "A 10796-2026")</f>
        <v/>
      </c>
      <c r="T127">
        <f>HYPERLINK("https://klasma.github.io/Logging_2380/kartor/A 10796-2026 karta.png", "A 10796-2026")</f>
        <v/>
      </c>
      <c r="V127">
        <f>HYPERLINK("https://klasma.github.io/Logging_2380/klagomål/A 10796-2026 FSC-klagomål.docx", "A 10796-2026")</f>
        <v/>
      </c>
      <c r="W127">
        <f>HYPERLINK("https://klasma.github.io/Logging_2380/klagomålsmail/A 10796-2026 FSC-klagomål mail.docx", "A 10796-2026")</f>
        <v/>
      </c>
      <c r="X127">
        <f>HYPERLINK("https://klasma.github.io/Logging_2380/tillsyn/A 10796-2026 tillsynsbegäran.docx", "A 10796-2026")</f>
        <v/>
      </c>
      <c r="Y127">
        <f>HYPERLINK("https://klasma.github.io/Logging_2380/tillsynsmail/A 10796-2026 tillsynsbegäran mail.docx", "A 10796-2026")</f>
        <v/>
      </c>
    </row>
    <row r="128" ht="15" customHeight="1">
      <c r="A128" t="inlineStr">
        <is>
          <t>A 10529-2025</t>
        </is>
      </c>
      <c r="B128" s="1" t="n">
        <v>45721</v>
      </c>
      <c r="C128" s="1" t="n">
        <v>46092</v>
      </c>
      <c r="D128" t="inlineStr">
        <is>
          <t>JÄMTLANDS LÄN</t>
        </is>
      </c>
      <c r="E128" t="inlineStr">
        <is>
          <t>ÖSTERSUND</t>
        </is>
      </c>
      <c r="F128" t="inlineStr">
        <is>
          <t>SCA</t>
        </is>
      </c>
      <c r="G128" t="n">
        <v>1.4</v>
      </c>
      <c r="H128" t="n">
        <v>0</v>
      </c>
      <c r="I128" t="n">
        <v>2</v>
      </c>
      <c r="J128" t="n">
        <v>0</v>
      </c>
      <c r="K128" t="n">
        <v>0</v>
      </c>
      <c r="L128" t="n">
        <v>0</v>
      </c>
      <c r="M128" t="n">
        <v>0</v>
      </c>
      <c r="N128" t="n">
        <v>0</v>
      </c>
      <c r="O128" t="n">
        <v>0</v>
      </c>
      <c r="P128" t="n">
        <v>0</v>
      </c>
      <c r="Q128" t="n">
        <v>2</v>
      </c>
      <c r="R128" s="2" t="inlineStr">
        <is>
          <t>Gräsull
Ögonpyrola</t>
        </is>
      </c>
      <c r="S128">
        <f>HYPERLINK("https://klasma.github.io/Logging_2380/artfynd/A 10529-2025 artfynd.xlsx", "A 10529-2025")</f>
        <v/>
      </c>
      <c r="T128">
        <f>HYPERLINK("https://klasma.github.io/Logging_2380/kartor/A 10529-2025 karta.png", "A 10529-2025")</f>
        <v/>
      </c>
      <c r="V128">
        <f>HYPERLINK("https://klasma.github.io/Logging_2380/klagomål/A 10529-2025 FSC-klagomål.docx", "A 10529-2025")</f>
        <v/>
      </c>
      <c r="W128">
        <f>HYPERLINK("https://klasma.github.io/Logging_2380/klagomålsmail/A 10529-2025 FSC-klagomål mail.docx", "A 10529-2025")</f>
        <v/>
      </c>
      <c r="X128">
        <f>HYPERLINK("https://klasma.github.io/Logging_2380/tillsyn/A 10529-2025 tillsynsbegäran.docx", "A 10529-2025")</f>
        <v/>
      </c>
      <c r="Y128">
        <f>HYPERLINK("https://klasma.github.io/Logging_2380/tillsynsmail/A 10529-2025 tillsynsbegäran mail.docx", "A 10529-2025")</f>
        <v/>
      </c>
    </row>
    <row r="129" ht="15" customHeight="1">
      <c r="A129" t="inlineStr">
        <is>
          <t>A 54872-2025</t>
        </is>
      </c>
      <c r="B129" s="1" t="n">
        <v>45966.94104166667</v>
      </c>
      <c r="C129" s="1" t="n">
        <v>46092</v>
      </c>
      <c r="D129" t="inlineStr">
        <is>
          <t>JÄMTLANDS LÄN</t>
        </is>
      </c>
      <c r="E129" t="inlineStr">
        <is>
          <t>ÖSTERSUND</t>
        </is>
      </c>
      <c r="G129" t="n">
        <v>2.4</v>
      </c>
      <c r="H129" t="n">
        <v>1</v>
      </c>
      <c r="I129" t="n">
        <v>1</v>
      </c>
      <c r="J129" t="n">
        <v>1</v>
      </c>
      <c r="K129" t="n">
        <v>0</v>
      </c>
      <c r="L129" t="n">
        <v>0</v>
      </c>
      <c r="M129" t="n">
        <v>0</v>
      </c>
      <c r="N129" t="n">
        <v>0</v>
      </c>
      <c r="O129" t="n">
        <v>1</v>
      </c>
      <c r="P129" t="n">
        <v>0</v>
      </c>
      <c r="Q129" t="n">
        <v>2</v>
      </c>
      <c r="R129" s="2" t="inlineStr">
        <is>
          <t>Slåtterfibbla
Korallrot</t>
        </is>
      </c>
      <c r="S129">
        <f>HYPERLINK("https://klasma.github.io/Logging_2380/artfynd/A 54872-2025 artfynd.xlsx", "A 54872-2025")</f>
        <v/>
      </c>
      <c r="T129">
        <f>HYPERLINK("https://klasma.github.io/Logging_2380/kartor/A 54872-2025 karta.png", "A 54872-2025")</f>
        <v/>
      </c>
      <c r="V129">
        <f>HYPERLINK("https://klasma.github.io/Logging_2380/klagomål/A 54872-2025 FSC-klagomål.docx", "A 54872-2025")</f>
        <v/>
      </c>
      <c r="W129">
        <f>HYPERLINK("https://klasma.github.io/Logging_2380/klagomålsmail/A 54872-2025 FSC-klagomål mail.docx", "A 54872-2025")</f>
        <v/>
      </c>
      <c r="X129">
        <f>HYPERLINK("https://klasma.github.io/Logging_2380/tillsyn/A 54872-2025 tillsynsbegäran.docx", "A 54872-2025")</f>
        <v/>
      </c>
      <c r="Y129">
        <f>HYPERLINK("https://klasma.github.io/Logging_2380/tillsynsmail/A 54872-2025 tillsynsbegäran mail.docx", "A 54872-2025")</f>
        <v/>
      </c>
    </row>
    <row r="130" ht="15" customHeight="1">
      <c r="A130" t="inlineStr">
        <is>
          <t>A 35977-2024</t>
        </is>
      </c>
      <c r="B130" s="1" t="n">
        <v>45533.49601851852</v>
      </c>
      <c r="C130" s="1" t="n">
        <v>46092</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63930-2023</t>
        </is>
      </c>
      <c r="B131" s="1" t="n">
        <v>45278</v>
      </c>
      <c r="C131" s="1" t="n">
        <v>46092</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59793-2022</t>
        </is>
      </c>
      <c r="B132" s="1" t="n">
        <v>44908</v>
      </c>
      <c r="C132" s="1" t="n">
        <v>46092</v>
      </c>
      <c r="D132" t="inlineStr">
        <is>
          <t>JÄMTLANDS LÄN</t>
        </is>
      </c>
      <c r="E132" t="inlineStr">
        <is>
          <t>ÖSTERSUND</t>
        </is>
      </c>
      <c r="G132" t="n">
        <v>23.3</v>
      </c>
      <c r="H132" t="n">
        <v>1</v>
      </c>
      <c r="I132" t="n">
        <v>1</v>
      </c>
      <c r="J132" t="n">
        <v>1</v>
      </c>
      <c r="K132" t="n">
        <v>0</v>
      </c>
      <c r="L132" t="n">
        <v>0</v>
      </c>
      <c r="M132" t="n">
        <v>0</v>
      </c>
      <c r="N132" t="n">
        <v>0</v>
      </c>
      <c r="O132" t="n">
        <v>1</v>
      </c>
      <c r="P132" t="n">
        <v>0</v>
      </c>
      <c r="Q132" t="n">
        <v>2</v>
      </c>
      <c r="R132" s="2" t="inlineStr">
        <is>
          <t>Majviva
Spindelblomster</t>
        </is>
      </c>
      <c r="S132">
        <f>HYPERLINK("https://klasma.github.io/Logging_2380/artfynd/A 59793-2022 artfynd.xlsx", "A 59793-2022")</f>
        <v/>
      </c>
      <c r="T132">
        <f>HYPERLINK("https://klasma.github.io/Logging_2380/kartor/A 59793-2022 karta.png", "A 59793-2022")</f>
        <v/>
      </c>
      <c r="V132">
        <f>HYPERLINK("https://klasma.github.io/Logging_2380/klagomål/A 59793-2022 FSC-klagomål.docx", "A 59793-2022")</f>
        <v/>
      </c>
      <c r="W132">
        <f>HYPERLINK("https://klasma.github.io/Logging_2380/klagomålsmail/A 59793-2022 FSC-klagomål mail.docx", "A 59793-2022")</f>
        <v/>
      </c>
      <c r="X132">
        <f>HYPERLINK("https://klasma.github.io/Logging_2380/tillsyn/A 59793-2022 tillsynsbegäran.docx", "A 59793-2022")</f>
        <v/>
      </c>
      <c r="Y132">
        <f>HYPERLINK("https://klasma.github.io/Logging_2380/tillsynsmail/A 59793-2022 tillsynsbegäran mail.docx", "A 59793-2022")</f>
        <v/>
      </c>
    </row>
    <row r="133" ht="15" customHeight="1">
      <c r="A133" t="inlineStr">
        <is>
          <t>A 46105-2021</t>
        </is>
      </c>
      <c r="B133" s="1" t="n">
        <v>44441</v>
      </c>
      <c r="C133" s="1" t="n">
        <v>46092</v>
      </c>
      <c r="D133" t="inlineStr">
        <is>
          <t>JÄMTLANDS LÄN</t>
        </is>
      </c>
      <c r="E133" t="inlineStr">
        <is>
          <t>ÖSTERSUND</t>
        </is>
      </c>
      <c r="G133" t="n">
        <v>4.4</v>
      </c>
      <c r="H133" t="n">
        <v>2</v>
      </c>
      <c r="I133" t="n">
        <v>0</v>
      </c>
      <c r="J133" t="n">
        <v>1</v>
      </c>
      <c r="K133" t="n">
        <v>1</v>
      </c>
      <c r="L133" t="n">
        <v>0</v>
      </c>
      <c r="M133" t="n">
        <v>0</v>
      </c>
      <c r="N133" t="n">
        <v>0</v>
      </c>
      <c r="O133" t="n">
        <v>2</v>
      </c>
      <c r="P133" t="n">
        <v>1</v>
      </c>
      <c r="Q133" t="n">
        <v>2</v>
      </c>
      <c r="R133" s="2" t="inlineStr">
        <is>
          <t>Tallbit
Tretåig hackspett</t>
        </is>
      </c>
      <c r="S133">
        <f>HYPERLINK("https://klasma.github.io/Logging_2380/artfynd/A 46105-2021 artfynd.xlsx", "A 46105-2021")</f>
        <v/>
      </c>
      <c r="T133">
        <f>HYPERLINK("https://klasma.github.io/Logging_2380/kartor/A 46105-2021 karta.png", "A 46105-2021")</f>
        <v/>
      </c>
      <c r="V133">
        <f>HYPERLINK("https://klasma.github.io/Logging_2380/klagomål/A 46105-2021 FSC-klagomål.docx", "A 46105-2021")</f>
        <v/>
      </c>
      <c r="W133">
        <f>HYPERLINK("https://klasma.github.io/Logging_2380/klagomålsmail/A 46105-2021 FSC-klagomål mail.docx", "A 46105-2021")</f>
        <v/>
      </c>
      <c r="X133">
        <f>HYPERLINK("https://klasma.github.io/Logging_2380/tillsyn/A 46105-2021 tillsynsbegäran.docx", "A 46105-2021")</f>
        <v/>
      </c>
      <c r="Y133">
        <f>HYPERLINK("https://klasma.github.io/Logging_2380/tillsynsmail/A 46105-2021 tillsynsbegäran mail.docx", "A 46105-2021")</f>
        <v/>
      </c>
      <c r="Z133">
        <f>HYPERLINK("https://klasma.github.io/Logging_2380/fåglar/A 46105-2021 prioriterade fågelarter.docx", "A 46105-2021")</f>
        <v/>
      </c>
    </row>
    <row r="134" ht="15" customHeight="1">
      <c r="A134" t="inlineStr">
        <is>
          <t>A 47385-2022</t>
        </is>
      </c>
      <c r="B134" s="1" t="n">
        <v>44853</v>
      </c>
      <c r="C134" s="1" t="n">
        <v>46092</v>
      </c>
      <c r="D134" t="inlineStr">
        <is>
          <t>JÄMTLANDS LÄN</t>
        </is>
      </c>
      <c r="E134" t="inlineStr">
        <is>
          <t>ÖSTERSUND</t>
        </is>
      </c>
      <c r="G134" t="n">
        <v>0.9</v>
      </c>
      <c r="H134" t="n">
        <v>0</v>
      </c>
      <c r="I134" t="n">
        <v>0</v>
      </c>
      <c r="J134" t="n">
        <v>2</v>
      </c>
      <c r="K134" t="n">
        <v>0</v>
      </c>
      <c r="L134" t="n">
        <v>0</v>
      </c>
      <c r="M134" t="n">
        <v>0</v>
      </c>
      <c r="N134" t="n">
        <v>0</v>
      </c>
      <c r="O134" t="n">
        <v>2</v>
      </c>
      <c r="P134" t="n">
        <v>0</v>
      </c>
      <c r="Q134" t="n">
        <v>2</v>
      </c>
      <c r="R134" s="2" t="inlineStr">
        <is>
          <t>Garnlav
Ullticka</t>
        </is>
      </c>
      <c r="S134">
        <f>HYPERLINK("https://klasma.github.io/Logging_2380/artfynd/A 47385-2022 artfynd.xlsx", "A 47385-2022")</f>
        <v/>
      </c>
      <c r="T134">
        <f>HYPERLINK("https://klasma.github.io/Logging_2380/kartor/A 47385-2022 karta.png", "A 47385-2022")</f>
        <v/>
      </c>
      <c r="U134">
        <f>HYPERLINK("https://klasma.github.io/Logging_2380/knärot/A 47385-2022 karta knärot.png", "A 47385-2022")</f>
        <v/>
      </c>
      <c r="V134">
        <f>HYPERLINK("https://klasma.github.io/Logging_2380/klagomål/A 47385-2022 FSC-klagomål.docx", "A 47385-2022")</f>
        <v/>
      </c>
      <c r="W134">
        <f>HYPERLINK("https://klasma.github.io/Logging_2380/klagomålsmail/A 47385-2022 FSC-klagomål mail.docx", "A 47385-2022")</f>
        <v/>
      </c>
      <c r="X134">
        <f>HYPERLINK("https://klasma.github.io/Logging_2380/tillsyn/A 47385-2022 tillsynsbegäran.docx", "A 47385-2022")</f>
        <v/>
      </c>
      <c r="Y134">
        <f>HYPERLINK("https://klasma.github.io/Logging_2380/tillsynsmail/A 47385-2022 tillsynsbegäran mail.docx", "A 47385-2022")</f>
        <v/>
      </c>
    </row>
    <row r="135" ht="15" customHeight="1">
      <c r="A135" t="inlineStr">
        <is>
          <t>A 52129-2023</t>
        </is>
      </c>
      <c r="B135" s="1" t="n">
        <v>45223</v>
      </c>
      <c r="C135" s="1" t="n">
        <v>46092</v>
      </c>
      <c r="D135" t="inlineStr">
        <is>
          <t>JÄMTLANDS LÄN</t>
        </is>
      </c>
      <c r="E135" t="inlineStr">
        <is>
          <t>ÖSTERSUND</t>
        </is>
      </c>
      <c r="F135" t="inlineStr">
        <is>
          <t>SCA</t>
        </is>
      </c>
      <c r="G135" t="n">
        <v>2</v>
      </c>
      <c r="H135" t="n">
        <v>0</v>
      </c>
      <c r="I135" t="n">
        <v>0</v>
      </c>
      <c r="J135" t="n">
        <v>2</v>
      </c>
      <c r="K135" t="n">
        <v>0</v>
      </c>
      <c r="L135" t="n">
        <v>0</v>
      </c>
      <c r="M135" t="n">
        <v>0</v>
      </c>
      <c r="N135" t="n">
        <v>0</v>
      </c>
      <c r="O135" t="n">
        <v>2</v>
      </c>
      <c r="P135" t="n">
        <v>0</v>
      </c>
      <c r="Q135" t="n">
        <v>2</v>
      </c>
      <c r="R135" s="2" t="inlineStr">
        <is>
          <t>Dvärgbägarlav
Kolflarnlav</t>
        </is>
      </c>
      <c r="S135">
        <f>HYPERLINK("https://klasma.github.io/Logging_2380/artfynd/A 52129-2023 artfynd.xlsx", "A 52129-2023")</f>
        <v/>
      </c>
      <c r="T135">
        <f>HYPERLINK("https://klasma.github.io/Logging_2380/kartor/A 52129-2023 karta.png", "A 52129-2023")</f>
        <v/>
      </c>
      <c r="V135">
        <f>HYPERLINK("https://klasma.github.io/Logging_2380/klagomål/A 52129-2023 FSC-klagomål.docx", "A 52129-2023")</f>
        <v/>
      </c>
      <c r="W135">
        <f>HYPERLINK("https://klasma.github.io/Logging_2380/klagomålsmail/A 52129-2023 FSC-klagomål mail.docx", "A 52129-2023")</f>
        <v/>
      </c>
      <c r="X135">
        <f>HYPERLINK("https://klasma.github.io/Logging_2380/tillsyn/A 52129-2023 tillsynsbegäran.docx", "A 52129-2023")</f>
        <v/>
      </c>
      <c r="Y135">
        <f>HYPERLINK("https://klasma.github.io/Logging_2380/tillsynsmail/A 52129-2023 tillsynsbegäran mail.docx", "A 52129-2023")</f>
        <v/>
      </c>
    </row>
    <row r="136" ht="15" customHeight="1">
      <c r="A136" t="inlineStr">
        <is>
          <t>A 4916-2023</t>
        </is>
      </c>
      <c r="B136" s="1" t="n">
        <v>44956</v>
      </c>
      <c r="C136" s="1" t="n">
        <v>46092</v>
      </c>
      <c r="D136" t="inlineStr">
        <is>
          <t>JÄMTLANDS LÄN</t>
        </is>
      </c>
      <c r="E136" t="inlineStr">
        <is>
          <t>ÖSTERSUND</t>
        </is>
      </c>
      <c r="G136" t="n">
        <v>1.2</v>
      </c>
      <c r="H136" t="n">
        <v>0</v>
      </c>
      <c r="I136" t="n">
        <v>1</v>
      </c>
      <c r="J136" t="n">
        <v>0</v>
      </c>
      <c r="K136" t="n">
        <v>0</v>
      </c>
      <c r="L136" t="n">
        <v>1</v>
      </c>
      <c r="M136" t="n">
        <v>0</v>
      </c>
      <c r="N136" t="n">
        <v>0</v>
      </c>
      <c r="O136" t="n">
        <v>1</v>
      </c>
      <c r="P136" t="n">
        <v>1</v>
      </c>
      <c r="Q136" t="n">
        <v>2</v>
      </c>
      <c r="R136" s="2" t="inlineStr">
        <is>
          <t>Trolldruvemätare
Svart trolldruva</t>
        </is>
      </c>
      <c r="S136">
        <f>HYPERLINK("https://klasma.github.io/Logging_2380/artfynd/A 4916-2023 artfynd.xlsx", "A 4916-2023")</f>
        <v/>
      </c>
      <c r="T136">
        <f>HYPERLINK("https://klasma.github.io/Logging_2380/kartor/A 4916-2023 karta.png", "A 4916-2023")</f>
        <v/>
      </c>
      <c r="V136">
        <f>HYPERLINK("https://klasma.github.io/Logging_2380/klagomål/A 4916-2023 FSC-klagomål.docx", "A 4916-2023")</f>
        <v/>
      </c>
      <c r="W136">
        <f>HYPERLINK("https://klasma.github.io/Logging_2380/klagomålsmail/A 4916-2023 FSC-klagomål mail.docx", "A 4916-2023")</f>
        <v/>
      </c>
      <c r="X136">
        <f>HYPERLINK("https://klasma.github.io/Logging_2380/tillsyn/A 4916-2023 tillsynsbegäran.docx", "A 4916-2023")</f>
        <v/>
      </c>
      <c r="Y136">
        <f>HYPERLINK("https://klasma.github.io/Logging_2380/tillsynsmail/A 4916-2023 tillsynsbegäran mail.docx", "A 4916-2023")</f>
        <v/>
      </c>
    </row>
    <row r="137" ht="15" customHeight="1">
      <c r="A137" t="inlineStr">
        <is>
          <t>A 21615-2024</t>
        </is>
      </c>
      <c r="B137" s="1" t="n">
        <v>45441.95357638889</v>
      </c>
      <c r="C137" s="1" t="n">
        <v>46092</v>
      </c>
      <c r="D137" t="inlineStr">
        <is>
          <t>JÄMTLANDS LÄN</t>
        </is>
      </c>
      <c r="E137" t="inlineStr">
        <is>
          <t>ÖSTERSUND</t>
        </is>
      </c>
      <c r="F137" t="inlineStr">
        <is>
          <t>SCA</t>
        </is>
      </c>
      <c r="G137" t="n">
        <v>4.9</v>
      </c>
      <c r="H137" t="n">
        <v>2</v>
      </c>
      <c r="I137" t="n">
        <v>0</v>
      </c>
      <c r="J137" t="n">
        <v>0</v>
      </c>
      <c r="K137" t="n">
        <v>1</v>
      </c>
      <c r="L137" t="n">
        <v>0</v>
      </c>
      <c r="M137" t="n">
        <v>0</v>
      </c>
      <c r="N137" t="n">
        <v>0</v>
      </c>
      <c r="O137" t="n">
        <v>1</v>
      </c>
      <c r="P137" t="n">
        <v>1</v>
      </c>
      <c r="Q137" t="n">
        <v>2</v>
      </c>
      <c r="R137" s="2" t="inlineStr">
        <is>
          <t>Lappuggla
Blåsippa</t>
        </is>
      </c>
      <c r="S137">
        <f>HYPERLINK("https://klasma.github.io/Logging_2380/artfynd/A 21615-2024 artfynd.xlsx", "A 21615-2024")</f>
        <v/>
      </c>
      <c r="T137">
        <f>HYPERLINK("https://klasma.github.io/Logging_2380/kartor/A 21615-2024 karta.png", "A 21615-2024")</f>
        <v/>
      </c>
      <c r="V137">
        <f>HYPERLINK("https://klasma.github.io/Logging_2380/klagomål/A 21615-2024 FSC-klagomål.docx", "A 21615-2024")</f>
        <v/>
      </c>
      <c r="W137">
        <f>HYPERLINK("https://klasma.github.io/Logging_2380/klagomålsmail/A 21615-2024 FSC-klagomål mail.docx", "A 21615-2024")</f>
        <v/>
      </c>
      <c r="X137">
        <f>HYPERLINK("https://klasma.github.io/Logging_2380/tillsyn/A 21615-2024 tillsynsbegäran.docx", "A 21615-2024")</f>
        <v/>
      </c>
      <c r="Y137">
        <f>HYPERLINK("https://klasma.github.io/Logging_2380/tillsynsmail/A 21615-2024 tillsynsbegäran mail.docx", "A 21615-2024")</f>
        <v/>
      </c>
      <c r="Z137">
        <f>HYPERLINK("https://klasma.github.io/Logging_2380/fåglar/A 21615-2024 prioriterade fågelarter.docx", "A 21615-2024")</f>
        <v/>
      </c>
    </row>
    <row r="138" ht="15" customHeight="1">
      <c r="A138" t="inlineStr">
        <is>
          <t>A 39968-2024</t>
        </is>
      </c>
      <c r="B138" s="1" t="n">
        <v>45553.59296296296</v>
      </c>
      <c r="C138" s="1" t="n">
        <v>46092</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56006-2023</t>
        </is>
      </c>
      <c r="B139" s="1" t="n">
        <v>45233</v>
      </c>
      <c r="C139" s="1" t="n">
        <v>46092</v>
      </c>
      <c r="D139" t="inlineStr">
        <is>
          <t>JÄMTLANDS LÄN</t>
        </is>
      </c>
      <c r="E139" t="inlineStr">
        <is>
          <t>ÖSTERSUND</t>
        </is>
      </c>
      <c r="G139" t="n">
        <v>2.3</v>
      </c>
      <c r="H139" t="n">
        <v>0</v>
      </c>
      <c r="I139" t="n">
        <v>2</v>
      </c>
      <c r="J139" t="n">
        <v>0</v>
      </c>
      <c r="K139" t="n">
        <v>0</v>
      </c>
      <c r="L139" t="n">
        <v>0</v>
      </c>
      <c r="M139" t="n">
        <v>0</v>
      </c>
      <c r="N139" t="n">
        <v>0</v>
      </c>
      <c r="O139" t="n">
        <v>0</v>
      </c>
      <c r="P139" t="n">
        <v>0</v>
      </c>
      <c r="Q139" t="n">
        <v>2</v>
      </c>
      <c r="R139" s="2" t="inlineStr">
        <is>
          <t>Korallblylav
Skinnlav</t>
        </is>
      </c>
      <c r="S139">
        <f>HYPERLINK("https://klasma.github.io/Logging_2380/artfynd/A 56006-2023 artfynd.xlsx", "A 56006-2023")</f>
        <v/>
      </c>
      <c r="T139">
        <f>HYPERLINK("https://klasma.github.io/Logging_2380/kartor/A 56006-2023 karta.png", "A 56006-2023")</f>
        <v/>
      </c>
      <c r="V139">
        <f>HYPERLINK("https://klasma.github.io/Logging_2380/klagomål/A 56006-2023 FSC-klagomål.docx", "A 56006-2023")</f>
        <v/>
      </c>
      <c r="W139">
        <f>HYPERLINK("https://klasma.github.io/Logging_2380/klagomålsmail/A 56006-2023 FSC-klagomål mail.docx", "A 56006-2023")</f>
        <v/>
      </c>
      <c r="X139">
        <f>HYPERLINK("https://klasma.github.io/Logging_2380/tillsyn/A 56006-2023 tillsynsbegäran.docx", "A 56006-2023")</f>
        <v/>
      </c>
      <c r="Y139">
        <f>HYPERLINK("https://klasma.github.io/Logging_2380/tillsynsmail/A 56006-2023 tillsynsbegäran mail.docx", "A 56006-2023")</f>
        <v/>
      </c>
    </row>
    <row r="140" ht="15" customHeight="1">
      <c r="A140" t="inlineStr">
        <is>
          <t>A 13795-2025</t>
        </is>
      </c>
      <c r="B140" s="1" t="n">
        <v>45737</v>
      </c>
      <c r="C140" s="1" t="n">
        <v>46092</v>
      </c>
      <c r="D140" t="inlineStr">
        <is>
          <t>JÄMTLANDS LÄN</t>
        </is>
      </c>
      <c r="E140" t="inlineStr">
        <is>
          <t>ÖSTERSUND</t>
        </is>
      </c>
      <c r="G140" t="n">
        <v>13.4</v>
      </c>
      <c r="H140" t="n">
        <v>1</v>
      </c>
      <c r="I140" t="n">
        <v>0</v>
      </c>
      <c r="J140" t="n">
        <v>1</v>
      </c>
      <c r="K140" t="n">
        <v>1</v>
      </c>
      <c r="L140" t="n">
        <v>0</v>
      </c>
      <c r="M140" t="n">
        <v>0</v>
      </c>
      <c r="N140" t="n">
        <v>0</v>
      </c>
      <c r="O140" t="n">
        <v>2</v>
      </c>
      <c r="P140" t="n">
        <v>1</v>
      </c>
      <c r="Q140" t="n">
        <v>2</v>
      </c>
      <c r="R140" s="2" t="inlineStr">
        <is>
          <t>Knärot
Lunglav</t>
        </is>
      </c>
      <c r="S140">
        <f>HYPERLINK("https://klasma.github.io/Logging_2380/artfynd/A 13795-2025 artfynd.xlsx", "A 13795-2025")</f>
        <v/>
      </c>
      <c r="T140">
        <f>HYPERLINK("https://klasma.github.io/Logging_2380/kartor/A 13795-2025 karta.png", "A 13795-2025")</f>
        <v/>
      </c>
      <c r="U140">
        <f>HYPERLINK("https://klasma.github.io/Logging_2380/knärot/A 13795-2025 karta knärot.png", "A 13795-2025")</f>
        <v/>
      </c>
      <c r="V140">
        <f>HYPERLINK("https://klasma.github.io/Logging_2380/klagomål/A 13795-2025 FSC-klagomål.docx", "A 13795-2025")</f>
        <v/>
      </c>
      <c r="W140">
        <f>HYPERLINK("https://klasma.github.io/Logging_2380/klagomålsmail/A 13795-2025 FSC-klagomål mail.docx", "A 13795-2025")</f>
        <v/>
      </c>
      <c r="X140">
        <f>HYPERLINK("https://klasma.github.io/Logging_2380/tillsyn/A 13795-2025 tillsynsbegäran.docx", "A 13795-2025")</f>
        <v/>
      </c>
      <c r="Y140">
        <f>HYPERLINK("https://klasma.github.io/Logging_2380/tillsynsmail/A 13795-2025 tillsynsbegäran mail.docx", "A 13795-2025")</f>
        <v/>
      </c>
    </row>
    <row r="141" ht="15" customHeight="1">
      <c r="A141" t="inlineStr">
        <is>
          <t>A 33137-2021</t>
        </is>
      </c>
      <c r="B141" s="1" t="n">
        <v>44376</v>
      </c>
      <c r="C141" s="1" t="n">
        <v>46092</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46092</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46092</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46092</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27578-2022</t>
        </is>
      </c>
      <c r="B145" s="1" t="n">
        <v>44742</v>
      </c>
      <c r="C145" s="1" t="n">
        <v>46092</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58274-2025</t>
        </is>
      </c>
      <c r="B146" s="1" t="n">
        <v>45985.43086805556</v>
      </c>
      <c r="C146" s="1" t="n">
        <v>46092</v>
      </c>
      <c r="D146" t="inlineStr">
        <is>
          <t>JÄMTLANDS LÄN</t>
        </is>
      </c>
      <c r="E146" t="inlineStr">
        <is>
          <t>ÖSTERSUND</t>
        </is>
      </c>
      <c r="F146" t="inlineStr">
        <is>
          <t>Övriga Aktiebolag</t>
        </is>
      </c>
      <c r="G146" t="n">
        <v>18.7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58274-2025 artfynd.xlsx", "A 58274-2025")</f>
        <v/>
      </c>
      <c r="T146">
        <f>HYPERLINK("https://klasma.github.io/Logging_2380/kartor/A 58274-2025 karta.png", "A 58274-2025")</f>
        <v/>
      </c>
      <c r="V146">
        <f>HYPERLINK("https://klasma.github.io/Logging_2380/klagomål/A 58274-2025 FSC-klagomål.docx", "A 58274-2025")</f>
        <v/>
      </c>
      <c r="W146">
        <f>HYPERLINK("https://klasma.github.io/Logging_2380/klagomålsmail/A 58274-2025 FSC-klagomål mail.docx", "A 58274-2025")</f>
        <v/>
      </c>
      <c r="X146">
        <f>HYPERLINK("https://klasma.github.io/Logging_2380/tillsyn/A 58274-2025 tillsynsbegäran.docx", "A 58274-2025")</f>
        <v/>
      </c>
      <c r="Y146">
        <f>HYPERLINK("https://klasma.github.io/Logging_2380/tillsynsmail/A 58274-2025 tillsynsbegäran mail.docx", "A 58274-2025")</f>
        <v/>
      </c>
      <c r="Z146">
        <f>HYPERLINK("https://klasma.github.io/Logging_2380/fåglar/A 58274-2025 prioriterade fågelarter.docx", "A 58274-2025")</f>
        <v/>
      </c>
    </row>
    <row r="147" ht="15" customHeight="1">
      <c r="A147" t="inlineStr">
        <is>
          <t>A 59108-2024</t>
        </is>
      </c>
      <c r="B147" s="1" t="n">
        <v>45637.34469907408</v>
      </c>
      <c r="C147" s="1" t="n">
        <v>46092</v>
      </c>
      <c r="D147" t="inlineStr">
        <is>
          <t>JÄMTLANDS LÄN</t>
        </is>
      </c>
      <c r="E147" t="inlineStr">
        <is>
          <t>ÖSTERSUND</t>
        </is>
      </c>
      <c r="F147" t="inlineStr">
        <is>
          <t>SCA</t>
        </is>
      </c>
      <c r="G147" t="n">
        <v>10.6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59108-2024 artfynd.xlsx", "A 59108-2024")</f>
        <v/>
      </c>
      <c r="T147">
        <f>HYPERLINK("https://klasma.github.io/Logging_2380/kartor/A 59108-2024 karta.png", "A 59108-2024")</f>
        <v/>
      </c>
      <c r="V147">
        <f>HYPERLINK("https://klasma.github.io/Logging_2380/klagomål/A 59108-2024 FSC-klagomål.docx", "A 59108-2024")</f>
        <v/>
      </c>
      <c r="W147">
        <f>HYPERLINK("https://klasma.github.io/Logging_2380/klagomålsmail/A 59108-2024 FSC-klagomål mail.docx", "A 59108-2024")</f>
        <v/>
      </c>
      <c r="X147">
        <f>HYPERLINK("https://klasma.github.io/Logging_2380/tillsyn/A 59108-2024 tillsynsbegäran.docx", "A 59108-2024")</f>
        <v/>
      </c>
      <c r="Y147">
        <f>HYPERLINK("https://klasma.github.io/Logging_2380/tillsynsmail/A 59108-2024 tillsynsbegäran mail.docx", "A 59108-2024")</f>
        <v/>
      </c>
      <c r="Z147">
        <f>HYPERLINK("https://klasma.github.io/Logging_2380/fåglar/A 59108-2024 prioriterade fågelarter.docx", "A 59108-2024")</f>
        <v/>
      </c>
    </row>
    <row r="148" ht="15" customHeight="1">
      <c r="A148" t="inlineStr">
        <is>
          <t>A 64380-2023</t>
        </is>
      </c>
      <c r="B148" s="1" t="n">
        <v>45280.56451388889</v>
      </c>
      <c r="C148" s="1" t="n">
        <v>46092</v>
      </c>
      <c r="D148" t="inlineStr">
        <is>
          <t>JÄMTLANDS LÄN</t>
        </is>
      </c>
      <c r="E148" t="inlineStr">
        <is>
          <t>ÖSTERSUND</t>
        </is>
      </c>
      <c r="G148" t="n">
        <v>12.4</v>
      </c>
      <c r="H148" t="n">
        <v>0</v>
      </c>
      <c r="I148" t="n">
        <v>0</v>
      </c>
      <c r="J148" t="n">
        <v>1</v>
      </c>
      <c r="K148" t="n">
        <v>0</v>
      </c>
      <c r="L148" t="n">
        <v>0</v>
      </c>
      <c r="M148" t="n">
        <v>0</v>
      </c>
      <c r="N148" t="n">
        <v>0</v>
      </c>
      <c r="O148" t="n">
        <v>1</v>
      </c>
      <c r="P148" t="n">
        <v>0</v>
      </c>
      <c r="Q148" t="n">
        <v>1</v>
      </c>
      <c r="R148" s="2" t="inlineStr">
        <is>
          <t>Luddfingersvamp</t>
        </is>
      </c>
      <c r="S148">
        <f>HYPERLINK("https://klasma.github.io/Logging_2380/artfynd/A 64380-2023 artfynd.xlsx", "A 64380-2023")</f>
        <v/>
      </c>
      <c r="T148">
        <f>HYPERLINK("https://klasma.github.io/Logging_2380/kartor/A 64380-2023 karta.png", "A 64380-2023")</f>
        <v/>
      </c>
      <c r="V148">
        <f>HYPERLINK("https://klasma.github.io/Logging_2380/klagomål/A 64380-2023 FSC-klagomål.docx", "A 64380-2023")</f>
        <v/>
      </c>
      <c r="W148">
        <f>HYPERLINK("https://klasma.github.io/Logging_2380/klagomålsmail/A 64380-2023 FSC-klagomål mail.docx", "A 64380-2023")</f>
        <v/>
      </c>
      <c r="X148">
        <f>HYPERLINK("https://klasma.github.io/Logging_2380/tillsyn/A 64380-2023 tillsynsbegäran.docx", "A 64380-2023")</f>
        <v/>
      </c>
      <c r="Y148">
        <f>HYPERLINK("https://klasma.github.io/Logging_2380/tillsynsmail/A 64380-2023 tillsynsbegäran mail.docx", "A 64380-2023")</f>
        <v/>
      </c>
    </row>
    <row r="149" ht="15" customHeight="1">
      <c r="A149" t="inlineStr">
        <is>
          <t>A 60966-2025</t>
        </is>
      </c>
      <c r="B149" s="1" t="n">
        <v>45999.67758101852</v>
      </c>
      <c r="C149" s="1" t="n">
        <v>46092</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60966-2025 artfynd.xlsx", "A 60966-2025")</f>
        <v/>
      </c>
      <c r="T149">
        <f>HYPERLINK("https://klasma.github.io/Logging_2380/kartor/A 60966-2025 karta.png", "A 60966-2025")</f>
        <v/>
      </c>
      <c r="V149">
        <f>HYPERLINK("https://klasma.github.io/Logging_2380/klagomål/A 60966-2025 FSC-klagomål.docx", "A 60966-2025")</f>
        <v/>
      </c>
      <c r="W149">
        <f>HYPERLINK("https://klasma.github.io/Logging_2380/klagomålsmail/A 60966-2025 FSC-klagomål mail.docx", "A 60966-2025")</f>
        <v/>
      </c>
      <c r="X149">
        <f>HYPERLINK("https://klasma.github.io/Logging_2380/tillsyn/A 60966-2025 tillsynsbegäran.docx", "A 60966-2025")</f>
        <v/>
      </c>
      <c r="Y149">
        <f>HYPERLINK("https://klasma.github.io/Logging_2380/tillsynsmail/A 60966-2025 tillsynsbegäran mail.docx", "A 60966-2025")</f>
        <v/>
      </c>
    </row>
    <row r="150" ht="15" customHeight="1">
      <c r="A150" t="inlineStr">
        <is>
          <t>A 40781-2025</t>
        </is>
      </c>
      <c r="B150" s="1" t="n">
        <v>45897</v>
      </c>
      <c r="C150" s="1" t="n">
        <v>46092</v>
      </c>
      <c r="D150" t="inlineStr">
        <is>
          <t>JÄMTLANDS LÄN</t>
        </is>
      </c>
      <c r="E150" t="inlineStr">
        <is>
          <t>ÖSTERSUND</t>
        </is>
      </c>
      <c r="F150" t="inlineStr">
        <is>
          <t>Övriga Aktiebolag</t>
        </is>
      </c>
      <c r="G150" t="n">
        <v>2.2</v>
      </c>
      <c r="H150" t="n">
        <v>1</v>
      </c>
      <c r="I150" t="n">
        <v>0</v>
      </c>
      <c r="J150" t="n">
        <v>0</v>
      </c>
      <c r="K150" t="n">
        <v>0</v>
      </c>
      <c r="L150" t="n">
        <v>0</v>
      </c>
      <c r="M150" t="n">
        <v>0</v>
      </c>
      <c r="N150" t="n">
        <v>0</v>
      </c>
      <c r="O150" t="n">
        <v>0</v>
      </c>
      <c r="P150" t="n">
        <v>0</v>
      </c>
      <c r="Q150" t="n">
        <v>1</v>
      </c>
      <c r="R150" s="2" t="inlineStr">
        <is>
          <t>Blåsippa</t>
        </is>
      </c>
      <c r="S150">
        <f>HYPERLINK("https://klasma.github.io/Logging_2380/artfynd/A 40781-2025 artfynd.xlsx", "A 40781-2025")</f>
        <v/>
      </c>
      <c r="T150">
        <f>HYPERLINK("https://klasma.github.io/Logging_2380/kartor/A 40781-2025 karta.png", "A 40781-2025")</f>
        <v/>
      </c>
      <c r="V150">
        <f>HYPERLINK("https://klasma.github.io/Logging_2380/klagomål/A 40781-2025 FSC-klagomål.docx", "A 40781-2025")</f>
        <v/>
      </c>
      <c r="W150">
        <f>HYPERLINK("https://klasma.github.io/Logging_2380/klagomålsmail/A 40781-2025 FSC-klagomål mail.docx", "A 40781-2025")</f>
        <v/>
      </c>
      <c r="X150">
        <f>HYPERLINK("https://klasma.github.io/Logging_2380/tillsyn/A 40781-2025 tillsynsbegäran.docx", "A 40781-2025")</f>
        <v/>
      </c>
      <c r="Y150">
        <f>HYPERLINK("https://klasma.github.io/Logging_2380/tillsynsmail/A 40781-2025 tillsynsbegäran mail.docx", "A 40781-2025")</f>
        <v/>
      </c>
    </row>
    <row r="151" ht="15" customHeight="1">
      <c r="A151" t="inlineStr">
        <is>
          <t>A 40694-2024</t>
        </is>
      </c>
      <c r="B151" s="1" t="n">
        <v>45558</v>
      </c>
      <c r="C151" s="1" t="n">
        <v>46092</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55821-2021</t>
        </is>
      </c>
      <c r="B152" s="1" t="n">
        <v>44476</v>
      </c>
      <c r="C152" s="1" t="n">
        <v>46092</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17217-2021</t>
        </is>
      </c>
      <c r="B153" s="1" t="n">
        <v>44298</v>
      </c>
      <c r="C153" s="1" t="n">
        <v>46092</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43188-2025</t>
        </is>
      </c>
      <c r="B154" s="1" t="n">
        <v>45910.41201388889</v>
      </c>
      <c r="C154" s="1" t="n">
        <v>46092</v>
      </c>
      <c r="D154" t="inlineStr">
        <is>
          <t>JÄMTLANDS LÄN</t>
        </is>
      </c>
      <c r="E154" t="inlineStr">
        <is>
          <t>ÖSTERSUND</t>
        </is>
      </c>
      <c r="G154" t="n">
        <v>8.6</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43188-2025 artfynd.xlsx", "A 43188-2025")</f>
        <v/>
      </c>
      <c r="T154">
        <f>HYPERLINK("https://klasma.github.io/Logging_2380/kartor/A 43188-2025 karta.png", "A 43188-2025")</f>
        <v/>
      </c>
      <c r="V154">
        <f>HYPERLINK("https://klasma.github.io/Logging_2380/klagomål/A 43188-2025 FSC-klagomål.docx", "A 43188-2025")</f>
        <v/>
      </c>
      <c r="W154">
        <f>HYPERLINK("https://klasma.github.io/Logging_2380/klagomålsmail/A 43188-2025 FSC-klagomål mail.docx", "A 43188-2025")</f>
        <v/>
      </c>
      <c r="X154">
        <f>HYPERLINK("https://klasma.github.io/Logging_2380/tillsyn/A 43188-2025 tillsynsbegäran.docx", "A 43188-2025")</f>
        <v/>
      </c>
      <c r="Y154">
        <f>HYPERLINK("https://klasma.github.io/Logging_2380/tillsynsmail/A 43188-2025 tillsynsbegäran mail.docx", "A 43188-2025")</f>
        <v/>
      </c>
      <c r="Z154">
        <f>HYPERLINK("https://klasma.github.io/Logging_2380/fåglar/A 43188-2025 prioriterade fågelarter.docx", "A 43188-2025")</f>
        <v/>
      </c>
    </row>
    <row r="155" ht="15" customHeight="1">
      <c r="A155" t="inlineStr">
        <is>
          <t>A 62835-2025</t>
        </is>
      </c>
      <c r="B155" s="1" t="n">
        <v>46008.67969907408</v>
      </c>
      <c r="C155" s="1" t="n">
        <v>46092</v>
      </c>
      <c r="D155" t="inlineStr">
        <is>
          <t>JÄMTLANDS LÄN</t>
        </is>
      </c>
      <c r="E155" t="inlineStr">
        <is>
          <t>ÖSTERSUND</t>
        </is>
      </c>
      <c r="G155" t="n">
        <v>2.2</v>
      </c>
      <c r="H155" t="n">
        <v>0</v>
      </c>
      <c r="I155" t="n">
        <v>0</v>
      </c>
      <c r="J155" t="n">
        <v>1</v>
      </c>
      <c r="K155" t="n">
        <v>0</v>
      </c>
      <c r="L155" t="n">
        <v>0</v>
      </c>
      <c r="M155" t="n">
        <v>0</v>
      </c>
      <c r="N155" t="n">
        <v>0</v>
      </c>
      <c r="O155" t="n">
        <v>1</v>
      </c>
      <c r="P155" t="n">
        <v>0</v>
      </c>
      <c r="Q155" t="n">
        <v>1</v>
      </c>
      <c r="R155" s="2" t="inlineStr">
        <is>
          <t>Åkerkål</t>
        </is>
      </c>
      <c r="S155">
        <f>HYPERLINK("https://klasma.github.io/Logging_2380/artfynd/A 62835-2025 artfynd.xlsx", "A 62835-2025")</f>
        <v/>
      </c>
      <c r="T155">
        <f>HYPERLINK("https://klasma.github.io/Logging_2380/kartor/A 62835-2025 karta.png", "A 62835-2025")</f>
        <v/>
      </c>
      <c r="V155">
        <f>HYPERLINK("https://klasma.github.io/Logging_2380/klagomål/A 62835-2025 FSC-klagomål.docx", "A 62835-2025")</f>
        <v/>
      </c>
      <c r="W155">
        <f>HYPERLINK("https://klasma.github.io/Logging_2380/klagomålsmail/A 62835-2025 FSC-klagomål mail.docx", "A 62835-2025")</f>
        <v/>
      </c>
      <c r="X155">
        <f>HYPERLINK("https://klasma.github.io/Logging_2380/tillsyn/A 62835-2025 tillsynsbegäran.docx", "A 62835-2025")</f>
        <v/>
      </c>
      <c r="Y155">
        <f>HYPERLINK("https://klasma.github.io/Logging_2380/tillsynsmail/A 62835-2025 tillsynsbegäran mail.docx", "A 62835-2025")</f>
        <v/>
      </c>
    </row>
    <row r="156" ht="15" customHeight="1">
      <c r="A156" t="inlineStr">
        <is>
          <t>A 5729-2026</t>
        </is>
      </c>
      <c r="B156" s="1" t="n">
        <v>46051.57149305556</v>
      </c>
      <c r="C156" s="1" t="n">
        <v>46092</v>
      </c>
      <c r="D156" t="inlineStr">
        <is>
          <t>JÄMTLANDS LÄN</t>
        </is>
      </c>
      <c r="E156" t="inlineStr">
        <is>
          <t>ÖSTERSUND</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HYPERLINK("https://klasma.github.io/Logging_2380/artfynd/A 5729-2026 artfynd.xlsx", "A 5729-2026")</f>
        <v/>
      </c>
      <c r="T156">
        <f>HYPERLINK("https://klasma.github.io/Logging_2380/kartor/A 5729-2026 karta.png", "A 5729-2026")</f>
        <v/>
      </c>
      <c r="V156">
        <f>HYPERLINK("https://klasma.github.io/Logging_2380/klagomål/A 5729-2026 FSC-klagomål.docx", "A 5729-2026")</f>
        <v/>
      </c>
      <c r="W156">
        <f>HYPERLINK("https://klasma.github.io/Logging_2380/klagomålsmail/A 5729-2026 FSC-klagomål mail.docx", "A 5729-2026")</f>
        <v/>
      </c>
      <c r="X156">
        <f>HYPERLINK("https://klasma.github.io/Logging_2380/tillsyn/A 5729-2026 tillsynsbegäran.docx", "A 5729-2026")</f>
        <v/>
      </c>
      <c r="Y156">
        <f>HYPERLINK("https://klasma.github.io/Logging_2380/tillsynsmail/A 5729-2026 tillsynsbegäran mail.docx", "A 5729-2026")</f>
        <v/>
      </c>
    </row>
    <row r="157" ht="15" customHeight="1">
      <c r="A157" t="inlineStr">
        <is>
          <t>A 31883-2024</t>
        </is>
      </c>
      <c r="B157" s="1" t="n">
        <v>45509.9572800926</v>
      </c>
      <c r="C157" s="1" t="n">
        <v>46092</v>
      </c>
      <c r="D157" t="inlineStr">
        <is>
          <t>JÄMTLANDS LÄN</t>
        </is>
      </c>
      <c r="E157" t="inlineStr">
        <is>
          <t>ÖSTERSUND</t>
        </is>
      </c>
      <c r="F157" t="inlineStr">
        <is>
          <t>SCA</t>
        </is>
      </c>
      <c r="G157" t="n">
        <v>3.3</v>
      </c>
      <c r="H157" t="n">
        <v>1</v>
      </c>
      <c r="I157" t="n">
        <v>0</v>
      </c>
      <c r="J157" t="n">
        <v>0</v>
      </c>
      <c r="K157" t="n">
        <v>1</v>
      </c>
      <c r="L157" t="n">
        <v>0</v>
      </c>
      <c r="M157" t="n">
        <v>0</v>
      </c>
      <c r="N157" t="n">
        <v>0</v>
      </c>
      <c r="O157" t="n">
        <v>1</v>
      </c>
      <c r="P157" t="n">
        <v>1</v>
      </c>
      <c r="Q157" t="n">
        <v>1</v>
      </c>
      <c r="R157" s="2" t="inlineStr">
        <is>
          <t>Doftticka</t>
        </is>
      </c>
      <c r="S157">
        <f>HYPERLINK("https://klasma.github.io/Logging_2380/artfynd/A 31883-2024 artfynd.xlsx", "A 31883-2024")</f>
        <v/>
      </c>
      <c r="T157">
        <f>HYPERLINK("https://klasma.github.io/Logging_2380/kartor/A 31883-2024 karta.png", "A 31883-2024")</f>
        <v/>
      </c>
      <c r="V157">
        <f>HYPERLINK("https://klasma.github.io/Logging_2380/klagomål/A 31883-2024 FSC-klagomål.docx", "A 31883-2024")</f>
        <v/>
      </c>
      <c r="W157">
        <f>HYPERLINK("https://klasma.github.io/Logging_2380/klagomålsmail/A 31883-2024 FSC-klagomål mail.docx", "A 31883-2024")</f>
        <v/>
      </c>
      <c r="X157">
        <f>HYPERLINK("https://klasma.github.io/Logging_2380/tillsyn/A 31883-2024 tillsynsbegäran.docx", "A 31883-2024")</f>
        <v/>
      </c>
      <c r="Y157">
        <f>HYPERLINK("https://klasma.github.io/Logging_2380/tillsynsmail/A 31883-2024 tillsynsbegäran mail.docx", "A 31883-2024")</f>
        <v/>
      </c>
    </row>
    <row r="158" ht="15" customHeight="1">
      <c r="A158" t="inlineStr">
        <is>
          <t>A 47580-2025</t>
        </is>
      </c>
      <c r="B158" s="1" t="n">
        <v>45931.40935185185</v>
      </c>
      <c r="C158" s="1" t="n">
        <v>46092</v>
      </c>
      <c r="D158" t="inlineStr">
        <is>
          <t>JÄMTLANDS LÄN</t>
        </is>
      </c>
      <c r="E158" t="inlineStr">
        <is>
          <t>ÖSTERSUND</t>
        </is>
      </c>
      <c r="G158" t="n">
        <v>4.1</v>
      </c>
      <c r="H158" t="n">
        <v>1</v>
      </c>
      <c r="I158" t="n">
        <v>0</v>
      </c>
      <c r="J158" t="n">
        <v>0</v>
      </c>
      <c r="K158" t="n">
        <v>0</v>
      </c>
      <c r="L158" t="n">
        <v>0</v>
      </c>
      <c r="M158" t="n">
        <v>0</v>
      </c>
      <c r="N158" t="n">
        <v>0</v>
      </c>
      <c r="O158" t="n">
        <v>0</v>
      </c>
      <c r="P158" t="n">
        <v>0</v>
      </c>
      <c r="Q158" t="n">
        <v>1</v>
      </c>
      <c r="R158" s="2" t="inlineStr">
        <is>
          <t>Revlummer</t>
        </is>
      </c>
      <c r="S158">
        <f>HYPERLINK("https://klasma.github.io/Logging_2380/artfynd/A 47580-2025 artfynd.xlsx", "A 47580-2025")</f>
        <v/>
      </c>
      <c r="T158">
        <f>HYPERLINK("https://klasma.github.io/Logging_2380/kartor/A 47580-2025 karta.png", "A 47580-2025")</f>
        <v/>
      </c>
      <c r="V158">
        <f>HYPERLINK("https://klasma.github.io/Logging_2380/klagomål/A 47580-2025 FSC-klagomål.docx", "A 47580-2025")</f>
        <v/>
      </c>
      <c r="W158">
        <f>HYPERLINK("https://klasma.github.io/Logging_2380/klagomålsmail/A 47580-2025 FSC-klagomål mail.docx", "A 47580-2025")</f>
        <v/>
      </c>
      <c r="X158">
        <f>HYPERLINK("https://klasma.github.io/Logging_2380/tillsyn/A 47580-2025 tillsynsbegäran.docx", "A 47580-2025")</f>
        <v/>
      </c>
      <c r="Y158">
        <f>HYPERLINK("https://klasma.github.io/Logging_2380/tillsynsmail/A 47580-2025 tillsynsbegäran mail.docx", "A 47580-2025")</f>
        <v/>
      </c>
    </row>
    <row r="159" ht="15" customHeight="1">
      <c r="A159" t="inlineStr">
        <is>
          <t>A 26605-2025</t>
        </is>
      </c>
      <c r="B159" s="1" t="n">
        <v>45809.86790509259</v>
      </c>
      <c r="C159" s="1" t="n">
        <v>46092</v>
      </c>
      <c r="D159" t="inlineStr">
        <is>
          <t>JÄMTLANDS LÄN</t>
        </is>
      </c>
      <c r="E159" t="inlineStr">
        <is>
          <t>ÖSTERSUND</t>
        </is>
      </c>
      <c r="G159" t="n">
        <v>1.3</v>
      </c>
      <c r="H159" t="n">
        <v>0</v>
      </c>
      <c r="I159" t="n">
        <v>0</v>
      </c>
      <c r="J159" t="n">
        <v>1</v>
      </c>
      <c r="K159" t="n">
        <v>0</v>
      </c>
      <c r="L159" t="n">
        <v>0</v>
      </c>
      <c r="M159" t="n">
        <v>0</v>
      </c>
      <c r="N159" t="n">
        <v>0</v>
      </c>
      <c r="O159" t="n">
        <v>1</v>
      </c>
      <c r="P159" t="n">
        <v>0</v>
      </c>
      <c r="Q159" t="n">
        <v>1</v>
      </c>
      <c r="R159" s="2" t="inlineStr">
        <is>
          <t>Garnlav</t>
        </is>
      </c>
      <c r="S159">
        <f>HYPERLINK("https://klasma.github.io/Logging_2380/artfynd/A 26605-2025 artfynd.xlsx", "A 26605-2025")</f>
        <v/>
      </c>
      <c r="T159">
        <f>HYPERLINK("https://klasma.github.io/Logging_2380/kartor/A 26605-2025 karta.png", "A 26605-2025")</f>
        <v/>
      </c>
      <c r="V159">
        <f>HYPERLINK("https://klasma.github.io/Logging_2380/klagomål/A 26605-2025 FSC-klagomål.docx", "A 26605-2025")</f>
        <v/>
      </c>
      <c r="W159">
        <f>HYPERLINK("https://klasma.github.io/Logging_2380/klagomålsmail/A 26605-2025 FSC-klagomål mail.docx", "A 26605-2025")</f>
        <v/>
      </c>
      <c r="X159">
        <f>HYPERLINK("https://klasma.github.io/Logging_2380/tillsyn/A 26605-2025 tillsynsbegäran.docx", "A 26605-2025")</f>
        <v/>
      </c>
      <c r="Y159">
        <f>HYPERLINK("https://klasma.github.io/Logging_2380/tillsynsmail/A 26605-2025 tillsynsbegäran mail.docx", "A 26605-2025")</f>
        <v/>
      </c>
    </row>
    <row r="160" ht="15" customHeight="1">
      <c r="A160" t="inlineStr">
        <is>
          <t>A 9739-2022</t>
        </is>
      </c>
      <c r="B160" s="1" t="n">
        <v>44617</v>
      </c>
      <c r="C160" s="1" t="n">
        <v>46092</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33550-2025</t>
        </is>
      </c>
      <c r="B161" s="1" t="n">
        <v>45841.57331018519</v>
      </c>
      <c r="C161" s="1" t="n">
        <v>46092</v>
      </c>
      <c r="D161" t="inlineStr">
        <is>
          <t>JÄMTLANDS LÄN</t>
        </is>
      </c>
      <c r="E161" t="inlineStr">
        <is>
          <t>ÖSTERSUND</t>
        </is>
      </c>
      <c r="F161" t="inlineStr">
        <is>
          <t>SCA</t>
        </is>
      </c>
      <c r="G161" t="n">
        <v>7.3</v>
      </c>
      <c r="H161" t="n">
        <v>0</v>
      </c>
      <c r="I161" t="n">
        <v>1</v>
      </c>
      <c r="J161" t="n">
        <v>0</v>
      </c>
      <c r="K161" t="n">
        <v>0</v>
      </c>
      <c r="L161" t="n">
        <v>0</v>
      </c>
      <c r="M161" t="n">
        <v>0</v>
      </c>
      <c r="N161" t="n">
        <v>0</v>
      </c>
      <c r="O161" t="n">
        <v>0</v>
      </c>
      <c r="P161" t="n">
        <v>0</v>
      </c>
      <c r="Q161" t="n">
        <v>1</v>
      </c>
      <c r="R161" s="2" t="inlineStr">
        <is>
          <t>Dropptaggsvamp</t>
        </is>
      </c>
      <c r="S161">
        <f>HYPERLINK("https://klasma.github.io/Logging_2380/artfynd/A 33550-2025 artfynd.xlsx", "A 33550-2025")</f>
        <v/>
      </c>
      <c r="T161">
        <f>HYPERLINK("https://klasma.github.io/Logging_2380/kartor/A 33550-2025 karta.png", "A 33550-2025")</f>
        <v/>
      </c>
      <c r="V161">
        <f>HYPERLINK("https://klasma.github.io/Logging_2380/klagomål/A 33550-2025 FSC-klagomål.docx", "A 33550-2025")</f>
        <v/>
      </c>
      <c r="W161">
        <f>HYPERLINK("https://klasma.github.io/Logging_2380/klagomålsmail/A 33550-2025 FSC-klagomål mail.docx", "A 33550-2025")</f>
        <v/>
      </c>
      <c r="X161">
        <f>HYPERLINK("https://klasma.github.io/Logging_2380/tillsyn/A 33550-2025 tillsynsbegäran.docx", "A 33550-2025")</f>
        <v/>
      </c>
      <c r="Y161">
        <f>HYPERLINK("https://klasma.github.io/Logging_2380/tillsynsmail/A 33550-2025 tillsynsbegäran mail.docx", "A 33550-2025")</f>
        <v/>
      </c>
    </row>
    <row r="162" ht="15" customHeight="1">
      <c r="A162" t="inlineStr">
        <is>
          <t>A 53300-2025</t>
        </is>
      </c>
      <c r="B162" s="1" t="n">
        <v>45959.32394675926</v>
      </c>
      <c r="C162" s="1" t="n">
        <v>46092</v>
      </c>
      <c r="D162" t="inlineStr">
        <is>
          <t>JÄMTLANDS LÄN</t>
        </is>
      </c>
      <c r="E162" t="inlineStr">
        <is>
          <t>ÖSTERSUND</t>
        </is>
      </c>
      <c r="F162" t="inlineStr">
        <is>
          <t>Sveaskog</t>
        </is>
      </c>
      <c r="G162" t="n">
        <v>12.2</v>
      </c>
      <c r="H162" t="n">
        <v>0</v>
      </c>
      <c r="I162" t="n">
        <v>1</v>
      </c>
      <c r="J162" t="n">
        <v>0</v>
      </c>
      <c r="K162" t="n">
        <v>0</v>
      </c>
      <c r="L162" t="n">
        <v>0</v>
      </c>
      <c r="M162" t="n">
        <v>0</v>
      </c>
      <c r="N162" t="n">
        <v>0</v>
      </c>
      <c r="O162" t="n">
        <v>0</v>
      </c>
      <c r="P162" t="n">
        <v>0</v>
      </c>
      <c r="Q162" t="n">
        <v>1</v>
      </c>
      <c r="R162" s="2" t="inlineStr">
        <is>
          <t>Rödgul trumpetsvamp</t>
        </is>
      </c>
      <c r="S162">
        <f>HYPERLINK("https://klasma.github.io/Logging_2380/artfynd/A 53300-2025 artfynd.xlsx", "A 53300-2025")</f>
        <v/>
      </c>
      <c r="T162">
        <f>HYPERLINK("https://klasma.github.io/Logging_2380/kartor/A 53300-2025 karta.png", "A 53300-2025")</f>
        <v/>
      </c>
      <c r="V162">
        <f>HYPERLINK("https://klasma.github.io/Logging_2380/klagomål/A 53300-2025 FSC-klagomål.docx", "A 53300-2025")</f>
        <v/>
      </c>
      <c r="W162">
        <f>HYPERLINK("https://klasma.github.io/Logging_2380/klagomålsmail/A 53300-2025 FSC-klagomål mail.docx", "A 53300-2025")</f>
        <v/>
      </c>
      <c r="X162">
        <f>HYPERLINK("https://klasma.github.io/Logging_2380/tillsyn/A 53300-2025 tillsynsbegäran.docx", "A 53300-2025")</f>
        <v/>
      </c>
      <c r="Y162">
        <f>HYPERLINK("https://klasma.github.io/Logging_2380/tillsynsmail/A 53300-2025 tillsynsbegäran mail.docx", "A 53300-2025")</f>
        <v/>
      </c>
    </row>
    <row r="163" ht="15" customHeight="1">
      <c r="A163" t="inlineStr">
        <is>
          <t>A 28980-2023</t>
        </is>
      </c>
      <c r="B163" s="1" t="n">
        <v>45096</v>
      </c>
      <c r="C163" s="1" t="n">
        <v>46092</v>
      </c>
      <c r="D163" t="inlineStr">
        <is>
          <t>JÄMTLANDS LÄN</t>
        </is>
      </c>
      <c r="E163" t="inlineStr">
        <is>
          <t>ÖSTERSUND</t>
        </is>
      </c>
      <c r="G163" t="n">
        <v>2.7</v>
      </c>
      <c r="H163" t="n">
        <v>0</v>
      </c>
      <c r="I163" t="n">
        <v>1</v>
      </c>
      <c r="J163" t="n">
        <v>0</v>
      </c>
      <c r="K163" t="n">
        <v>0</v>
      </c>
      <c r="L163" t="n">
        <v>0</v>
      </c>
      <c r="M163" t="n">
        <v>0</v>
      </c>
      <c r="N163" t="n">
        <v>0</v>
      </c>
      <c r="O163" t="n">
        <v>0</v>
      </c>
      <c r="P163" t="n">
        <v>0</v>
      </c>
      <c r="Q163" t="n">
        <v>1</v>
      </c>
      <c r="R163" s="2" t="inlineStr">
        <is>
          <t>Finbräken</t>
        </is>
      </c>
      <c r="S163">
        <f>HYPERLINK("https://klasma.github.io/Logging_2380/artfynd/A 28980-2023 artfynd.xlsx", "A 28980-2023")</f>
        <v/>
      </c>
      <c r="T163">
        <f>HYPERLINK("https://klasma.github.io/Logging_2380/kartor/A 28980-2023 karta.png", "A 28980-2023")</f>
        <v/>
      </c>
      <c r="V163">
        <f>HYPERLINK("https://klasma.github.io/Logging_2380/klagomål/A 28980-2023 FSC-klagomål.docx", "A 28980-2023")</f>
        <v/>
      </c>
      <c r="W163">
        <f>HYPERLINK("https://klasma.github.io/Logging_2380/klagomålsmail/A 28980-2023 FSC-klagomål mail.docx", "A 28980-2023")</f>
        <v/>
      </c>
      <c r="X163">
        <f>HYPERLINK("https://klasma.github.io/Logging_2380/tillsyn/A 28980-2023 tillsynsbegäran.docx", "A 28980-2023")</f>
        <v/>
      </c>
      <c r="Y163">
        <f>HYPERLINK("https://klasma.github.io/Logging_2380/tillsynsmail/A 28980-2023 tillsynsbegäran mail.docx", "A 28980-2023")</f>
        <v/>
      </c>
    </row>
    <row r="164" ht="15" customHeight="1">
      <c r="A164" t="inlineStr">
        <is>
          <t>A 4223-2026</t>
        </is>
      </c>
      <c r="B164" s="1" t="n">
        <v>46044.84650462963</v>
      </c>
      <c r="C164" s="1" t="n">
        <v>46092</v>
      </c>
      <c r="D164" t="inlineStr">
        <is>
          <t>JÄMTLANDS LÄN</t>
        </is>
      </c>
      <c r="E164" t="inlineStr">
        <is>
          <t>ÖSTERSUND</t>
        </is>
      </c>
      <c r="G164" t="n">
        <v>3.5</v>
      </c>
      <c r="H164" t="n">
        <v>0</v>
      </c>
      <c r="I164" t="n">
        <v>0</v>
      </c>
      <c r="J164" t="n">
        <v>0</v>
      </c>
      <c r="K164" t="n">
        <v>1</v>
      </c>
      <c r="L164" t="n">
        <v>0</v>
      </c>
      <c r="M164" t="n">
        <v>0</v>
      </c>
      <c r="N164" t="n">
        <v>0</v>
      </c>
      <c r="O164" t="n">
        <v>1</v>
      </c>
      <c r="P164" t="n">
        <v>1</v>
      </c>
      <c r="Q164" t="n">
        <v>1</v>
      </c>
      <c r="R164" s="2" t="inlineStr">
        <is>
          <t>Taggfingersvamp</t>
        </is>
      </c>
      <c r="S164">
        <f>HYPERLINK("https://klasma.github.io/Logging_2380/artfynd/A 4223-2026 artfynd.xlsx", "A 4223-2026")</f>
        <v/>
      </c>
      <c r="T164">
        <f>HYPERLINK("https://klasma.github.io/Logging_2380/kartor/A 4223-2026 karta.png", "A 4223-2026")</f>
        <v/>
      </c>
      <c r="V164">
        <f>HYPERLINK("https://klasma.github.io/Logging_2380/klagomål/A 4223-2026 FSC-klagomål.docx", "A 4223-2026")</f>
        <v/>
      </c>
      <c r="W164">
        <f>HYPERLINK("https://klasma.github.io/Logging_2380/klagomålsmail/A 4223-2026 FSC-klagomål mail.docx", "A 4223-2026")</f>
        <v/>
      </c>
      <c r="X164">
        <f>HYPERLINK("https://klasma.github.io/Logging_2380/tillsyn/A 4223-2026 tillsynsbegäran.docx", "A 4223-2026")</f>
        <v/>
      </c>
      <c r="Y164">
        <f>HYPERLINK("https://klasma.github.io/Logging_2380/tillsynsmail/A 4223-2026 tillsynsbegäran mail.docx", "A 4223-2026")</f>
        <v/>
      </c>
    </row>
    <row r="165" ht="15" customHeight="1">
      <c r="A165" t="inlineStr">
        <is>
          <t>A 4787-2026</t>
        </is>
      </c>
      <c r="B165" s="1" t="n">
        <v>46045</v>
      </c>
      <c r="C165" s="1" t="n">
        <v>46092</v>
      </c>
      <c r="D165" t="inlineStr">
        <is>
          <t>JÄMTLANDS LÄN</t>
        </is>
      </c>
      <c r="E165" t="inlineStr">
        <is>
          <t>ÖSTERSUND</t>
        </is>
      </c>
      <c r="G165" t="n">
        <v>4.1</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4787-2026 artfynd.xlsx", "A 4787-2026")</f>
        <v/>
      </c>
      <c r="T165">
        <f>HYPERLINK("https://klasma.github.io/Logging_2380/kartor/A 4787-2026 karta.png", "A 4787-2026")</f>
        <v/>
      </c>
      <c r="V165">
        <f>HYPERLINK("https://klasma.github.io/Logging_2380/klagomål/A 4787-2026 FSC-klagomål.docx", "A 4787-2026")</f>
        <v/>
      </c>
      <c r="W165">
        <f>HYPERLINK("https://klasma.github.io/Logging_2380/klagomålsmail/A 4787-2026 FSC-klagomål mail.docx", "A 4787-2026")</f>
        <v/>
      </c>
      <c r="X165">
        <f>HYPERLINK("https://klasma.github.io/Logging_2380/tillsyn/A 4787-2026 tillsynsbegäran.docx", "A 4787-2026")</f>
        <v/>
      </c>
      <c r="Y165">
        <f>HYPERLINK("https://klasma.github.io/Logging_2380/tillsynsmail/A 4787-2026 tillsynsbegäran mail.docx", "A 4787-2026")</f>
        <v/>
      </c>
      <c r="Z165">
        <f>HYPERLINK("https://klasma.github.io/Logging_2380/fåglar/A 4787-2026 prioriterade fågelarter.docx", "A 4787-2026")</f>
        <v/>
      </c>
    </row>
    <row r="166" ht="15" customHeight="1">
      <c r="A166" t="inlineStr">
        <is>
          <t>A 4226-2026</t>
        </is>
      </c>
      <c r="B166" s="1" t="n">
        <v>46044.85285879629</v>
      </c>
      <c r="C166" s="1" t="n">
        <v>46092</v>
      </c>
      <c r="D166" t="inlineStr">
        <is>
          <t>JÄMTLANDS LÄN</t>
        </is>
      </c>
      <c r="E166" t="inlineStr">
        <is>
          <t>ÖSTERSUND</t>
        </is>
      </c>
      <c r="G166" t="n">
        <v>2.1</v>
      </c>
      <c r="H166" t="n">
        <v>0</v>
      </c>
      <c r="I166" t="n">
        <v>0</v>
      </c>
      <c r="J166" t="n">
        <v>0</v>
      </c>
      <c r="K166" t="n">
        <v>1</v>
      </c>
      <c r="L166" t="n">
        <v>0</v>
      </c>
      <c r="M166" t="n">
        <v>0</v>
      </c>
      <c r="N166" t="n">
        <v>0</v>
      </c>
      <c r="O166" t="n">
        <v>1</v>
      </c>
      <c r="P166" t="n">
        <v>1</v>
      </c>
      <c r="Q166" t="n">
        <v>1</v>
      </c>
      <c r="R166" s="2" t="inlineStr">
        <is>
          <t>Fjällfotad fingersvamp</t>
        </is>
      </c>
      <c r="S166">
        <f>HYPERLINK("https://klasma.github.io/Logging_2380/artfynd/A 4226-2026 artfynd.xlsx", "A 4226-2026")</f>
        <v/>
      </c>
      <c r="T166">
        <f>HYPERLINK("https://klasma.github.io/Logging_2380/kartor/A 4226-2026 karta.png", "A 4226-2026")</f>
        <v/>
      </c>
      <c r="V166">
        <f>HYPERLINK("https://klasma.github.io/Logging_2380/klagomål/A 4226-2026 FSC-klagomål.docx", "A 4226-2026")</f>
        <v/>
      </c>
      <c r="W166">
        <f>HYPERLINK("https://klasma.github.io/Logging_2380/klagomålsmail/A 4226-2026 FSC-klagomål mail.docx", "A 4226-2026")</f>
        <v/>
      </c>
      <c r="X166">
        <f>HYPERLINK("https://klasma.github.io/Logging_2380/tillsyn/A 4226-2026 tillsynsbegäran.docx", "A 4226-2026")</f>
        <v/>
      </c>
      <c r="Y166">
        <f>HYPERLINK("https://klasma.github.io/Logging_2380/tillsynsmail/A 4226-2026 tillsynsbegäran mail.docx", "A 4226-2026")</f>
        <v/>
      </c>
    </row>
    <row r="167" ht="15" customHeight="1">
      <c r="A167" t="inlineStr">
        <is>
          <t>A 44049-2024</t>
        </is>
      </c>
      <c r="B167" s="1" t="n">
        <v>45572.59462962963</v>
      </c>
      <c r="C167" s="1" t="n">
        <v>46092</v>
      </c>
      <c r="D167" t="inlineStr">
        <is>
          <t>JÄMTLANDS LÄN</t>
        </is>
      </c>
      <c r="E167" t="inlineStr">
        <is>
          <t>ÖSTERSUND</t>
        </is>
      </c>
      <c r="F167" t="inlineStr">
        <is>
          <t>SCA</t>
        </is>
      </c>
      <c r="G167" t="n">
        <v>4.5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44049-2024 artfynd.xlsx", "A 44049-2024")</f>
        <v/>
      </c>
      <c r="T167">
        <f>HYPERLINK("https://klasma.github.io/Logging_2380/kartor/A 44049-2024 karta.png", "A 44049-2024")</f>
        <v/>
      </c>
      <c r="V167">
        <f>HYPERLINK("https://klasma.github.io/Logging_2380/klagomål/A 44049-2024 FSC-klagomål.docx", "A 44049-2024")</f>
        <v/>
      </c>
      <c r="W167">
        <f>HYPERLINK("https://klasma.github.io/Logging_2380/klagomålsmail/A 44049-2024 FSC-klagomål mail.docx", "A 44049-2024")</f>
        <v/>
      </c>
      <c r="X167">
        <f>HYPERLINK("https://klasma.github.io/Logging_2380/tillsyn/A 44049-2024 tillsynsbegäran.docx", "A 44049-2024")</f>
        <v/>
      </c>
      <c r="Y167">
        <f>HYPERLINK("https://klasma.github.io/Logging_2380/tillsynsmail/A 44049-2024 tillsynsbegäran mail.docx", "A 44049-2024")</f>
        <v/>
      </c>
    </row>
    <row r="168" ht="15" customHeight="1">
      <c r="A168" t="inlineStr">
        <is>
          <t>A 36225-2025</t>
        </is>
      </c>
      <c r="B168" s="1" t="n">
        <v>45867.51128472222</v>
      </c>
      <c r="C168" s="1" t="n">
        <v>46092</v>
      </c>
      <c r="D168" t="inlineStr">
        <is>
          <t>JÄMTLANDS LÄN</t>
        </is>
      </c>
      <c r="E168" t="inlineStr">
        <is>
          <t>ÖSTERSUND</t>
        </is>
      </c>
      <c r="F168" t="inlineStr">
        <is>
          <t>SCA</t>
        </is>
      </c>
      <c r="G168" t="n">
        <v>1.8</v>
      </c>
      <c r="H168" t="n">
        <v>0</v>
      </c>
      <c r="I168" t="n">
        <v>0</v>
      </c>
      <c r="J168" t="n">
        <v>1</v>
      </c>
      <c r="K168" t="n">
        <v>0</v>
      </c>
      <c r="L168" t="n">
        <v>0</v>
      </c>
      <c r="M168" t="n">
        <v>0</v>
      </c>
      <c r="N168" t="n">
        <v>0</v>
      </c>
      <c r="O168" t="n">
        <v>1</v>
      </c>
      <c r="P168" t="n">
        <v>0</v>
      </c>
      <c r="Q168" t="n">
        <v>1</v>
      </c>
      <c r="R168" s="2" t="inlineStr">
        <is>
          <t>Kolflarnlav</t>
        </is>
      </c>
      <c r="S168">
        <f>HYPERLINK("https://klasma.github.io/Logging_2380/artfynd/A 36225-2025 artfynd.xlsx", "A 36225-2025")</f>
        <v/>
      </c>
      <c r="T168">
        <f>HYPERLINK("https://klasma.github.io/Logging_2380/kartor/A 36225-2025 karta.png", "A 36225-2025")</f>
        <v/>
      </c>
      <c r="V168">
        <f>HYPERLINK("https://klasma.github.io/Logging_2380/klagomål/A 36225-2025 FSC-klagomål.docx", "A 36225-2025")</f>
        <v/>
      </c>
      <c r="W168">
        <f>HYPERLINK("https://klasma.github.io/Logging_2380/klagomålsmail/A 36225-2025 FSC-klagomål mail.docx", "A 36225-2025")</f>
        <v/>
      </c>
      <c r="X168">
        <f>HYPERLINK("https://klasma.github.io/Logging_2380/tillsyn/A 36225-2025 tillsynsbegäran.docx", "A 36225-2025")</f>
        <v/>
      </c>
      <c r="Y168">
        <f>HYPERLINK("https://klasma.github.io/Logging_2380/tillsynsmail/A 36225-2025 tillsynsbegäran mail.docx", "A 36225-2025")</f>
        <v/>
      </c>
    </row>
    <row r="169" ht="15" customHeight="1">
      <c r="A169" t="inlineStr">
        <is>
          <t>A 54354-2024</t>
        </is>
      </c>
      <c r="B169" s="1" t="n">
        <v>45617.40244212963</v>
      </c>
      <c r="C169" s="1" t="n">
        <v>46092</v>
      </c>
      <c r="D169" t="inlineStr">
        <is>
          <t>JÄMTLANDS LÄN</t>
        </is>
      </c>
      <c r="E169" t="inlineStr">
        <is>
          <t>ÖSTERSUND</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54354-2024 artfynd.xlsx", "A 54354-2024")</f>
        <v/>
      </c>
      <c r="T169">
        <f>HYPERLINK("https://klasma.github.io/Logging_2380/kartor/A 54354-2024 karta.png", "A 54354-2024")</f>
        <v/>
      </c>
      <c r="V169">
        <f>HYPERLINK("https://klasma.github.io/Logging_2380/klagomål/A 54354-2024 FSC-klagomål.docx", "A 54354-2024")</f>
        <v/>
      </c>
      <c r="W169">
        <f>HYPERLINK("https://klasma.github.io/Logging_2380/klagomålsmail/A 54354-2024 FSC-klagomål mail.docx", "A 54354-2024")</f>
        <v/>
      </c>
      <c r="X169">
        <f>HYPERLINK("https://klasma.github.io/Logging_2380/tillsyn/A 54354-2024 tillsynsbegäran.docx", "A 54354-2024")</f>
        <v/>
      </c>
      <c r="Y169">
        <f>HYPERLINK("https://klasma.github.io/Logging_2380/tillsynsmail/A 54354-2024 tillsynsbegäran mail.docx", "A 54354-2024")</f>
        <v/>
      </c>
      <c r="Z169">
        <f>HYPERLINK("https://klasma.github.io/Logging_2380/fåglar/A 54354-2024 prioriterade fågelarter.docx", "A 54354-2024")</f>
        <v/>
      </c>
    </row>
    <row r="170" ht="15" customHeight="1">
      <c r="A170" t="inlineStr">
        <is>
          <t>A 24368-2025</t>
        </is>
      </c>
      <c r="B170" s="1" t="n">
        <v>45797.60623842593</v>
      </c>
      <c r="C170" s="1" t="n">
        <v>46092</v>
      </c>
      <c r="D170" t="inlineStr">
        <is>
          <t>JÄMTLANDS LÄN</t>
        </is>
      </c>
      <c r="E170" t="inlineStr">
        <is>
          <t>ÖSTERSUND</t>
        </is>
      </c>
      <c r="G170" t="n">
        <v>2.9</v>
      </c>
      <c r="H170" t="n">
        <v>0</v>
      </c>
      <c r="I170" t="n">
        <v>0</v>
      </c>
      <c r="J170" t="n">
        <v>0</v>
      </c>
      <c r="K170" t="n">
        <v>1</v>
      </c>
      <c r="L170" t="n">
        <v>0</v>
      </c>
      <c r="M170" t="n">
        <v>0</v>
      </c>
      <c r="N170" t="n">
        <v>0</v>
      </c>
      <c r="O170" t="n">
        <v>1</v>
      </c>
      <c r="P170" t="n">
        <v>1</v>
      </c>
      <c r="Q170" t="n">
        <v>1</v>
      </c>
      <c r="R170" s="2" t="inlineStr">
        <is>
          <t>Fjällfotad fingersvamp</t>
        </is>
      </c>
      <c r="S170">
        <f>HYPERLINK("https://klasma.github.io/Logging_2380/artfynd/A 24368-2025 artfynd.xlsx", "A 24368-2025")</f>
        <v/>
      </c>
      <c r="T170">
        <f>HYPERLINK("https://klasma.github.io/Logging_2380/kartor/A 24368-2025 karta.png", "A 24368-2025")</f>
        <v/>
      </c>
      <c r="V170">
        <f>HYPERLINK("https://klasma.github.io/Logging_2380/klagomål/A 24368-2025 FSC-klagomål.docx", "A 24368-2025")</f>
        <v/>
      </c>
      <c r="W170">
        <f>HYPERLINK("https://klasma.github.io/Logging_2380/klagomålsmail/A 24368-2025 FSC-klagomål mail.docx", "A 24368-2025")</f>
        <v/>
      </c>
      <c r="X170">
        <f>HYPERLINK("https://klasma.github.io/Logging_2380/tillsyn/A 24368-2025 tillsynsbegäran.docx", "A 24368-2025")</f>
        <v/>
      </c>
      <c r="Y170">
        <f>HYPERLINK("https://klasma.github.io/Logging_2380/tillsynsmail/A 24368-2025 tillsynsbegäran mail.docx", "A 24368-2025")</f>
        <v/>
      </c>
    </row>
    <row r="171" ht="15" customHeight="1">
      <c r="A171" t="inlineStr">
        <is>
          <t>A 58181-2022</t>
        </is>
      </c>
      <c r="B171" s="1" t="n">
        <v>44900</v>
      </c>
      <c r="C171" s="1" t="n">
        <v>46092</v>
      </c>
      <c r="D171" t="inlineStr">
        <is>
          <t>JÄMTLANDS LÄN</t>
        </is>
      </c>
      <c r="E171" t="inlineStr">
        <is>
          <t>ÖSTERSUND</t>
        </is>
      </c>
      <c r="G171" t="n">
        <v>14.8</v>
      </c>
      <c r="H171" t="n">
        <v>0</v>
      </c>
      <c r="I171" t="n">
        <v>1</v>
      </c>
      <c r="J171" t="n">
        <v>0</v>
      </c>
      <c r="K171" t="n">
        <v>0</v>
      </c>
      <c r="L171" t="n">
        <v>0</v>
      </c>
      <c r="M171" t="n">
        <v>0</v>
      </c>
      <c r="N171" t="n">
        <v>0</v>
      </c>
      <c r="O171" t="n">
        <v>0</v>
      </c>
      <c r="P171" t="n">
        <v>0</v>
      </c>
      <c r="Q171" t="n">
        <v>1</v>
      </c>
      <c r="R171" s="2" t="inlineStr">
        <is>
          <t>Finbräken</t>
        </is>
      </c>
      <c r="S171">
        <f>HYPERLINK("https://klasma.github.io/Logging_2380/artfynd/A 58181-2022 artfynd.xlsx", "A 58181-2022")</f>
        <v/>
      </c>
      <c r="T171">
        <f>HYPERLINK("https://klasma.github.io/Logging_2380/kartor/A 58181-2022 karta.png", "A 58181-2022")</f>
        <v/>
      </c>
      <c r="V171">
        <f>HYPERLINK("https://klasma.github.io/Logging_2380/klagomål/A 58181-2022 FSC-klagomål.docx", "A 58181-2022")</f>
        <v/>
      </c>
      <c r="W171">
        <f>HYPERLINK("https://klasma.github.io/Logging_2380/klagomålsmail/A 58181-2022 FSC-klagomål mail.docx", "A 58181-2022")</f>
        <v/>
      </c>
      <c r="X171">
        <f>HYPERLINK("https://klasma.github.io/Logging_2380/tillsyn/A 58181-2022 tillsynsbegäran.docx", "A 58181-2022")</f>
        <v/>
      </c>
      <c r="Y171">
        <f>HYPERLINK("https://klasma.github.io/Logging_2380/tillsynsmail/A 58181-2022 tillsynsbegäran mail.docx", "A 58181-2022")</f>
        <v/>
      </c>
    </row>
    <row r="172" ht="15" customHeight="1">
      <c r="A172" t="inlineStr">
        <is>
          <t>A 41312-2024</t>
        </is>
      </c>
      <c r="B172" s="1" t="n">
        <v>45559.63584490741</v>
      </c>
      <c r="C172" s="1" t="n">
        <v>46092</v>
      </c>
      <c r="D172" t="inlineStr">
        <is>
          <t>JÄMTLANDS LÄN</t>
        </is>
      </c>
      <c r="E172" t="inlineStr">
        <is>
          <t>ÖSTERSUND</t>
        </is>
      </c>
      <c r="F172" t="inlineStr">
        <is>
          <t>SCA</t>
        </is>
      </c>
      <c r="G172" t="n">
        <v>2.6</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41312-2024 artfynd.xlsx", "A 41312-2024")</f>
        <v/>
      </c>
      <c r="T172">
        <f>HYPERLINK("https://klasma.github.io/Logging_2380/kartor/A 41312-2024 karta.png", "A 41312-2024")</f>
        <v/>
      </c>
      <c r="V172">
        <f>HYPERLINK("https://klasma.github.io/Logging_2380/klagomål/A 41312-2024 FSC-klagomål.docx", "A 41312-2024")</f>
        <v/>
      </c>
      <c r="W172">
        <f>HYPERLINK("https://klasma.github.io/Logging_2380/klagomålsmail/A 41312-2024 FSC-klagomål mail.docx", "A 41312-2024")</f>
        <v/>
      </c>
      <c r="X172">
        <f>HYPERLINK("https://klasma.github.io/Logging_2380/tillsyn/A 41312-2024 tillsynsbegäran.docx", "A 41312-2024")</f>
        <v/>
      </c>
      <c r="Y172">
        <f>HYPERLINK("https://klasma.github.io/Logging_2380/tillsynsmail/A 41312-2024 tillsynsbegäran mail.docx", "A 41312-2024")</f>
        <v/>
      </c>
    </row>
    <row r="173" ht="15" customHeight="1">
      <c r="A173" t="inlineStr">
        <is>
          <t>A 33267-2022</t>
        </is>
      </c>
      <c r="B173" s="1" t="n">
        <v>44785</v>
      </c>
      <c r="C173" s="1" t="n">
        <v>46092</v>
      </c>
      <c r="D173" t="inlineStr">
        <is>
          <t>JÄMTLANDS LÄN</t>
        </is>
      </c>
      <c r="E173" t="inlineStr">
        <is>
          <t>ÖSTERSUND</t>
        </is>
      </c>
      <c r="G173" t="n">
        <v>0.9</v>
      </c>
      <c r="H173" t="n">
        <v>1</v>
      </c>
      <c r="I173" t="n">
        <v>0</v>
      </c>
      <c r="J173" t="n">
        <v>1</v>
      </c>
      <c r="K173" t="n">
        <v>0</v>
      </c>
      <c r="L173" t="n">
        <v>0</v>
      </c>
      <c r="M173" t="n">
        <v>0</v>
      </c>
      <c r="N173" t="n">
        <v>0</v>
      </c>
      <c r="O173" t="n">
        <v>1</v>
      </c>
      <c r="P173" t="n">
        <v>0</v>
      </c>
      <c r="Q173" t="n">
        <v>1</v>
      </c>
      <c r="R173" s="2" t="inlineStr">
        <is>
          <t>Talltita</t>
        </is>
      </c>
      <c r="S173">
        <f>HYPERLINK("https://klasma.github.io/Logging_2380/artfynd/A 33267-2022 artfynd.xlsx", "A 33267-2022")</f>
        <v/>
      </c>
      <c r="T173">
        <f>HYPERLINK("https://klasma.github.io/Logging_2380/kartor/A 33267-2022 karta.png", "A 33267-2022")</f>
        <v/>
      </c>
      <c r="V173">
        <f>HYPERLINK("https://klasma.github.io/Logging_2380/klagomål/A 33267-2022 FSC-klagomål.docx", "A 33267-2022")</f>
        <v/>
      </c>
      <c r="W173">
        <f>HYPERLINK("https://klasma.github.io/Logging_2380/klagomålsmail/A 33267-2022 FSC-klagomål mail.docx", "A 33267-2022")</f>
        <v/>
      </c>
      <c r="X173">
        <f>HYPERLINK("https://klasma.github.io/Logging_2380/tillsyn/A 33267-2022 tillsynsbegäran.docx", "A 33267-2022")</f>
        <v/>
      </c>
      <c r="Y173">
        <f>HYPERLINK("https://klasma.github.io/Logging_2380/tillsynsmail/A 33267-2022 tillsynsbegäran mail.docx", "A 33267-2022")</f>
        <v/>
      </c>
      <c r="Z173">
        <f>HYPERLINK("https://klasma.github.io/Logging_2380/fåglar/A 33267-2022 prioriterade fågelarter.docx", "A 33267-2022")</f>
        <v/>
      </c>
    </row>
    <row r="174" ht="15" customHeight="1">
      <c r="A174" t="inlineStr">
        <is>
          <t>A 57065-2024</t>
        </is>
      </c>
      <c r="B174" s="1" t="n">
        <v>45629.35344907407</v>
      </c>
      <c r="C174" s="1" t="n">
        <v>46092</v>
      </c>
      <c r="D174" t="inlineStr">
        <is>
          <t>JÄMTLANDS LÄN</t>
        </is>
      </c>
      <c r="E174" t="inlineStr">
        <is>
          <t>ÖSTERSUND</t>
        </is>
      </c>
      <c r="F174" t="inlineStr">
        <is>
          <t>SCA</t>
        </is>
      </c>
      <c r="G174" t="n">
        <v>6.3</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57065-2024 artfynd.xlsx", "A 57065-2024")</f>
        <v/>
      </c>
      <c r="T174">
        <f>HYPERLINK("https://klasma.github.io/Logging_2380/kartor/A 57065-2024 karta.png", "A 57065-2024")</f>
        <v/>
      </c>
      <c r="V174">
        <f>HYPERLINK("https://klasma.github.io/Logging_2380/klagomål/A 57065-2024 FSC-klagomål.docx", "A 57065-2024")</f>
        <v/>
      </c>
      <c r="W174">
        <f>HYPERLINK("https://klasma.github.io/Logging_2380/klagomålsmail/A 57065-2024 FSC-klagomål mail.docx", "A 57065-2024")</f>
        <v/>
      </c>
      <c r="X174">
        <f>HYPERLINK("https://klasma.github.io/Logging_2380/tillsyn/A 57065-2024 tillsynsbegäran.docx", "A 57065-2024")</f>
        <v/>
      </c>
      <c r="Y174">
        <f>HYPERLINK("https://klasma.github.io/Logging_2380/tillsynsmail/A 57065-2024 tillsynsbegäran mail.docx", "A 57065-2024")</f>
        <v/>
      </c>
      <c r="Z174">
        <f>HYPERLINK("https://klasma.github.io/Logging_2380/fåglar/A 57065-2024 prioriterade fågelarter.docx", "A 57065-2024")</f>
        <v/>
      </c>
    </row>
    <row r="175" ht="15" customHeight="1">
      <c r="A175" t="inlineStr">
        <is>
          <t>A 56201-2024</t>
        </is>
      </c>
      <c r="B175" s="1" t="n">
        <v>45624.59462962963</v>
      </c>
      <c r="C175" s="1" t="n">
        <v>46092</v>
      </c>
      <c r="D175" t="inlineStr">
        <is>
          <t>JÄMTLANDS LÄN</t>
        </is>
      </c>
      <c r="E175" t="inlineStr">
        <is>
          <t>ÖSTERSUND</t>
        </is>
      </c>
      <c r="F175" t="inlineStr">
        <is>
          <t>SCA</t>
        </is>
      </c>
      <c r="G175" t="n">
        <v>5.9</v>
      </c>
      <c r="H175" t="n">
        <v>1</v>
      </c>
      <c r="I175" t="n">
        <v>0</v>
      </c>
      <c r="J175" t="n">
        <v>0</v>
      </c>
      <c r="K175" t="n">
        <v>1</v>
      </c>
      <c r="L175" t="n">
        <v>0</v>
      </c>
      <c r="M175" t="n">
        <v>0</v>
      </c>
      <c r="N175" t="n">
        <v>0</v>
      </c>
      <c r="O175" t="n">
        <v>1</v>
      </c>
      <c r="P175" t="n">
        <v>1</v>
      </c>
      <c r="Q175" t="n">
        <v>1</v>
      </c>
      <c r="R175" s="2" t="inlineStr">
        <is>
          <t>Doftticka</t>
        </is>
      </c>
      <c r="S175">
        <f>HYPERLINK("https://klasma.github.io/Logging_2380/artfynd/A 56201-2024 artfynd.xlsx", "A 56201-2024")</f>
        <v/>
      </c>
      <c r="T175">
        <f>HYPERLINK("https://klasma.github.io/Logging_2380/kartor/A 56201-2024 karta.png", "A 56201-2024")</f>
        <v/>
      </c>
      <c r="V175">
        <f>HYPERLINK("https://klasma.github.io/Logging_2380/klagomål/A 56201-2024 FSC-klagomål.docx", "A 56201-2024")</f>
        <v/>
      </c>
      <c r="W175">
        <f>HYPERLINK("https://klasma.github.io/Logging_2380/klagomålsmail/A 56201-2024 FSC-klagomål mail.docx", "A 56201-2024")</f>
        <v/>
      </c>
      <c r="X175">
        <f>HYPERLINK("https://klasma.github.io/Logging_2380/tillsyn/A 56201-2024 tillsynsbegäran.docx", "A 56201-2024")</f>
        <v/>
      </c>
      <c r="Y175">
        <f>HYPERLINK("https://klasma.github.io/Logging_2380/tillsynsmail/A 56201-2024 tillsynsbegäran mail.docx", "A 56201-2024")</f>
        <v/>
      </c>
    </row>
    <row r="176" ht="15" customHeight="1">
      <c r="A176" t="inlineStr">
        <is>
          <t>A 11513-2024</t>
        </is>
      </c>
      <c r="B176" s="1" t="n">
        <v>45372</v>
      </c>
      <c r="C176" s="1" t="n">
        <v>46092</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41279-2024</t>
        </is>
      </c>
      <c r="B177" s="1" t="n">
        <v>45559</v>
      </c>
      <c r="C177" s="1" t="n">
        <v>46092</v>
      </c>
      <c r="D177" t="inlineStr">
        <is>
          <t>JÄMTLANDS LÄN</t>
        </is>
      </c>
      <c r="E177" t="inlineStr">
        <is>
          <t>ÖSTERSUND</t>
        </is>
      </c>
      <c r="F177" t="inlineStr">
        <is>
          <t>SCA</t>
        </is>
      </c>
      <c r="G177" t="n">
        <v>1.6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41279-2024 artfynd.xlsx", "A 41279-2024")</f>
        <v/>
      </c>
      <c r="T177">
        <f>HYPERLINK("https://klasma.github.io/Logging_2380/kartor/A 41279-2024 karta.png", "A 41279-2024")</f>
        <v/>
      </c>
      <c r="V177">
        <f>HYPERLINK("https://klasma.github.io/Logging_2380/klagomål/A 41279-2024 FSC-klagomål.docx", "A 41279-2024")</f>
        <v/>
      </c>
      <c r="W177">
        <f>HYPERLINK("https://klasma.github.io/Logging_2380/klagomålsmail/A 41279-2024 FSC-klagomål mail.docx", "A 41279-2024")</f>
        <v/>
      </c>
      <c r="X177">
        <f>HYPERLINK("https://klasma.github.io/Logging_2380/tillsyn/A 41279-2024 tillsynsbegäran.docx", "A 41279-2024")</f>
        <v/>
      </c>
      <c r="Y177">
        <f>HYPERLINK("https://klasma.github.io/Logging_2380/tillsynsmail/A 41279-2024 tillsynsbegäran mail.docx", "A 41279-2024")</f>
        <v/>
      </c>
    </row>
    <row r="178" ht="15" customHeight="1">
      <c r="A178" t="inlineStr">
        <is>
          <t>A 40692-2024</t>
        </is>
      </c>
      <c r="B178" s="1" t="n">
        <v>45558</v>
      </c>
      <c r="C178" s="1" t="n">
        <v>46092</v>
      </c>
      <c r="D178" t="inlineStr">
        <is>
          <t>JÄMTLANDS LÄN</t>
        </is>
      </c>
      <c r="E178" t="inlineStr">
        <is>
          <t>ÖSTERSUND</t>
        </is>
      </c>
      <c r="F178" t="inlineStr">
        <is>
          <t>SCA</t>
        </is>
      </c>
      <c r="G178" t="n">
        <v>0.9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40692-2024 artfynd.xlsx", "A 40692-2024")</f>
        <v/>
      </c>
      <c r="T178">
        <f>HYPERLINK("https://klasma.github.io/Logging_2380/kartor/A 40692-2024 karta.png", "A 40692-2024")</f>
        <v/>
      </c>
      <c r="V178">
        <f>HYPERLINK("https://klasma.github.io/Logging_2380/klagomål/A 40692-2024 FSC-klagomål.docx", "A 40692-2024")</f>
        <v/>
      </c>
      <c r="W178">
        <f>HYPERLINK("https://klasma.github.io/Logging_2380/klagomålsmail/A 40692-2024 FSC-klagomål mail.docx", "A 40692-2024")</f>
        <v/>
      </c>
      <c r="X178">
        <f>HYPERLINK("https://klasma.github.io/Logging_2380/tillsyn/A 40692-2024 tillsynsbegäran.docx", "A 40692-2024")</f>
        <v/>
      </c>
      <c r="Y178">
        <f>HYPERLINK("https://klasma.github.io/Logging_2380/tillsynsmail/A 40692-2024 tillsynsbegäran mail.docx", "A 40692-2024")</f>
        <v/>
      </c>
    </row>
    <row r="179" ht="15" customHeight="1">
      <c r="A179" t="inlineStr">
        <is>
          <t>A 41770-2024</t>
        </is>
      </c>
      <c r="B179" s="1" t="n">
        <v>45561.34641203703</v>
      </c>
      <c r="C179" s="1" t="n">
        <v>46092</v>
      </c>
      <c r="D179" t="inlineStr">
        <is>
          <t>JÄMTLANDS LÄN</t>
        </is>
      </c>
      <c r="E179" t="inlineStr">
        <is>
          <t>ÖSTERSUND</t>
        </is>
      </c>
      <c r="F179" t="inlineStr">
        <is>
          <t>SCA</t>
        </is>
      </c>
      <c r="G179" t="n">
        <v>4.4</v>
      </c>
      <c r="H179" t="n">
        <v>0</v>
      </c>
      <c r="I179" t="n">
        <v>1</v>
      </c>
      <c r="J179" t="n">
        <v>0</v>
      </c>
      <c r="K179" t="n">
        <v>0</v>
      </c>
      <c r="L179" t="n">
        <v>0</v>
      </c>
      <c r="M179" t="n">
        <v>0</v>
      </c>
      <c r="N179" t="n">
        <v>0</v>
      </c>
      <c r="O179" t="n">
        <v>0</v>
      </c>
      <c r="P179" t="n">
        <v>0</v>
      </c>
      <c r="Q179" t="n">
        <v>1</v>
      </c>
      <c r="R179" s="2" t="inlineStr">
        <is>
          <t>Vedticka</t>
        </is>
      </c>
      <c r="S179">
        <f>HYPERLINK("https://klasma.github.io/Logging_2380/artfynd/A 41770-2024 artfynd.xlsx", "A 41770-2024")</f>
        <v/>
      </c>
      <c r="T179">
        <f>HYPERLINK("https://klasma.github.io/Logging_2380/kartor/A 41770-2024 karta.png", "A 41770-2024")</f>
        <v/>
      </c>
      <c r="V179">
        <f>HYPERLINK("https://klasma.github.io/Logging_2380/klagomål/A 41770-2024 FSC-klagomål.docx", "A 41770-2024")</f>
        <v/>
      </c>
      <c r="W179">
        <f>HYPERLINK("https://klasma.github.io/Logging_2380/klagomålsmail/A 41770-2024 FSC-klagomål mail.docx", "A 41770-2024")</f>
        <v/>
      </c>
      <c r="X179">
        <f>HYPERLINK("https://klasma.github.io/Logging_2380/tillsyn/A 41770-2024 tillsynsbegäran.docx", "A 41770-2024")</f>
        <v/>
      </c>
      <c r="Y179">
        <f>HYPERLINK("https://klasma.github.io/Logging_2380/tillsynsmail/A 41770-2024 tillsynsbegäran mail.docx", "A 41770-2024")</f>
        <v/>
      </c>
    </row>
    <row r="180" ht="15" customHeight="1">
      <c r="A180" t="inlineStr">
        <is>
          <t>A 59433-2021</t>
        </is>
      </c>
      <c r="B180" s="1" t="n">
        <v>44491</v>
      </c>
      <c r="C180" s="1" t="n">
        <v>46092</v>
      </c>
      <c r="D180" t="inlineStr">
        <is>
          <t>JÄMTLANDS LÄN</t>
        </is>
      </c>
      <c r="E180" t="inlineStr">
        <is>
          <t>ÖSTERSUND</t>
        </is>
      </c>
      <c r="F180" t="inlineStr">
        <is>
          <t>Övriga statliga verk och myndigheter</t>
        </is>
      </c>
      <c r="G180" t="n">
        <v>1.6</v>
      </c>
      <c r="H180" t="n">
        <v>0</v>
      </c>
      <c r="I180" t="n">
        <v>0</v>
      </c>
      <c r="J180" t="n">
        <v>1</v>
      </c>
      <c r="K180" t="n">
        <v>0</v>
      </c>
      <c r="L180" t="n">
        <v>0</v>
      </c>
      <c r="M180" t="n">
        <v>0</v>
      </c>
      <c r="N180" t="n">
        <v>0</v>
      </c>
      <c r="O180" t="n">
        <v>1</v>
      </c>
      <c r="P180" t="n">
        <v>0</v>
      </c>
      <c r="Q180" t="n">
        <v>1</v>
      </c>
      <c r="R180" s="2" t="inlineStr">
        <is>
          <t>Brunpudrad nållav</t>
        </is>
      </c>
      <c r="S180">
        <f>HYPERLINK("https://klasma.github.io/Logging_2380/artfynd/A 59433-2021 artfynd.xlsx", "A 59433-2021")</f>
        <v/>
      </c>
      <c r="T180">
        <f>HYPERLINK("https://klasma.github.io/Logging_2380/kartor/A 59433-2021 karta.png", "A 59433-2021")</f>
        <v/>
      </c>
      <c r="V180">
        <f>HYPERLINK("https://klasma.github.io/Logging_2380/klagomål/A 59433-2021 FSC-klagomål.docx", "A 59433-2021")</f>
        <v/>
      </c>
      <c r="W180">
        <f>HYPERLINK("https://klasma.github.io/Logging_2380/klagomålsmail/A 59433-2021 FSC-klagomål mail.docx", "A 59433-2021")</f>
        <v/>
      </c>
      <c r="X180">
        <f>HYPERLINK("https://klasma.github.io/Logging_2380/tillsyn/A 59433-2021 tillsynsbegäran.docx", "A 59433-2021")</f>
        <v/>
      </c>
      <c r="Y180">
        <f>HYPERLINK("https://klasma.github.io/Logging_2380/tillsynsmail/A 59433-2021 tillsynsbegäran mail.docx", "A 59433-2021")</f>
        <v/>
      </c>
    </row>
    <row r="181" ht="15" customHeight="1">
      <c r="A181" t="inlineStr">
        <is>
          <t>A 55-2023</t>
        </is>
      </c>
      <c r="B181" s="1" t="n">
        <v>44928</v>
      </c>
      <c r="C181" s="1" t="n">
        <v>46092</v>
      </c>
      <c r="D181" t="inlineStr">
        <is>
          <t>JÄMTLANDS LÄN</t>
        </is>
      </c>
      <c r="E181" t="inlineStr">
        <is>
          <t>ÖSTERSUND</t>
        </is>
      </c>
      <c r="G181" t="n">
        <v>4</v>
      </c>
      <c r="H181" t="n">
        <v>1</v>
      </c>
      <c r="I181" t="n">
        <v>0</v>
      </c>
      <c r="J181" t="n">
        <v>0</v>
      </c>
      <c r="K181" t="n">
        <v>1</v>
      </c>
      <c r="L181" t="n">
        <v>0</v>
      </c>
      <c r="M181" t="n">
        <v>0</v>
      </c>
      <c r="N181" t="n">
        <v>0</v>
      </c>
      <c r="O181" t="n">
        <v>1</v>
      </c>
      <c r="P181" t="n">
        <v>1</v>
      </c>
      <c r="Q181" t="n">
        <v>1</v>
      </c>
      <c r="R181" s="2" t="inlineStr">
        <is>
          <t>Knärot</t>
        </is>
      </c>
      <c r="S181">
        <f>HYPERLINK("https://klasma.github.io/Logging_2380/artfynd/A 55-2023 artfynd.xlsx", "A 55-2023")</f>
        <v/>
      </c>
      <c r="T181">
        <f>HYPERLINK("https://klasma.github.io/Logging_2380/kartor/A 55-2023 karta.png", "A 55-2023")</f>
        <v/>
      </c>
      <c r="U181">
        <f>HYPERLINK("https://klasma.github.io/Logging_2380/knärot/A 55-2023 karta knärot.png", "A 55-2023")</f>
        <v/>
      </c>
      <c r="V181">
        <f>HYPERLINK("https://klasma.github.io/Logging_2380/klagomål/A 55-2023 FSC-klagomål.docx", "A 55-2023")</f>
        <v/>
      </c>
      <c r="W181">
        <f>HYPERLINK("https://klasma.github.io/Logging_2380/klagomålsmail/A 55-2023 FSC-klagomål mail.docx", "A 55-2023")</f>
        <v/>
      </c>
      <c r="X181">
        <f>HYPERLINK("https://klasma.github.io/Logging_2380/tillsyn/A 55-2023 tillsynsbegäran.docx", "A 55-2023")</f>
        <v/>
      </c>
      <c r="Y181">
        <f>HYPERLINK("https://klasma.github.io/Logging_2380/tillsynsmail/A 55-2023 tillsynsbegäran mail.docx", "A 55-2023")</f>
        <v/>
      </c>
    </row>
    <row r="182" ht="15" customHeight="1">
      <c r="A182" t="inlineStr">
        <is>
          <t>A 40696-2024</t>
        </is>
      </c>
      <c r="B182" s="1" t="n">
        <v>45558</v>
      </c>
      <c r="C182" s="1" t="n">
        <v>46092</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43883-2024</t>
        </is>
      </c>
      <c r="B183" s="1" t="n">
        <v>45570</v>
      </c>
      <c r="C183" s="1" t="n">
        <v>46092</v>
      </c>
      <c r="D183" t="inlineStr">
        <is>
          <t>JÄMTLANDS LÄN</t>
        </is>
      </c>
      <c r="E183" t="inlineStr">
        <is>
          <t>ÖSTERSUND</t>
        </is>
      </c>
      <c r="G183" t="n">
        <v>3.8</v>
      </c>
      <c r="H183" t="n">
        <v>0</v>
      </c>
      <c r="I183" t="n">
        <v>0</v>
      </c>
      <c r="J183" t="n">
        <v>0</v>
      </c>
      <c r="K183" t="n">
        <v>1</v>
      </c>
      <c r="L183" t="n">
        <v>0</v>
      </c>
      <c r="M183" t="n">
        <v>0</v>
      </c>
      <c r="N183" t="n">
        <v>0</v>
      </c>
      <c r="O183" t="n">
        <v>1</v>
      </c>
      <c r="P183" t="n">
        <v>1</v>
      </c>
      <c r="Q183" t="n">
        <v>1</v>
      </c>
      <c r="R183" s="2" t="inlineStr">
        <is>
          <t>Frösöstarr</t>
        </is>
      </c>
      <c r="S183">
        <f>HYPERLINK("https://klasma.github.io/Logging_2380/artfynd/A 43883-2024 artfynd.xlsx", "A 43883-2024")</f>
        <v/>
      </c>
      <c r="T183">
        <f>HYPERLINK("https://klasma.github.io/Logging_2380/kartor/A 43883-2024 karta.png", "A 43883-2024")</f>
        <v/>
      </c>
      <c r="V183">
        <f>HYPERLINK("https://klasma.github.io/Logging_2380/klagomål/A 43883-2024 FSC-klagomål.docx", "A 43883-2024")</f>
        <v/>
      </c>
      <c r="W183">
        <f>HYPERLINK("https://klasma.github.io/Logging_2380/klagomålsmail/A 43883-2024 FSC-klagomål mail.docx", "A 43883-2024")</f>
        <v/>
      </c>
      <c r="X183">
        <f>HYPERLINK("https://klasma.github.io/Logging_2380/tillsyn/A 43883-2024 tillsynsbegäran.docx", "A 43883-2024")</f>
        <v/>
      </c>
      <c r="Y183">
        <f>HYPERLINK("https://klasma.github.io/Logging_2380/tillsynsmail/A 43883-2024 tillsynsbegäran mail.docx", "A 43883-2024")</f>
        <v/>
      </c>
    </row>
    <row r="184" ht="15" customHeight="1">
      <c r="A184" t="inlineStr">
        <is>
          <t>A 20620-2021</t>
        </is>
      </c>
      <c r="B184" s="1" t="n">
        <v>44316</v>
      </c>
      <c r="C184" s="1" t="n">
        <v>46092</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46092</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46092</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46092</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46092</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46092</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46092</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46092</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46092</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46092</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46092</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46092</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46092</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46092</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46092</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46092</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46092</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46092</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46092</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46092</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46092</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46092</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46092</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46092</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46092</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17362-2021</t>
        </is>
      </c>
      <c r="B209" s="1" t="n">
        <v>44298</v>
      </c>
      <c r="C209" s="1" t="n">
        <v>46092</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46092</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46092</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46092</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46092</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46092</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46092</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46092</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46092</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46092</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46092</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46092</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46092</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46092</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46092</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46092</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46092</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46092</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46092</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46092</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65991-2021</t>
        </is>
      </c>
      <c r="B229" s="1" t="n">
        <v>44517.55134259259</v>
      </c>
      <c r="C229" s="1" t="n">
        <v>46092</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46092</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46092</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46092</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46092</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46092</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46092</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46092</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46092</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46092</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46092</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46092</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46092</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46092</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46092</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46092</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46092</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46092</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49592-2024</t>
        </is>
      </c>
      <c r="B247" s="1" t="n">
        <v>45596.55266203704</v>
      </c>
      <c r="C247" s="1" t="n">
        <v>46092</v>
      </c>
      <c r="D247" t="inlineStr">
        <is>
          <t>JÄMTLANDS LÄN</t>
        </is>
      </c>
      <c r="E247" t="inlineStr">
        <is>
          <t>ÖSTERSUND</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35556-2022</t>
        </is>
      </c>
      <c r="B248" s="1" t="n">
        <v>44799</v>
      </c>
      <c r="C248" s="1" t="n">
        <v>46092</v>
      </c>
      <c r="D248" t="inlineStr">
        <is>
          <t>JÄMTLANDS LÄN</t>
        </is>
      </c>
      <c r="E248" t="inlineStr">
        <is>
          <t>ÖSTERSUND</t>
        </is>
      </c>
      <c r="G248" t="n">
        <v>3.6</v>
      </c>
      <c r="H248" t="n">
        <v>0</v>
      </c>
      <c r="I248" t="n">
        <v>0</v>
      </c>
      <c r="J248" t="n">
        <v>0</v>
      </c>
      <c r="K248" t="n">
        <v>0</v>
      </c>
      <c r="L248" t="n">
        <v>0</v>
      </c>
      <c r="M248" t="n">
        <v>0</v>
      </c>
      <c r="N248" t="n">
        <v>0</v>
      </c>
      <c r="O248" t="n">
        <v>0</v>
      </c>
      <c r="P248" t="n">
        <v>0</v>
      </c>
      <c r="Q248" t="n">
        <v>0</v>
      </c>
      <c r="R248" s="2" t="inlineStr"/>
    </row>
    <row r="249" ht="15" customHeight="1">
      <c r="A249" t="inlineStr">
        <is>
          <t>A 6013-2022</t>
        </is>
      </c>
      <c r="B249" s="1" t="n">
        <v>44599.45850694444</v>
      </c>
      <c r="C249" s="1" t="n">
        <v>46092</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53802-2022</t>
        </is>
      </c>
      <c r="B250" s="1" t="n">
        <v>44875</v>
      </c>
      <c r="C250" s="1" t="n">
        <v>46092</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46092</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45980-2023</t>
        </is>
      </c>
      <c r="B252" s="1" t="n">
        <v>45189</v>
      </c>
      <c r="C252" s="1" t="n">
        <v>46092</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4872-2023</t>
        </is>
      </c>
      <c r="B253" s="1" t="n">
        <v>44957</v>
      </c>
      <c r="C253" s="1" t="n">
        <v>46092</v>
      </c>
      <c r="D253" t="inlineStr">
        <is>
          <t>JÄMTLANDS LÄN</t>
        </is>
      </c>
      <c r="E253" t="inlineStr">
        <is>
          <t>ÖSTERSUND</t>
        </is>
      </c>
      <c r="G253" t="n">
        <v>10.7</v>
      </c>
      <c r="H253" t="n">
        <v>0</v>
      </c>
      <c r="I253" t="n">
        <v>0</v>
      </c>
      <c r="J253" t="n">
        <v>0</v>
      </c>
      <c r="K253" t="n">
        <v>0</v>
      </c>
      <c r="L253" t="n">
        <v>0</v>
      </c>
      <c r="M253" t="n">
        <v>0</v>
      </c>
      <c r="N253" t="n">
        <v>0</v>
      </c>
      <c r="O253" t="n">
        <v>0</v>
      </c>
      <c r="P253" t="n">
        <v>0</v>
      </c>
      <c r="Q253" t="n">
        <v>0</v>
      </c>
      <c r="R253" s="2" t="inlineStr"/>
    </row>
    <row r="254" ht="15" customHeight="1">
      <c r="A254" t="inlineStr">
        <is>
          <t>A 7573-2022</t>
        </is>
      </c>
      <c r="B254" s="1" t="n">
        <v>44607</v>
      </c>
      <c r="C254" s="1" t="n">
        <v>46092</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12946-2022</t>
        </is>
      </c>
      <c r="B255" s="1" t="n">
        <v>44642.93471064815</v>
      </c>
      <c r="C255" s="1" t="n">
        <v>46092</v>
      </c>
      <c r="D255" t="inlineStr">
        <is>
          <t>JÄMTLANDS LÄN</t>
        </is>
      </c>
      <c r="E255" t="inlineStr">
        <is>
          <t>ÖSTERSUND</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60681-2022</t>
        </is>
      </c>
      <c r="B256" s="1" t="n">
        <v>44911.93994212963</v>
      </c>
      <c r="C256" s="1" t="n">
        <v>46092</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48106-2024</t>
        </is>
      </c>
      <c r="B257" s="1" t="n">
        <v>45589.62625</v>
      </c>
      <c r="C257" s="1" t="n">
        <v>46092</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10493-2025</t>
        </is>
      </c>
      <c r="B258" s="1" t="n">
        <v>45721.36320601852</v>
      </c>
      <c r="C258" s="1" t="n">
        <v>46092</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17948-2025</t>
        </is>
      </c>
      <c r="B259" s="1" t="n">
        <v>45760.66995370371</v>
      </c>
      <c r="C259" s="1" t="n">
        <v>46092</v>
      </c>
      <c r="D259" t="inlineStr">
        <is>
          <t>JÄMTLANDS LÄN</t>
        </is>
      </c>
      <c r="E259" t="inlineStr">
        <is>
          <t>ÖSTERSUND</t>
        </is>
      </c>
      <c r="G259" t="n">
        <v>3.9</v>
      </c>
      <c r="H259" t="n">
        <v>0</v>
      </c>
      <c r="I259" t="n">
        <v>0</v>
      </c>
      <c r="J259" t="n">
        <v>0</v>
      </c>
      <c r="K259" t="n">
        <v>0</v>
      </c>
      <c r="L259" t="n">
        <v>0</v>
      </c>
      <c r="M259" t="n">
        <v>0</v>
      </c>
      <c r="N259" t="n">
        <v>0</v>
      </c>
      <c r="O259" t="n">
        <v>0</v>
      </c>
      <c r="P259" t="n">
        <v>0</v>
      </c>
      <c r="Q259" t="n">
        <v>0</v>
      </c>
      <c r="R259" s="2" t="inlineStr"/>
    </row>
    <row r="260" ht="15" customHeight="1">
      <c r="A260" t="inlineStr">
        <is>
          <t>A 1255-2025</t>
        </is>
      </c>
      <c r="B260" s="1" t="n">
        <v>45667.46922453704</v>
      </c>
      <c r="C260" s="1" t="n">
        <v>46092</v>
      </c>
      <c r="D260" t="inlineStr">
        <is>
          <t>JÄMTLANDS LÄN</t>
        </is>
      </c>
      <c r="E260" t="inlineStr">
        <is>
          <t>ÖSTERSUND</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4520-2025</t>
        </is>
      </c>
      <c r="B261" s="1" t="n">
        <v>45686.92384259259</v>
      </c>
      <c r="C261" s="1" t="n">
        <v>46092</v>
      </c>
      <c r="D261" t="inlineStr">
        <is>
          <t>JÄMTLANDS LÄN</t>
        </is>
      </c>
      <c r="E261" t="inlineStr">
        <is>
          <t>ÖSTERSUND</t>
        </is>
      </c>
      <c r="G261" t="n">
        <v>15.2</v>
      </c>
      <c r="H261" t="n">
        <v>0</v>
      </c>
      <c r="I261" t="n">
        <v>0</v>
      </c>
      <c r="J261" t="n">
        <v>0</v>
      </c>
      <c r="K261" t="n">
        <v>0</v>
      </c>
      <c r="L261" t="n">
        <v>0</v>
      </c>
      <c r="M261" t="n">
        <v>0</v>
      </c>
      <c r="N261" t="n">
        <v>0</v>
      </c>
      <c r="O261" t="n">
        <v>0</v>
      </c>
      <c r="P261" t="n">
        <v>0</v>
      </c>
      <c r="Q261" t="n">
        <v>0</v>
      </c>
      <c r="R261" s="2" t="inlineStr"/>
    </row>
    <row r="262" ht="15" customHeight="1">
      <c r="A262" t="inlineStr">
        <is>
          <t>A 4523-2025</t>
        </is>
      </c>
      <c r="B262" s="1" t="n">
        <v>45686.92864583333</v>
      </c>
      <c r="C262" s="1" t="n">
        <v>46092</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22713-2025</t>
        </is>
      </c>
      <c r="B263" s="1" t="n">
        <v>45789.56414351852</v>
      </c>
      <c r="C263" s="1" t="n">
        <v>46092</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21495-2022</t>
        </is>
      </c>
      <c r="B264" s="1" t="n">
        <v>44706</v>
      </c>
      <c r="C264" s="1" t="n">
        <v>46092</v>
      </c>
      <c r="D264" t="inlineStr">
        <is>
          <t>JÄMTLANDS LÄN</t>
        </is>
      </c>
      <c r="E264" t="inlineStr">
        <is>
          <t>ÖSTERSUND</t>
        </is>
      </c>
      <c r="G264" t="n">
        <v>1.3</v>
      </c>
      <c r="H264" t="n">
        <v>0</v>
      </c>
      <c r="I264" t="n">
        <v>0</v>
      </c>
      <c r="J264" t="n">
        <v>0</v>
      </c>
      <c r="K264" t="n">
        <v>0</v>
      </c>
      <c r="L264" t="n">
        <v>0</v>
      </c>
      <c r="M264" t="n">
        <v>0</v>
      </c>
      <c r="N264" t="n">
        <v>0</v>
      </c>
      <c r="O264" t="n">
        <v>0</v>
      </c>
      <c r="P264" t="n">
        <v>0</v>
      </c>
      <c r="Q264" t="n">
        <v>0</v>
      </c>
      <c r="R264" s="2" t="inlineStr"/>
    </row>
    <row r="265" ht="15" customHeight="1">
      <c r="A265" t="inlineStr">
        <is>
          <t>A 55179-2025</t>
        </is>
      </c>
      <c r="B265" s="1" t="n">
        <v>45968.53167824074</v>
      </c>
      <c r="C265" s="1" t="n">
        <v>46092</v>
      </c>
      <c r="D265" t="inlineStr">
        <is>
          <t>JÄMTLANDS LÄN</t>
        </is>
      </c>
      <c r="E265" t="inlineStr">
        <is>
          <t>ÖSTERSUND</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43557-2024</t>
        </is>
      </c>
      <c r="B266" s="1" t="n">
        <v>45569.39229166666</v>
      </c>
      <c r="C266" s="1" t="n">
        <v>46092</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22822-2025</t>
        </is>
      </c>
      <c r="B267" s="1" t="n">
        <v>45789</v>
      </c>
      <c r="C267" s="1" t="n">
        <v>46092</v>
      </c>
      <c r="D267" t="inlineStr">
        <is>
          <t>JÄMTLANDS LÄN</t>
        </is>
      </c>
      <c r="E267" t="inlineStr">
        <is>
          <t>ÖSTERSUND</t>
        </is>
      </c>
      <c r="G267" t="n">
        <v>2.2</v>
      </c>
      <c r="H267" t="n">
        <v>0</v>
      </c>
      <c r="I267" t="n">
        <v>0</v>
      </c>
      <c r="J267" t="n">
        <v>0</v>
      </c>
      <c r="K267" t="n">
        <v>0</v>
      </c>
      <c r="L267" t="n">
        <v>0</v>
      </c>
      <c r="M267" t="n">
        <v>0</v>
      </c>
      <c r="N267" t="n">
        <v>0</v>
      </c>
      <c r="O267" t="n">
        <v>0</v>
      </c>
      <c r="P267" t="n">
        <v>0</v>
      </c>
      <c r="Q267" t="n">
        <v>0</v>
      </c>
      <c r="R267" s="2" t="inlineStr"/>
    </row>
    <row r="268" ht="15" customHeight="1">
      <c r="A268" t="inlineStr">
        <is>
          <t>A 4521-2025</t>
        </is>
      </c>
      <c r="B268" s="1" t="n">
        <v>45686</v>
      </c>
      <c r="C268" s="1" t="n">
        <v>46092</v>
      </c>
      <c r="D268" t="inlineStr">
        <is>
          <t>JÄMTLANDS LÄN</t>
        </is>
      </c>
      <c r="E268" t="inlineStr">
        <is>
          <t>ÖSTERSUND</t>
        </is>
      </c>
      <c r="G268" t="n">
        <v>28.4</v>
      </c>
      <c r="H268" t="n">
        <v>0</v>
      </c>
      <c r="I268" t="n">
        <v>0</v>
      </c>
      <c r="J268" t="n">
        <v>0</v>
      </c>
      <c r="K268" t="n">
        <v>0</v>
      </c>
      <c r="L268" t="n">
        <v>0</v>
      </c>
      <c r="M268" t="n">
        <v>0</v>
      </c>
      <c r="N268" t="n">
        <v>0</v>
      </c>
      <c r="O268" t="n">
        <v>0</v>
      </c>
      <c r="P268" t="n">
        <v>0</v>
      </c>
      <c r="Q268" t="n">
        <v>0</v>
      </c>
      <c r="R268" s="2" t="inlineStr"/>
    </row>
    <row r="269" ht="15" customHeight="1">
      <c r="A269" t="inlineStr">
        <is>
          <t>A 22384-2025</t>
        </is>
      </c>
      <c r="B269" s="1" t="n">
        <v>45786</v>
      </c>
      <c r="C269" s="1" t="n">
        <v>46092</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47627-2024</t>
        </is>
      </c>
      <c r="B270" s="1" t="n">
        <v>45588.3440625</v>
      </c>
      <c r="C270" s="1" t="n">
        <v>46092</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47628-2024</t>
        </is>
      </c>
      <c r="B271" s="1" t="n">
        <v>45588.34418981482</v>
      </c>
      <c r="C271" s="1" t="n">
        <v>46092</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38871-2025</t>
        </is>
      </c>
      <c r="B272" s="1" t="n">
        <v>45887.57407407407</v>
      </c>
      <c r="C272" s="1" t="n">
        <v>46092</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24246-2024</t>
        </is>
      </c>
      <c r="B273" s="1" t="n">
        <v>45457.37893518519</v>
      </c>
      <c r="C273" s="1" t="n">
        <v>46092</v>
      </c>
      <c r="D273" t="inlineStr">
        <is>
          <t>JÄMTLANDS LÄN</t>
        </is>
      </c>
      <c r="E273" t="inlineStr">
        <is>
          <t>ÖSTERSUND</t>
        </is>
      </c>
      <c r="G273" t="n">
        <v>5.3</v>
      </c>
      <c r="H273" t="n">
        <v>0</v>
      </c>
      <c r="I273" t="n">
        <v>0</v>
      </c>
      <c r="J273" t="n">
        <v>0</v>
      </c>
      <c r="K273" t="n">
        <v>0</v>
      </c>
      <c r="L273" t="n">
        <v>0</v>
      </c>
      <c r="M273" t="n">
        <v>0</v>
      </c>
      <c r="N273" t="n">
        <v>0</v>
      </c>
      <c r="O273" t="n">
        <v>0</v>
      </c>
      <c r="P273" t="n">
        <v>0</v>
      </c>
      <c r="Q273" t="n">
        <v>0</v>
      </c>
      <c r="R273" s="2" t="inlineStr"/>
    </row>
    <row r="274" ht="15" customHeight="1">
      <c r="A274" t="inlineStr">
        <is>
          <t>A 56165-2025</t>
        </is>
      </c>
      <c r="B274" s="1" t="n">
        <v>45974.38310185185</v>
      </c>
      <c r="C274" s="1" t="n">
        <v>46092</v>
      </c>
      <c r="D274" t="inlineStr">
        <is>
          <t>JÄMTLANDS LÄN</t>
        </is>
      </c>
      <c r="E274" t="inlineStr">
        <is>
          <t>ÖSTERSUND</t>
        </is>
      </c>
      <c r="G274" t="n">
        <v>1.2</v>
      </c>
      <c r="H274" t="n">
        <v>0</v>
      </c>
      <c r="I274" t="n">
        <v>0</v>
      </c>
      <c r="J274" t="n">
        <v>0</v>
      </c>
      <c r="K274" t="n">
        <v>0</v>
      </c>
      <c r="L274" t="n">
        <v>0</v>
      </c>
      <c r="M274" t="n">
        <v>0</v>
      </c>
      <c r="N274" t="n">
        <v>0</v>
      </c>
      <c r="O274" t="n">
        <v>0</v>
      </c>
      <c r="P274" t="n">
        <v>0</v>
      </c>
      <c r="Q274" t="n">
        <v>0</v>
      </c>
      <c r="R274" s="2" t="inlineStr"/>
    </row>
    <row r="275" ht="15" customHeight="1">
      <c r="A275" t="inlineStr">
        <is>
          <t>A 46139-2021</t>
        </is>
      </c>
      <c r="B275" s="1" t="n">
        <v>44441</v>
      </c>
      <c r="C275" s="1" t="n">
        <v>46092</v>
      </c>
      <c r="D275" t="inlineStr">
        <is>
          <t>JÄMTLANDS LÄN</t>
        </is>
      </c>
      <c r="E275" t="inlineStr">
        <is>
          <t>ÖSTERSUND</t>
        </is>
      </c>
      <c r="G275" t="n">
        <v>12.8</v>
      </c>
      <c r="H275" t="n">
        <v>0</v>
      </c>
      <c r="I275" t="n">
        <v>0</v>
      </c>
      <c r="J275" t="n">
        <v>0</v>
      </c>
      <c r="K275" t="n">
        <v>0</v>
      </c>
      <c r="L275" t="n">
        <v>0</v>
      </c>
      <c r="M275" t="n">
        <v>0</v>
      </c>
      <c r="N275" t="n">
        <v>0</v>
      </c>
      <c r="O275" t="n">
        <v>0</v>
      </c>
      <c r="P275" t="n">
        <v>0</v>
      </c>
      <c r="Q275" t="n">
        <v>0</v>
      </c>
      <c r="R275" s="2" t="inlineStr"/>
    </row>
    <row r="276" ht="15" customHeight="1">
      <c r="A276" t="inlineStr">
        <is>
          <t>A 38853-2025</t>
        </is>
      </c>
      <c r="B276" s="1" t="n">
        <v>45887.55666666666</v>
      </c>
      <c r="C276" s="1" t="n">
        <v>46092</v>
      </c>
      <c r="D276" t="inlineStr">
        <is>
          <t>JÄMTLANDS LÄN</t>
        </is>
      </c>
      <c r="E276" t="inlineStr">
        <is>
          <t>ÖSTERSUND</t>
        </is>
      </c>
      <c r="G276" t="n">
        <v>2.5</v>
      </c>
      <c r="H276" t="n">
        <v>0</v>
      </c>
      <c r="I276" t="n">
        <v>0</v>
      </c>
      <c r="J276" t="n">
        <v>0</v>
      </c>
      <c r="K276" t="n">
        <v>0</v>
      </c>
      <c r="L276" t="n">
        <v>0</v>
      </c>
      <c r="M276" t="n">
        <v>0</v>
      </c>
      <c r="N276" t="n">
        <v>0</v>
      </c>
      <c r="O276" t="n">
        <v>0</v>
      </c>
      <c r="P276" t="n">
        <v>0</v>
      </c>
      <c r="Q276" t="n">
        <v>0</v>
      </c>
      <c r="R276" s="2" t="inlineStr"/>
    </row>
    <row r="277" ht="15" customHeight="1">
      <c r="A277" t="inlineStr">
        <is>
          <t>A 56903-2025</t>
        </is>
      </c>
      <c r="B277" s="1" t="n">
        <v>45978.57414351852</v>
      </c>
      <c r="C277" s="1" t="n">
        <v>46092</v>
      </c>
      <c r="D277" t="inlineStr">
        <is>
          <t>JÄMTLANDS LÄN</t>
        </is>
      </c>
      <c r="E277" t="inlineStr">
        <is>
          <t>ÖSTERSUND</t>
        </is>
      </c>
      <c r="G277" t="n">
        <v>3</v>
      </c>
      <c r="H277" t="n">
        <v>0</v>
      </c>
      <c r="I277" t="n">
        <v>0</v>
      </c>
      <c r="J277" t="n">
        <v>0</v>
      </c>
      <c r="K277" t="n">
        <v>0</v>
      </c>
      <c r="L277" t="n">
        <v>0</v>
      </c>
      <c r="M277" t="n">
        <v>0</v>
      </c>
      <c r="N277" t="n">
        <v>0</v>
      </c>
      <c r="O277" t="n">
        <v>0</v>
      </c>
      <c r="P277" t="n">
        <v>0</v>
      </c>
      <c r="Q277" t="n">
        <v>0</v>
      </c>
      <c r="R277" s="2" t="inlineStr"/>
    </row>
    <row r="278" ht="15" customHeight="1">
      <c r="A278" t="inlineStr">
        <is>
          <t>A 56690-2025</t>
        </is>
      </c>
      <c r="B278" s="1" t="n">
        <v>45976.58684027778</v>
      </c>
      <c r="C278" s="1" t="n">
        <v>46092</v>
      </c>
      <c r="D278" t="inlineStr">
        <is>
          <t>JÄMTLANDS LÄN</t>
        </is>
      </c>
      <c r="E278" t="inlineStr">
        <is>
          <t>ÖSTERSUND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23249-2025</t>
        </is>
      </c>
      <c r="B279" s="1" t="n">
        <v>45791</v>
      </c>
      <c r="C279" s="1" t="n">
        <v>46092</v>
      </c>
      <c r="D279" t="inlineStr">
        <is>
          <t>JÄMTLANDS LÄN</t>
        </is>
      </c>
      <c r="E279" t="inlineStr">
        <is>
          <t>ÖSTERSUND</t>
        </is>
      </c>
      <c r="G279" t="n">
        <v>10</v>
      </c>
      <c r="H279" t="n">
        <v>0</v>
      </c>
      <c r="I279" t="n">
        <v>0</v>
      </c>
      <c r="J279" t="n">
        <v>0</v>
      </c>
      <c r="K279" t="n">
        <v>0</v>
      </c>
      <c r="L279" t="n">
        <v>0</v>
      </c>
      <c r="M279" t="n">
        <v>0</v>
      </c>
      <c r="N279" t="n">
        <v>0</v>
      </c>
      <c r="O279" t="n">
        <v>0</v>
      </c>
      <c r="P279" t="n">
        <v>0</v>
      </c>
      <c r="Q279" t="n">
        <v>0</v>
      </c>
      <c r="R279" s="2" t="inlineStr"/>
    </row>
    <row r="280" ht="15" customHeight="1">
      <c r="A280" t="inlineStr">
        <is>
          <t>A 23100-2025</t>
        </is>
      </c>
      <c r="B280" s="1" t="n">
        <v>45791.35212962963</v>
      </c>
      <c r="C280" s="1" t="n">
        <v>46092</v>
      </c>
      <c r="D280" t="inlineStr">
        <is>
          <t>JÄMTLANDS LÄN</t>
        </is>
      </c>
      <c r="E280" t="inlineStr">
        <is>
          <t>ÖSTERSUND</t>
        </is>
      </c>
      <c r="G280" t="n">
        <v>4.5</v>
      </c>
      <c r="H280" t="n">
        <v>0</v>
      </c>
      <c r="I280" t="n">
        <v>0</v>
      </c>
      <c r="J280" t="n">
        <v>0</v>
      </c>
      <c r="K280" t="n">
        <v>0</v>
      </c>
      <c r="L280" t="n">
        <v>0</v>
      </c>
      <c r="M280" t="n">
        <v>0</v>
      </c>
      <c r="N280" t="n">
        <v>0</v>
      </c>
      <c r="O280" t="n">
        <v>0</v>
      </c>
      <c r="P280" t="n">
        <v>0</v>
      </c>
      <c r="Q280" t="n">
        <v>0</v>
      </c>
      <c r="R280" s="2" t="inlineStr"/>
    </row>
    <row r="281" ht="15" customHeight="1">
      <c r="A281" t="inlineStr">
        <is>
          <t>A 2984-2024</t>
        </is>
      </c>
      <c r="B281" s="1" t="n">
        <v>45315</v>
      </c>
      <c r="C281" s="1" t="n">
        <v>46092</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23110-2025</t>
        </is>
      </c>
      <c r="B282" s="1" t="n">
        <v>45791.36526620371</v>
      </c>
      <c r="C282" s="1" t="n">
        <v>46092</v>
      </c>
      <c r="D282" t="inlineStr">
        <is>
          <t>JÄMTLANDS LÄN</t>
        </is>
      </c>
      <c r="E282" t="inlineStr">
        <is>
          <t>ÖSTERSUND</t>
        </is>
      </c>
      <c r="G282" t="n">
        <v>1</v>
      </c>
      <c r="H282" t="n">
        <v>0</v>
      </c>
      <c r="I282" t="n">
        <v>0</v>
      </c>
      <c r="J282" t="n">
        <v>0</v>
      </c>
      <c r="K282" t="n">
        <v>0</v>
      </c>
      <c r="L282" t="n">
        <v>0</v>
      </c>
      <c r="M282" t="n">
        <v>0</v>
      </c>
      <c r="N282" t="n">
        <v>0</v>
      </c>
      <c r="O282" t="n">
        <v>0</v>
      </c>
      <c r="P282" t="n">
        <v>0</v>
      </c>
      <c r="Q282" t="n">
        <v>0</v>
      </c>
      <c r="R282" s="2" t="inlineStr"/>
    </row>
    <row r="283" ht="15" customHeight="1">
      <c r="A283" t="inlineStr">
        <is>
          <t>A 55002-2024</t>
        </is>
      </c>
      <c r="B283" s="1" t="n">
        <v>45621</v>
      </c>
      <c r="C283" s="1" t="n">
        <v>46092</v>
      </c>
      <c r="D283" t="inlineStr">
        <is>
          <t>JÄMTLANDS LÄN</t>
        </is>
      </c>
      <c r="E283" t="inlineStr">
        <is>
          <t>ÖSTERSUND</t>
        </is>
      </c>
      <c r="F283" t="inlineStr">
        <is>
          <t>Övriga Aktiebolag</t>
        </is>
      </c>
      <c r="G283" t="n">
        <v>0.3</v>
      </c>
      <c r="H283" t="n">
        <v>0</v>
      </c>
      <c r="I283" t="n">
        <v>0</v>
      </c>
      <c r="J283" t="n">
        <v>0</v>
      </c>
      <c r="K283" t="n">
        <v>0</v>
      </c>
      <c r="L283" t="n">
        <v>0</v>
      </c>
      <c r="M283" t="n">
        <v>0</v>
      </c>
      <c r="N283" t="n">
        <v>0</v>
      </c>
      <c r="O283" t="n">
        <v>0</v>
      </c>
      <c r="P283" t="n">
        <v>0</v>
      </c>
      <c r="Q283" t="n">
        <v>0</v>
      </c>
      <c r="R283" s="2" t="inlineStr"/>
    </row>
    <row r="284" ht="15" customHeight="1">
      <c r="A284" t="inlineStr">
        <is>
          <t>A 55666-2023</t>
        </is>
      </c>
      <c r="B284" s="1" t="n">
        <v>45238.96770833333</v>
      </c>
      <c r="C284" s="1" t="n">
        <v>46092</v>
      </c>
      <c r="D284" t="inlineStr">
        <is>
          <t>JÄMTLANDS LÄN</t>
        </is>
      </c>
      <c r="E284" t="inlineStr">
        <is>
          <t>ÖSTERSUND</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9109-2024</t>
        </is>
      </c>
      <c r="B285" s="1" t="n">
        <v>45357.96106481482</v>
      </c>
      <c r="C285" s="1" t="n">
        <v>46092</v>
      </c>
      <c r="D285" t="inlineStr">
        <is>
          <t>JÄMTLANDS LÄN</t>
        </is>
      </c>
      <c r="E285" t="inlineStr">
        <is>
          <t>ÖSTERSUND</t>
        </is>
      </c>
      <c r="G285" t="n">
        <v>17.1</v>
      </c>
      <c r="H285" t="n">
        <v>0</v>
      </c>
      <c r="I285" t="n">
        <v>0</v>
      </c>
      <c r="J285" t="n">
        <v>0</v>
      </c>
      <c r="K285" t="n">
        <v>0</v>
      </c>
      <c r="L285" t="n">
        <v>0</v>
      </c>
      <c r="M285" t="n">
        <v>0</v>
      </c>
      <c r="N285" t="n">
        <v>0</v>
      </c>
      <c r="O285" t="n">
        <v>0</v>
      </c>
      <c r="P285" t="n">
        <v>0</v>
      </c>
      <c r="Q285" t="n">
        <v>0</v>
      </c>
      <c r="R285" s="2" t="inlineStr"/>
    </row>
    <row r="286" ht="15" customHeight="1">
      <c r="A286" t="inlineStr">
        <is>
          <t>A 57513-2025</t>
        </is>
      </c>
      <c r="B286" s="1" t="n">
        <v>45980.61142361111</v>
      </c>
      <c r="C286" s="1" t="n">
        <v>46092</v>
      </c>
      <c r="D286" t="inlineStr">
        <is>
          <t>JÄMTLANDS LÄN</t>
        </is>
      </c>
      <c r="E286" t="inlineStr">
        <is>
          <t>ÖSTERSUND</t>
        </is>
      </c>
      <c r="G286" t="n">
        <v>3.8</v>
      </c>
      <c r="H286" t="n">
        <v>0</v>
      </c>
      <c r="I286" t="n">
        <v>0</v>
      </c>
      <c r="J286" t="n">
        <v>0</v>
      </c>
      <c r="K286" t="n">
        <v>0</v>
      </c>
      <c r="L286" t="n">
        <v>0</v>
      </c>
      <c r="M286" t="n">
        <v>0</v>
      </c>
      <c r="N286" t="n">
        <v>0</v>
      </c>
      <c r="O286" t="n">
        <v>0</v>
      </c>
      <c r="P286" t="n">
        <v>0</v>
      </c>
      <c r="Q286" t="n">
        <v>0</v>
      </c>
      <c r="R286" s="2" t="inlineStr"/>
    </row>
    <row r="287" ht="15" customHeight="1">
      <c r="A287" t="inlineStr">
        <is>
          <t>A 19664-2025</t>
        </is>
      </c>
      <c r="B287" s="1" t="n">
        <v>45770.6925462963</v>
      </c>
      <c r="C287" s="1" t="n">
        <v>46092</v>
      </c>
      <c r="D287" t="inlineStr">
        <is>
          <t>JÄMTLANDS LÄN</t>
        </is>
      </c>
      <c r="E287" t="inlineStr">
        <is>
          <t>ÖSTERSUND</t>
        </is>
      </c>
      <c r="G287" t="n">
        <v>8.6</v>
      </c>
      <c r="H287" t="n">
        <v>0</v>
      </c>
      <c r="I287" t="n">
        <v>0</v>
      </c>
      <c r="J287" t="n">
        <v>0</v>
      </c>
      <c r="K287" t="n">
        <v>0</v>
      </c>
      <c r="L287" t="n">
        <v>0</v>
      </c>
      <c r="M287" t="n">
        <v>0</v>
      </c>
      <c r="N287" t="n">
        <v>0</v>
      </c>
      <c r="O287" t="n">
        <v>0</v>
      </c>
      <c r="P287" t="n">
        <v>0</v>
      </c>
      <c r="Q287" t="n">
        <v>0</v>
      </c>
      <c r="R287" s="2" t="inlineStr"/>
    </row>
    <row r="288" ht="15" customHeight="1">
      <c r="A288" t="inlineStr">
        <is>
          <t>A 50088-2024</t>
        </is>
      </c>
      <c r="B288" s="1" t="n">
        <v>45600.38585648148</v>
      </c>
      <c r="C288" s="1" t="n">
        <v>46092</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56646-2024</t>
        </is>
      </c>
      <c r="B289" s="1" t="n">
        <v>45625</v>
      </c>
      <c r="C289" s="1" t="n">
        <v>46092</v>
      </c>
      <c r="D289" t="inlineStr">
        <is>
          <t>JÄMTLANDS LÄN</t>
        </is>
      </c>
      <c r="E289" t="inlineStr">
        <is>
          <t>ÖSTERSUND</t>
        </is>
      </c>
      <c r="G289" t="n">
        <v>18.9</v>
      </c>
      <c r="H289" t="n">
        <v>0</v>
      </c>
      <c r="I289" t="n">
        <v>0</v>
      </c>
      <c r="J289" t="n">
        <v>0</v>
      </c>
      <c r="K289" t="n">
        <v>0</v>
      </c>
      <c r="L289" t="n">
        <v>0</v>
      </c>
      <c r="M289" t="n">
        <v>0</v>
      </c>
      <c r="N289" t="n">
        <v>0</v>
      </c>
      <c r="O289" t="n">
        <v>0</v>
      </c>
      <c r="P289" t="n">
        <v>0</v>
      </c>
      <c r="Q289" t="n">
        <v>0</v>
      </c>
      <c r="R289" s="2" t="inlineStr"/>
    </row>
    <row r="290" ht="15" customHeight="1">
      <c r="A290" t="inlineStr">
        <is>
          <t>A 58122-2025</t>
        </is>
      </c>
      <c r="B290" s="1" t="n">
        <v>45982.61043981482</v>
      </c>
      <c r="C290" s="1" t="n">
        <v>46092</v>
      </c>
      <c r="D290" t="inlineStr">
        <is>
          <t>JÄMTLANDS LÄN</t>
        </is>
      </c>
      <c r="E290" t="inlineStr">
        <is>
          <t>ÖSTERSUND</t>
        </is>
      </c>
      <c r="G290" t="n">
        <v>2.2</v>
      </c>
      <c r="H290" t="n">
        <v>0</v>
      </c>
      <c r="I290" t="n">
        <v>0</v>
      </c>
      <c r="J290" t="n">
        <v>0</v>
      </c>
      <c r="K290" t="n">
        <v>0</v>
      </c>
      <c r="L290" t="n">
        <v>0</v>
      </c>
      <c r="M290" t="n">
        <v>0</v>
      </c>
      <c r="N290" t="n">
        <v>0</v>
      </c>
      <c r="O290" t="n">
        <v>0</v>
      </c>
      <c r="P290" t="n">
        <v>0</v>
      </c>
      <c r="Q290" t="n">
        <v>0</v>
      </c>
      <c r="R290" s="2" t="inlineStr"/>
    </row>
    <row r="291" ht="15" customHeight="1">
      <c r="A291" t="inlineStr">
        <is>
          <t>A 39030-2025</t>
        </is>
      </c>
      <c r="B291" s="1" t="n">
        <v>45888.40700231482</v>
      </c>
      <c r="C291" s="1" t="n">
        <v>46092</v>
      </c>
      <c r="D291" t="inlineStr">
        <is>
          <t>JÄMTLANDS LÄN</t>
        </is>
      </c>
      <c r="E291" t="inlineStr">
        <is>
          <t>ÖSTERSUND</t>
        </is>
      </c>
      <c r="G291" t="n">
        <v>1.8</v>
      </c>
      <c r="H291" t="n">
        <v>0</v>
      </c>
      <c r="I291" t="n">
        <v>0</v>
      </c>
      <c r="J291" t="n">
        <v>0</v>
      </c>
      <c r="K291" t="n">
        <v>0</v>
      </c>
      <c r="L291" t="n">
        <v>0</v>
      </c>
      <c r="M291" t="n">
        <v>0</v>
      </c>
      <c r="N291" t="n">
        <v>0</v>
      </c>
      <c r="O291" t="n">
        <v>0</v>
      </c>
      <c r="P291" t="n">
        <v>0</v>
      </c>
      <c r="Q291" t="n">
        <v>0</v>
      </c>
      <c r="R291" s="2" t="inlineStr"/>
    </row>
    <row r="292" ht="15" customHeight="1">
      <c r="A292" t="inlineStr">
        <is>
          <t>A 58099-2025</t>
        </is>
      </c>
      <c r="B292" s="1" t="n">
        <v>45982.5862037037</v>
      </c>
      <c r="C292" s="1" t="n">
        <v>46092</v>
      </c>
      <c r="D292" t="inlineStr">
        <is>
          <t>JÄMTLANDS LÄN</t>
        </is>
      </c>
      <c r="E292" t="inlineStr">
        <is>
          <t>ÖSTERSUND</t>
        </is>
      </c>
      <c r="G292" t="n">
        <v>6.1</v>
      </c>
      <c r="H292" t="n">
        <v>0</v>
      </c>
      <c r="I292" t="n">
        <v>0</v>
      </c>
      <c r="J292" t="n">
        <v>0</v>
      </c>
      <c r="K292" t="n">
        <v>0</v>
      </c>
      <c r="L292" t="n">
        <v>0</v>
      </c>
      <c r="M292" t="n">
        <v>0</v>
      </c>
      <c r="N292" t="n">
        <v>0</v>
      </c>
      <c r="O292" t="n">
        <v>0</v>
      </c>
      <c r="P292" t="n">
        <v>0</v>
      </c>
      <c r="Q292" t="n">
        <v>0</v>
      </c>
      <c r="R292" s="2" t="inlineStr"/>
    </row>
    <row r="293" ht="15" customHeight="1">
      <c r="A293" t="inlineStr">
        <is>
          <t>A 11740-2022</t>
        </is>
      </c>
      <c r="B293" s="1" t="n">
        <v>44634.52982638889</v>
      </c>
      <c r="C293" s="1" t="n">
        <v>46092</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58440-2025</t>
        </is>
      </c>
      <c r="B294" s="1" t="n">
        <v>45985.61524305555</v>
      </c>
      <c r="C294" s="1" t="n">
        <v>46092</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39103-2025</t>
        </is>
      </c>
      <c r="B295" s="1" t="n">
        <v>45888.52440972222</v>
      </c>
      <c r="C295" s="1" t="n">
        <v>46092</v>
      </c>
      <c r="D295" t="inlineStr">
        <is>
          <t>JÄMTLANDS LÄN</t>
        </is>
      </c>
      <c r="E295" t="inlineStr">
        <is>
          <t>ÖSTERSUND</t>
        </is>
      </c>
      <c r="G295" t="n">
        <v>23.9</v>
      </c>
      <c r="H295" t="n">
        <v>0</v>
      </c>
      <c r="I295" t="n">
        <v>0</v>
      </c>
      <c r="J295" t="n">
        <v>0</v>
      </c>
      <c r="K295" t="n">
        <v>0</v>
      </c>
      <c r="L295" t="n">
        <v>0</v>
      </c>
      <c r="M295" t="n">
        <v>0</v>
      </c>
      <c r="N295" t="n">
        <v>0</v>
      </c>
      <c r="O295" t="n">
        <v>0</v>
      </c>
      <c r="P295" t="n">
        <v>0</v>
      </c>
      <c r="Q295" t="n">
        <v>0</v>
      </c>
      <c r="R295" s="2" t="inlineStr"/>
    </row>
    <row r="296" ht="15" customHeight="1">
      <c r="A296" t="inlineStr">
        <is>
          <t>A 58354-2025</t>
        </is>
      </c>
      <c r="B296" s="1" t="n">
        <v>45985.51131944444</v>
      </c>
      <c r="C296" s="1" t="n">
        <v>46092</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58353-2025</t>
        </is>
      </c>
      <c r="B297" s="1" t="n">
        <v>45985.51128472222</v>
      </c>
      <c r="C297" s="1" t="n">
        <v>46092</v>
      </c>
      <c r="D297" t="inlineStr">
        <is>
          <t>JÄMTLANDS LÄN</t>
        </is>
      </c>
      <c r="E297" t="inlineStr">
        <is>
          <t>ÖSTERSUND</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58373-2025</t>
        </is>
      </c>
      <c r="B298" s="1" t="n">
        <v>45985.53162037037</v>
      </c>
      <c r="C298" s="1" t="n">
        <v>46092</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22920-2025</t>
        </is>
      </c>
      <c r="B299" s="1" t="n">
        <v>45790.43905092592</v>
      </c>
      <c r="C299" s="1" t="n">
        <v>46092</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23078-2025</t>
        </is>
      </c>
      <c r="B300" s="1" t="n">
        <v>45791.27984953704</v>
      </c>
      <c r="C300" s="1" t="n">
        <v>46092</v>
      </c>
      <c r="D300" t="inlineStr">
        <is>
          <t>JÄMTLANDS LÄN</t>
        </is>
      </c>
      <c r="E300" t="inlineStr">
        <is>
          <t>ÖSTERSUND</t>
        </is>
      </c>
      <c r="G300" t="n">
        <v>2.8</v>
      </c>
      <c r="H300" t="n">
        <v>0</v>
      </c>
      <c r="I300" t="n">
        <v>0</v>
      </c>
      <c r="J300" t="n">
        <v>0</v>
      </c>
      <c r="K300" t="n">
        <v>0</v>
      </c>
      <c r="L300" t="n">
        <v>0</v>
      </c>
      <c r="M300" t="n">
        <v>0</v>
      </c>
      <c r="N300" t="n">
        <v>0</v>
      </c>
      <c r="O300" t="n">
        <v>0</v>
      </c>
      <c r="P300" t="n">
        <v>0</v>
      </c>
      <c r="Q300" t="n">
        <v>0</v>
      </c>
      <c r="R300" s="2" t="inlineStr"/>
    </row>
    <row r="301" ht="15" customHeight="1">
      <c r="A301" t="inlineStr">
        <is>
          <t>A 58917-2025</t>
        </is>
      </c>
      <c r="B301" s="1" t="n">
        <v>45987.52949074074</v>
      </c>
      <c r="C301" s="1" t="n">
        <v>46092</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5549-2025</t>
        </is>
      </c>
      <c r="B302" s="1" t="n">
        <v>45693</v>
      </c>
      <c r="C302" s="1" t="n">
        <v>46092</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5553-2025</t>
        </is>
      </c>
      <c r="B303" s="1" t="n">
        <v>45693</v>
      </c>
      <c r="C303" s="1" t="n">
        <v>46092</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60560-2022</t>
        </is>
      </c>
      <c r="B304" s="1" t="n">
        <v>44911.54984953703</v>
      </c>
      <c r="C304" s="1" t="n">
        <v>46092</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58818-2025</t>
        </is>
      </c>
      <c r="B305" s="1" t="n">
        <v>45987.33479166667</v>
      </c>
      <c r="C305" s="1" t="n">
        <v>46092</v>
      </c>
      <c r="D305" t="inlineStr">
        <is>
          <t>JÄMTLANDS LÄN</t>
        </is>
      </c>
      <c r="E305" t="inlineStr">
        <is>
          <t>ÖSTERSUND</t>
        </is>
      </c>
      <c r="G305" t="n">
        <v>3.6</v>
      </c>
      <c r="H305" t="n">
        <v>0</v>
      </c>
      <c r="I305" t="n">
        <v>0</v>
      </c>
      <c r="J305" t="n">
        <v>0</v>
      </c>
      <c r="K305" t="n">
        <v>0</v>
      </c>
      <c r="L305" t="n">
        <v>0</v>
      </c>
      <c r="M305" t="n">
        <v>0</v>
      </c>
      <c r="N305" t="n">
        <v>0</v>
      </c>
      <c r="O305" t="n">
        <v>0</v>
      </c>
      <c r="P305" t="n">
        <v>0</v>
      </c>
      <c r="Q305" t="n">
        <v>0</v>
      </c>
      <c r="R305" s="2" t="inlineStr"/>
    </row>
    <row r="306" ht="15" customHeight="1">
      <c r="A306" t="inlineStr">
        <is>
          <t>A 58824-2025</t>
        </is>
      </c>
      <c r="B306" s="1" t="n">
        <v>45987.34543981482</v>
      </c>
      <c r="C306" s="1" t="n">
        <v>46092</v>
      </c>
      <c r="D306" t="inlineStr">
        <is>
          <t>JÄMTLANDS LÄN</t>
        </is>
      </c>
      <c r="E306" t="inlineStr">
        <is>
          <t>ÖSTERSUND</t>
        </is>
      </c>
      <c r="G306" t="n">
        <v>3.2</v>
      </c>
      <c r="H306" t="n">
        <v>0</v>
      </c>
      <c r="I306" t="n">
        <v>0</v>
      </c>
      <c r="J306" t="n">
        <v>0</v>
      </c>
      <c r="K306" t="n">
        <v>0</v>
      </c>
      <c r="L306" t="n">
        <v>0</v>
      </c>
      <c r="M306" t="n">
        <v>0</v>
      </c>
      <c r="N306" t="n">
        <v>0</v>
      </c>
      <c r="O306" t="n">
        <v>0</v>
      </c>
      <c r="P306" t="n">
        <v>0</v>
      </c>
      <c r="Q306" t="n">
        <v>0</v>
      </c>
      <c r="R306" s="2" t="inlineStr"/>
    </row>
    <row r="307" ht="15" customHeight="1">
      <c r="A307" t="inlineStr">
        <is>
          <t>A 11181-2025</t>
        </is>
      </c>
      <c r="B307" s="1" t="n">
        <v>45725.44039351852</v>
      </c>
      <c r="C307" s="1" t="n">
        <v>46092</v>
      </c>
      <c r="D307" t="inlineStr">
        <is>
          <t>JÄMTLANDS LÄN</t>
        </is>
      </c>
      <c r="E307" t="inlineStr">
        <is>
          <t>ÖSTERSUND</t>
        </is>
      </c>
      <c r="G307" t="n">
        <v>15.4</v>
      </c>
      <c r="H307" t="n">
        <v>0</v>
      </c>
      <c r="I307" t="n">
        <v>0</v>
      </c>
      <c r="J307" t="n">
        <v>0</v>
      </c>
      <c r="K307" t="n">
        <v>0</v>
      </c>
      <c r="L307" t="n">
        <v>0</v>
      </c>
      <c r="M307" t="n">
        <v>0</v>
      </c>
      <c r="N307" t="n">
        <v>0</v>
      </c>
      <c r="O307" t="n">
        <v>0</v>
      </c>
      <c r="P307" t="n">
        <v>0</v>
      </c>
      <c r="Q307" t="n">
        <v>0</v>
      </c>
      <c r="R307" s="2" t="inlineStr"/>
    </row>
    <row r="308" ht="15" customHeight="1">
      <c r="A308" t="inlineStr">
        <is>
          <t>A 58583-2025</t>
        </is>
      </c>
      <c r="B308" s="1" t="n">
        <v>45986.39024305555</v>
      </c>
      <c r="C308" s="1" t="n">
        <v>46092</v>
      </c>
      <c r="D308" t="inlineStr">
        <is>
          <t>JÄMTLANDS LÄN</t>
        </is>
      </c>
      <c r="E308" t="inlineStr">
        <is>
          <t>ÖSTERSUND</t>
        </is>
      </c>
      <c r="G308" t="n">
        <v>43.1</v>
      </c>
      <c r="H308" t="n">
        <v>0</v>
      </c>
      <c r="I308" t="n">
        <v>0</v>
      </c>
      <c r="J308" t="n">
        <v>0</v>
      </c>
      <c r="K308" t="n">
        <v>0</v>
      </c>
      <c r="L308" t="n">
        <v>0</v>
      </c>
      <c r="M308" t="n">
        <v>0</v>
      </c>
      <c r="N308" t="n">
        <v>0</v>
      </c>
      <c r="O308" t="n">
        <v>0</v>
      </c>
      <c r="P308" t="n">
        <v>0</v>
      </c>
      <c r="Q308" t="n">
        <v>0</v>
      </c>
      <c r="R308" s="2" t="inlineStr"/>
    </row>
    <row r="309" ht="15" customHeight="1">
      <c r="A309" t="inlineStr">
        <is>
          <t>A 25221-2025</t>
        </is>
      </c>
      <c r="B309" s="1" t="n">
        <v>45800.47802083333</v>
      </c>
      <c r="C309" s="1" t="n">
        <v>46092</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5140-2025</t>
        </is>
      </c>
      <c r="B310" s="1" t="n">
        <v>45691</v>
      </c>
      <c r="C310" s="1" t="n">
        <v>46092</v>
      </c>
      <c r="D310" t="inlineStr">
        <is>
          <t>JÄMTLANDS LÄN</t>
        </is>
      </c>
      <c r="E310" t="inlineStr">
        <is>
          <t>ÖSTERSUND</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59188-2025</t>
        </is>
      </c>
      <c r="B311" s="1" t="n">
        <v>45988.58856481482</v>
      </c>
      <c r="C311" s="1" t="n">
        <v>46092</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40325-2025</t>
        </is>
      </c>
      <c r="B312" s="1" t="n">
        <v>45895.4484837963</v>
      </c>
      <c r="C312" s="1" t="n">
        <v>46092</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40361-2025</t>
        </is>
      </c>
      <c r="B313" s="1" t="n">
        <v>45895.49026620371</v>
      </c>
      <c r="C313" s="1" t="n">
        <v>46092</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40360-2025</t>
        </is>
      </c>
      <c r="B314" s="1" t="n">
        <v>45895.49024305555</v>
      </c>
      <c r="C314" s="1" t="n">
        <v>46092</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43511-2022</t>
        </is>
      </c>
      <c r="B315" s="1" t="n">
        <v>44837.36724537037</v>
      </c>
      <c r="C315" s="1" t="n">
        <v>46092</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60174-2022</t>
        </is>
      </c>
      <c r="B316" s="1" t="n">
        <v>44909.9640162037</v>
      </c>
      <c r="C316" s="1" t="n">
        <v>46092</v>
      </c>
      <c r="D316" t="inlineStr">
        <is>
          <t>JÄMTLANDS LÄN</t>
        </is>
      </c>
      <c r="E316" t="inlineStr">
        <is>
          <t>ÖSTERSUND</t>
        </is>
      </c>
      <c r="F316" t="inlineStr">
        <is>
          <t>SCA</t>
        </is>
      </c>
      <c r="G316" t="n">
        <v>0.5</v>
      </c>
      <c r="H316" t="n">
        <v>0</v>
      </c>
      <c r="I316" t="n">
        <v>0</v>
      </c>
      <c r="J316" t="n">
        <v>0</v>
      </c>
      <c r="K316" t="n">
        <v>0</v>
      </c>
      <c r="L316" t="n">
        <v>0</v>
      </c>
      <c r="M316" t="n">
        <v>0</v>
      </c>
      <c r="N316" t="n">
        <v>0</v>
      </c>
      <c r="O316" t="n">
        <v>0</v>
      </c>
      <c r="P316" t="n">
        <v>0</v>
      </c>
      <c r="Q316" t="n">
        <v>0</v>
      </c>
      <c r="R316" s="2" t="inlineStr"/>
    </row>
    <row r="317" ht="15" customHeight="1">
      <c r="A317" t="inlineStr">
        <is>
          <t>A 43016-2024</t>
        </is>
      </c>
      <c r="B317" s="1" t="n">
        <v>45567.39192129629</v>
      </c>
      <c r="C317" s="1" t="n">
        <v>46092</v>
      </c>
      <c r="D317" t="inlineStr">
        <is>
          <t>JÄMTLANDS LÄN</t>
        </is>
      </c>
      <c r="E317" t="inlineStr">
        <is>
          <t>ÖSTERSUND</t>
        </is>
      </c>
      <c r="G317" t="n">
        <v>5.3</v>
      </c>
      <c r="H317" t="n">
        <v>0</v>
      </c>
      <c r="I317" t="n">
        <v>0</v>
      </c>
      <c r="J317" t="n">
        <v>0</v>
      </c>
      <c r="K317" t="n">
        <v>0</v>
      </c>
      <c r="L317" t="n">
        <v>0</v>
      </c>
      <c r="M317" t="n">
        <v>0</v>
      </c>
      <c r="N317" t="n">
        <v>0</v>
      </c>
      <c r="O317" t="n">
        <v>0</v>
      </c>
      <c r="P317" t="n">
        <v>0</v>
      </c>
      <c r="Q317" t="n">
        <v>0</v>
      </c>
      <c r="R317" s="2" t="inlineStr"/>
    </row>
    <row r="318" ht="15" customHeight="1">
      <c r="A318" t="inlineStr">
        <is>
          <t>A 59015-2025</t>
        </is>
      </c>
      <c r="B318" s="1" t="n">
        <v>45987.83457175926</v>
      </c>
      <c r="C318" s="1" t="n">
        <v>46092</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51481-2023</t>
        </is>
      </c>
      <c r="B319" s="1" t="n">
        <v>45221.92440972223</v>
      </c>
      <c r="C319" s="1" t="n">
        <v>46092</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59007-2025</t>
        </is>
      </c>
      <c r="B320" s="1" t="n">
        <v>45987.69552083333</v>
      </c>
      <c r="C320" s="1" t="n">
        <v>46092</v>
      </c>
      <c r="D320" t="inlineStr">
        <is>
          <t>JÄMTLANDS LÄN</t>
        </is>
      </c>
      <c r="E320" t="inlineStr">
        <is>
          <t>ÖSTERSUND</t>
        </is>
      </c>
      <c r="G320" t="n">
        <v>4</v>
      </c>
      <c r="H320" t="n">
        <v>0</v>
      </c>
      <c r="I320" t="n">
        <v>0</v>
      </c>
      <c r="J320" t="n">
        <v>0</v>
      </c>
      <c r="K320" t="n">
        <v>0</v>
      </c>
      <c r="L320" t="n">
        <v>0</v>
      </c>
      <c r="M320" t="n">
        <v>0</v>
      </c>
      <c r="N320" t="n">
        <v>0</v>
      </c>
      <c r="O320" t="n">
        <v>0</v>
      </c>
      <c r="P320" t="n">
        <v>0</v>
      </c>
      <c r="Q320" t="n">
        <v>0</v>
      </c>
      <c r="R320" s="2" t="inlineStr"/>
    </row>
    <row r="321" ht="15" customHeight="1">
      <c r="A321" t="inlineStr">
        <is>
          <t>A 40326-2025</t>
        </is>
      </c>
      <c r="B321" s="1" t="n">
        <v>45895.44856481482</v>
      </c>
      <c r="C321" s="1" t="n">
        <v>46092</v>
      </c>
      <c r="D321" t="inlineStr">
        <is>
          <t>JÄMTLANDS LÄN</t>
        </is>
      </c>
      <c r="E321" t="inlineStr">
        <is>
          <t>ÖSTERSUND</t>
        </is>
      </c>
      <c r="G321" t="n">
        <v>1.6</v>
      </c>
      <c r="H321" t="n">
        <v>0</v>
      </c>
      <c r="I321" t="n">
        <v>0</v>
      </c>
      <c r="J321" t="n">
        <v>0</v>
      </c>
      <c r="K321" t="n">
        <v>0</v>
      </c>
      <c r="L321" t="n">
        <v>0</v>
      </c>
      <c r="M321" t="n">
        <v>0</v>
      </c>
      <c r="N321" t="n">
        <v>0</v>
      </c>
      <c r="O321" t="n">
        <v>0</v>
      </c>
      <c r="P321" t="n">
        <v>0</v>
      </c>
      <c r="Q321" t="n">
        <v>0</v>
      </c>
      <c r="R321" s="2" t="inlineStr"/>
    </row>
    <row r="322" ht="15" customHeight="1">
      <c r="A322" t="inlineStr">
        <is>
          <t>A 59619-2025</t>
        </is>
      </c>
      <c r="B322" s="1" t="n">
        <v>45992.38109953704</v>
      </c>
      <c r="C322" s="1" t="n">
        <v>46092</v>
      </c>
      <c r="D322" t="inlineStr">
        <is>
          <t>JÄMTLANDS LÄN</t>
        </is>
      </c>
      <c r="E322" t="inlineStr">
        <is>
          <t>ÖSTERSUND</t>
        </is>
      </c>
      <c r="G322" t="n">
        <v>3.6</v>
      </c>
      <c r="H322" t="n">
        <v>0</v>
      </c>
      <c r="I322" t="n">
        <v>0</v>
      </c>
      <c r="J322" t="n">
        <v>0</v>
      </c>
      <c r="K322" t="n">
        <v>0</v>
      </c>
      <c r="L322" t="n">
        <v>0</v>
      </c>
      <c r="M322" t="n">
        <v>0</v>
      </c>
      <c r="N322" t="n">
        <v>0</v>
      </c>
      <c r="O322" t="n">
        <v>0</v>
      </c>
      <c r="P322" t="n">
        <v>0</v>
      </c>
      <c r="Q322" t="n">
        <v>0</v>
      </c>
      <c r="R322" s="2" t="inlineStr"/>
    </row>
    <row r="323" ht="15" customHeight="1">
      <c r="A323" t="inlineStr">
        <is>
          <t>A 59612-2025</t>
        </is>
      </c>
      <c r="B323" s="1" t="n">
        <v>45992.3706712963</v>
      </c>
      <c r="C323" s="1" t="n">
        <v>46092</v>
      </c>
      <c r="D323" t="inlineStr">
        <is>
          <t>JÄMTLANDS LÄN</t>
        </is>
      </c>
      <c r="E323" t="inlineStr">
        <is>
          <t>ÖSTERSUND</t>
        </is>
      </c>
      <c r="G323" t="n">
        <v>2.3</v>
      </c>
      <c r="H323" t="n">
        <v>0</v>
      </c>
      <c r="I323" t="n">
        <v>0</v>
      </c>
      <c r="J323" t="n">
        <v>0</v>
      </c>
      <c r="K323" t="n">
        <v>0</v>
      </c>
      <c r="L323" t="n">
        <v>0</v>
      </c>
      <c r="M323" t="n">
        <v>0</v>
      </c>
      <c r="N323" t="n">
        <v>0</v>
      </c>
      <c r="O323" t="n">
        <v>0</v>
      </c>
      <c r="P323" t="n">
        <v>0</v>
      </c>
      <c r="Q323" t="n">
        <v>0</v>
      </c>
      <c r="R323" s="2" t="inlineStr"/>
    </row>
    <row r="324" ht="15" customHeight="1">
      <c r="A324" t="inlineStr">
        <is>
          <t>A 59687-2025</t>
        </is>
      </c>
      <c r="B324" s="1" t="n">
        <v>45992.47729166667</v>
      </c>
      <c r="C324" s="1" t="n">
        <v>46092</v>
      </c>
      <c r="D324" t="inlineStr">
        <is>
          <t>JÄMTLANDS LÄN</t>
        </is>
      </c>
      <c r="E324" t="inlineStr">
        <is>
          <t>ÖSTERSUND</t>
        </is>
      </c>
      <c r="G324" t="n">
        <v>5</v>
      </c>
      <c r="H324" t="n">
        <v>0</v>
      </c>
      <c r="I324" t="n">
        <v>0</v>
      </c>
      <c r="J324" t="n">
        <v>0</v>
      </c>
      <c r="K324" t="n">
        <v>0</v>
      </c>
      <c r="L324" t="n">
        <v>0</v>
      </c>
      <c r="M324" t="n">
        <v>0</v>
      </c>
      <c r="N324" t="n">
        <v>0</v>
      </c>
      <c r="O324" t="n">
        <v>0</v>
      </c>
      <c r="P324" t="n">
        <v>0</v>
      </c>
      <c r="Q324" t="n">
        <v>0</v>
      </c>
      <c r="R324" s="2" t="inlineStr"/>
    </row>
    <row r="325" ht="15" customHeight="1">
      <c r="A325" t="inlineStr">
        <is>
          <t>A 59613-2025</t>
        </is>
      </c>
      <c r="B325" s="1" t="n">
        <v>45992.37172453704</v>
      </c>
      <c r="C325" s="1" t="n">
        <v>46092</v>
      </c>
      <c r="D325" t="inlineStr">
        <is>
          <t>JÄMTLANDS LÄN</t>
        </is>
      </c>
      <c r="E325" t="inlineStr">
        <is>
          <t>ÖSTERSUND</t>
        </is>
      </c>
      <c r="G325" t="n">
        <v>2.1</v>
      </c>
      <c r="H325" t="n">
        <v>0</v>
      </c>
      <c r="I325" t="n">
        <v>0</v>
      </c>
      <c r="J325" t="n">
        <v>0</v>
      </c>
      <c r="K325" t="n">
        <v>0</v>
      </c>
      <c r="L325" t="n">
        <v>0</v>
      </c>
      <c r="M325" t="n">
        <v>0</v>
      </c>
      <c r="N325" t="n">
        <v>0</v>
      </c>
      <c r="O325" t="n">
        <v>0</v>
      </c>
      <c r="P325" t="n">
        <v>0</v>
      </c>
      <c r="Q325" t="n">
        <v>0</v>
      </c>
      <c r="R325" s="2" t="inlineStr"/>
    </row>
    <row r="326" ht="15" customHeight="1">
      <c r="A326" t="inlineStr">
        <is>
          <t>A 8675-2023</t>
        </is>
      </c>
      <c r="B326" s="1" t="n">
        <v>44977.98629629629</v>
      </c>
      <c r="C326" s="1" t="n">
        <v>46092</v>
      </c>
      <c r="D326" t="inlineStr">
        <is>
          <t>JÄMTLANDS LÄN</t>
        </is>
      </c>
      <c r="E326" t="inlineStr">
        <is>
          <t>ÖSTERSUND</t>
        </is>
      </c>
      <c r="F326" t="inlineStr">
        <is>
          <t>SCA</t>
        </is>
      </c>
      <c r="G326" t="n">
        <v>5.7</v>
      </c>
      <c r="H326" t="n">
        <v>0</v>
      </c>
      <c r="I326" t="n">
        <v>0</v>
      </c>
      <c r="J326" t="n">
        <v>0</v>
      </c>
      <c r="K326" t="n">
        <v>0</v>
      </c>
      <c r="L326" t="n">
        <v>0</v>
      </c>
      <c r="M326" t="n">
        <v>0</v>
      </c>
      <c r="N326" t="n">
        <v>0</v>
      </c>
      <c r="O326" t="n">
        <v>0</v>
      </c>
      <c r="P326" t="n">
        <v>0</v>
      </c>
      <c r="Q326" t="n">
        <v>0</v>
      </c>
      <c r="R326" s="2" t="inlineStr"/>
    </row>
    <row r="327" ht="15" customHeight="1">
      <c r="A327" t="inlineStr">
        <is>
          <t>A 14182-2025</t>
        </is>
      </c>
      <c r="B327" s="1" t="n">
        <v>45740.54168981482</v>
      </c>
      <c r="C327" s="1" t="n">
        <v>46092</v>
      </c>
      <c r="D327" t="inlineStr">
        <is>
          <t>JÄMTLANDS LÄN</t>
        </is>
      </c>
      <c r="E327" t="inlineStr">
        <is>
          <t>ÖSTERSUND</t>
        </is>
      </c>
      <c r="F327" t="inlineStr">
        <is>
          <t>Övriga Aktiebolag</t>
        </is>
      </c>
      <c r="G327" t="n">
        <v>20.1</v>
      </c>
      <c r="H327" t="n">
        <v>0</v>
      </c>
      <c r="I327" t="n">
        <v>0</v>
      </c>
      <c r="J327" t="n">
        <v>0</v>
      </c>
      <c r="K327" t="n">
        <v>0</v>
      </c>
      <c r="L327" t="n">
        <v>0</v>
      </c>
      <c r="M327" t="n">
        <v>0</v>
      </c>
      <c r="N327" t="n">
        <v>0</v>
      </c>
      <c r="O327" t="n">
        <v>0</v>
      </c>
      <c r="P327" t="n">
        <v>0</v>
      </c>
      <c r="Q327" t="n">
        <v>0</v>
      </c>
      <c r="R327" s="2" t="inlineStr"/>
    </row>
    <row r="328" ht="15" customHeight="1">
      <c r="A328" t="inlineStr">
        <is>
          <t>A 6048-2024</t>
        </is>
      </c>
      <c r="B328" s="1" t="n">
        <v>45336</v>
      </c>
      <c r="C328" s="1" t="n">
        <v>46092</v>
      </c>
      <c r="D328" t="inlineStr">
        <is>
          <t>JÄMTLANDS LÄN</t>
        </is>
      </c>
      <c r="E328" t="inlineStr">
        <is>
          <t>ÖSTERSUND</t>
        </is>
      </c>
      <c r="G328" t="n">
        <v>0.7</v>
      </c>
      <c r="H328" t="n">
        <v>0</v>
      </c>
      <c r="I328" t="n">
        <v>0</v>
      </c>
      <c r="J328" t="n">
        <v>0</v>
      </c>
      <c r="K328" t="n">
        <v>0</v>
      </c>
      <c r="L328" t="n">
        <v>0</v>
      </c>
      <c r="M328" t="n">
        <v>0</v>
      </c>
      <c r="N328" t="n">
        <v>0</v>
      </c>
      <c r="O328" t="n">
        <v>0</v>
      </c>
      <c r="P328" t="n">
        <v>0</v>
      </c>
      <c r="Q328" t="n">
        <v>0</v>
      </c>
      <c r="R328" s="2" t="inlineStr"/>
    </row>
    <row r="329" ht="15" customHeight="1">
      <c r="A329" t="inlineStr">
        <is>
          <t>A 2747-2025</t>
        </is>
      </c>
      <c r="B329" s="1" t="n">
        <v>45677.4649537037</v>
      </c>
      <c r="C329" s="1" t="n">
        <v>46092</v>
      </c>
      <c r="D329" t="inlineStr">
        <is>
          <t>JÄMTLANDS LÄN</t>
        </is>
      </c>
      <c r="E329" t="inlineStr">
        <is>
          <t>ÖSTERSUND</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60537-2025</t>
        </is>
      </c>
      <c r="B330" s="1" t="n">
        <v>45995</v>
      </c>
      <c r="C330" s="1" t="n">
        <v>46092</v>
      </c>
      <c r="D330" t="inlineStr">
        <is>
          <t>JÄMTLANDS LÄN</t>
        </is>
      </c>
      <c r="E330" t="inlineStr">
        <is>
          <t>ÖSTERSUND</t>
        </is>
      </c>
      <c r="G330" t="n">
        <v>4.7</v>
      </c>
      <c r="H330" t="n">
        <v>0</v>
      </c>
      <c r="I330" t="n">
        <v>0</v>
      </c>
      <c r="J330" t="n">
        <v>0</v>
      </c>
      <c r="K330" t="n">
        <v>0</v>
      </c>
      <c r="L330" t="n">
        <v>0</v>
      </c>
      <c r="M330" t="n">
        <v>0</v>
      </c>
      <c r="N330" t="n">
        <v>0</v>
      </c>
      <c r="O330" t="n">
        <v>0</v>
      </c>
      <c r="P330" t="n">
        <v>0</v>
      </c>
      <c r="Q330" t="n">
        <v>0</v>
      </c>
      <c r="R330" s="2" t="inlineStr"/>
    </row>
    <row r="331" ht="15" customHeight="1">
      <c r="A331" t="inlineStr">
        <is>
          <t>A 60048-2025</t>
        </is>
      </c>
      <c r="B331" s="1" t="n">
        <v>45993</v>
      </c>
      <c r="C331" s="1" t="n">
        <v>46092</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41582-2025</t>
        </is>
      </c>
      <c r="B332" s="1" t="n">
        <v>45901</v>
      </c>
      <c r="C332" s="1" t="n">
        <v>46092</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23877-2025</t>
        </is>
      </c>
      <c r="B333" s="1" t="n">
        <v>45793.68469907407</v>
      </c>
      <c r="C333" s="1" t="n">
        <v>46092</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61222-2025</t>
        </is>
      </c>
      <c r="B334" s="1" t="n">
        <v>46000.62851851852</v>
      </c>
      <c r="C334" s="1" t="n">
        <v>46092</v>
      </c>
      <c r="D334" t="inlineStr">
        <is>
          <t>JÄMTLANDS LÄN</t>
        </is>
      </c>
      <c r="E334" t="inlineStr">
        <is>
          <t>ÖSTERSUND</t>
        </is>
      </c>
      <c r="G334" t="n">
        <v>9.1</v>
      </c>
      <c r="H334" t="n">
        <v>0</v>
      </c>
      <c r="I334" t="n">
        <v>0</v>
      </c>
      <c r="J334" t="n">
        <v>0</v>
      </c>
      <c r="K334" t="n">
        <v>0</v>
      </c>
      <c r="L334" t="n">
        <v>0</v>
      </c>
      <c r="M334" t="n">
        <v>0</v>
      </c>
      <c r="N334" t="n">
        <v>0</v>
      </c>
      <c r="O334" t="n">
        <v>0</v>
      </c>
      <c r="P334" t="n">
        <v>0</v>
      </c>
      <c r="Q334" t="n">
        <v>0</v>
      </c>
      <c r="R334" s="2" t="inlineStr"/>
    </row>
    <row r="335" ht="15" customHeight="1">
      <c r="A335" t="inlineStr">
        <is>
          <t>A 61235-2025</t>
        </is>
      </c>
      <c r="B335" s="1" t="n">
        <v>46000.63969907408</v>
      </c>
      <c r="C335" s="1" t="n">
        <v>46092</v>
      </c>
      <c r="D335" t="inlineStr">
        <is>
          <t>JÄMTLANDS LÄN</t>
        </is>
      </c>
      <c r="E335" t="inlineStr">
        <is>
          <t>ÖSTERSUND</t>
        </is>
      </c>
      <c r="G335" t="n">
        <v>0.8</v>
      </c>
      <c r="H335" t="n">
        <v>0</v>
      </c>
      <c r="I335" t="n">
        <v>0</v>
      </c>
      <c r="J335" t="n">
        <v>0</v>
      </c>
      <c r="K335" t="n">
        <v>0</v>
      </c>
      <c r="L335" t="n">
        <v>0</v>
      </c>
      <c r="M335" t="n">
        <v>0</v>
      </c>
      <c r="N335" t="n">
        <v>0</v>
      </c>
      <c r="O335" t="n">
        <v>0</v>
      </c>
      <c r="P335" t="n">
        <v>0</v>
      </c>
      <c r="Q335" t="n">
        <v>0</v>
      </c>
      <c r="R335" s="2" t="inlineStr"/>
    </row>
    <row r="336" ht="15" customHeight="1">
      <c r="A336" t="inlineStr">
        <is>
          <t>A 61267-2025</t>
        </is>
      </c>
      <c r="B336" s="1" t="n">
        <v>46000.67793981481</v>
      </c>
      <c r="C336" s="1" t="n">
        <v>46092</v>
      </c>
      <c r="D336" t="inlineStr">
        <is>
          <t>JÄMTLANDS LÄN</t>
        </is>
      </c>
      <c r="E336" t="inlineStr">
        <is>
          <t>ÖSTERSUND</t>
        </is>
      </c>
      <c r="G336" t="n">
        <v>3.6</v>
      </c>
      <c r="H336" t="n">
        <v>0</v>
      </c>
      <c r="I336" t="n">
        <v>0</v>
      </c>
      <c r="J336" t="n">
        <v>0</v>
      </c>
      <c r="K336" t="n">
        <v>0</v>
      </c>
      <c r="L336" t="n">
        <v>0</v>
      </c>
      <c r="M336" t="n">
        <v>0</v>
      </c>
      <c r="N336" t="n">
        <v>0</v>
      </c>
      <c r="O336" t="n">
        <v>0</v>
      </c>
      <c r="P336" t="n">
        <v>0</v>
      </c>
      <c r="Q336" t="n">
        <v>0</v>
      </c>
      <c r="R336" s="2" t="inlineStr"/>
    </row>
    <row r="337" ht="15" customHeight="1">
      <c r="A337" t="inlineStr">
        <is>
          <t>A 22082-2022</t>
        </is>
      </c>
      <c r="B337" s="1" t="n">
        <v>44711.9403587963</v>
      </c>
      <c r="C337" s="1" t="n">
        <v>46092</v>
      </c>
      <c r="D337" t="inlineStr">
        <is>
          <t>JÄMTLANDS LÄN</t>
        </is>
      </c>
      <c r="E337" t="inlineStr">
        <is>
          <t>ÖSTERSUND</t>
        </is>
      </c>
      <c r="G337" t="n">
        <v>2.6</v>
      </c>
      <c r="H337" t="n">
        <v>0</v>
      </c>
      <c r="I337" t="n">
        <v>0</v>
      </c>
      <c r="J337" t="n">
        <v>0</v>
      </c>
      <c r="K337" t="n">
        <v>0</v>
      </c>
      <c r="L337" t="n">
        <v>0</v>
      </c>
      <c r="M337" t="n">
        <v>0</v>
      </c>
      <c r="N337" t="n">
        <v>0</v>
      </c>
      <c r="O337" t="n">
        <v>0</v>
      </c>
      <c r="P337" t="n">
        <v>0</v>
      </c>
      <c r="Q337" t="n">
        <v>0</v>
      </c>
      <c r="R337" s="2" t="inlineStr"/>
    </row>
    <row r="338" ht="15" customHeight="1">
      <c r="A338" t="inlineStr">
        <is>
          <t>A 38142-2021</t>
        </is>
      </c>
      <c r="B338" s="1" t="n">
        <v>44405</v>
      </c>
      <c r="C338" s="1" t="n">
        <v>46092</v>
      </c>
      <c r="D338" t="inlineStr">
        <is>
          <t>JÄMTLANDS LÄN</t>
        </is>
      </c>
      <c r="E338" t="inlineStr">
        <is>
          <t>ÖSTERSUND</t>
        </is>
      </c>
      <c r="G338" t="n">
        <v>1.7</v>
      </c>
      <c r="H338" t="n">
        <v>0</v>
      </c>
      <c r="I338" t="n">
        <v>0</v>
      </c>
      <c r="J338" t="n">
        <v>0</v>
      </c>
      <c r="K338" t="n">
        <v>0</v>
      </c>
      <c r="L338" t="n">
        <v>0</v>
      </c>
      <c r="M338" t="n">
        <v>0</v>
      </c>
      <c r="N338" t="n">
        <v>0</v>
      </c>
      <c r="O338" t="n">
        <v>0</v>
      </c>
      <c r="P338" t="n">
        <v>0</v>
      </c>
      <c r="Q338" t="n">
        <v>0</v>
      </c>
      <c r="R338" s="2" t="inlineStr"/>
    </row>
    <row r="339" ht="15" customHeight="1">
      <c r="A339" t="inlineStr">
        <is>
          <t>A 61427-2025</t>
        </is>
      </c>
      <c r="B339" s="1" t="n">
        <v>46000</v>
      </c>
      <c r="C339" s="1" t="n">
        <v>46092</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24403-2025</t>
        </is>
      </c>
      <c r="B340" s="1" t="n">
        <v>45797.65025462963</v>
      </c>
      <c r="C340" s="1" t="n">
        <v>46092</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61330-2025</t>
        </is>
      </c>
      <c r="B341" s="1" t="n">
        <v>46001</v>
      </c>
      <c r="C341" s="1" t="n">
        <v>46092</v>
      </c>
      <c r="D341" t="inlineStr">
        <is>
          <t>JÄMTLANDS LÄN</t>
        </is>
      </c>
      <c r="E341" t="inlineStr">
        <is>
          <t>ÖSTERSUND</t>
        </is>
      </c>
      <c r="G341" t="n">
        <v>4.5</v>
      </c>
      <c r="H341" t="n">
        <v>0</v>
      </c>
      <c r="I341" t="n">
        <v>0</v>
      </c>
      <c r="J341" t="n">
        <v>0</v>
      </c>
      <c r="K341" t="n">
        <v>0</v>
      </c>
      <c r="L341" t="n">
        <v>0</v>
      </c>
      <c r="M341" t="n">
        <v>0</v>
      </c>
      <c r="N341" t="n">
        <v>0</v>
      </c>
      <c r="O341" t="n">
        <v>0</v>
      </c>
      <c r="P341" t="n">
        <v>0</v>
      </c>
      <c r="Q341" t="n">
        <v>0</v>
      </c>
      <c r="R341" s="2" t="inlineStr"/>
    </row>
    <row r="342" ht="15" customHeight="1">
      <c r="A342" t="inlineStr">
        <is>
          <t>A 41780-2024</t>
        </is>
      </c>
      <c r="B342" s="1" t="n">
        <v>45561.34908564815</v>
      </c>
      <c r="C342" s="1" t="n">
        <v>46092</v>
      </c>
      <c r="D342" t="inlineStr">
        <is>
          <t>JÄMTLANDS LÄN</t>
        </is>
      </c>
      <c r="E342" t="inlineStr">
        <is>
          <t>ÖSTERSUND</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24568-2025</t>
        </is>
      </c>
      <c r="B343" s="1" t="n">
        <v>45798.46913194445</v>
      </c>
      <c r="C343" s="1" t="n">
        <v>46092</v>
      </c>
      <c r="D343" t="inlineStr">
        <is>
          <t>JÄMTLANDS LÄN</t>
        </is>
      </c>
      <c r="E343" t="inlineStr">
        <is>
          <t>ÖSTERSUND</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46092</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24523-2025</t>
        </is>
      </c>
      <c r="B345" s="1" t="n">
        <v>45798.42108796296</v>
      </c>
      <c r="C345" s="1" t="n">
        <v>46092</v>
      </c>
      <c r="D345" t="inlineStr">
        <is>
          <t>JÄMTLANDS LÄN</t>
        </is>
      </c>
      <c r="E345" t="inlineStr">
        <is>
          <t>ÖSTERSUND</t>
        </is>
      </c>
      <c r="G345" t="n">
        <v>13.7</v>
      </c>
      <c r="H345" t="n">
        <v>0</v>
      </c>
      <c r="I345" t="n">
        <v>0</v>
      </c>
      <c r="J345" t="n">
        <v>0</v>
      </c>
      <c r="K345" t="n">
        <v>0</v>
      </c>
      <c r="L345" t="n">
        <v>0</v>
      </c>
      <c r="M345" t="n">
        <v>0</v>
      </c>
      <c r="N345" t="n">
        <v>0</v>
      </c>
      <c r="O345" t="n">
        <v>0</v>
      </c>
      <c r="P345" t="n">
        <v>0</v>
      </c>
      <c r="Q345" t="n">
        <v>0</v>
      </c>
      <c r="R345" s="2" t="inlineStr"/>
    </row>
    <row r="346" ht="15" customHeight="1">
      <c r="A346" t="inlineStr">
        <is>
          <t>A 41675-2025</t>
        </is>
      </c>
      <c r="B346" s="1" t="n">
        <v>45902.36641203704</v>
      </c>
      <c r="C346" s="1" t="n">
        <v>46092</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41708-2025</t>
        </is>
      </c>
      <c r="B347" s="1" t="n">
        <v>45902.42280092592</v>
      </c>
      <c r="C347" s="1" t="n">
        <v>46092</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61836-2025</t>
        </is>
      </c>
      <c r="B348" s="1" t="n">
        <v>46003</v>
      </c>
      <c r="C348" s="1" t="n">
        <v>46092</v>
      </c>
      <c r="D348" t="inlineStr">
        <is>
          <t>JÄMTLANDS LÄN</t>
        </is>
      </c>
      <c r="E348" t="inlineStr">
        <is>
          <t>ÖSTERSUND</t>
        </is>
      </c>
      <c r="G348" t="n">
        <v>4.6</v>
      </c>
      <c r="H348" t="n">
        <v>0</v>
      </c>
      <c r="I348" t="n">
        <v>0</v>
      </c>
      <c r="J348" t="n">
        <v>0</v>
      </c>
      <c r="K348" t="n">
        <v>0</v>
      </c>
      <c r="L348" t="n">
        <v>0</v>
      </c>
      <c r="M348" t="n">
        <v>0</v>
      </c>
      <c r="N348" t="n">
        <v>0</v>
      </c>
      <c r="O348" t="n">
        <v>0</v>
      </c>
      <c r="P348" t="n">
        <v>0</v>
      </c>
      <c r="Q348" t="n">
        <v>0</v>
      </c>
      <c r="R348" s="2" t="inlineStr"/>
    </row>
    <row r="349" ht="15" customHeight="1">
      <c r="A349" t="inlineStr">
        <is>
          <t>A 25058-2025</t>
        </is>
      </c>
      <c r="B349" s="1" t="n">
        <v>45799.68418981481</v>
      </c>
      <c r="C349" s="1" t="n">
        <v>46092</v>
      </c>
      <c r="D349" t="inlineStr">
        <is>
          <t>JÄMTLANDS LÄN</t>
        </is>
      </c>
      <c r="E349" t="inlineStr">
        <is>
          <t>ÖSTERSUND</t>
        </is>
      </c>
      <c r="G349" t="n">
        <v>0.8</v>
      </c>
      <c r="H349" t="n">
        <v>0</v>
      </c>
      <c r="I349" t="n">
        <v>0</v>
      </c>
      <c r="J349" t="n">
        <v>0</v>
      </c>
      <c r="K349" t="n">
        <v>0</v>
      </c>
      <c r="L349" t="n">
        <v>0</v>
      </c>
      <c r="M349" t="n">
        <v>0</v>
      </c>
      <c r="N349" t="n">
        <v>0</v>
      </c>
      <c r="O349" t="n">
        <v>0</v>
      </c>
      <c r="P349" t="n">
        <v>0</v>
      </c>
      <c r="Q349" t="n">
        <v>0</v>
      </c>
      <c r="R349" s="2" t="inlineStr"/>
    </row>
    <row r="350" ht="15" customHeight="1">
      <c r="A350" t="inlineStr">
        <is>
          <t>A 53176-2024</t>
        </is>
      </c>
      <c r="B350" s="1" t="n">
        <v>45611.66655092593</v>
      </c>
      <c r="C350" s="1" t="n">
        <v>46092</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25069-2025</t>
        </is>
      </c>
      <c r="B351" s="1" t="n">
        <v>45799.7372337963</v>
      </c>
      <c r="C351" s="1" t="n">
        <v>46092</v>
      </c>
      <c r="D351" t="inlineStr">
        <is>
          <t>JÄMTLANDS LÄN</t>
        </is>
      </c>
      <c r="E351" t="inlineStr">
        <is>
          <t>ÖSTERSUND</t>
        </is>
      </c>
      <c r="G351" t="n">
        <v>3.5</v>
      </c>
      <c r="H351" t="n">
        <v>0</v>
      </c>
      <c r="I351" t="n">
        <v>0</v>
      </c>
      <c r="J351" t="n">
        <v>0</v>
      </c>
      <c r="K351" t="n">
        <v>0</v>
      </c>
      <c r="L351" t="n">
        <v>0</v>
      </c>
      <c r="M351" t="n">
        <v>0</v>
      </c>
      <c r="N351" t="n">
        <v>0</v>
      </c>
      <c r="O351" t="n">
        <v>0</v>
      </c>
      <c r="P351" t="n">
        <v>0</v>
      </c>
      <c r="Q351" t="n">
        <v>0</v>
      </c>
      <c r="R351" s="2" t="inlineStr"/>
    </row>
    <row r="352" ht="15" customHeight="1">
      <c r="A352" t="inlineStr">
        <is>
          <t>A 24946-2025</t>
        </is>
      </c>
      <c r="B352" s="1" t="n">
        <v>45799.56515046296</v>
      </c>
      <c r="C352" s="1" t="n">
        <v>46092</v>
      </c>
      <c r="D352" t="inlineStr">
        <is>
          <t>JÄMTLANDS LÄN</t>
        </is>
      </c>
      <c r="E352" t="inlineStr">
        <is>
          <t>ÖSTERSUND</t>
        </is>
      </c>
      <c r="G352" t="n">
        <v>4.8</v>
      </c>
      <c r="H352" t="n">
        <v>0</v>
      </c>
      <c r="I352" t="n">
        <v>0</v>
      </c>
      <c r="J352" t="n">
        <v>0</v>
      </c>
      <c r="K352" t="n">
        <v>0</v>
      </c>
      <c r="L352" t="n">
        <v>0</v>
      </c>
      <c r="M352" t="n">
        <v>0</v>
      </c>
      <c r="N352" t="n">
        <v>0</v>
      </c>
      <c r="O352" t="n">
        <v>0</v>
      </c>
      <c r="P352" t="n">
        <v>0</v>
      </c>
      <c r="Q352" t="n">
        <v>0</v>
      </c>
      <c r="R352" s="2" t="inlineStr"/>
    </row>
    <row r="353" ht="15" customHeight="1">
      <c r="A353" t="inlineStr">
        <is>
          <t>A 25059-2025</t>
        </is>
      </c>
      <c r="B353" s="1" t="n">
        <v>45799.69116898148</v>
      </c>
      <c r="C353" s="1" t="n">
        <v>46092</v>
      </c>
      <c r="D353" t="inlineStr">
        <is>
          <t>JÄMTLANDS LÄN</t>
        </is>
      </c>
      <c r="E353" t="inlineStr">
        <is>
          <t>ÖSTERSUND</t>
        </is>
      </c>
      <c r="G353" t="n">
        <v>2.7</v>
      </c>
      <c r="H353" t="n">
        <v>0</v>
      </c>
      <c r="I353" t="n">
        <v>0</v>
      </c>
      <c r="J353" t="n">
        <v>0</v>
      </c>
      <c r="K353" t="n">
        <v>0</v>
      </c>
      <c r="L353" t="n">
        <v>0</v>
      </c>
      <c r="M353" t="n">
        <v>0</v>
      </c>
      <c r="N353" t="n">
        <v>0</v>
      </c>
      <c r="O353" t="n">
        <v>0</v>
      </c>
      <c r="P353" t="n">
        <v>0</v>
      </c>
      <c r="Q353" t="n">
        <v>0</v>
      </c>
      <c r="R353" s="2" t="inlineStr"/>
    </row>
    <row r="354" ht="15" customHeight="1">
      <c r="A354" t="inlineStr">
        <is>
          <t>A 61985-2025</t>
        </is>
      </c>
      <c r="B354" s="1" t="n">
        <v>46003.62509259259</v>
      </c>
      <c r="C354" s="1" t="n">
        <v>46092</v>
      </c>
      <c r="D354" t="inlineStr">
        <is>
          <t>JÄMTLANDS LÄN</t>
        </is>
      </c>
      <c r="E354" t="inlineStr">
        <is>
          <t>ÖSTERSUND</t>
        </is>
      </c>
      <c r="G354" t="n">
        <v>4.2</v>
      </c>
      <c r="H354" t="n">
        <v>0</v>
      </c>
      <c r="I354" t="n">
        <v>0</v>
      </c>
      <c r="J354" t="n">
        <v>0</v>
      </c>
      <c r="K354" t="n">
        <v>0</v>
      </c>
      <c r="L354" t="n">
        <v>0</v>
      </c>
      <c r="M354" t="n">
        <v>0</v>
      </c>
      <c r="N354" t="n">
        <v>0</v>
      </c>
      <c r="O354" t="n">
        <v>0</v>
      </c>
      <c r="P354" t="n">
        <v>0</v>
      </c>
      <c r="Q354" t="n">
        <v>0</v>
      </c>
      <c r="R354" s="2" t="inlineStr"/>
    </row>
    <row r="355" ht="15" customHeight="1">
      <c r="A355" t="inlineStr">
        <is>
          <t>A 61944-2025</t>
        </is>
      </c>
      <c r="B355" s="1" t="n">
        <v>46003.56467592593</v>
      </c>
      <c r="C355" s="1" t="n">
        <v>46092</v>
      </c>
      <c r="D355" t="inlineStr">
        <is>
          <t>JÄMTLANDS LÄN</t>
        </is>
      </c>
      <c r="E355" t="inlineStr">
        <is>
          <t>ÖSTERSUND</t>
        </is>
      </c>
      <c r="G355" t="n">
        <v>0.8</v>
      </c>
      <c r="H355" t="n">
        <v>0</v>
      </c>
      <c r="I355" t="n">
        <v>0</v>
      </c>
      <c r="J355" t="n">
        <v>0</v>
      </c>
      <c r="K355" t="n">
        <v>0</v>
      </c>
      <c r="L355" t="n">
        <v>0</v>
      </c>
      <c r="M355" t="n">
        <v>0</v>
      </c>
      <c r="N355" t="n">
        <v>0</v>
      </c>
      <c r="O355" t="n">
        <v>0</v>
      </c>
      <c r="P355" t="n">
        <v>0</v>
      </c>
      <c r="Q355" t="n">
        <v>0</v>
      </c>
      <c r="R355" s="2" t="inlineStr"/>
    </row>
    <row r="356" ht="15" customHeight="1">
      <c r="A356" t="inlineStr">
        <is>
          <t>A 61964-2025</t>
        </is>
      </c>
      <c r="B356" s="1" t="n">
        <v>46003</v>
      </c>
      <c r="C356" s="1" t="n">
        <v>46092</v>
      </c>
      <c r="D356" t="inlineStr">
        <is>
          <t>JÄMTLANDS LÄN</t>
        </is>
      </c>
      <c r="E356" t="inlineStr">
        <is>
          <t>ÖSTERSUND</t>
        </is>
      </c>
      <c r="G356" t="n">
        <v>16.5</v>
      </c>
      <c r="H356" t="n">
        <v>0</v>
      </c>
      <c r="I356" t="n">
        <v>0</v>
      </c>
      <c r="J356" t="n">
        <v>0</v>
      </c>
      <c r="K356" t="n">
        <v>0</v>
      </c>
      <c r="L356" t="n">
        <v>0</v>
      </c>
      <c r="M356" t="n">
        <v>0</v>
      </c>
      <c r="N356" t="n">
        <v>0</v>
      </c>
      <c r="O356" t="n">
        <v>0</v>
      </c>
      <c r="P356" t="n">
        <v>0</v>
      </c>
      <c r="Q356" t="n">
        <v>0</v>
      </c>
      <c r="R356" s="2" t="inlineStr"/>
    </row>
    <row r="357" ht="15" customHeight="1">
      <c r="A357" t="inlineStr">
        <is>
          <t>A 61611-2025</t>
        </is>
      </c>
      <c r="B357" s="1" t="n">
        <v>46002</v>
      </c>
      <c r="C357" s="1" t="n">
        <v>46092</v>
      </c>
      <c r="D357" t="inlineStr">
        <is>
          <t>JÄMTLANDS LÄN</t>
        </is>
      </c>
      <c r="E357" t="inlineStr">
        <is>
          <t>ÖSTERSUND</t>
        </is>
      </c>
      <c r="G357" t="n">
        <v>5</v>
      </c>
      <c r="H357" t="n">
        <v>0</v>
      </c>
      <c r="I357" t="n">
        <v>0</v>
      </c>
      <c r="J357" t="n">
        <v>0</v>
      </c>
      <c r="K357" t="n">
        <v>0</v>
      </c>
      <c r="L357" t="n">
        <v>0</v>
      </c>
      <c r="M357" t="n">
        <v>0</v>
      </c>
      <c r="N357" t="n">
        <v>0</v>
      </c>
      <c r="O357" t="n">
        <v>0</v>
      </c>
      <c r="P357" t="n">
        <v>0</v>
      </c>
      <c r="Q357" t="n">
        <v>0</v>
      </c>
      <c r="R357" s="2" t="inlineStr"/>
    </row>
    <row r="358" ht="15" customHeight="1">
      <c r="A358" t="inlineStr">
        <is>
          <t>A 61982-2025</t>
        </is>
      </c>
      <c r="B358" s="1" t="n">
        <v>46003.6159375</v>
      </c>
      <c r="C358" s="1" t="n">
        <v>46092</v>
      </c>
      <c r="D358" t="inlineStr">
        <is>
          <t>JÄMTLANDS LÄN</t>
        </is>
      </c>
      <c r="E358" t="inlineStr">
        <is>
          <t>ÖSTERSUND</t>
        </is>
      </c>
      <c r="G358" t="n">
        <v>4.7</v>
      </c>
      <c r="H358" t="n">
        <v>0</v>
      </c>
      <c r="I358" t="n">
        <v>0</v>
      </c>
      <c r="J358" t="n">
        <v>0</v>
      </c>
      <c r="K358" t="n">
        <v>0</v>
      </c>
      <c r="L358" t="n">
        <v>0</v>
      </c>
      <c r="M358" t="n">
        <v>0</v>
      </c>
      <c r="N358" t="n">
        <v>0</v>
      </c>
      <c r="O358" t="n">
        <v>0</v>
      </c>
      <c r="P358" t="n">
        <v>0</v>
      </c>
      <c r="Q358" t="n">
        <v>0</v>
      </c>
      <c r="R358" s="2" t="inlineStr"/>
    </row>
    <row r="359" ht="15" customHeight="1">
      <c r="A359" t="inlineStr">
        <is>
          <t>A 61849-2025</t>
        </is>
      </c>
      <c r="B359" s="1" t="n">
        <v>46003.38026620371</v>
      </c>
      <c r="C359" s="1" t="n">
        <v>46092</v>
      </c>
      <c r="D359" t="inlineStr">
        <is>
          <t>JÄMTLANDS LÄN</t>
        </is>
      </c>
      <c r="E359" t="inlineStr">
        <is>
          <t>ÖSTERSUND</t>
        </is>
      </c>
      <c r="G359" t="n">
        <v>5.5</v>
      </c>
      <c r="H359" t="n">
        <v>0</v>
      </c>
      <c r="I359" t="n">
        <v>0</v>
      </c>
      <c r="J359" t="n">
        <v>0</v>
      </c>
      <c r="K359" t="n">
        <v>0</v>
      </c>
      <c r="L359" t="n">
        <v>0</v>
      </c>
      <c r="M359" t="n">
        <v>0</v>
      </c>
      <c r="N359" t="n">
        <v>0</v>
      </c>
      <c r="O359" t="n">
        <v>0</v>
      </c>
      <c r="P359" t="n">
        <v>0</v>
      </c>
      <c r="Q359" t="n">
        <v>0</v>
      </c>
      <c r="R359" s="2" t="inlineStr"/>
    </row>
    <row r="360" ht="15" customHeight="1">
      <c r="A360" t="inlineStr">
        <is>
          <t>A 42129-2025</t>
        </is>
      </c>
      <c r="B360" s="1" t="n">
        <v>45904.3452662037</v>
      </c>
      <c r="C360" s="1" t="n">
        <v>46092</v>
      </c>
      <c r="D360" t="inlineStr">
        <is>
          <t>JÄMTLANDS LÄN</t>
        </is>
      </c>
      <c r="E360" t="inlineStr">
        <is>
          <t>ÖSTERSUND</t>
        </is>
      </c>
      <c r="G360" t="n">
        <v>0.4</v>
      </c>
      <c r="H360" t="n">
        <v>0</v>
      </c>
      <c r="I360" t="n">
        <v>0</v>
      </c>
      <c r="J360" t="n">
        <v>0</v>
      </c>
      <c r="K360" t="n">
        <v>0</v>
      </c>
      <c r="L360" t="n">
        <v>0</v>
      </c>
      <c r="M360" t="n">
        <v>0</v>
      </c>
      <c r="N360" t="n">
        <v>0</v>
      </c>
      <c r="O360" t="n">
        <v>0</v>
      </c>
      <c r="P360" t="n">
        <v>0</v>
      </c>
      <c r="Q360" t="n">
        <v>0</v>
      </c>
      <c r="R360" s="2" t="inlineStr"/>
    </row>
    <row r="361" ht="15" customHeight="1">
      <c r="A361" t="inlineStr">
        <is>
          <t>A 62176-2025</t>
        </is>
      </c>
      <c r="B361" s="1" t="n">
        <v>46006.51157407407</v>
      </c>
      <c r="C361" s="1" t="n">
        <v>46092</v>
      </c>
      <c r="D361" t="inlineStr">
        <is>
          <t>JÄMTLANDS LÄN</t>
        </is>
      </c>
      <c r="E361" t="inlineStr">
        <is>
          <t>ÖSTERSUND</t>
        </is>
      </c>
      <c r="G361" t="n">
        <v>0.7</v>
      </c>
      <c r="H361" t="n">
        <v>0</v>
      </c>
      <c r="I361" t="n">
        <v>0</v>
      </c>
      <c r="J361" t="n">
        <v>0</v>
      </c>
      <c r="K361" t="n">
        <v>0</v>
      </c>
      <c r="L361" t="n">
        <v>0</v>
      </c>
      <c r="M361" t="n">
        <v>0</v>
      </c>
      <c r="N361" t="n">
        <v>0</v>
      </c>
      <c r="O361" t="n">
        <v>0</v>
      </c>
      <c r="P361" t="n">
        <v>0</v>
      </c>
      <c r="Q361" t="n">
        <v>0</v>
      </c>
      <c r="R361" s="2" t="inlineStr"/>
    </row>
    <row r="362" ht="15" customHeight="1">
      <c r="A362" t="inlineStr">
        <is>
          <t>A 55302-2021</t>
        </is>
      </c>
      <c r="B362" s="1" t="n">
        <v>44475</v>
      </c>
      <c r="C362" s="1" t="n">
        <v>46092</v>
      </c>
      <c r="D362" t="inlineStr">
        <is>
          <t>JÄMTLANDS LÄN</t>
        </is>
      </c>
      <c r="E362" t="inlineStr">
        <is>
          <t>ÖSTERSUND</t>
        </is>
      </c>
      <c r="G362" t="n">
        <v>0.3</v>
      </c>
      <c r="H362" t="n">
        <v>0</v>
      </c>
      <c r="I362" t="n">
        <v>0</v>
      </c>
      <c r="J362" t="n">
        <v>0</v>
      </c>
      <c r="K362" t="n">
        <v>0</v>
      </c>
      <c r="L362" t="n">
        <v>0</v>
      </c>
      <c r="M362" t="n">
        <v>0</v>
      </c>
      <c r="N362" t="n">
        <v>0</v>
      </c>
      <c r="O362" t="n">
        <v>0</v>
      </c>
      <c r="P362" t="n">
        <v>0</v>
      </c>
      <c r="Q362" t="n">
        <v>0</v>
      </c>
      <c r="R362" s="2" t="inlineStr"/>
    </row>
    <row r="363" ht="15" customHeight="1">
      <c r="A363" t="inlineStr">
        <is>
          <t>A 61376-2024</t>
        </is>
      </c>
      <c r="B363" s="1" t="n">
        <v>45646.39434027778</v>
      </c>
      <c r="C363" s="1" t="n">
        <v>46092</v>
      </c>
      <c r="D363" t="inlineStr">
        <is>
          <t>JÄMTLANDS LÄN</t>
        </is>
      </c>
      <c r="E363" t="inlineStr">
        <is>
          <t>ÖSTERSUND</t>
        </is>
      </c>
      <c r="G363" t="n">
        <v>4.6</v>
      </c>
      <c r="H363" t="n">
        <v>0</v>
      </c>
      <c r="I363" t="n">
        <v>0</v>
      </c>
      <c r="J363" t="n">
        <v>0</v>
      </c>
      <c r="K363" t="n">
        <v>0</v>
      </c>
      <c r="L363" t="n">
        <v>0</v>
      </c>
      <c r="M363" t="n">
        <v>0</v>
      </c>
      <c r="N363" t="n">
        <v>0</v>
      </c>
      <c r="O363" t="n">
        <v>0</v>
      </c>
      <c r="P363" t="n">
        <v>0</v>
      </c>
      <c r="Q363" t="n">
        <v>0</v>
      </c>
      <c r="R363" s="2" t="inlineStr"/>
    </row>
    <row r="364" ht="15" customHeight="1">
      <c r="A364" t="inlineStr">
        <is>
          <t>A 62175-2025</t>
        </is>
      </c>
      <c r="B364" s="1" t="n">
        <v>46006.51155092593</v>
      </c>
      <c r="C364" s="1" t="n">
        <v>46092</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62437-2025</t>
        </is>
      </c>
      <c r="B365" s="1" t="n">
        <v>46007.46907407408</v>
      </c>
      <c r="C365" s="1" t="n">
        <v>46092</v>
      </c>
      <c r="D365" t="inlineStr">
        <is>
          <t>JÄMTLANDS LÄN</t>
        </is>
      </c>
      <c r="E365" t="inlineStr">
        <is>
          <t>ÖSTERSUND</t>
        </is>
      </c>
      <c r="G365" t="n">
        <v>6.3</v>
      </c>
      <c r="H365" t="n">
        <v>0</v>
      </c>
      <c r="I365" t="n">
        <v>0</v>
      </c>
      <c r="J365" t="n">
        <v>0</v>
      </c>
      <c r="K365" t="n">
        <v>0</v>
      </c>
      <c r="L365" t="n">
        <v>0</v>
      </c>
      <c r="M365" t="n">
        <v>0</v>
      </c>
      <c r="N365" t="n">
        <v>0</v>
      </c>
      <c r="O365" t="n">
        <v>0</v>
      </c>
      <c r="P365" t="n">
        <v>0</v>
      </c>
      <c r="Q365" t="n">
        <v>0</v>
      </c>
      <c r="R365" s="2" t="inlineStr"/>
    </row>
    <row r="366" ht="15" customHeight="1">
      <c r="A366" t="inlineStr">
        <is>
          <t>A 4936-2026</t>
        </is>
      </c>
      <c r="B366" s="1" t="n">
        <v>46048.89435185185</v>
      </c>
      <c r="C366" s="1" t="n">
        <v>46092</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62452-2025</t>
        </is>
      </c>
      <c r="B367" s="1" t="n">
        <v>46007.49001157407</v>
      </c>
      <c r="C367" s="1" t="n">
        <v>46092</v>
      </c>
      <c r="D367" t="inlineStr">
        <is>
          <t>JÄMTLANDS LÄN</t>
        </is>
      </c>
      <c r="E367" t="inlineStr">
        <is>
          <t>ÖSTERSUND</t>
        </is>
      </c>
      <c r="G367" t="n">
        <v>1.2</v>
      </c>
      <c r="H367" t="n">
        <v>0</v>
      </c>
      <c r="I367" t="n">
        <v>0</v>
      </c>
      <c r="J367" t="n">
        <v>0</v>
      </c>
      <c r="K367" t="n">
        <v>0</v>
      </c>
      <c r="L367" t="n">
        <v>0</v>
      </c>
      <c r="M367" t="n">
        <v>0</v>
      </c>
      <c r="N367" t="n">
        <v>0</v>
      </c>
      <c r="O367" t="n">
        <v>0</v>
      </c>
      <c r="P367" t="n">
        <v>0</v>
      </c>
      <c r="Q367" t="n">
        <v>0</v>
      </c>
      <c r="R367" s="2" t="inlineStr"/>
    </row>
    <row r="368" ht="15" customHeight="1">
      <c r="A368" t="inlineStr">
        <is>
          <t>A 62509-2025</t>
        </is>
      </c>
      <c r="B368" s="1" t="n">
        <v>46007.5958912037</v>
      </c>
      <c r="C368" s="1" t="n">
        <v>46092</v>
      </c>
      <c r="D368" t="inlineStr">
        <is>
          <t>JÄMTLANDS LÄN</t>
        </is>
      </c>
      <c r="E368" t="inlineStr">
        <is>
          <t>ÖSTERSUND</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62369-2025</t>
        </is>
      </c>
      <c r="B369" s="1" t="n">
        <v>46007.33719907407</v>
      </c>
      <c r="C369" s="1" t="n">
        <v>46092</v>
      </c>
      <c r="D369" t="inlineStr">
        <is>
          <t>JÄMTLANDS LÄN</t>
        </is>
      </c>
      <c r="E369" t="inlineStr">
        <is>
          <t>ÖSTERSUND</t>
        </is>
      </c>
      <c r="F369" t="inlineStr">
        <is>
          <t>Sveaskog</t>
        </is>
      </c>
      <c r="G369" t="n">
        <v>20.3</v>
      </c>
      <c r="H369" t="n">
        <v>0</v>
      </c>
      <c r="I369" t="n">
        <v>0</v>
      </c>
      <c r="J369" t="n">
        <v>0</v>
      </c>
      <c r="K369" t="n">
        <v>0</v>
      </c>
      <c r="L369" t="n">
        <v>0</v>
      </c>
      <c r="M369" t="n">
        <v>0</v>
      </c>
      <c r="N369" t="n">
        <v>0</v>
      </c>
      <c r="O369" t="n">
        <v>0</v>
      </c>
      <c r="P369" t="n">
        <v>0</v>
      </c>
      <c r="Q369" t="n">
        <v>0</v>
      </c>
      <c r="R369" s="2" t="inlineStr"/>
    </row>
    <row r="370" ht="15" customHeight="1">
      <c r="A370" t="inlineStr">
        <is>
          <t>A 62622-2025</t>
        </is>
      </c>
      <c r="B370" s="1" t="n">
        <v>46008.34438657408</v>
      </c>
      <c r="C370" s="1" t="n">
        <v>46092</v>
      </c>
      <c r="D370" t="inlineStr">
        <is>
          <t>JÄMTLANDS LÄN</t>
        </is>
      </c>
      <c r="E370" t="inlineStr">
        <is>
          <t>ÖSTERSUND</t>
        </is>
      </c>
      <c r="G370" t="n">
        <v>7.4</v>
      </c>
      <c r="H370" t="n">
        <v>0</v>
      </c>
      <c r="I370" t="n">
        <v>0</v>
      </c>
      <c r="J370" t="n">
        <v>0</v>
      </c>
      <c r="K370" t="n">
        <v>0</v>
      </c>
      <c r="L370" t="n">
        <v>0</v>
      </c>
      <c r="M370" t="n">
        <v>0</v>
      </c>
      <c r="N370" t="n">
        <v>0</v>
      </c>
      <c r="O370" t="n">
        <v>0</v>
      </c>
      <c r="P370" t="n">
        <v>0</v>
      </c>
      <c r="Q370" t="n">
        <v>0</v>
      </c>
      <c r="R370" s="2" t="inlineStr"/>
    </row>
    <row r="371" ht="15" customHeight="1">
      <c r="A371" t="inlineStr">
        <is>
          <t>A 62623-2025</t>
        </is>
      </c>
      <c r="B371" s="1" t="n">
        <v>46008.34443287037</v>
      </c>
      <c r="C371" s="1" t="n">
        <v>46092</v>
      </c>
      <c r="D371" t="inlineStr">
        <is>
          <t>JÄMTLANDS LÄN</t>
        </is>
      </c>
      <c r="E371" t="inlineStr">
        <is>
          <t>ÖSTERSUND</t>
        </is>
      </c>
      <c r="G371" t="n">
        <v>7.9</v>
      </c>
      <c r="H371" t="n">
        <v>0</v>
      </c>
      <c r="I371" t="n">
        <v>0</v>
      </c>
      <c r="J371" t="n">
        <v>0</v>
      </c>
      <c r="K371" t="n">
        <v>0</v>
      </c>
      <c r="L371" t="n">
        <v>0</v>
      </c>
      <c r="M371" t="n">
        <v>0</v>
      </c>
      <c r="N371" t="n">
        <v>0</v>
      </c>
      <c r="O371" t="n">
        <v>0</v>
      </c>
      <c r="P371" t="n">
        <v>0</v>
      </c>
      <c r="Q371" t="n">
        <v>0</v>
      </c>
      <c r="R371" s="2" t="inlineStr"/>
    </row>
    <row r="372" ht="15" customHeight="1">
      <c r="A372" t="inlineStr">
        <is>
          <t>A 69190-2021</t>
        </is>
      </c>
      <c r="B372" s="1" t="n">
        <v>44529</v>
      </c>
      <c r="C372" s="1" t="n">
        <v>46092</v>
      </c>
      <c r="D372" t="inlineStr">
        <is>
          <t>JÄMTLANDS LÄN</t>
        </is>
      </c>
      <c r="E372" t="inlineStr">
        <is>
          <t>ÖSTERSUND</t>
        </is>
      </c>
      <c r="G372" t="n">
        <v>4.2</v>
      </c>
      <c r="H372" t="n">
        <v>0</v>
      </c>
      <c r="I372" t="n">
        <v>0</v>
      </c>
      <c r="J372" t="n">
        <v>0</v>
      </c>
      <c r="K372" t="n">
        <v>0</v>
      </c>
      <c r="L372" t="n">
        <v>0</v>
      </c>
      <c r="M372" t="n">
        <v>0</v>
      </c>
      <c r="N372" t="n">
        <v>0</v>
      </c>
      <c r="O372" t="n">
        <v>0</v>
      </c>
      <c r="P372" t="n">
        <v>0</v>
      </c>
      <c r="Q372" t="n">
        <v>0</v>
      </c>
      <c r="R372" s="2" t="inlineStr"/>
    </row>
    <row r="373" ht="15" customHeight="1">
      <c r="A373" t="inlineStr">
        <is>
          <t>A 11182-2025</t>
        </is>
      </c>
      <c r="B373" s="1" t="n">
        <v>45725.44297453704</v>
      </c>
      <c r="C373" s="1" t="n">
        <v>46092</v>
      </c>
      <c r="D373" t="inlineStr">
        <is>
          <t>JÄMTLANDS LÄN</t>
        </is>
      </c>
      <c r="E373" t="inlineStr">
        <is>
          <t>ÖSTERSUND</t>
        </is>
      </c>
      <c r="G373" t="n">
        <v>3.3</v>
      </c>
      <c r="H373" t="n">
        <v>0</v>
      </c>
      <c r="I373" t="n">
        <v>0</v>
      </c>
      <c r="J373" t="n">
        <v>0</v>
      </c>
      <c r="K373" t="n">
        <v>0</v>
      </c>
      <c r="L373" t="n">
        <v>0</v>
      </c>
      <c r="M373" t="n">
        <v>0</v>
      </c>
      <c r="N373" t="n">
        <v>0</v>
      </c>
      <c r="O373" t="n">
        <v>0</v>
      </c>
      <c r="P373" t="n">
        <v>0</v>
      </c>
      <c r="Q373" t="n">
        <v>0</v>
      </c>
      <c r="R373" s="2" t="inlineStr"/>
    </row>
    <row r="374" ht="15" customHeight="1">
      <c r="A374" t="inlineStr">
        <is>
          <t>A 18627-2024</t>
        </is>
      </c>
      <c r="B374" s="1" t="n">
        <v>45425.96443287037</v>
      </c>
      <c r="C374" s="1" t="n">
        <v>46092</v>
      </c>
      <c r="D374" t="inlineStr">
        <is>
          <t>JÄMTLANDS LÄN</t>
        </is>
      </c>
      <c r="E374" t="inlineStr">
        <is>
          <t>ÖSTERSUND</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25572-2025</t>
        </is>
      </c>
      <c r="B375" s="1" t="n">
        <v>45803</v>
      </c>
      <c r="C375" s="1" t="n">
        <v>46092</v>
      </c>
      <c r="D375" t="inlineStr">
        <is>
          <t>JÄMTLANDS LÄN</t>
        </is>
      </c>
      <c r="E375" t="inlineStr">
        <is>
          <t>ÖSTERSUND</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42989-2025</t>
        </is>
      </c>
      <c r="B376" s="1" t="n">
        <v>45909.44971064815</v>
      </c>
      <c r="C376" s="1" t="n">
        <v>46092</v>
      </c>
      <c r="D376" t="inlineStr">
        <is>
          <t>JÄMTLANDS LÄN</t>
        </is>
      </c>
      <c r="E376" t="inlineStr">
        <is>
          <t>ÖSTERSUND</t>
        </is>
      </c>
      <c r="G376" t="n">
        <v>3</v>
      </c>
      <c r="H376" t="n">
        <v>0</v>
      </c>
      <c r="I376" t="n">
        <v>0</v>
      </c>
      <c r="J376" t="n">
        <v>0</v>
      </c>
      <c r="K376" t="n">
        <v>0</v>
      </c>
      <c r="L376" t="n">
        <v>0</v>
      </c>
      <c r="M376" t="n">
        <v>0</v>
      </c>
      <c r="N376" t="n">
        <v>0</v>
      </c>
      <c r="O376" t="n">
        <v>0</v>
      </c>
      <c r="P376" t="n">
        <v>0</v>
      </c>
      <c r="Q376" t="n">
        <v>0</v>
      </c>
      <c r="R376" s="2" t="inlineStr"/>
    </row>
    <row r="377" ht="15" customHeight="1">
      <c r="A377" t="inlineStr">
        <is>
          <t>A 53378-2023</t>
        </is>
      </c>
      <c r="B377" s="1" t="n">
        <v>45223</v>
      </c>
      <c r="C377" s="1" t="n">
        <v>46092</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43225-2025</t>
        </is>
      </c>
      <c r="B378" s="1" t="n">
        <v>45910.4900462963</v>
      </c>
      <c r="C378" s="1" t="n">
        <v>46092</v>
      </c>
      <c r="D378" t="inlineStr">
        <is>
          <t>JÄMTLANDS LÄN</t>
        </is>
      </c>
      <c r="E378" t="inlineStr">
        <is>
          <t>ÖSTERSUND</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46092</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43411-2025</t>
        </is>
      </c>
      <c r="B380" s="1" t="n">
        <v>45911.40074074074</v>
      </c>
      <c r="C380" s="1" t="n">
        <v>46092</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43519-2025</t>
        </is>
      </c>
      <c r="B381" s="1" t="n">
        <v>45911.57349537037</v>
      </c>
      <c r="C381" s="1" t="n">
        <v>46092</v>
      </c>
      <c r="D381" t="inlineStr">
        <is>
          <t>JÄMTLANDS LÄN</t>
        </is>
      </c>
      <c r="E381" t="inlineStr">
        <is>
          <t>ÖSTERSUND</t>
        </is>
      </c>
      <c r="F381" t="inlineStr">
        <is>
          <t>SCA</t>
        </is>
      </c>
      <c r="G381" t="n">
        <v>14.4</v>
      </c>
      <c r="H381" t="n">
        <v>0</v>
      </c>
      <c r="I381" t="n">
        <v>0</v>
      </c>
      <c r="J381" t="n">
        <v>0</v>
      </c>
      <c r="K381" t="n">
        <v>0</v>
      </c>
      <c r="L381" t="n">
        <v>0</v>
      </c>
      <c r="M381" t="n">
        <v>0</v>
      </c>
      <c r="N381" t="n">
        <v>0</v>
      </c>
      <c r="O381" t="n">
        <v>0</v>
      </c>
      <c r="P381" t="n">
        <v>0</v>
      </c>
      <c r="Q381" t="n">
        <v>0</v>
      </c>
      <c r="R381" s="2" t="inlineStr"/>
    </row>
    <row r="382" ht="15" customHeight="1">
      <c r="A382" t="inlineStr">
        <is>
          <t>A 63195-2025</t>
        </is>
      </c>
      <c r="B382" s="1" t="n">
        <v>46010.45680555556</v>
      </c>
      <c r="C382" s="1" t="n">
        <v>46092</v>
      </c>
      <c r="D382" t="inlineStr">
        <is>
          <t>JÄMTLANDS LÄN</t>
        </is>
      </c>
      <c r="E382" t="inlineStr">
        <is>
          <t>ÖSTERSUND</t>
        </is>
      </c>
      <c r="G382" t="n">
        <v>1.7</v>
      </c>
      <c r="H382" t="n">
        <v>0</v>
      </c>
      <c r="I382" t="n">
        <v>0</v>
      </c>
      <c r="J382" t="n">
        <v>0</v>
      </c>
      <c r="K382" t="n">
        <v>0</v>
      </c>
      <c r="L382" t="n">
        <v>0</v>
      </c>
      <c r="M382" t="n">
        <v>0</v>
      </c>
      <c r="N382" t="n">
        <v>0</v>
      </c>
      <c r="O382" t="n">
        <v>0</v>
      </c>
      <c r="P382" t="n">
        <v>0</v>
      </c>
      <c r="Q382" t="n">
        <v>0</v>
      </c>
      <c r="R382" s="2" t="inlineStr"/>
    </row>
    <row r="383" ht="15" customHeight="1">
      <c r="A383" t="inlineStr">
        <is>
          <t>A 63245-2025</t>
        </is>
      </c>
      <c r="B383" s="1" t="n">
        <v>46010.53825231481</v>
      </c>
      <c r="C383" s="1" t="n">
        <v>46092</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63516-2025</t>
        </is>
      </c>
      <c r="B384" s="1" t="n">
        <v>46013.50993055556</v>
      </c>
      <c r="C384" s="1" t="n">
        <v>46092</v>
      </c>
      <c r="D384" t="inlineStr">
        <is>
          <t>JÄMTLANDS LÄN</t>
        </is>
      </c>
      <c r="E384" t="inlineStr">
        <is>
          <t>ÖSTERSUND</t>
        </is>
      </c>
      <c r="G384" t="n">
        <v>4.8</v>
      </c>
      <c r="H384" t="n">
        <v>0</v>
      </c>
      <c r="I384" t="n">
        <v>0</v>
      </c>
      <c r="J384" t="n">
        <v>0</v>
      </c>
      <c r="K384" t="n">
        <v>0</v>
      </c>
      <c r="L384" t="n">
        <v>0</v>
      </c>
      <c r="M384" t="n">
        <v>0</v>
      </c>
      <c r="N384" t="n">
        <v>0</v>
      </c>
      <c r="O384" t="n">
        <v>0</v>
      </c>
      <c r="P384" t="n">
        <v>0</v>
      </c>
      <c r="Q384" t="n">
        <v>0</v>
      </c>
      <c r="R384" s="2" t="inlineStr"/>
    </row>
    <row r="385" ht="15" customHeight="1">
      <c r="A385" t="inlineStr">
        <is>
          <t>A 44446-2025</t>
        </is>
      </c>
      <c r="B385" s="1" t="n">
        <v>45916.59773148148</v>
      </c>
      <c r="C385" s="1" t="n">
        <v>46092</v>
      </c>
      <c r="D385" t="inlineStr">
        <is>
          <t>JÄMTLANDS LÄN</t>
        </is>
      </c>
      <c r="E385" t="inlineStr">
        <is>
          <t>ÖSTERSUND</t>
        </is>
      </c>
      <c r="G385" t="n">
        <v>1.9</v>
      </c>
      <c r="H385" t="n">
        <v>0</v>
      </c>
      <c r="I385" t="n">
        <v>0</v>
      </c>
      <c r="J385" t="n">
        <v>0</v>
      </c>
      <c r="K385" t="n">
        <v>0</v>
      </c>
      <c r="L385" t="n">
        <v>0</v>
      </c>
      <c r="M385" t="n">
        <v>0</v>
      </c>
      <c r="N385" t="n">
        <v>0</v>
      </c>
      <c r="O385" t="n">
        <v>0</v>
      </c>
      <c r="P385" t="n">
        <v>0</v>
      </c>
      <c r="Q385" t="n">
        <v>0</v>
      </c>
      <c r="R385" s="2" t="inlineStr"/>
    </row>
    <row r="386" ht="15" customHeight="1">
      <c r="A386" t="inlineStr">
        <is>
          <t>A 63475-2025</t>
        </is>
      </c>
      <c r="B386" s="1" t="n">
        <v>46013.4459375</v>
      </c>
      <c r="C386" s="1" t="n">
        <v>46092</v>
      </c>
      <c r="D386" t="inlineStr">
        <is>
          <t>JÄMTLANDS LÄN</t>
        </is>
      </c>
      <c r="E386" t="inlineStr">
        <is>
          <t>ÖSTERSUND</t>
        </is>
      </c>
      <c r="G386" t="n">
        <v>4.4</v>
      </c>
      <c r="H386" t="n">
        <v>0</v>
      </c>
      <c r="I386" t="n">
        <v>0</v>
      </c>
      <c r="J386" t="n">
        <v>0</v>
      </c>
      <c r="K386" t="n">
        <v>0</v>
      </c>
      <c r="L386" t="n">
        <v>0</v>
      </c>
      <c r="M386" t="n">
        <v>0</v>
      </c>
      <c r="N386" t="n">
        <v>0</v>
      </c>
      <c r="O386" t="n">
        <v>0</v>
      </c>
      <c r="P386" t="n">
        <v>0</v>
      </c>
      <c r="Q386" t="n">
        <v>0</v>
      </c>
      <c r="R386" s="2" t="inlineStr"/>
    </row>
    <row r="387" ht="15" customHeight="1">
      <c r="A387" t="inlineStr">
        <is>
          <t>A 27343-2022</t>
        </is>
      </c>
      <c r="B387" s="1" t="n">
        <v>44742</v>
      </c>
      <c r="C387" s="1" t="n">
        <v>46092</v>
      </c>
      <c r="D387" t="inlineStr">
        <is>
          <t>JÄMTLANDS LÄN</t>
        </is>
      </c>
      <c r="E387" t="inlineStr">
        <is>
          <t>ÖSTERSUND</t>
        </is>
      </c>
      <c r="G387" t="n">
        <v>1.5</v>
      </c>
      <c r="H387" t="n">
        <v>0</v>
      </c>
      <c r="I387" t="n">
        <v>0</v>
      </c>
      <c r="J387" t="n">
        <v>0</v>
      </c>
      <c r="K387" t="n">
        <v>0</v>
      </c>
      <c r="L387" t="n">
        <v>0</v>
      </c>
      <c r="M387" t="n">
        <v>0</v>
      </c>
      <c r="N387" t="n">
        <v>0</v>
      </c>
      <c r="O387" t="n">
        <v>0</v>
      </c>
      <c r="P387" t="n">
        <v>0</v>
      </c>
      <c r="Q387" t="n">
        <v>0</v>
      </c>
      <c r="R387" s="2" t="inlineStr"/>
    </row>
    <row r="388" ht="15" customHeight="1">
      <c r="A388" t="inlineStr">
        <is>
          <t>A 44429-2025</t>
        </is>
      </c>
      <c r="B388" s="1" t="n">
        <v>45916.57010416667</v>
      </c>
      <c r="C388" s="1" t="n">
        <v>46092</v>
      </c>
      <c r="D388" t="inlineStr">
        <is>
          <t>JÄMTLANDS LÄN</t>
        </is>
      </c>
      <c r="E388" t="inlineStr">
        <is>
          <t>ÖSTERSUND</t>
        </is>
      </c>
      <c r="G388" t="n">
        <v>1.2</v>
      </c>
      <c r="H388" t="n">
        <v>0</v>
      </c>
      <c r="I388" t="n">
        <v>0</v>
      </c>
      <c r="J388" t="n">
        <v>0</v>
      </c>
      <c r="K388" t="n">
        <v>0</v>
      </c>
      <c r="L388" t="n">
        <v>0</v>
      </c>
      <c r="M388" t="n">
        <v>0</v>
      </c>
      <c r="N388" t="n">
        <v>0</v>
      </c>
      <c r="O388" t="n">
        <v>0</v>
      </c>
      <c r="P388" t="n">
        <v>0</v>
      </c>
      <c r="Q388" t="n">
        <v>0</v>
      </c>
      <c r="R388" s="2" t="inlineStr"/>
    </row>
    <row r="389" ht="15" customHeight="1">
      <c r="A389" t="inlineStr">
        <is>
          <t>A 7022-2025</t>
        </is>
      </c>
      <c r="B389" s="1" t="n">
        <v>45701.61899305556</v>
      </c>
      <c r="C389" s="1" t="n">
        <v>46092</v>
      </c>
      <c r="D389" t="inlineStr">
        <is>
          <t>JÄMTLANDS LÄN</t>
        </is>
      </c>
      <c r="E389" t="inlineStr">
        <is>
          <t>ÖSTERSUND</t>
        </is>
      </c>
      <c r="G389" t="n">
        <v>4.8</v>
      </c>
      <c r="H389" t="n">
        <v>0</v>
      </c>
      <c r="I389" t="n">
        <v>0</v>
      </c>
      <c r="J389" t="n">
        <v>0</v>
      </c>
      <c r="K389" t="n">
        <v>0</v>
      </c>
      <c r="L389" t="n">
        <v>0</v>
      </c>
      <c r="M389" t="n">
        <v>0</v>
      </c>
      <c r="N389" t="n">
        <v>0</v>
      </c>
      <c r="O389" t="n">
        <v>0</v>
      </c>
      <c r="P389" t="n">
        <v>0</v>
      </c>
      <c r="Q389" t="n">
        <v>0</v>
      </c>
      <c r="R389" s="2" t="inlineStr"/>
    </row>
    <row r="390" ht="15" customHeight="1">
      <c r="A390" t="inlineStr">
        <is>
          <t>A 63693-2025</t>
        </is>
      </c>
      <c r="B390" s="1" t="n">
        <v>46014.5496875</v>
      </c>
      <c r="C390" s="1" t="n">
        <v>46092</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6831-2026</t>
        </is>
      </c>
      <c r="B391" s="1" t="n">
        <v>46057.40715277778</v>
      </c>
      <c r="C391" s="1" t="n">
        <v>46092</v>
      </c>
      <c r="D391" t="inlineStr">
        <is>
          <t>JÄMTLANDS LÄN</t>
        </is>
      </c>
      <c r="E391" t="inlineStr">
        <is>
          <t>ÖSTERSUND</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6999-2026</t>
        </is>
      </c>
      <c r="B392" s="1" t="n">
        <v>46057.6153125</v>
      </c>
      <c r="C392" s="1" t="n">
        <v>46092</v>
      </c>
      <c r="D392" t="inlineStr">
        <is>
          <t>JÄMTLANDS LÄN</t>
        </is>
      </c>
      <c r="E392" t="inlineStr">
        <is>
          <t>ÖSTERSUND</t>
        </is>
      </c>
      <c r="G392" t="n">
        <v>3</v>
      </c>
      <c r="H392" t="n">
        <v>0</v>
      </c>
      <c r="I392" t="n">
        <v>0</v>
      </c>
      <c r="J392" t="n">
        <v>0</v>
      </c>
      <c r="K392" t="n">
        <v>0</v>
      </c>
      <c r="L392" t="n">
        <v>0</v>
      </c>
      <c r="M392" t="n">
        <v>0</v>
      </c>
      <c r="N392" t="n">
        <v>0</v>
      </c>
      <c r="O392" t="n">
        <v>0</v>
      </c>
      <c r="P392" t="n">
        <v>0</v>
      </c>
      <c r="Q392" t="n">
        <v>0</v>
      </c>
      <c r="R392" s="2" t="inlineStr"/>
    </row>
    <row r="393" ht="15" customHeight="1">
      <c r="A393" t="inlineStr">
        <is>
          <t>A 5684-2026</t>
        </is>
      </c>
      <c r="B393" s="1" t="n">
        <v>46051</v>
      </c>
      <c r="C393" s="1" t="n">
        <v>46092</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62111-2024</t>
        </is>
      </c>
      <c r="B394" s="1" t="n">
        <v>45656.53215277778</v>
      </c>
      <c r="C394" s="1" t="n">
        <v>46092</v>
      </c>
      <c r="D394" t="inlineStr">
        <is>
          <t>JÄMTLANDS LÄN</t>
        </is>
      </c>
      <c r="E394" t="inlineStr">
        <is>
          <t>ÖSTERSUND</t>
        </is>
      </c>
      <c r="G394" t="n">
        <v>3.4</v>
      </c>
      <c r="H394" t="n">
        <v>0</v>
      </c>
      <c r="I394" t="n">
        <v>0</v>
      </c>
      <c r="J394" t="n">
        <v>0</v>
      </c>
      <c r="K394" t="n">
        <v>0</v>
      </c>
      <c r="L394" t="n">
        <v>0</v>
      </c>
      <c r="M394" t="n">
        <v>0</v>
      </c>
      <c r="N394" t="n">
        <v>0</v>
      </c>
      <c r="O394" t="n">
        <v>0</v>
      </c>
      <c r="P394" t="n">
        <v>0</v>
      </c>
      <c r="Q394" t="n">
        <v>0</v>
      </c>
      <c r="R394" s="2" t="inlineStr"/>
    </row>
    <row r="395" ht="15" customHeight="1">
      <c r="A395" t="inlineStr">
        <is>
          <t>A 6929-2026</t>
        </is>
      </c>
      <c r="B395" s="1" t="n">
        <v>46057.55269675926</v>
      </c>
      <c r="C395" s="1" t="n">
        <v>46092</v>
      </c>
      <c r="D395" t="inlineStr">
        <is>
          <t>JÄMTLANDS LÄN</t>
        </is>
      </c>
      <c r="E395" t="inlineStr">
        <is>
          <t>ÖSTERSUND</t>
        </is>
      </c>
      <c r="G395" t="n">
        <v>6.4</v>
      </c>
      <c r="H395" t="n">
        <v>0</v>
      </c>
      <c r="I395" t="n">
        <v>0</v>
      </c>
      <c r="J395" t="n">
        <v>0</v>
      </c>
      <c r="K395" t="n">
        <v>0</v>
      </c>
      <c r="L395" t="n">
        <v>0</v>
      </c>
      <c r="M395" t="n">
        <v>0</v>
      </c>
      <c r="N395" t="n">
        <v>0</v>
      </c>
      <c r="O395" t="n">
        <v>0</v>
      </c>
      <c r="P395" t="n">
        <v>0</v>
      </c>
      <c r="Q395" t="n">
        <v>0</v>
      </c>
      <c r="R395" s="2" t="inlineStr"/>
    </row>
    <row r="396" ht="15" customHeight="1">
      <c r="A396" t="inlineStr">
        <is>
          <t>A 45389-2025</t>
        </is>
      </c>
      <c r="B396" s="1" t="n">
        <v>45922.4075</v>
      </c>
      <c r="C396" s="1" t="n">
        <v>46092</v>
      </c>
      <c r="D396" t="inlineStr">
        <is>
          <t>JÄMTLANDS LÄN</t>
        </is>
      </c>
      <c r="E396" t="inlineStr">
        <is>
          <t>ÖSTERSUND</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6761-2026</t>
        </is>
      </c>
      <c r="B397" s="1" t="n">
        <v>46056.8547337963</v>
      </c>
      <c r="C397" s="1" t="n">
        <v>46092</v>
      </c>
      <c r="D397" t="inlineStr">
        <is>
          <t>JÄMTLANDS LÄN</t>
        </is>
      </c>
      <c r="E397" t="inlineStr">
        <is>
          <t>ÖSTERSUND</t>
        </is>
      </c>
      <c r="G397" t="n">
        <v>2.8</v>
      </c>
      <c r="H397" t="n">
        <v>0</v>
      </c>
      <c r="I397" t="n">
        <v>0</v>
      </c>
      <c r="J397" t="n">
        <v>0</v>
      </c>
      <c r="K397" t="n">
        <v>0</v>
      </c>
      <c r="L397" t="n">
        <v>0</v>
      </c>
      <c r="M397" t="n">
        <v>0</v>
      </c>
      <c r="N397" t="n">
        <v>0</v>
      </c>
      <c r="O397" t="n">
        <v>0</v>
      </c>
      <c r="P397" t="n">
        <v>0</v>
      </c>
      <c r="Q397" t="n">
        <v>0</v>
      </c>
      <c r="R397" s="2" t="inlineStr"/>
    </row>
    <row r="398" ht="15" customHeight="1">
      <c r="A398" t="inlineStr">
        <is>
          <t>A 45391-2025</t>
        </is>
      </c>
      <c r="B398" s="1" t="n">
        <v>45922.4077662037</v>
      </c>
      <c r="C398" s="1" t="n">
        <v>46092</v>
      </c>
      <c r="D398" t="inlineStr">
        <is>
          <t>JÄMTLANDS LÄN</t>
        </is>
      </c>
      <c r="E398" t="inlineStr">
        <is>
          <t>ÖSTERSUND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45297-2025</t>
        </is>
      </c>
      <c r="B399" s="1" t="n">
        <v>45920.8446412037</v>
      </c>
      <c r="C399" s="1" t="n">
        <v>46092</v>
      </c>
      <c r="D399" t="inlineStr">
        <is>
          <t>JÄMTLANDS LÄN</t>
        </is>
      </c>
      <c r="E399" t="inlineStr">
        <is>
          <t>ÖSTERSUND</t>
        </is>
      </c>
      <c r="G399" t="n">
        <v>1.8</v>
      </c>
      <c r="H399" t="n">
        <v>0</v>
      </c>
      <c r="I399" t="n">
        <v>0</v>
      </c>
      <c r="J399" t="n">
        <v>0</v>
      </c>
      <c r="K399" t="n">
        <v>0</v>
      </c>
      <c r="L399" t="n">
        <v>0</v>
      </c>
      <c r="M399" t="n">
        <v>0</v>
      </c>
      <c r="N399" t="n">
        <v>0</v>
      </c>
      <c r="O399" t="n">
        <v>0</v>
      </c>
      <c r="P399" t="n">
        <v>0</v>
      </c>
      <c r="Q399" t="n">
        <v>0</v>
      </c>
      <c r="R399" s="2" t="inlineStr"/>
    </row>
    <row r="400" ht="15" customHeight="1">
      <c r="A400" t="inlineStr">
        <is>
          <t>A 45385-2025</t>
        </is>
      </c>
      <c r="B400" s="1" t="n">
        <v>45922.40680555555</v>
      </c>
      <c r="C400" s="1" t="n">
        <v>46092</v>
      </c>
      <c r="D400" t="inlineStr">
        <is>
          <t>JÄMTLANDS LÄN</t>
        </is>
      </c>
      <c r="E400" t="inlineStr">
        <is>
          <t>ÖSTERSUND</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14653-2022</t>
        </is>
      </c>
      <c r="B401" s="1" t="n">
        <v>44655.69303240741</v>
      </c>
      <c r="C401" s="1" t="n">
        <v>46092</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7439-2026</t>
        </is>
      </c>
      <c r="B402" s="1" t="n">
        <v>46059.44539351852</v>
      </c>
      <c r="C402" s="1" t="n">
        <v>46092</v>
      </c>
      <c r="D402" t="inlineStr">
        <is>
          <t>JÄMTLANDS LÄN</t>
        </is>
      </c>
      <c r="E402" t="inlineStr">
        <is>
          <t>ÖSTERSUND</t>
        </is>
      </c>
      <c r="G402" t="n">
        <v>4.7</v>
      </c>
      <c r="H402" t="n">
        <v>0</v>
      </c>
      <c r="I402" t="n">
        <v>0</v>
      </c>
      <c r="J402" t="n">
        <v>0</v>
      </c>
      <c r="K402" t="n">
        <v>0</v>
      </c>
      <c r="L402" t="n">
        <v>0</v>
      </c>
      <c r="M402" t="n">
        <v>0</v>
      </c>
      <c r="N402" t="n">
        <v>0</v>
      </c>
      <c r="O402" t="n">
        <v>0</v>
      </c>
      <c r="P402" t="n">
        <v>0</v>
      </c>
      <c r="Q402" t="n">
        <v>0</v>
      </c>
      <c r="R402" s="2" t="inlineStr"/>
    </row>
    <row r="403" ht="15" customHeight="1">
      <c r="A403" t="inlineStr">
        <is>
          <t>A 7437-2026</t>
        </is>
      </c>
      <c r="B403" s="1" t="n">
        <v>46059.44135416667</v>
      </c>
      <c r="C403" s="1" t="n">
        <v>46092</v>
      </c>
      <c r="D403" t="inlineStr">
        <is>
          <t>JÄMTLANDS LÄN</t>
        </is>
      </c>
      <c r="E403" t="inlineStr">
        <is>
          <t>ÖSTERSUND</t>
        </is>
      </c>
      <c r="G403" t="n">
        <v>2.3</v>
      </c>
      <c r="H403" t="n">
        <v>0</v>
      </c>
      <c r="I403" t="n">
        <v>0</v>
      </c>
      <c r="J403" t="n">
        <v>0</v>
      </c>
      <c r="K403" t="n">
        <v>0</v>
      </c>
      <c r="L403" t="n">
        <v>0</v>
      </c>
      <c r="M403" t="n">
        <v>0</v>
      </c>
      <c r="N403" t="n">
        <v>0</v>
      </c>
      <c r="O403" t="n">
        <v>0</v>
      </c>
      <c r="P403" t="n">
        <v>0</v>
      </c>
      <c r="Q403" t="n">
        <v>0</v>
      </c>
      <c r="R403" s="2" t="inlineStr"/>
    </row>
    <row r="404" ht="15" customHeight="1">
      <c r="A404" t="inlineStr">
        <is>
          <t>A 25252-2025</t>
        </is>
      </c>
      <c r="B404" s="1" t="n">
        <v>45800.50355324074</v>
      </c>
      <c r="C404" s="1" t="n">
        <v>46092</v>
      </c>
      <c r="D404" t="inlineStr">
        <is>
          <t>JÄMTLANDS LÄN</t>
        </is>
      </c>
      <c r="E404" t="inlineStr">
        <is>
          <t>ÖSTERSUND</t>
        </is>
      </c>
      <c r="G404" t="n">
        <v>2.7</v>
      </c>
      <c r="H404" t="n">
        <v>0</v>
      </c>
      <c r="I404" t="n">
        <v>0</v>
      </c>
      <c r="J404" t="n">
        <v>0</v>
      </c>
      <c r="K404" t="n">
        <v>0</v>
      </c>
      <c r="L404" t="n">
        <v>0</v>
      </c>
      <c r="M404" t="n">
        <v>0</v>
      </c>
      <c r="N404" t="n">
        <v>0</v>
      </c>
      <c r="O404" t="n">
        <v>0</v>
      </c>
      <c r="P404" t="n">
        <v>0</v>
      </c>
      <c r="Q404" t="n">
        <v>0</v>
      </c>
      <c r="R404" s="2" t="inlineStr"/>
    </row>
    <row r="405" ht="15" customHeight="1">
      <c r="A405" t="inlineStr">
        <is>
          <t>A 45386-2025</t>
        </is>
      </c>
      <c r="B405" s="1" t="n">
        <v>45922.40697916667</v>
      </c>
      <c r="C405" s="1" t="n">
        <v>46092</v>
      </c>
      <c r="D405" t="inlineStr">
        <is>
          <t>JÄMTLANDS LÄN</t>
        </is>
      </c>
      <c r="E405" t="inlineStr">
        <is>
          <t>ÖSTERSUND</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45388-2025</t>
        </is>
      </c>
      <c r="B406" s="1" t="n">
        <v>45922.4074537037</v>
      </c>
      <c r="C406" s="1" t="n">
        <v>46092</v>
      </c>
      <c r="D406" t="inlineStr">
        <is>
          <t>JÄMTLANDS LÄN</t>
        </is>
      </c>
      <c r="E406" t="inlineStr">
        <is>
          <t>ÖSTERSUND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63807-2025</t>
        </is>
      </c>
      <c r="B407" s="1" t="n">
        <v>46019</v>
      </c>
      <c r="C407" s="1" t="n">
        <v>46092</v>
      </c>
      <c r="D407" t="inlineStr">
        <is>
          <t>JÄMTLANDS LÄN</t>
        </is>
      </c>
      <c r="E407" t="inlineStr">
        <is>
          <t>ÖSTERSUND</t>
        </is>
      </c>
      <c r="G407" t="n">
        <v>2.4</v>
      </c>
      <c r="H407" t="n">
        <v>0</v>
      </c>
      <c r="I407" t="n">
        <v>0</v>
      </c>
      <c r="J407" t="n">
        <v>0</v>
      </c>
      <c r="K407" t="n">
        <v>0</v>
      </c>
      <c r="L407" t="n">
        <v>0</v>
      </c>
      <c r="M407" t="n">
        <v>0</v>
      </c>
      <c r="N407" t="n">
        <v>0</v>
      </c>
      <c r="O407" t="n">
        <v>0</v>
      </c>
      <c r="P407" t="n">
        <v>0</v>
      </c>
      <c r="Q407" t="n">
        <v>0</v>
      </c>
      <c r="R407" s="2" t="inlineStr"/>
    </row>
    <row r="408" ht="15" customHeight="1">
      <c r="A408" t="inlineStr">
        <is>
          <t>A 63981-2025</t>
        </is>
      </c>
      <c r="B408" s="1" t="n">
        <v>46021.34450231482</v>
      </c>
      <c r="C408" s="1" t="n">
        <v>46092</v>
      </c>
      <c r="D408" t="inlineStr">
        <is>
          <t>JÄMTLANDS LÄN</t>
        </is>
      </c>
      <c r="E408" t="inlineStr">
        <is>
          <t>ÖSTERSUND</t>
        </is>
      </c>
      <c r="G408" t="n">
        <v>17.7</v>
      </c>
      <c r="H408" t="n">
        <v>0</v>
      </c>
      <c r="I408" t="n">
        <v>0</v>
      </c>
      <c r="J408" t="n">
        <v>0</v>
      </c>
      <c r="K408" t="n">
        <v>0</v>
      </c>
      <c r="L408" t="n">
        <v>0</v>
      </c>
      <c r="M408" t="n">
        <v>0</v>
      </c>
      <c r="N408" t="n">
        <v>0</v>
      </c>
      <c r="O408" t="n">
        <v>0</v>
      </c>
      <c r="P408" t="n">
        <v>0</v>
      </c>
      <c r="Q408" t="n">
        <v>0</v>
      </c>
      <c r="R408" s="2" t="inlineStr"/>
    </row>
    <row r="409" ht="15" customHeight="1">
      <c r="A409" t="inlineStr">
        <is>
          <t>A 7712-2026</t>
        </is>
      </c>
      <c r="B409" s="1" t="n">
        <v>46062.48398148148</v>
      </c>
      <c r="C409" s="1" t="n">
        <v>46092</v>
      </c>
      <c r="D409" t="inlineStr">
        <is>
          <t>JÄMTLANDS LÄN</t>
        </is>
      </c>
      <c r="E409" t="inlineStr">
        <is>
          <t>ÖSTERSUND</t>
        </is>
      </c>
      <c r="G409" t="n">
        <v>3.2</v>
      </c>
      <c r="H409" t="n">
        <v>0</v>
      </c>
      <c r="I409" t="n">
        <v>0</v>
      </c>
      <c r="J409" t="n">
        <v>0</v>
      </c>
      <c r="K409" t="n">
        <v>0</v>
      </c>
      <c r="L409" t="n">
        <v>0</v>
      </c>
      <c r="M409" t="n">
        <v>0</v>
      </c>
      <c r="N409" t="n">
        <v>0</v>
      </c>
      <c r="O409" t="n">
        <v>0</v>
      </c>
      <c r="P409" t="n">
        <v>0</v>
      </c>
      <c r="Q409" t="n">
        <v>0</v>
      </c>
      <c r="R409" s="2" t="inlineStr"/>
    </row>
    <row r="410" ht="15" customHeight="1">
      <c r="A410" t="inlineStr">
        <is>
          <t>A 3844-2024</t>
        </is>
      </c>
      <c r="B410" s="1" t="n">
        <v>45321</v>
      </c>
      <c r="C410" s="1" t="n">
        <v>46092</v>
      </c>
      <c r="D410" t="inlineStr">
        <is>
          <t>JÄMTLANDS LÄN</t>
        </is>
      </c>
      <c r="E410" t="inlineStr">
        <is>
          <t>ÖSTERSUND</t>
        </is>
      </c>
      <c r="G410" t="n">
        <v>2.2</v>
      </c>
      <c r="H410" t="n">
        <v>0</v>
      </c>
      <c r="I410" t="n">
        <v>0</v>
      </c>
      <c r="J410" t="n">
        <v>0</v>
      </c>
      <c r="K410" t="n">
        <v>0</v>
      </c>
      <c r="L410" t="n">
        <v>0</v>
      </c>
      <c r="M410" t="n">
        <v>0</v>
      </c>
      <c r="N410" t="n">
        <v>0</v>
      </c>
      <c r="O410" t="n">
        <v>0</v>
      </c>
      <c r="P410" t="n">
        <v>0</v>
      </c>
      <c r="Q410" t="n">
        <v>0</v>
      </c>
      <c r="R410" s="2" t="inlineStr"/>
    </row>
    <row r="411" ht="15" customHeight="1">
      <c r="A411" t="inlineStr">
        <is>
          <t>A 45558-2025</t>
        </is>
      </c>
      <c r="B411" s="1" t="n">
        <v>45922</v>
      </c>
      <c r="C411" s="1" t="n">
        <v>46092</v>
      </c>
      <c r="D411" t="inlineStr">
        <is>
          <t>JÄMTLANDS LÄN</t>
        </is>
      </c>
      <c r="E411" t="inlineStr">
        <is>
          <t>ÖSTERSUND</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7327-2023</t>
        </is>
      </c>
      <c r="B412" s="1" t="n">
        <v>44970.97871527778</v>
      </c>
      <c r="C412" s="1" t="n">
        <v>46092</v>
      </c>
      <c r="D412" t="inlineStr">
        <is>
          <t>JÄMTLANDS LÄN</t>
        </is>
      </c>
      <c r="E412" t="inlineStr">
        <is>
          <t>ÖSTERSUND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64022-2025</t>
        </is>
      </c>
      <c r="B413" s="1" t="n">
        <v>46021.46912037037</v>
      </c>
      <c r="C413" s="1" t="n">
        <v>46092</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45481-2025</t>
        </is>
      </c>
      <c r="B414" s="1" t="n">
        <v>45922.53217592592</v>
      </c>
      <c r="C414" s="1" t="n">
        <v>46092</v>
      </c>
      <c r="D414" t="inlineStr">
        <is>
          <t>JÄMTLANDS LÄN</t>
        </is>
      </c>
      <c r="E414" t="inlineStr">
        <is>
          <t>ÖSTERSUND</t>
        </is>
      </c>
      <c r="G414" t="n">
        <v>3</v>
      </c>
      <c r="H414" t="n">
        <v>0</v>
      </c>
      <c r="I414" t="n">
        <v>0</v>
      </c>
      <c r="J414" t="n">
        <v>0</v>
      </c>
      <c r="K414" t="n">
        <v>0</v>
      </c>
      <c r="L414" t="n">
        <v>0</v>
      </c>
      <c r="M414" t="n">
        <v>0</v>
      </c>
      <c r="N414" t="n">
        <v>0</v>
      </c>
      <c r="O414" t="n">
        <v>0</v>
      </c>
      <c r="P414" t="n">
        <v>0</v>
      </c>
      <c r="Q414" t="n">
        <v>0</v>
      </c>
      <c r="R414" s="2" t="inlineStr"/>
    </row>
    <row r="415" ht="15" customHeight="1">
      <c r="A415" t="inlineStr">
        <is>
          <t>A 46132-2025</t>
        </is>
      </c>
      <c r="B415" s="1" t="n">
        <v>45924.59484953704</v>
      </c>
      <c r="C415" s="1" t="n">
        <v>46092</v>
      </c>
      <c r="D415" t="inlineStr">
        <is>
          <t>JÄMTLANDS LÄN</t>
        </is>
      </c>
      <c r="E415" t="inlineStr">
        <is>
          <t>ÖSTERSUND</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49192-2024</t>
        </is>
      </c>
      <c r="B416" s="1" t="n">
        <v>45595.34762731481</v>
      </c>
      <c r="C416" s="1" t="n">
        <v>46092</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46152-2025</t>
        </is>
      </c>
      <c r="B417" s="1" t="n">
        <v>45924.61512731481</v>
      </c>
      <c r="C417" s="1" t="n">
        <v>46092</v>
      </c>
      <c r="D417" t="inlineStr">
        <is>
          <t>JÄMTLANDS LÄN</t>
        </is>
      </c>
      <c r="E417" t="inlineStr">
        <is>
          <t>ÖSTERSUND</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63856-2025</t>
        </is>
      </c>
      <c r="B418" s="1" t="n">
        <v>46020.47796296296</v>
      </c>
      <c r="C418" s="1" t="n">
        <v>46092</v>
      </c>
      <c r="D418" t="inlineStr">
        <is>
          <t>JÄMTLANDS LÄN</t>
        </is>
      </c>
      <c r="E418" t="inlineStr">
        <is>
          <t>ÖSTERSUND</t>
        </is>
      </c>
      <c r="G418" t="n">
        <v>1.5</v>
      </c>
      <c r="H418" t="n">
        <v>0</v>
      </c>
      <c r="I418" t="n">
        <v>0</v>
      </c>
      <c r="J418" t="n">
        <v>0</v>
      </c>
      <c r="K418" t="n">
        <v>0</v>
      </c>
      <c r="L418" t="n">
        <v>0</v>
      </c>
      <c r="M418" t="n">
        <v>0</v>
      </c>
      <c r="N418" t="n">
        <v>0</v>
      </c>
      <c r="O418" t="n">
        <v>0</v>
      </c>
      <c r="P418" t="n">
        <v>0</v>
      </c>
      <c r="Q418" t="n">
        <v>0</v>
      </c>
      <c r="R418" s="2" t="inlineStr"/>
    </row>
    <row r="419" ht="15" customHeight="1">
      <c r="A419" t="inlineStr">
        <is>
          <t>A 25210-2025</t>
        </is>
      </c>
      <c r="B419" s="1" t="n">
        <v>45800.46960648148</v>
      </c>
      <c r="C419" s="1" t="n">
        <v>46092</v>
      </c>
      <c r="D419" t="inlineStr">
        <is>
          <t>JÄMTLANDS LÄN</t>
        </is>
      </c>
      <c r="E419" t="inlineStr">
        <is>
          <t>ÖSTERSUND</t>
        </is>
      </c>
      <c r="G419" t="n">
        <v>3.5</v>
      </c>
      <c r="H419" t="n">
        <v>0</v>
      </c>
      <c r="I419" t="n">
        <v>0</v>
      </c>
      <c r="J419" t="n">
        <v>0</v>
      </c>
      <c r="K419" t="n">
        <v>0</v>
      </c>
      <c r="L419" t="n">
        <v>0</v>
      </c>
      <c r="M419" t="n">
        <v>0</v>
      </c>
      <c r="N419" t="n">
        <v>0</v>
      </c>
      <c r="O419" t="n">
        <v>0</v>
      </c>
      <c r="P419" t="n">
        <v>0</v>
      </c>
      <c r="Q419" t="n">
        <v>0</v>
      </c>
      <c r="R419" s="2" t="inlineStr"/>
    </row>
    <row r="420" ht="15" customHeight="1">
      <c r="A420" t="inlineStr">
        <is>
          <t>A 63982-2025</t>
        </is>
      </c>
      <c r="B420" s="1" t="n">
        <v>46021.34454861111</v>
      </c>
      <c r="C420" s="1" t="n">
        <v>46092</v>
      </c>
      <c r="D420" t="inlineStr">
        <is>
          <t>JÄMTLANDS LÄN</t>
        </is>
      </c>
      <c r="E420" t="inlineStr">
        <is>
          <t>ÖSTERSUND</t>
        </is>
      </c>
      <c r="G420" t="n">
        <v>6.5</v>
      </c>
      <c r="H420" t="n">
        <v>0</v>
      </c>
      <c r="I420" t="n">
        <v>0</v>
      </c>
      <c r="J420" t="n">
        <v>0</v>
      </c>
      <c r="K420" t="n">
        <v>0</v>
      </c>
      <c r="L420" t="n">
        <v>0</v>
      </c>
      <c r="M420" t="n">
        <v>0</v>
      </c>
      <c r="N420" t="n">
        <v>0</v>
      </c>
      <c r="O420" t="n">
        <v>0</v>
      </c>
      <c r="P420" t="n">
        <v>0</v>
      </c>
      <c r="Q420" t="n">
        <v>0</v>
      </c>
      <c r="R420" s="2" t="inlineStr"/>
    </row>
    <row r="421" ht="15" customHeight="1">
      <c r="A421" t="inlineStr">
        <is>
          <t>A 26144-2025</t>
        </is>
      </c>
      <c r="B421" s="1" t="n">
        <v>45805.42827546296</v>
      </c>
      <c r="C421" s="1" t="n">
        <v>46092</v>
      </c>
      <c r="D421" t="inlineStr">
        <is>
          <t>JÄMTLANDS LÄN</t>
        </is>
      </c>
      <c r="E421" t="inlineStr">
        <is>
          <t>ÖSTERSUND</t>
        </is>
      </c>
      <c r="F421" t="inlineStr">
        <is>
          <t>Sveaskog</t>
        </is>
      </c>
      <c r="G421" t="n">
        <v>19</v>
      </c>
      <c r="H421" t="n">
        <v>0</v>
      </c>
      <c r="I421" t="n">
        <v>0</v>
      </c>
      <c r="J421" t="n">
        <v>0</v>
      </c>
      <c r="K421" t="n">
        <v>0</v>
      </c>
      <c r="L421" t="n">
        <v>0</v>
      </c>
      <c r="M421" t="n">
        <v>0</v>
      </c>
      <c r="N421" t="n">
        <v>0</v>
      </c>
      <c r="O421" t="n">
        <v>0</v>
      </c>
      <c r="P421" t="n">
        <v>0</v>
      </c>
      <c r="Q421" t="n">
        <v>0</v>
      </c>
      <c r="R421" s="2" t="inlineStr"/>
    </row>
    <row r="422" ht="15" customHeight="1">
      <c r="A422" t="inlineStr">
        <is>
          <t>A 8076-2026</t>
        </is>
      </c>
      <c r="B422" s="1" t="n">
        <v>46063.65710648148</v>
      </c>
      <c r="C422" s="1" t="n">
        <v>46092</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46202-2025</t>
        </is>
      </c>
      <c r="B423" s="1" t="n">
        <v>45924.70346064815</v>
      </c>
      <c r="C423" s="1" t="n">
        <v>46092</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63861-2025</t>
        </is>
      </c>
      <c r="B424" s="1" t="n">
        <v>46020.49056712963</v>
      </c>
      <c r="C424" s="1" t="n">
        <v>46092</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79-2025</t>
        </is>
      </c>
      <c r="B425" s="1" t="n">
        <v>45659.44413194444</v>
      </c>
      <c r="C425" s="1" t="n">
        <v>46092</v>
      </c>
      <c r="D425" t="inlineStr">
        <is>
          <t>JÄMTLANDS LÄN</t>
        </is>
      </c>
      <c r="E425" t="inlineStr">
        <is>
          <t>ÖSTERSUND</t>
        </is>
      </c>
      <c r="G425" t="n">
        <v>0.6</v>
      </c>
      <c r="H425" t="n">
        <v>0</v>
      </c>
      <c r="I425" t="n">
        <v>0</v>
      </c>
      <c r="J425" t="n">
        <v>0</v>
      </c>
      <c r="K425" t="n">
        <v>0</v>
      </c>
      <c r="L425" t="n">
        <v>0</v>
      </c>
      <c r="M425" t="n">
        <v>0</v>
      </c>
      <c r="N425" t="n">
        <v>0</v>
      </c>
      <c r="O425" t="n">
        <v>0</v>
      </c>
      <c r="P425" t="n">
        <v>0</v>
      </c>
      <c r="Q425" t="n">
        <v>0</v>
      </c>
      <c r="R425" s="2" t="inlineStr"/>
    </row>
    <row r="426" ht="15" customHeight="1">
      <c r="A426" t="inlineStr">
        <is>
          <t>A 47357-2024</t>
        </is>
      </c>
      <c r="B426" s="1" t="n">
        <v>45587.42835648148</v>
      </c>
      <c r="C426" s="1" t="n">
        <v>46092</v>
      </c>
      <c r="D426" t="inlineStr">
        <is>
          <t>JÄMTLANDS LÄN</t>
        </is>
      </c>
      <c r="E426" t="inlineStr">
        <is>
          <t>ÖSTERSUND</t>
        </is>
      </c>
      <c r="G426" t="n">
        <v>2.4</v>
      </c>
      <c r="H426" t="n">
        <v>0</v>
      </c>
      <c r="I426" t="n">
        <v>0</v>
      </c>
      <c r="J426" t="n">
        <v>0</v>
      </c>
      <c r="K426" t="n">
        <v>0</v>
      </c>
      <c r="L426" t="n">
        <v>0</v>
      </c>
      <c r="M426" t="n">
        <v>0</v>
      </c>
      <c r="N426" t="n">
        <v>0</v>
      </c>
      <c r="O426" t="n">
        <v>0</v>
      </c>
      <c r="P426" t="n">
        <v>0</v>
      </c>
      <c r="Q426" t="n">
        <v>0</v>
      </c>
      <c r="R426" s="2" t="inlineStr"/>
    </row>
    <row r="427" ht="15" customHeight="1">
      <c r="A427" t="inlineStr">
        <is>
          <t>A 44327-2023</t>
        </is>
      </c>
      <c r="B427" s="1" t="n">
        <v>45188</v>
      </c>
      <c r="C427" s="1" t="n">
        <v>46092</v>
      </c>
      <c r="D427" t="inlineStr">
        <is>
          <t>JÄMTLANDS LÄN</t>
        </is>
      </c>
      <c r="E427" t="inlineStr">
        <is>
          <t>ÖSTERSUND</t>
        </is>
      </c>
      <c r="G427" t="n">
        <v>1.5</v>
      </c>
      <c r="H427" t="n">
        <v>0</v>
      </c>
      <c r="I427" t="n">
        <v>0</v>
      </c>
      <c r="J427" t="n">
        <v>0</v>
      </c>
      <c r="K427" t="n">
        <v>0</v>
      </c>
      <c r="L427" t="n">
        <v>0</v>
      </c>
      <c r="M427" t="n">
        <v>0</v>
      </c>
      <c r="N427" t="n">
        <v>0</v>
      </c>
      <c r="O427" t="n">
        <v>0</v>
      </c>
      <c r="P427" t="n">
        <v>0</v>
      </c>
      <c r="Q427" t="n">
        <v>0</v>
      </c>
      <c r="R427" s="2" t="inlineStr"/>
    </row>
    <row r="428" ht="15" customHeight="1">
      <c r="A428" t="inlineStr">
        <is>
          <t>A 8168-2026</t>
        </is>
      </c>
      <c r="B428" s="1" t="n">
        <v>46064.39027777778</v>
      </c>
      <c r="C428" s="1" t="n">
        <v>46092</v>
      </c>
      <c r="D428" t="inlineStr">
        <is>
          <t>JÄMTLANDS LÄN</t>
        </is>
      </c>
      <c r="E428" t="inlineStr">
        <is>
          <t>ÖSTERSUND</t>
        </is>
      </c>
      <c r="G428" t="n">
        <v>1.5</v>
      </c>
      <c r="H428" t="n">
        <v>0</v>
      </c>
      <c r="I428" t="n">
        <v>0</v>
      </c>
      <c r="J428" t="n">
        <v>0</v>
      </c>
      <c r="K428" t="n">
        <v>0</v>
      </c>
      <c r="L428" t="n">
        <v>0</v>
      </c>
      <c r="M428" t="n">
        <v>0</v>
      </c>
      <c r="N428" t="n">
        <v>0</v>
      </c>
      <c r="O428" t="n">
        <v>0</v>
      </c>
      <c r="P428" t="n">
        <v>0</v>
      </c>
      <c r="Q428" t="n">
        <v>0</v>
      </c>
      <c r="R428" s="2" t="inlineStr"/>
    </row>
    <row r="429" ht="15" customHeight="1">
      <c r="A429" t="inlineStr">
        <is>
          <t>A 8216-2026</t>
        </is>
      </c>
      <c r="B429" s="1" t="n">
        <v>46064.45548611111</v>
      </c>
      <c r="C429" s="1" t="n">
        <v>46092</v>
      </c>
      <c r="D429" t="inlineStr">
        <is>
          <t>JÄMTLANDS LÄN</t>
        </is>
      </c>
      <c r="E429" t="inlineStr">
        <is>
          <t>ÖSTERSUND</t>
        </is>
      </c>
      <c r="G429" t="n">
        <v>1.8</v>
      </c>
      <c r="H429" t="n">
        <v>0</v>
      </c>
      <c r="I429" t="n">
        <v>0</v>
      </c>
      <c r="J429" t="n">
        <v>0</v>
      </c>
      <c r="K429" t="n">
        <v>0</v>
      </c>
      <c r="L429" t="n">
        <v>0</v>
      </c>
      <c r="M429" t="n">
        <v>0</v>
      </c>
      <c r="N429" t="n">
        <v>0</v>
      </c>
      <c r="O429" t="n">
        <v>0</v>
      </c>
      <c r="P429" t="n">
        <v>0</v>
      </c>
      <c r="Q429" t="n">
        <v>0</v>
      </c>
      <c r="R429" s="2" t="inlineStr"/>
    </row>
    <row r="430" ht="15" customHeight="1">
      <c r="A430" t="inlineStr">
        <is>
          <t>A 8545-2026</t>
        </is>
      </c>
      <c r="B430" s="1" t="n">
        <v>46065.61449074074</v>
      </c>
      <c r="C430" s="1" t="n">
        <v>46092</v>
      </c>
      <c r="D430" t="inlineStr">
        <is>
          <t>JÄMTLANDS LÄN</t>
        </is>
      </c>
      <c r="E430" t="inlineStr">
        <is>
          <t>ÖSTERSUND</t>
        </is>
      </c>
      <c r="F430" t="inlineStr">
        <is>
          <t>Kyrkan</t>
        </is>
      </c>
      <c r="G430" t="n">
        <v>2.3</v>
      </c>
      <c r="H430" t="n">
        <v>0</v>
      </c>
      <c r="I430" t="n">
        <v>0</v>
      </c>
      <c r="J430" t="n">
        <v>0</v>
      </c>
      <c r="K430" t="n">
        <v>0</v>
      </c>
      <c r="L430" t="n">
        <v>0</v>
      </c>
      <c r="M430" t="n">
        <v>0</v>
      </c>
      <c r="N430" t="n">
        <v>0</v>
      </c>
      <c r="O430" t="n">
        <v>0</v>
      </c>
      <c r="P430" t="n">
        <v>0</v>
      </c>
      <c r="Q430" t="n">
        <v>0</v>
      </c>
      <c r="R430" s="2" t="inlineStr"/>
    </row>
    <row r="431" ht="15" customHeight="1">
      <c r="A431" t="inlineStr">
        <is>
          <t>A 21667-2024</t>
        </is>
      </c>
      <c r="B431" s="1" t="n">
        <v>45442.38511574074</v>
      </c>
      <c r="C431" s="1" t="n">
        <v>46092</v>
      </c>
      <c r="D431" t="inlineStr">
        <is>
          <t>JÄMTLANDS LÄN</t>
        </is>
      </c>
      <c r="E431" t="inlineStr">
        <is>
          <t>ÖSTERSUND</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47563-2025</t>
        </is>
      </c>
      <c r="B432" s="1" t="n">
        <v>45931.38956018518</v>
      </c>
      <c r="C432" s="1" t="n">
        <v>46092</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47805-2024</t>
        </is>
      </c>
      <c r="B433" s="1" t="n">
        <v>45588.61512731481</v>
      </c>
      <c r="C433" s="1" t="n">
        <v>46092</v>
      </c>
      <c r="D433" t="inlineStr">
        <is>
          <t>JÄMTLANDS LÄN</t>
        </is>
      </c>
      <c r="E433" t="inlineStr">
        <is>
          <t>ÖSTERSUND</t>
        </is>
      </c>
      <c r="G433" t="n">
        <v>7.4</v>
      </c>
      <c r="H433" t="n">
        <v>0</v>
      </c>
      <c r="I433" t="n">
        <v>0</v>
      </c>
      <c r="J433" t="n">
        <v>0</v>
      </c>
      <c r="K433" t="n">
        <v>0</v>
      </c>
      <c r="L433" t="n">
        <v>0</v>
      </c>
      <c r="M433" t="n">
        <v>0</v>
      </c>
      <c r="N433" t="n">
        <v>0</v>
      </c>
      <c r="O433" t="n">
        <v>0</v>
      </c>
      <c r="P433" t="n">
        <v>0</v>
      </c>
      <c r="Q433" t="n">
        <v>0</v>
      </c>
      <c r="R433" s="2" t="inlineStr"/>
    </row>
    <row r="434" ht="15" customHeight="1">
      <c r="A434" t="inlineStr">
        <is>
          <t>A 45338-2024</t>
        </is>
      </c>
      <c r="B434" s="1" t="n">
        <v>45576.46905092592</v>
      </c>
      <c r="C434" s="1" t="n">
        <v>46092</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45895-2024</t>
        </is>
      </c>
      <c r="B435" s="1" t="n">
        <v>45580.42736111111</v>
      </c>
      <c r="C435" s="1" t="n">
        <v>46092</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26492-2025</t>
        </is>
      </c>
      <c r="B436" s="1" t="n">
        <v>45807</v>
      </c>
      <c r="C436" s="1" t="n">
        <v>46092</v>
      </c>
      <c r="D436" t="inlineStr">
        <is>
          <t>JÄMTLANDS LÄN</t>
        </is>
      </c>
      <c r="E436" t="inlineStr">
        <is>
          <t>ÖSTERSUND</t>
        </is>
      </c>
      <c r="G436" t="n">
        <v>7</v>
      </c>
      <c r="H436" t="n">
        <v>0</v>
      </c>
      <c r="I436" t="n">
        <v>0</v>
      </c>
      <c r="J436" t="n">
        <v>0</v>
      </c>
      <c r="K436" t="n">
        <v>0</v>
      </c>
      <c r="L436" t="n">
        <v>0</v>
      </c>
      <c r="M436" t="n">
        <v>0</v>
      </c>
      <c r="N436" t="n">
        <v>0</v>
      </c>
      <c r="O436" t="n">
        <v>0</v>
      </c>
      <c r="P436" t="n">
        <v>0</v>
      </c>
      <c r="Q436" t="n">
        <v>0</v>
      </c>
      <c r="R436" s="2" t="inlineStr"/>
    </row>
    <row r="437" ht="15" customHeight="1">
      <c r="A437" t="inlineStr">
        <is>
          <t>A 26500-2025</t>
        </is>
      </c>
      <c r="B437" s="1" t="n">
        <v>45807</v>
      </c>
      <c r="C437" s="1" t="n">
        <v>46092</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8733-2026</t>
        </is>
      </c>
      <c r="B438" s="1" t="n">
        <v>46066</v>
      </c>
      <c r="C438" s="1" t="n">
        <v>46092</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5135-2025</t>
        </is>
      </c>
      <c r="B439" s="1" t="n">
        <v>45691</v>
      </c>
      <c r="C439" s="1" t="n">
        <v>46092</v>
      </c>
      <c r="D439" t="inlineStr">
        <is>
          <t>JÄMTLANDS LÄN</t>
        </is>
      </c>
      <c r="E439" t="inlineStr">
        <is>
          <t>ÖSTERSUND</t>
        </is>
      </c>
      <c r="F439" t="inlineStr">
        <is>
          <t>Övriga Aktiebolag</t>
        </is>
      </c>
      <c r="G439" t="n">
        <v>126.9</v>
      </c>
      <c r="H439" t="n">
        <v>0</v>
      </c>
      <c r="I439" t="n">
        <v>0</v>
      </c>
      <c r="J439" t="n">
        <v>0</v>
      </c>
      <c r="K439" t="n">
        <v>0</v>
      </c>
      <c r="L439" t="n">
        <v>0</v>
      </c>
      <c r="M439" t="n">
        <v>0</v>
      </c>
      <c r="N439" t="n">
        <v>0</v>
      </c>
      <c r="O439" t="n">
        <v>0</v>
      </c>
      <c r="P439" t="n">
        <v>0</v>
      </c>
      <c r="Q439" t="n">
        <v>0</v>
      </c>
      <c r="R439" s="2" t="inlineStr"/>
    </row>
    <row r="440" ht="15" customHeight="1">
      <c r="A440" t="inlineStr">
        <is>
          <t>A 47575-2025</t>
        </is>
      </c>
      <c r="B440" s="1" t="n">
        <v>45931.40100694444</v>
      </c>
      <c r="C440" s="1" t="n">
        <v>46092</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47579-2025</t>
        </is>
      </c>
      <c r="B441" s="1" t="n">
        <v>45931.40671296296</v>
      </c>
      <c r="C441" s="1" t="n">
        <v>46092</v>
      </c>
      <c r="D441" t="inlineStr">
        <is>
          <t>JÄMTLANDS LÄN</t>
        </is>
      </c>
      <c r="E441" t="inlineStr">
        <is>
          <t>ÖSTERSUND</t>
        </is>
      </c>
      <c r="G441" t="n">
        <v>5.8</v>
      </c>
      <c r="H441" t="n">
        <v>0</v>
      </c>
      <c r="I441" t="n">
        <v>0</v>
      </c>
      <c r="J441" t="n">
        <v>0</v>
      </c>
      <c r="K441" t="n">
        <v>0</v>
      </c>
      <c r="L441" t="n">
        <v>0</v>
      </c>
      <c r="M441" t="n">
        <v>0</v>
      </c>
      <c r="N441" t="n">
        <v>0</v>
      </c>
      <c r="O441" t="n">
        <v>0</v>
      </c>
      <c r="P441" t="n">
        <v>0</v>
      </c>
      <c r="Q441" t="n">
        <v>0</v>
      </c>
      <c r="R441" s="2" t="inlineStr"/>
    </row>
    <row r="442" ht="15" customHeight="1">
      <c r="A442" t="inlineStr">
        <is>
          <t>A 8832-2026</t>
        </is>
      </c>
      <c r="B442" s="1" t="n">
        <v>46066.6364699074</v>
      </c>
      <c r="C442" s="1" t="n">
        <v>46092</v>
      </c>
      <c r="D442" t="inlineStr">
        <is>
          <t>JÄMTLANDS LÄN</t>
        </is>
      </c>
      <c r="E442" t="inlineStr">
        <is>
          <t>ÖSTERSUND</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3610-2024</t>
        </is>
      </c>
      <c r="B443" s="1" t="n">
        <v>45320.92060185185</v>
      </c>
      <c r="C443" s="1" t="n">
        <v>46092</v>
      </c>
      <c r="D443" t="inlineStr">
        <is>
          <t>JÄMTLANDS LÄN</t>
        </is>
      </c>
      <c r="E443" t="inlineStr">
        <is>
          <t>ÖSTERSUND</t>
        </is>
      </c>
      <c r="G443" t="n">
        <v>6.2</v>
      </c>
      <c r="H443" t="n">
        <v>0</v>
      </c>
      <c r="I443" t="n">
        <v>0</v>
      </c>
      <c r="J443" t="n">
        <v>0</v>
      </c>
      <c r="K443" t="n">
        <v>0</v>
      </c>
      <c r="L443" t="n">
        <v>0</v>
      </c>
      <c r="M443" t="n">
        <v>0</v>
      </c>
      <c r="N443" t="n">
        <v>0</v>
      </c>
      <c r="O443" t="n">
        <v>0</v>
      </c>
      <c r="P443" t="n">
        <v>0</v>
      </c>
      <c r="Q443" t="n">
        <v>0</v>
      </c>
      <c r="R443" s="2" t="inlineStr"/>
    </row>
    <row r="444" ht="15" customHeight="1">
      <c r="A444" t="inlineStr">
        <is>
          <t>A 27034-2025</t>
        </is>
      </c>
      <c r="B444" s="1" t="n">
        <v>45811.59258101852</v>
      </c>
      <c r="C444" s="1" t="n">
        <v>46092</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8676-2026</t>
        </is>
      </c>
      <c r="B445" s="1" t="n">
        <v>46066</v>
      </c>
      <c r="C445" s="1" t="n">
        <v>46092</v>
      </c>
      <c r="D445" t="inlineStr">
        <is>
          <t>JÄMTLANDS LÄN</t>
        </is>
      </c>
      <c r="E445" t="inlineStr">
        <is>
          <t>ÖSTERSUND</t>
        </is>
      </c>
      <c r="G445" t="n">
        <v>11.6</v>
      </c>
      <c r="H445" t="n">
        <v>0</v>
      </c>
      <c r="I445" t="n">
        <v>0</v>
      </c>
      <c r="J445" t="n">
        <v>0</v>
      </c>
      <c r="K445" t="n">
        <v>0</v>
      </c>
      <c r="L445" t="n">
        <v>0</v>
      </c>
      <c r="M445" t="n">
        <v>0</v>
      </c>
      <c r="N445" t="n">
        <v>0</v>
      </c>
      <c r="O445" t="n">
        <v>0</v>
      </c>
      <c r="P445" t="n">
        <v>0</v>
      </c>
      <c r="Q445" t="n">
        <v>0</v>
      </c>
      <c r="R445" s="2" t="inlineStr"/>
    </row>
    <row r="446" ht="15" customHeight="1">
      <c r="A446" t="inlineStr">
        <is>
          <t>A 8607-2026</t>
        </is>
      </c>
      <c r="B446" s="1" t="n">
        <v>46065</v>
      </c>
      <c r="C446" s="1" t="n">
        <v>46092</v>
      </c>
      <c r="D446" t="inlineStr">
        <is>
          <t>JÄMTLANDS LÄN</t>
        </is>
      </c>
      <c r="E446" t="inlineStr">
        <is>
          <t>ÖSTERSUND</t>
        </is>
      </c>
      <c r="G446" t="n">
        <v>5.1</v>
      </c>
      <c r="H446" t="n">
        <v>0</v>
      </c>
      <c r="I446" t="n">
        <v>0</v>
      </c>
      <c r="J446" t="n">
        <v>0</v>
      </c>
      <c r="K446" t="n">
        <v>0</v>
      </c>
      <c r="L446" t="n">
        <v>0</v>
      </c>
      <c r="M446" t="n">
        <v>0</v>
      </c>
      <c r="N446" t="n">
        <v>0</v>
      </c>
      <c r="O446" t="n">
        <v>0</v>
      </c>
      <c r="P446" t="n">
        <v>0</v>
      </c>
      <c r="Q446" t="n">
        <v>0</v>
      </c>
      <c r="R446" s="2" t="inlineStr"/>
    </row>
    <row r="447" ht="15" customHeight="1">
      <c r="A447" t="inlineStr">
        <is>
          <t>A 8609-2026</t>
        </is>
      </c>
      <c r="B447" s="1" t="n">
        <v>46065</v>
      </c>
      <c r="C447" s="1" t="n">
        <v>46092</v>
      </c>
      <c r="D447" t="inlineStr">
        <is>
          <t>JÄMTLANDS LÄN</t>
        </is>
      </c>
      <c r="E447" t="inlineStr">
        <is>
          <t>ÖSTERSUND</t>
        </is>
      </c>
      <c r="G447" t="n">
        <v>5.1</v>
      </c>
      <c r="H447" t="n">
        <v>0</v>
      </c>
      <c r="I447" t="n">
        <v>0</v>
      </c>
      <c r="J447" t="n">
        <v>0</v>
      </c>
      <c r="K447" t="n">
        <v>0</v>
      </c>
      <c r="L447" t="n">
        <v>0</v>
      </c>
      <c r="M447" t="n">
        <v>0</v>
      </c>
      <c r="N447" t="n">
        <v>0</v>
      </c>
      <c r="O447" t="n">
        <v>0</v>
      </c>
      <c r="P447" t="n">
        <v>0</v>
      </c>
      <c r="Q447" t="n">
        <v>0</v>
      </c>
      <c r="R447" s="2" t="inlineStr"/>
    </row>
    <row r="448" ht="15" customHeight="1">
      <c r="A448" t="inlineStr">
        <is>
          <t>A 8634-2026</t>
        </is>
      </c>
      <c r="B448" s="1" t="n">
        <v>46066.35408564815</v>
      </c>
      <c r="C448" s="1" t="n">
        <v>46092</v>
      </c>
      <c r="D448" t="inlineStr">
        <is>
          <t>JÄMTLANDS LÄN</t>
        </is>
      </c>
      <c r="E448" t="inlineStr">
        <is>
          <t>ÖSTERSUND</t>
        </is>
      </c>
      <c r="G448" t="n">
        <v>7.6</v>
      </c>
      <c r="H448" t="n">
        <v>0</v>
      </c>
      <c r="I448" t="n">
        <v>0</v>
      </c>
      <c r="J448" t="n">
        <v>0</v>
      </c>
      <c r="K448" t="n">
        <v>0</v>
      </c>
      <c r="L448" t="n">
        <v>0</v>
      </c>
      <c r="M448" t="n">
        <v>0</v>
      </c>
      <c r="N448" t="n">
        <v>0</v>
      </c>
      <c r="O448" t="n">
        <v>0</v>
      </c>
      <c r="P448" t="n">
        <v>0</v>
      </c>
      <c r="Q448" t="n">
        <v>0</v>
      </c>
      <c r="R448" s="2" t="inlineStr"/>
    </row>
    <row r="449" ht="15" customHeight="1">
      <c r="A449" t="inlineStr">
        <is>
          <t>A 46732-2024</t>
        </is>
      </c>
      <c r="B449" s="1" t="n">
        <v>45583.46936342592</v>
      </c>
      <c r="C449" s="1" t="n">
        <v>46092</v>
      </c>
      <c r="D449" t="inlineStr">
        <is>
          <t>JÄMTLANDS LÄN</t>
        </is>
      </c>
      <c r="E449" t="inlineStr">
        <is>
          <t>ÖSTERSUND</t>
        </is>
      </c>
      <c r="G449" t="n">
        <v>3.3</v>
      </c>
      <c r="H449" t="n">
        <v>0</v>
      </c>
      <c r="I449" t="n">
        <v>0</v>
      </c>
      <c r="J449" t="n">
        <v>0</v>
      </c>
      <c r="K449" t="n">
        <v>0</v>
      </c>
      <c r="L449" t="n">
        <v>0</v>
      </c>
      <c r="M449" t="n">
        <v>0</v>
      </c>
      <c r="N449" t="n">
        <v>0</v>
      </c>
      <c r="O449" t="n">
        <v>0</v>
      </c>
      <c r="P449" t="n">
        <v>0</v>
      </c>
      <c r="Q449" t="n">
        <v>0</v>
      </c>
      <c r="R449" s="2" t="inlineStr"/>
    </row>
    <row r="450" ht="15" customHeight="1">
      <c r="A450" t="inlineStr">
        <is>
          <t>A 623-2026</t>
        </is>
      </c>
      <c r="B450" s="1" t="n">
        <v>46024</v>
      </c>
      <c r="C450" s="1" t="n">
        <v>46092</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318-2026</t>
        </is>
      </c>
      <c r="B451" s="1" t="n">
        <v>46027.57334490741</v>
      </c>
      <c r="C451" s="1" t="n">
        <v>46092</v>
      </c>
      <c r="D451" t="inlineStr">
        <is>
          <t>JÄMTLANDS LÄN</t>
        </is>
      </c>
      <c r="E451" t="inlineStr">
        <is>
          <t>ÖSTERSUND</t>
        </is>
      </c>
      <c r="G451" t="n">
        <v>2</v>
      </c>
      <c r="H451" t="n">
        <v>0</v>
      </c>
      <c r="I451" t="n">
        <v>0</v>
      </c>
      <c r="J451" t="n">
        <v>0</v>
      </c>
      <c r="K451" t="n">
        <v>0</v>
      </c>
      <c r="L451" t="n">
        <v>0</v>
      </c>
      <c r="M451" t="n">
        <v>0</v>
      </c>
      <c r="N451" t="n">
        <v>0</v>
      </c>
      <c r="O451" t="n">
        <v>0</v>
      </c>
      <c r="P451" t="n">
        <v>0</v>
      </c>
      <c r="Q451" t="n">
        <v>0</v>
      </c>
      <c r="R451" s="2" t="inlineStr"/>
    </row>
    <row r="452" ht="15" customHeight="1">
      <c r="A452" t="inlineStr">
        <is>
          <t>A 8737-2026</t>
        </is>
      </c>
      <c r="B452" s="1" t="n">
        <v>46066</v>
      </c>
      <c r="C452" s="1" t="n">
        <v>46092</v>
      </c>
      <c r="D452" t="inlineStr">
        <is>
          <t>JÄMTLANDS LÄN</t>
        </is>
      </c>
      <c r="E452" t="inlineStr">
        <is>
          <t>ÖSTERSUND</t>
        </is>
      </c>
      <c r="G452" t="n">
        <v>4.9</v>
      </c>
      <c r="H452" t="n">
        <v>0</v>
      </c>
      <c r="I452" t="n">
        <v>0</v>
      </c>
      <c r="J452" t="n">
        <v>0</v>
      </c>
      <c r="K452" t="n">
        <v>0</v>
      </c>
      <c r="L452" t="n">
        <v>0</v>
      </c>
      <c r="M452" t="n">
        <v>0</v>
      </c>
      <c r="N452" t="n">
        <v>0</v>
      </c>
      <c r="O452" t="n">
        <v>0</v>
      </c>
      <c r="P452" t="n">
        <v>0</v>
      </c>
      <c r="Q452" t="n">
        <v>0</v>
      </c>
      <c r="R452" s="2" t="inlineStr"/>
    </row>
    <row r="453" ht="15" customHeight="1">
      <c r="A453" t="inlineStr">
        <is>
          <t>A 26373-2025</t>
        </is>
      </c>
      <c r="B453" s="1" t="n">
        <v>45806.40677083333</v>
      </c>
      <c r="C453" s="1" t="n">
        <v>46092</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47759-2025</t>
        </is>
      </c>
      <c r="B454" s="1" t="n">
        <v>45931.67381944445</v>
      </c>
      <c r="C454" s="1" t="n">
        <v>46092</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46092</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330-2026</t>
        </is>
      </c>
      <c r="B456" s="1" t="n">
        <v>46027.59451388889</v>
      </c>
      <c r="C456" s="1" t="n">
        <v>46092</v>
      </c>
      <c r="D456" t="inlineStr">
        <is>
          <t>JÄMTLANDS LÄN</t>
        </is>
      </c>
      <c r="E456" t="inlineStr">
        <is>
          <t>ÖSTERSUND</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8833-2026</t>
        </is>
      </c>
      <c r="B457" s="1" t="n">
        <v>46066.6365625</v>
      </c>
      <c r="C457" s="1" t="n">
        <v>46092</v>
      </c>
      <c r="D457" t="inlineStr">
        <is>
          <t>JÄMTLANDS LÄN</t>
        </is>
      </c>
      <c r="E457" t="inlineStr">
        <is>
          <t>ÖSTERSUND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8610-2026</t>
        </is>
      </c>
      <c r="B458" s="1" t="n">
        <v>46065</v>
      </c>
      <c r="C458" s="1" t="n">
        <v>46092</v>
      </c>
      <c r="D458" t="inlineStr">
        <is>
          <t>JÄMTLANDS LÄN</t>
        </is>
      </c>
      <c r="E458" t="inlineStr">
        <is>
          <t>ÖSTERSUND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25187-2024</t>
        </is>
      </c>
      <c r="B459" s="1" t="n">
        <v>45462.56172453704</v>
      </c>
      <c r="C459" s="1" t="n">
        <v>46092</v>
      </c>
      <c r="D459" t="inlineStr">
        <is>
          <t>JÄMTLANDS LÄN</t>
        </is>
      </c>
      <c r="E459" t="inlineStr">
        <is>
          <t>ÖSTERSUND</t>
        </is>
      </c>
      <c r="G459" t="n">
        <v>2.4</v>
      </c>
      <c r="H459" t="n">
        <v>0</v>
      </c>
      <c r="I459" t="n">
        <v>0</v>
      </c>
      <c r="J459" t="n">
        <v>0</v>
      </c>
      <c r="K459" t="n">
        <v>0</v>
      </c>
      <c r="L459" t="n">
        <v>0</v>
      </c>
      <c r="M459" t="n">
        <v>0</v>
      </c>
      <c r="N459" t="n">
        <v>0</v>
      </c>
      <c r="O459" t="n">
        <v>0</v>
      </c>
      <c r="P459" t="n">
        <v>0</v>
      </c>
      <c r="Q459" t="n">
        <v>0</v>
      </c>
      <c r="R459" s="2" t="inlineStr"/>
    </row>
    <row r="460" ht="15" customHeight="1">
      <c r="A460" t="inlineStr">
        <is>
          <t>A 26587-2025</t>
        </is>
      </c>
      <c r="B460" s="1" t="n">
        <v>45807.75076388889</v>
      </c>
      <c r="C460" s="1" t="n">
        <v>46092</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9191-2026</t>
        </is>
      </c>
      <c r="B461" s="1" t="n">
        <v>46070.38542824074</v>
      </c>
      <c r="C461" s="1" t="n">
        <v>46092</v>
      </c>
      <c r="D461" t="inlineStr">
        <is>
          <t>JÄMTLANDS LÄN</t>
        </is>
      </c>
      <c r="E461" t="inlineStr">
        <is>
          <t>ÖSTERSUND</t>
        </is>
      </c>
      <c r="F461" t="inlineStr">
        <is>
          <t>Övriga Aktiebolag</t>
        </is>
      </c>
      <c r="G461" t="n">
        <v>1.8</v>
      </c>
      <c r="H461" t="n">
        <v>0</v>
      </c>
      <c r="I461" t="n">
        <v>0</v>
      </c>
      <c r="J461" t="n">
        <v>0</v>
      </c>
      <c r="K461" t="n">
        <v>0</v>
      </c>
      <c r="L461" t="n">
        <v>0</v>
      </c>
      <c r="M461" t="n">
        <v>0</v>
      </c>
      <c r="N461" t="n">
        <v>0</v>
      </c>
      <c r="O461" t="n">
        <v>0</v>
      </c>
      <c r="P461" t="n">
        <v>0</v>
      </c>
      <c r="Q461" t="n">
        <v>0</v>
      </c>
      <c r="R461" s="2" t="inlineStr"/>
    </row>
    <row r="462" ht="15" customHeight="1">
      <c r="A462" t="inlineStr">
        <is>
          <t>A 13282-2023</t>
        </is>
      </c>
      <c r="B462" s="1" t="n">
        <v>45004</v>
      </c>
      <c r="C462" s="1" t="n">
        <v>46092</v>
      </c>
      <c r="D462" t="inlineStr">
        <is>
          <t>JÄMTLANDS LÄN</t>
        </is>
      </c>
      <c r="E462" t="inlineStr">
        <is>
          <t>ÖSTERSUND</t>
        </is>
      </c>
      <c r="G462" t="n">
        <v>28.5</v>
      </c>
      <c r="H462" t="n">
        <v>0</v>
      </c>
      <c r="I462" t="n">
        <v>0</v>
      </c>
      <c r="J462" t="n">
        <v>0</v>
      </c>
      <c r="K462" t="n">
        <v>0</v>
      </c>
      <c r="L462" t="n">
        <v>0</v>
      </c>
      <c r="M462" t="n">
        <v>0</v>
      </c>
      <c r="N462" t="n">
        <v>0</v>
      </c>
      <c r="O462" t="n">
        <v>0</v>
      </c>
      <c r="P462" t="n">
        <v>0</v>
      </c>
      <c r="Q462" t="n">
        <v>0</v>
      </c>
      <c r="R462" s="2" t="inlineStr"/>
    </row>
    <row r="463" ht="15" customHeight="1">
      <c r="A463" t="inlineStr">
        <is>
          <t>A 10064-2024</t>
        </is>
      </c>
      <c r="B463" s="1" t="n">
        <v>45364.3874074074</v>
      </c>
      <c r="C463" s="1" t="n">
        <v>46092</v>
      </c>
      <c r="D463" t="inlineStr">
        <is>
          <t>JÄMTLANDS LÄN</t>
        </is>
      </c>
      <c r="E463" t="inlineStr">
        <is>
          <t>ÖSTERSUND</t>
        </is>
      </c>
      <c r="G463" t="n">
        <v>13.9</v>
      </c>
      <c r="H463" t="n">
        <v>0</v>
      </c>
      <c r="I463" t="n">
        <v>0</v>
      </c>
      <c r="J463" t="n">
        <v>0</v>
      </c>
      <c r="K463" t="n">
        <v>0</v>
      </c>
      <c r="L463" t="n">
        <v>0</v>
      </c>
      <c r="M463" t="n">
        <v>0</v>
      </c>
      <c r="N463" t="n">
        <v>0</v>
      </c>
      <c r="O463" t="n">
        <v>0</v>
      </c>
      <c r="P463" t="n">
        <v>0</v>
      </c>
      <c r="Q463" t="n">
        <v>0</v>
      </c>
      <c r="R463" s="2" t="inlineStr"/>
    </row>
    <row r="464" ht="15" customHeight="1">
      <c r="A464" t="inlineStr">
        <is>
          <t>A 721-2026</t>
        </is>
      </c>
      <c r="B464" s="1" t="n">
        <v>46029</v>
      </c>
      <c r="C464" s="1" t="n">
        <v>46092</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13651-2025</t>
        </is>
      </c>
      <c r="B465" s="1" t="n">
        <v>45736.71818287037</v>
      </c>
      <c r="C465" s="1" t="n">
        <v>46092</v>
      </c>
      <c r="D465" t="inlineStr">
        <is>
          <t>JÄMTLANDS LÄN</t>
        </is>
      </c>
      <c r="E465" t="inlineStr">
        <is>
          <t>ÖSTERSUND</t>
        </is>
      </c>
      <c r="G465" t="n">
        <v>3.7</v>
      </c>
      <c r="H465" t="n">
        <v>0</v>
      </c>
      <c r="I465" t="n">
        <v>0</v>
      </c>
      <c r="J465" t="n">
        <v>0</v>
      </c>
      <c r="K465" t="n">
        <v>0</v>
      </c>
      <c r="L465" t="n">
        <v>0</v>
      </c>
      <c r="M465" t="n">
        <v>0</v>
      </c>
      <c r="N465" t="n">
        <v>0</v>
      </c>
      <c r="O465" t="n">
        <v>0</v>
      </c>
      <c r="P465" t="n">
        <v>0</v>
      </c>
      <c r="Q465" t="n">
        <v>0</v>
      </c>
      <c r="R465" s="2" t="inlineStr"/>
    </row>
    <row r="466" ht="15" customHeight="1">
      <c r="A466" t="inlineStr">
        <is>
          <t>A 39510-2024</t>
        </is>
      </c>
      <c r="B466" s="1" t="n">
        <v>45551.67761574074</v>
      </c>
      <c r="C466" s="1" t="n">
        <v>46092</v>
      </c>
      <c r="D466" t="inlineStr">
        <is>
          <t>JÄMTLANDS LÄN</t>
        </is>
      </c>
      <c r="E466" t="inlineStr">
        <is>
          <t>ÖSTERSUND</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485-2026</t>
        </is>
      </c>
      <c r="B467" s="1" t="n">
        <v>46029.41560185186</v>
      </c>
      <c r="C467" s="1" t="n">
        <v>46092</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27035-2025</t>
        </is>
      </c>
      <c r="B468" s="1" t="n">
        <v>45811.5928587963</v>
      </c>
      <c r="C468" s="1" t="n">
        <v>46092</v>
      </c>
      <c r="D468" t="inlineStr">
        <is>
          <t>JÄMTLANDS LÄN</t>
        </is>
      </c>
      <c r="E468" t="inlineStr">
        <is>
          <t>ÖSTERSUND</t>
        </is>
      </c>
      <c r="G468" t="n">
        <v>2.8</v>
      </c>
      <c r="H468" t="n">
        <v>0</v>
      </c>
      <c r="I468" t="n">
        <v>0</v>
      </c>
      <c r="J468" t="n">
        <v>0</v>
      </c>
      <c r="K468" t="n">
        <v>0</v>
      </c>
      <c r="L468" t="n">
        <v>0</v>
      </c>
      <c r="M468" t="n">
        <v>0</v>
      </c>
      <c r="N468" t="n">
        <v>0</v>
      </c>
      <c r="O468" t="n">
        <v>0</v>
      </c>
      <c r="P468" t="n">
        <v>0</v>
      </c>
      <c r="Q468" t="n">
        <v>0</v>
      </c>
      <c r="R468" s="2" t="inlineStr"/>
    </row>
    <row r="469" ht="15" customHeight="1">
      <c r="A469" t="inlineStr">
        <is>
          <t>A 10056-2026</t>
        </is>
      </c>
      <c r="B469" s="1" t="n">
        <v>46073.61809027778</v>
      </c>
      <c r="C469" s="1" t="n">
        <v>46092</v>
      </c>
      <c r="D469" t="inlineStr">
        <is>
          <t>JÄMTLANDS LÄN</t>
        </is>
      </c>
      <c r="E469" t="inlineStr">
        <is>
          <t>ÖSTERSUND</t>
        </is>
      </c>
      <c r="G469" t="n">
        <v>17.2</v>
      </c>
      <c r="H469" t="n">
        <v>0</v>
      </c>
      <c r="I469" t="n">
        <v>0</v>
      </c>
      <c r="J469" t="n">
        <v>0</v>
      </c>
      <c r="K469" t="n">
        <v>0</v>
      </c>
      <c r="L469" t="n">
        <v>0</v>
      </c>
      <c r="M469" t="n">
        <v>0</v>
      </c>
      <c r="N469" t="n">
        <v>0</v>
      </c>
      <c r="O469" t="n">
        <v>0</v>
      </c>
      <c r="P469" t="n">
        <v>0</v>
      </c>
      <c r="Q469" t="n">
        <v>0</v>
      </c>
      <c r="R469" s="2" t="inlineStr"/>
    </row>
    <row r="470" ht="15" customHeight="1">
      <c r="A470" t="inlineStr">
        <is>
          <t>A 10266-2025</t>
        </is>
      </c>
      <c r="B470" s="1" t="n">
        <v>45720.38576388889</v>
      </c>
      <c r="C470" s="1" t="n">
        <v>46092</v>
      </c>
      <c r="D470" t="inlineStr">
        <is>
          <t>JÄMTLANDS LÄN</t>
        </is>
      </c>
      <c r="E470" t="inlineStr">
        <is>
          <t>ÖSTERSUND</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27517-2025</t>
        </is>
      </c>
      <c r="B471" s="1" t="n">
        <v>45813.43966435185</v>
      </c>
      <c r="C471" s="1" t="n">
        <v>46092</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7956-2025</t>
        </is>
      </c>
      <c r="B472" s="1" t="n">
        <v>45707.42825231481</v>
      </c>
      <c r="C472" s="1" t="n">
        <v>46092</v>
      </c>
      <c r="D472" t="inlineStr">
        <is>
          <t>JÄMTLANDS LÄN</t>
        </is>
      </c>
      <c r="E472" t="inlineStr">
        <is>
          <t>ÖSTERSUND</t>
        </is>
      </c>
      <c r="F472" t="inlineStr">
        <is>
          <t>Övriga Aktiebolag</t>
        </is>
      </c>
      <c r="G472" t="n">
        <v>111.2</v>
      </c>
      <c r="H472" t="n">
        <v>0</v>
      </c>
      <c r="I472" t="n">
        <v>0</v>
      </c>
      <c r="J472" t="n">
        <v>0</v>
      </c>
      <c r="K472" t="n">
        <v>0</v>
      </c>
      <c r="L472" t="n">
        <v>0</v>
      </c>
      <c r="M472" t="n">
        <v>0</v>
      </c>
      <c r="N472" t="n">
        <v>0</v>
      </c>
      <c r="O472" t="n">
        <v>0</v>
      </c>
      <c r="P472" t="n">
        <v>0</v>
      </c>
      <c r="Q472" t="n">
        <v>0</v>
      </c>
      <c r="R472" s="2" t="inlineStr"/>
    </row>
    <row r="473" ht="15" customHeight="1">
      <c r="A473" t="inlineStr">
        <is>
          <t>A 28025-2025</t>
        </is>
      </c>
      <c r="B473" s="1" t="n">
        <v>45817</v>
      </c>
      <c r="C473" s="1" t="n">
        <v>46092</v>
      </c>
      <c r="D473" t="inlineStr">
        <is>
          <t>JÄMTLANDS LÄN</t>
        </is>
      </c>
      <c r="E473" t="inlineStr">
        <is>
          <t>ÖSTERSUND</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1374-2026</t>
        </is>
      </c>
      <c r="B474" s="1" t="n">
        <v>46031.6141087963</v>
      </c>
      <c r="C474" s="1" t="n">
        <v>46092</v>
      </c>
      <c r="D474" t="inlineStr">
        <is>
          <t>JÄMTLANDS LÄN</t>
        </is>
      </c>
      <c r="E474" t="inlineStr">
        <is>
          <t>ÖSTERSUND</t>
        </is>
      </c>
      <c r="G474" t="n">
        <v>2.7</v>
      </c>
      <c r="H474" t="n">
        <v>0</v>
      </c>
      <c r="I474" t="n">
        <v>0</v>
      </c>
      <c r="J474" t="n">
        <v>0</v>
      </c>
      <c r="K474" t="n">
        <v>0</v>
      </c>
      <c r="L474" t="n">
        <v>0</v>
      </c>
      <c r="M474" t="n">
        <v>0</v>
      </c>
      <c r="N474" t="n">
        <v>0</v>
      </c>
      <c r="O474" t="n">
        <v>0</v>
      </c>
      <c r="P474" t="n">
        <v>0</v>
      </c>
      <c r="Q474" t="n">
        <v>0</v>
      </c>
      <c r="R474" s="2" t="inlineStr"/>
    </row>
    <row r="475" ht="15" customHeight="1">
      <c r="A475" t="inlineStr">
        <is>
          <t>A 10267-2025</t>
        </is>
      </c>
      <c r="B475" s="1" t="n">
        <v>45720.3859375</v>
      </c>
      <c r="C475" s="1" t="n">
        <v>46092</v>
      </c>
      <c r="D475" t="inlineStr">
        <is>
          <t>JÄMTLANDS LÄN</t>
        </is>
      </c>
      <c r="E475" t="inlineStr">
        <is>
          <t>ÖSTERSUND</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27780-2022</t>
        </is>
      </c>
      <c r="B476" s="1" t="n">
        <v>44743</v>
      </c>
      <c r="C476" s="1" t="n">
        <v>46092</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56811-2025</t>
        </is>
      </c>
      <c r="B477" s="1" t="n">
        <v>45978.45540509259</v>
      </c>
      <c r="C477" s="1" t="n">
        <v>46092</v>
      </c>
      <c r="D477" t="inlineStr">
        <is>
          <t>JÄMTLANDS LÄN</t>
        </is>
      </c>
      <c r="E477" t="inlineStr">
        <is>
          <t>ÖSTERSUND</t>
        </is>
      </c>
      <c r="G477" t="n">
        <v>0.7</v>
      </c>
      <c r="H477" t="n">
        <v>0</v>
      </c>
      <c r="I477" t="n">
        <v>0</v>
      </c>
      <c r="J477" t="n">
        <v>0</v>
      </c>
      <c r="K477" t="n">
        <v>0</v>
      </c>
      <c r="L477" t="n">
        <v>0</v>
      </c>
      <c r="M477" t="n">
        <v>0</v>
      </c>
      <c r="N477" t="n">
        <v>0</v>
      </c>
      <c r="O477" t="n">
        <v>0</v>
      </c>
      <c r="P477" t="n">
        <v>0</v>
      </c>
      <c r="Q477" t="n">
        <v>0</v>
      </c>
      <c r="R477" s="2" t="inlineStr"/>
    </row>
    <row r="478" ht="15" customHeight="1">
      <c r="A478" t="inlineStr">
        <is>
          <t>A 10048-2026</t>
        </is>
      </c>
      <c r="B478" s="1" t="n">
        <v>46073.60355324074</v>
      </c>
      <c r="C478" s="1" t="n">
        <v>46092</v>
      </c>
      <c r="D478" t="inlineStr">
        <is>
          <t>JÄMTLANDS LÄN</t>
        </is>
      </c>
      <c r="E478" t="inlineStr">
        <is>
          <t>ÖSTERSUND</t>
        </is>
      </c>
      <c r="G478" t="n">
        <v>5.7</v>
      </c>
      <c r="H478" t="n">
        <v>0</v>
      </c>
      <c r="I478" t="n">
        <v>0</v>
      </c>
      <c r="J478" t="n">
        <v>0</v>
      </c>
      <c r="K478" t="n">
        <v>0</v>
      </c>
      <c r="L478" t="n">
        <v>0</v>
      </c>
      <c r="M478" t="n">
        <v>0</v>
      </c>
      <c r="N478" t="n">
        <v>0</v>
      </c>
      <c r="O478" t="n">
        <v>0</v>
      </c>
      <c r="P478" t="n">
        <v>0</v>
      </c>
      <c r="Q478" t="n">
        <v>0</v>
      </c>
      <c r="R478" s="2" t="inlineStr"/>
    </row>
    <row r="479" ht="15" customHeight="1">
      <c r="A479" t="inlineStr">
        <is>
          <t>A 28595-2025</t>
        </is>
      </c>
      <c r="B479" s="1" t="n">
        <v>45819.59429398148</v>
      </c>
      <c r="C479" s="1" t="n">
        <v>46092</v>
      </c>
      <c r="D479" t="inlineStr">
        <is>
          <t>JÄMTLANDS LÄN</t>
        </is>
      </c>
      <c r="E479" t="inlineStr">
        <is>
          <t>ÖSTERSUND</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43082-2024</t>
        </is>
      </c>
      <c r="B480" s="1" t="n">
        <v>45567.51068287037</v>
      </c>
      <c r="C480" s="1" t="n">
        <v>46092</v>
      </c>
      <c r="D480" t="inlineStr">
        <is>
          <t>JÄMTLANDS LÄN</t>
        </is>
      </c>
      <c r="E480" t="inlineStr">
        <is>
          <t>ÖSTERSUND</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28185-2025</t>
        </is>
      </c>
      <c r="B481" s="1" t="n">
        <v>45818.40337962963</v>
      </c>
      <c r="C481" s="1" t="n">
        <v>46092</v>
      </c>
      <c r="D481" t="inlineStr">
        <is>
          <t>JÄMTLANDS LÄN</t>
        </is>
      </c>
      <c r="E481" t="inlineStr">
        <is>
          <t>ÖSTERSUND</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57268-2025</t>
        </is>
      </c>
      <c r="B482" s="1" t="n">
        <v>45979.6756712963</v>
      </c>
      <c r="C482" s="1" t="n">
        <v>46092</v>
      </c>
      <c r="D482" t="inlineStr">
        <is>
          <t>JÄMTLANDS LÄN</t>
        </is>
      </c>
      <c r="E482" t="inlineStr">
        <is>
          <t>ÖSTERSUND</t>
        </is>
      </c>
      <c r="F482" t="inlineStr">
        <is>
          <t>Kommuner</t>
        </is>
      </c>
      <c r="G482" t="n">
        <v>0.7</v>
      </c>
      <c r="H482" t="n">
        <v>0</v>
      </c>
      <c r="I482" t="n">
        <v>0</v>
      </c>
      <c r="J482" t="n">
        <v>0</v>
      </c>
      <c r="K482" t="n">
        <v>0</v>
      </c>
      <c r="L482" t="n">
        <v>0</v>
      </c>
      <c r="M482" t="n">
        <v>0</v>
      </c>
      <c r="N482" t="n">
        <v>0</v>
      </c>
      <c r="O482" t="n">
        <v>0</v>
      </c>
      <c r="P482" t="n">
        <v>0</v>
      </c>
      <c r="Q482" t="n">
        <v>0</v>
      </c>
      <c r="R482" s="2" t="inlineStr"/>
    </row>
    <row r="483" ht="15" customHeight="1">
      <c r="A483" t="inlineStr">
        <is>
          <t>A 61653-2022</t>
        </is>
      </c>
      <c r="B483" s="1" t="n">
        <v>44916</v>
      </c>
      <c r="C483" s="1" t="n">
        <v>46092</v>
      </c>
      <c r="D483" t="inlineStr">
        <is>
          <t>JÄMTLANDS LÄN</t>
        </is>
      </c>
      <c r="E483" t="inlineStr">
        <is>
          <t>ÖSTERSUND</t>
        </is>
      </c>
      <c r="G483" t="n">
        <v>7.6</v>
      </c>
      <c r="H483" t="n">
        <v>0</v>
      </c>
      <c r="I483" t="n">
        <v>0</v>
      </c>
      <c r="J483" t="n">
        <v>0</v>
      </c>
      <c r="K483" t="n">
        <v>0</v>
      </c>
      <c r="L483" t="n">
        <v>0</v>
      </c>
      <c r="M483" t="n">
        <v>0</v>
      </c>
      <c r="N483" t="n">
        <v>0</v>
      </c>
      <c r="O483" t="n">
        <v>0</v>
      </c>
      <c r="P483" t="n">
        <v>0</v>
      </c>
      <c r="Q483" t="n">
        <v>0</v>
      </c>
      <c r="R483" s="2" t="inlineStr"/>
    </row>
    <row r="484" ht="15" customHeight="1">
      <c r="A484" t="inlineStr">
        <is>
          <t>A 9958-2026</t>
        </is>
      </c>
      <c r="B484" s="1" t="n">
        <v>46073.48990740741</v>
      </c>
      <c r="C484" s="1" t="n">
        <v>46092</v>
      </c>
      <c r="D484" t="inlineStr">
        <is>
          <t>JÄMTLANDS LÄN</t>
        </is>
      </c>
      <c r="E484" t="inlineStr">
        <is>
          <t>ÖSTERSUND</t>
        </is>
      </c>
      <c r="G484" t="n">
        <v>3.2</v>
      </c>
      <c r="H484" t="n">
        <v>0</v>
      </c>
      <c r="I484" t="n">
        <v>0</v>
      </c>
      <c r="J484" t="n">
        <v>0</v>
      </c>
      <c r="K484" t="n">
        <v>0</v>
      </c>
      <c r="L484" t="n">
        <v>0</v>
      </c>
      <c r="M484" t="n">
        <v>0</v>
      </c>
      <c r="N484" t="n">
        <v>0</v>
      </c>
      <c r="O484" t="n">
        <v>0</v>
      </c>
      <c r="P484" t="n">
        <v>0</v>
      </c>
      <c r="Q484" t="n">
        <v>0</v>
      </c>
      <c r="R484" s="2" t="inlineStr"/>
    </row>
    <row r="485" ht="15" customHeight="1">
      <c r="A485" t="inlineStr">
        <is>
          <t>A 52854-2024</t>
        </is>
      </c>
      <c r="B485" s="1" t="n">
        <v>45610.61030092592</v>
      </c>
      <c r="C485" s="1" t="n">
        <v>46092</v>
      </c>
      <c r="D485" t="inlineStr">
        <is>
          <t>JÄMTLANDS LÄN</t>
        </is>
      </c>
      <c r="E485" t="inlineStr">
        <is>
          <t>ÖSTERSUND</t>
        </is>
      </c>
      <c r="G485" t="n">
        <v>2.5</v>
      </c>
      <c r="H485" t="n">
        <v>0</v>
      </c>
      <c r="I485" t="n">
        <v>0</v>
      </c>
      <c r="J485" t="n">
        <v>0</v>
      </c>
      <c r="K485" t="n">
        <v>0</v>
      </c>
      <c r="L485" t="n">
        <v>0</v>
      </c>
      <c r="M485" t="n">
        <v>0</v>
      </c>
      <c r="N485" t="n">
        <v>0</v>
      </c>
      <c r="O485" t="n">
        <v>0</v>
      </c>
      <c r="P485" t="n">
        <v>0</v>
      </c>
      <c r="Q485" t="n">
        <v>0</v>
      </c>
      <c r="R485" s="2" t="inlineStr"/>
    </row>
    <row r="486" ht="15" customHeight="1">
      <c r="A486" t="inlineStr">
        <is>
          <t>A 48893-2025</t>
        </is>
      </c>
      <c r="B486" s="1" t="n">
        <v>45937.47302083333</v>
      </c>
      <c r="C486" s="1" t="n">
        <v>46092</v>
      </c>
      <c r="D486" t="inlineStr">
        <is>
          <t>JÄMTLANDS LÄN</t>
        </is>
      </c>
      <c r="E486" t="inlineStr">
        <is>
          <t>ÖSTERSUND</t>
        </is>
      </c>
      <c r="F486" t="inlineStr">
        <is>
          <t>Sveaskog</t>
        </is>
      </c>
      <c r="G486" t="n">
        <v>4.4</v>
      </c>
      <c r="H486" t="n">
        <v>0</v>
      </c>
      <c r="I486" t="n">
        <v>0</v>
      </c>
      <c r="J486" t="n">
        <v>0</v>
      </c>
      <c r="K486" t="n">
        <v>0</v>
      </c>
      <c r="L486" t="n">
        <v>0</v>
      </c>
      <c r="M486" t="n">
        <v>0</v>
      </c>
      <c r="N486" t="n">
        <v>0</v>
      </c>
      <c r="O486" t="n">
        <v>0</v>
      </c>
      <c r="P486" t="n">
        <v>0</v>
      </c>
      <c r="Q486" t="n">
        <v>0</v>
      </c>
      <c r="R486" s="2" t="inlineStr"/>
    </row>
    <row r="487" ht="15" customHeight="1">
      <c r="A487" t="inlineStr">
        <is>
          <t>A 9949-2026</t>
        </is>
      </c>
      <c r="B487" s="1" t="n">
        <v>46073.47060185186</v>
      </c>
      <c r="C487" s="1" t="n">
        <v>46092</v>
      </c>
      <c r="D487" t="inlineStr">
        <is>
          <t>JÄMTLANDS LÄN</t>
        </is>
      </c>
      <c r="E487" t="inlineStr">
        <is>
          <t>ÖSTERSUND</t>
        </is>
      </c>
      <c r="G487" t="n">
        <v>2.8</v>
      </c>
      <c r="H487" t="n">
        <v>0</v>
      </c>
      <c r="I487" t="n">
        <v>0</v>
      </c>
      <c r="J487" t="n">
        <v>0</v>
      </c>
      <c r="K487" t="n">
        <v>0</v>
      </c>
      <c r="L487" t="n">
        <v>0</v>
      </c>
      <c r="M487" t="n">
        <v>0</v>
      </c>
      <c r="N487" t="n">
        <v>0</v>
      </c>
      <c r="O487" t="n">
        <v>0</v>
      </c>
      <c r="P487" t="n">
        <v>0</v>
      </c>
      <c r="Q487" t="n">
        <v>0</v>
      </c>
      <c r="R487" s="2" t="inlineStr"/>
    </row>
    <row r="488" ht="15" customHeight="1">
      <c r="A488" t="inlineStr">
        <is>
          <t>A 24781-2024</t>
        </is>
      </c>
      <c r="B488" s="1" t="n">
        <v>45460.7772800926</v>
      </c>
      <c r="C488" s="1" t="n">
        <v>46092</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2228-2024</t>
        </is>
      </c>
      <c r="B489" s="1" t="n">
        <v>45309</v>
      </c>
      <c r="C489" s="1" t="n">
        <v>46092</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10058-2026</t>
        </is>
      </c>
      <c r="B490" s="1" t="n">
        <v>46073.62262731481</v>
      </c>
      <c r="C490" s="1" t="n">
        <v>46092</v>
      </c>
      <c r="D490" t="inlineStr">
        <is>
          <t>JÄMTLANDS LÄN</t>
        </is>
      </c>
      <c r="E490" t="inlineStr">
        <is>
          <t>ÖSTERSUND</t>
        </is>
      </c>
      <c r="G490" t="n">
        <v>3.2</v>
      </c>
      <c r="H490" t="n">
        <v>0</v>
      </c>
      <c r="I490" t="n">
        <v>0</v>
      </c>
      <c r="J490" t="n">
        <v>0</v>
      </c>
      <c r="K490" t="n">
        <v>0</v>
      </c>
      <c r="L490" t="n">
        <v>0</v>
      </c>
      <c r="M490" t="n">
        <v>0</v>
      </c>
      <c r="N490" t="n">
        <v>0</v>
      </c>
      <c r="O490" t="n">
        <v>0</v>
      </c>
      <c r="P490" t="n">
        <v>0</v>
      </c>
      <c r="Q490" t="n">
        <v>0</v>
      </c>
      <c r="R490" s="2" t="inlineStr"/>
    </row>
    <row r="491" ht="15" customHeight="1">
      <c r="A491" t="inlineStr">
        <is>
          <t>A 29703-2023</t>
        </is>
      </c>
      <c r="B491" s="1" t="n">
        <v>45107</v>
      </c>
      <c r="C491" s="1" t="n">
        <v>46092</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9819-2026</t>
        </is>
      </c>
      <c r="B492" s="1" t="n">
        <v>46072.6378587963</v>
      </c>
      <c r="C492" s="1" t="n">
        <v>46092</v>
      </c>
      <c r="D492" t="inlineStr">
        <is>
          <t>JÄMTLANDS LÄN</t>
        </is>
      </c>
      <c r="E492" t="inlineStr">
        <is>
          <t>ÖSTERSUND</t>
        </is>
      </c>
      <c r="G492" t="n">
        <v>5.9</v>
      </c>
      <c r="H492" t="n">
        <v>0</v>
      </c>
      <c r="I492" t="n">
        <v>0</v>
      </c>
      <c r="J492" t="n">
        <v>0</v>
      </c>
      <c r="K492" t="n">
        <v>0</v>
      </c>
      <c r="L492" t="n">
        <v>0</v>
      </c>
      <c r="M492" t="n">
        <v>0</v>
      </c>
      <c r="N492" t="n">
        <v>0</v>
      </c>
      <c r="O492" t="n">
        <v>0</v>
      </c>
      <c r="P492" t="n">
        <v>0</v>
      </c>
      <c r="Q492" t="n">
        <v>0</v>
      </c>
      <c r="R492" s="2" t="inlineStr"/>
    </row>
    <row r="493" ht="15" customHeight="1">
      <c r="A493" t="inlineStr">
        <is>
          <t>A 10196-2026</t>
        </is>
      </c>
      <c r="B493" s="1" t="n">
        <v>46076.46630787037</v>
      </c>
      <c r="C493" s="1" t="n">
        <v>46092</v>
      </c>
      <c r="D493" t="inlineStr">
        <is>
          <t>JÄMTLANDS LÄN</t>
        </is>
      </c>
      <c r="E493" t="inlineStr">
        <is>
          <t>ÖSTERSUND</t>
        </is>
      </c>
      <c r="G493" t="n">
        <v>3.2</v>
      </c>
      <c r="H493" t="n">
        <v>0</v>
      </c>
      <c r="I493" t="n">
        <v>0</v>
      </c>
      <c r="J493" t="n">
        <v>0</v>
      </c>
      <c r="K493" t="n">
        <v>0</v>
      </c>
      <c r="L493" t="n">
        <v>0</v>
      </c>
      <c r="M493" t="n">
        <v>0</v>
      </c>
      <c r="N493" t="n">
        <v>0</v>
      </c>
      <c r="O493" t="n">
        <v>0</v>
      </c>
      <c r="P493" t="n">
        <v>0</v>
      </c>
      <c r="Q493" t="n">
        <v>0</v>
      </c>
      <c r="R493" s="2" t="inlineStr"/>
    </row>
    <row r="494" ht="15" customHeight="1">
      <c r="A494" t="inlineStr">
        <is>
          <t>A 1552-2026</t>
        </is>
      </c>
      <c r="B494" s="1" t="n">
        <v>46034.38729166667</v>
      </c>
      <c r="C494" s="1" t="n">
        <v>46092</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61530-2023</t>
        </is>
      </c>
      <c r="B495" s="1" t="n">
        <v>45261</v>
      </c>
      <c r="C495" s="1" t="n">
        <v>46092</v>
      </c>
      <c r="D495" t="inlineStr">
        <is>
          <t>JÄMTLANDS LÄN</t>
        </is>
      </c>
      <c r="E495" t="inlineStr">
        <is>
          <t>ÖSTERSUND</t>
        </is>
      </c>
      <c r="F495" t="inlineStr">
        <is>
          <t>Övriga statliga verk och myndigheter</t>
        </is>
      </c>
      <c r="G495" t="n">
        <v>1</v>
      </c>
      <c r="H495" t="n">
        <v>0</v>
      </c>
      <c r="I495" t="n">
        <v>0</v>
      </c>
      <c r="J495" t="n">
        <v>0</v>
      </c>
      <c r="K495" t="n">
        <v>0</v>
      </c>
      <c r="L495" t="n">
        <v>0</v>
      </c>
      <c r="M495" t="n">
        <v>0</v>
      </c>
      <c r="N495" t="n">
        <v>0</v>
      </c>
      <c r="O495" t="n">
        <v>0</v>
      </c>
      <c r="P495" t="n">
        <v>0</v>
      </c>
      <c r="Q495" t="n">
        <v>0</v>
      </c>
      <c r="R495" s="2" t="inlineStr"/>
    </row>
    <row r="496" ht="15" customHeight="1">
      <c r="A496" t="inlineStr">
        <is>
          <t>A 10319-2026</t>
        </is>
      </c>
      <c r="B496" s="1" t="n">
        <v>46076.65672453704</v>
      </c>
      <c r="C496" s="1" t="n">
        <v>46092</v>
      </c>
      <c r="D496" t="inlineStr">
        <is>
          <t>JÄMTLANDS LÄN</t>
        </is>
      </c>
      <c r="E496" t="inlineStr">
        <is>
          <t>ÖSTERSUND</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10548-2026</t>
        </is>
      </c>
      <c r="B497" s="1" t="n">
        <v>46077.61247685185</v>
      </c>
      <c r="C497" s="1" t="n">
        <v>46092</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49039-2025</t>
        </is>
      </c>
      <c r="B498" s="1" t="n">
        <v>45937.63275462963</v>
      </c>
      <c r="C498" s="1" t="n">
        <v>46092</v>
      </c>
      <c r="D498" t="inlineStr">
        <is>
          <t>JÄMTLANDS LÄN</t>
        </is>
      </c>
      <c r="E498" t="inlineStr">
        <is>
          <t>ÖSTERSUND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49572-2025</t>
        </is>
      </c>
      <c r="B499" s="1" t="n">
        <v>45939.49018518518</v>
      </c>
      <c r="C499" s="1" t="n">
        <v>46092</v>
      </c>
      <c r="D499" t="inlineStr">
        <is>
          <t>JÄMTLANDS LÄN</t>
        </is>
      </c>
      <c r="E499" t="inlineStr">
        <is>
          <t>ÖSTERSUND</t>
        </is>
      </c>
      <c r="G499" t="n">
        <v>1.4</v>
      </c>
      <c r="H499" t="n">
        <v>0</v>
      </c>
      <c r="I499" t="n">
        <v>0</v>
      </c>
      <c r="J499" t="n">
        <v>0</v>
      </c>
      <c r="K499" t="n">
        <v>0</v>
      </c>
      <c r="L499" t="n">
        <v>0</v>
      </c>
      <c r="M499" t="n">
        <v>0</v>
      </c>
      <c r="N499" t="n">
        <v>0</v>
      </c>
      <c r="O499" t="n">
        <v>0</v>
      </c>
      <c r="P499" t="n">
        <v>0</v>
      </c>
      <c r="Q499" t="n">
        <v>0</v>
      </c>
      <c r="R499" s="2" t="inlineStr"/>
    </row>
    <row r="500" ht="15" customHeight="1">
      <c r="A500" t="inlineStr">
        <is>
          <t>A 49576-2025</t>
        </is>
      </c>
      <c r="B500" s="1" t="n">
        <v>45939</v>
      </c>
      <c r="C500" s="1" t="n">
        <v>46092</v>
      </c>
      <c r="D500" t="inlineStr">
        <is>
          <t>JÄMTLANDS LÄN</t>
        </is>
      </c>
      <c r="E500" t="inlineStr">
        <is>
          <t>ÖSTERSUND</t>
        </is>
      </c>
      <c r="F500" t="inlineStr">
        <is>
          <t>SCA</t>
        </is>
      </c>
      <c r="G500" t="n">
        <v>17.1</v>
      </c>
      <c r="H500" t="n">
        <v>0</v>
      </c>
      <c r="I500" t="n">
        <v>0</v>
      </c>
      <c r="J500" t="n">
        <v>0</v>
      </c>
      <c r="K500" t="n">
        <v>0</v>
      </c>
      <c r="L500" t="n">
        <v>0</v>
      </c>
      <c r="M500" t="n">
        <v>0</v>
      </c>
      <c r="N500" t="n">
        <v>0</v>
      </c>
      <c r="O500" t="n">
        <v>0</v>
      </c>
      <c r="P500" t="n">
        <v>0</v>
      </c>
      <c r="Q500" t="n">
        <v>0</v>
      </c>
      <c r="R500" s="2" t="inlineStr"/>
    </row>
    <row r="501" ht="15" customHeight="1">
      <c r="A501" t="inlineStr">
        <is>
          <t>A 30320-2025</t>
        </is>
      </c>
      <c r="B501" s="1" t="n">
        <v>45827.49415509259</v>
      </c>
      <c r="C501" s="1" t="n">
        <v>46092</v>
      </c>
      <c r="D501" t="inlineStr">
        <is>
          <t>JÄMTLANDS LÄN</t>
        </is>
      </c>
      <c r="E501" t="inlineStr">
        <is>
          <t>ÖSTERSUND</t>
        </is>
      </c>
      <c r="G501" t="n">
        <v>4.6</v>
      </c>
      <c r="H501" t="n">
        <v>0</v>
      </c>
      <c r="I501" t="n">
        <v>0</v>
      </c>
      <c r="J501" t="n">
        <v>0</v>
      </c>
      <c r="K501" t="n">
        <v>0</v>
      </c>
      <c r="L501" t="n">
        <v>0</v>
      </c>
      <c r="M501" t="n">
        <v>0</v>
      </c>
      <c r="N501" t="n">
        <v>0</v>
      </c>
      <c r="O501" t="n">
        <v>0</v>
      </c>
      <c r="P501" t="n">
        <v>0</v>
      </c>
      <c r="Q501" t="n">
        <v>0</v>
      </c>
      <c r="R501" s="2" t="inlineStr"/>
    </row>
    <row r="502" ht="15" customHeight="1">
      <c r="A502" t="inlineStr">
        <is>
          <t>A 30210-2025</t>
        </is>
      </c>
      <c r="B502" s="1" t="n">
        <v>45827.36590277778</v>
      </c>
      <c r="C502" s="1" t="n">
        <v>46092</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50168-2025</t>
        </is>
      </c>
      <c r="B503" s="1" t="n">
        <v>45943.59442129629</v>
      </c>
      <c r="C503" s="1" t="n">
        <v>46092</v>
      </c>
      <c r="D503" t="inlineStr">
        <is>
          <t>JÄMTLANDS LÄN</t>
        </is>
      </c>
      <c r="E503" t="inlineStr">
        <is>
          <t>ÖSTERSUND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25535-2023</t>
        </is>
      </c>
      <c r="B504" s="1" t="n">
        <v>45089.54944444444</v>
      </c>
      <c r="C504" s="1" t="n">
        <v>46092</v>
      </c>
      <c r="D504" t="inlineStr">
        <is>
          <t>JÄMTLANDS LÄN</t>
        </is>
      </c>
      <c r="E504" t="inlineStr">
        <is>
          <t>ÖSTERSUND</t>
        </is>
      </c>
      <c r="G504" t="n">
        <v>1</v>
      </c>
      <c r="H504" t="n">
        <v>0</v>
      </c>
      <c r="I504" t="n">
        <v>0</v>
      </c>
      <c r="J504" t="n">
        <v>0</v>
      </c>
      <c r="K504" t="n">
        <v>0</v>
      </c>
      <c r="L504" t="n">
        <v>0</v>
      </c>
      <c r="M504" t="n">
        <v>0</v>
      </c>
      <c r="N504" t="n">
        <v>0</v>
      </c>
      <c r="O504" t="n">
        <v>0</v>
      </c>
      <c r="P504" t="n">
        <v>0</v>
      </c>
      <c r="Q504" t="n">
        <v>0</v>
      </c>
      <c r="R504" s="2" t="inlineStr"/>
    </row>
    <row r="505" ht="15" customHeight="1">
      <c r="A505" t="inlineStr">
        <is>
          <t>A 50528-2025</t>
        </is>
      </c>
      <c r="B505" s="1" t="n">
        <v>45945.47097222223</v>
      </c>
      <c r="C505" s="1" t="n">
        <v>46092</v>
      </c>
      <c r="D505" t="inlineStr">
        <is>
          <t>JÄMTLANDS LÄN</t>
        </is>
      </c>
      <c r="E505" t="inlineStr">
        <is>
          <t>ÖSTERSUND</t>
        </is>
      </c>
      <c r="G505" t="n">
        <v>3.4</v>
      </c>
      <c r="H505" t="n">
        <v>0</v>
      </c>
      <c r="I505" t="n">
        <v>0</v>
      </c>
      <c r="J505" t="n">
        <v>0</v>
      </c>
      <c r="K505" t="n">
        <v>0</v>
      </c>
      <c r="L505" t="n">
        <v>0</v>
      </c>
      <c r="M505" t="n">
        <v>0</v>
      </c>
      <c r="N505" t="n">
        <v>0</v>
      </c>
      <c r="O505" t="n">
        <v>0</v>
      </c>
      <c r="P505" t="n">
        <v>0</v>
      </c>
      <c r="Q505" t="n">
        <v>0</v>
      </c>
      <c r="R505" s="2" t="inlineStr"/>
    </row>
    <row r="506" ht="15" customHeight="1">
      <c r="A506" t="inlineStr">
        <is>
          <t>A 32225-2024</t>
        </is>
      </c>
      <c r="B506" s="1" t="n">
        <v>45511.92825231481</v>
      </c>
      <c r="C506" s="1" t="n">
        <v>46092</v>
      </c>
      <c r="D506" t="inlineStr">
        <is>
          <t>JÄMTLANDS LÄN</t>
        </is>
      </c>
      <c r="E506" t="inlineStr">
        <is>
          <t>ÖSTERSUND</t>
        </is>
      </c>
      <c r="G506" t="n">
        <v>2</v>
      </c>
      <c r="H506" t="n">
        <v>0</v>
      </c>
      <c r="I506" t="n">
        <v>0</v>
      </c>
      <c r="J506" t="n">
        <v>0</v>
      </c>
      <c r="K506" t="n">
        <v>0</v>
      </c>
      <c r="L506" t="n">
        <v>0</v>
      </c>
      <c r="M506" t="n">
        <v>0</v>
      </c>
      <c r="N506" t="n">
        <v>0</v>
      </c>
      <c r="O506" t="n">
        <v>0</v>
      </c>
      <c r="P506" t="n">
        <v>0</v>
      </c>
      <c r="Q506" t="n">
        <v>0</v>
      </c>
      <c r="R506" s="2" t="inlineStr"/>
    </row>
    <row r="507" ht="15" customHeight="1">
      <c r="A507" t="inlineStr">
        <is>
          <t>A 4311-2025</t>
        </is>
      </c>
      <c r="B507" s="1" t="n">
        <v>45685.69267361111</v>
      </c>
      <c r="C507" s="1" t="n">
        <v>46092</v>
      </c>
      <c r="D507" t="inlineStr">
        <is>
          <t>JÄMTLANDS LÄN</t>
        </is>
      </c>
      <c r="E507" t="inlineStr">
        <is>
          <t>ÖSTERSUND</t>
        </is>
      </c>
      <c r="G507" t="n">
        <v>0.7</v>
      </c>
      <c r="H507" t="n">
        <v>0</v>
      </c>
      <c r="I507" t="n">
        <v>0</v>
      </c>
      <c r="J507" t="n">
        <v>0</v>
      </c>
      <c r="K507" t="n">
        <v>0</v>
      </c>
      <c r="L507" t="n">
        <v>0</v>
      </c>
      <c r="M507" t="n">
        <v>0</v>
      </c>
      <c r="N507" t="n">
        <v>0</v>
      </c>
      <c r="O507" t="n">
        <v>0</v>
      </c>
      <c r="P507" t="n">
        <v>0</v>
      </c>
      <c r="Q507" t="n">
        <v>0</v>
      </c>
      <c r="R507" s="2" t="inlineStr"/>
    </row>
    <row r="508" ht="15" customHeight="1">
      <c r="A508" t="inlineStr">
        <is>
          <t>A 10714-2026</t>
        </is>
      </c>
      <c r="B508" s="1" t="n">
        <v>46078.45979166667</v>
      </c>
      <c r="C508" s="1" t="n">
        <v>46092</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10846-2026</t>
        </is>
      </c>
      <c r="B509" s="1" t="n">
        <v>46078.64712962963</v>
      </c>
      <c r="C509" s="1" t="n">
        <v>46092</v>
      </c>
      <c r="D509" t="inlineStr">
        <is>
          <t>JÄMTLANDS LÄN</t>
        </is>
      </c>
      <c r="E509" t="inlineStr">
        <is>
          <t>ÖSTERSUND</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50428-2025</t>
        </is>
      </c>
      <c r="B510" s="1" t="n">
        <v>45944.67787037037</v>
      </c>
      <c r="C510" s="1" t="n">
        <v>46092</v>
      </c>
      <c r="D510" t="inlineStr">
        <is>
          <t>JÄMTLANDS LÄN</t>
        </is>
      </c>
      <c r="E510" t="inlineStr">
        <is>
          <t>ÖSTERSUND</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58996-2025</t>
        </is>
      </c>
      <c r="B511" s="1" t="n">
        <v>45987.67032407408</v>
      </c>
      <c r="C511" s="1" t="n">
        <v>46092</v>
      </c>
      <c r="D511" t="inlineStr">
        <is>
          <t>JÄMTLANDS LÄN</t>
        </is>
      </c>
      <c r="E511" t="inlineStr">
        <is>
          <t>ÖSTERSUND</t>
        </is>
      </c>
      <c r="G511" t="n">
        <v>4.3</v>
      </c>
      <c r="H511" t="n">
        <v>0</v>
      </c>
      <c r="I511" t="n">
        <v>0</v>
      </c>
      <c r="J511" t="n">
        <v>0</v>
      </c>
      <c r="K511" t="n">
        <v>0</v>
      </c>
      <c r="L511" t="n">
        <v>0</v>
      </c>
      <c r="M511" t="n">
        <v>0</v>
      </c>
      <c r="N511" t="n">
        <v>0</v>
      </c>
      <c r="O511" t="n">
        <v>0</v>
      </c>
      <c r="P511" t="n">
        <v>0</v>
      </c>
      <c r="Q511" t="n">
        <v>0</v>
      </c>
      <c r="R511" s="2" t="inlineStr"/>
    </row>
    <row r="512" ht="15" customHeight="1">
      <c r="A512" t="inlineStr">
        <is>
          <t>A 10779-2026</t>
        </is>
      </c>
      <c r="B512" s="1" t="n">
        <v>46078.57627314814</v>
      </c>
      <c r="C512" s="1" t="n">
        <v>46092</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12998-2025</t>
        </is>
      </c>
      <c r="B513" s="1" t="n">
        <v>45734.48991898148</v>
      </c>
      <c r="C513" s="1" t="n">
        <v>46092</v>
      </c>
      <c r="D513" t="inlineStr">
        <is>
          <t>JÄMTLANDS LÄN</t>
        </is>
      </c>
      <c r="E513" t="inlineStr">
        <is>
          <t>ÖSTERSUND</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2700-2026</t>
        </is>
      </c>
      <c r="B514" s="1" t="n">
        <v>46037.6787962963</v>
      </c>
      <c r="C514" s="1" t="n">
        <v>46092</v>
      </c>
      <c r="D514" t="inlineStr">
        <is>
          <t>JÄMTLANDS LÄN</t>
        </is>
      </c>
      <c r="E514" t="inlineStr">
        <is>
          <t>ÖSTERSUND</t>
        </is>
      </c>
      <c r="G514" t="n">
        <v>8.6</v>
      </c>
      <c r="H514" t="n">
        <v>0</v>
      </c>
      <c r="I514" t="n">
        <v>0</v>
      </c>
      <c r="J514" t="n">
        <v>0</v>
      </c>
      <c r="K514" t="n">
        <v>0</v>
      </c>
      <c r="L514" t="n">
        <v>0</v>
      </c>
      <c r="M514" t="n">
        <v>0</v>
      </c>
      <c r="N514" t="n">
        <v>0</v>
      </c>
      <c r="O514" t="n">
        <v>0</v>
      </c>
      <c r="P514" t="n">
        <v>0</v>
      </c>
      <c r="Q514" t="n">
        <v>0</v>
      </c>
      <c r="R514" s="2" t="inlineStr"/>
    </row>
    <row r="515" ht="15" customHeight="1">
      <c r="A515" t="inlineStr">
        <is>
          <t>A 2702-2026</t>
        </is>
      </c>
      <c r="B515" s="1" t="n">
        <v>46037.68489583334</v>
      </c>
      <c r="C515" s="1" t="n">
        <v>46092</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10801-2026</t>
        </is>
      </c>
      <c r="B516" s="1" t="n">
        <v>46078.59837962963</v>
      </c>
      <c r="C516" s="1" t="n">
        <v>46092</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54913-2024</t>
        </is>
      </c>
      <c r="B517" s="1" t="n">
        <v>45618.6917824074</v>
      </c>
      <c r="C517" s="1" t="n">
        <v>46092</v>
      </c>
      <c r="D517" t="inlineStr">
        <is>
          <t>JÄMTLANDS LÄN</t>
        </is>
      </c>
      <c r="E517" t="inlineStr">
        <is>
          <t>ÖSTERSUND</t>
        </is>
      </c>
      <c r="G517" t="n">
        <v>4.7</v>
      </c>
      <c r="H517" t="n">
        <v>0</v>
      </c>
      <c r="I517" t="n">
        <v>0</v>
      </c>
      <c r="J517" t="n">
        <v>0</v>
      </c>
      <c r="K517" t="n">
        <v>0</v>
      </c>
      <c r="L517" t="n">
        <v>0</v>
      </c>
      <c r="M517" t="n">
        <v>0</v>
      </c>
      <c r="N517" t="n">
        <v>0</v>
      </c>
      <c r="O517" t="n">
        <v>0</v>
      </c>
      <c r="P517" t="n">
        <v>0</v>
      </c>
      <c r="Q517" t="n">
        <v>0</v>
      </c>
      <c r="R517" s="2" t="inlineStr"/>
    </row>
    <row r="518" ht="15" customHeight="1">
      <c r="A518" t="inlineStr">
        <is>
          <t>A 1901-2026</t>
        </is>
      </c>
      <c r="B518" s="1" t="n">
        <v>46032</v>
      </c>
      <c r="C518" s="1" t="n">
        <v>46092</v>
      </c>
      <c r="D518" t="inlineStr">
        <is>
          <t>JÄMTLANDS LÄN</t>
        </is>
      </c>
      <c r="E518" t="inlineStr">
        <is>
          <t>ÖSTERSUND</t>
        </is>
      </c>
      <c r="G518" t="n">
        <v>6.4</v>
      </c>
      <c r="H518" t="n">
        <v>0</v>
      </c>
      <c r="I518" t="n">
        <v>0</v>
      </c>
      <c r="J518" t="n">
        <v>0</v>
      </c>
      <c r="K518" t="n">
        <v>0</v>
      </c>
      <c r="L518" t="n">
        <v>0</v>
      </c>
      <c r="M518" t="n">
        <v>0</v>
      </c>
      <c r="N518" t="n">
        <v>0</v>
      </c>
      <c r="O518" t="n">
        <v>0</v>
      </c>
      <c r="P518" t="n">
        <v>0</v>
      </c>
      <c r="Q518" t="n">
        <v>0</v>
      </c>
      <c r="R518" s="2" t="inlineStr"/>
    </row>
    <row r="519" ht="15" customHeight="1">
      <c r="A519" t="inlineStr">
        <is>
          <t>A 7938-2025</t>
        </is>
      </c>
      <c r="B519" s="1" t="n">
        <v>45707</v>
      </c>
      <c r="C519" s="1" t="n">
        <v>46092</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57398-2023</t>
        </is>
      </c>
      <c r="B520" s="1" t="n">
        <v>45245</v>
      </c>
      <c r="C520" s="1" t="n">
        <v>46092</v>
      </c>
      <c r="D520" t="inlineStr">
        <is>
          <t>JÄMTLANDS LÄN</t>
        </is>
      </c>
      <c r="E520" t="inlineStr">
        <is>
          <t>ÖSTERSUND</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44051-2021</t>
        </is>
      </c>
      <c r="B521" s="1" t="n">
        <v>44434</v>
      </c>
      <c r="C521" s="1" t="n">
        <v>46092</v>
      </c>
      <c r="D521" t="inlineStr">
        <is>
          <t>JÄMTLANDS LÄN</t>
        </is>
      </c>
      <c r="E521" t="inlineStr">
        <is>
          <t>ÖSTERSUND</t>
        </is>
      </c>
      <c r="G521" t="n">
        <v>2.9</v>
      </c>
      <c r="H521" t="n">
        <v>0</v>
      </c>
      <c r="I521" t="n">
        <v>0</v>
      </c>
      <c r="J521" t="n">
        <v>0</v>
      </c>
      <c r="K521" t="n">
        <v>0</v>
      </c>
      <c r="L521" t="n">
        <v>0</v>
      </c>
      <c r="M521" t="n">
        <v>0</v>
      </c>
      <c r="N521" t="n">
        <v>0</v>
      </c>
      <c r="O521" t="n">
        <v>0</v>
      </c>
      <c r="P521" t="n">
        <v>0</v>
      </c>
      <c r="Q521" t="n">
        <v>0</v>
      </c>
      <c r="R521" s="2" t="inlineStr"/>
    </row>
    <row r="522" ht="15" customHeight="1">
      <c r="A522" t="inlineStr">
        <is>
          <t>A 55235-2023</t>
        </is>
      </c>
      <c r="B522" s="1" t="n">
        <v>45231</v>
      </c>
      <c r="C522" s="1" t="n">
        <v>46092</v>
      </c>
      <c r="D522" t="inlineStr">
        <is>
          <t>JÄMTLANDS LÄN</t>
        </is>
      </c>
      <c r="E522" t="inlineStr">
        <is>
          <t>ÖSTERSUND</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2694-2026</t>
        </is>
      </c>
      <c r="B523" s="1" t="n">
        <v>46037.6703125</v>
      </c>
      <c r="C523" s="1" t="n">
        <v>46092</v>
      </c>
      <c r="D523" t="inlineStr">
        <is>
          <t>JÄMTLANDS LÄN</t>
        </is>
      </c>
      <c r="E523" t="inlineStr">
        <is>
          <t>ÖSTERSUND</t>
        </is>
      </c>
      <c r="G523" t="n">
        <v>3</v>
      </c>
      <c r="H523" t="n">
        <v>0</v>
      </c>
      <c r="I523" t="n">
        <v>0</v>
      </c>
      <c r="J523" t="n">
        <v>0</v>
      </c>
      <c r="K523" t="n">
        <v>0</v>
      </c>
      <c r="L523" t="n">
        <v>0</v>
      </c>
      <c r="M523" t="n">
        <v>0</v>
      </c>
      <c r="N523" t="n">
        <v>0</v>
      </c>
      <c r="O523" t="n">
        <v>0</v>
      </c>
      <c r="P523" t="n">
        <v>0</v>
      </c>
      <c r="Q523" t="n">
        <v>0</v>
      </c>
      <c r="R523" s="2" t="inlineStr"/>
    </row>
    <row r="524" ht="15" customHeight="1">
      <c r="A524" t="inlineStr">
        <is>
          <t>A 15686-2025</t>
        </is>
      </c>
      <c r="B524" s="1" t="n">
        <v>45748</v>
      </c>
      <c r="C524" s="1" t="n">
        <v>46092</v>
      </c>
      <c r="D524" t="inlineStr">
        <is>
          <t>JÄMTLANDS LÄN</t>
        </is>
      </c>
      <c r="E524" t="inlineStr">
        <is>
          <t>ÖSTERSUND</t>
        </is>
      </c>
      <c r="G524" t="n">
        <v>1.5</v>
      </c>
      <c r="H524" t="n">
        <v>0</v>
      </c>
      <c r="I524" t="n">
        <v>0</v>
      </c>
      <c r="J524" t="n">
        <v>0</v>
      </c>
      <c r="K524" t="n">
        <v>0</v>
      </c>
      <c r="L524" t="n">
        <v>0</v>
      </c>
      <c r="M524" t="n">
        <v>0</v>
      </c>
      <c r="N524" t="n">
        <v>0</v>
      </c>
      <c r="O524" t="n">
        <v>0</v>
      </c>
      <c r="P524" t="n">
        <v>0</v>
      </c>
      <c r="Q524" t="n">
        <v>0</v>
      </c>
      <c r="R524" s="2" t="inlineStr"/>
    </row>
    <row r="525" ht="15" customHeight="1">
      <c r="A525" t="inlineStr">
        <is>
          <t>A 54587-2024</t>
        </is>
      </c>
      <c r="B525" s="1" t="n">
        <v>45617.65800925926</v>
      </c>
      <c r="C525" s="1" t="n">
        <v>46092</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38644-2021</t>
        </is>
      </c>
      <c r="B526" s="1" t="n">
        <v>44410.35376157407</v>
      </c>
      <c r="C526" s="1" t="n">
        <v>46092</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7941-2025</t>
        </is>
      </c>
      <c r="B527" s="1" t="n">
        <v>45707</v>
      </c>
      <c r="C527" s="1" t="n">
        <v>46092</v>
      </c>
      <c r="D527" t="inlineStr">
        <is>
          <t>JÄMTLANDS LÄN</t>
        </is>
      </c>
      <c r="E527" t="inlineStr">
        <is>
          <t>ÖSTERSUND</t>
        </is>
      </c>
      <c r="G527" t="n">
        <v>2</v>
      </c>
      <c r="H527" t="n">
        <v>0</v>
      </c>
      <c r="I527" t="n">
        <v>0</v>
      </c>
      <c r="J527" t="n">
        <v>0</v>
      </c>
      <c r="K527" t="n">
        <v>0</v>
      </c>
      <c r="L527" t="n">
        <v>0</v>
      </c>
      <c r="M527" t="n">
        <v>0</v>
      </c>
      <c r="N527" t="n">
        <v>0</v>
      </c>
      <c r="O527" t="n">
        <v>0</v>
      </c>
      <c r="P527" t="n">
        <v>0</v>
      </c>
      <c r="Q527" t="n">
        <v>0</v>
      </c>
      <c r="R527" s="2" t="inlineStr"/>
    </row>
    <row r="528" ht="15" customHeight="1">
      <c r="A528" t="inlineStr">
        <is>
          <t>A 32071-2025</t>
        </is>
      </c>
      <c r="B528" s="1" t="n">
        <v>45835.4491087963</v>
      </c>
      <c r="C528" s="1" t="n">
        <v>46092</v>
      </c>
      <c r="D528" t="inlineStr">
        <is>
          <t>JÄMTLANDS LÄN</t>
        </is>
      </c>
      <c r="E528" t="inlineStr">
        <is>
          <t>ÖSTERSUND</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25995-2025</t>
        </is>
      </c>
      <c r="B529" s="1" t="n">
        <v>45804</v>
      </c>
      <c r="C529" s="1" t="n">
        <v>46092</v>
      </c>
      <c r="D529" t="inlineStr">
        <is>
          <t>JÄMTLANDS LÄN</t>
        </is>
      </c>
      <c r="E529" t="inlineStr">
        <is>
          <t>ÖSTERSUND</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52913-2021</t>
        </is>
      </c>
      <c r="B530" s="1" t="n">
        <v>44466</v>
      </c>
      <c r="C530" s="1" t="n">
        <v>46092</v>
      </c>
      <c r="D530" t="inlineStr">
        <is>
          <t>JÄMTLANDS LÄN</t>
        </is>
      </c>
      <c r="E530" t="inlineStr">
        <is>
          <t>ÖSTERSUND</t>
        </is>
      </c>
      <c r="G530" t="n">
        <v>4.2</v>
      </c>
      <c r="H530" t="n">
        <v>0</v>
      </c>
      <c r="I530" t="n">
        <v>0</v>
      </c>
      <c r="J530" t="n">
        <v>0</v>
      </c>
      <c r="K530" t="n">
        <v>0</v>
      </c>
      <c r="L530" t="n">
        <v>0</v>
      </c>
      <c r="M530" t="n">
        <v>0</v>
      </c>
      <c r="N530" t="n">
        <v>0</v>
      </c>
      <c r="O530" t="n">
        <v>0</v>
      </c>
      <c r="P530" t="n">
        <v>0</v>
      </c>
      <c r="Q530" t="n">
        <v>0</v>
      </c>
      <c r="R530" s="2" t="inlineStr"/>
    </row>
    <row r="531" ht="15" customHeight="1">
      <c r="A531" t="inlineStr">
        <is>
          <t>A 11188-2026</t>
        </is>
      </c>
      <c r="B531" s="1" t="n">
        <v>46080.40689814815</v>
      </c>
      <c r="C531" s="1" t="n">
        <v>46092</v>
      </c>
      <c r="D531" t="inlineStr">
        <is>
          <t>JÄMTLANDS LÄN</t>
        </is>
      </c>
      <c r="E531" t="inlineStr">
        <is>
          <t>ÖSTERSUND</t>
        </is>
      </c>
      <c r="F531" t="inlineStr">
        <is>
          <t>SCA</t>
        </is>
      </c>
      <c r="G531" t="n">
        <v>65.5</v>
      </c>
      <c r="H531" t="n">
        <v>0</v>
      </c>
      <c r="I531" t="n">
        <v>0</v>
      </c>
      <c r="J531" t="n">
        <v>0</v>
      </c>
      <c r="K531" t="n">
        <v>0</v>
      </c>
      <c r="L531" t="n">
        <v>0</v>
      </c>
      <c r="M531" t="n">
        <v>0</v>
      </c>
      <c r="N531" t="n">
        <v>0</v>
      </c>
      <c r="O531" t="n">
        <v>0</v>
      </c>
      <c r="P531" t="n">
        <v>0</v>
      </c>
      <c r="Q531" t="n">
        <v>0</v>
      </c>
      <c r="R531" s="2" t="inlineStr"/>
    </row>
    <row r="532" ht="15" customHeight="1">
      <c r="A532" t="inlineStr">
        <is>
          <t>A 32279-2025</t>
        </is>
      </c>
      <c r="B532" s="1" t="n">
        <v>45835.67109953704</v>
      </c>
      <c r="C532" s="1" t="n">
        <v>46092</v>
      </c>
      <c r="D532" t="inlineStr">
        <is>
          <t>JÄMTLANDS LÄN</t>
        </is>
      </c>
      <c r="E532" t="inlineStr">
        <is>
          <t>ÖSTERSUND</t>
        </is>
      </c>
      <c r="G532" t="n">
        <v>3.5</v>
      </c>
      <c r="H532" t="n">
        <v>0</v>
      </c>
      <c r="I532" t="n">
        <v>0</v>
      </c>
      <c r="J532" t="n">
        <v>0</v>
      </c>
      <c r="K532" t="n">
        <v>0</v>
      </c>
      <c r="L532" t="n">
        <v>0</v>
      </c>
      <c r="M532" t="n">
        <v>0</v>
      </c>
      <c r="N532" t="n">
        <v>0</v>
      </c>
      <c r="O532" t="n">
        <v>0</v>
      </c>
      <c r="P532" t="n">
        <v>0</v>
      </c>
      <c r="Q532" t="n">
        <v>0</v>
      </c>
      <c r="R532" s="2" t="inlineStr"/>
    </row>
    <row r="533" ht="15" customHeight="1">
      <c r="A533" t="inlineStr">
        <is>
          <t>A 20960-2022</t>
        </is>
      </c>
      <c r="B533" s="1" t="n">
        <v>44701.94034722223</v>
      </c>
      <c r="C533" s="1" t="n">
        <v>46092</v>
      </c>
      <c r="D533" t="inlineStr">
        <is>
          <t>JÄMTLANDS LÄN</t>
        </is>
      </c>
      <c r="E533" t="inlineStr">
        <is>
          <t>ÖSTERSUND</t>
        </is>
      </c>
      <c r="G533" t="n">
        <v>3.6</v>
      </c>
      <c r="H533" t="n">
        <v>0</v>
      </c>
      <c r="I533" t="n">
        <v>0</v>
      </c>
      <c r="J533" t="n">
        <v>0</v>
      </c>
      <c r="K533" t="n">
        <v>0</v>
      </c>
      <c r="L533" t="n">
        <v>0</v>
      </c>
      <c r="M533" t="n">
        <v>0</v>
      </c>
      <c r="N533" t="n">
        <v>0</v>
      </c>
      <c r="O533" t="n">
        <v>0</v>
      </c>
      <c r="P533" t="n">
        <v>0</v>
      </c>
      <c r="Q533" t="n">
        <v>0</v>
      </c>
      <c r="R533" s="2" t="inlineStr"/>
    </row>
    <row r="534" ht="15" customHeight="1">
      <c r="A534" t="inlineStr">
        <is>
          <t>A 52247-2025</t>
        </is>
      </c>
      <c r="B534" s="1" t="n">
        <v>45953.47575231481</v>
      </c>
      <c r="C534" s="1" t="n">
        <v>46092</v>
      </c>
      <c r="D534" t="inlineStr">
        <is>
          <t>JÄMTLANDS LÄN</t>
        </is>
      </c>
      <c r="E534" t="inlineStr">
        <is>
          <t>ÖSTERSUND</t>
        </is>
      </c>
      <c r="G534" t="n">
        <v>8.4</v>
      </c>
      <c r="H534" t="n">
        <v>0</v>
      </c>
      <c r="I534" t="n">
        <v>0</v>
      </c>
      <c r="J534" t="n">
        <v>0</v>
      </c>
      <c r="K534" t="n">
        <v>0</v>
      </c>
      <c r="L534" t="n">
        <v>0</v>
      </c>
      <c r="M534" t="n">
        <v>0</v>
      </c>
      <c r="N534" t="n">
        <v>0</v>
      </c>
      <c r="O534" t="n">
        <v>0</v>
      </c>
      <c r="P534" t="n">
        <v>0</v>
      </c>
      <c r="Q534" t="n">
        <v>0</v>
      </c>
      <c r="R534" s="2" t="inlineStr"/>
    </row>
    <row r="535" ht="15" customHeight="1">
      <c r="A535" t="inlineStr">
        <is>
          <t>A 52286-2025</t>
        </is>
      </c>
      <c r="B535" s="1" t="n">
        <v>45953.58497685185</v>
      </c>
      <c r="C535" s="1" t="n">
        <v>46092</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2988-2026</t>
        </is>
      </c>
      <c r="B536" s="1" t="n">
        <v>46038.6360300926</v>
      </c>
      <c r="C536" s="1" t="n">
        <v>46092</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10756-2025</t>
        </is>
      </c>
      <c r="B537" s="1" t="n">
        <v>45722.44892361111</v>
      </c>
      <c r="C537" s="1" t="n">
        <v>46092</v>
      </c>
      <c r="D537" t="inlineStr">
        <is>
          <t>JÄMTLANDS LÄN</t>
        </is>
      </c>
      <c r="E537" t="inlineStr">
        <is>
          <t>ÖSTERSUND</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14947-2025</t>
        </is>
      </c>
      <c r="B538" s="1" t="n">
        <v>45743</v>
      </c>
      <c r="C538" s="1" t="n">
        <v>46092</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2986-2026</t>
        </is>
      </c>
      <c r="B539" s="1" t="n">
        <v>46038.6322337963</v>
      </c>
      <c r="C539" s="1" t="n">
        <v>46092</v>
      </c>
      <c r="D539" t="inlineStr">
        <is>
          <t>JÄMTLANDS LÄN</t>
        </is>
      </c>
      <c r="E539" t="inlineStr">
        <is>
          <t>ÖSTERSUND</t>
        </is>
      </c>
      <c r="G539" t="n">
        <v>8.6</v>
      </c>
      <c r="H539" t="n">
        <v>0</v>
      </c>
      <c r="I539" t="n">
        <v>0</v>
      </c>
      <c r="J539" t="n">
        <v>0</v>
      </c>
      <c r="K539" t="n">
        <v>0</v>
      </c>
      <c r="L539" t="n">
        <v>0</v>
      </c>
      <c r="M539" t="n">
        <v>0</v>
      </c>
      <c r="N539" t="n">
        <v>0</v>
      </c>
      <c r="O539" t="n">
        <v>0</v>
      </c>
      <c r="P539" t="n">
        <v>0</v>
      </c>
      <c r="Q539" t="n">
        <v>0</v>
      </c>
      <c r="R539" s="2" t="inlineStr"/>
    </row>
    <row r="540" ht="15" customHeight="1">
      <c r="A540" t="inlineStr">
        <is>
          <t>A 52280-2025</t>
        </is>
      </c>
      <c r="B540" s="1" t="n">
        <v>45953.56976851852</v>
      </c>
      <c r="C540" s="1" t="n">
        <v>46092</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32358-2025</t>
        </is>
      </c>
      <c r="B541" s="1" t="n">
        <v>45837.57481481481</v>
      </c>
      <c r="C541" s="1" t="n">
        <v>46092</v>
      </c>
      <c r="D541" t="inlineStr">
        <is>
          <t>JÄMTLANDS LÄN</t>
        </is>
      </c>
      <c r="E541" t="inlineStr">
        <is>
          <t>ÖSTERSUND</t>
        </is>
      </c>
      <c r="F541" t="inlineStr">
        <is>
          <t>Övriga Aktiebolag</t>
        </is>
      </c>
      <c r="G541" t="n">
        <v>4.8</v>
      </c>
      <c r="H541" t="n">
        <v>0</v>
      </c>
      <c r="I541" t="n">
        <v>0</v>
      </c>
      <c r="J541" t="n">
        <v>0</v>
      </c>
      <c r="K541" t="n">
        <v>0</v>
      </c>
      <c r="L541" t="n">
        <v>0</v>
      </c>
      <c r="M541" t="n">
        <v>0</v>
      </c>
      <c r="N541" t="n">
        <v>0</v>
      </c>
      <c r="O541" t="n">
        <v>0</v>
      </c>
      <c r="P541" t="n">
        <v>0</v>
      </c>
      <c r="Q541" t="n">
        <v>0</v>
      </c>
      <c r="R541" s="2" t="inlineStr"/>
    </row>
    <row r="542" ht="15" customHeight="1">
      <c r="A542" t="inlineStr">
        <is>
          <t>A 7936-2025</t>
        </is>
      </c>
      <c r="B542" s="1" t="n">
        <v>45707</v>
      </c>
      <c r="C542" s="1" t="n">
        <v>46092</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7940-2025</t>
        </is>
      </c>
      <c r="B543" s="1" t="n">
        <v>45707.40493055555</v>
      </c>
      <c r="C543" s="1" t="n">
        <v>46092</v>
      </c>
      <c r="D543" t="inlineStr">
        <is>
          <t>JÄMTLANDS LÄN</t>
        </is>
      </c>
      <c r="E543" t="inlineStr">
        <is>
          <t>ÖSTERSUND</t>
        </is>
      </c>
      <c r="F543" t="inlineStr">
        <is>
          <t>Övriga Aktiebolag</t>
        </is>
      </c>
      <c r="G543" t="n">
        <v>48.1</v>
      </c>
      <c r="H543" t="n">
        <v>0</v>
      </c>
      <c r="I543" t="n">
        <v>0</v>
      </c>
      <c r="J543" t="n">
        <v>0</v>
      </c>
      <c r="K543" t="n">
        <v>0</v>
      </c>
      <c r="L543" t="n">
        <v>0</v>
      </c>
      <c r="M543" t="n">
        <v>0</v>
      </c>
      <c r="N543" t="n">
        <v>0</v>
      </c>
      <c r="O543" t="n">
        <v>0</v>
      </c>
      <c r="P543" t="n">
        <v>0</v>
      </c>
      <c r="Q543" t="n">
        <v>0</v>
      </c>
      <c r="R543" s="2" t="inlineStr"/>
    </row>
    <row r="544" ht="15" customHeight="1">
      <c r="A544" t="inlineStr">
        <is>
          <t>A 32353-2025</t>
        </is>
      </c>
      <c r="B544" s="1" t="n">
        <v>45837.51741898148</v>
      </c>
      <c r="C544" s="1" t="n">
        <v>46092</v>
      </c>
      <c r="D544" t="inlineStr">
        <is>
          <t>JÄMTLANDS LÄN</t>
        </is>
      </c>
      <c r="E544" t="inlineStr">
        <is>
          <t>ÖSTERSUND</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32369-2025</t>
        </is>
      </c>
      <c r="B545" s="1" t="n">
        <v>45837.67381944445</v>
      </c>
      <c r="C545" s="1" t="n">
        <v>46092</v>
      </c>
      <c r="D545" t="inlineStr">
        <is>
          <t>JÄMTLANDS LÄN</t>
        </is>
      </c>
      <c r="E545" t="inlineStr">
        <is>
          <t>ÖSTERSUND</t>
        </is>
      </c>
      <c r="F545" t="inlineStr">
        <is>
          <t>Övriga Aktiebolag</t>
        </is>
      </c>
      <c r="G545" t="n">
        <v>5.7</v>
      </c>
      <c r="H545" t="n">
        <v>0</v>
      </c>
      <c r="I545" t="n">
        <v>0</v>
      </c>
      <c r="J545" t="n">
        <v>0</v>
      </c>
      <c r="K545" t="n">
        <v>0</v>
      </c>
      <c r="L545" t="n">
        <v>0</v>
      </c>
      <c r="M545" t="n">
        <v>0</v>
      </c>
      <c r="N545" t="n">
        <v>0</v>
      </c>
      <c r="O545" t="n">
        <v>0</v>
      </c>
      <c r="P545" t="n">
        <v>0</v>
      </c>
      <c r="Q545" t="n">
        <v>0</v>
      </c>
      <c r="R545" s="2" t="inlineStr"/>
    </row>
    <row r="546" ht="15" customHeight="1">
      <c r="A546" t="inlineStr">
        <is>
          <t>A 52003-2025</t>
        </is>
      </c>
      <c r="B546" s="1" t="n">
        <v>45952.5909375</v>
      </c>
      <c r="C546" s="1" t="n">
        <v>46092</v>
      </c>
      <c r="D546" t="inlineStr">
        <is>
          <t>JÄMTLANDS LÄN</t>
        </is>
      </c>
      <c r="E546" t="inlineStr">
        <is>
          <t>ÖSTERSUND</t>
        </is>
      </c>
      <c r="G546" t="n">
        <v>5.7</v>
      </c>
      <c r="H546" t="n">
        <v>0</v>
      </c>
      <c r="I546" t="n">
        <v>0</v>
      </c>
      <c r="J546" t="n">
        <v>0</v>
      </c>
      <c r="K546" t="n">
        <v>0</v>
      </c>
      <c r="L546" t="n">
        <v>0</v>
      </c>
      <c r="M546" t="n">
        <v>0</v>
      </c>
      <c r="N546" t="n">
        <v>0</v>
      </c>
      <c r="O546" t="n">
        <v>0</v>
      </c>
      <c r="P546" t="n">
        <v>0</v>
      </c>
      <c r="Q546" t="n">
        <v>0</v>
      </c>
      <c r="R546" s="2" t="inlineStr"/>
    </row>
    <row r="547" ht="15" customHeight="1">
      <c r="A547" t="inlineStr">
        <is>
          <t>A 5024-2025</t>
        </is>
      </c>
      <c r="B547" s="1" t="n">
        <v>45691.40832175926</v>
      </c>
      <c r="C547" s="1" t="n">
        <v>46092</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5025-2025</t>
        </is>
      </c>
      <c r="B548" s="1" t="n">
        <v>45691.40836805556</v>
      </c>
      <c r="C548" s="1" t="n">
        <v>46092</v>
      </c>
      <c r="D548" t="inlineStr">
        <is>
          <t>JÄMTLANDS LÄN</t>
        </is>
      </c>
      <c r="E548" t="inlineStr">
        <is>
          <t>ÖSTERSUND</t>
        </is>
      </c>
      <c r="G548" t="n">
        <v>0.1</v>
      </c>
      <c r="H548" t="n">
        <v>0</v>
      </c>
      <c r="I548" t="n">
        <v>0</v>
      </c>
      <c r="J548" t="n">
        <v>0</v>
      </c>
      <c r="K548" t="n">
        <v>0</v>
      </c>
      <c r="L548" t="n">
        <v>0</v>
      </c>
      <c r="M548" t="n">
        <v>0</v>
      </c>
      <c r="N548" t="n">
        <v>0</v>
      </c>
      <c r="O548" t="n">
        <v>0</v>
      </c>
      <c r="P548" t="n">
        <v>0</v>
      </c>
      <c r="Q548" t="n">
        <v>0</v>
      </c>
      <c r="R548" s="2" t="inlineStr"/>
    </row>
    <row r="549" ht="15" customHeight="1">
      <c r="A549" t="inlineStr">
        <is>
          <t>A 2971-2026</t>
        </is>
      </c>
      <c r="B549" s="1" t="n">
        <v>46038.62047453703</v>
      </c>
      <c r="C549" s="1" t="n">
        <v>46092</v>
      </c>
      <c r="D549" t="inlineStr">
        <is>
          <t>JÄMTLANDS LÄN</t>
        </is>
      </c>
      <c r="E549" t="inlineStr">
        <is>
          <t>ÖSTERSUND</t>
        </is>
      </c>
      <c r="G549" t="n">
        <v>0.5</v>
      </c>
      <c r="H549" t="n">
        <v>0</v>
      </c>
      <c r="I549" t="n">
        <v>0</v>
      </c>
      <c r="J549" t="n">
        <v>0</v>
      </c>
      <c r="K549" t="n">
        <v>0</v>
      </c>
      <c r="L549" t="n">
        <v>0</v>
      </c>
      <c r="M549" t="n">
        <v>0</v>
      </c>
      <c r="N549" t="n">
        <v>0</v>
      </c>
      <c r="O549" t="n">
        <v>0</v>
      </c>
      <c r="P549" t="n">
        <v>0</v>
      </c>
      <c r="Q549" t="n">
        <v>0</v>
      </c>
      <c r="R549" s="2" t="inlineStr"/>
    </row>
    <row r="550" ht="15" customHeight="1">
      <c r="A550" t="inlineStr">
        <is>
          <t>A 52935-2025</t>
        </is>
      </c>
      <c r="B550" s="1" t="n">
        <v>45957.62978009259</v>
      </c>
      <c r="C550" s="1" t="n">
        <v>46092</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36099-2025</t>
        </is>
      </c>
      <c r="B551" s="1" t="n">
        <v>45866</v>
      </c>
      <c r="C551" s="1" t="n">
        <v>46092</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16335-2025</t>
        </is>
      </c>
      <c r="B552" s="1" t="n">
        <v>45751</v>
      </c>
      <c r="C552" s="1" t="n">
        <v>46092</v>
      </c>
      <c r="D552" t="inlineStr">
        <is>
          <t>JÄMTLANDS LÄN</t>
        </is>
      </c>
      <c r="E552" t="inlineStr">
        <is>
          <t>ÖSTERSUND</t>
        </is>
      </c>
      <c r="G552" t="n">
        <v>3.7</v>
      </c>
      <c r="H552" t="n">
        <v>0</v>
      </c>
      <c r="I552" t="n">
        <v>0</v>
      </c>
      <c r="J552" t="n">
        <v>0</v>
      </c>
      <c r="K552" t="n">
        <v>0</v>
      </c>
      <c r="L552" t="n">
        <v>0</v>
      </c>
      <c r="M552" t="n">
        <v>0</v>
      </c>
      <c r="N552" t="n">
        <v>0</v>
      </c>
      <c r="O552" t="n">
        <v>0</v>
      </c>
      <c r="P552" t="n">
        <v>0</v>
      </c>
      <c r="Q552" t="n">
        <v>0</v>
      </c>
      <c r="R552" s="2" t="inlineStr"/>
    </row>
    <row r="553" ht="15" customHeight="1">
      <c r="A553" t="inlineStr">
        <is>
          <t>A 32368-2025</t>
        </is>
      </c>
      <c r="B553" s="1" t="n">
        <v>45837.66230324074</v>
      </c>
      <c r="C553" s="1" t="n">
        <v>46092</v>
      </c>
      <c r="D553" t="inlineStr">
        <is>
          <t>JÄMTLANDS LÄN</t>
        </is>
      </c>
      <c r="E553" t="inlineStr">
        <is>
          <t>ÖSTERSUND</t>
        </is>
      </c>
      <c r="F553" t="inlineStr">
        <is>
          <t>Övriga Aktiebolag</t>
        </is>
      </c>
      <c r="G553" t="n">
        <v>19.5</v>
      </c>
      <c r="H553" t="n">
        <v>0</v>
      </c>
      <c r="I553" t="n">
        <v>0</v>
      </c>
      <c r="J553" t="n">
        <v>0</v>
      </c>
      <c r="K553" t="n">
        <v>0</v>
      </c>
      <c r="L553" t="n">
        <v>0</v>
      </c>
      <c r="M553" t="n">
        <v>0</v>
      </c>
      <c r="N553" t="n">
        <v>0</v>
      </c>
      <c r="O553" t="n">
        <v>0</v>
      </c>
      <c r="P553" t="n">
        <v>0</v>
      </c>
      <c r="Q553" t="n">
        <v>0</v>
      </c>
      <c r="R553" s="2" t="inlineStr"/>
    </row>
    <row r="554" ht="15" customHeight="1">
      <c r="A554" t="inlineStr">
        <is>
          <t>A 47727-2023</t>
        </is>
      </c>
      <c r="B554" s="1" t="n">
        <v>45203</v>
      </c>
      <c r="C554" s="1" t="n">
        <v>46092</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52620-2025</t>
        </is>
      </c>
      <c r="B555" s="1" t="n">
        <v>45954.68207175926</v>
      </c>
      <c r="C555" s="1" t="n">
        <v>46092</v>
      </c>
      <c r="D555" t="inlineStr">
        <is>
          <t>JÄMTLANDS LÄN</t>
        </is>
      </c>
      <c r="E555" t="inlineStr">
        <is>
          <t>ÖSTERSUND</t>
        </is>
      </c>
      <c r="G555" t="n">
        <v>4.6</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44914.35599537037</v>
      </c>
      <c r="C556" s="1" t="n">
        <v>46092</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3197-2026</t>
        </is>
      </c>
      <c r="B557" s="1" t="n">
        <v>46041.47474537037</v>
      </c>
      <c r="C557" s="1" t="n">
        <v>46092</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33358-2025</t>
        </is>
      </c>
      <c r="B558" s="1" t="n">
        <v>45841.38054398148</v>
      </c>
      <c r="C558" s="1" t="n">
        <v>46092</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52975-2025</t>
        </is>
      </c>
      <c r="B559" s="1" t="n">
        <v>45957.67876157408</v>
      </c>
      <c r="C559" s="1" t="n">
        <v>46092</v>
      </c>
      <c r="D559" t="inlineStr">
        <is>
          <t>JÄMTLANDS LÄN</t>
        </is>
      </c>
      <c r="E559" t="inlineStr">
        <is>
          <t>ÖSTERSUND</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11700-2026</t>
        </is>
      </c>
      <c r="B560" s="1" t="n">
        <v>46084.61234953703</v>
      </c>
      <c r="C560" s="1" t="n">
        <v>46092</v>
      </c>
      <c r="D560" t="inlineStr">
        <is>
          <t>JÄMTLANDS LÄN</t>
        </is>
      </c>
      <c r="E560" t="inlineStr">
        <is>
          <t>ÖSTERSUND</t>
        </is>
      </c>
      <c r="G560" t="n">
        <v>6.3</v>
      </c>
      <c r="H560" t="n">
        <v>0</v>
      </c>
      <c r="I560" t="n">
        <v>0</v>
      </c>
      <c r="J560" t="n">
        <v>0</v>
      </c>
      <c r="K560" t="n">
        <v>0</v>
      </c>
      <c r="L560" t="n">
        <v>0</v>
      </c>
      <c r="M560" t="n">
        <v>0</v>
      </c>
      <c r="N560" t="n">
        <v>0</v>
      </c>
      <c r="O560" t="n">
        <v>0</v>
      </c>
      <c r="P560" t="n">
        <v>0</v>
      </c>
      <c r="Q560" t="n">
        <v>0</v>
      </c>
      <c r="R560" s="2" t="inlineStr"/>
    </row>
    <row r="561" ht="15" customHeight="1">
      <c r="A561" t="inlineStr">
        <is>
          <t>A 45533-2025</t>
        </is>
      </c>
      <c r="B561" s="1" t="n">
        <v>45922</v>
      </c>
      <c r="C561" s="1" t="n">
        <v>46092</v>
      </c>
      <c r="D561" t="inlineStr">
        <is>
          <t>JÄMTLANDS LÄN</t>
        </is>
      </c>
      <c r="E561" t="inlineStr">
        <is>
          <t>ÖSTERSUND</t>
        </is>
      </c>
      <c r="F561" t="inlineStr">
        <is>
          <t>Övriga statliga verk och myndigheter</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53054-2025</t>
        </is>
      </c>
      <c r="B562" s="1" t="n">
        <v>45958.36498842593</v>
      </c>
      <c r="C562" s="1" t="n">
        <v>46092</v>
      </c>
      <c r="D562" t="inlineStr">
        <is>
          <t>JÄMTLANDS LÄN</t>
        </is>
      </c>
      <c r="E562" t="inlineStr">
        <is>
          <t>ÖSTERSUND</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53057-2025</t>
        </is>
      </c>
      <c r="B563" s="1" t="n">
        <v>45958.36537037037</v>
      </c>
      <c r="C563" s="1" t="n">
        <v>46092</v>
      </c>
      <c r="D563" t="inlineStr">
        <is>
          <t>JÄMTLANDS LÄN</t>
        </is>
      </c>
      <c r="E563" t="inlineStr">
        <is>
          <t>ÖSTERSUND</t>
        </is>
      </c>
      <c r="F563" t="inlineStr">
        <is>
          <t>SCA</t>
        </is>
      </c>
      <c r="G563" t="n">
        <v>47.8</v>
      </c>
      <c r="H563" t="n">
        <v>0</v>
      </c>
      <c r="I563" t="n">
        <v>0</v>
      </c>
      <c r="J563" t="n">
        <v>0</v>
      </c>
      <c r="K563" t="n">
        <v>0</v>
      </c>
      <c r="L563" t="n">
        <v>0</v>
      </c>
      <c r="M563" t="n">
        <v>0</v>
      </c>
      <c r="N563" t="n">
        <v>0</v>
      </c>
      <c r="O563" t="n">
        <v>0</v>
      </c>
      <c r="P563" t="n">
        <v>0</v>
      </c>
      <c r="Q563" t="n">
        <v>0</v>
      </c>
      <c r="R563" s="2" t="inlineStr"/>
    </row>
    <row r="564" ht="15" customHeight="1">
      <c r="A564" t="inlineStr">
        <is>
          <t>A 3615-2025</t>
        </is>
      </c>
      <c r="B564" s="1" t="n">
        <v>45681.36493055556</v>
      </c>
      <c r="C564" s="1" t="n">
        <v>46092</v>
      </c>
      <c r="D564" t="inlineStr">
        <is>
          <t>JÄMTLANDS LÄN</t>
        </is>
      </c>
      <c r="E564" t="inlineStr">
        <is>
          <t>ÖSTERSUND</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3651-2025</t>
        </is>
      </c>
      <c r="B565" s="1" t="n">
        <v>45681.40689814815</v>
      </c>
      <c r="C565" s="1" t="n">
        <v>46092</v>
      </c>
      <c r="D565" t="inlineStr">
        <is>
          <t>JÄMTLANDS LÄN</t>
        </is>
      </c>
      <c r="E565" t="inlineStr">
        <is>
          <t>ÖSTERSUND</t>
        </is>
      </c>
      <c r="F565" t="inlineStr">
        <is>
          <t>SCA</t>
        </is>
      </c>
      <c r="G565" t="n">
        <v>9.6</v>
      </c>
      <c r="H565" t="n">
        <v>0</v>
      </c>
      <c r="I565" t="n">
        <v>0</v>
      </c>
      <c r="J565" t="n">
        <v>0</v>
      </c>
      <c r="K565" t="n">
        <v>0</v>
      </c>
      <c r="L565" t="n">
        <v>0</v>
      </c>
      <c r="M565" t="n">
        <v>0</v>
      </c>
      <c r="N565" t="n">
        <v>0</v>
      </c>
      <c r="O565" t="n">
        <v>0</v>
      </c>
      <c r="P565" t="n">
        <v>0</v>
      </c>
      <c r="Q565" t="n">
        <v>0</v>
      </c>
      <c r="R565" s="2" t="inlineStr"/>
    </row>
    <row r="566" ht="15" customHeight="1">
      <c r="A566" t="inlineStr">
        <is>
          <t>A 3664-2025</t>
        </is>
      </c>
      <c r="B566" s="1" t="n">
        <v>45681.4275462963</v>
      </c>
      <c r="C566" s="1" t="n">
        <v>46092</v>
      </c>
      <c r="D566" t="inlineStr">
        <is>
          <t>JÄMTLANDS LÄN</t>
        </is>
      </c>
      <c r="E566" t="inlineStr">
        <is>
          <t>ÖSTERSUND</t>
        </is>
      </c>
      <c r="F566" t="inlineStr">
        <is>
          <t>SCA</t>
        </is>
      </c>
      <c r="G566" t="n">
        <v>10.9</v>
      </c>
      <c r="H566" t="n">
        <v>0</v>
      </c>
      <c r="I566" t="n">
        <v>0</v>
      </c>
      <c r="J566" t="n">
        <v>0</v>
      </c>
      <c r="K566" t="n">
        <v>0</v>
      </c>
      <c r="L566" t="n">
        <v>0</v>
      </c>
      <c r="M566" t="n">
        <v>0</v>
      </c>
      <c r="N566" t="n">
        <v>0</v>
      </c>
      <c r="O566" t="n">
        <v>0</v>
      </c>
      <c r="P566" t="n">
        <v>0</v>
      </c>
      <c r="Q566" t="n">
        <v>0</v>
      </c>
      <c r="R566" s="2" t="inlineStr"/>
    </row>
    <row r="567" ht="15" customHeight="1">
      <c r="A567" t="inlineStr">
        <is>
          <t>A 12821-2023</t>
        </is>
      </c>
      <c r="B567" s="1" t="n">
        <v>45000</v>
      </c>
      <c r="C567" s="1" t="n">
        <v>46092</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44798-2023</t>
        </is>
      </c>
      <c r="B568" s="1" t="n">
        <v>45190</v>
      </c>
      <c r="C568" s="1" t="n">
        <v>46092</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8551-2026</t>
        </is>
      </c>
      <c r="B569" s="1" t="n">
        <v>46065.62142361111</v>
      </c>
      <c r="C569" s="1" t="n">
        <v>46092</v>
      </c>
      <c r="D569" t="inlineStr">
        <is>
          <t>JÄMTLANDS LÄN</t>
        </is>
      </c>
      <c r="E569" t="inlineStr">
        <is>
          <t>ÖSTERSUND</t>
        </is>
      </c>
      <c r="F569" t="inlineStr">
        <is>
          <t>Kyrkan</t>
        </is>
      </c>
      <c r="G569" t="n">
        <v>3.6</v>
      </c>
      <c r="H569" t="n">
        <v>0</v>
      </c>
      <c r="I569" t="n">
        <v>0</v>
      </c>
      <c r="J569" t="n">
        <v>0</v>
      </c>
      <c r="K569" t="n">
        <v>0</v>
      </c>
      <c r="L569" t="n">
        <v>0</v>
      </c>
      <c r="M569" t="n">
        <v>0</v>
      </c>
      <c r="N569" t="n">
        <v>0</v>
      </c>
      <c r="O569" t="n">
        <v>0</v>
      </c>
      <c r="P569" t="n">
        <v>0</v>
      </c>
      <c r="Q569" t="n">
        <v>0</v>
      </c>
      <c r="R569" s="2" t="inlineStr"/>
    </row>
    <row r="570" ht="15" customHeight="1">
      <c r="A570" t="inlineStr">
        <is>
          <t>A 4936-2025</t>
        </is>
      </c>
      <c r="B570" s="1" t="n">
        <v>45688.69356481481</v>
      </c>
      <c r="C570" s="1" t="n">
        <v>46092</v>
      </c>
      <c r="D570" t="inlineStr">
        <is>
          <t>JÄMTLANDS LÄN</t>
        </is>
      </c>
      <c r="E570" t="inlineStr">
        <is>
          <t>ÖSTERSUND</t>
        </is>
      </c>
      <c r="G570" t="n">
        <v>8.1</v>
      </c>
      <c r="H570" t="n">
        <v>0</v>
      </c>
      <c r="I570" t="n">
        <v>0</v>
      </c>
      <c r="J570" t="n">
        <v>0</v>
      </c>
      <c r="K570" t="n">
        <v>0</v>
      </c>
      <c r="L570" t="n">
        <v>0</v>
      </c>
      <c r="M570" t="n">
        <v>0</v>
      </c>
      <c r="N570" t="n">
        <v>0</v>
      </c>
      <c r="O570" t="n">
        <v>0</v>
      </c>
      <c r="P570" t="n">
        <v>0</v>
      </c>
      <c r="Q570" t="n">
        <v>0</v>
      </c>
      <c r="R570" s="2" t="inlineStr"/>
    </row>
    <row r="571" ht="15" customHeight="1">
      <c r="A571" t="inlineStr">
        <is>
          <t>A 4382-2026</t>
        </is>
      </c>
      <c r="B571" s="1" t="n">
        <v>46045.56253472222</v>
      </c>
      <c r="C571" s="1" t="n">
        <v>46092</v>
      </c>
      <c r="D571" t="inlineStr">
        <is>
          <t>JÄMTLANDS LÄN</t>
        </is>
      </c>
      <c r="E571" t="inlineStr">
        <is>
          <t>ÖSTERSUND</t>
        </is>
      </c>
      <c r="G571" t="n">
        <v>13.5</v>
      </c>
      <c r="H571" t="n">
        <v>0</v>
      </c>
      <c r="I571" t="n">
        <v>0</v>
      </c>
      <c r="J571" t="n">
        <v>0</v>
      </c>
      <c r="K571" t="n">
        <v>0</v>
      </c>
      <c r="L571" t="n">
        <v>0</v>
      </c>
      <c r="M571" t="n">
        <v>0</v>
      </c>
      <c r="N571" t="n">
        <v>0</v>
      </c>
      <c r="O571" t="n">
        <v>0</v>
      </c>
      <c r="P571" t="n">
        <v>0</v>
      </c>
      <c r="Q571" t="n">
        <v>0</v>
      </c>
      <c r="R571" s="2" t="inlineStr"/>
    </row>
    <row r="572" ht="15" customHeight="1">
      <c r="A572" t="inlineStr">
        <is>
          <t>A 4294-2026</t>
        </is>
      </c>
      <c r="B572" s="1" t="n">
        <v>46045.41643518519</v>
      </c>
      <c r="C572" s="1" t="n">
        <v>46092</v>
      </c>
      <c r="D572" t="inlineStr">
        <is>
          <t>JÄMTLANDS LÄN</t>
        </is>
      </c>
      <c r="E572" t="inlineStr">
        <is>
          <t>ÖSTERSUND</t>
        </is>
      </c>
      <c r="G572" t="n">
        <v>21.6</v>
      </c>
      <c r="H572" t="n">
        <v>0</v>
      </c>
      <c r="I572" t="n">
        <v>0</v>
      </c>
      <c r="J572" t="n">
        <v>0</v>
      </c>
      <c r="K572" t="n">
        <v>0</v>
      </c>
      <c r="L572" t="n">
        <v>0</v>
      </c>
      <c r="M572" t="n">
        <v>0</v>
      </c>
      <c r="N572" t="n">
        <v>0</v>
      </c>
      <c r="O572" t="n">
        <v>0</v>
      </c>
      <c r="P572" t="n">
        <v>0</v>
      </c>
      <c r="Q572" t="n">
        <v>0</v>
      </c>
      <c r="R572" s="2" t="inlineStr"/>
    </row>
    <row r="573" ht="15" customHeight="1">
      <c r="A573" t="inlineStr">
        <is>
          <t>A 4406-2026</t>
        </is>
      </c>
      <c r="B573" s="1" t="n">
        <v>46045.59430555555</v>
      </c>
      <c r="C573" s="1" t="n">
        <v>46092</v>
      </c>
      <c r="D573" t="inlineStr">
        <is>
          <t>JÄMTLANDS LÄN</t>
        </is>
      </c>
      <c r="E573" t="inlineStr">
        <is>
          <t>ÖSTERSUND</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34490-2025</t>
        </is>
      </c>
      <c r="B574" s="1" t="n">
        <v>45847.40722222222</v>
      </c>
      <c r="C574" s="1" t="n">
        <v>46092</v>
      </c>
      <c r="D574" t="inlineStr">
        <is>
          <t>JÄMTLANDS LÄN</t>
        </is>
      </c>
      <c r="E574" t="inlineStr">
        <is>
          <t>ÖSTERSUND</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4775-2026</t>
        </is>
      </c>
      <c r="B575" s="1" t="n">
        <v>46045</v>
      </c>
      <c r="C575" s="1" t="n">
        <v>46092</v>
      </c>
      <c r="D575" t="inlineStr">
        <is>
          <t>JÄMTLANDS LÄN</t>
        </is>
      </c>
      <c r="E575" t="inlineStr">
        <is>
          <t>ÖSTERSUND</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34331-2025</t>
        </is>
      </c>
      <c r="B576" s="1" t="n">
        <v>45846.44827546296</v>
      </c>
      <c r="C576" s="1" t="n">
        <v>46092</v>
      </c>
      <c r="D576" t="inlineStr">
        <is>
          <t>JÄMTLANDS LÄN</t>
        </is>
      </c>
      <c r="E576" t="inlineStr">
        <is>
          <t>ÖSTERSUND</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54133-2025</t>
        </is>
      </c>
      <c r="B577" s="1" t="n">
        <v>45964.46944444445</v>
      </c>
      <c r="C577" s="1" t="n">
        <v>46092</v>
      </c>
      <c r="D577" t="inlineStr">
        <is>
          <t>JÄMTLANDS LÄN</t>
        </is>
      </c>
      <c r="E577" t="inlineStr">
        <is>
          <t>ÖSTERSUND</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34589-2025</t>
        </is>
      </c>
      <c r="B578" s="1" t="n">
        <v>45847.61561342593</v>
      </c>
      <c r="C578" s="1" t="n">
        <v>46092</v>
      </c>
      <c r="D578" t="inlineStr">
        <is>
          <t>JÄMTLANDS LÄN</t>
        </is>
      </c>
      <c r="E578" t="inlineStr">
        <is>
          <t>ÖSTERSUND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34587-2025</t>
        </is>
      </c>
      <c r="B579" s="1" t="n">
        <v>45847.61533564814</v>
      </c>
      <c r="C579" s="1" t="n">
        <v>46092</v>
      </c>
      <c r="D579" t="inlineStr">
        <is>
          <t>JÄMTLANDS LÄN</t>
        </is>
      </c>
      <c r="E579" t="inlineStr">
        <is>
          <t>ÖSTERSUND</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6877-2024</t>
        </is>
      </c>
      <c r="B580" s="1" t="n">
        <v>45342</v>
      </c>
      <c r="C580" s="1" t="n">
        <v>46092</v>
      </c>
      <c r="D580" t="inlineStr">
        <is>
          <t>JÄMTLANDS LÄN</t>
        </is>
      </c>
      <c r="E580" t="inlineStr">
        <is>
          <t>ÖSTERSUND</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54528-2025</t>
        </is>
      </c>
      <c r="B581" s="1" t="n">
        <v>45965.63496527778</v>
      </c>
      <c r="C581" s="1" t="n">
        <v>46092</v>
      </c>
      <c r="D581" t="inlineStr">
        <is>
          <t>JÄMTLANDS LÄN</t>
        </is>
      </c>
      <c r="E581" t="inlineStr">
        <is>
          <t>ÖSTERSUND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9971-2025</t>
        </is>
      </c>
      <c r="B582" s="1" t="n">
        <v>45719.38630787037</v>
      </c>
      <c r="C582" s="1" t="n">
        <v>46092</v>
      </c>
      <c r="D582" t="inlineStr">
        <is>
          <t>JÄMTLANDS LÄN</t>
        </is>
      </c>
      <c r="E582" t="inlineStr">
        <is>
          <t>ÖSTERSUND</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4423-2026</t>
        </is>
      </c>
      <c r="B583" s="1" t="n">
        <v>46045.61509259259</v>
      </c>
      <c r="C583" s="1" t="n">
        <v>46092</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54965-2025</t>
        </is>
      </c>
      <c r="B584" s="1" t="n">
        <v>45967.49037037037</v>
      </c>
      <c r="C584" s="1" t="n">
        <v>46092</v>
      </c>
      <c r="D584" t="inlineStr">
        <is>
          <t>JÄMTLANDS LÄN</t>
        </is>
      </c>
      <c r="E584" t="inlineStr">
        <is>
          <t>ÖSTERSUND</t>
        </is>
      </c>
      <c r="G584" t="n">
        <v>4.3</v>
      </c>
      <c r="H584" t="n">
        <v>0</v>
      </c>
      <c r="I584" t="n">
        <v>0</v>
      </c>
      <c r="J584" t="n">
        <v>0</v>
      </c>
      <c r="K584" t="n">
        <v>0</v>
      </c>
      <c r="L584" t="n">
        <v>0</v>
      </c>
      <c r="M584" t="n">
        <v>0</v>
      </c>
      <c r="N584" t="n">
        <v>0</v>
      </c>
      <c r="O584" t="n">
        <v>0</v>
      </c>
      <c r="P584" t="n">
        <v>0</v>
      </c>
      <c r="Q584" t="n">
        <v>0</v>
      </c>
      <c r="R584" s="2" t="inlineStr"/>
    </row>
    <row r="585" ht="15" customHeight="1">
      <c r="A585" t="inlineStr">
        <is>
          <t>A 6351-2024</t>
        </is>
      </c>
      <c r="B585" s="1" t="n">
        <v>45338</v>
      </c>
      <c r="C585" s="1" t="n">
        <v>46092</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12726-2026</t>
        </is>
      </c>
      <c r="B586" s="1" t="n">
        <v>46091.61972222223</v>
      </c>
      <c r="C586" s="1" t="n">
        <v>46092</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54667-2025</t>
        </is>
      </c>
      <c r="B587" s="1" t="n">
        <v>45966.4077662037</v>
      </c>
      <c r="C587" s="1" t="n">
        <v>46092</v>
      </c>
      <c r="D587" t="inlineStr">
        <is>
          <t>JÄMTLANDS LÄN</t>
        </is>
      </c>
      <c r="E587" t="inlineStr">
        <is>
          <t>ÖSTERSUND</t>
        </is>
      </c>
      <c r="G587" t="n">
        <v>6.8</v>
      </c>
      <c r="H587" t="n">
        <v>0</v>
      </c>
      <c r="I587" t="n">
        <v>0</v>
      </c>
      <c r="J587" t="n">
        <v>0</v>
      </c>
      <c r="K587" t="n">
        <v>0</v>
      </c>
      <c r="L587" t="n">
        <v>0</v>
      </c>
      <c r="M587" t="n">
        <v>0</v>
      </c>
      <c r="N587" t="n">
        <v>0</v>
      </c>
      <c r="O587" t="n">
        <v>0</v>
      </c>
      <c r="P587" t="n">
        <v>0</v>
      </c>
      <c r="Q587" t="n">
        <v>0</v>
      </c>
      <c r="R587" s="2" t="inlineStr"/>
    </row>
    <row r="588" ht="15" customHeight="1">
      <c r="A588" t="inlineStr">
        <is>
          <t>A 54931-2025</t>
        </is>
      </c>
      <c r="B588" s="1" t="n">
        <v>45967.42462962963</v>
      </c>
      <c r="C588" s="1" t="n">
        <v>46092</v>
      </c>
      <c r="D588" t="inlineStr">
        <is>
          <t>JÄMTLANDS LÄN</t>
        </is>
      </c>
      <c r="E588" t="inlineStr">
        <is>
          <t>ÖSTERSUND</t>
        </is>
      </c>
      <c r="G588" t="n">
        <v>7.1</v>
      </c>
      <c r="H588" t="n">
        <v>0</v>
      </c>
      <c r="I588" t="n">
        <v>0</v>
      </c>
      <c r="J588" t="n">
        <v>0</v>
      </c>
      <c r="K588" t="n">
        <v>0</v>
      </c>
      <c r="L588" t="n">
        <v>0</v>
      </c>
      <c r="M588" t="n">
        <v>0</v>
      </c>
      <c r="N588" t="n">
        <v>0</v>
      </c>
      <c r="O588" t="n">
        <v>0</v>
      </c>
      <c r="P588" t="n">
        <v>0</v>
      </c>
      <c r="Q588" t="n">
        <v>0</v>
      </c>
      <c r="R588" s="2" t="inlineStr"/>
    </row>
    <row r="589" ht="15" customHeight="1">
      <c r="A589" t="inlineStr">
        <is>
          <t>A 3749-2023</t>
        </is>
      </c>
      <c r="B589" s="1" t="n">
        <v>44949</v>
      </c>
      <c r="C589" s="1" t="n">
        <v>46092</v>
      </c>
      <c r="D589" t="inlineStr">
        <is>
          <t>JÄMTLANDS LÄN</t>
        </is>
      </c>
      <c r="E589" t="inlineStr">
        <is>
          <t>ÖSTERSUND</t>
        </is>
      </c>
      <c r="G589" t="n">
        <v>0.2</v>
      </c>
      <c r="H589" t="n">
        <v>0</v>
      </c>
      <c r="I589" t="n">
        <v>0</v>
      </c>
      <c r="J589" t="n">
        <v>0</v>
      </c>
      <c r="K589" t="n">
        <v>0</v>
      </c>
      <c r="L589" t="n">
        <v>0</v>
      </c>
      <c r="M589" t="n">
        <v>0</v>
      </c>
      <c r="N589" t="n">
        <v>0</v>
      </c>
      <c r="O589" t="n">
        <v>0</v>
      </c>
      <c r="P589" t="n">
        <v>0</v>
      </c>
      <c r="Q589" t="n">
        <v>0</v>
      </c>
      <c r="R589" s="2" t="inlineStr"/>
    </row>
    <row r="590" ht="15" customHeight="1">
      <c r="A590" t="inlineStr">
        <is>
          <t>A 3255-2025</t>
        </is>
      </c>
      <c r="B590" s="1" t="n">
        <v>45679.55256944444</v>
      </c>
      <c r="C590" s="1" t="n">
        <v>46092</v>
      </c>
      <c r="D590" t="inlineStr">
        <is>
          <t>JÄMTLANDS LÄN</t>
        </is>
      </c>
      <c r="E590" t="inlineStr">
        <is>
          <t>ÖSTERSUND</t>
        </is>
      </c>
      <c r="F590" t="inlineStr">
        <is>
          <t>SCA</t>
        </is>
      </c>
      <c r="G590" t="n">
        <v>16.7</v>
      </c>
      <c r="H590" t="n">
        <v>0</v>
      </c>
      <c r="I590" t="n">
        <v>0</v>
      </c>
      <c r="J590" t="n">
        <v>0</v>
      </c>
      <c r="K590" t="n">
        <v>0</v>
      </c>
      <c r="L590" t="n">
        <v>0</v>
      </c>
      <c r="M590" t="n">
        <v>0</v>
      </c>
      <c r="N590" t="n">
        <v>0</v>
      </c>
      <c r="O590" t="n">
        <v>0</v>
      </c>
      <c r="P590" t="n">
        <v>0</v>
      </c>
      <c r="Q590" t="n">
        <v>0</v>
      </c>
      <c r="R590" s="2" t="inlineStr"/>
    </row>
    <row r="591" ht="15" customHeight="1">
      <c r="A591" t="inlineStr">
        <is>
          <t>A 25228-2025</t>
        </is>
      </c>
      <c r="B591" s="1" t="n">
        <v>45800.48368055555</v>
      </c>
      <c r="C591" s="1" t="n">
        <v>46092</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58364-2024</t>
        </is>
      </c>
      <c r="B592" s="1" t="n">
        <v>45632.68814814815</v>
      </c>
      <c r="C592" s="1" t="n">
        <v>46092</v>
      </c>
      <c r="D592" t="inlineStr">
        <is>
          <t>JÄMTLANDS LÄN</t>
        </is>
      </c>
      <c r="E592" t="inlineStr">
        <is>
          <t>ÖSTERSUND</t>
        </is>
      </c>
      <c r="G592" t="n">
        <v>5.5</v>
      </c>
      <c r="H592" t="n">
        <v>0</v>
      </c>
      <c r="I592" t="n">
        <v>0</v>
      </c>
      <c r="J592" t="n">
        <v>0</v>
      </c>
      <c r="K592" t="n">
        <v>0</v>
      </c>
      <c r="L592" t="n">
        <v>0</v>
      </c>
      <c r="M592" t="n">
        <v>0</v>
      </c>
      <c r="N592" t="n">
        <v>0</v>
      </c>
      <c r="O592" t="n">
        <v>0</v>
      </c>
      <c r="P592" t="n">
        <v>0</v>
      </c>
      <c r="Q592" t="n">
        <v>0</v>
      </c>
      <c r="R592" s="2" t="inlineStr"/>
    </row>
    <row r="593" ht="15" customHeight="1">
      <c r="A593" t="inlineStr">
        <is>
          <t>A 5360-2026</t>
        </is>
      </c>
      <c r="B593" s="1" t="n">
        <v>46050</v>
      </c>
      <c r="C593" s="1" t="n">
        <v>46092</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33801-2022</t>
        </is>
      </c>
      <c r="B594" s="1" t="n">
        <v>44790</v>
      </c>
      <c r="C594" s="1" t="n">
        <v>46092</v>
      </c>
      <c r="D594" t="inlineStr">
        <is>
          <t>JÄMTLANDS LÄN</t>
        </is>
      </c>
      <c r="E594" t="inlineStr">
        <is>
          <t>ÖSTERSUND</t>
        </is>
      </c>
      <c r="G594" t="n">
        <v>7.6</v>
      </c>
      <c r="H594" t="n">
        <v>0</v>
      </c>
      <c r="I594" t="n">
        <v>0</v>
      </c>
      <c r="J594" t="n">
        <v>0</v>
      </c>
      <c r="K594" t="n">
        <v>0</v>
      </c>
      <c r="L594" t="n">
        <v>0</v>
      </c>
      <c r="M594" t="n">
        <v>0</v>
      </c>
      <c r="N594" t="n">
        <v>0</v>
      </c>
      <c r="O594" t="n">
        <v>0</v>
      </c>
      <c r="P594" t="n">
        <v>0</v>
      </c>
      <c r="Q594" t="n">
        <v>0</v>
      </c>
      <c r="R594" s="2" t="inlineStr"/>
    </row>
    <row r="595" ht="15" customHeight="1">
      <c r="A595" t="inlineStr">
        <is>
          <t>A 3997-2025</t>
        </is>
      </c>
      <c r="B595" s="1" t="n">
        <v>45684.56725694444</v>
      </c>
      <c r="C595" s="1" t="n">
        <v>46092</v>
      </c>
      <c r="D595" t="inlineStr">
        <is>
          <t>JÄMTLANDS LÄN</t>
        </is>
      </c>
      <c r="E595" t="inlineStr">
        <is>
          <t>ÖSTERSUND</t>
        </is>
      </c>
      <c r="G595" t="n">
        <v>1.9</v>
      </c>
      <c r="H595" t="n">
        <v>0</v>
      </c>
      <c r="I595" t="n">
        <v>0</v>
      </c>
      <c r="J595" t="n">
        <v>0</v>
      </c>
      <c r="K595" t="n">
        <v>0</v>
      </c>
      <c r="L595" t="n">
        <v>0</v>
      </c>
      <c r="M595" t="n">
        <v>0</v>
      </c>
      <c r="N595" t="n">
        <v>0</v>
      </c>
      <c r="O595" t="n">
        <v>0</v>
      </c>
      <c r="P595" t="n">
        <v>0</v>
      </c>
      <c r="Q595" t="n">
        <v>0</v>
      </c>
      <c r="R595" s="2" t="inlineStr"/>
    </row>
    <row r="596" ht="15" customHeight="1">
      <c r="A596" t="inlineStr">
        <is>
          <t>A 26586-2025</t>
        </is>
      </c>
      <c r="B596" s="1" t="n">
        <v>45807.74140046296</v>
      </c>
      <c r="C596" s="1" t="n">
        <v>46092</v>
      </c>
      <c r="D596" t="inlineStr">
        <is>
          <t>JÄMTLANDS LÄN</t>
        </is>
      </c>
      <c r="E596" t="inlineStr">
        <is>
          <t>ÖSTERSUND</t>
        </is>
      </c>
      <c r="G596" t="n">
        <v>2.1</v>
      </c>
      <c r="H596" t="n">
        <v>0</v>
      </c>
      <c r="I596" t="n">
        <v>0</v>
      </c>
      <c r="J596" t="n">
        <v>0</v>
      </c>
      <c r="K596" t="n">
        <v>0</v>
      </c>
      <c r="L596" t="n">
        <v>0</v>
      </c>
      <c r="M596" t="n">
        <v>0</v>
      </c>
      <c r="N596" t="n">
        <v>0</v>
      </c>
      <c r="O596" t="n">
        <v>0</v>
      </c>
      <c r="P596" t="n">
        <v>0</v>
      </c>
      <c r="Q596" t="n">
        <v>0</v>
      </c>
      <c r="R596" s="2" t="inlineStr"/>
    </row>
    <row r="597" ht="15" customHeight="1">
      <c r="A597" t="inlineStr">
        <is>
          <t>A 64645-2021</t>
        </is>
      </c>
      <c r="B597" s="1" t="n">
        <v>44511.94629629629</v>
      </c>
      <c r="C597" s="1" t="n">
        <v>46092</v>
      </c>
      <c r="D597" t="inlineStr">
        <is>
          <t>JÄMTLANDS LÄN</t>
        </is>
      </c>
      <c r="E597" t="inlineStr">
        <is>
          <t>ÖSTERSUND</t>
        </is>
      </c>
      <c r="G597" t="n">
        <v>3.2</v>
      </c>
      <c r="H597" t="n">
        <v>0</v>
      </c>
      <c r="I597" t="n">
        <v>0</v>
      </c>
      <c r="J597" t="n">
        <v>0</v>
      </c>
      <c r="K597" t="n">
        <v>0</v>
      </c>
      <c r="L597" t="n">
        <v>0</v>
      </c>
      <c r="M597" t="n">
        <v>0</v>
      </c>
      <c r="N597" t="n">
        <v>0</v>
      </c>
      <c r="O597" t="n">
        <v>0</v>
      </c>
      <c r="P597" t="n">
        <v>0</v>
      </c>
      <c r="Q597" t="n">
        <v>0</v>
      </c>
      <c r="R597" s="2" t="inlineStr"/>
    </row>
    <row r="598" ht="15" customHeight="1">
      <c r="A598" t="inlineStr">
        <is>
          <t>A 36211-2025</t>
        </is>
      </c>
      <c r="B598" s="1" t="n">
        <v>45867.46946759259</v>
      </c>
      <c r="C598" s="1" t="n">
        <v>46092</v>
      </c>
      <c r="D598" t="inlineStr">
        <is>
          <t>JÄMTLANDS LÄN</t>
        </is>
      </c>
      <c r="E598" t="inlineStr">
        <is>
          <t>ÖSTERSUND</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34923-2025</t>
        </is>
      </c>
      <c r="B599" s="1" t="n">
        <v>45849.55601851852</v>
      </c>
      <c r="C599" s="1" t="n">
        <v>46092</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36098-2025</t>
        </is>
      </c>
      <c r="B600" s="1" t="n">
        <v>45866.50549768518</v>
      </c>
      <c r="C600" s="1" t="n">
        <v>46092</v>
      </c>
      <c r="D600" t="inlineStr">
        <is>
          <t>JÄMTLANDS LÄN</t>
        </is>
      </c>
      <c r="E600" t="inlineStr">
        <is>
          <t>ÖSTERSUND</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36566-2025</t>
        </is>
      </c>
      <c r="B601" s="1" t="n">
        <v>45869</v>
      </c>
      <c r="C601" s="1" t="n">
        <v>46092</v>
      </c>
      <c r="D601" t="inlineStr">
        <is>
          <t>JÄMTLANDS LÄN</t>
        </is>
      </c>
      <c r="E601" t="inlineStr">
        <is>
          <t>ÖSTERSUND</t>
        </is>
      </c>
      <c r="F601" t="inlineStr">
        <is>
          <t>Sveaskog</t>
        </is>
      </c>
      <c r="G601" t="n">
        <v>6.9</v>
      </c>
      <c r="H601" t="n">
        <v>0</v>
      </c>
      <c r="I601" t="n">
        <v>0</v>
      </c>
      <c r="J601" t="n">
        <v>0</v>
      </c>
      <c r="K601" t="n">
        <v>0</v>
      </c>
      <c r="L601" t="n">
        <v>0</v>
      </c>
      <c r="M601" t="n">
        <v>0</v>
      </c>
      <c r="N601" t="n">
        <v>0</v>
      </c>
      <c r="O601" t="n">
        <v>0</v>
      </c>
      <c r="P601" t="n">
        <v>0</v>
      </c>
      <c r="Q601" t="n">
        <v>0</v>
      </c>
      <c r="R601" s="2" t="inlineStr"/>
    </row>
    <row r="602" ht="15" customHeight="1">
      <c r="A602" t="inlineStr">
        <is>
          <t>A 846-2024</t>
        </is>
      </c>
      <c r="B602" s="1" t="n">
        <v>45300</v>
      </c>
      <c r="C602" s="1" t="n">
        <v>46092</v>
      </c>
      <c r="D602" t="inlineStr">
        <is>
          <t>JÄMTLANDS LÄN</t>
        </is>
      </c>
      <c r="E602" t="inlineStr">
        <is>
          <t>ÖSTERSUND</t>
        </is>
      </c>
      <c r="G602" t="n">
        <v>2.8</v>
      </c>
      <c r="H602" t="n">
        <v>0</v>
      </c>
      <c r="I602" t="n">
        <v>0</v>
      </c>
      <c r="J602" t="n">
        <v>0</v>
      </c>
      <c r="K602" t="n">
        <v>0</v>
      </c>
      <c r="L602" t="n">
        <v>0</v>
      </c>
      <c r="M602" t="n">
        <v>0</v>
      </c>
      <c r="N602" t="n">
        <v>0</v>
      </c>
      <c r="O602" t="n">
        <v>0</v>
      </c>
      <c r="P602" t="n">
        <v>0</v>
      </c>
      <c r="Q602" t="n">
        <v>0</v>
      </c>
      <c r="R602" s="2" t="inlineStr"/>
    </row>
    <row r="603" ht="15" customHeight="1">
      <c r="A603" t="inlineStr">
        <is>
          <t>A 12102-2025</t>
        </is>
      </c>
      <c r="B603" s="1" t="n">
        <v>45729.3425</v>
      </c>
      <c r="C603" s="1" t="n">
        <v>46092</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7233-2024</t>
        </is>
      </c>
      <c r="B604" s="1" t="n">
        <v>45344</v>
      </c>
      <c r="C604" s="1" t="n">
        <v>46092</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37085-2025</t>
        </is>
      </c>
      <c r="B605" s="1" t="n">
        <v>45875.44840277778</v>
      </c>
      <c r="C605" s="1" t="n">
        <v>46092</v>
      </c>
      <c r="D605" t="inlineStr">
        <is>
          <t>JÄMTLANDS LÄN</t>
        </is>
      </c>
      <c r="E605" t="inlineStr">
        <is>
          <t>ÖSTERSUND</t>
        </is>
      </c>
      <c r="G605" t="n">
        <v>5.5</v>
      </c>
      <c r="H605" t="n">
        <v>0</v>
      </c>
      <c r="I605" t="n">
        <v>0</v>
      </c>
      <c r="J605" t="n">
        <v>0</v>
      </c>
      <c r="K605" t="n">
        <v>0</v>
      </c>
      <c r="L605" t="n">
        <v>0</v>
      </c>
      <c r="M605" t="n">
        <v>0</v>
      </c>
      <c r="N605" t="n">
        <v>0</v>
      </c>
      <c r="O605" t="n">
        <v>0</v>
      </c>
      <c r="P605" t="n">
        <v>0</v>
      </c>
      <c r="Q605" t="n">
        <v>0</v>
      </c>
      <c r="R605" s="2" t="inlineStr"/>
    </row>
    <row r="606" ht="15" customHeight="1">
      <c r="A606" t="inlineStr">
        <is>
          <t>A 61791-2023</t>
        </is>
      </c>
      <c r="B606" s="1" t="n">
        <v>45265.95795138889</v>
      </c>
      <c r="C606" s="1" t="n">
        <v>46092</v>
      </c>
      <c r="D606" t="inlineStr">
        <is>
          <t>JÄMTLANDS LÄN</t>
        </is>
      </c>
      <c r="E606" t="inlineStr">
        <is>
          <t>ÖSTERSUND</t>
        </is>
      </c>
      <c r="F606" t="inlineStr">
        <is>
          <t>SCA</t>
        </is>
      </c>
      <c r="G606" t="n">
        <v>11.4</v>
      </c>
      <c r="H606" t="n">
        <v>0</v>
      </c>
      <c r="I606" t="n">
        <v>0</v>
      </c>
      <c r="J606" t="n">
        <v>0</v>
      </c>
      <c r="K606" t="n">
        <v>0</v>
      </c>
      <c r="L606" t="n">
        <v>0</v>
      </c>
      <c r="M606" t="n">
        <v>0</v>
      </c>
      <c r="N606" t="n">
        <v>0</v>
      </c>
      <c r="O606" t="n">
        <v>0</v>
      </c>
      <c r="P606" t="n">
        <v>0</v>
      </c>
      <c r="Q606" t="n">
        <v>0</v>
      </c>
      <c r="R606" s="2" t="inlineStr"/>
    </row>
    <row r="607" ht="15" customHeight="1">
      <c r="A607" t="inlineStr">
        <is>
          <t>A 47022-2024</t>
        </is>
      </c>
      <c r="B607" s="1" t="n">
        <v>45586.40660879629</v>
      </c>
      <c r="C607" s="1" t="n">
        <v>46092</v>
      </c>
      <c r="D607" t="inlineStr">
        <is>
          <t>JÄMTLANDS LÄN</t>
        </is>
      </c>
      <c r="E607" t="inlineStr">
        <is>
          <t>ÖSTERSUND</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12-2023</t>
        </is>
      </c>
      <c r="B608" s="1" t="n">
        <v>44927.88021990741</v>
      </c>
      <c r="C608" s="1" t="n">
        <v>46092</v>
      </c>
      <c r="D608" t="inlineStr">
        <is>
          <t>JÄMTLANDS LÄN</t>
        </is>
      </c>
      <c r="E608" t="inlineStr">
        <is>
          <t>ÖSTERSUND</t>
        </is>
      </c>
      <c r="G608" t="n">
        <v>4.7</v>
      </c>
      <c r="H608" t="n">
        <v>0</v>
      </c>
      <c r="I608" t="n">
        <v>0</v>
      </c>
      <c r="J608" t="n">
        <v>0</v>
      </c>
      <c r="K608" t="n">
        <v>0</v>
      </c>
      <c r="L608" t="n">
        <v>0</v>
      </c>
      <c r="M608" t="n">
        <v>0</v>
      </c>
      <c r="N608" t="n">
        <v>0</v>
      </c>
      <c r="O608" t="n">
        <v>0</v>
      </c>
      <c r="P608" t="n">
        <v>0</v>
      </c>
      <c r="Q608" t="n">
        <v>0</v>
      </c>
      <c r="R608" s="2" t="inlineStr"/>
    </row>
    <row r="609" ht="15" customHeight="1">
      <c r="A609" t="inlineStr">
        <is>
          <t>A 64309-2023</t>
        </is>
      </c>
      <c r="B609" s="1" t="n">
        <v>45280</v>
      </c>
      <c r="C609" s="1" t="n">
        <v>46092</v>
      </c>
      <c r="D609" t="inlineStr">
        <is>
          <t>JÄMTLANDS LÄN</t>
        </is>
      </c>
      <c r="E609" t="inlineStr">
        <is>
          <t>ÖSTERSUND</t>
        </is>
      </c>
      <c r="G609" t="n">
        <v>0.8</v>
      </c>
      <c r="H609" t="n">
        <v>0</v>
      </c>
      <c r="I609" t="n">
        <v>0</v>
      </c>
      <c r="J609" t="n">
        <v>0</v>
      </c>
      <c r="K609" t="n">
        <v>0</v>
      </c>
      <c r="L609" t="n">
        <v>0</v>
      </c>
      <c r="M609" t="n">
        <v>0</v>
      </c>
      <c r="N609" t="n">
        <v>0</v>
      </c>
      <c r="O609" t="n">
        <v>0</v>
      </c>
      <c r="P609" t="n">
        <v>0</v>
      </c>
      <c r="Q609" t="n">
        <v>0</v>
      </c>
      <c r="R609" s="2" t="inlineStr"/>
    </row>
    <row r="610" ht="15" customHeight="1">
      <c r="A610" t="inlineStr">
        <is>
          <t>A 64314-2023</t>
        </is>
      </c>
      <c r="B610" s="1" t="n">
        <v>45280</v>
      </c>
      <c r="C610" s="1" t="n">
        <v>46092</v>
      </c>
      <c r="D610" t="inlineStr">
        <is>
          <t>JÄMTLANDS LÄN</t>
        </is>
      </c>
      <c r="E610" t="inlineStr">
        <is>
          <t>ÖSTERSUND</t>
        </is>
      </c>
      <c r="G610" t="n">
        <v>0.6</v>
      </c>
      <c r="H610" t="n">
        <v>0</v>
      </c>
      <c r="I610" t="n">
        <v>0</v>
      </c>
      <c r="J610" t="n">
        <v>0</v>
      </c>
      <c r="K610" t="n">
        <v>0</v>
      </c>
      <c r="L610" t="n">
        <v>0</v>
      </c>
      <c r="M610" t="n">
        <v>0</v>
      </c>
      <c r="N610" t="n">
        <v>0</v>
      </c>
      <c r="O610" t="n">
        <v>0</v>
      </c>
      <c r="P610" t="n">
        <v>0</v>
      </c>
      <c r="Q610" t="n">
        <v>0</v>
      </c>
      <c r="R610" s="2" t="inlineStr"/>
    </row>
    <row r="611" ht="15" customHeight="1">
      <c r="A611" t="inlineStr">
        <is>
          <t>A 27124-2023</t>
        </is>
      </c>
      <c r="B611" s="1" t="n">
        <v>45096</v>
      </c>
      <c r="C611" s="1" t="n">
        <v>46092</v>
      </c>
      <c r="D611" t="inlineStr">
        <is>
          <t>JÄMTLANDS LÄN</t>
        </is>
      </c>
      <c r="E611" t="inlineStr">
        <is>
          <t>ÖSTERSUND</t>
        </is>
      </c>
      <c r="G611" t="n">
        <v>1.9</v>
      </c>
      <c r="H611" t="n">
        <v>0</v>
      </c>
      <c r="I611" t="n">
        <v>0</v>
      </c>
      <c r="J611" t="n">
        <v>0</v>
      </c>
      <c r="K611" t="n">
        <v>0</v>
      </c>
      <c r="L611" t="n">
        <v>0</v>
      </c>
      <c r="M611" t="n">
        <v>0</v>
      </c>
      <c r="N611" t="n">
        <v>0</v>
      </c>
      <c r="O611" t="n">
        <v>0</v>
      </c>
      <c r="P611" t="n">
        <v>0</v>
      </c>
      <c r="Q611" t="n">
        <v>0</v>
      </c>
      <c r="R611" s="2" t="inlineStr"/>
    </row>
    <row r="612" ht="15" customHeight="1">
      <c r="A612" t="inlineStr">
        <is>
          <t>A 16336-2025</t>
        </is>
      </c>
      <c r="B612" s="1" t="n">
        <v>45751.36519675926</v>
      </c>
      <c r="C612" s="1" t="n">
        <v>46092</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17066-2024</t>
        </is>
      </c>
      <c r="B613" s="1" t="n">
        <v>45412.46636574074</v>
      </c>
      <c r="C613" s="1" t="n">
        <v>46092</v>
      </c>
      <c r="D613" t="inlineStr">
        <is>
          <t>JÄMTLANDS LÄN</t>
        </is>
      </c>
      <c r="E613" t="inlineStr">
        <is>
          <t>ÖSTERSUND</t>
        </is>
      </c>
      <c r="G613" t="n">
        <v>4.2</v>
      </c>
      <c r="H613" t="n">
        <v>0</v>
      </c>
      <c r="I613" t="n">
        <v>0</v>
      </c>
      <c r="J613" t="n">
        <v>0</v>
      </c>
      <c r="K613" t="n">
        <v>0</v>
      </c>
      <c r="L613" t="n">
        <v>0</v>
      </c>
      <c r="M613" t="n">
        <v>0</v>
      </c>
      <c r="N613" t="n">
        <v>0</v>
      </c>
      <c r="O613" t="n">
        <v>0</v>
      </c>
      <c r="P613" t="n">
        <v>0</v>
      </c>
      <c r="Q613" t="n">
        <v>0</v>
      </c>
      <c r="R613" s="2" t="inlineStr"/>
    </row>
    <row r="614" ht="15" customHeight="1">
      <c r="A614" t="inlineStr">
        <is>
          <t>A 61449-2024</t>
        </is>
      </c>
      <c r="B614" s="1" t="n">
        <v>45646.48988425926</v>
      </c>
      <c r="C614" s="1" t="n">
        <v>46092</v>
      </c>
      <c r="D614" t="inlineStr">
        <is>
          <t>JÄMTLANDS LÄN</t>
        </is>
      </c>
      <c r="E614" t="inlineStr">
        <is>
          <t>ÖSTERSUND</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61450-2024</t>
        </is>
      </c>
      <c r="B615" s="1" t="n">
        <v>45646.49012731481</v>
      </c>
      <c r="C615" s="1" t="n">
        <v>46092</v>
      </c>
      <c r="D615" t="inlineStr">
        <is>
          <t>JÄMTLANDS LÄN</t>
        </is>
      </c>
      <c r="E615" t="inlineStr">
        <is>
          <t>ÖSTERSUND</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61451-2024</t>
        </is>
      </c>
      <c r="B616" s="1" t="n">
        <v>45646.49017361111</v>
      </c>
      <c r="C616" s="1" t="n">
        <v>46092</v>
      </c>
      <c r="D616" t="inlineStr">
        <is>
          <t>JÄMTLANDS LÄN</t>
        </is>
      </c>
      <c r="E616" t="inlineStr">
        <is>
          <t>ÖSTERSUND</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8261-2025</t>
        </is>
      </c>
      <c r="B617" s="1" t="n">
        <v>45708.50256944444</v>
      </c>
      <c r="C617" s="1" t="n">
        <v>46092</v>
      </c>
      <c r="D617" t="inlineStr">
        <is>
          <t>JÄMTLANDS LÄN</t>
        </is>
      </c>
      <c r="E617" t="inlineStr">
        <is>
          <t>ÖSTERSUND</t>
        </is>
      </c>
      <c r="G617" t="n">
        <v>5.4</v>
      </c>
      <c r="H617" t="n">
        <v>0</v>
      </c>
      <c r="I617" t="n">
        <v>0</v>
      </c>
      <c r="J617" t="n">
        <v>0</v>
      </c>
      <c r="K617" t="n">
        <v>0</v>
      </c>
      <c r="L617" t="n">
        <v>0</v>
      </c>
      <c r="M617" t="n">
        <v>0</v>
      </c>
      <c r="N617" t="n">
        <v>0</v>
      </c>
      <c r="O617" t="n">
        <v>0</v>
      </c>
      <c r="P617" t="n">
        <v>0</v>
      </c>
      <c r="Q617" t="n">
        <v>0</v>
      </c>
      <c r="R617" s="2" t="inlineStr"/>
    </row>
    <row r="618" ht="15" customHeight="1">
      <c r="A618" t="inlineStr">
        <is>
          <t>A 39975-2024</t>
        </is>
      </c>
      <c r="B618" s="1" t="n">
        <v>45553.60474537037</v>
      </c>
      <c r="C618" s="1" t="n">
        <v>46092</v>
      </c>
      <c r="D618" t="inlineStr">
        <is>
          <t>JÄMTLANDS LÄN</t>
        </is>
      </c>
      <c r="E618" t="inlineStr">
        <is>
          <t>ÖSTERSUND</t>
        </is>
      </c>
      <c r="G618" t="n">
        <v>3.8</v>
      </c>
      <c r="H618" t="n">
        <v>0</v>
      </c>
      <c r="I618" t="n">
        <v>0</v>
      </c>
      <c r="J618" t="n">
        <v>0</v>
      </c>
      <c r="K618" t="n">
        <v>0</v>
      </c>
      <c r="L618" t="n">
        <v>0</v>
      </c>
      <c r="M618" t="n">
        <v>0</v>
      </c>
      <c r="N618" t="n">
        <v>0</v>
      </c>
      <c r="O618" t="n">
        <v>0</v>
      </c>
      <c r="P618" t="n">
        <v>0</v>
      </c>
      <c r="Q618" t="n">
        <v>0</v>
      </c>
      <c r="R618" s="2" t="inlineStr"/>
    </row>
    <row r="619" ht="15" customHeight="1">
      <c r="A619" t="inlineStr">
        <is>
          <t>A 61506-2023</t>
        </is>
      </c>
      <c r="B619" s="1" t="n">
        <v>45264</v>
      </c>
      <c r="C619" s="1" t="n">
        <v>46092</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16753-2025</t>
        </is>
      </c>
      <c r="B620" s="1" t="n">
        <v>45754.56839120371</v>
      </c>
      <c r="C620" s="1" t="n">
        <v>46092</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56067-2022</t>
        </is>
      </c>
      <c r="B621" s="1" t="n">
        <v>44889.59378472222</v>
      </c>
      <c r="C621" s="1" t="n">
        <v>46092</v>
      </c>
      <c r="D621" t="inlineStr">
        <is>
          <t>JÄMTLANDS LÄN</t>
        </is>
      </c>
      <c r="E621" t="inlineStr">
        <is>
          <t>ÖSTERSUND</t>
        </is>
      </c>
      <c r="F621" t="inlineStr">
        <is>
          <t>Övriga Aktiebolag</t>
        </is>
      </c>
      <c r="G621" t="n">
        <v>1.5</v>
      </c>
      <c r="H621" t="n">
        <v>0</v>
      </c>
      <c r="I621" t="n">
        <v>0</v>
      </c>
      <c r="J621" t="n">
        <v>0</v>
      </c>
      <c r="K621" t="n">
        <v>0</v>
      </c>
      <c r="L621" t="n">
        <v>0</v>
      </c>
      <c r="M621" t="n">
        <v>0</v>
      </c>
      <c r="N621" t="n">
        <v>0</v>
      </c>
      <c r="O621" t="n">
        <v>0</v>
      </c>
      <c r="P621" t="n">
        <v>0</v>
      </c>
      <c r="Q621" t="n">
        <v>0</v>
      </c>
      <c r="R621" s="2" t="inlineStr"/>
    </row>
    <row r="622" ht="15" customHeight="1">
      <c r="A622" t="inlineStr">
        <is>
          <t>A 6067-2025</t>
        </is>
      </c>
      <c r="B622" s="1" t="n">
        <v>45696.34405092592</v>
      </c>
      <c r="C622" s="1" t="n">
        <v>46092</v>
      </c>
      <c r="D622" t="inlineStr">
        <is>
          <t>JÄMTLANDS LÄN</t>
        </is>
      </c>
      <c r="E622" t="inlineStr">
        <is>
          <t>ÖSTERSUND</t>
        </is>
      </c>
      <c r="G622" t="n">
        <v>2.1</v>
      </c>
      <c r="H622" t="n">
        <v>0</v>
      </c>
      <c r="I622" t="n">
        <v>0</v>
      </c>
      <c r="J622" t="n">
        <v>0</v>
      </c>
      <c r="K622" t="n">
        <v>0</v>
      </c>
      <c r="L622" t="n">
        <v>0</v>
      </c>
      <c r="M622" t="n">
        <v>0</v>
      </c>
      <c r="N622" t="n">
        <v>0</v>
      </c>
      <c r="O622" t="n">
        <v>0</v>
      </c>
      <c r="P622" t="n">
        <v>0</v>
      </c>
      <c r="Q622" t="n">
        <v>0</v>
      </c>
      <c r="R622" s="2" t="inlineStr"/>
    </row>
    <row r="623" ht="15" customHeight="1">
      <c r="A623" t="inlineStr">
        <is>
          <t>A 14518-2023</t>
        </is>
      </c>
      <c r="B623" s="1" t="n">
        <v>45012</v>
      </c>
      <c r="C623" s="1" t="n">
        <v>46092</v>
      </c>
      <c r="D623" t="inlineStr">
        <is>
          <t>JÄMTLANDS LÄN</t>
        </is>
      </c>
      <c r="E623" t="inlineStr">
        <is>
          <t>ÖSTERSUND</t>
        </is>
      </c>
      <c r="G623" t="n">
        <v>14.4</v>
      </c>
      <c r="H623" t="n">
        <v>0</v>
      </c>
      <c r="I623" t="n">
        <v>0</v>
      </c>
      <c r="J623" t="n">
        <v>0</v>
      </c>
      <c r="K623" t="n">
        <v>0</v>
      </c>
      <c r="L623" t="n">
        <v>0</v>
      </c>
      <c r="M623" t="n">
        <v>0</v>
      </c>
      <c r="N623" t="n">
        <v>0</v>
      </c>
      <c r="O623" t="n">
        <v>0</v>
      </c>
      <c r="P623" t="n">
        <v>0</v>
      </c>
      <c r="Q623" t="n">
        <v>0</v>
      </c>
      <c r="R623" s="2" t="inlineStr"/>
    </row>
    <row r="624" ht="15" customHeight="1">
      <c r="A624" t="inlineStr">
        <is>
          <t>A 30602-2023</t>
        </is>
      </c>
      <c r="B624" s="1" t="n">
        <v>45112</v>
      </c>
      <c r="C624" s="1" t="n">
        <v>46092</v>
      </c>
      <c r="D624" t="inlineStr">
        <is>
          <t>JÄMTLANDS LÄN</t>
        </is>
      </c>
      <c r="E624" t="inlineStr">
        <is>
          <t>ÖSTERSUND</t>
        </is>
      </c>
      <c r="G624" t="n">
        <v>0.5</v>
      </c>
      <c r="H624" t="n">
        <v>0</v>
      </c>
      <c r="I624" t="n">
        <v>0</v>
      </c>
      <c r="J624" t="n">
        <v>0</v>
      </c>
      <c r="K624" t="n">
        <v>0</v>
      </c>
      <c r="L624" t="n">
        <v>0</v>
      </c>
      <c r="M624" t="n">
        <v>0</v>
      </c>
      <c r="N624" t="n">
        <v>0</v>
      </c>
      <c r="O624" t="n">
        <v>0</v>
      </c>
      <c r="P624" t="n">
        <v>0</v>
      </c>
      <c r="Q624" t="n">
        <v>0</v>
      </c>
      <c r="R624" s="2" t="inlineStr"/>
    </row>
    <row r="625" ht="15" customHeight="1">
      <c r="A625" t="inlineStr">
        <is>
          <t>A 1211-2025</t>
        </is>
      </c>
      <c r="B625" s="1" t="n">
        <v>45667.40662037037</v>
      </c>
      <c r="C625" s="1" t="n">
        <v>46092</v>
      </c>
      <c r="D625" t="inlineStr">
        <is>
          <t>JÄMTLANDS LÄN</t>
        </is>
      </c>
      <c r="E625" t="inlineStr">
        <is>
          <t>ÖSTERSUND</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45004-2022</t>
        </is>
      </c>
      <c r="B626" s="1" t="n">
        <v>44840</v>
      </c>
      <c r="C626" s="1" t="n">
        <v>46092</v>
      </c>
      <c r="D626" t="inlineStr">
        <is>
          <t>JÄMTLANDS LÄN</t>
        </is>
      </c>
      <c r="E626" t="inlineStr">
        <is>
          <t>ÖSTERSUND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12352-2025</t>
        </is>
      </c>
      <c r="B627" s="1" t="n">
        <v>45730.36263888889</v>
      </c>
      <c r="C627" s="1" t="n">
        <v>46092</v>
      </c>
      <c r="D627" t="inlineStr">
        <is>
          <t>JÄMTLANDS LÄN</t>
        </is>
      </c>
      <c r="E627" t="inlineStr">
        <is>
          <t>ÖSTERSUND</t>
        </is>
      </c>
      <c r="G627" t="n">
        <v>7.8</v>
      </c>
      <c r="H627" t="n">
        <v>0</v>
      </c>
      <c r="I627" t="n">
        <v>0</v>
      </c>
      <c r="J627" t="n">
        <v>0</v>
      </c>
      <c r="K627" t="n">
        <v>0</v>
      </c>
      <c r="L627" t="n">
        <v>0</v>
      </c>
      <c r="M627" t="n">
        <v>0</v>
      </c>
      <c r="N627" t="n">
        <v>0</v>
      </c>
      <c r="O627" t="n">
        <v>0</v>
      </c>
      <c r="P627" t="n">
        <v>0</v>
      </c>
      <c r="Q627" t="n">
        <v>0</v>
      </c>
      <c r="R627" s="2" t="inlineStr"/>
    </row>
    <row r="628" ht="15" customHeight="1">
      <c r="A628" t="inlineStr">
        <is>
          <t>A 27906-2024</t>
        </is>
      </c>
      <c r="B628" s="1" t="n">
        <v>45475.94585648148</v>
      </c>
      <c r="C628" s="1" t="n">
        <v>46092</v>
      </c>
      <c r="D628" t="inlineStr">
        <is>
          <t>JÄMTLANDS LÄN</t>
        </is>
      </c>
      <c r="E628" t="inlineStr">
        <is>
          <t>ÖSTERSUND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53380-2023</t>
        </is>
      </c>
      <c r="B629" s="1" t="n">
        <v>45223</v>
      </c>
      <c r="C629" s="1" t="n">
        <v>46092</v>
      </c>
      <c r="D629" t="inlineStr">
        <is>
          <t>JÄMTLANDS LÄN</t>
        </is>
      </c>
      <c r="E629" t="inlineStr">
        <is>
          <t>ÖSTERSUND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10116-2025</t>
        </is>
      </c>
      <c r="B630" s="1" t="n">
        <v>45719.59836805556</v>
      </c>
      <c r="C630" s="1" t="n">
        <v>46092</v>
      </c>
      <c r="D630" t="inlineStr">
        <is>
          <t>JÄMTLANDS LÄN</t>
        </is>
      </c>
      <c r="E630" t="inlineStr">
        <is>
          <t>ÖSTERSUND</t>
        </is>
      </c>
      <c r="G630" t="n">
        <v>11.1</v>
      </c>
      <c r="H630" t="n">
        <v>0</v>
      </c>
      <c r="I630" t="n">
        <v>0</v>
      </c>
      <c r="J630" t="n">
        <v>0</v>
      </c>
      <c r="K630" t="n">
        <v>0</v>
      </c>
      <c r="L630" t="n">
        <v>0</v>
      </c>
      <c r="M630" t="n">
        <v>0</v>
      </c>
      <c r="N630" t="n">
        <v>0</v>
      </c>
      <c r="O630" t="n">
        <v>0</v>
      </c>
      <c r="P630" t="n">
        <v>0</v>
      </c>
      <c r="Q630" t="n">
        <v>0</v>
      </c>
      <c r="R630" s="2" t="inlineStr"/>
    </row>
    <row r="631" ht="15" customHeight="1">
      <c r="A631" t="inlineStr">
        <is>
          <t>A 48696-2024</t>
        </is>
      </c>
      <c r="B631" s="1" t="n">
        <v>45593.51123842593</v>
      </c>
      <c r="C631" s="1" t="n">
        <v>46092</v>
      </c>
      <c r="D631" t="inlineStr">
        <is>
          <t>JÄMTLANDS LÄN</t>
        </is>
      </c>
      <c r="E631" t="inlineStr">
        <is>
          <t>ÖSTERSUND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48737-2024</t>
        </is>
      </c>
      <c r="B632" s="1" t="n">
        <v>45593.57327546296</v>
      </c>
      <c r="C632" s="1" t="n">
        <v>46092</v>
      </c>
      <c r="D632" t="inlineStr">
        <is>
          <t>JÄMTLANDS LÄN</t>
        </is>
      </c>
      <c r="E632" t="inlineStr">
        <is>
          <t>ÖSTERSUND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33501-2023</t>
        </is>
      </c>
      <c r="B633" s="1" t="n">
        <v>45118</v>
      </c>
      <c r="C633" s="1" t="n">
        <v>46092</v>
      </c>
      <c r="D633" t="inlineStr">
        <is>
          <t>JÄMTLANDS LÄN</t>
        </is>
      </c>
      <c r="E633" t="inlineStr">
        <is>
          <t>ÖSTERSUND</t>
        </is>
      </c>
      <c r="G633" t="n">
        <v>5.8</v>
      </c>
      <c r="H633" t="n">
        <v>0</v>
      </c>
      <c r="I633" t="n">
        <v>0</v>
      </c>
      <c r="J633" t="n">
        <v>0</v>
      </c>
      <c r="K633" t="n">
        <v>0</v>
      </c>
      <c r="L633" t="n">
        <v>0</v>
      </c>
      <c r="M633" t="n">
        <v>0</v>
      </c>
      <c r="N633" t="n">
        <v>0</v>
      </c>
      <c r="O633" t="n">
        <v>0</v>
      </c>
      <c r="P633" t="n">
        <v>0</v>
      </c>
      <c r="Q633" t="n">
        <v>0</v>
      </c>
      <c r="R633" s="2" t="inlineStr"/>
    </row>
    <row r="634" ht="15" customHeight="1">
      <c r="A634" t="inlineStr">
        <is>
          <t>A 60088-2024</t>
        </is>
      </c>
      <c r="B634" s="1" t="n">
        <v>45642.54847222222</v>
      </c>
      <c r="C634" s="1" t="n">
        <v>46092</v>
      </c>
      <c r="D634" t="inlineStr">
        <is>
          <t>JÄMTLANDS LÄN</t>
        </is>
      </c>
      <c r="E634" t="inlineStr">
        <is>
          <t>ÖSTERSUND</t>
        </is>
      </c>
      <c r="G634" t="n">
        <v>5</v>
      </c>
      <c r="H634" t="n">
        <v>0</v>
      </c>
      <c r="I634" t="n">
        <v>0</v>
      </c>
      <c r="J634" t="n">
        <v>0</v>
      </c>
      <c r="K634" t="n">
        <v>0</v>
      </c>
      <c r="L634" t="n">
        <v>0</v>
      </c>
      <c r="M634" t="n">
        <v>0</v>
      </c>
      <c r="N634" t="n">
        <v>0</v>
      </c>
      <c r="O634" t="n">
        <v>0</v>
      </c>
      <c r="P634" t="n">
        <v>0</v>
      </c>
      <c r="Q634" t="n">
        <v>0</v>
      </c>
      <c r="R634" s="2" t="inlineStr"/>
    </row>
    <row r="635" ht="15" customHeight="1">
      <c r="A635" t="inlineStr">
        <is>
          <t>A 49788-2024</t>
        </is>
      </c>
      <c r="B635" s="1" t="n">
        <v>45597.36623842592</v>
      </c>
      <c r="C635" s="1" t="n">
        <v>46092</v>
      </c>
      <c r="D635" t="inlineStr">
        <is>
          <t>JÄMTLANDS LÄN</t>
        </is>
      </c>
      <c r="E635" t="inlineStr">
        <is>
          <t>ÖSTERSUND</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4901-2025</t>
        </is>
      </c>
      <c r="B636" s="1" t="n">
        <v>45688.67965277778</v>
      </c>
      <c r="C636" s="1" t="n">
        <v>46092</v>
      </c>
      <c r="D636" t="inlineStr">
        <is>
          <t>JÄMTLANDS LÄN</t>
        </is>
      </c>
      <c r="E636" t="inlineStr">
        <is>
          <t>ÖSTERSUND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17709-2024</t>
        </is>
      </c>
      <c r="B637" s="1" t="n">
        <v>45418.4843287037</v>
      </c>
      <c r="C637" s="1" t="n">
        <v>46092</v>
      </c>
      <c r="D637" t="inlineStr">
        <is>
          <t>JÄMTLANDS LÄN</t>
        </is>
      </c>
      <c r="E637" t="inlineStr">
        <is>
          <t>ÖSTERSUND</t>
        </is>
      </c>
      <c r="G637" t="n">
        <v>2.9</v>
      </c>
      <c r="H637" t="n">
        <v>0</v>
      </c>
      <c r="I637" t="n">
        <v>0</v>
      </c>
      <c r="J637" t="n">
        <v>0</v>
      </c>
      <c r="K637" t="n">
        <v>0</v>
      </c>
      <c r="L637" t="n">
        <v>0</v>
      </c>
      <c r="M637" t="n">
        <v>0</v>
      </c>
      <c r="N637" t="n">
        <v>0</v>
      </c>
      <c r="O637" t="n">
        <v>0</v>
      </c>
      <c r="P637" t="n">
        <v>0</v>
      </c>
      <c r="Q637" t="n">
        <v>0</v>
      </c>
      <c r="R637" s="2" t="inlineStr"/>
    </row>
    <row r="638" ht="15" customHeight="1">
      <c r="A638" t="inlineStr">
        <is>
          <t>A 58406-2024</t>
        </is>
      </c>
      <c r="B638" s="1" t="n">
        <v>45634.70898148148</v>
      </c>
      <c r="C638" s="1" t="n">
        <v>46092</v>
      </c>
      <c r="D638" t="inlineStr">
        <is>
          <t>JÄMTLANDS LÄN</t>
        </is>
      </c>
      <c r="E638" t="inlineStr">
        <is>
          <t>ÖSTERSUND</t>
        </is>
      </c>
      <c r="G638" t="n">
        <v>3.8</v>
      </c>
      <c r="H638" t="n">
        <v>0</v>
      </c>
      <c r="I638" t="n">
        <v>0</v>
      </c>
      <c r="J638" t="n">
        <v>0</v>
      </c>
      <c r="K638" t="n">
        <v>0</v>
      </c>
      <c r="L638" t="n">
        <v>0</v>
      </c>
      <c r="M638" t="n">
        <v>0</v>
      </c>
      <c r="N638" t="n">
        <v>0</v>
      </c>
      <c r="O638" t="n">
        <v>0</v>
      </c>
      <c r="P638" t="n">
        <v>0</v>
      </c>
      <c r="Q638" t="n">
        <v>0</v>
      </c>
      <c r="R638" s="2" t="inlineStr"/>
    </row>
    <row r="639" ht="15" customHeight="1">
      <c r="A639" t="inlineStr">
        <is>
          <t>A 51826-2024</t>
        </is>
      </c>
      <c r="B639" s="1" t="n">
        <v>45607.50137731482</v>
      </c>
      <c r="C639" s="1" t="n">
        <v>46092</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13166-2023</t>
        </is>
      </c>
      <c r="B640" s="1" t="n">
        <v>45002</v>
      </c>
      <c r="C640" s="1" t="n">
        <v>46092</v>
      </c>
      <c r="D640" t="inlineStr">
        <is>
          <t>JÄMTLANDS LÄN</t>
        </is>
      </c>
      <c r="E640" t="inlineStr">
        <is>
          <t>ÖSTERSUND</t>
        </is>
      </c>
      <c r="F640" t="inlineStr">
        <is>
          <t>Övriga statliga verk och myndigheter</t>
        </is>
      </c>
      <c r="G640" t="n">
        <v>1</v>
      </c>
      <c r="H640" t="n">
        <v>0</v>
      </c>
      <c r="I640" t="n">
        <v>0</v>
      </c>
      <c r="J640" t="n">
        <v>0</v>
      </c>
      <c r="K640" t="n">
        <v>0</v>
      </c>
      <c r="L640" t="n">
        <v>0</v>
      </c>
      <c r="M640" t="n">
        <v>0</v>
      </c>
      <c r="N640" t="n">
        <v>0</v>
      </c>
      <c r="O640" t="n">
        <v>0</v>
      </c>
      <c r="P640" t="n">
        <v>0</v>
      </c>
      <c r="Q640" t="n">
        <v>0</v>
      </c>
      <c r="R640" s="2" t="inlineStr"/>
    </row>
    <row r="641" ht="15" customHeight="1">
      <c r="A641" t="inlineStr">
        <is>
          <t>A 8423-2023</t>
        </is>
      </c>
      <c r="B641" s="1" t="n">
        <v>44977</v>
      </c>
      <c r="C641" s="1" t="n">
        <v>46092</v>
      </c>
      <c r="D641" t="inlineStr">
        <is>
          <t>JÄMTLANDS LÄN</t>
        </is>
      </c>
      <c r="E641" t="inlineStr">
        <is>
          <t>ÖSTERSUND</t>
        </is>
      </c>
      <c r="F641" t="inlineStr">
        <is>
          <t>Övriga Aktiebolag</t>
        </is>
      </c>
      <c r="G641" t="n">
        <v>53.1</v>
      </c>
      <c r="H641" t="n">
        <v>0</v>
      </c>
      <c r="I641" t="n">
        <v>0</v>
      </c>
      <c r="J641" t="n">
        <v>0</v>
      </c>
      <c r="K641" t="n">
        <v>0</v>
      </c>
      <c r="L641" t="n">
        <v>0</v>
      </c>
      <c r="M641" t="n">
        <v>0</v>
      </c>
      <c r="N641" t="n">
        <v>0</v>
      </c>
      <c r="O641" t="n">
        <v>0</v>
      </c>
      <c r="P641" t="n">
        <v>0</v>
      </c>
      <c r="Q641" t="n">
        <v>0</v>
      </c>
      <c r="R641" s="2" t="inlineStr"/>
    </row>
    <row r="642" ht="15" customHeight="1">
      <c r="A642" t="inlineStr">
        <is>
          <t>A 14831-2025</t>
        </is>
      </c>
      <c r="B642" s="1" t="n">
        <v>45743.37109953703</v>
      </c>
      <c r="C642" s="1" t="n">
        <v>46092</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4500-2025</t>
        </is>
      </c>
      <c r="B643" s="1" t="n">
        <v>45686.6859375</v>
      </c>
      <c r="C643" s="1" t="n">
        <v>46092</v>
      </c>
      <c r="D643" t="inlineStr">
        <is>
          <t>JÄMTLANDS LÄN</t>
        </is>
      </c>
      <c r="E643" t="inlineStr">
        <is>
          <t>ÖSTERSUND</t>
        </is>
      </c>
      <c r="G643" t="n">
        <v>28.4</v>
      </c>
      <c r="H643" t="n">
        <v>0</v>
      </c>
      <c r="I643" t="n">
        <v>0</v>
      </c>
      <c r="J643" t="n">
        <v>0</v>
      </c>
      <c r="K643" t="n">
        <v>0</v>
      </c>
      <c r="L643" t="n">
        <v>0</v>
      </c>
      <c r="M643" t="n">
        <v>0</v>
      </c>
      <c r="N643" t="n">
        <v>0</v>
      </c>
      <c r="O643" t="n">
        <v>0</v>
      </c>
      <c r="P643" t="n">
        <v>0</v>
      </c>
      <c r="Q643" t="n">
        <v>0</v>
      </c>
      <c r="R643" s="2" t="inlineStr"/>
    </row>
    <row r="644" ht="15" customHeight="1">
      <c r="A644" t="inlineStr">
        <is>
          <t>A 4135-2023</t>
        </is>
      </c>
      <c r="B644" s="1" t="n">
        <v>44952</v>
      </c>
      <c r="C644" s="1" t="n">
        <v>46092</v>
      </c>
      <c r="D644" t="inlineStr">
        <is>
          <t>JÄMTLANDS LÄN</t>
        </is>
      </c>
      <c r="E644" t="inlineStr">
        <is>
          <t>ÖSTERSUND</t>
        </is>
      </c>
      <c r="G644" t="n">
        <v>1.3</v>
      </c>
      <c r="H644" t="n">
        <v>0</v>
      </c>
      <c r="I644" t="n">
        <v>0</v>
      </c>
      <c r="J644" t="n">
        <v>0</v>
      </c>
      <c r="K644" t="n">
        <v>0</v>
      </c>
      <c r="L644" t="n">
        <v>0</v>
      </c>
      <c r="M644" t="n">
        <v>0</v>
      </c>
      <c r="N644" t="n">
        <v>0</v>
      </c>
      <c r="O644" t="n">
        <v>0</v>
      </c>
      <c r="P644" t="n">
        <v>0</v>
      </c>
      <c r="Q644" t="n">
        <v>0</v>
      </c>
      <c r="R644" s="2" t="inlineStr"/>
    </row>
    <row r="645" ht="15" customHeight="1">
      <c r="A645" t="inlineStr">
        <is>
          <t>A 42151-2023</t>
        </is>
      </c>
      <c r="B645" s="1" t="n">
        <v>45177.93612268518</v>
      </c>
      <c r="C645" s="1" t="n">
        <v>46092</v>
      </c>
      <c r="D645" t="inlineStr">
        <is>
          <t>JÄMTLANDS LÄN</t>
        </is>
      </c>
      <c r="E645" t="inlineStr">
        <is>
          <t>ÖSTERSUND</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59648-2022</t>
        </is>
      </c>
      <c r="B646" s="1" t="n">
        <v>44907</v>
      </c>
      <c r="C646" s="1" t="n">
        <v>46092</v>
      </c>
      <c r="D646" t="inlineStr">
        <is>
          <t>JÄMTLANDS LÄN</t>
        </is>
      </c>
      <c r="E646" t="inlineStr">
        <is>
          <t>ÖSTERSUND</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29128-2022</t>
        </is>
      </c>
      <c r="B647" s="1" t="n">
        <v>44750</v>
      </c>
      <c r="C647" s="1" t="n">
        <v>46092</v>
      </c>
      <c r="D647" t="inlineStr">
        <is>
          <t>JÄMTLANDS LÄN</t>
        </is>
      </c>
      <c r="E647" t="inlineStr">
        <is>
          <t>ÖSTERSUND</t>
        </is>
      </c>
      <c r="G647" t="n">
        <v>3</v>
      </c>
      <c r="H647" t="n">
        <v>0</v>
      </c>
      <c r="I647" t="n">
        <v>0</v>
      </c>
      <c r="J647" t="n">
        <v>0</v>
      </c>
      <c r="K647" t="n">
        <v>0</v>
      </c>
      <c r="L647" t="n">
        <v>0</v>
      </c>
      <c r="M647" t="n">
        <v>0</v>
      </c>
      <c r="N647" t="n">
        <v>0</v>
      </c>
      <c r="O647" t="n">
        <v>0</v>
      </c>
      <c r="P647" t="n">
        <v>0</v>
      </c>
      <c r="Q647" t="n">
        <v>0</v>
      </c>
      <c r="R647" s="2" t="inlineStr"/>
    </row>
    <row r="648" ht="15" customHeight="1">
      <c r="A648" t="inlineStr">
        <is>
          <t>A 14118-2025</t>
        </is>
      </c>
      <c r="B648" s="1" t="n">
        <v>45740.46325231482</v>
      </c>
      <c r="C648" s="1" t="n">
        <v>46092</v>
      </c>
      <c r="D648" t="inlineStr">
        <is>
          <t>JÄMTLANDS LÄN</t>
        </is>
      </c>
      <c r="E648" t="inlineStr">
        <is>
          <t>ÖSTERSUND</t>
        </is>
      </c>
      <c r="G648" t="n">
        <v>3.6</v>
      </c>
      <c r="H648" t="n">
        <v>0</v>
      </c>
      <c r="I648" t="n">
        <v>0</v>
      </c>
      <c r="J648" t="n">
        <v>0</v>
      </c>
      <c r="K648" t="n">
        <v>0</v>
      </c>
      <c r="L648" t="n">
        <v>0</v>
      </c>
      <c r="M648" t="n">
        <v>0</v>
      </c>
      <c r="N648" t="n">
        <v>0</v>
      </c>
      <c r="O648" t="n">
        <v>0</v>
      </c>
      <c r="P648" t="n">
        <v>0</v>
      </c>
      <c r="Q648" t="n">
        <v>0</v>
      </c>
      <c r="R648" s="2" t="inlineStr"/>
    </row>
    <row r="649" ht="15" customHeight="1">
      <c r="A649" t="inlineStr">
        <is>
          <t>A 44489-2024</t>
        </is>
      </c>
      <c r="B649" s="1" t="n">
        <v>45574.38943287037</v>
      </c>
      <c r="C649" s="1" t="n">
        <v>46092</v>
      </c>
      <c r="D649" t="inlineStr">
        <is>
          <t>JÄMTLANDS LÄN</t>
        </is>
      </c>
      <c r="E649" t="inlineStr">
        <is>
          <t>ÖSTERSUND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7549-2025</t>
        </is>
      </c>
      <c r="B650" s="1" t="n">
        <v>45705.57454861111</v>
      </c>
      <c r="C650" s="1" t="n">
        <v>46092</v>
      </c>
      <c r="D650" t="inlineStr">
        <is>
          <t>JÄMTLANDS LÄN</t>
        </is>
      </c>
      <c r="E650" t="inlineStr">
        <is>
          <t>ÖSTERSUND</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14523-2023</t>
        </is>
      </c>
      <c r="B651" s="1" t="n">
        <v>45012</v>
      </c>
      <c r="C651" s="1" t="n">
        <v>46092</v>
      </c>
      <c r="D651" t="inlineStr">
        <is>
          <t>JÄMTLANDS LÄN</t>
        </is>
      </c>
      <c r="E651" t="inlineStr">
        <is>
          <t>ÖSTERSUND</t>
        </is>
      </c>
      <c r="G651" t="n">
        <v>4.5</v>
      </c>
      <c r="H651" t="n">
        <v>0</v>
      </c>
      <c r="I651" t="n">
        <v>0</v>
      </c>
      <c r="J651" t="n">
        <v>0</v>
      </c>
      <c r="K651" t="n">
        <v>0</v>
      </c>
      <c r="L651" t="n">
        <v>0</v>
      </c>
      <c r="M651" t="n">
        <v>0</v>
      </c>
      <c r="N651" t="n">
        <v>0</v>
      </c>
      <c r="O651" t="n">
        <v>0</v>
      </c>
      <c r="P651" t="n">
        <v>0</v>
      </c>
      <c r="Q651" t="n">
        <v>0</v>
      </c>
      <c r="R651" s="2" t="inlineStr"/>
    </row>
    <row r="652" ht="15" customHeight="1">
      <c r="A652" t="inlineStr">
        <is>
          <t>A 1159-2024</t>
        </is>
      </c>
      <c r="B652" s="1" t="n">
        <v>45302.52006944444</v>
      </c>
      <c r="C652" s="1" t="n">
        <v>46092</v>
      </c>
      <c r="D652" t="inlineStr">
        <is>
          <t>JÄMTLANDS LÄN</t>
        </is>
      </c>
      <c r="E652" t="inlineStr">
        <is>
          <t>ÖSTERSUND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15669-2025</t>
        </is>
      </c>
      <c r="B653" s="1" t="n">
        <v>45748.4396412037</v>
      </c>
      <c r="C653" s="1" t="n">
        <v>46092</v>
      </c>
      <c r="D653" t="inlineStr">
        <is>
          <t>JÄMTLANDS LÄN</t>
        </is>
      </c>
      <c r="E653" t="inlineStr">
        <is>
          <t>ÖSTERSUND</t>
        </is>
      </c>
      <c r="G653" t="n">
        <v>0.9</v>
      </c>
      <c r="H653" t="n">
        <v>0</v>
      </c>
      <c r="I653" t="n">
        <v>0</v>
      </c>
      <c r="J653" t="n">
        <v>0</v>
      </c>
      <c r="K653" t="n">
        <v>0</v>
      </c>
      <c r="L653" t="n">
        <v>0</v>
      </c>
      <c r="M653" t="n">
        <v>0</v>
      </c>
      <c r="N653" t="n">
        <v>0</v>
      </c>
      <c r="O653" t="n">
        <v>0</v>
      </c>
      <c r="P653" t="n">
        <v>0</v>
      </c>
      <c r="Q653" t="n">
        <v>0</v>
      </c>
      <c r="R653" s="2" t="inlineStr"/>
    </row>
    <row r="654" ht="15" customHeight="1">
      <c r="A654" t="inlineStr">
        <is>
          <t>A 3122-2025</t>
        </is>
      </c>
      <c r="B654" s="1" t="n">
        <v>45678</v>
      </c>
      <c r="C654" s="1" t="n">
        <v>46092</v>
      </c>
      <c r="D654" t="inlineStr">
        <is>
          <t>JÄMTLANDS LÄN</t>
        </is>
      </c>
      <c r="E654" t="inlineStr">
        <is>
          <t>ÖSTERSUND</t>
        </is>
      </c>
      <c r="G654" t="n">
        <v>1.3</v>
      </c>
      <c r="H654" t="n">
        <v>0</v>
      </c>
      <c r="I654" t="n">
        <v>0</v>
      </c>
      <c r="J654" t="n">
        <v>0</v>
      </c>
      <c r="K654" t="n">
        <v>0</v>
      </c>
      <c r="L654" t="n">
        <v>0</v>
      </c>
      <c r="M654" t="n">
        <v>0</v>
      </c>
      <c r="N654" t="n">
        <v>0</v>
      </c>
      <c r="O654" t="n">
        <v>0</v>
      </c>
      <c r="P654" t="n">
        <v>0</v>
      </c>
      <c r="Q654" t="n">
        <v>0</v>
      </c>
      <c r="R654" s="2" t="inlineStr"/>
    </row>
    <row r="655" ht="15" customHeight="1">
      <c r="A655" t="inlineStr">
        <is>
          <t>A 60575-2022</t>
        </is>
      </c>
      <c r="B655" s="1" t="n">
        <v>44911.5662037037</v>
      </c>
      <c r="C655" s="1" t="n">
        <v>46092</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53060-2024</t>
        </is>
      </c>
      <c r="B656" s="1" t="n">
        <v>45611.46912037037</v>
      </c>
      <c r="C656" s="1" t="n">
        <v>46092</v>
      </c>
      <c r="D656" t="inlineStr">
        <is>
          <t>JÄMTLANDS LÄN</t>
        </is>
      </c>
      <c r="E656" t="inlineStr">
        <is>
          <t>ÖSTERSUND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23555-2022</t>
        </is>
      </c>
      <c r="B657" s="1" t="n">
        <v>44721</v>
      </c>
      <c r="C657" s="1" t="n">
        <v>46092</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54237-2024</t>
        </is>
      </c>
      <c r="B658" s="1" t="n">
        <v>45616.67833333334</v>
      </c>
      <c r="C658" s="1" t="n">
        <v>46092</v>
      </c>
      <c r="D658" t="inlineStr">
        <is>
          <t>JÄMTLANDS LÄN</t>
        </is>
      </c>
      <c r="E658" t="inlineStr">
        <is>
          <t>ÖSTERSUND</t>
        </is>
      </c>
      <c r="F658" t="inlineStr">
        <is>
          <t>SCA</t>
        </is>
      </c>
      <c r="G658" t="n">
        <v>8.9</v>
      </c>
      <c r="H658" t="n">
        <v>0</v>
      </c>
      <c r="I658" t="n">
        <v>0</v>
      </c>
      <c r="J658" t="n">
        <v>0</v>
      </c>
      <c r="K658" t="n">
        <v>0</v>
      </c>
      <c r="L658" t="n">
        <v>0</v>
      </c>
      <c r="M658" t="n">
        <v>0</v>
      </c>
      <c r="N658" t="n">
        <v>0</v>
      </c>
      <c r="O658" t="n">
        <v>0</v>
      </c>
      <c r="P658" t="n">
        <v>0</v>
      </c>
      <c r="Q658" t="n">
        <v>0</v>
      </c>
      <c r="R658" s="2" t="inlineStr"/>
    </row>
    <row r="659" ht="15" customHeight="1">
      <c r="A659" t="inlineStr">
        <is>
          <t>A 296-2023</t>
        </is>
      </c>
      <c r="B659" s="1" t="n">
        <v>44922</v>
      </c>
      <c r="C659" s="1" t="n">
        <v>46092</v>
      </c>
      <c r="D659" t="inlineStr">
        <is>
          <t>JÄMTLANDS LÄN</t>
        </is>
      </c>
      <c r="E659" t="inlineStr">
        <is>
          <t>ÖSTERSUND</t>
        </is>
      </c>
      <c r="G659" t="n">
        <v>0.8</v>
      </c>
      <c r="H659" t="n">
        <v>0</v>
      </c>
      <c r="I659" t="n">
        <v>0</v>
      </c>
      <c r="J659" t="n">
        <v>0</v>
      </c>
      <c r="K659" t="n">
        <v>0</v>
      </c>
      <c r="L659" t="n">
        <v>0</v>
      </c>
      <c r="M659" t="n">
        <v>0</v>
      </c>
      <c r="N659" t="n">
        <v>0</v>
      </c>
      <c r="O659" t="n">
        <v>0</v>
      </c>
      <c r="P659" t="n">
        <v>0</v>
      </c>
      <c r="Q659" t="n">
        <v>0</v>
      </c>
      <c r="R659" s="2" t="inlineStr"/>
    </row>
    <row r="660" ht="15" customHeight="1">
      <c r="A660" t="inlineStr">
        <is>
          <t>A 17732-2022</t>
        </is>
      </c>
      <c r="B660" s="1" t="n">
        <v>44680.92873842592</v>
      </c>
      <c r="C660" s="1" t="n">
        <v>46092</v>
      </c>
      <c r="D660" t="inlineStr">
        <is>
          <t>JÄMTLANDS LÄN</t>
        </is>
      </c>
      <c r="E660" t="inlineStr">
        <is>
          <t>ÖSTERSUND</t>
        </is>
      </c>
      <c r="G660" t="n">
        <v>5.4</v>
      </c>
      <c r="H660" t="n">
        <v>0</v>
      </c>
      <c r="I660" t="n">
        <v>0</v>
      </c>
      <c r="J660" t="n">
        <v>0</v>
      </c>
      <c r="K660" t="n">
        <v>0</v>
      </c>
      <c r="L660" t="n">
        <v>0</v>
      </c>
      <c r="M660" t="n">
        <v>0</v>
      </c>
      <c r="N660" t="n">
        <v>0</v>
      </c>
      <c r="O660" t="n">
        <v>0</v>
      </c>
      <c r="P660" t="n">
        <v>0</v>
      </c>
      <c r="Q660" t="n">
        <v>0</v>
      </c>
      <c r="R660" s="2" t="inlineStr"/>
    </row>
    <row r="661" ht="15" customHeight="1">
      <c r="A661" t="inlineStr">
        <is>
          <t>A 57589-2024</t>
        </is>
      </c>
      <c r="B661" s="1" t="n">
        <v>45630.49710648148</v>
      </c>
      <c r="C661" s="1" t="n">
        <v>46092</v>
      </c>
      <c r="D661" t="inlineStr">
        <is>
          <t>JÄMTLANDS LÄN</t>
        </is>
      </c>
      <c r="E661" t="inlineStr">
        <is>
          <t>ÖSTERSUND</t>
        </is>
      </c>
      <c r="G661" t="n">
        <v>1.8</v>
      </c>
      <c r="H661" t="n">
        <v>0</v>
      </c>
      <c r="I661" t="n">
        <v>0</v>
      </c>
      <c r="J661" t="n">
        <v>0</v>
      </c>
      <c r="K661" t="n">
        <v>0</v>
      </c>
      <c r="L661" t="n">
        <v>0</v>
      </c>
      <c r="M661" t="n">
        <v>0</v>
      </c>
      <c r="N661" t="n">
        <v>0</v>
      </c>
      <c r="O661" t="n">
        <v>0</v>
      </c>
      <c r="P661" t="n">
        <v>0</v>
      </c>
      <c r="Q661" t="n">
        <v>0</v>
      </c>
      <c r="R661" s="2" t="inlineStr"/>
    </row>
    <row r="662" ht="15" customHeight="1">
      <c r="A662" t="inlineStr">
        <is>
          <t>A 31040-2021</t>
        </is>
      </c>
      <c r="B662" s="1" t="n">
        <v>44368</v>
      </c>
      <c r="C662" s="1" t="n">
        <v>46092</v>
      </c>
      <c r="D662" t="inlineStr">
        <is>
          <t>JÄMTLANDS LÄN</t>
        </is>
      </c>
      <c r="E662" t="inlineStr">
        <is>
          <t>ÖSTERSUND</t>
        </is>
      </c>
      <c r="G662" t="n">
        <v>4.3</v>
      </c>
      <c r="H662" t="n">
        <v>0</v>
      </c>
      <c r="I662" t="n">
        <v>0</v>
      </c>
      <c r="J662" t="n">
        <v>0</v>
      </c>
      <c r="K662" t="n">
        <v>0</v>
      </c>
      <c r="L662" t="n">
        <v>0</v>
      </c>
      <c r="M662" t="n">
        <v>0</v>
      </c>
      <c r="N662" t="n">
        <v>0</v>
      </c>
      <c r="O662" t="n">
        <v>0</v>
      </c>
      <c r="P662" t="n">
        <v>0</v>
      </c>
      <c r="Q662" t="n">
        <v>0</v>
      </c>
      <c r="R662" s="2" t="inlineStr"/>
    </row>
    <row r="663" ht="15" customHeight="1">
      <c r="A663" t="inlineStr">
        <is>
          <t>A 55678-2023</t>
        </is>
      </c>
      <c r="B663" s="1" t="n">
        <v>45239.33032407407</v>
      </c>
      <c r="C663" s="1" t="n">
        <v>46092</v>
      </c>
      <c r="D663" t="inlineStr">
        <is>
          <t>JÄMTLANDS LÄN</t>
        </is>
      </c>
      <c r="E663" t="inlineStr">
        <is>
          <t>ÖSTERSUND</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15659-2021</t>
        </is>
      </c>
      <c r="B664" s="1" t="n">
        <v>44298</v>
      </c>
      <c r="C664" s="1" t="n">
        <v>46092</v>
      </c>
      <c r="D664" t="inlineStr">
        <is>
          <t>JÄMTLANDS LÄN</t>
        </is>
      </c>
      <c r="E664" t="inlineStr">
        <is>
          <t>ÖSTERSUND</t>
        </is>
      </c>
      <c r="G664" t="n">
        <v>13.3</v>
      </c>
      <c r="H664" t="n">
        <v>0</v>
      </c>
      <c r="I664" t="n">
        <v>0</v>
      </c>
      <c r="J664" t="n">
        <v>0</v>
      </c>
      <c r="K664" t="n">
        <v>0</v>
      </c>
      <c r="L664" t="n">
        <v>0</v>
      </c>
      <c r="M664" t="n">
        <v>0</v>
      </c>
      <c r="N664" t="n">
        <v>0</v>
      </c>
      <c r="O664" t="n">
        <v>0</v>
      </c>
      <c r="P664" t="n">
        <v>0</v>
      </c>
      <c r="Q664" t="n">
        <v>0</v>
      </c>
      <c r="R664" s="2" t="inlineStr"/>
    </row>
    <row r="665" ht="15" customHeight="1">
      <c r="A665" t="inlineStr">
        <is>
          <t>A 56847-2024</t>
        </is>
      </c>
      <c r="B665" s="1" t="n">
        <v>45628.53381944444</v>
      </c>
      <c r="C665" s="1" t="n">
        <v>46092</v>
      </c>
      <c r="D665" t="inlineStr">
        <is>
          <t>JÄMTLANDS LÄN</t>
        </is>
      </c>
      <c r="E665" t="inlineStr">
        <is>
          <t>ÖSTERSUND</t>
        </is>
      </c>
      <c r="G665" t="n">
        <v>1.4</v>
      </c>
      <c r="H665" t="n">
        <v>0</v>
      </c>
      <c r="I665" t="n">
        <v>0</v>
      </c>
      <c r="J665" t="n">
        <v>0</v>
      </c>
      <c r="K665" t="n">
        <v>0</v>
      </c>
      <c r="L665" t="n">
        <v>0</v>
      </c>
      <c r="M665" t="n">
        <v>0</v>
      </c>
      <c r="N665" t="n">
        <v>0</v>
      </c>
      <c r="O665" t="n">
        <v>0</v>
      </c>
      <c r="P665" t="n">
        <v>0</v>
      </c>
      <c r="Q665" t="n">
        <v>0</v>
      </c>
      <c r="R665" s="2" t="inlineStr"/>
    </row>
    <row r="666" ht="15" customHeight="1">
      <c r="A666" t="inlineStr">
        <is>
          <t>A 19323-2024</t>
        </is>
      </c>
      <c r="B666" s="1" t="n">
        <v>45428.92486111111</v>
      </c>
      <c r="C666" s="1" t="n">
        <v>46092</v>
      </c>
      <c r="D666" t="inlineStr">
        <is>
          <t>JÄMTLANDS LÄN</t>
        </is>
      </c>
      <c r="E666" t="inlineStr">
        <is>
          <t>ÖSTERSUND</t>
        </is>
      </c>
      <c r="F666" t="inlineStr">
        <is>
          <t>Kommuner</t>
        </is>
      </c>
      <c r="G666" t="n">
        <v>0.2</v>
      </c>
      <c r="H666" t="n">
        <v>0</v>
      </c>
      <c r="I666" t="n">
        <v>0</v>
      </c>
      <c r="J666" t="n">
        <v>0</v>
      </c>
      <c r="K666" t="n">
        <v>0</v>
      </c>
      <c r="L666" t="n">
        <v>0</v>
      </c>
      <c r="M666" t="n">
        <v>0</v>
      </c>
      <c r="N666" t="n">
        <v>0</v>
      </c>
      <c r="O666" t="n">
        <v>0</v>
      </c>
      <c r="P666" t="n">
        <v>0</v>
      </c>
      <c r="Q666" t="n">
        <v>0</v>
      </c>
      <c r="R666" s="2" t="inlineStr"/>
    </row>
    <row r="667" ht="15" customHeight="1">
      <c r="A667" t="inlineStr">
        <is>
          <t>A 7005-2025</t>
        </is>
      </c>
      <c r="B667" s="1" t="n">
        <v>45701.60046296296</v>
      </c>
      <c r="C667" s="1" t="n">
        <v>46092</v>
      </c>
      <c r="D667" t="inlineStr">
        <is>
          <t>JÄMTLANDS LÄN</t>
        </is>
      </c>
      <c r="E667" t="inlineStr">
        <is>
          <t>ÖSTERSUND</t>
        </is>
      </c>
      <c r="G667" t="n">
        <v>3.3</v>
      </c>
      <c r="H667" t="n">
        <v>0</v>
      </c>
      <c r="I667" t="n">
        <v>0</v>
      </c>
      <c r="J667" t="n">
        <v>0</v>
      </c>
      <c r="K667" t="n">
        <v>0</v>
      </c>
      <c r="L667" t="n">
        <v>0</v>
      </c>
      <c r="M667" t="n">
        <v>0</v>
      </c>
      <c r="N667" t="n">
        <v>0</v>
      </c>
      <c r="O667" t="n">
        <v>0</v>
      </c>
      <c r="P667" t="n">
        <v>0</v>
      </c>
      <c r="Q667" t="n">
        <v>0</v>
      </c>
      <c r="R667" s="2" t="inlineStr"/>
    </row>
    <row r="668" ht="15" customHeight="1">
      <c r="A668" t="inlineStr">
        <is>
          <t>A 27294-2023</t>
        </is>
      </c>
      <c r="B668" s="1" t="n">
        <v>45092</v>
      </c>
      <c r="C668" s="1" t="n">
        <v>46092</v>
      </c>
      <c r="D668" t="inlineStr">
        <is>
          <t>JÄMTLANDS LÄN</t>
        </is>
      </c>
      <c r="E668" t="inlineStr">
        <is>
          <t>ÖSTERSUND</t>
        </is>
      </c>
      <c r="G668" t="n">
        <v>2.8</v>
      </c>
      <c r="H668" t="n">
        <v>0</v>
      </c>
      <c r="I668" t="n">
        <v>0</v>
      </c>
      <c r="J668" t="n">
        <v>0</v>
      </c>
      <c r="K668" t="n">
        <v>0</v>
      </c>
      <c r="L668" t="n">
        <v>0</v>
      </c>
      <c r="M668" t="n">
        <v>0</v>
      </c>
      <c r="N668" t="n">
        <v>0</v>
      </c>
      <c r="O668" t="n">
        <v>0</v>
      </c>
      <c r="P668" t="n">
        <v>0</v>
      </c>
      <c r="Q668" t="n">
        <v>0</v>
      </c>
      <c r="R668" s="2" t="inlineStr"/>
    </row>
    <row r="669" ht="15" customHeight="1">
      <c r="A669" t="inlineStr">
        <is>
          <t>A 8389-2025</t>
        </is>
      </c>
      <c r="B669" s="1" t="n">
        <v>45709.36497685185</v>
      </c>
      <c r="C669" s="1" t="n">
        <v>46092</v>
      </c>
      <c r="D669" t="inlineStr">
        <is>
          <t>JÄMTLANDS LÄN</t>
        </is>
      </c>
      <c r="E669" t="inlineStr">
        <is>
          <t>ÖSTERSUND</t>
        </is>
      </c>
      <c r="F669" t="inlineStr">
        <is>
          <t>SCA</t>
        </is>
      </c>
      <c r="G669" t="n">
        <v>6.3</v>
      </c>
      <c r="H669" t="n">
        <v>0</v>
      </c>
      <c r="I669" t="n">
        <v>0</v>
      </c>
      <c r="J669" t="n">
        <v>0</v>
      </c>
      <c r="K669" t="n">
        <v>0</v>
      </c>
      <c r="L669" t="n">
        <v>0</v>
      </c>
      <c r="M669" t="n">
        <v>0</v>
      </c>
      <c r="N669" t="n">
        <v>0</v>
      </c>
      <c r="O669" t="n">
        <v>0</v>
      </c>
      <c r="P669" t="n">
        <v>0</v>
      </c>
      <c r="Q669" t="n">
        <v>0</v>
      </c>
      <c r="R669" s="2" t="inlineStr"/>
    </row>
    <row r="670" ht="15" customHeight="1">
      <c r="A670" t="inlineStr">
        <is>
          <t>A 17570-2025</t>
        </is>
      </c>
      <c r="B670" s="1" t="n">
        <v>45757.64563657407</v>
      </c>
      <c r="C670" s="1" t="n">
        <v>46092</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41280-2024</t>
        </is>
      </c>
      <c r="B671" s="1" t="n">
        <v>45559.59476851852</v>
      </c>
      <c r="C671" s="1" t="n">
        <v>46092</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12429-2025</t>
        </is>
      </c>
      <c r="B672" s="1" t="n">
        <v>45730.45930555555</v>
      </c>
      <c r="C672" s="1" t="n">
        <v>46092</v>
      </c>
      <c r="D672" t="inlineStr">
        <is>
          <t>JÄMTLANDS LÄN</t>
        </is>
      </c>
      <c r="E672" t="inlineStr">
        <is>
          <t>ÖSTERSUND</t>
        </is>
      </c>
      <c r="F672" t="inlineStr">
        <is>
          <t>Övriga Aktiebolag</t>
        </is>
      </c>
      <c r="G672" t="n">
        <v>4.4</v>
      </c>
      <c r="H672" t="n">
        <v>0</v>
      </c>
      <c r="I672" t="n">
        <v>0</v>
      </c>
      <c r="J672" t="n">
        <v>0</v>
      </c>
      <c r="K672" t="n">
        <v>0</v>
      </c>
      <c r="L672" t="n">
        <v>0</v>
      </c>
      <c r="M672" t="n">
        <v>0</v>
      </c>
      <c r="N672" t="n">
        <v>0</v>
      </c>
      <c r="O672" t="n">
        <v>0</v>
      </c>
      <c r="P672" t="n">
        <v>0</v>
      </c>
      <c r="Q672" t="n">
        <v>0</v>
      </c>
      <c r="R672" s="2" t="inlineStr"/>
    </row>
    <row r="673" ht="15" customHeight="1">
      <c r="A673" t="inlineStr">
        <is>
          <t>A 19581-2025</t>
        </is>
      </c>
      <c r="B673" s="1" t="n">
        <v>45770.56363425926</v>
      </c>
      <c r="C673" s="1" t="n">
        <v>46092</v>
      </c>
      <c r="D673" t="inlineStr">
        <is>
          <t>JÄMTLANDS LÄN</t>
        </is>
      </c>
      <c r="E673" t="inlineStr">
        <is>
          <t>ÖSTERSUND</t>
        </is>
      </c>
      <c r="G673" t="n">
        <v>17.2</v>
      </c>
      <c r="H673" t="n">
        <v>0</v>
      </c>
      <c r="I673" t="n">
        <v>0</v>
      </c>
      <c r="J673" t="n">
        <v>0</v>
      </c>
      <c r="K673" t="n">
        <v>0</v>
      </c>
      <c r="L673" t="n">
        <v>0</v>
      </c>
      <c r="M673" t="n">
        <v>0</v>
      </c>
      <c r="N673" t="n">
        <v>0</v>
      </c>
      <c r="O673" t="n">
        <v>0</v>
      </c>
      <c r="P673" t="n">
        <v>0</v>
      </c>
      <c r="Q673" t="n">
        <v>0</v>
      </c>
      <c r="R673" s="2" t="inlineStr"/>
    </row>
    <row r="674" ht="15" customHeight="1">
      <c r="A674" t="inlineStr">
        <is>
          <t>A 24312-2021</t>
        </is>
      </c>
      <c r="B674" s="1" t="n">
        <v>44336</v>
      </c>
      <c r="C674" s="1" t="n">
        <v>46092</v>
      </c>
      <c r="D674" t="inlineStr">
        <is>
          <t>JÄMTLANDS LÄN</t>
        </is>
      </c>
      <c r="E674" t="inlineStr">
        <is>
          <t>ÖSTERSUND</t>
        </is>
      </c>
      <c r="G674" t="n">
        <v>10.6</v>
      </c>
      <c r="H674" t="n">
        <v>0</v>
      </c>
      <c r="I674" t="n">
        <v>0</v>
      </c>
      <c r="J674" t="n">
        <v>0</v>
      </c>
      <c r="K674" t="n">
        <v>0</v>
      </c>
      <c r="L674" t="n">
        <v>0</v>
      </c>
      <c r="M674" t="n">
        <v>0</v>
      </c>
      <c r="N674" t="n">
        <v>0</v>
      </c>
      <c r="O674" t="n">
        <v>0</v>
      </c>
      <c r="P674" t="n">
        <v>0</v>
      </c>
      <c r="Q674" t="n">
        <v>0</v>
      </c>
      <c r="R674" s="2" t="inlineStr"/>
    </row>
    <row r="675" ht="15" customHeight="1">
      <c r="A675" t="inlineStr">
        <is>
          <t>A 38926-2024</t>
        </is>
      </c>
      <c r="B675" s="1" t="n">
        <v>45547.90777777778</v>
      </c>
      <c r="C675" s="1" t="n">
        <v>46092</v>
      </c>
      <c r="D675" t="inlineStr">
        <is>
          <t>JÄMTLANDS LÄN</t>
        </is>
      </c>
      <c r="E675" t="inlineStr">
        <is>
          <t>ÖSTERSUND</t>
        </is>
      </c>
      <c r="G675" t="n">
        <v>0.4</v>
      </c>
      <c r="H675" t="n">
        <v>0</v>
      </c>
      <c r="I675" t="n">
        <v>0</v>
      </c>
      <c r="J675" t="n">
        <v>0</v>
      </c>
      <c r="K675" t="n">
        <v>0</v>
      </c>
      <c r="L675" t="n">
        <v>0</v>
      </c>
      <c r="M675" t="n">
        <v>0</v>
      </c>
      <c r="N675" t="n">
        <v>0</v>
      </c>
      <c r="O675" t="n">
        <v>0</v>
      </c>
      <c r="P675" t="n">
        <v>0</v>
      </c>
      <c r="Q675" t="n">
        <v>0</v>
      </c>
      <c r="R675" s="2" t="inlineStr"/>
    </row>
    <row r="676" ht="15" customHeight="1">
      <c r="A676" t="inlineStr">
        <is>
          <t>A 55064-2024</t>
        </is>
      </c>
      <c r="B676" s="1" t="n">
        <v>45621.41050925926</v>
      </c>
      <c r="C676" s="1" t="n">
        <v>46092</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41802-2021</t>
        </is>
      </c>
      <c r="B677" s="1" t="n">
        <v>44425</v>
      </c>
      <c r="C677" s="1" t="n">
        <v>46092</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4063-2025</t>
        </is>
      </c>
      <c r="B678" s="1" t="n">
        <v>45684</v>
      </c>
      <c r="C678" s="1" t="n">
        <v>46092</v>
      </c>
      <c r="D678" t="inlineStr">
        <is>
          <t>JÄMTLANDS LÄN</t>
        </is>
      </c>
      <c r="E678" t="inlineStr">
        <is>
          <t>ÖSTERSUND</t>
        </is>
      </c>
      <c r="G678" t="n">
        <v>2.9</v>
      </c>
      <c r="H678" t="n">
        <v>0</v>
      </c>
      <c r="I678" t="n">
        <v>0</v>
      </c>
      <c r="J678" t="n">
        <v>0</v>
      </c>
      <c r="K678" t="n">
        <v>0</v>
      </c>
      <c r="L678" t="n">
        <v>0</v>
      </c>
      <c r="M678" t="n">
        <v>0</v>
      </c>
      <c r="N678" t="n">
        <v>0</v>
      </c>
      <c r="O678" t="n">
        <v>0</v>
      </c>
      <c r="P678" t="n">
        <v>0</v>
      </c>
      <c r="Q678" t="n">
        <v>0</v>
      </c>
      <c r="R678" s="2" t="inlineStr"/>
    </row>
    <row r="679" ht="15" customHeight="1">
      <c r="A679" t="inlineStr">
        <is>
          <t>A 7224-2024</t>
        </is>
      </c>
      <c r="B679" s="1" t="n">
        <v>45344</v>
      </c>
      <c r="C679" s="1" t="n">
        <v>46092</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62222-2022</t>
        </is>
      </c>
      <c r="B680" s="1" t="n">
        <v>44922</v>
      </c>
      <c r="C680" s="1" t="n">
        <v>46092</v>
      </c>
      <c r="D680" t="inlineStr">
        <is>
          <t>JÄMTLANDS LÄN</t>
        </is>
      </c>
      <c r="E680" t="inlineStr">
        <is>
          <t>ÖSTERSUND</t>
        </is>
      </c>
      <c r="G680" t="n">
        <v>4.1</v>
      </c>
      <c r="H680" t="n">
        <v>0</v>
      </c>
      <c r="I680" t="n">
        <v>0</v>
      </c>
      <c r="J680" t="n">
        <v>0</v>
      </c>
      <c r="K680" t="n">
        <v>0</v>
      </c>
      <c r="L680" t="n">
        <v>0</v>
      </c>
      <c r="M680" t="n">
        <v>0</v>
      </c>
      <c r="N680" t="n">
        <v>0</v>
      </c>
      <c r="O680" t="n">
        <v>0</v>
      </c>
      <c r="P680" t="n">
        <v>0</v>
      </c>
      <c r="Q680" t="n">
        <v>0</v>
      </c>
      <c r="R680" s="2" t="inlineStr"/>
    </row>
    <row r="681" ht="15" customHeight="1">
      <c r="A681" t="inlineStr">
        <is>
          <t>A 47804-2024</t>
        </is>
      </c>
      <c r="B681" s="1" t="n">
        <v>45588.61498842593</v>
      </c>
      <c r="C681" s="1" t="n">
        <v>46092</v>
      </c>
      <c r="D681" t="inlineStr">
        <is>
          <t>JÄMTLANDS LÄN</t>
        </is>
      </c>
      <c r="E681" t="inlineStr">
        <is>
          <t>ÖSTERSUND</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50218-2024</t>
        </is>
      </c>
      <c r="B682" s="1" t="n">
        <v>45600.53160879629</v>
      </c>
      <c r="C682" s="1" t="n">
        <v>46092</v>
      </c>
      <c r="D682" t="inlineStr">
        <is>
          <t>JÄMTLANDS LÄN</t>
        </is>
      </c>
      <c r="E682" t="inlineStr">
        <is>
          <t>ÖSTERSUND</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60780-2023</t>
        </is>
      </c>
      <c r="B683" s="1" t="n">
        <v>45260</v>
      </c>
      <c r="C683" s="1" t="n">
        <v>46092</v>
      </c>
      <c r="D683" t="inlineStr">
        <is>
          <t>JÄMTLANDS LÄN</t>
        </is>
      </c>
      <c r="E683" t="inlineStr">
        <is>
          <t>ÖSTERSUND</t>
        </is>
      </c>
      <c r="G683" t="n">
        <v>3.7</v>
      </c>
      <c r="H683" t="n">
        <v>0</v>
      </c>
      <c r="I683" t="n">
        <v>0</v>
      </c>
      <c r="J683" t="n">
        <v>0</v>
      </c>
      <c r="K683" t="n">
        <v>0</v>
      </c>
      <c r="L683" t="n">
        <v>0</v>
      </c>
      <c r="M683" t="n">
        <v>0</v>
      </c>
      <c r="N683" t="n">
        <v>0</v>
      </c>
      <c r="O683" t="n">
        <v>0</v>
      </c>
      <c r="P683" t="n">
        <v>0</v>
      </c>
      <c r="Q683" t="n">
        <v>0</v>
      </c>
      <c r="R683" s="2" t="inlineStr"/>
    </row>
    <row r="684" ht="15" customHeight="1">
      <c r="A684" t="inlineStr">
        <is>
          <t>A 60794-2023</t>
        </is>
      </c>
      <c r="B684" s="1" t="n">
        <v>45260</v>
      </c>
      <c r="C684" s="1" t="n">
        <v>46092</v>
      </c>
      <c r="D684" t="inlineStr">
        <is>
          <t>JÄMTLANDS LÄN</t>
        </is>
      </c>
      <c r="E684" t="inlineStr">
        <is>
          <t>ÖSTERSUND</t>
        </is>
      </c>
      <c r="G684" t="n">
        <v>3.6</v>
      </c>
      <c r="H684" t="n">
        <v>0</v>
      </c>
      <c r="I684" t="n">
        <v>0</v>
      </c>
      <c r="J684" t="n">
        <v>0</v>
      </c>
      <c r="K684" t="n">
        <v>0</v>
      </c>
      <c r="L684" t="n">
        <v>0</v>
      </c>
      <c r="M684" t="n">
        <v>0</v>
      </c>
      <c r="N684" t="n">
        <v>0</v>
      </c>
      <c r="O684" t="n">
        <v>0</v>
      </c>
      <c r="P684" t="n">
        <v>0</v>
      </c>
      <c r="Q684" t="n">
        <v>0</v>
      </c>
      <c r="R684" s="2" t="inlineStr"/>
    </row>
    <row r="685" ht="15" customHeight="1">
      <c r="A685" t="inlineStr">
        <is>
          <t>A 11877-2024</t>
        </is>
      </c>
      <c r="B685" s="1" t="n">
        <v>45376</v>
      </c>
      <c r="C685" s="1" t="n">
        <v>46092</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53714-2022</t>
        </is>
      </c>
      <c r="B686" s="1" t="n">
        <v>44880</v>
      </c>
      <c r="C686" s="1" t="n">
        <v>46092</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52128-2023</t>
        </is>
      </c>
      <c r="B687" s="1" t="n">
        <v>45223</v>
      </c>
      <c r="C687" s="1" t="n">
        <v>46092</v>
      </c>
      <c r="D687" t="inlineStr">
        <is>
          <t>JÄMTLANDS LÄN</t>
        </is>
      </c>
      <c r="E687" t="inlineStr">
        <is>
          <t>ÖSTERSUND</t>
        </is>
      </c>
      <c r="F687" t="inlineStr">
        <is>
          <t>SCA</t>
        </is>
      </c>
      <c r="G687" t="n">
        <v>11.9</v>
      </c>
      <c r="H687" t="n">
        <v>0</v>
      </c>
      <c r="I687" t="n">
        <v>0</v>
      </c>
      <c r="J687" t="n">
        <v>0</v>
      </c>
      <c r="K687" t="n">
        <v>0</v>
      </c>
      <c r="L687" t="n">
        <v>0</v>
      </c>
      <c r="M687" t="n">
        <v>0</v>
      </c>
      <c r="N687" t="n">
        <v>0</v>
      </c>
      <c r="O687" t="n">
        <v>0</v>
      </c>
      <c r="P687" t="n">
        <v>0</v>
      </c>
      <c r="Q687" t="n">
        <v>0</v>
      </c>
      <c r="R687" s="2" t="inlineStr"/>
    </row>
    <row r="688" ht="15" customHeight="1">
      <c r="A688" t="inlineStr">
        <is>
          <t>A 44013-2021</t>
        </is>
      </c>
      <c r="B688" s="1" t="n">
        <v>44434</v>
      </c>
      <c r="C688" s="1" t="n">
        <v>46092</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8003-2025</t>
        </is>
      </c>
      <c r="B689" s="1" t="n">
        <v>45707</v>
      </c>
      <c r="C689" s="1" t="n">
        <v>46092</v>
      </c>
      <c r="D689" t="inlineStr">
        <is>
          <t>JÄMTLANDS LÄN</t>
        </is>
      </c>
      <c r="E689" t="inlineStr">
        <is>
          <t>ÖSTERSUND</t>
        </is>
      </c>
      <c r="F689" t="inlineStr">
        <is>
          <t>Övriga Aktiebolag</t>
        </is>
      </c>
      <c r="G689" t="n">
        <v>35.1</v>
      </c>
      <c r="H689" t="n">
        <v>0</v>
      </c>
      <c r="I689" t="n">
        <v>0</v>
      </c>
      <c r="J689" t="n">
        <v>0</v>
      </c>
      <c r="K689" t="n">
        <v>0</v>
      </c>
      <c r="L689" t="n">
        <v>0</v>
      </c>
      <c r="M689" t="n">
        <v>0</v>
      </c>
      <c r="N689" t="n">
        <v>0</v>
      </c>
      <c r="O689" t="n">
        <v>0</v>
      </c>
      <c r="P689" t="n">
        <v>0</v>
      </c>
      <c r="Q689" t="n">
        <v>0</v>
      </c>
      <c r="R689" s="2" t="inlineStr"/>
    </row>
    <row r="690" ht="15" customHeight="1">
      <c r="A690" t="inlineStr">
        <is>
          <t>A 12285-2022</t>
        </is>
      </c>
      <c r="B690" s="1" t="n">
        <v>44637</v>
      </c>
      <c r="C690" s="1" t="n">
        <v>46092</v>
      </c>
      <c r="D690" t="inlineStr">
        <is>
          <t>JÄMTLANDS LÄN</t>
        </is>
      </c>
      <c r="E690" t="inlineStr">
        <is>
          <t>ÖSTERSUND</t>
        </is>
      </c>
      <c r="G690" t="n">
        <v>1.4</v>
      </c>
      <c r="H690" t="n">
        <v>0</v>
      </c>
      <c r="I690" t="n">
        <v>0</v>
      </c>
      <c r="J690" t="n">
        <v>0</v>
      </c>
      <c r="K690" t="n">
        <v>0</v>
      </c>
      <c r="L690" t="n">
        <v>0</v>
      </c>
      <c r="M690" t="n">
        <v>0</v>
      </c>
      <c r="N690" t="n">
        <v>0</v>
      </c>
      <c r="O690" t="n">
        <v>0</v>
      </c>
      <c r="P690" t="n">
        <v>0</v>
      </c>
      <c r="Q690" t="n">
        <v>0</v>
      </c>
      <c r="R690" s="2" t="inlineStr"/>
    </row>
    <row r="691" ht="15" customHeight="1">
      <c r="A691" t="inlineStr">
        <is>
          <t>A 25385-2024</t>
        </is>
      </c>
      <c r="B691" s="1" t="n">
        <v>45462.96347222223</v>
      </c>
      <c r="C691" s="1" t="n">
        <v>46092</v>
      </c>
      <c r="D691" t="inlineStr">
        <is>
          <t>JÄMTLANDS LÄN</t>
        </is>
      </c>
      <c r="E691" t="inlineStr">
        <is>
          <t>ÖSTERSUND</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8027-2022</t>
        </is>
      </c>
      <c r="B692" s="1" t="n">
        <v>44609</v>
      </c>
      <c r="C692" s="1" t="n">
        <v>46092</v>
      </c>
      <c r="D692" t="inlineStr">
        <is>
          <t>JÄMTLANDS LÄN</t>
        </is>
      </c>
      <c r="E692" t="inlineStr">
        <is>
          <t>ÖSTERSUND</t>
        </is>
      </c>
      <c r="G692" t="n">
        <v>1.6</v>
      </c>
      <c r="H692" t="n">
        <v>0</v>
      </c>
      <c r="I692" t="n">
        <v>0</v>
      </c>
      <c r="J692" t="n">
        <v>0</v>
      </c>
      <c r="K692" t="n">
        <v>0</v>
      </c>
      <c r="L692" t="n">
        <v>0</v>
      </c>
      <c r="M692" t="n">
        <v>0</v>
      </c>
      <c r="N692" t="n">
        <v>0</v>
      </c>
      <c r="O692" t="n">
        <v>0</v>
      </c>
      <c r="P692" t="n">
        <v>0</v>
      </c>
      <c r="Q692" t="n">
        <v>0</v>
      </c>
      <c r="R692" s="2" t="inlineStr"/>
    </row>
    <row r="693" ht="15" customHeight="1">
      <c r="A693" t="inlineStr">
        <is>
          <t>A 11933-2022</t>
        </is>
      </c>
      <c r="B693" s="1" t="n">
        <v>44635</v>
      </c>
      <c r="C693" s="1" t="n">
        <v>46092</v>
      </c>
      <c r="D693" t="inlineStr">
        <is>
          <t>JÄMTLANDS LÄN</t>
        </is>
      </c>
      <c r="E693" t="inlineStr">
        <is>
          <t>ÖSTERSUND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2753-2025</t>
        </is>
      </c>
      <c r="B694" s="1" t="n">
        <v>45677.47302083333</v>
      </c>
      <c r="C694" s="1" t="n">
        <v>46092</v>
      </c>
      <c r="D694" t="inlineStr">
        <is>
          <t>JÄMTLANDS LÄN</t>
        </is>
      </c>
      <c r="E694" t="inlineStr">
        <is>
          <t>ÖSTERSUND</t>
        </is>
      </c>
      <c r="G694" t="n">
        <v>6.4</v>
      </c>
      <c r="H694" t="n">
        <v>0</v>
      </c>
      <c r="I694" t="n">
        <v>0</v>
      </c>
      <c r="J694" t="n">
        <v>0</v>
      </c>
      <c r="K694" t="n">
        <v>0</v>
      </c>
      <c r="L694" t="n">
        <v>0</v>
      </c>
      <c r="M694" t="n">
        <v>0</v>
      </c>
      <c r="N694" t="n">
        <v>0</v>
      </c>
      <c r="O694" t="n">
        <v>0</v>
      </c>
      <c r="P694" t="n">
        <v>0</v>
      </c>
      <c r="Q694" t="n">
        <v>0</v>
      </c>
      <c r="R694" s="2" t="inlineStr"/>
    </row>
    <row r="695" ht="15" customHeight="1">
      <c r="A695" t="inlineStr">
        <is>
          <t>A 36406-2023</t>
        </is>
      </c>
      <c r="B695" s="1" t="n">
        <v>45149</v>
      </c>
      <c r="C695" s="1" t="n">
        <v>46092</v>
      </c>
      <c r="D695" t="inlineStr">
        <is>
          <t>JÄMTLANDS LÄN</t>
        </is>
      </c>
      <c r="E695" t="inlineStr">
        <is>
          <t>ÖSTERSUND</t>
        </is>
      </c>
      <c r="G695" t="n">
        <v>2.4</v>
      </c>
      <c r="H695" t="n">
        <v>0</v>
      </c>
      <c r="I695" t="n">
        <v>0</v>
      </c>
      <c r="J695" t="n">
        <v>0</v>
      </c>
      <c r="K695" t="n">
        <v>0</v>
      </c>
      <c r="L695" t="n">
        <v>0</v>
      </c>
      <c r="M695" t="n">
        <v>0</v>
      </c>
      <c r="N695" t="n">
        <v>0</v>
      </c>
      <c r="O695" t="n">
        <v>0</v>
      </c>
      <c r="P695" t="n">
        <v>0</v>
      </c>
      <c r="Q695" t="n">
        <v>0</v>
      </c>
      <c r="R695" s="2" t="inlineStr"/>
    </row>
    <row r="696" ht="15" customHeight="1">
      <c r="A696" t="inlineStr">
        <is>
          <t>A 20400-2024</t>
        </is>
      </c>
      <c r="B696" s="1" t="n">
        <v>45435.55372685185</v>
      </c>
      <c r="C696" s="1" t="n">
        <v>46092</v>
      </c>
      <c r="D696" t="inlineStr">
        <is>
          <t>JÄMTLANDS LÄN</t>
        </is>
      </c>
      <c r="E696" t="inlineStr">
        <is>
          <t>ÖSTERSUND</t>
        </is>
      </c>
      <c r="G696" t="n">
        <v>0.9</v>
      </c>
      <c r="H696" t="n">
        <v>0</v>
      </c>
      <c r="I696" t="n">
        <v>0</v>
      </c>
      <c r="J696" t="n">
        <v>0</v>
      </c>
      <c r="K696" t="n">
        <v>0</v>
      </c>
      <c r="L696" t="n">
        <v>0</v>
      </c>
      <c r="M696" t="n">
        <v>0</v>
      </c>
      <c r="N696" t="n">
        <v>0</v>
      </c>
      <c r="O696" t="n">
        <v>0</v>
      </c>
      <c r="P696" t="n">
        <v>0</v>
      </c>
      <c r="Q696" t="n">
        <v>0</v>
      </c>
      <c r="R696" s="2" t="inlineStr"/>
    </row>
    <row r="697" ht="15" customHeight="1">
      <c r="A697" t="inlineStr">
        <is>
          <t>A 20588-2023</t>
        </is>
      </c>
      <c r="B697" s="1" t="n">
        <v>45057</v>
      </c>
      <c r="C697" s="1" t="n">
        <v>46092</v>
      </c>
      <c r="D697" t="inlineStr">
        <is>
          <t>JÄMTLANDS LÄN</t>
        </is>
      </c>
      <c r="E697" t="inlineStr">
        <is>
          <t>ÖSTERSUND</t>
        </is>
      </c>
      <c r="G697" t="n">
        <v>0.9</v>
      </c>
      <c r="H697" t="n">
        <v>0</v>
      </c>
      <c r="I697" t="n">
        <v>0</v>
      </c>
      <c r="J697" t="n">
        <v>0</v>
      </c>
      <c r="K697" t="n">
        <v>0</v>
      </c>
      <c r="L697" t="n">
        <v>0</v>
      </c>
      <c r="M697" t="n">
        <v>0</v>
      </c>
      <c r="N697" t="n">
        <v>0</v>
      </c>
      <c r="O697" t="n">
        <v>0</v>
      </c>
      <c r="P697" t="n">
        <v>0</v>
      </c>
      <c r="Q697" t="n">
        <v>0</v>
      </c>
      <c r="R697" s="2" t="inlineStr"/>
    </row>
    <row r="698" ht="15" customHeight="1">
      <c r="A698" t="inlineStr">
        <is>
          <t>A 27689-2024</t>
        </is>
      </c>
      <c r="B698" s="1" t="n">
        <v>45475.3378125</v>
      </c>
      <c r="C698" s="1" t="n">
        <v>46092</v>
      </c>
      <c r="D698" t="inlineStr">
        <is>
          <t>JÄMTLANDS LÄN</t>
        </is>
      </c>
      <c r="E698" t="inlineStr">
        <is>
          <t>ÖSTERSUND</t>
        </is>
      </c>
      <c r="G698" t="n">
        <v>0.6</v>
      </c>
      <c r="H698" t="n">
        <v>0</v>
      </c>
      <c r="I698" t="n">
        <v>0</v>
      </c>
      <c r="J698" t="n">
        <v>0</v>
      </c>
      <c r="K698" t="n">
        <v>0</v>
      </c>
      <c r="L698" t="n">
        <v>0</v>
      </c>
      <c r="M698" t="n">
        <v>0</v>
      </c>
      <c r="N698" t="n">
        <v>0</v>
      </c>
      <c r="O698" t="n">
        <v>0</v>
      </c>
      <c r="P698" t="n">
        <v>0</v>
      </c>
      <c r="Q698" t="n">
        <v>0</v>
      </c>
      <c r="R698" s="2" t="inlineStr"/>
    </row>
    <row r="699" ht="15" customHeight="1">
      <c r="A699" t="inlineStr">
        <is>
          <t>A 51818-2024</t>
        </is>
      </c>
      <c r="B699" s="1" t="n">
        <v>45607.49265046296</v>
      </c>
      <c r="C699" s="1" t="n">
        <v>46092</v>
      </c>
      <c r="D699" t="inlineStr">
        <is>
          <t>JÄMTLANDS LÄN</t>
        </is>
      </c>
      <c r="E699" t="inlineStr">
        <is>
          <t>ÖSTERSUND</t>
        </is>
      </c>
      <c r="G699" t="n">
        <v>4.6</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45221.92429398148</v>
      </c>
      <c r="C700" s="1" t="n">
        <v>46092</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2978-2024</t>
        </is>
      </c>
      <c r="B701" s="1" t="n">
        <v>45315</v>
      </c>
      <c r="C701" s="1" t="n">
        <v>46092</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28181-2024</t>
        </is>
      </c>
      <c r="B702" s="1" t="n">
        <v>45477.28482638889</v>
      </c>
      <c r="C702" s="1" t="n">
        <v>46092</v>
      </c>
      <c r="D702" t="inlineStr">
        <is>
          <t>JÄMTLANDS LÄN</t>
        </is>
      </c>
      <c r="E702" t="inlineStr">
        <is>
          <t>ÖSTERSUND</t>
        </is>
      </c>
      <c r="G702" t="n">
        <v>0.7</v>
      </c>
      <c r="H702" t="n">
        <v>0</v>
      </c>
      <c r="I702" t="n">
        <v>0</v>
      </c>
      <c r="J702" t="n">
        <v>0</v>
      </c>
      <c r="K702" t="n">
        <v>0</v>
      </c>
      <c r="L702" t="n">
        <v>0</v>
      </c>
      <c r="M702" t="n">
        <v>0</v>
      </c>
      <c r="N702" t="n">
        <v>0</v>
      </c>
      <c r="O702" t="n">
        <v>0</v>
      </c>
      <c r="P702" t="n">
        <v>0</v>
      </c>
      <c r="Q702" t="n">
        <v>0</v>
      </c>
      <c r="R702" s="2" t="inlineStr"/>
    </row>
    <row r="703" ht="15" customHeight="1">
      <c r="A703" t="inlineStr">
        <is>
          <t>A 61002-2024</t>
        </is>
      </c>
      <c r="B703" s="1" t="n">
        <v>45645.44158564815</v>
      </c>
      <c r="C703" s="1" t="n">
        <v>46092</v>
      </c>
      <c r="D703" t="inlineStr">
        <is>
          <t>JÄMTLANDS LÄN</t>
        </is>
      </c>
      <c r="E703" t="inlineStr">
        <is>
          <t>ÖSTERSUND</t>
        </is>
      </c>
      <c r="G703" t="n">
        <v>4.1</v>
      </c>
      <c r="H703" t="n">
        <v>0</v>
      </c>
      <c r="I703" t="n">
        <v>0</v>
      </c>
      <c r="J703" t="n">
        <v>0</v>
      </c>
      <c r="K703" t="n">
        <v>0</v>
      </c>
      <c r="L703" t="n">
        <v>0</v>
      </c>
      <c r="M703" t="n">
        <v>0</v>
      </c>
      <c r="N703" t="n">
        <v>0</v>
      </c>
      <c r="O703" t="n">
        <v>0</v>
      </c>
      <c r="P703" t="n">
        <v>0</v>
      </c>
      <c r="Q703" t="n">
        <v>0</v>
      </c>
      <c r="R703" s="2" t="inlineStr"/>
    </row>
    <row r="704" ht="15" customHeight="1">
      <c r="A704" t="inlineStr">
        <is>
          <t>A 39493-2023</t>
        </is>
      </c>
      <c r="B704" s="1" t="n">
        <v>45166.9569675926</v>
      </c>
      <c r="C704" s="1" t="n">
        <v>46092</v>
      </c>
      <c r="D704" t="inlineStr">
        <is>
          <t>JÄMTLANDS LÄN</t>
        </is>
      </c>
      <c r="E704" t="inlineStr">
        <is>
          <t>ÖSTERSUND</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54883-2023</t>
        </is>
      </c>
      <c r="B705" s="1" t="n">
        <v>45236.62300925926</v>
      </c>
      <c r="C705" s="1" t="n">
        <v>46092</v>
      </c>
      <c r="D705" t="inlineStr">
        <is>
          <t>JÄMTLANDS LÄN</t>
        </is>
      </c>
      <c r="E705" t="inlineStr">
        <is>
          <t>ÖSTERSUND</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2730-2025</t>
        </is>
      </c>
      <c r="B706" s="1" t="n">
        <v>45677.44393518518</v>
      </c>
      <c r="C706" s="1" t="n">
        <v>46092</v>
      </c>
      <c r="D706" t="inlineStr">
        <is>
          <t>JÄMTLANDS LÄN</t>
        </is>
      </c>
      <c r="E706" t="inlineStr">
        <is>
          <t>ÖSTERSUND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62225-2022</t>
        </is>
      </c>
      <c r="B707" s="1" t="n">
        <v>44922</v>
      </c>
      <c r="C707" s="1" t="n">
        <v>46092</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8216-2025</t>
        </is>
      </c>
      <c r="B708" s="1" t="n">
        <v>45708.44947916667</v>
      </c>
      <c r="C708" s="1" t="n">
        <v>46092</v>
      </c>
      <c r="D708" t="inlineStr">
        <is>
          <t>JÄMTLANDS LÄN</t>
        </is>
      </c>
      <c r="E708" t="inlineStr">
        <is>
          <t>ÖSTERSUND</t>
        </is>
      </c>
      <c r="F708" t="inlineStr">
        <is>
          <t>Övriga Aktiebolag</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20634-2023</t>
        </is>
      </c>
      <c r="B709" s="1" t="n">
        <v>45057.9441087963</v>
      </c>
      <c r="C709" s="1" t="n">
        <v>46092</v>
      </c>
      <c r="D709" t="inlineStr">
        <is>
          <t>JÄMTLANDS LÄN</t>
        </is>
      </c>
      <c r="E709" t="inlineStr">
        <is>
          <t>ÖSTERSUND</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10306-2023</t>
        </is>
      </c>
      <c r="B710" s="1" t="n">
        <v>44986.94196759259</v>
      </c>
      <c r="C710" s="1" t="n">
        <v>46092</v>
      </c>
      <c r="D710" t="inlineStr">
        <is>
          <t>JÄMTLANDS LÄN</t>
        </is>
      </c>
      <c r="E710" t="inlineStr">
        <is>
          <t>ÖSTERSUND</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16306-2025</t>
        </is>
      </c>
      <c r="B711" s="1" t="n">
        <v>45751.34664351852</v>
      </c>
      <c r="C711" s="1" t="n">
        <v>46092</v>
      </c>
      <c r="D711" t="inlineStr">
        <is>
          <t>JÄMTLANDS LÄN</t>
        </is>
      </c>
      <c r="E711" t="inlineStr">
        <is>
          <t>ÖSTERSUND</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26321-2022</t>
        </is>
      </c>
      <c r="B712" s="1" t="n">
        <v>44735</v>
      </c>
      <c r="C712" s="1" t="n">
        <v>46092</v>
      </c>
      <c r="D712" t="inlineStr">
        <is>
          <t>JÄMTLANDS LÄN</t>
        </is>
      </c>
      <c r="E712" t="inlineStr">
        <is>
          <t>ÖSTERSUND</t>
        </is>
      </c>
      <c r="G712" t="n">
        <v>1</v>
      </c>
      <c r="H712" t="n">
        <v>0</v>
      </c>
      <c r="I712" t="n">
        <v>0</v>
      </c>
      <c r="J712" t="n">
        <v>0</v>
      </c>
      <c r="K712" t="n">
        <v>0</v>
      </c>
      <c r="L712" t="n">
        <v>0</v>
      </c>
      <c r="M712" t="n">
        <v>0</v>
      </c>
      <c r="N712" t="n">
        <v>0</v>
      </c>
      <c r="O712" t="n">
        <v>0</v>
      </c>
      <c r="P712" t="n">
        <v>0</v>
      </c>
      <c r="Q712" t="n">
        <v>0</v>
      </c>
      <c r="R712" s="2" t="inlineStr"/>
    </row>
    <row r="713" ht="15" customHeight="1">
      <c r="A713" t="inlineStr">
        <is>
          <t>A 43252-2023</t>
        </is>
      </c>
      <c r="B713" s="1" t="n">
        <v>45183</v>
      </c>
      <c r="C713" s="1" t="n">
        <v>46092</v>
      </c>
      <c r="D713" t="inlineStr">
        <is>
          <t>JÄMTLANDS LÄN</t>
        </is>
      </c>
      <c r="E713" t="inlineStr">
        <is>
          <t>ÖSTERSUND</t>
        </is>
      </c>
      <c r="G713" t="n">
        <v>2.9</v>
      </c>
      <c r="H713" t="n">
        <v>0</v>
      </c>
      <c r="I713" t="n">
        <v>0</v>
      </c>
      <c r="J713" t="n">
        <v>0</v>
      </c>
      <c r="K713" t="n">
        <v>0</v>
      </c>
      <c r="L713" t="n">
        <v>0</v>
      </c>
      <c r="M713" t="n">
        <v>0</v>
      </c>
      <c r="N713" t="n">
        <v>0</v>
      </c>
      <c r="O713" t="n">
        <v>0</v>
      </c>
      <c r="P713" t="n">
        <v>0</v>
      </c>
      <c r="Q713" t="n">
        <v>0</v>
      </c>
      <c r="R713" s="2" t="inlineStr"/>
    </row>
    <row r="714" ht="15" customHeight="1">
      <c r="A714" t="inlineStr">
        <is>
          <t>A 22126-2021</t>
        </is>
      </c>
      <c r="B714" s="1" t="n">
        <v>44323</v>
      </c>
      <c r="C714" s="1" t="n">
        <v>46092</v>
      </c>
      <c r="D714" t="inlineStr">
        <is>
          <t>JÄMTLANDS LÄN</t>
        </is>
      </c>
      <c r="E714" t="inlineStr">
        <is>
          <t>ÖSTERSUND</t>
        </is>
      </c>
      <c r="G714" t="n">
        <v>1.4</v>
      </c>
      <c r="H714" t="n">
        <v>0</v>
      </c>
      <c r="I714" t="n">
        <v>0</v>
      </c>
      <c r="J714" t="n">
        <v>0</v>
      </c>
      <c r="K714" t="n">
        <v>0</v>
      </c>
      <c r="L714" t="n">
        <v>0</v>
      </c>
      <c r="M714" t="n">
        <v>0</v>
      </c>
      <c r="N714" t="n">
        <v>0</v>
      </c>
      <c r="O714" t="n">
        <v>0</v>
      </c>
      <c r="P714" t="n">
        <v>0</v>
      </c>
      <c r="Q714" t="n">
        <v>0</v>
      </c>
      <c r="R714" s="2" t="inlineStr"/>
    </row>
    <row r="715" ht="15" customHeight="1">
      <c r="A715" t="inlineStr">
        <is>
          <t>A 30217-2022</t>
        </is>
      </c>
      <c r="B715" s="1" t="n">
        <v>44757.92671296297</v>
      </c>
      <c r="C715" s="1" t="n">
        <v>46092</v>
      </c>
      <c r="D715" t="inlineStr">
        <is>
          <t>JÄMTLANDS LÄN</t>
        </is>
      </c>
      <c r="E715" t="inlineStr">
        <is>
          <t>ÖSTERSUND</t>
        </is>
      </c>
      <c r="G715" t="n">
        <v>2.9</v>
      </c>
      <c r="H715" t="n">
        <v>0</v>
      </c>
      <c r="I715" t="n">
        <v>0</v>
      </c>
      <c r="J715" t="n">
        <v>0</v>
      </c>
      <c r="K715" t="n">
        <v>0</v>
      </c>
      <c r="L715" t="n">
        <v>0</v>
      </c>
      <c r="M715" t="n">
        <v>0</v>
      </c>
      <c r="N715" t="n">
        <v>0</v>
      </c>
      <c r="O715" t="n">
        <v>0</v>
      </c>
      <c r="P715" t="n">
        <v>0</v>
      </c>
      <c r="Q715" t="n">
        <v>0</v>
      </c>
      <c r="R715" s="2" t="inlineStr"/>
    </row>
    <row r="716" ht="15" customHeight="1">
      <c r="A716" t="inlineStr">
        <is>
          <t>A 55140-2023</t>
        </is>
      </c>
      <c r="B716" s="1" t="n">
        <v>45237.50966435186</v>
      </c>
      <c r="C716" s="1" t="n">
        <v>46092</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54663-2022</t>
        </is>
      </c>
      <c r="B717" s="1" t="n">
        <v>44883.44737268519</v>
      </c>
      <c r="C717" s="1" t="n">
        <v>46092</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11052-2024</t>
        </is>
      </c>
      <c r="B718" s="1" t="n">
        <v>45370</v>
      </c>
      <c r="C718" s="1" t="n">
        <v>46092</v>
      </c>
      <c r="D718" t="inlineStr">
        <is>
          <t>JÄMTLANDS LÄN</t>
        </is>
      </c>
      <c r="E718" t="inlineStr">
        <is>
          <t>ÖSTERSUND</t>
        </is>
      </c>
      <c r="G718" t="n">
        <v>2.3</v>
      </c>
      <c r="H718" t="n">
        <v>0</v>
      </c>
      <c r="I718" t="n">
        <v>0</v>
      </c>
      <c r="J718" t="n">
        <v>0</v>
      </c>
      <c r="K718" t="n">
        <v>0</v>
      </c>
      <c r="L718" t="n">
        <v>0</v>
      </c>
      <c r="M718" t="n">
        <v>0</v>
      </c>
      <c r="N718" t="n">
        <v>0</v>
      </c>
      <c r="O718" t="n">
        <v>0</v>
      </c>
      <c r="P718" t="n">
        <v>0</v>
      </c>
      <c r="Q718" t="n">
        <v>0</v>
      </c>
      <c r="R718" s="2" t="inlineStr"/>
    </row>
    <row r="719" ht="15" customHeight="1">
      <c r="A719" t="inlineStr">
        <is>
          <t>A 37597-2023</t>
        </is>
      </c>
      <c r="B719" s="1" t="n">
        <v>45159.42180555555</v>
      </c>
      <c r="C719" s="1" t="n">
        <v>46092</v>
      </c>
      <c r="D719" t="inlineStr">
        <is>
          <t>JÄMTLANDS LÄN</t>
        </is>
      </c>
      <c r="E719" t="inlineStr">
        <is>
          <t>ÖSTERSUND</t>
        </is>
      </c>
      <c r="G719" t="n">
        <v>4.7</v>
      </c>
      <c r="H719" t="n">
        <v>0</v>
      </c>
      <c r="I719" t="n">
        <v>0</v>
      </c>
      <c r="J719" t="n">
        <v>0</v>
      </c>
      <c r="K719" t="n">
        <v>0</v>
      </c>
      <c r="L719" t="n">
        <v>0</v>
      </c>
      <c r="M719" t="n">
        <v>0</v>
      </c>
      <c r="N719" t="n">
        <v>0</v>
      </c>
      <c r="O719" t="n">
        <v>0</v>
      </c>
      <c r="P719" t="n">
        <v>0</v>
      </c>
      <c r="Q719" t="n">
        <v>0</v>
      </c>
      <c r="R719" s="2" t="inlineStr"/>
    </row>
    <row r="720" ht="15" customHeight="1">
      <c r="A720" t="inlineStr">
        <is>
          <t>A 55365-2024</t>
        </is>
      </c>
      <c r="B720" s="1" t="n">
        <v>45621.86827546296</v>
      </c>
      <c r="C720" s="1" t="n">
        <v>46092</v>
      </c>
      <c r="D720" t="inlineStr">
        <is>
          <t>JÄMTLANDS LÄN</t>
        </is>
      </c>
      <c r="E720" t="inlineStr">
        <is>
          <t>ÖSTERSUND</t>
        </is>
      </c>
      <c r="G720" t="n">
        <v>1.6</v>
      </c>
      <c r="H720" t="n">
        <v>0</v>
      </c>
      <c r="I720" t="n">
        <v>0</v>
      </c>
      <c r="J720" t="n">
        <v>0</v>
      </c>
      <c r="K720" t="n">
        <v>0</v>
      </c>
      <c r="L720" t="n">
        <v>0</v>
      </c>
      <c r="M720" t="n">
        <v>0</v>
      </c>
      <c r="N720" t="n">
        <v>0</v>
      </c>
      <c r="O720" t="n">
        <v>0</v>
      </c>
      <c r="P720" t="n">
        <v>0</v>
      </c>
      <c r="Q720" t="n">
        <v>0</v>
      </c>
      <c r="R720" s="2" t="inlineStr"/>
    </row>
    <row r="721" ht="15" customHeight="1">
      <c r="A721" t="inlineStr">
        <is>
          <t>A 44048-2024</t>
        </is>
      </c>
      <c r="B721" s="1" t="n">
        <v>45572.59430555555</v>
      </c>
      <c r="C721" s="1" t="n">
        <v>46092</v>
      </c>
      <c r="D721" t="inlineStr">
        <is>
          <t>JÄMTLANDS LÄN</t>
        </is>
      </c>
      <c r="E721" t="inlineStr">
        <is>
          <t>ÖSTERSUND</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18429-2025</t>
        </is>
      </c>
      <c r="B722" s="1" t="n">
        <v>45762.63375</v>
      </c>
      <c r="C722" s="1" t="n">
        <v>46092</v>
      </c>
      <c r="D722" t="inlineStr">
        <is>
          <t>JÄMTLANDS LÄN</t>
        </is>
      </c>
      <c r="E722" t="inlineStr">
        <is>
          <t>ÖSTERSUND</t>
        </is>
      </c>
      <c r="F722" t="inlineStr">
        <is>
          <t>Sveaskog</t>
        </is>
      </c>
      <c r="G722" t="n">
        <v>5.5</v>
      </c>
      <c r="H722" t="n">
        <v>0</v>
      </c>
      <c r="I722" t="n">
        <v>0</v>
      </c>
      <c r="J722" t="n">
        <v>0</v>
      </c>
      <c r="K722" t="n">
        <v>0</v>
      </c>
      <c r="L722" t="n">
        <v>0</v>
      </c>
      <c r="M722" t="n">
        <v>0</v>
      </c>
      <c r="N722" t="n">
        <v>0</v>
      </c>
      <c r="O722" t="n">
        <v>0</v>
      </c>
      <c r="P722" t="n">
        <v>0</v>
      </c>
      <c r="Q722" t="n">
        <v>0</v>
      </c>
      <c r="R722" s="2" t="inlineStr"/>
    </row>
    <row r="723" ht="15" customHeight="1">
      <c r="A723" t="inlineStr">
        <is>
          <t>A 60349-2024</t>
        </is>
      </c>
      <c r="B723" s="1" t="n">
        <v>45643.42986111111</v>
      </c>
      <c r="C723" s="1" t="n">
        <v>46092</v>
      </c>
      <c r="D723" t="inlineStr">
        <is>
          <t>JÄMTLANDS LÄN</t>
        </is>
      </c>
      <c r="E723" t="inlineStr">
        <is>
          <t>ÖSTERSUND</t>
        </is>
      </c>
      <c r="F723" t="inlineStr">
        <is>
          <t>Sveaskog</t>
        </is>
      </c>
      <c r="G723" t="n">
        <v>16.6</v>
      </c>
      <c r="H723" t="n">
        <v>0</v>
      </c>
      <c r="I723" t="n">
        <v>0</v>
      </c>
      <c r="J723" t="n">
        <v>0</v>
      </c>
      <c r="K723" t="n">
        <v>0</v>
      </c>
      <c r="L723" t="n">
        <v>0</v>
      </c>
      <c r="M723" t="n">
        <v>0</v>
      </c>
      <c r="N723" t="n">
        <v>0</v>
      </c>
      <c r="O723" t="n">
        <v>0</v>
      </c>
      <c r="P723" t="n">
        <v>0</v>
      </c>
      <c r="Q723" t="n">
        <v>0</v>
      </c>
      <c r="R723" s="2" t="inlineStr"/>
    </row>
    <row r="724" ht="15" customHeight="1">
      <c r="A724" t="inlineStr">
        <is>
          <t>A 17574-2022</t>
        </is>
      </c>
      <c r="B724" s="1" t="n">
        <v>44679.92574074074</v>
      </c>
      <c r="C724" s="1" t="n">
        <v>46092</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61332-2024</t>
        </is>
      </c>
      <c r="B725" s="1" t="n">
        <v>45646.35685185185</v>
      </c>
      <c r="C725" s="1" t="n">
        <v>46092</v>
      </c>
      <c r="D725" t="inlineStr">
        <is>
          <t>JÄMTLANDS LÄN</t>
        </is>
      </c>
      <c r="E725" t="inlineStr">
        <is>
          <t>ÖSTERSUND</t>
        </is>
      </c>
      <c r="G725" t="n">
        <v>3.2</v>
      </c>
      <c r="H725" t="n">
        <v>0</v>
      </c>
      <c r="I725" t="n">
        <v>0</v>
      </c>
      <c r="J725" t="n">
        <v>0</v>
      </c>
      <c r="K725" t="n">
        <v>0</v>
      </c>
      <c r="L725" t="n">
        <v>0</v>
      </c>
      <c r="M725" t="n">
        <v>0</v>
      </c>
      <c r="N725" t="n">
        <v>0</v>
      </c>
      <c r="O725" t="n">
        <v>0</v>
      </c>
      <c r="P725" t="n">
        <v>0</v>
      </c>
      <c r="Q725" t="n">
        <v>0</v>
      </c>
      <c r="R725" s="2" t="inlineStr"/>
    </row>
    <row r="726" ht="15" customHeight="1">
      <c r="A726" t="inlineStr">
        <is>
          <t>A 32998-2021</t>
        </is>
      </c>
      <c r="B726" s="1" t="n">
        <v>44375</v>
      </c>
      <c r="C726" s="1" t="n">
        <v>46092</v>
      </c>
      <c r="D726" t="inlineStr">
        <is>
          <t>JÄMTLANDS LÄN</t>
        </is>
      </c>
      <c r="E726" t="inlineStr">
        <is>
          <t>ÖSTERSUND</t>
        </is>
      </c>
      <c r="G726" t="n">
        <v>0.1</v>
      </c>
      <c r="H726" t="n">
        <v>0</v>
      </c>
      <c r="I726" t="n">
        <v>0</v>
      </c>
      <c r="J726" t="n">
        <v>0</v>
      </c>
      <c r="K726" t="n">
        <v>0</v>
      </c>
      <c r="L726" t="n">
        <v>0</v>
      </c>
      <c r="M726" t="n">
        <v>0</v>
      </c>
      <c r="N726" t="n">
        <v>0</v>
      </c>
      <c r="O726" t="n">
        <v>0</v>
      </c>
      <c r="P726" t="n">
        <v>0</v>
      </c>
      <c r="Q726" t="n">
        <v>0</v>
      </c>
      <c r="R726" s="2" t="inlineStr"/>
    </row>
    <row r="727" ht="15" customHeight="1">
      <c r="A727" t="inlineStr">
        <is>
          <t>A 51941-2023</t>
        </is>
      </c>
      <c r="B727" s="1" t="n">
        <v>45223</v>
      </c>
      <c r="C727" s="1" t="n">
        <v>46092</v>
      </c>
      <c r="D727" t="inlineStr">
        <is>
          <t>JÄMTLANDS LÄN</t>
        </is>
      </c>
      <c r="E727" t="inlineStr">
        <is>
          <t>ÖSTERSUND</t>
        </is>
      </c>
      <c r="G727" t="n">
        <v>4.6</v>
      </c>
      <c r="H727" t="n">
        <v>0</v>
      </c>
      <c r="I727" t="n">
        <v>0</v>
      </c>
      <c r="J727" t="n">
        <v>0</v>
      </c>
      <c r="K727" t="n">
        <v>0</v>
      </c>
      <c r="L727" t="n">
        <v>0</v>
      </c>
      <c r="M727" t="n">
        <v>0</v>
      </c>
      <c r="N727" t="n">
        <v>0</v>
      </c>
      <c r="O727" t="n">
        <v>0</v>
      </c>
      <c r="P727" t="n">
        <v>0</v>
      </c>
      <c r="Q727" t="n">
        <v>0</v>
      </c>
      <c r="R727" s="2" t="inlineStr"/>
    </row>
    <row r="728" ht="15" customHeight="1">
      <c r="A728" t="inlineStr">
        <is>
          <t>A 33831-2021</t>
        </is>
      </c>
      <c r="B728" s="1" t="n">
        <v>44378</v>
      </c>
      <c r="C728" s="1" t="n">
        <v>46092</v>
      </c>
      <c r="D728" t="inlineStr">
        <is>
          <t>JÄMTLANDS LÄN</t>
        </is>
      </c>
      <c r="E728" t="inlineStr">
        <is>
          <t>ÖSTERSUND</t>
        </is>
      </c>
      <c r="G728" t="n">
        <v>2.5</v>
      </c>
      <c r="H728" t="n">
        <v>0</v>
      </c>
      <c r="I728" t="n">
        <v>0</v>
      </c>
      <c r="J728" t="n">
        <v>0</v>
      </c>
      <c r="K728" t="n">
        <v>0</v>
      </c>
      <c r="L728" t="n">
        <v>0</v>
      </c>
      <c r="M728" t="n">
        <v>0</v>
      </c>
      <c r="N728" t="n">
        <v>0</v>
      </c>
      <c r="O728" t="n">
        <v>0</v>
      </c>
      <c r="P728" t="n">
        <v>0</v>
      </c>
      <c r="Q728" t="n">
        <v>0</v>
      </c>
      <c r="R728" s="2" t="inlineStr"/>
    </row>
    <row r="729" ht="15" customHeight="1">
      <c r="A729" t="inlineStr">
        <is>
          <t>A 51936-2023</t>
        </is>
      </c>
      <c r="B729" s="1" t="n">
        <v>45223.5036574074</v>
      </c>
      <c r="C729" s="1" t="n">
        <v>46092</v>
      </c>
      <c r="D729" t="inlineStr">
        <is>
          <t>JÄMTLANDS LÄN</t>
        </is>
      </c>
      <c r="E729" t="inlineStr">
        <is>
          <t>ÖSTERSUND</t>
        </is>
      </c>
      <c r="G729" t="n">
        <v>8.4</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45236.92776620371</v>
      </c>
      <c r="C730" s="1" t="n">
        <v>46092</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28179-2024</t>
        </is>
      </c>
      <c r="B731" s="1" t="n">
        <v>45477.26746527778</v>
      </c>
      <c r="C731" s="1" t="n">
        <v>46092</v>
      </c>
      <c r="D731" t="inlineStr">
        <is>
          <t>JÄMTLANDS LÄN</t>
        </is>
      </c>
      <c r="E731" t="inlineStr">
        <is>
          <t>ÖSTERSUND</t>
        </is>
      </c>
      <c r="G731" t="n">
        <v>2.2</v>
      </c>
      <c r="H731" t="n">
        <v>0</v>
      </c>
      <c r="I731" t="n">
        <v>0</v>
      </c>
      <c r="J731" t="n">
        <v>0</v>
      </c>
      <c r="K731" t="n">
        <v>0</v>
      </c>
      <c r="L731" t="n">
        <v>0</v>
      </c>
      <c r="M731" t="n">
        <v>0</v>
      </c>
      <c r="N731" t="n">
        <v>0</v>
      </c>
      <c r="O731" t="n">
        <v>0</v>
      </c>
      <c r="P731" t="n">
        <v>0</v>
      </c>
      <c r="Q731" t="n">
        <v>0</v>
      </c>
      <c r="R731" s="2" t="inlineStr"/>
    </row>
    <row r="732" ht="15" customHeight="1">
      <c r="A732" t="inlineStr">
        <is>
          <t>A 13921-2023</t>
        </is>
      </c>
      <c r="B732" s="1" t="n">
        <v>45008</v>
      </c>
      <c r="C732" s="1" t="n">
        <v>46092</v>
      </c>
      <c r="D732" t="inlineStr">
        <is>
          <t>JÄMTLANDS LÄN</t>
        </is>
      </c>
      <c r="E732" t="inlineStr">
        <is>
          <t>ÖSTERSUND</t>
        </is>
      </c>
      <c r="G732" t="n">
        <v>0.3</v>
      </c>
      <c r="H732" t="n">
        <v>0</v>
      </c>
      <c r="I732" t="n">
        <v>0</v>
      </c>
      <c r="J732" t="n">
        <v>0</v>
      </c>
      <c r="K732" t="n">
        <v>0</v>
      </c>
      <c r="L732" t="n">
        <v>0</v>
      </c>
      <c r="M732" t="n">
        <v>0</v>
      </c>
      <c r="N732" t="n">
        <v>0</v>
      </c>
      <c r="O732" t="n">
        <v>0</v>
      </c>
      <c r="P732" t="n">
        <v>0</v>
      </c>
      <c r="Q732" t="n">
        <v>0</v>
      </c>
      <c r="R732" s="2" t="inlineStr"/>
    </row>
    <row r="733" ht="15" customHeight="1">
      <c r="A733" t="inlineStr">
        <is>
          <t>A 207-2025</t>
        </is>
      </c>
      <c r="B733" s="1" t="n">
        <v>45660.32672453704</v>
      </c>
      <c r="C733" s="1" t="n">
        <v>46092</v>
      </c>
      <c r="D733" t="inlineStr">
        <is>
          <t>JÄMTLANDS LÄN</t>
        </is>
      </c>
      <c r="E733" t="inlineStr">
        <is>
          <t>ÖSTERSUND</t>
        </is>
      </c>
      <c r="G733" t="n">
        <v>4</v>
      </c>
      <c r="H733" t="n">
        <v>0</v>
      </c>
      <c r="I733" t="n">
        <v>0</v>
      </c>
      <c r="J733" t="n">
        <v>0</v>
      </c>
      <c r="K733" t="n">
        <v>0</v>
      </c>
      <c r="L733" t="n">
        <v>0</v>
      </c>
      <c r="M733" t="n">
        <v>0</v>
      </c>
      <c r="N733" t="n">
        <v>0</v>
      </c>
      <c r="O733" t="n">
        <v>0</v>
      </c>
      <c r="P733" t="n">
        <v>0</v>
      </c>
      <c r="Q733" t="n">
        <v>0</v>
      </c>
      <c r="R733" s="2" t="inlineStr"/>
    </row>
    <row r="734" ht="15" customHeight="1">
      <c r="A734" t="inlineStr">
        <is>
          <t>A 13738-2025</t>
        </is>
      </c>
      <c r="B734" s="1" t="n">
        <v>45737.40131944444</v>
      </c>
      <c r="C734" s="1" t="n">
        <v>46092</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18577-2025</t>
        </is>
      </c>
      <c r="B735" s="1" t="n">
        <v>45763</v>
      </c>
      <c r="C735" s="1" t="n">
        <v>46092</v>
      </c>
      <c r="D735" t="inlineStr">
        <is>
          <t>JÄMTLANDS LÄN</t>
        </is>
      </c>
      <c r="E735" t="inlineStr">
        <is>
          <t>ÖSTERSUND</t>
        </is>
      </c>
      <c r="G735" t="n">
        <v>3.5</v>
      </c>
      <c r="H735" t="n">
        <v>0</v>
      </c>
      <c r="I735" t="n">
        <v>0</v>
      </c>
      <c r="J735" t="n">
        <v>0</v>
      </c>
      <c r="K735" t="n">
        <v>0</v>
      </c>
      <c r="L735" t="n">
        <v>0</v>
      </c>
      <c r="M735" t="n">
        <v>0</v>
      </c>
      <c r="N735" t="n">
        <v>0</v>
      </c>
      <c r="O735" t="n">
        <v>0</v>
      </c>
      <c r="P735" t="n">
        <v>0</v>
      </c>
      <c r="Q735" t="n">
        <v>0</v>
      </c>
      <c r="R735" s="2" t="inlineStr"/>
    </row>
    <row r="736" ht="15" customHeight="1">
      <c r="A736" t="inlineStr">
        <is>
          <t>A 18578-2025</t>
        </is>
      </c>
      <c r="B736" s="1" t="n">
        <v>45763</v>
      </c>
      <c r="C736" s="1" t="n">
        <v>46092</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59691-2024</t>
        </is>
      </c>
      <c r="B737" s="1" t="n">
        <v>45639.40684027778</v>
      </c>
      <c r="C737" s="1" t="n">
        <v>46092</v>
      </c>
      <c r="D737" t="inlineStr">
        <is>
          <t>JÄMTLANDS LÄN</t>
        </is>
      </c>
      <c r="E737" t="inlineStr">
        <is>
          <t>ÖSTERSUND</t>
        </is>
      </c>
      <c r="F737" t="inlineStr">
        <is>
          <t>SCA</t>
        </is>
      </c>
      <c r="G737" t="n">
        <v>15.9</v>
      </c>
      <c r="H737" t="n">
        <v>0</v>
      </c>
      <c r="I737" t="n">
        <v>0</v>
      </c>
      <c r="J737" t="n">
        <v>0</v>
      </c>
      <c r="K737" t="n">
        <v>0</v>
      </c>
      <c r="L737" t="n">
        <v>0</v>
      </c>
      <c r="M737" t="n">
        <v>0</v>
      </c>
      <c r="N737" t="n">
        <v>0</v>
      </c>
      <c r="O737" t="n">
        <v>0</v>
      </c>
      <c r="P737" t="n">
        <v>0</v>
      </c>
      <c r="Q737" t="n">
        <v>0</v>
      </c>
      <c r="R737" s="2" t="inlineStr"/>
    </row>
    <row r="738" ht="15" customHeight="1">
      <c r="A738" t="inlineStr">
        <is>
          <t>A 13655-2025</t>
        </is>
      </c>
      <c r="B738" s="1" t="n">
        <v>45736.71956018519</v>
      </c>
      <c r="C738" s="1" t="n">
        <v>46092</v>
      </c>
      <c r="D738" t="inlineStr">
        <is>
          <t>JÄMTLANDS LÄN</t>
        </is>
      </c>
      <c r="E738" t="inlineStr">
        <is>
          <t>ÖSTERSUND</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23563-2022</t>
        </is>
      </c>
      <c r="B739" s="1" t="n">
        <v>44721.47241898148</v>
      </c>
      <c r="C739" s="1" t="n">
        <v>46092</v>
      </c>
      <c r="D739" t="inlineStr">
        <is>
          <t>JÄMTLANDS LÄN</t>
        </is>
      </c>
      <c r="E739" t="inlineStr">
        <is>
          <t>ÖSTERSUND</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27118-2023</t>
        </is>
      </c>
      <c r="B740" s="1" t="n">
        <v>45096</v>
      </c>
      <c r="C740" s="1" t="n">
        <v>46092</v>
      </c>
      <c r="D740" t="inlineStr">
        <is>
          <t>JÄMTLANDS LÄN</t>
        </is>
      </c>
      <c r="E740" t="inlineStr">
        <is>
          <t>ÖSTERSUND</t>
        </is>
      </c>
      <c r="G740" t="n">
        <v>1.2</v>
      </c>
      <c r="H740" t="n">
        <v>0</v>
      </c>
      <c r="I740" t="n">
        <v>0</v>
      </c>
      <c r="J740" t="n">
        <v>0</v>
      </c>
      <c r="K740" t="n">
        <v>0</v>
      </c>
      <c r="L740" t="n">
        <v>0</v>
      </c>
      <c r="M740" t="n">
        <v>0</v>
      </c>
      <c r="N740" t="n">
        <v>0</v>
      </c>
      <c r="O740" t="n">
        <v>0</v>
      </c>
      <c r="P740" t="n">
        <v>0</v>
      </c>
      <c r="Q740" t="n">
        <v>0</v>
      </c>
      <c r="R740" s="2" t="inlineStr"/>
    </row>
    <row r="741" ht="15" customHeight="1">
      <c r="A741" t="inlineStr">
        <is>
          <t>A 8972-2022</t>
        </is>
      </c>
      <c r="B741" s="1" t="n">
        <v>44614.91989583334</v>
      </c>
      <c r="C741" s="1" t="n">
        <v>46092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10305-2023</t>
        </is>
      </c>
      <c r="B742" s="1" t="n">
        <v>44986</v>
      </c>
      <c r="C742" s="1" t="n">
        <v>46092</v>
      </c>
      <c r="D742" t="inlineStr">
        <is>
          <t>JÄMTLANDS LÄN</t>
        </is>
      </c>
      <c r="E742" t="inlineStr">
        <is>
          <t>ÖSTERSUND</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51865-2024</t>
        </is>
      </c>
      <c r="B743" s="1" t="n">
        <v>45607.55260416667</v>
      </c>
      <c r="C743" s="1" t="n">
        <v>46092</v>
      </c>
      <c r="D743" t="inlineStr">
        <is>
          <t>JÄMTLANDS LÄN</t>
        </is>
      </c>
      <c r="E743" t="inlineStr">
        <is>
          <t>ÖSTERSUND</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55235-2023</t>
        </is>
      </c>
      <c r="B744" s="1" t="n">
        <v>45231</v>
      </c>
      <c r="C744" s="1" t="n">
        <v>46092</v>
      </c>
      <c r="D744" t="inlineStr">
        <is>
          <t>JÄMTLANDS LÄN</t>
        </is>
      </c>
      <c r="E744" t="inlineStr">
        <is>
          <t>ÖSTERSUND</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7953-2025</t>
        </is>
      </c>
      <c r="B745" s="1" t="n">
        <v>45707.42392361111</v>
      </c>
      <c r="C745" s="1" t="n">
        <v>46092</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4350-2024</t>
        </is>
      </c>
      <c r="B746" s="1" t="n">
        <v>45324.93804398148</v>
      </c>
      <c r="C746" s="1" t="n">
        <v>46092</v>
      </c>
      <c r="D746" t="inlineStr">
        <is>
          <t>JÄMTLANDS LÄN</t>
        </is>
      </c>
      <c r="E746" t="inlineStr">
        <is>
          <t>ÖSTERSUND</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45314.58785879629</v>
      </c>
      <c r="C747" s="1" t="n">
        <v>46092</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70256-2021</t>
        </is>
      </c>
      <c r="B748" s="1" t="n">
        <v>44533</v>
      </c>
      <c r="C748" s="1" t="n">
        <v>46092</v>
      </c>
      <c r="D748" t="inlineStr">
        <is>
          <t>JÄMTLANDS LÄN</t>
        </is>
      </c>
      <c r="E748" t="inlineStr">
        <is>
          <t>ÖSTERSUND</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4136-2023</t>
        </is>
      </c>
      <c r="B749" s="1" t="n">
        <v>44952</v>
      </c>
      <c r="C749" s="1" t="n">
        <v>46092</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1893-2023</t>
        </is>
      </c>
      <c r="B750" s="1" t="n">
        <v>44937</v>
      </c>
      <c r="C750" s="1" t="n">
        <v>46092</v>
      </c>
      <c r="D750" t="inlineStr">
        <is>
          <t>JÄMTLANDS LÄN</t>
        </is>
      </c>
      <c r="E750" t="inlineStr">
        <is>
          <t>ÖSTERSUND</t>
        </is>
      </c>
      <c r="G750" t="n">
        <v>11</v>
      </c>
      <c r="H750" t="n">
        <v>0</v>
      </c>
      <c r="I750" t="n">
        <v>0</v>
      </c>
      <c r="J750" t="n">
        <v>0</v>
      </c>
      <c r="K750" t="n">
        <v>0</v>
      </c>
      <c r="L750" t="n">
        <v>0</v>
      </c>
      <c r="M750" t="n">
        <v>0</v>
      </c>
      <c r="N750" t="n">
        <v>0</v>
      </c>
      <c r="O750" t="n">
        <v>0</v>
      </c>
      <c r="P750" t="n">
        <v>0</v>
      </c>
      <c r="Q750" t="n">
        <v>0</v>
      </c>
      <c r="R750" s="2" t="inlineStr"/>
    </row>
    <row r="751" ht="15" customHeight="1">
      <c r="A751" t="inlineStr">
        <is>
          <t>A 57556-2024</t>
        </is>
      </c>
      <c r="B751" s="1" t="n">
        <v>45630</v>
      </c>
      <c r="C751" s="1" t="n">
        <v>46092</v>
      </c>
      <c r="D751" t="inlineStr">
        <is>
          <t>JÄMTLANDS LÄN</t>
        </is>
      </c>
      <c r="E751" t="inlineStr">
        <is>
          <t>ÖSTERSUND</t>
        </is>
      </c>
      <c r="G751" t="n">
        <v>5.5</v>
      </c>
      <c r="H751" t="n">
        <v>0</v>
      </c>
      <c r="I751" t="n">
        <v>0</v>
      </c>
      <c r="J751" t="n">
        <v>0</v>
      </c>
      <c r="K751" t="n">
        <v>0</v>
      </c>
      <c r="L751" t="n">
        <v>0</v>
      </c>
      <c r="M751" t="n">
        <v>0</v>
      </c>
      <c r="N751" t="n">
        <v>0</v>
      </c>
      <c r="O751" t="n">
        <v>0</v>
      </c>
      <c r="P751" t="n">
        <v>0</v>
      </c>
      <c r="Q751" t="n">
        <v>0</v>
      </c>
      <c r="R751" s="2" t="inlineStr"/>
    </row>
    <row r="752" ht="15" customHeight="1">
      <c r="A752" t="inlineStr">
        <is>
          <t>A 19566-2024</t>
        </is>
      </c>
      <c r="B752" s="1" t="n">
        <v>45429.92313657407</v>
      </c>
      <c r="C752" s="1" t="n">
        <v>46092</v>
      </c>
      <c r="D752" t="inlineStr">
        <is>
          <t>JÄMTLANDS LÄN</t>
        </is>
      </c>
      <c r="E752" t="inlineStr">
        <is>
          <t>ÖSTERSUND</t>
        </is>
      </c>
      <c r="G752" t="n">
        <v>0</v>
      </c>
      <c r="H752" t="n">
        <v>0</v>
      </c>
      <c r="I752" t="n">
        <v>0</v>
      </c>
      <c r="J752" t="n">
        <v>0</v>
      </c>
      <c r="K752" t="n">
        <v>0</v>
      </c>
      <c r="L752" t="n">
        <v>0</v>
      </c>
      <c r="M752" t="n">
        <v>0</v>
      </c>
      <c r="N752" t="n">
        <v>0</v>
      </c>
      <c r="O752" t="n">
        <v>0</v>
      </c>
      <c r="P752" t="n">
        <v>0</v>
      </c>
      <c r="Q752" t="n">
        <v>0</v>
      </c>
      <c r="R752" s="2" t="inlineStr"/>
    </row>
    <row r="753" ht="15" customHeight="1">
      <c r="A753" t="inlineStr">
        <is>
          <t>A 9552-2025</t>
        </is>
      </c>
      <c r="B753" s="1" t="n">
        <v>45715.59545138889</v>
      </c>
      <c r="C753" s="1" t="n">
        <v>46092</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13024-2022</t>
        </is>
      </c>
      <c r="B754" s="1" t="n">
        <v>44643</v>
      </c>
      <c r="C754" s="1" t="n">
        <v>46092</v>
      </c>
      <c r="D754" t="inlineStr">
        <is>
          <t>JÄMTLANDS LÄN</t>
        </is>
      </c>
      <c r="E754" t="inlineStr">
        <is>
          <t>ÖSTERSUND</t>
        </is>
      </c>
      <c r="G754" t="n">
        <v>0.9</v>
      </c>
      <c r="H754" t="n">
        <v>0</v>
      </c>
      <c r="I754" t="n">
        <v>0</v>
      </c>
      <c r="J754" t="n">
        <v>0</v>
      </c>
      <c r="K754" t="n">
        <v>0</v>
      </c>
      <c r="L754" t="n">
        <v>0</v>
      </c>
      <c r="M754" t="n">
        <v>0</v>
      </c>
      <c r="N754" t="n">
        <v>0</v>
      </c>
      <c r="O754" t="n">
        <v>0</v>
      </c>
      <c r="P754" t="n">
        <v>0</v>
      </c>
      <c r="Q754" t="n">
        <v>0</v>
      </c>
      <c r="R754" s="2" t="inlineStr"/>
    </row>
    <row r="755" ht="15" customHeight="1">
      <c r="A755" t="inlineStr">
        <is>
          <t>A 7233-2025</t>
        </is>
      </c>
      <c r="B755" s="1" t="n">
        <v>45702.51765046296</v>
      </c>
      <c r="C755" s="1" t="n">
        <v>46092</v>
      </c>
      <c r="D755" t="inlineStr">
        <is>
          <t>JÄMTLANDS LÄN</t>
        </is>
      </c>
      <c r="E755" t="inlineStr">
        <is>
          <t>ÖSTERSUND</t>
        </is>
      </c>
      <c r="G755" t="n">
        <v>1.7</v>
      </c>
      <c r="H755" t="n">
        <v>0</v>
      </c>
      <c r="I755" t="n">
        <v>0</v>
      </c>
      <c r="J755" t="n">
        <v>0</v>
      </c>
      <c r="K755" t="n">
        <v>0</v>
      </c>
      <c r="L755" t="n">
        <v>0</v>
      </c>
      <c r="M755" t="n">
        <v>0</v>
      </c>
      <c r="N755" t="n">
        <v>0</v>
      </c>
      <c r="O755" t="n">
        <v>0</v>
      </c>
      <c r="P755" t="n">
        <v>0</v>
      </c>
      <c r="Q755" t="n">
        <v>0</v>
      </c>
      <c r="R755" s="2" t="inlineStr"/>
    </row>
    <row r="756" ht="15" customHeight="1">
      <c r="A756" t="inlineStr">
        <is>
          <t>A 4966-2025</t>
        </is>
      </c>
      <c r="B756" s="1" t="n">
        <v>45690.63628472222</v>
      </c>
      <c r="C756" s="1" t="n">
        <v>46092</v>
      </c>
      <c r="D756" t="inlineStr">
        <is>
          <t>JÄMTLANDS LÄN</t>
        </is>
      </c>
      <c r="E756" t="inlineStr">
        <is>
          <t>ÖSTERSUND</t>
        </is>
      </c>
      <c r="G756" t="n">
        <v>3.4</v>
      </c>
      <c r="H756" t="n">
        <v>0</v>
      </c>
      <c r="I756" t="n">
        <v>0</v>
      </c>
      <c r="J756" t="n">
        <v>0</v>
      </c>
      <c r="K756" t="n">
        <v>0</v>
      </c>
      <c r="L756" t="n">
        <v>0</v>
      </c>
      <c r="M756" t="n">
        <v>0</v>
      </c>
      <c r="N756" t="n">
        <v>0</v>
      </c>
      <c r="O756" t="n">
        <v>0</v>
      </c>
      <c r="P756" t="n">
        <v>0</v>
      </c>
      <c r="Q756" t="n">
        <v>0</v>
      </c>
      <c r="R756" s="2" t="inlineStr"/>
    </row>
    <row r="757" ht="15" customHeight="1">
      <c r="A757" t="inlineStr">
        <is>
          <t>A 2615-2024</t>
        </is>
      </c>
      <c r="B757" s="1" t="n">
        <v>45313</v>
      </c>
      <c r="C757" s="1" t="n">
        <v>46092</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33002-2021</t>
        </is>
      </c>
      <c r="B758" s="1" t="n">
        <v>44375</v>
      </c>
      <c r="C758" s="1" t="n">
        <v>46092</v>
      </c>
      <c r="D758" t="inlineStr">
        <is>
          <t>JÄMTLANDS LÄN</t>
        </is>
      </c>
      <c r="E758" t="inlineStr">
        <is>
          <t>ÖSTERSUND</t>
        </is>
      </c>
      <c r="G758" t="n">
        <v>0.2</v>
      </c>
      <c r="H758" t="n">
        <v>0</v>
      </c>
      <c r="I758" t="n">
        <v>0</v>
      </c>
      <c r="J758" t="n">
        <v>0</v>
      </c>
      <c r="K758" t="n">
        <v>0</v>
      </c>
      <c r="L758" t="n">
        <v>0</v>
      </c>
      <c r="M758" t="n">
        <v>0</v>
      </c>
      <c r="N758" t="n">
        <v>0</v>
      </c>
      <c r="O758" t="n">
        <v>0</v>
      </c>
      <c r="P758" t="n">
        <v>0</v>
      </c>
      <c r="Q758" t="n">
        <v>0</v>
      </c>
      <c r="R758" s="2" t="inlineStr"/>
    </row>
    <row r="759" ht="15" customHeight="1">
      <c r="A759" t="inlineStr">
        <is>
          <t>A 14542-2025</t>
        </is>
      </c>
      <c r="B759" s="1" t="n">
        <v>45741.68631944444</v>
      </c>
      <c r="C759" s="1" t="n">
        <v>46092</v>
      </c>
      <c r="D759" t="inlineStr">
        <is>
          <t>JÄMTLANDS LÄN</t>
        </is>
      </c>
      <c r="E759" t="inlineStr">
        <is>
          <t>ÖSTERSUND</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24786-2024</t>
        </is>
      </c>
      <c r="B760" s="1" t="n">
        <v>45460.81277777778</v>
      </c>
      <c r="C760" s="1" t="n">
        <v>46092</v>
      </c>
      <c r="D760" t="inlineStr">
        <is>
          <t>JÄMTLANDS LÄN</t>
        </is>
      </c>
      <c r="E760" t="inlineStr">
        <is>
          <t>ÖSTERSUND</t>
        </is>
      </c>
      <c r="G760" t="n">
        <v>0.1</v>
      </c>
      <c r="H760" t="n">
        <v>0</v>
      </c>
      <c r="I760" t="n">
        <v>0</v>
      </c>
      <c r="J760" t="n">
        <v>0</v>
      </c>
      <c r="K760" t="n">
        <v>0</v>
      </c>
      <c r="L760" t="n">
        <v>0</v>
      </c>
      <c r="M760" t="n">
        <v>0</v>
      </c>
      <c r="N760" t="n">
        <v>0</v>
      </c>
      <c r="O760" t="n">
        <v>0</v>
      </c>
      <c r="P760" t="n">
        <v>0</v>
      </c>
      <c r="Q760" t="n">
        <v>0</v>
      </c>
      <c r="R760" s="2" t="inlineStr"/>
    </row>
    <row r="761" ht="15" customHeight="1">
      <c r="A761" t="inlineStr">
        <is>
          <t>A 53660-2024</t>
        </is>
      </c>
      <c r="B761" s="1" t="n">
        <v>45615.31297453704</v>
      </c>
      <c r="C761" s="1" t="n">
        <v>46092</v>
      </c>
      <c r="D761" t="inlineStr">
        <is>
          <t>JÄMTLANDS LÄN</t>
        </is>
      </c>
      <c r="E761" t="inlineStr">
        <is>
          <t>ÖSTERSUND</t>
        </is>
      </c>
      <c r="G761" t="n">
        <v>1.1</v>
      </c>
      <c r="H761" t="n">
        <v>0</v>
      </c>
      <c r="I761" t="n">
        <v>0</v>
      </c>
      <c r="J761" t="n">
        <v>0</v>
      </c>
      <c r="K761" t="n">
        <v>0</v>
      </c>
      <c r="L761" t="n">
        <v>0</v>
      </c>
      <c r="M761" t="n">
        <v>0</v>
      </c>
      <c r="N761" t="n">
        <v>0</v>
      </c>
      <c r="O761" t="n">
        <v>0</v>
      </c>
      <c r="P761" t="n">
        <v>0</v>
      </c>
      <c r="Q761" t="n">
        <v>0</v>
      </c>
      <c r="R761" s="2" t="inlineStr"/>
    </row>
    <row r="762" ht="15" customHeight="1">
      <c r="A762" t="inlineStr">
        <is>
          <t>A 16682-2023</t>
        </is>
      </c>
      <c r="B762" s="1" t="n">
        <v>45028</v>
      </c>
      <c r="C762" s="1" t="n">
        <v>46092</v>
      </c>
      <c r="D762" t="inlineStr">
        <is>
          <t>JÄMTLANDS LÄN</t>
        </is>
      </c>
      <c r="E762" t="inlineStr">
        <is>
          <t>ÖSTERSUND</t>
        </is>
      </c>
      <c r="G762" t="n">
        <v>7.9</v>
      </c>
      <c r="H762" t="n">
        <v>0</v>
      </c>
      <c r="I762" t="n">
        <v>0</v>
      </c>
      <c r="J762" t="n">
        <v>0</v>
      </c>
      <c r="K762" t="n">
        <v>0</v>
      </c>
      <c r="L762" t="n">
        <v>0</v>
      </c>
      <c r="M762" t="n">
        <v>0</v>
      </c>
      <c r="N762" t="n">
        <v>0</v>
      </c>
      <c r="O762" t="n">
        <v>0</v>
      </c>
      <c r="P762" t="n">
        <v>0</v>
      </c>
      <c r="Q762" t="n">
        <v>0</v>
      </c>
      <c r="R762" s="2" t="inlineStr"/>
    </row>
    <row r="763" ht="15" customHeight="1">
      <c r="A763" t="inlineStr">
        <is>
          <t>A 1670-2024</t>
        </is>
      </c>
      <c r="B763" s="1" t="n">
        <v>45306</v>
      </c>
      <c r="C763" s="1" t="n">
        <v>46092</v>
      </c>
      <c r="D763" t="inlineStr">
        <is>
          <t>JÄMTLANDS LÄN</t>
        </is>
      </c>
      <c r="E763" t="inlineStr">
        <is>
          <t>ÖSTERSUND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56111-2022</t>
        </is>
      </c>
      <c r="B764" s="1" t="n">
        <v>44889</v>
      </c>
      <c r="C764" s="1" t="n">
        <v>46092</v>
      </c>
      <c r="D764" t="inlineStr">
        <is>
          <t>JÄMTLANDS LÄN</t>
        </is>
      </c>
      <c r="E764" t="inlineStr">
        <is>
          <t>ÖSTERSUND</t>
        </is>
      </c>
      <c r="G764" t="n">
        <v>2.5</v>
      </c>
      <c r="H764" t="n">
        <v>0</v>
      </c>
      <c r="I764" t="n">
        <v>0</v>
      </c>
      <c r="J764" t="n">
        <v>0</v>
      </c>
      <c r="K764" t="n">
        <v>0</v>
      </c>
      <c r="L764" t="n">
        <v>0</v>
      </c>
      <c r="M764" t="n">
        <v>0</v>
      </c>
      <c r="N764" t="n">
        <v>0</v>
      </c>
      <c r="O764" t="n">
        <v>0</v>
      </c>
      <c r="P764" t="n">
        <v>0</v>
      </c>
      <c r="Q764" t="n">
        <v>0</v>
      </c>
      <c r="R764" s="2" t="inlineStr"/>
    </row>
    <row r="765" ht="15" customHeight="1">
      <c r="A765" t="inlineStr">
        <is>
          <t>A 14867-2025</t>
        </is>
      </c>
      <c r="B765" s="1" t="n">
        <v>45743.44207175926</v>
      </c>
      <c r="C765" s="1" t="n">
        <v>46092</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5544-2025</t>
        </is>
      </c>
      <c r="B766" s="1" t="n">
        <v>45693</v>
      </c>
      <c r="C766" s="1" t="n">
        <v>46092</v>
      </c>
      <c r="D766" t="inlineStr">
        <is>
          <t>JÄMTLANDS LÄN</t>
        </is>
      </c>
      <c r="E766" t="inlineStr">
        <is>
          <t>ÖSTERSUND</t>
        </is>
      </c>
      <c r="G766" t="n">
        <v>5.8</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46092</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231-2022</t>
        </is>
      </c>
      <c r="B768" s="1" t="n">
        <v>44564.93909722222</v>
      </c>
      <c r="C768" s="1" t="n">
        <v>46092</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58952-2024</t>
        </is>
      </c>
      <c r="B769" s="1" t="n">
        <v>45636.5674537037</v>
      </c>
      <c r="C769" s="1" t="n">
        <v>46092</v>
      </c>
      <c r="D769" t="inlineStr">
        <is>
          <t>JÄMTLANDS LÄN</t>
        </is>
      </c>
      <c r="E769" t="inlineStr">
        <is>
          <t>ÖSTERSUND</t>
        </is>
      </c>
      <c r="G769" t="n">
        <v>3.7</v>
      </c>
      <c r="H769" t="n">
        <v>0</v>
      </c>
      <c r="I769" t="n">
        <v>0</v>
      </c>
      <c r="J769" t="n">
        <v>0</v>
      </c>
      <c r="K769" t="n">
        <v>0</v>
      </c>
      <c r="L769" t="n">
        <v>0</v>
      </c>
      <c r="M769" t="n">
        <v>0</v>
      </c>
      <c r="N769" t="n">
        <v>0</v>
      </c>
      <c r="O769" t="n">
        <v>0</v>
      </c>
      <c r="P769" t="n">
        <v>0</v>
      </c>
      <c r="Q769" t="n">
        <v>0</v>
      </c>
      <c r="R769" s="2" t="inlineStr"/>
    </row>
    <row r="770" ht="15" customHeight="1">
      <c r="A770" t="inlineStr">
        <is>
          <t>A 46748-2023</t>
        </is>
      </c>
      <c r="B770" s="1" t="n">
        <v>45198</v>
      </c>
      <c r="C770" s="1" t="n">
        <v>46092</v>
      </c>
      <c r="D770" t="inlineStr">
        <is>
          <t>JÄMTLANDS LÄN</t>
        </is>
      </c>
      <c r="E770" t="inlineStr">
        <is>
          <t>ÖSTERSUND</t>
        </is>
      </c>
      <c r="F770" t="inlineStr">
        <is>
          <t>Sveaskog</t>
        </is>
      </c>
      <c r="G770" t="n">
        <v>2.7</v>
      </c>
      <c r="H770" t="n">
        <v>0</v>
      </c>
      <c r="I770" t="n">
        <v>0</v>
      </c>
      <c r="J770" t="n">
        <v>0</v>
      </c>
      <c r="K770" t="n">
        <v>0</v>
      </c>
      <c r="L770" t="n">
        <v>0</v>
      </c>
      <c r="M770" t="n">
        <v>0</v>
      </c>
      <c r="N770" t="n">
        <v>0</v>
      </c>
      <c r="O770" t="n">
        <v>0</v>
      </c>
      <c r="P770" t="n">
        <v>0</v>
      </c>
      <c r="Q770" t="n">
        <v>0</v>
      </c>
      <c r="R770" s="2" t="inlineStr"/>
    </row>
    <row r="771" ht="15" customHeight="1">
      <c r="A771" t="inlineStr">
        <is>
          <t>A 46763-2023</t>
        </is>
      </c>
      <c r="B771" s="1" t="n">
        <v>45198</v>
      </c>
      <c r="C771" s="1" t="n">
        <v>46092</v>
      </c>
      <c r="D771" t="inlineStr">
        <is>
          <t>JÄMTLANDS LÄN</t>
        </is>
      </c>
      <c r="E771" t="inlineStr">
        <is>
          <t>ÖSTERSUND</t>
        </is>
      </c>
      <c r="F771" t="inlineStr">
        <is>
          <t>Sveaskog</t>
        </is>
      </c>
      <c r="G771" t="n">
        <v>13.3</v>
      </c>
      <c r="H771" t="n">
        <v>0</v>
      </c>
      <c r="I771" t="n">
        <v>0</v>
      </c>
      <c r="J771" t="n">
        <v>0</v>
      </c>
      <c r="K771" t="n">
        <v>0</v>
      </c>
      <c r="L771" t="n">
        <v>0</v>
      </c>
      <c r="M771" t="n">
        <v>0</v>
      </c>
      <c r="N771" t="n">
        <v>0</v>
      </c>
      <c r="O771" t="n">
        <v>0</v>
      </c>
      <c r="P771" t="n">
        <v>0</v>
      </c>
      <c r="Q771" t="n">
        <v>0</v>
      </c>
      <c r="R771" s="2" t="inlineStr"/>
    </row>
    <row r="772" ht="15" customHeight="1">
      <c r="A772" t="inlineStr">
        <is>
          <t>A 5341-2025</t>
        </is>
      </c>
      <c r="B772" s="1" t="n">
        <v>45692.55256944444</v>
      </c>
      <c r="C772" s="1" t="n">
        <v>46092</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21060-2025</t>
        </is>
      </c>
      <c r="B773" s="1" t="n">
        <v>45777.58025462963</v>
      </c>
      <c r="C773" s="1" t="n">
        <v>46092</v>
      </c>
      <c r="D773" t="inlineStr">
        <is>
          <t>JÄMTLANDS LÄN</t>
        </is>
      </c>
      <c r="E773" t="inlineStr">
        <is>
          <t>ÖSTERSUND</t>
        </is>
      </c>
      <c r="G773" t="n">
        <v>2.9</v>
      </c>
      <c r="H773" t="n">
        <v>0</v>
      </c>
      <c r="I773" t="n">
        <v>0</v>
      </c>
      <c r="J773" t="n">
        <v>0</v>
      </c>
      <c r="K773" t="n">
        <v>0</v>
      </c>
      <c r="L773" t="n">
        <v>0</v>
      </c>
      <c r="M773" t="n">
        <v>0</v>
      </c>
      <c r="N773" t="n">
        <v>0</v>
      </c>
      <c r="O773" t="n">
        <v>0</v>
      </c>
      <c r="P773" t="n">
        <v>0</v>
      </c>
      <c r="Q773" t="n">
        <v>0</v>
      </c>
      <c r="R773" s="2" t="inlineStr"/>
    </row>
    <row r="774" ht="15" customHeight="1">
      <c r="A774" t="inlineStr">
        <is>
          <t>A 21094-2025</t>
        </is>
      </c>
      <c r="B774" s="1" t="n">
        <v>45777.62665509259</v>
      </c>
      <c r="C774" s="1" t="n">
        <v>46092</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21237-2025</t>
        </is>
      </c>
      <c r="B775" s="1" t="n">
        <v>45779</v>
      </c>
      <c r="C775" s="1" t="n">
        <v>46092</v>
      </c>
      <c r="D775" t="inlineStr">
        <is>
          <t>JÄMTLANDS LÄN</t>
        </is>
      </c>
      <c r="E775" t="inlineStr">
        <is>
          <t>ÖSTERSUND</t>
        </is>
      </c>
      <c r="G775" t="n">
        <v>0.4</v>
      </c>
      <c r="H775" t="n">
        <v>0</v>
      </c>
      <c r="I775" t="n">
        <v>0</v>
      </c>
      <c r="J775" t="n">
        <v>0</v>
      </c>
      <c r="K775" t="n">
        <v>0</v>
      </c>
      <c r="L775" t="n">
        <v>0</v>
      </c>
      <c r="M775" t="n">
        <v>0</v>
      </c>
      <c r="N775" t="n">
        <v>0</v>
      </c>
      <c r="O775" t="n">
        <v>0</v>
      </c>
      <c r="P775" t="n">
        <v>0</v>
      </c>
      <c r="Q775" t="n">
        <v>0</v>
      </c>
      <c r="R775" s="2" t="inlineStr"/>
    </row>
    <row r="776" ht="15" customHeight="1">
      <c r="A776" t="inlineStr">
        <is>
          <t>A 16812-2025</t>
        </is>
      </c>
      <c r="B776" s="1" t="n">
        <v>45754</v>
      </c>
      <c r="C776" s="1" t="n">
        <v>46092</v>
      </c>
      <c r="D776" t="inlineStr">
        <is>
          <t>JÄMTLANDS LÄN</t>
        </is>
      </c>
      <c r="E776" t="inlineStr">
        <is>
          <t>ÖSTERSUND</t>
        </is>
      </c>
      <c r="F776" t="inlineStr">
        <is>
          <t>Övriga statliga verk och myndigheter</t>
        </is>
      </c>
      <c r="G776" t="n">
        <v>3.7</v>
      </c>
      <c r="H776" t="n">
        <v>0</v>
      </c>
      <c r="I776" t="n">
        <v>0</v>
      </c>
      <c r="J776" t="n">
        <v>0</v>
      </c>
      <c r="K776" t="n">
        <v>0</v>
      </c>
      <c r="L776" t="n">
        <v>0</v>
      </c>
      <c r="M776" t="n">
        <v>0</v>
      </c>
      <c r="N776" t="n">
        <v>0</v>
      </c>
      <c r="O776" t="n">
        <v>0</v>
      </c>
      <c r="P776" t="n">
        <v>0</v>
      </c>
      <c r="Q776" t="n">
        <v>0</v>
      </c>
      <c r="R776" s="2" t="inlineStr"/>
    </row>
    <row r="777" ht="15" customHeight="1">
      <c r="A777" t="inlineStr">
        <is>
          <t>A 14848-2025</t>
        </is>
      </c>
      <c r="B777" s="1" t="n">
        <v>45743.39528935185</v>
      </c>
      <c r="C777" s="1" t="n">
        <v>46092</v>
      </c>
      <c r="D777" t="inlineStr">
        <is>
          <t>JÄMTLANDS LÄN</t>
        </is>
      </c>
      <c r="E777" t="inlineStr">
        <is>
          <t>ÖSTERSUND</t>
        </is>
      </c>
      <c r="G777" t="n">
        <v>12.1</v>
      </c>
      <c r="H777" t="n">
        <v>0</v>
      </c>
      <c r="I777" t="n">
        <v>0</v>
      </c>
      <c r="J777" t="n">
        <v>0</v>
      </c>
      <c r="K777" t="n">
        <v>0</v>
      </c>
      <c r="L777" t="n">
        <v>0</v>
      </c>
      <c r="M777" t="n">
        <v>0</v>
      </c>
      <c r="N777" t="n">
        <v>0</v>
      </c>
      <c r="O777" t="n">
        <v>0</v>
      </c>
      <c r="P777" t="n">
        <v>0</v>
      </c>
      <c r="Q777" t="n">
        <v>0</v>
      </c>
      <c r="R777" s="2" t="inlineStr"/>
    </row>
    <row r="778" ht="15" customHeight="1">
      <c r="A778" t="inlineStr">
        <is>
          <t>A 16725-2025</t>
        </is>
      </c>
      <c r="B778" s="1" t="n">
        <v>45754</v>
      </c>
      <c r="C778" s="1" t="n">
        <v>46092</v>
      </c>
      <c r="D778" t="inlineStr">
        <is>
          <t>JÄMTLANDS LÄN</t>
        </is>
      </c>
      <c r="E778" t="inlineStr">
        <is>
          <t>ÖSTERSUND</t>
        </is>
      </c>
      <c r="F778" t="inlineStr">
        <is>
          <t>Övriga statliga verk och myndigheter</t>
        </is>
      </c>
      <c r="G778" t="n">
        <v>3.7</v>
      </c>
      <c r="H778" t="n">
        <v>0</v>
      </c>
      <c r="I778" t="n">
        <v>0</v>
      </c>
      <c r="J778" t="n">
        <v>0</v>
      </c>
      <c r="K778" t="n">
        <v>0</v>
      </c>
      <c r="L778" t="n">
        <v>0</v>
      </c>
      <c r="M778" t="n">
        <v>0</v>
      </c>
      <c r="N778" t="n">
        <v>0</v>
      </c>
      <c r="O778" t="n">
        <v>0</v>
      </c>
      <c r="P778" t="n">
        <v>0</v>
      </c>
      <c r="Q778" t="n">
        <v>0</v>
      </c>
      <c r="R778" s="2" t="inlineStr"/>
    </row>
    <row r="779" ht="15" customHeight="1">
      <c r="A779" t="inlineStr">
        <is>
          <t>A 4480-2025</t>
        </is>
      </c>
      <c r="B779" s="1" t="n">
        <v>45686.64175925926</v>
      </c>
      <c r="C779" s="1" t="n">
        <v>46092</v>
      </c>
      <c r="D779" t="inlineStr">
        <is>
          <t>JÄMTLANDS LÄN</t>
        </is>
      </c>
      <c r="E779" t="inlineStr">
        <is>
          <t>ÖSTERSUND</t>
        </is>
      </c>
      <c r="G779" t="n">
        <v>27.7</v>
      </c>
      <c r="H779" t="n">
        <v>0</v>
      </c>
      <c r="I779" t="n">
        <v>0</v>
      </c>
      <c r="J779" t="n">
        <v>0</v>
      </c>
      <c r="K779" t="n">
        <v>0</v>
      </c>
      <c r="L779" t="n">
        <v>0</v>
      </c>
      <c r="M779" t="n">
        <v>0</v>
      </c>
      <c r="N779" t="n">
        <v>0</v>
      </c>
      <c r="O779" t="n">
        <v>0</v>
      </c>
      <c r="P779" t="n">
        <v>0</v>
      </c>
      <c r="Q779" t="n">
        <v>0</v>
      </c>
      <c r="R779" s="2" t="inlineStr"/>
    </row>
    <row r="780">
      <c r="A780" t="inlineStr">
        <is>
          <t>A 22612-2025</t>
        </is>
      </c>
      <c r="B780" s="1" t="n">
        <v>45789.42538194444</v>
      </c>
      <c r="C780" s="1" t="n">
        <v>46092</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2026-03-11T11:24:36Z</dcterms:created>
  <dcterms:modified xmlns:dcterms="http://purl.org/dc/terms/" xmlns:xsi="http://www.w3.org/2001/XMLSchema-instance" xsi:type="dcterms:W3CDTF">2026-03-11T11:24:37Z</dcterms:modified>
</cp:coreProperties>
</file>