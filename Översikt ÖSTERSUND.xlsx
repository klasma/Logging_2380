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46052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46052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46052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46052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46052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46052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46052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46052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46052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46052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46052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46052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46052</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46052</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46052</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46052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54517-2025</t>
        </is>
      </c>
      <c r="B19" s="1" t="n">
        <v>45965</v>
      </c>
      <c r="C19" s="1" t="n">
        <v>46052</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46052</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46052</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46052</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46052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46052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46052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46052</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46052</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46052</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46052</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26796-2024</t>
        </is>
      </c>
      <c r="B30" s="1" t="n">
        <v>45470</v>
      </c>
      <c r="C30" s="1" t="n">
        <v>46052</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46052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61766-2024</t>
        </is>
      </c>
      <c r="B32" s="1" t="n">
        <v>45649</v>
      </c>
      <c r="C32" s="1" t="n">
        <v>46052</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46052</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34816-2024</t>
        </is>
      </c>
      <c r="B34" s="1" t="n">
        <v>45526</v>
      </c>
      <c r="C34" s="1" t="n">
        <v>46052</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46052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46052</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46052</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10744-2024</t>
        </is>
      </c>
      <c r="B38" s="1" t="n">
        <v>45369</v>
      </c>
      <c r="C38" s="1" t="n">
        <v>46052</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46052</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46052</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46052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17716-2024</t>
        </is>
      </c>
      <c r="B42" s="1" t="n">
        <v>45415</v>
      </c>
      <c r="C42" s="1" t="n">
        <v>46052</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63193-2025</t>
        </is>
      </c>
      <c r="B43" s="1" t="n">
        <v>46010.45428240741</v>
      </c>
      <c r="C43" s="1" t="n">
        <v>46052</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56648-2025</t>
        </is>
      </c>
      <c r="B44" s="1" t="n">
        <v>45975.63604166666</v>
      </c>
      <c r="C44" s="1" t="n">
        <v>46052</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39735-2021</t>
        </is>
      </c>
      <c r="B45" s="1" t="n">
        <v>44414</v>
      </c>
      <c r="C45" s="1" t="n">
        <v>46052</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16369-2023</t>
        </is>
      </c>
      <c r="B46" s="1" t="n">
        <v>45028</v>
      </c>
      <c r="C46" s="1" t="n">
        <v>46052</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54608-2023</t>
        </is>
      </c>
      <c r="B47" s="1" t="n">
        <v>45233</v>
      </c>
      <c r="C47" s="1" t="n">
        <v>46052</v>
      </c>
      <c r="D47" t="inlineStr">
        <is>
          <t>JÄMTLANDS LÄN</t>
        </is>
      </c>
      <c r="E47" t="inlineStr">
        <is>
          <t>ÖSTERSUND</t>
        </is>
      </c>
      <c r="F47" t="inlineStr">
        <is>
          <t>SCA</t>
        </is>
      </c>
      <c r="G47" t="n">
        <v>4.3</v>
      </c>
      <c r="H47" t="n">
        <v>1</v>
      </c>
      <c r="I47" t="n">
        <v>5</v>
      </c>
      <c r="J47" t="n">
        <v>2</v>
      </c>
      <c r="K47" t="n">
        <v>0</v>
      </c>
      <c r="L47" t="n">
        <v>0</v>
      </c>
      <c r="M47" t="n">
        <v>0</v>
      </c>
      <c r="N47" t="n">
        <v>0</v>
      </c>
      <c r="O47" t="n">
        <v>2</v>
      </c>
      <c r="P47" t="n">
        <v>0</v>
      </c>
      <c r="Q47" t="n">
        <v>7</v>
      </c>
      <c r="R47" s="2" t="inlineStr">
        <is>
          <t>Granticka
Ullticka
Guckusko
Svavelriska
Trådfräken
Trådticka
Underviol</t>
        </is>
      </c>
      <c r="S47">
        <f>HYPERLINK("https://klasma.github.io/Logging_2380/artfynd/A 54608-2023 artfynd.xlsx", "A 54608-2023")</f>
        <v/>
      </c>
      <c r="T47">
        <f>HYPERLINK("https://klasma.github.io/Logging_2380/kartor/A 54608-2023 karta.png", "A 54608-2023")</f>
        <v/>
      </c>
      <c r="V47">
        <f>HYPERLINK("https://klasma.github.io/Logging_2380/klagomål/A 54608-2023 FSC-klagomål.docx", "A 54608-2023")</f>
        <v/>
      </c>
      <c r="W47">
        <f>HYPERLINK("https://klasma.github.io/Logging_2380/klagomålsmail/A 54608-2023 FSC-klagomål mail.docx", "A 54608-2023")</f>
        <v/>
      </c>
      <c r="X47">
        <f>HYPERLINK("https://klasma.github.io/Logging_2380/tillsyn/A 54608-2023 tillsynsbegäran.docx", "A 54608-2023")</f>
        <v/>
      </c>
      <c r="Y47">
        <f>HYPERLINK("https://klasma.github.io/Logging_2380/tillsynsmail/A 54608-2023 tillsynsbegäran mail.docx", "A 54608-2023")</f>
        <v/>
      </c>
    </row>
    <row r="48" ht="15" customHeight="1">
      <c r="A48" t="inlineStr">
        <is>
          <t>A 31122-2025</t>
        </is>
      </c>
      <c r="B48" s="1" t="n">
        <v>45831</v>
      </c>
      <c r="C48" s="1" t="n">
        <v>46052</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53292-2025</t>
        </is>
      </c>
      <c r="B49" s="1" t="n">
        <v>45958</v>
      </c>
      <c r="C49" s="1" t="n">
        <v>46052</v>
      </c>
      <c r="D49" t="inlineStr">
        <is>
          <t>JÄMTLANDS LÄN</t>
        </is>
      </c>
      <c r="E49" t="inlineStr">
        <is>
          <t>ÖSTERSUND</t>
        </is>
      </c>
      <c r="G49" t="n">
        <v>3</v>
      </c>
      <c r="H49" t="n">
        <v>5</v>
      </c>
      <c r="I49" t="n">
        <v>0</v>
      </c>
      <c r="J49" t="n">
        <v>3</v>
      </c>
      <c r="K49" t="n">
        <v>1</v>
      </c>
      <c r="L49" t="n">
        <v>0</v>
      </c>
      <c r="M49" t="n">
        <v>0</v>
      </c>
      <c r="N49" t="n">
        <v>0</v>
      </c>
      <c r="O49" t="n">
        <v>4</v>
      </c>
      <c r="P49" t="n">
        <v>1</v>
      </c>
      <c r="Q49" t="n">
        <v>7</v>
      </c>
      <c r="R49" s="2" t="inlineStr">
        <is>
          <t>Knärot
Garnlav
Granticka
Talltita
Kungsfågel
Blåsippa
Revlummer</t>
        </is>
      </c>
      <c r="S49">
        <f>HYPERLINK("https://klasma.github.io/Logging_2380/artfynd/A 53292-2025 artfynd.xlsx", "A 53292-2025")</f>
        <v/>
      </c>
      <c r="T49">
        <f>HYPERLINK("https://klasma.github.io/Logging_2380/kartor/A 53292-2025 karta.png", "A 53292-2025")</f>
        <v/>
      </c>
      <c r="U49">
        <f>HYPERLINK("https://klasma.github.io/Logging_2380/knärot/A 53292-2025 karta knärot.png", "A 53292-2025")</f>
        <v/>
      </c>
      <c r="V49">
        <f>HYPERLINK("https://klasma.github.io/Logging_2380/klagomål/A 53292-2025 FSC-klagomål.docx", "A 53292-2025")</f>
        <v/>
      </c>
      <c r="W49">
        <f>HYPERLINK("https://klasma.github.io/Logging_2380/klagomålsmail/A 53292-2025 FSC-klagomål mail.docx", "A 53292-2025")</f>
        <v/>
      </c>
      <c r="X49">
        <f>HYPERLINK("https://klasma.github.io/Logging_2380/tillsyn/A 53292-2025 tillsynsbegäran.docx", "A 53292-2025")</f>
        <v/>
      </c>
      <c r="Y49">
        <f>HYPERLINK("https://klasma.github.io/Logging_2380/tillsynsmail/A 53292-2025 tillsynsbegäran mail.docx", "A 53292-2025")</f>
        <v/>
      </c>
      <c r="Z49">
        <f>HYPERLINK("https://klasma.github.io/Logging_2380/fåglar/A 53292-2025 prioriterade fågelarter.docx", "A 53292-2025")</f>
        <v/>
      </c>
    </row>
    <row r="50" ht="15" customHeight="1">
      <c r="A50" t="inlineStr">
        <is>
          <t>A 57729-2025</t>
        </is>
      </c>
      <c r="B50" s="1" t="n">
        <v>45981.50630787037</v>
      </c>
      <c r="C50" s="1" t="n">
        <v>46052</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52297-2025</t>
        </is>
      </c>
      <c r="B51" s="1" t="n">
        <v>45953.61092592592</v>
      </c>
      <c r="C51" s="1" t="n">
        <v>46052</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48736-2025</t>
        </is>
      </c>
      <c r="B52" s="1" t="n">
        <v>45936.66547453704</v>
      </c>
      <c r="C52" s="1" t="n">
        <v>46052</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46052</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46052</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5203-2026</t>
        </is>
      </c>
      <c r="B55" s="1" t="n">
        <v>46049.67512731482</v>
      </c>
      <c r="C55" s="1" t="n">
        <v>46052</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26372-2025</t>
        </is>
      </c>
      <c r="B56" s="1" t="n">
        <v>45806</v>
      </c>
      <c r="C56" s="1" t="n">
        <v>46052</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28512-2021</t>
        </is>
      </c>
      <c r="B57" s="1" t="n">
        <v>44356</v>
      </c>
      <c r="C57" s="1" t="n">
        <v>46052</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12712-2021</t>
        </is>
      </c>
      <c r="B58" s="1" t="n">
        <v>44270.58950231481</v>
      </c>
      <c r="C58" s="1" t="n">
        <v>46052</v>
      </c>
      <c r="D58" t="inlineStr">
        <is>
          <t>JÄMTLANDS LÄN</t>
        </is>
      </c>
      <c r="E58" t="inlineStr">
        <is>
          <t>ÖSTERSUND</t>
        </is>
      </c>
      <c r="G58" t="n">
        <v>8</v>
      </c>
      <c r="H58" t="n">
        <v>2</v>
      </c>
      <c r="I58" t="n">
        <v>3</v>
      </c>
      <c r="J58" t="n">
        <v>1</v>
      </c>
      <c r="K58" t="n">
        <v>0</v>
      </c>
      <c r="L58" t="n">
        <v>1</v>
      </c>
      <c r="M58" t="n">
        <v>0</v>
      </c>
      <c r="N58" t="n">
        <v>0</v>
      </c>
      <c r="O58" t="n">
        <v>2</v>
      </c>
      <c r="P58" t="n">
        <v>1</v>
      </c>
      <c r="Q58" t="n">
        <v>6</v>
      </c>
      <c r="R58" s="2" t="inlineStr">
        <is>
          <t>Trolldruvemätare
Talltita
Kransrams
Tibast
Underviol
Blåsippa</t>
        </is>
      </c>
      <c r="S58">
        <f>HYPERLINK("https://klasma.github.io/Logging_2380/artfynd/A 12712-2021 artfynd.xlsx", "A 12712-2021")</f>
        <v/>
      </c>
      <c r="T58">
        <f>HYPERLINK("https://klasma.github.io/Logging_2380/kartor/A 12712-2021 karta.png", "A 12712-2021")</f>
        <v/>
      </c>
      <c r="V58">
        <f>HYPERLINK("https://klasma.github.io/Logging_2380/klagomål/A 12712-2021 FSC-klagomål.docx", "A 12712-2021")</f>
        <v/>
      </c>
      <c r="W58">
        <f>HYPERLINK("https://klasma.github.io/Logging_2380/klagomålsmail/A 12712-2021 FSC-klagomål mail.docx", "A 12712-2021")</f>
        <v/>
      </c>
      <c r="X58">
        <f>HYPERLINK("https://klasma.github.io/Logging_2380/tillsyn/A 12712-2021 tillsynsbegäran.docx", "A 12712-2021")</f>
        <v/>
      </c>
      <c r="Y58">
        <f>HYPERLINK("https://klasma.github.io/Logging_2380/tillsynsmail/A 12712-2021 tillsynsbegäran mail.docx", "A 12712-2021")</f>
        <v/>
      </c>
      <c r="Z58">
        <f>HYPERLINK("https://klasma.github.io/Logging_2380/fåglar/A 12712-2021 prioriterade fågelarter.docx", "A 12712-2021")</f>
        <v/>
      </c>
    </row>
    <row r="59" ht="15" customHeight="1">
      <c r="A59" t="inlineStr">
        <is>
          <t>A 61153-2024</t>
        </is>
      </c>
      <c r="B59" s="1" t="n">
        <v>45645</v>
      </c>
      <c r="C59" s="1" t="n">
        <v>46052</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18338-2025</t>
        </is>
      </c>
      <c r="B60" s="1" t="n">
        <v>45762.51075231482</v>
      </c>
      <c r="C60" s="1" t="n">
        <v>46052</v>
      </c>
      <c r="D60" t="inlineStr">
        <is>
          <t>JÄMTLANDS LÄN</t>
        </is>
      </c>
      <c r="E60" t="inlineStr">
        <is>
          <t>ÖSTERSUND</t>
        </is>
      </c>
      <c r="F60" t="inlineStr">
        <is>
          <t>SCA</t>
        </is>
      </c>
      <c r="G60" t="n">
        <v>5.3</v>
      </c>
      <c r="H60" t="n">
        <v>1</v>
      </c>
      <c r="I60" t="n">
        <v>2</v>
      </c>
      <c r="J60" t="n">
        <v>3</v>
      </c>
      <c r="K60" t="n">
        <v>0</v>
      </c>
      <c r="L60" t="n">
        <v>0</v>
      </c>
      <c r="M60" t="n">
        <v>0</v>
      </c>
      <c r="N60" t="n">
        <v>0</v>
      </c>
      <c r="O60" t="n">
        <v>3</v>
      </c>
      <c r="P60" t="n">
        <v>0</v>
      </c>
      <c r="Q60" t="n">
        <v>6</v>
      </c>
      <c r="R60" s="2" t="inlineStr">
        <is>
          <t>Kolflarnlav
Oljetagging
Vedflamlav
Barkticka
Stor aspticka
Fläcknycklar</t>
        </is>
      </c>
      <c r="S60">
        <f>HYPERLINK("https://klasma.github.io/Logging_2380/artfynd/A 18338-2025 artfynd.xlsx", "A 18338-2025")</f>
        <v/>
      </c>
      <c r="T60">
        <f>HYPERLINK("https://klasma.github.io/Logging_2380/kartor/A 18338-2025 karta.png", "A 18338-2025")</f>
        <v/>
      </c>
      <c r="V60">
        <f>HYPERLINK("https://klasma.github.io/Logging_2380/klagomål/A 18338-2025 FSC-klagomål.docx", "A 18338-2025")</f>
        <v/>
      </c>
      <c r="W60">
        <f>HYPERLINK("https://klasma.github.io/Logging_2380/klagomålsmail/A 18338-2025 FSC-klagomål mail.docx", "A 18338-2025")</f>
        <v/>
      </c>
      <c r="X60">
        <f>HYPERLINK("https://klasma.github.io/Logging_2380/tillsyn/A 18338-2025 tillsynsbegäran.docx", "A 18338-2025")</f>
        <v/>
      </c>
      <c r="Y60">
        <f>HYPERLINK("https://klasma.github.io/Logging_2380/tillsynsmail/A 18338-2025 tillsynsbegäran mail.docx", "A 18338-2025")</f>
        <v/>
      </c>
    </row>
    <row r="61" ht="15" customHeight="1">
      <c r="A61" t="inlineStr">
        <is>
          <t>A 3995-2025</t>
        </is>
      </c>
      <c r="B61" s="1" t="n">
        <v>45684</v>
      </c>
      <c r="C61" s="1" t="n">
        <v>46052</v>
      </c>
      <c r="D61" t="inlineStr">
        <is>
          <t>JÄMTLANDS LÄN</t>
        </is>
      </c>
      <c r="E61" t="inlineStr">
        <is>
          <t>ÖSTERSUND</t>
        </is>
      </c>
      <c r="G61" t="n">
        <v>6.5</v>
      </c>
      <c r="H61" t="n">
        <v>1</v>
      </c>
      <c r="I61" t="n">
        <v>0</v>
      </c>
      <c r="J61" t="n">
        <v>5</v>
      </c>
      <c r="K61" t="n">
        <v>1</v>
      </c>
      <c r="L61" t="n">
        <v>0</v>
      </c>
      <c r="M61" t="n">
        <v>0</v>
      </c>
      <c r="N61" t="n">
        <v>0</v>
      </c>
      <c r="O61" t="n">
        <v>6</v>
      </c>
      <c r="P61" t="n">
        <v>1</v>
      </c>
      <c r="Q61" t="n">
        <v>6</v>
      </c>
      <c r="R61" s="2" t="inlineStr">
        <is>
          <t>Rynkskinn
Gränsticka
Rosenticka
Tretåig hackspett
Ullticka
Vedtrappmossa</t>
        </is>
      </c>
      <c r="S61">
        <f>HYPERLINK("https://klasma.github.io/Logging_2380/artfynd/A 3995-2025 artfynd.xlsx", "A 3995-2025")</f>
        <v/>
      </c>
      <c r="T61">
        <f>HYPERLINK("https://klasma.github.io/Logging_2380/kartor/A 3995-2025 karta.png", "A 3995-2025")</f>
        <v/>
      </c>
      <c r="V61">
        <f>HYPERLINK("https://klasma.github.io/Logging_2380/klagomål/A 3995-2025 FSC-klagomål.docx", "A 3995-2025")</f>
        <v/>
      </c>
      <c r="W61">
        <f>HYPERLINK("https://klasma.github.io/Logging_2380/klagomålsmail/A 3995-2025 FSC-klagomål mail.docx", "A 3995-2025")</f>
        <v/>
      </c>
      <c r="X61">
        <f>HYPERLINK("https://klasma.github.io/Logging_2380/tillsyn/A 3995-2025 tillsynsbegäran.docx", "A 3995-2025")</f>
        <v/>
      </c>
      <c r="Y61">
        <f>HYPERLINK("https://klasma.github.io/Logging_2380/tillsynsmail/A 3995-2025 tillsynsbegäran mail.docx", "A 3995-2025")</f>
        <v/>
      </c>
      <c r="Z61">
        <f>HYPERLINK("https://klasma.github.io/Logging_2380/fåglar/A 3995-2025 prioriterade fågelarter.docx", "A 3995-2025")</f>
        <v/>
      </c>
    </row>
    <row r="62" ht="15" customHeight="1">
      <c r="A62" t="inlineStr">
        <is>
          <t>A 47392-2022</t>
        </is>
      </c>
      <c r="B62" s="1" t="n">
        <v>44851</v>
      </c>
      <c r="C62" s="1" t="n">
        <v>46052</v>
      </c>
      <c r="D62" t="inlineStr">
        <is>
          <t>JÄMTLANDS LÄN</t>
        </is>
      </c>
      <c r="E62" t="inlineStr">
        <is>
          <t>ÖSTERSUND</t>
        </is>
      </c>
      <c r="G62" t="n">
        <v>1.6</v>
      </c>
      <c r="H62" t="n">
        <v>4</v>
      </c>
      <c r="I62" t="n">
        <v>3</v>
      </c>
      <c r="J62" t="n">
        <v>1</v>
      </c>
      <c r="K62" t="n">
        <v>1</v>
      </c>
      <c r="L62" t="n">
        <v>0</v>
      </c>
      <c r="M62" t="n">
        <v>0</v>
      </c>
      <c r="N62" t="n">
        <v>0</v>
      </c>
      <c r="O62" t="n">
        <v>2</v>
      </c>
      <c r="P62" t="n">
        <v>1</v>
      </c>
      <c r="Q62" t="n">
        <v>6</v>
      </c>
      <c r="R62" s="2" t="inlineStr">
        <is>
          <t>Knärot
Garnlav
Guckusko
Plattlummer
Trådfräken
Revlummer</t>
        </is>
      </c>
      <c r="S62">
        <f>HYPERLINK("https://klasma.github.io/Logging_2380/artfynd/A 47392-2022 artfynd.xlsx", "A 47392-2022")</f>
        <v/>
      </c>
      <c r="T62">
        <f>HYPERLINK("https://klasma.github.io/Logging_2380/kartor/A 47392-2022 karta.png", "A 47392-2022")</f>
        <v/>
      </c>
      <c r="U62">
        <f>HYPERLINK("https://klasma.github.io/Logging_2380/knärot/A 47392-2022 karta knärot.png", "A 47392-2022")</f>
        <v/>
      </c>
      <c r="V62">
        <f>HYPERLINK("https://klasma.github.io/Logging_2380/klagomål/A 47392-2022 FSC-klagomål.docx", "A 47392-2022")</f>
        <v/>
      </c>
      <c r="W62">
        <f>HYPERLINK("https://klasma.github.io/Logging_2380/klagomålsmail/A 47392-2022 FSC-klagomål mail.docx", "A 47392-2022")</f>
        <v/>
      </c>
      <c r="X62">
        <f>HYPERLINK("https://klasma.github.io/Logging_2380/tillsyn/A 47392-2022 tillsynsbegäran.docx", "A 47392-2022")</f>
        <v/>
      </c>
      <c r="Y62">
        <f>HYPERLINK("https://klasma.github.io/Logging_2380/tillsynsmail/A 47392-2022 tillsynsbegäran mail.docx", "A 47392-2022")</f>
        <v/>
      </c>
    </row>
    <row r="63" ht="15" customHeight="1">
      <c r="A63" t="inlineStr">
        <is>
          <t>A 376-2023</t>
        </is>
      </c>
      <c r="B63" s="1" t="n">
        <v>44929</v>
      </c>
      <c r="C63" s="1" t="n">
        <v>46052</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40555-2024</t>
        </is>
      </c>
      <c r="B64" s="1" t="n">
        <v>45555</v>
      </c>
      <c r="C64" s="1" t="n">
        <v>46052</v>
      </c>
      <c r="D64" t="inlineStr">
        <is>
          <t>JÄMTLANDS LÄN</t>
        </is>
      </c>
      <c r="E64" t="inlineStr">
        <is>
          <t>ÖSTERSUND</t>
        </is>
      </c>
      <c r="G64" t="n">
        <v>7.7</v>
      </c>
      <c r="H64" t="n">
        <v>3</v>
      </c>
      <c r="I64" t="n">
        <v>3</v>
      </c>
      <c r="J64" t="n">
        <v>2</v>
      </c>
      <c r="K64" t="n">
        <v>1</v>
      </c>
      <c r="L64" t="n">
        <v>0</v>
      </c>
      <c r="M64" t="n">
        <v>0</v>
      </c>
      <c r="N64" t="n">
        <v>0</v>
      </c>
      <c r="O64" t="n">
        <v>3</v>
      </c>
      <c r="P64" t="n">
        <v>1</v>
      </c>
      <c r="Q64" t="n">
        <v>6</v>
      </c>
      <c r="R64" s="2" t="inlineStr">
        <is>
          <t>Knärot
Lunglav
Talltita
Guckusko
Luddlav
Skinnlav</t>
        </is>
      </c>
      <c r="S64">
        <f>HYPERLINK("https://klasma.github.io/Logging_2380/artfynd/A 40555-2024 artfynd.xlsx", "A 40555-2024")</f>
        <v/>
      </c>
      <c r="T64">
        <f>HYPERLINK("https://klasma.github.io/Logging_2380/kartor/A 40555-2024 karta.png", "A 40555-2024")</f>
        <v/>
      </c>
      <c r="U64">
        <f>HYPERLINK("https://klasma.github.io/Logging_2380/knärot/A 40555-2024 karta knärot.png", "A 40555-2024")</f>
        <v/>
      </c>
      <c r="V64">
        <f>HYPERLINK("https://klasma.github.io/Logging_2380/klagomål/A 40555-2024 FSC-klagomål.docx", "A 40555-2024")</f>
        <v/>
      </c>
      <c r="W64">
        <f>HYPERLINK("https://klasma.github.io/Logging_2380/klagomålsmail/A 40555-2024 FSC-klagomål mail.docx", "A 40555-2024")</f>
        <v/>
      </c>
      <c r="X64">
        <f>HYPERLINK("https://klasma.github.io/Logging_2380/tillsyn/A 40555-2024 tillsynsbegäran.docx", "A 40555-2024")</f>
        <v/>
      </c>
      <c r="Y64">
        <f>HYPERLINK("https://klasma.github.io/Logging_2380/tillsynsmail/A 40555-2024 tillsynsbegäran mail.docx", "A 40555-2024")</f>
        <v/>
      </c>
      <c r="Z64">
        <f>HYPERLINK("https://klasma.github.io/Logging_2380/fåglar/A 40555-2024 prioriterade fågelarter.docx", "A 40555-2024")</f>
        <v/>
      </c>
    </row>
    <row r="65" ht="15" customHeight="1">
      <c r="A65" t="inlineStr">
        <is>
          <t>A 24523-2021</t>
        </is>
      </c>
      <c r="B65" s="1" t="n">
        <v>44337</v>
      </c>
      <c r="C65" s="1" t="n">
        <v>46052</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63201-2025</t>
        </is>
      </c>
      <c r="B66" s="1" t="n">
        <v>46010.46366898148</v>
      </c>
      <c r="C66" s="1" t="n">
        <v>46052</v>
      </c>
      <c r="D66" t="inlineStr">
        <is>
          <t>JÄMTLANDS LÄN</t>
        </is>
      </c>
      <c r="E66" t="inlineStr">
        <is>
          <t>ÖSTERSUND</t>
        </is>
      </c>
      <c r="G66" t="n">
        <v>5.8</v>
      </c>
      <c r="H66" t="n">
        <v>5</v>
      </c>
      <c r="I66" t="n">
        <v>1</v>
      </c>
      <c r="J66" t="n">
        <v>2</v>
      </c>
      <c r="K66" t="n">
        <v>1</v>
      </c>
      <c r="L66" t="n">
        <v>0</v>
      </c>
      <c r="M66" t="n">
        <v>0</v>
      </c>
      <c r="N66" t="n">
        <v>0</v>
      </c>
      <c r="O66" t="n">
        <v>3</v>
      </c>
      <c r="P66" t="n">
        <v>1</v>
      </c>
      <c r="Q66" t="n">
        <v>6</v>
      </c>
      <c r="R66" s="2" t="inlineStr">
        <is>
          <t>Knärot
Spillkråka
Tretåig hackspett
Kransrams
Lavskrika
Revlummer</t>
        </is>
      </c>
      <c r="S66">
        <f>HYPERLINK("https://klasma.github.io/Logging_2380/artfynd/A 63201-2025 artfynd.xlsx", "A 63201-2025")</f>
        <v/>
      </c>
      <c r="T66">
        <f>HYPERLINK("https://klasma.github.io/Logging_2380/kartor/A 63201-2025 karta.png", "A 63201-2025")</f>
        <v/>
      </c>
      <c r="U66">
        <f>HYPERLINK("https://klasma.github.io/Logging_2380/knärot/A 63201-2025 karta knärot.png", "A 63201-2025")</f>
        <v/>
      </c>
      <c r="V66">
        <f>HYPERLINK("https://klasma.github.io/Logging_2380/klagomål/A 63201-2025 FSC-klagomål.docx", "A 63201-2025")</f>
        <v/>
      </c>
      <c r="W66">
        <f>HYPERLINK("https://klasma.github.io/Logging_2380/klagomålsmail/A 63201-2025 FSC-klagomål mail.docx", "A 63201-2025")</f>
        <v/>
      </c>
      <c r="X66">
        <f>HYPERLINK("https://klasma.github.io/Logging_2380/tillsyn/A 63201-2025 tillsynsbegäran.docx", "A 63201-2025")</f>
        <v/>
      </c>
      <c r="Y66">
        <f>HYPERLINK("https://klasma.github.io/Logging_2380/tillsynsmail/A 63201-2025 tillsynsbegäran mail.docx", "A 63201-2025")</f>
        <v/>
      </c>
      <c r="Z66">
        <f>HYPERLINK("https://klasma.github.io/Logging_2380/fåglar/A 63201-2025 prioriterade fågelarter.docx", "A 63201-2025")</f>
        <v/>
      </c>
    </row>
    <row r="67" ht="15" customHeight="1">
      <c r="A67" t="inlineStr">
        <is>
          <t>A 40815-2025</t>
        </is>
      </c>
      <c r="B67" s="1" t="n">
        <v>45897</v>
      </c>
      <c r="C67" s="1" t="n">
        <v>46052</v>
      </c>
      <c r="D67" t="inlineStr">
        <is>
          <t>JÄMTLANDS LÄN</t>
        </is>
      </c>
      <c r="E67" t="inlineStr">
        <is>
          <t>ÖSTERSUND</t>
        </is>
      </c>
      <c r="F67" t="inlineStr">
        <is>
          <t>Kommuner</t>
        </is>
      </c>
      <c r="G67" t="n">
        <v>0.8</v>
      </c>
      <c r="H67" t="n">
        <v>2</v>
      </c>
      <c r="I67" t="n">
        <v>2</v>
      </c>
      <c r="J67" t="n">
        <v>2</v>
      </c>
      <c r="K67" t="n">
        <v>0</v>
      </c>
      <c r="L67" t="n">
        <v>0</v>
      </c>
      <c r="M67" t="n">
        <v>0</v>
      </c>
      <c r="N67" t="n">
        <v>0</v>
      </c>
      <c r="O67" t="n">
        <v>2</v>
      </c>
      <c r="P67" t="n">
        <v>0</v>
      </c>
      <c r="Q67" t="n">
        <v>6</v>
      </c>
      <c r="R67" s="2" t="inlineStr">
        <is>
          <t>Granticka
Lunglav
Svart trolldruva
Tibast
Blåsippa
Revlummer</t>
        </is>
      </c>
      <c r="S67">
        <f>HYPERLINK("https://klasma.github.io/Logging_2380/artfynd/A 40815-2025 artfynd.xlsx", "A 40815-2025")</f>
        <v/>
      </c>
      <c r="T67">
        <f>HYPERLINK("https://klasma.github.io/Logging_2380/kartor/A 40815-2025 karta.png", "A 40815-2025")</f>
        <v/>
      </c>
      <c r="V67">
        <f>HYPERLINK("https://klasma.github.io/Logging_2380/klagomål/A 40815-2025 FSC-klagomål.docx", "A 40815-2025")</f>
        <v/>
      </c>
      <c r="W67">
        <f>HYPERLINK("https://klasma.github.io/Logging_2380/klagomålsmail/A 40815-2025 FSC-klagomål mail.docx", "A 40815-2025")</f>
        <v/>
      </c>
      <c r="X67">
        <f>HYPERLINK("https://klasma.github.io/Logging_2380/tillsyn/A 40815-2025 tillsynsbegäran.docx", "A 40815-2025")</f>
        <v/>
      </c>
      <c r="Y67">
        <f>HYPERLINK("https://klasma.github.io/Logging_2380/tillsynsmail/A 40815-2025 tillsynsbegäran mail.docx", "A 40815-2025")</f>
        <v/>
      </c>
    </row>
    <row r="68" ht="15" customHeight="1">
      <c r="A68" t="inlineStr">
        <is>
          <t>A 61212-2025</t>
        </is>
      </c>
      <c r="B68" s="1" t="n">
        <v>46000.61640046296</v>
      </c>
      <c r="C68" s="1" t="n">
        <v>46052</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62696-2025</t>
        </is>
      </c>
      <c r="B69" s="1" t="n">
        <v>46008.48708333333</v>
      </c>
      <c r="C69" s="1" t="n">
        <v>46052</v>
      </c>
      <c r="D69" t="inlineStr">
        <is>
          <t>JÄMTLANDS LÄN</t>
        </is>
      </c>
      <c r="E69" t="inlineStr">
        <is>
          <t>ÖSTERSUND</t>
        </is>
      </c>
      <c r="G69" t="n">
        <v>11.3</v>
      </c>
      <c r="H69" t="n">
        <v>3</v>
      </c>
      <c r="I69" t="n">
        <v>1</v>
      </c>
      <c r="J69" t="n">
        <v>4</v>
      </c>
      <c r="K69" t="n">
        <v>0</v>
      </c>
      <c r="L69" t="n">
        <v>0</v>
      </c>
      <c r="M69" t="n">
        <v>0</v>
      </c>
      <c r="N69" t="n">
        <v>0</v>
      </c>
      <c r="O69" t="n">
        <v>4</v>
      </c>
      <c r="P69" t="n">
        <v>0</v>
      </c>
      <c r="Q69" t="n">
        <v>6</v>
      </c>
      <c r="R69" s="2" t="inlineStr">
        <is>
          <t>Garnlav
Spillkråka
Tretåig hackspett
Ullticka
Stuplav
Revlummer</t>
        </is>
      </c>
      <c r="S69">
        <f>HYPERLINK("https://klasma.github.io/Logging_2380/artfynd/A 62696-2025 artfynd.xlsx", "A 62696-2025")</f>
        <v/>
      </c>
      <c r="T69">
        <f>HYPERLINK("https://klasma.github.io/Logging_2380/kartor/A 62696-2025 karta.png", "A 62696-2025")</f>
        <v/>
      </c>
      <c r="V69">
        <f>HYPERLINK("https://klasma.github.io/Logging_2380/klagomål/A 62696-2025 FSC-klagomål.docx", "A 62696-2025")</f>
        <v/>
      </c>
      <c r="W69">
        <f>HYPERLINK("https://klasma.github.io/Logging_2380/klagomålsmail/A 62696-2025 FSC-klagomål mail.docx", "A 62696-2025")</f>
        <v/>
      </c>
      <c r="X69">
        <f>HYPERLINK("https://klasma.github.io/Logging_2380/tillsyn/A 62696-2025 tillsynsbegäran.docx", "A 62696-2025")</f>
        <v/>
      </c>
      <c r="Y69">
        <f>HYPERLINK("https://klasma.github.io/Logging_2380/tillsynsmail/A 62696-2025 tillsynsbegäran mail.docx", "A 62696-2025")</f>
        <v/>
      </c>
      <c r="Z69">
        <f>HYPERLINK("https://klasma.github.io/Logging_2380/fåglar/A 62696-2025 prioriterade fågelarter.docx", "A 62696-2025")</f>
        <v/>
      </c>
    </row>
    <row r="70" ht="15" customHeight="1">
      <c r="A70" t="inlineStr">
        <is>
          <t>A 27577-2022</t>
        </is>
      </c>
      <c r="B70" s="1" t="n">
        <v>44742</v>
      </c>
      <c r="C70" s="1" t="n">
        <v>46052</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46052</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7717-2024</t>
        </is>
      </c>
      <c r="B72" s="1" t="n">
        <v>45349</v>
      </c>
      <c r="C72" s="1" t="n">
        <v>46052</v>
      </c>
      <c r="D72" t="inlineStr">
        <is>
          <t>JÄMTLANDS LÄN</t>
        </is>
      </c>
      <c r="E72" t="inlineStr">
        <is>
          <t>ÖSTERSUND</t>
        </is>
      </c>
      <c r="F72" t="inlineStr">
        <is>
          <t>Övriga Aktiebolag</t>
        </is>
      </c>
      <c r="G72" t="n">
        <v>2.5</v>
      </c>
      <c r="H72" t="n">
        <v>1</v>
      </c>
      <c r="I72" t="n">
        <v>1</v>
      </c>
      <c r="J72" t="n">
        <v>4</v>
      </c>
      <c r="K72" t="n">
        <v>0</v>
      </c>
      <c r="L72" t="n">
        <v>0</v>
      </c>
      <c r="M72" t="n">
        <v>0</v>
      </c>
      <c r="N72" t="n">
        <v>0</v>
      </c>
      <c r="O72" t="n">
        <v>4</v>
      </c>
      <c r="P72" t="n">
        <v>0</v>
      </c>
      <c r="Q72" t="n">
        <v>5</v>
      </c>
      <c r="R72" s="2" t="inlineStr">
        <is>
          <t>Garnlav
Lunglav
Skrovellav
Talltita
Stuplav</t>
        </is>
      </c>
      <c r="S72">
        <f>HYPERLINK("https://klasma.github.io/Logging_2380/artfynd/A 7717-2024 artfynd.xlsx", "A 7717-2024")</f>
        <v/>
      </c>
      <c r="T72">
        <f>HYPERLINK("https://klasma.github.io/Logging_2380/kartor/A 7717-2024 karta.png", "A 7717-2024")</f>
        <v/>
      </c>
      <c r="V72">
        <f>HYPERLINK("https://klasma.github.io/Logging_2380/klagomål/A 7717-2024 FSC-klagomål.docx", "A 7717-2024")</f>
        <v/>
      </c>
      <c r="W72">
        <f>HYPERLINK("https://klasma.github.io/Logging_2380/klagomålsmail/A 7717-2024 FSC-klagomål mail.docx", "A 7717-2024")</f>
        <v/>
      </c>
      <c r="X72">
        <f>HYPERLINK("https://klasma.github.io/Logging_2380/tillsyn/A 7717-2024 tillsynsbegäran.docx", "A 7717-2024")</f>
        <v/>
      </c>
      <c r="Y72">
        <f>HYPERLINK("https://klasma.github.io/Logging_2380/tillsynsmail/A 7717-2024 tillsynsbegäran mail.docx", "A 7717-2024")</f>
        <v/>
      </c>
      <c r="Z72">
        <f>HYPERLINK("https://klasma.github.io/Logging_2380/fåglar/A 7717-2024 prioriterade fågelarter.docx", "A 7717-2024")</f>
        <v/>
      </c>
    </row>
    <row r="73" ht="15" customHeight="1">
      <c r="A73" t="inlineStr">
        <is>
          <t>A 10747-2024</t>
        </is>
      </c>
      <c r="B73" s="1" t="n">
        <v>45369</v>
      </c>
      <c r="C73" s="1" t="n">
        <v>46052</v>
      </c>
      <c r="D73" t="inlineStr">
        <is>
          <t>JÄMTLANDS LÄN</t>
        </is>
      </c>
      <c r="E73" t="inlineStr">
        <is>
          <t>ÖSTERSUND</t>
        </is>
      </c>
      <c r="G73" t="n">
        <v>4.3</v>
      </c>
      <c r="H73" t="n">
        <v>1</v>
      </c>
      <c r="I73" t="n">
        <v>1</v>
      </c>
      <c r="J73" t="n">
        <v>3</v>
      </c>
      <c r="K73" t="n">
        <v>1</v>
      </c>
      <c r="L73" t="n">
        <v>0</v>
      </c>
      <c r="M73" t="n">
        <v>0</v>
      </c>
      <c r="N73" t="n">
        <v>0</v>
      </c>
      <c r="O73" t="n">
        <v>4</v>
      </c>
      <c r="P73" t="n">
        <v>1</v>
      </c>
      <c r="Q73" t="n">
        <v>5</v>
      </c>
      <c r="R73" s="2" t="inlineStr">
        <is>
          <t>Fjällfotad musseron
Barrviolspindling
Gultoppig fingersvamp
Tretåig hackspett
Fjällig taggsvamp s.str.</t>
        </is>
      </c>
      <c r="S73">
        <f>HYPERLINK("https://klasma.github.io/Logging_2380/artfynd/A 10747-2024 artfynd.xlsx", "A 10747-2024")</f>
        <v/>
      </c>
      <c r="T73">
        <f>HYPERLINK("https://klasma.github.io/Logging_2380/kartor/A 10747-2024 karta.png", "A 10747-2024")</f>
        <v/>
      </c>
      <c r="V73">
        <f>HYPERLINK("https://klasma.github.io/Logging_2380/klagomål/A 10747-2024 FSC-klagomål.docx", "A 10747-2024")</f>
        <v/>
      </c>
      <c r="W73">
        <f>HYPERLINK("https://klasma.github.io/Logging_2380/klagomålsmail/A 10747-2024 FSC-klagomål mail.docx", "A 10747-2024")</f>
        <v/>
      </c>
      <c r="X73">
        <f>HYPERLINK("https://klasma.github.io/Logging_2380/tillsyn/A 10747-2024 tillsynsbegäran.docx", "A 10747-2024")</f>
        <v/>
      </c>
      <c r="Y73">
        <f>HYPERLINK("https://klasma.github.io/Logging_2380/tillsynsmail/A 10747-2024 tillsynsbegäran mail.docx", "A 10747-2024")</f>
        <v/>
      </c>
      <c r="Z73">
        <f>HYPERLINK("https://klasma.github.io/Logging_2380/fåglar/A 10747-2024 prioriterade fågelarter.docx", "A 10747-2024")</f>
        <v/>
      </c>
    </row>
    <row r="74" ht="15" customHeight="1">
      <c r="A74" t="inlineStr">
        <is>
          <t>A 38334-2023</t>
        </is>
      </c>
      <c r="B74" s="1" t="n">
        <v>45161</v>
      </c>
      <c r="C74" s="1" t="n">
        <v>46052</v>
      </c>
      <c r="D74" t="inlineStr">
        <is>
          <t>JÄMTLANDS LÄN</t>
        </is>
      </c>
      <c r="E74" t="inlineStr">
        <is>
          <t>ÖSTERSUND</t>
        </is>
      </c>
      <c r="G74" t="n">
        <v>10.5</v>
      </c>
      <c r="H74" t="n">
        <v>1</v>
      </c>
      <c r="I74" t="n">
        <v>0</v>
      </c>
      <c r="J74" t="n">
        <v>3</v>
      </c>
      <c r="K74" t="n">
        <v>2</v>
      </c>
      <c r="L74" t="n">
        <v>0</v>
      </c>
      <c r="M74" t="n">
        <v>0</v>
      </c>
      <c r="N74" t="n">
        <v>0</v>
      </c>
      <c r="O74" t="n">
        <v>5</v>
      </c>
      <c r="P74" t="n">
        <v>2</v>
      </c>
      <c r="Q74" t="n">
        <v>5</v>
      </c>
      <c r="R74" s="2" t="inlineStr">
        <is>
          <t>Rynkskinn
Violett fingersvamp
Granticka
Harticka
Tretåig hackspett</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c r="Z74">
        <f>HYPERLINK("https://klasma.github.io/Logging_2380/fåglar/A 38334-2023 prioriterade fågelarter.docx", "A 38334-2023")</f>
        <v/>
      </c>
    </row>
    <row r="75" ht="15" customHeight="1">
      <c r="A75" t="inlineStr">
        <is>
          <t>A 29117-2025</t>
        </is>
      </c>
      <c r="B75" s="1" t="n">
        <v>45821.59243055555</v>
      </c>
      <c r="C75" s="1" t="n">
        <v>46052</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HYPERLINK("https://klasma.github.io/Logging_2380/artfynd/A 29117-2025 artfynd.xlsx", "A 29117-2025")</f>
        <v/>
      </c>
      <c r="T75">
        <f>HYPERLINK("https://klasma.github.io/Logging_2380/kartor/A 29117-2025 karta.png", "A 29117-2025")</f>
        <v/>
      </c>
      <c r="U75">
        <f>HYPERLINK("https://klasma.github.io/Logging_2380/knärot/A 29117-2025 karta knärot.png", "A 29117-2025")</f>
        <v/>
      </c>
      <c r="V75">
        <f>HYPERLINK("https://klasma.github.io/Logging_2380/klagomål/A 29117-2025 FSC-klagomål.docx", "A 29117-2025")</f>
        <v/>
      </c>
      <c r="W75">
        <f>HYPERLINK("https://klasma.github.io/Logging_2380/klagomålsmail/A 29117-2025 FSC-klagomål mail.docx", "A 29117-2025")</f>
        <v/>
      </c>
      <c r="X75">
        <f>HYPERLINK("https://klasma.github.io/Logging_2380/tillsyn/A 29117-2025 tillsynsbegäran.docx", "A 29117-2025")</f>
        <v/>
      </c>
      <c r="Y75">
        <f>HYPERLINK("https://klasma.github.io/Logging_2380/tillsynsmail/A 29117-2025 tillsynsbegäran mail.docx", "A 29117-2025")</f>
        <v/>
      </c>
    </row>
    <row r="76" ht="15" customHeight="1">
      <c r="A76" t="inlineStr">
        <is>
          <t>A 45979-2023</t>
        </is>
      </c>
      <c r="B76" s="1" t="n">
        <v>45189</v>
      </c>
      <c r="C76" s="1" t="n">
        <v>46052</v>
      </c>
      <c r="D76" t="inlineStr">
        <is>
          <t>JÄMTLANDS LÄN</t>
        </is>
      </c>
      <c r="E76" t="inlineStr">
        <is>
          <t>ÖSTERSUND</t>
        </is>
      </c>
      <c r="G76" t="n">
        <v>3.3</v>
      </c>
      <c r="H76" t="n">
        <v>3</v>
      </c>
      <c r="I76" t="n">
        <v>2</v>
      </c>
      <c r="J76" t="n">
        <v>0</v>
      </c>
      <c r="K76" t="n">
        <v>0</v>
      </c>
      <c r="L76" t="n">
        <v>1</v>
      </c>
      <c r="M76" t="n">
        <v>0</v>
      </c>
      <c r="N76" t="n">
        <v>0</v>
      </c>
      <c r="O76" t="n">
        <v>1</v>
      </c>
      <c r="P76" t="n">
        <v>1</v>
      </c>
      <c r="Q76" t="n">
        <v>5</v>
      </c>
      <c r="R76" s="2" t="inlineStr">
        <is>
          <t>Trolldruvemätare
Svart trolldruva
Tvåblad
Dactylorhiza incarnata subsp. incarnata
Ängsnycklar</t>
        </is>
      </c>
      <c r="S76">
        <f>HYPERLINK("https://klasma.github.io/Logging_2380/artfynd/A 45979-2023 artfynd.xlsx", "A 45979-2023")</f>
        <v/>
      </c>
      <c r="T76">
        <f>HYPERLINK("https://klasma.github.io/Logging_2380/kartor/A 45979-2023 karta.png", "A 45979-2023")</f>
        <v/>
      </c>
      <c r="V76">
        <f>HYPERLINK("https://klasma.github.io/Logging_2380/klagomål/A 45979-2023 FSC-klagomål.docx", "A 45979-2023")</f>
        <v/>
      </c>
      <c r="W76">
        <f>HYPERLINK("https://klasma.github.io/Logging_2380/klagomålsmail/A 45979-2023 FSC-klagomål mail.docx", "A 45979-2023")</f>
        <v/>
      </c>
      <c r="X76">
        <f>HYPERLINK("https://klasma.github.io/Logging_2380/tillsyn/A 45979-2023 tillsynsbegäran.docx", "A 45979-2023")</f>
        <v/>
      </c>
      <c r="Y76">
        <f>HYPERLINK("https://klasma.github.io/Logging_2380/tillsynsmail/A 45979-2023 tillsynsbegäran mail.docx", "A 45979-2023")</f>
        <v/>
      </c>
    </row>
    <row r="77" ht="15" customHeight="1">
      <c r="A77" t="inlineStr">
        <is>
          <t>A 39941-2024</t>
        </is>
      </c>
      <c r="B77" s="1" t="n">
        <v>45553</v>
      </c>
      <c r="C77" s="1" t="n">
        <v>46052</v>
      </c>
      <c r="D77" t="inlineStr">
        <is>
          <t>JÄMTLANDS LÄN</t>
        </is>
      </c>
      <c r="E77" t="inlineStr">
        <is>
          <t>ÖSTERSUND</t>
        </is>
      </c>
      <c r="G77" t="n">
        <v>6</v>
      </c>
      <c r="H77" t="n">
        <v>0</v>
      </c>
      <c r="I77" t="n">
        <v>2</v>
      </c>
      <c r="J77" t="n">
        <v>3</v>
      </c>
      <c r="K77" t="n">
        <v>0</v>
      </c>
      <c r="L77" t="n">
        <v>0</v>
      </c>
      <c r="M77" t="n">
        <v>0</v>
      </c>
      <c r="N77" t="n">
        <v>0</v>
      </c>
      <c r="O77" t="n">
        <v>3</v>
      </c>
      <c r="P77" t="n">
        <v>0</v>
      </c>
      <c r="Q77" t="n">
        <v>5</v>
      </c>
      <c r="R77" s="2" t="inlineStr">
        <is>
          <t>Garnlav
Lunglav
Skrovellav
Bårdlav
Luddlav</t>
        </is>
      </c>
      <c r="S77">
        <f>HYPERLINK("https://klasma.github.io/Logging_2380/artfynd/A 39941-2024 artfynd.xlsx", "A 39941-2024")</f>
        <v/>
      </c>
      <c r="T77">
        <f>HYPERLINK("https://klasma.github.io/Logging_2380/kartor/A 39941-2024 karta.png", "A 39941-2024")</f>
        <v/>
      </c>
      <c r="V77">
        <f>HYPERLINK("https://klasma.github.io/Logging_2380/klagomål/A 39941-2024 FSC-klagomål.docx", "A 39941-2024")</f>
        <v/>
      </c>
      <c r="W77">
        <f>HYPERLINK("https://klasma.github.io/Logging_2380/klagomålsmail/A 39941-2024 FSC-klagomål mail.docx", "A 39941-2024")</f>
        <v/>
      </c>
      <c r="X77">
        <f>HYPERLINK("https://klasma.github.io/Logging_2380/tillsyn/A 39941-2024 tillsynsbegäran.docx", "A 39941-2024")</f>
        <v/>
      </c>
      <c r="Y77">
        <f>HYPERLINK("https://klasma.github.io/Logging_2380/tillsynsmail/A 39941-2024 tillsynsbegäran mail.docx", "A 39941-2024")</f>
        <v/>
      </c>
    </row>
    <row r="78" ht="15" customHeight="1">
      <c r="A78" t="inlineStr">
        <is>
          <t>A 54731-2024</t>
        </is>
      </c>
      <c r="B78" s="1" t="n">
        <v>45618.43853009259</v>
      </c>
      <c r="C78" s="1" t="n">
        <v>46052</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56934-2025</t>
        </is>
      </c>
      <c r="B79" s="1" t="n">
        <v>45978.61351851852</v>
      </c>
      <c r="C79" s="1" t="n">
        <v>46052</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58372-2025</t>
        </is>
      </c>
      <c r="B80" s="1" t="n">
        <v>45985.53155092592</v>
      </c>
      <c r="C80" s="1" t="n">
        <v>46052</v>
      </c>
      <c r="D80" t="inlineStr">
        <is>
          <t>JÄMTLANDS LÄN</t>
        </is>
      </c>
      <c r="E80" t="inlineStr">
        <is>
          <t>ÖSTERSUND</t>
        </is>
      </c>
      <c r="G80" t="n">
        <v>7.1</v>
      </c>
      <c r="H80" t="n">
        <v>1</v>
      </c>
      <c r="I80" t="n">
        <v>0</v>
      </c>
      <c r="J80" t="n">
        <v>5</v>
      </c>
      <c r="K80" t="n">
        <v>0</v>
      </c>
      <c r="L80" t="n">
        <v>0</v>
      </c>
      <c r="M80" t="n">
        <v>0</v>
      </c>
      <c r="N80" t="n">
        <v>0</v>
      </c>
      <c r="O80" t="n">
        <v>5</v>
      </c>
      <c r="P80" t="n">
        <v>0</v>
      </c>
      <c r="Q80" t="n">
        <v>5</v>
      </c>
      <c r="R80" s="2" t="inlineStr">
        <is>
          <t>Garnlav
Harticka
Lunglav
Tretåig hackspett
Ullticka</t>
        </is>
      </c>
      <c r="S80">
        <f>HYPERLINK("https://klasma.github.io/Logging_2380/artfynd/A 58372-2025 artfynd.xlsx", "A 58372-2025")</f>
        <v/>
      </c>
      <c r="T80">
        <f>HYPERLINK("https://klasma.github.io/Logging_2380/kartor/A 58372-2025 karta.png", "A 58372-2025")</f>
        <v/>
      </c>
      <c r="V80">
        <f>HYPERLINK("https://klasma.github.io/Logging_2380/klagomål/A 58372-2025 FSC-klagomål.docx", "A 58372-2025")</f>
        <v/>
      </c>
      <c r="W80">
        <f>HYPERLINK("https://klasma.github.io/Logging_2380/klagomålsmail/A 58372-2025 FSC-klagomål mail.docx", "A 58372-2025")</f>
        <v/>
      </c>
      <c r="X80">
        <f>HYPERLINK("https://klasma.github.io/Logging_2380/tillsyn/A 58372-2025 tillsynsbegäran.docx", "A 58372-2025")</f>
        <v/>
      </c>
      <c r="Y80">
        <f>HYPERLINK("https://klasma.github.io/Logging_2380/tillsynsmail/A 58372-2025 tillsynsbegäran mail.docx", "A 58372-2025")</f>
        <v/>
      </c>
      <c r="Z80">
        <f>HYPERLINK("https://klasma.github.io/Logging_2380/fåglar/A 58372-2025 prioriterade fågelarter.docx", "A 58372-2025")</f>
        <v/>
      </c>
    </row>
    <row r="81" ht="15" customHeight="1">
      <c r="A81" t="inlineStr">
        <is>
          <t>A 56499-2025</t>
        </is>
      </c>
      <c r="B81" s="1" t="n">
        <v>45975.43427083334</v>
      </c>
      <c r="C81" s="1" t="n">
        <v>46052</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46052</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60580-2024</t>
        </is>
      </c>
      <c r="B83" s="1" t="n">
        <v>45644</v>
      </c>
      <c r="C83" s="1" t="n">
        <v>46052</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29135-2022</t>
        </is>
      </c>
      <c r="B84" s="1" t="n">
        <v>44750</v>
      </c>
      <c r="C84" s="1" t="n">
        <v>46052</v>
      </c>
      <c r="D84" t="inlineStr">
        <is>
          <t>JÄMTLANDS LÄN</t>
        </is>
      </c>
      <c r="E84" t="inlineStr">
        <is>
          <t>ÖSTERSUND</t>
        </is>
      </c>
      <c r="G84" t="n">
        <v>2.3</v>
      </c>
      <c r="H84" t="n">
        <v>3</v>
      </c>
      <c r="I84" t="n">
        <v>2</v>
      </c>
      <c r="J84" t="n">
        <v>0</v>
      </c>
      <c r="K84" t="n">
        <v>0</v>
      </c>
      <c r="L84" t="n">
        <v>0</v>
      </c>
      <c r="M84" t="n">
        <v>0</v>
      </c>
      <c r="N84" t="n">
        <v>0</v>
      </c>
      <c r="O84" t="n">
        <v>0</v>
      </c>
      <c r="P84" t="n">
        <v>0</v>
      </c>
      <c r="Q84" t="n">
        <v>4</v>
      </c>
      <c r="R84" s="2" t="inlineStr">
        <is>
          <t>Finbräken
Grönkulla
Fläcknycklar
Blåsippa</t>
        </is>
      </c>
      <c r="S84">
        <f>HYPERLINK("https://klasma.github.io/Logging_2380/artfynd/A 29135-2022 artfynd.xlsx", "A 29135-2022")</f>
        <v/>
      </c>
      <c r="T84">
        <f>HYPERLINK("https://klasma.github.io/Logging_2380/kartor/A 29135-2022 karta.png", "A 29135-2022")</f>
        <v/>
      </c>
      <c r="V84">
        <f>HYPERLINK("https://klasma.github.io/Logging_2380/klagomål/A 29135-2022 FSC-klagomål.docx", "A 29135-2022")</f>
        <v/>
      </c>
      <c r="W84">
        <f>HYPERLINK("https://klasma.github.io/Logging_2380/klagomålsmail/A 29135-2022 FSC-klagomål mail.docx", "A 29135-2022")</f>
        <v/>
      </c>
      <c r="X84">
        <f>HYPERLINK("https://klasma.github.io/Logging_2380/tillsyn/A 29135-2022 tillsynsbegäran.docx", "A 29135-2022")</f>
        <v/>
      </c>
      <c r="Y84">
        <f>HYPERLINK("https://klasma.github.io/Logging_2380/tillsynsmail/A 29135-2022 tillsynsbegäran mail.docx", "A 29135-2022")</f>
        <v/>
      </c>
    </row>
    <row r="85" ht="15" customHeight="1">
      <c r="A85" t="inlineStr">
        <is>
          <t>A 55344-2023</t>
        </is>
      </c>
      <c r="B85" s="1" t="n">
        <v>45237</v>
      </c>
      <c r="C85" s="1" t="n">
        <v>46052</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38335-2023</t>
        </is>
      </c>
      <c r="B86" s="1" t="n">
        <v>45161</v>
      </c>
      <c r="C86" s="1" t="n">
        <v>46052</v>
      </c>
      <c r="D86" t="inlineStr">
        <is>
          <t>JÄMTLANDS LÄN</t>
        </is>
      </c>
      <c r="E86" t="inlineStr">
        <is>
          <t>ÖSTERSUND</t>
        </is>
      </c>
      <c r="G86" t="n">
        <v>15.1</v>
      </c>
      <c r="H86" t="n">
        <v>3</v>
      </c>
      <c r="I86" t="n">
        <v>0</v>
      </c>
      <c r="J86" t="n">
        <v>2</v>
      </c>
      <c r="K86" t="n">
        <v>1</v>
      </c>
      <c r="L86" t="n">
        <v>0</v>
      </c>
      <c r="M86" t="n">
        <v>0</v>
      </c>
      <c r="N86" t="n">
        <v>0</v>
      </c>
      <c r="O86" t="n">
        <v>3</v>
      </c>
      <c r="P86" t="n">
        <v>1</v>
      </c>
      <c r="Q86" t="n">
        <v>4</v>
      </c>
      <c r="R86" s="2" t="inlineStr">
        <is>
          <t>Tallbit
Rosenticka
Tretåig hackspett
Lavskrika</t>
        </is>
      </c>
      <c r="S86">
        <f>HYPERLINK("https://klasma.github.io/Logging_2380/artfynd/A 38335-2023 artfynd.xlsx", "A 38335-2023")</f>
        <v/>
      </c>
      <c r="T86">
        <f>HYPERLINK("https://klasma.github.io/Logging_2380/kartor/A 38335-2023 karta.png", "A 38335-2023")</f>
        <v/>
      </c>
      <c r="V86">
        <f>HYPERLINK("https://klasma.github.io/Logging_2380/klagomål/A 38335-2023 FSC-klagomål.docx", "A 38335-2023")</f>
        <v/>
      </c>
      <c r="W86">
        <f>HYPERLINK("https://klasma.github.io/Logging_2380/klagomålsmail/A 38335-2023 FSC-klagomål mail.docx", "A 38335-2023")</f>
        <v/>
      </c>
      <c r="X86">
        <f>HYPERLINK("https://klasma.github.io/Logging_2380/tillsyn/A 38335-2023 tillsynsbegäran.docx", "A 38335-2023")</f>
        <v/>
      </c>
      <c r="Y86">
        <f>HYPERLINK("https://klasma.github.io/Logging_2380/tillsynsmail/A 38335-2023 tillsynsbegäran mail.docx", "A 38335-2023")</f>
        <v/>
      </c>
      <c r="Z86">
        <f>HYPERLINK("https://klasma.github.io/Logging_2380/fåglar/A 38335-2023 prioriterade fågelarter.docx", "A 38335-2023")</f>
        <v/>
      </c>
    </row>
    <row r="87" ht="15" customHeight="1">
      <c r="A87" t="inlineStr">
        <is>
          <t>A 25369-2024</t>
        </is>
      </c>
      <c r="B87" s="1" t="n">
        <v>45462.95982638889</v>
      </c>
      <c r="C87" s="1" t="n">
        <v>46052</v>
      </c>
      <c r="D87" t="inlineStr">
        <is>
          <t>JÄMTLANDS LÄN</t>
        </is>
      </c>
      <c r="E87" t="inlineStr">
        <is>
          <t>ÖSTERSUND</t>
        </is>
      </c>
      <c r="G87" t="n">
        <v>14.7</v>
      </c>
      <c r="H87" t="n">
        <v>1</v>
      </c>
      <c r="I87" t="n">
        <v>2</v>
      </c>
      <c r="J87" t="n">
        <v>1</v>
      </c>
      <c r="K87" t="n">
        <v>0</v>
      </c>
      <c r="L87" t="n">
        <v>0</v>
      </c>
      <c r="M87" t="n">
        <v>0</v>
      </c>
      <c r="N87" t="n">
        <v>0</v>
      </c>
      <c r="O87" t="n">
        <v>1</v>
      </c>
      <c r="P87" t="n">
        <v>0</v>
      </c>
      <c r="Q87" t="n">
        <v>4</v>
      </c>
      <c r="R87" s="2" t="inlineStr">
        <is>
          <t>Ullticka
Kransrams
Underviol
Blåsippa</t>
        </is>
      </c>
      <c r="S87">
        <f>HYPERLINK("https://klasma.github.io/Logging_2380/artfynd/A 25369-2024 artfynd.xlsx", "A 25369-2024")</f>
        <v/>
      </c>
      <c r="T87">
        <f>HYPERLINK("https://klasma.github.io/Logging_2380/kartor/A 25369-2024 karta.png", "A 25369-2024")</f>
        <v/>
      </c>
      <c r="V87">
        <f>HYPERLINK("https://klasma.github.io/Logging_2380/klagomål/A 25369-2024 FSC-klagomål.docx", "A 25369-2024")</f>
        <v/>
      </c>
      <c r="W87">
        <f>HYPERLINK("https://klasma.github.io/Logging_2380/klagomålsmail/A 25369-2024 FSC-klagomål mail.docx", "A 25369-2024")</f>
        <v/>
      </c>
      <c r="X87">
        <f>HYPERLINK("https://klasma.github.io/Logging_2380/tillsyn/A 25369-2024 tillsynsbegäran.docx", "A 25369-2024")</f>
        <v/>
      </c>
      <c r="Y87">
        <f>HYPERLINK("https://klasma.github.io/Logging_2380/tillsynsmail/A 25369-2024 tillsynsbegäran mail.docx", "A 25369-2024")</f>
        <v/>
      </c>
    </row>
    <row r="88" ht="15" customHeight="1">
      <c r="A88" t="inlineStr">
        <is>
          <t>A 2962-2023</t>
        </is>
      </c>
      <c r="B88" s="1" t="n">
        <v>44945</v>
      </c>
      <c r="C88" s="1" t="n">
        <v>46052</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7698-2024</t>
        </is>
      </c>
      <c r="B89" s="1" t="n">
        <v>45349</v>
      </c>
      <c r="C89" s="1" t="n">
        <v>46052</v>
      </c>
      <c r="D89" t="inlineStr">
        <is>
          <t>JÄMTLANDS LÄN</t>
        </is>
      </c>
      <c r="E89" t="inlineStr">
        <is>
          <t>ÖSTERSUND</t>
        </is>
      </c>
      <c r="F89" t="inlineStr">
        <is>
          <t>Övriga Aktiebolag</t>
        </is>
      </c>
      <c r="G89" t="n">
        <v>4.5</v>
      </c>
      <c r="H89" t="n">
        <v>2</v>
      </c>
      <c r="I89" t="n">
        <v>1</v>
      </c>
      <c r="J89" t="n">
        <v>2</v>
      </c>
      <c r="K89" t="n">
        <v>0</v>
      </c>
      <c r="L89" t="n">
        <v>0</v>
      </c>
      <c r="M89" t="n">
        <v>0</v>
      </c>
      <c r="N89" t="n">
        <v>0</v>
      </c>
      <c r="O89" t="n">
        <v>2</v>
      </c>
      <c r="P89" t="n">
        <v>0</v>
      </c>
      <c r="Q89" t="n">
        <v>4</v>
      </c>
      <c r="R89" s="2" t="inlineStr">
        <is>
          <t>Brunklöver
Månlåsbräken
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59291-2022</t>
        </is>
      </c>
      <c r="B90" s="1" t="n">
        <v>44904</v>
      </c>
      <c r="C90" s="1" t="n">
        <v>46052</v>
      </c>
      <c r="D90" t="inlineStr">
        <is>
          <t>JÄMTLANDS LÄN</t>
        </is>
      </c>
      <c r="E90" t="inlineStr">
        <is>
          <t>ÖSTERSUND</t>
        </is>
      </c>
      <c r="G90" t="n">
        <v>9.199999999999999</v>
      </c>
      <c r="H90" t="n">
        <v>1</v>
      </c>
      <c r="I90" t="n">
        <v>0</v>
      </c>
      <c r="J90" t="n">
        <v>3</v>
      </c>
      <c r="K90" t="n">
        <v>0</v>
      </c>
      <c r="L90" t="n">
        <v>0</v>
      </c>
      <c r="M90" t="n">
        <v>0</v>
      </c>
      <c r="N90" t="n">
        <v>0</v>
      </c>
      <c r="O90" t="n">
        <v>3</v>
      </c>
      <c r="P90" t="n">
        <v>0</v>
      </c>
      <c r="Q90" t="n">
        <v>4</v>
      </c>
      <c r="R90" s="2" t="inlineStr">
        <is>
          <t>Garnlav
Lunglav
Skrovellav
Revlummer</t>
        </is>
      </c>
      <c r="S90">
        <f>HYPERLINK("https://klasma.github.io/Logging_2380/artfynd/A 59291-2022 artfynd.xlsx", "A 59291-2022")</f>
        <v/>
      </c>
      <c r="T90">
        <f>HYPERLINK("https://klasma.github.io/Logging_2380/kartor/A 59291-2022 karta.png", "A 59291-2022")</f>
        <v/>
      </c>
      <c r="V90">
        <f>HYPERLINK("https://klasma.github.io/Logging_2380/klagomål/A 59291-2022 FSC-klagomål.docx", "A 59291-2022")</f>
        <v/>
      </c>
      <c r="W90">
        <f>HYPERLINK("https://klasma.github.io/Logging_2380/klagomålsmail/A 59291-2022 FSC-klagomål mail.docx", "A 59291-2022")</f>
        <v/>
      </c>
      <c r="X90">
        <f>HYPERLINK("https://klasma.github.io/Logging_2380/tillsyn/A 59291-2022 tillsynsbegäran.docx", "A 59291-2022")</f>
        <v/>
      </c>
      <c r="Y90">
        <f>HYPERLINK("https://klasma.github.io/Logging_2380/tillsynsmail/A 59291-2022 tillsynsbegäran mail.docx", "A 59291-2022")</f>
        <v/>
      </c>
    </row>
    <row r="91" ht="15" customHeight="1">
      <c r="A91" t="inlineStr">
        <is>
          <t>A 41493-2025</t>
        </is>
      </c>
      <c r="B91" s="1" t="n">
        <v>45901.49171296296</v>
      </c>
      <c r="C91" s="1" t="n">
        <v>46052</v>
      </c>
      <c r="D91" t="inlineStr">
        <is>
          <t>JÄMTLANDS LÄN</t>
        </is>
      </c>
      <c r="E91" t="inlineStr">
        <is>
          <t>ÖSTERSUND</t>
        </is>
      </c>
      <c r="F91" t="inlineStr">
        <is>
          <t>Övriga Aktiebolag</t>
        </is>
      </c>
      <c r="G91" t="n">
        <v>0.8</v>
      </c>
      <c r="H91" t="n">
        <v>1</v>
      </c>
      <c r="I91" t="n">
        <v>1</v>
      </c>
      <c r="J91" t="n">
        <v>2</v>
      </c>
      <c r="K91" t="n">
        <v>0</v>
      </c>
      <c r="L91" t="n">
        <v>0</v>
      </c>
      <c r="M91" t="n">
        <v>0</v>
      </c>
      <c r="N91" t="n">
        <v>0</v>
      </c>
      <c r="O91" t="n">
        <v>2</v>
      </c>
      <c r="P91" t="n">
        <v>0</v>
      </c>
      <c r="Q91" t="n">
        <v>4</v>
      </c>
      <c r="R91" s="2" t="inlineStr">
        <is>
          <t>Granticka
Harticka
Trådticka
Revlummer</t>
        </is>
      </c>
      <c r="S91">
        <f>HYPERLINK("https://klasma.github.io/Logging_2380/artfynd/A 41493-2025 artfynd.xlsx", "A 41493-2025")</f>
        <v/>
      </c>
      <c r="T91">
        <f>HYPERLINK("https://klasma.github.io/Logging_2380/kartor/A 41493-2025 karta.png", "A 41493-2025")</f>
        <v/>
      </c>
      <c r="V91">
        <f>HYPERLINK("https://klasma.github.io/Logging_2380/klagomål/A 41493-2025 FSC-klagomål.docx", "A 41493-2025")</f>
        <v/>
      </c>
      <c r="W91">
        <f>HYPERLINK("https://klasma.github.io/Logging_2380/klagomålsmail/A 41493-2025 FSC-klagomål mail.docx", "A 41493-2025")</f>
        <v/>
      </c>
      <c r="X91">
        <f>HYPERLINK("https://klasma.github.io/Logging_2380/tillsyn/A 41493-2025 tillsynsbegäran.docx", "A 41493-2025")</f>
        <v/>
      </c>
      <c r="Y91">
        <f>HYPERLINK("https://klasma.github.io/Logging_2380/tillsynsmail/A 41493-2025 tillsynsbegäran mail.docx", "A 41493-2025")</f>
        <v/>
      </c>
    </row>
    <row r="92" ht="15" customHeight="1">
      <c r="A92" t="inlineStr">
        <is>
          <t>A 31127-2025</t>
        </is>
      </c>
      <c r="B92" s="1" t="n">
        <v>45831</v>
      </c>
      <c r="C92" s="1" t="n">
        <v>46052</v>
      </c>
      <c r="D92" t="inlineStr">
        <is>
          <t>JÄMTLANDS LÄN</t>
        </is>
      </c>
      <c r="E92" t="inlineStr">
        <is>
          <t>ÖSTERSUND</t>
        </is>
      </c>
      <c r="G92" t="n">
        <v>4.3</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31127-2025 artfynd.xlsx", "A 31127-2025")</f>
        <v/>
      </c>
      <c r="T92">
        <f>HYPERLINK("https://klasma.github.io/Logging_2380/kartor/A 31127-2025 karta.png", "A 31127-2025")</f>
        <v/>
      </c>
      <c r="V92">
        <f>HYPERLINK("https://klasma.github.io/Logging_2380/klagomål/A 31127-2025 FSC-klagomål.docx", "A 31127-2025")</f>
        <v/>
      </c>
      <c r="W92">
        <f>HYPERLINK("https://klasma.github.io/Logging_2380/klagomålsmail/A 31127-2025 FSC-klagomål mail.docx", "A 31127-2025")</f>
        <v/>
      </c>
      <c r="X92">
        <f>HYPERLINK("https://klasma.github.io/Logging_2380/tillsyn/A 31127-2025 tillsynsbegäran.docx", "A 31127-2025")</f>
        <v/>
      </c>
      <c r="Y92">
        <f>HYPERLINK("https://klasma.github.io/Logging_2380/tillsynsmail/A 31127-2025 tillsynsbegäran mail.docx", "A 31127-2025")</f>
        <v/>
      </c>
      <c r="Z92">
        <f>HYPERLINK("https://klasma.github.io/Logging_2380/fåglar/A 31127-2025 prioriterade fågelarter.docx", "A 31127-2025")</f>
        <v/>
      </c>
    </row>
    <row r="93" ht="15" customHeight="1">
      <c r="A93" t="inlineStr">
        <is>
          <t>A 49192-2025</t>
        </is>
      </c>
      <c r="B93" s="1" t="n">
        <v>45938.40790509259</v>
      </c>
      <c r="C93" s="1" t="n">
        <v>46052</v>
      </c>
      <c r="D93" t="inlineStr">
        <is>
          <t>JÄMTLANDS LÄN</t>
        </is>
      </c>
      <c r="E93" t="inlineStr">
        <is>
          <t>ÖSTERSUND</t>
        </is>
      </c>
      <c r="F93" t="inlineStr">
        <is>
          <t>SCA</t>
        </is>
      </c>
      <c r="G93" t="n">
        <v>2.6</v>
      </c>
      <c r="H93" t="n">
        <v>2</v>
      </c>
      <c r="I93" t="n">
        <v>2</v>
      </c>
      <c r="J93" t="n">
        <v>1</v>
      </c>
      <c r="K93" t="n">
        <v>0</v>
      </c>
      <c r="L93" t="n">
        <v>0</v>
      </c>
      <c r="M93" t="n">
        <v>0</v>
      </c>
      <c r="N93" t="n">
        <v>0</v>
      </c>
      <c r="O93" t="n">
        <v>1</v>
      </c>
      <c r="P93" t="n">
        <v>0</v>
      </c>
      <c r="Q93" t="n">
        <v>4</v>
      </c>
      <c r="R93" s="2" t="inlineStr">
        <is>
          <t>Kolflarnlav
Guckusko
Tibast
Blåsippa</t>
        </is>
      </c>
      <c r="S93">
        <f>HYPERLINK("https://klasma.github.io/Logging_2380/artfynd/A 49192-2025 artfynd.xlsx", "A 49192-2025")</f>
        <v/>
      </c>
      <c r="T93">
        <f>HYPERLINK("https://klasma.github.io/Logging_2380/kartor/A 49192-2025 karta.png", "A 49192-2025")</f>
        <v/>
      </c>
      <c r="V93">
        <f>HYPERLINK("https://klasma.github.io/Logging_2380/klagomål/A 49192-2025 FSC-klagomål.docx", "A 49192-2025")</f>
        <v/>
      </c>
      <c r="W93">
        <f>HYPERLINK("https://klasma.github.io/Logging_2380/klagomålsmail/A 49192-2025 FSC-klagomål mail.docx", "A 49192-2025")</f>
        <v/>
      </c>
      <c r="X93">
        <f>HYPERLINK("https://klasma.github.io/Logging_2380/tillsyn/A 49192-2025 tillsynsbegäran.docx", "A 49192-2025")</f>
        <v/>
      </c>
      <c r="Y93">
        <f>HYPERLINK("https://klasma.github.io/Logging_2380/tillsynsmail/A 49192-2025 tillsynsbegäran mail.docx", "A 49192-2025")</f>
        <v/>
      </c>
    </row>
    <row r="94" ht="15" customHeight="1">
      <c r="A94" t="inlineStr">
        <is>
          <t>A 55258-2025</t>
        </is>
      </c>
      <c r="B94" s="1" t="n">
        <v>45968.6444212963</v>
      </c>
      <c r="C94" s="1" t="n">
        <v>46052</v>
      </c>
      <c r="D94" t="inlineStr">
        <is>
          <t>JÄMTLANDS LÄN</t>
        </is>
      </c>
      <c r="E94" t="inlineStr">
        <is>
          <t>ÖSTERSUND</t>
        </is>
      </c>
      <c r="G94" t="n">
        <v>4.2</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55258-2025 artfynd.xlsx", "A 55258-2025")</f>
        <v/>
      </c>
      <c r="T94">
        <f>HYPERLINK("https://klasma.github.io/Logging_2380/kartor/A 55258-2025 karta.png", "A 55258-2025")</f>
        <v/>
      </c>
      <c r="V94">
        <f>HYPERLINK("https://klasma.github.io/Logging_2380/klagomål/A 55258-2025 FSC-klagomål.docx", "A 55258-2025")</f>
        <v/>
      </c>
      <c r="W94">
        <f>HYPERLINK("https://klasma.github.io/Logging_2380/klagomålsmail/A 55258-2025 FSC-klagomål mail.docx", "A 55258-2025")</f>
        <v/>
      </c>
      <c r="X94">
        <f>HYPERLINK("https://klasma.github.io/Logging_2380/tillsyn/A 55258-2025 tillsynsbegäran.docx", "A 55258-2025")</f>
        <v/>
      </c>
      <c r="Y94">
        <f>HYPERLINK("https://klasma.github.io/Logging_2380/tillsynsmail/A 55258-2025 tillsynsbegäran mail.docx", "A 55258-2025")</f>
        <v/>
      </c>
      <c r="Z94">
        <f>HYPERLINK("https://klasma.github.io/Logging_2380/fåglar/A 55258-2025 prioriterade fågelarter.docx", "A 55258-2025")</f>
        <v/>
      </c>
    </row>
    <row r="95" ht="15" customHeight="1">
      <c r="A95" t="inlineStr">
        <is>
          <t>A 57711-2025</t>
        </is>
      </c>
      <c r="B95" s="1" t="n">
        <v>45981.47217592593</v>
      </c>
      <c r="C95" s="1" t="n">
        <v>46052</v>
      </c>
      <c r="D95" t="inlineStr">
        <is>
          <t>JÄMTLANDS LÄN</t>
        </is>
      </c>
      <c r="E95" t="inlineStr">
        <is>
          <t>ÖSTERSUND</t>
        </is>
      </c>
      <c r="F95" t="inlineStr">
        <is>
          <t>Övriga Aktiebolag</t>
        </is>
      </c>
      <c r="G95" t="n">
        <v>2.6</v>
      </c>
      <c r="H95" t="n">
        <v>0</v>
      </c>
      <c r="I95" t="n">
        <v>4</v>
      </c>
      <c r="J95" t="n">
        <v>0</v>
      </c>
      <c r="K95" t="n">
        <v>0</v>
      </c>
      <c r="L95" t="n">
        <v>0</v>
      </c>
      <c r="M95" t="n">
        <v>0</v>
      </c>
      <c r="N95" t="n">
        <v>0</v>
      </c>
      <c r="O95" t="n">
        <v>0</v>
      </c>
      <c r="P95" t="n">
        <v>0</v>
      </c>
      <c r="Q95" t="n">
        <v>4</v>
      </c>
      <c r="R95" s="2" t="inlineStr">
        <is>
          <t>Diskvaxskivling
Fjällig taggsvamp s.str.
Kransrams
Kryddspindling</t>
        </is>
      </c>
      <c r="S95">
        <f>HYPERLINK("https://klasma.github.io/Logging_2380/artfynd/A 57711-2025 artfynd.xlsx", "A 57711-2025")</f>
        <v/>
      </c>
      <c r="T95">
        <f>HYPERLINK("https://klasma.github.io/Logging_2380/kartor/A 57711-2025 karta.png", "A 57711-2025")</f>
        <v/>
      </c>
      <c r="V95">
        <f>HYPERLINK("https://klasma.github.io/Logging_2380/klagomål/A 57711-2025 FSC-klagomål.docx", "A 57711-2025")</f>
        <v/>
      </c>
      <c r="W95">
        <f>HYPERLINK("https://klasma.github.io/Logging_2380/klagomålsmail/A 57711-2025 FSC-klagomål mail.docx", "A 57711-2025")</f>
        <v/>
      </c>
      <c r="X95">
        <f>HYPERLINK("https://klasma.github.io/Logging_2380/tillsyn/A 57711-2025 tillsynsbegäran.docx", "A 57711-2025")</f>
        <v/>
      </c>
      <c r="Y95">
        <f>HYPERLINK("https://klasma.github.io/Logging_2380/tillsynsmail/A 57711-2025 tillsynsbegäran mail.docx", "A 57711-2025")</f>
        <v/>
      </c>
    </row>
    <row r="96" ht="15" customHeight="1">
      <c r="A96" t="inlineStr">
        <is>
          <t>A 5171-2026</t>
        </is>
      </c>
      <c r="B96" s="1" t="n">
        <v>46049.64416666667</v>
      </c>
      <c r="C96" s="1" t="n">
        <v>46052</v>
      </c>
      <c r="D96" t="inlineStr">
        <is>
          <t>JÄMTLANDS LÄN</t>
        </is>
      </c>
      <c r="E96" t="inlineStr">
        <is>
          <t>ÖSTERSUND</t>
        </is>
      </c>
      <c r="G96" t="n">
        <v>4.1</v>
      </c>
      <c r="H96" t="n">
        <v>1</v>
      </c>
      <c r="I96" t="n">
        <v>4</v>
      </c>
      <c r="J96" t="n">
        <v>0</v>
      </c>
      <c r="K96" t="n">
        <v>0</v>
      </c>
      <c r="L96" t="n">
        <v>0</v>
      </c>
      <c r="M96" t="n">
        <v>0</v>
      </c>
      <c r="N96" t="n">
        <v>0</v>
      </c>
      <c r="O96" t="n">
        <v>0</v>
      </c>
      <c r="P96" t="n">
        <v>0</v>
      </c>
      <c r="Q96" t="n">
        <v>4</v>
      </c>
      <c r="R96" s="2" t="inlineStr">
        <is>
          <t>Fjällig taggsvamp s.str.
Korallblylav
Korallrot
Stuplav</t>
        </is>
      </c>
      <c r="S96">
        <f>HYPERLINK("https://klasma.github.io/Logging_2380/artfynd/A 5171-2026 artfynd.xlsx", "A 5171-2026")</f>
        <v/>
      </c>
      <c r="T96">
        <f>HYPERLINK("https://klasma.github.io/Logging_2380/kartor/A 5171-2026 karta.png", "A 5171-2026")</f>
        <v/>
      </c>
      <c r="V96">
        <f>HYPERLINK("https://klasma.github.io/Logging_2380/klagomål/A 5171-2026 FSC-klagomål.docx", "A 5171-2026")</f>
        <v/>
      </c>
      <c r="W96">
        <f>HYPERLINK("https://klasma.github.io/Logging_2380/klagomålsmail/A 5171-2026 FSC-klagomål mail.docx", "A 5171-2026")</f>
        <v/>
      </c>
      <c r="X96">
        <f>HYPERLINK("https://klasma.github.io/Logging_2380/tillsyn/A 5171-2026 tillsynsbegäran.docx", "A 5171-2026")</f>
        <v/>
      </c>
      <c r="Y96">
        <f>HYPERLINK("https://klasma.github.io/Logging_2380/tillsynsmail/A 5171-2026 tillsynsbegäran mail.docx", "A 5171-2026")</f>
        <v/>
      </c>
    </row>
    <row r="97" ht="15" customHeight="1">
      <c r="A97" t="inlineStr">
        <is>
          <t>A 54421-2021</t>
        </is>
      </c>
      <c r="B97" s="1" t="n">
        <v>44473.43114583333</v>
      </c>
      <c r="C97" s="1" t="n">
        <v>46052</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50895-2024</t>
        </is>
      </c>
      <c r="B98" s="1" t="n">
        <v>45602</v>
      </c>
      <c r="C98" s="1" t="n">
        <v>46052</v>
      </c>
      <c r="D98" t="inlineStr">
        <is>
          <t>JÄMTLANDS LÄN</t>
        </is>
      </c>
      <c r="E98" t="inlineStr">
        <is>
          <t>ÖSTERSUND</t>
        </is>
      </c>
      <c r="F98" t="inlineStr">
        <is>
          <t>Kommuner</t>
        </is>
      </c>
      <c r="G98" t="n">
        <v>6</v>
      </c>
      <c r="H98" t="n">
        <v>2</v>
      </c>
      <c r="I98" t="n">
        <v>0</v>
      </c>
      <c r="J98" t="n">
        <v>2</v>
      </c>
      <c r="K98" t="n">
        <v>1</v>
      </c>
      <c r="L98" t="n">
        <v>0</v>
      </c>
      <c r="M98" t="n">
        <v>0</v>
      </c>
      <c r="N98" t="n">
        <v>0</v>
      </c>
      <c r="O98" t="n">
        <v>3</v>
      </c>
      <c r="P98" t="n">
        <v>1</v>
      </c>
      <c r="Q98" t="n">
        <v>3</v>
      </c>
      <c r="R98" s="2" t="inlineStr">
        <is>
          <t>Knärot
Garnlav
Tretåig hackspett</t>
        </is>
      </c>
      <c r="S98">
        <f>HYPERLINK("https://klasma.github.io/Logging_2380/artfynd/A 50895-2024 artfynd.xlsx", "A 50895-2024")</f>
        <v/>
      </c>
      <c r="T98">
        <f>HYPERLINK("https://klasma.github.io/Logging_2380/kartor/A 50895-2024 karta.png", "A 50895-2024")</f>
        <v/>
      </c>
      <c r="U98">
        <f>HYPERLINK("https://klasma.github.io/Logging_2380/knärot/A 50895-2024 karta knärot.png", "A 50895-2024")</f>
        <v/>
      </c>
      <c r="V98">
        <f>HYPERLINK("https://klasma.github.io/Logging_2380/klagomål/A 50895-2024 FSC-klagomål.docx", "A 50895-2024")</f>
        <v/>
      </c>
      <c r="W98">
        <f>HYPERLINK("https://klasma.github.io/Logging_2380/klagomålsmail/A 50895-2024 FSC-klagomål mail.docx", "A 50895-2024")</f>
        <v/>
      </c>
      <c r="X98">
        <f>HYPERLINK("https://klasma.github.io/Logging_2380/tillsyn/A 50895-2024 tillsynsbegäran.docx", "A 50895-2024")</f>
        <v/>
      </c>
      <c r="Y98">
        <f>HYPERLINK("https://klasma.github.io/Logging_2380/tillsynsmail/A 50895-2024 tillsynsbegäran mail.docx", "A 50895-2024")</f>
        <v/>
      </c>
      <c r="Z98">
        <f>HYPERLINK("https://klasma.github.io/Logging_2380/fåglar/A 50895-2024 prioriterade fågelarter.docx", "A 50895-2024")</f>
        <v/>
      </c>
    </row>
    <row r="99" ht="15" customHeight="1">
      <c r="A99" t="inlineStr">
        <is>
          <t>A 60565-2022</t>
        </is>
      </c>
      <c r="B99" s="1" t="n">
        <v>44904</v>
      </c>
      <c r="C99" s="1" t="n">
        <v>46052</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43981-2023</t>
        </is>
      </c>
      <c r="B100" s="1" t="n">
        <v>45187</v>
      </c>
      <c r="C100" s="1" t="n">
        <v>46052</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7965-2025</t>
        </is>
      </c>
      <c r="B101" s="1" t="n">
        <v>45707.45219907408</v>
      </c>
      <c r="C101" s="1" t="n">
        <v>46052</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60565-2022</t>
        </is>
      </c>
      <c r="B102" s="1" t="n">
        <v>44904</v>
      </c>
      <c r="C102" s="1" t="n">
        <v>46052</v>
      </c>
      <c r="D102" t="inlineStr">
        <is>
          <t>JÄMTLANDS LÄN</t>
        </is>
      </c>
      <c r="E102" t="inlineStr">
        <is>
          <t>ÖSTERSUND</t>
        </is>
      </c>
      <c r="G102" t="n">
        <v>2.5</v>
      </c>
      <c r="H102" t="n">
        <v>2</v>
      </c>
      <c r="I102" t="n">
        <v>0</v>
      </c>
      <c r="J102" t="n">
        <v>2</v>
      </c>
      <c r="K102" t="n">
        <v>0</v>
      </c>
      <c r="L102" t="n">
        <v>0</v>
      </c>
      <c r="M102" t="n">
        <v>0</v>
      </c>
      <c r="N102" t="n">
        <v>0</v>
      </c>
      <c r="O102" t="n">
        <v>2</v>
      </c>
      <c r="P102" t="n">
        <v>0</v>
      </c>
      <c r="Q102" t="n">
        <v>3</v>
      </c>
      <c r="R102" s="2" t="inlineStr">
        <is>
          <t>Garnlav
Talltita
Revlummer</t>
        </is>
      </c>
      <c r="S102">
        <f>HYPERLINK("https://klasma.github.io/Logging_2380/artfynd/A 60565-2022 artfynd.xlsx", "A 60565-2022")</f>
        <v/>
      </c>
      <c r="T102">
        <f>HYPERLINK("https://klasma.github.io/Logging_2380/kartor/A 60565-2022 karta.png", "A 60565-2022")</f>
        <v/>
      </c>
      <c r="V102">
        <f>HYPERLINK("https://klasma.github.io/Logging_2380/klagomål/A 60565-2022 FSC-klagomål.docx", "A 60565-2022")</f>
        <v/>
      </c>
      <c r="W102">
        <f>HYPERLINK("https://klasma.github.io/Logging_2380/klagomålsmail/A 60565-2022 FSC-klagomål mail.docx", "A 60565-2022")</f>
        <v/>
      </c>
      <c r="X102">
        <f>HYPERLINK("https://klasma.github.io/Logging_2380/tillsyn/A 60565-2022 tillsynsbegäran.docx", "A 60565-2022")</f>
        <v/>
      </c>
      <c r="Y102">
        <f>HYPERLINK("https://klasma.github.io/Logging_2380/tillsynsmail/A 60565-2022 tillsynsbegäran mail.docx", "A 60565-2022")</f>
        <v/>
      </c>
      <c r="Z102">
        <f>HYPERLINK("https://klasma.github.io/Logging_2380/fåglar/A 60565-2022 prioriterade fågelarter.docx", "A 60565-2022")</f>
        <v/>
      </c>
    </row>
    <row r="103" ht="15" customHeight="1">
      <c r="A103" t="inlineStr">
        <is>
          <t>A 36742-2024</t>
        </is>
      </c>
      <c r="B103" s="1" t="n">
        <v>45538.33584490741</v>
      </c>
      <c r="C103" s="1" t="n">
        <v>46052</v>
      </c>
      <c r="D103" t="inlineStr">
        <is>
          <t>JÄMTLANDS LÄN</t>
        </is>
      </c>
      <c r="E103" t="inlineStr">
        <is>
          <t>ÖSTERSUND</t>
        </is>
      </c>
      <c r="G103" t="n">
        <v>13.6</v>
      </c>
      <c r="H103" t="n">
        <v>0</v>
      </c>
      <c r="I103" t="n">
        <v>2</v>
      </c>
      <c r="J103" t="n">
        <v>1</v>
      </c>
      <c r="K103" t="n">
        <v>0</v>
      </c>
      <c r="L103" t="n">
        <v>0</v>
      </c>
      <c r="M103" t="n">
        <v>0</v>
      </c>
      <c r="N103" t="n">
        <v>0</v>
      </c>
      <c r="O103" t="n">
        <v>1</v>
      </c>
      <c r="P103" t="n">
        <v>0</v>
      </c>
      <c r="Q103" t="n">
        <v>3</v>
      </c>
      <c r="R103" s="2" t="inlineStr">
        <is>
          <t>Granticka
Skinnlav
Vedticka</t>
        </is>
      </c>
      <c r="S103">
        <f>HYPERLINK("https://klasma.github.io/Logging_2380/artfynd/A 36742-2024 artfynd.xlsx", "A 36742-2024")</f>
        <v/>
      </c>
      <c r="T103">
        <f>HYPERLINK("https://klasma.github.io/Logging_2380/kartor/A 36742-2024 karta.png", "A 36742-2024")</f>
        <v/>
      </c>
      <c r="V103">
        <f>HYPERLINK("https://klasma.github.io/Logging_2380/klagomål/A 36742-2024 FSC-klagomål.docx", "A 36742-2024")</f>
        <v/>
      </c>
      <c r="W103">
        <f>HYPERLINK("https://klasma.github.io/Logging_2380/klagomålsmail/A 36742-2024 FSC-klagomål mail.docx", "A 36742-2024")</f>
        <v/>
      </c>
      <c r="X103">
        <f>HYPERLINK("https://klasma.github.io/Logging_2380/tillsyn/A 36742-2024 tillsynsbegäran.docx", "A 36742-2024")</f>
        <v/>
      </c>
      <c r="Y103">
        <f>HYPERLINK("https://klasma.github.io/Logging_2380/tillsynsmail/A 36742-2024 tillsynsbegäran mail.docx", "A 36742-2024")</f>
        <v/>
      </c>
    </row>
    <row r="104" ht="15" customHeight="1">
      <c r="A104" t="inlineStr">
        <is>
          <t>A 3846-2024</t>
        </is>
      </c>
      <c r="B104" s="1" t="n">
        <v>45321</v>
      </c>
      <c r="C104" s="1" t="n">
        <v>46052</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36806-2025</t>
        </is>
      </c>
      <c r="B105" s="1" t="n">
        <v>45873.69988425926</v>
      </c>
      <c r="C105" s="1" t="n">
        <v>46052</v>
      </c>
      <c r="D105" t="inlineStr">
        <is>
          <t>JÄMTLANDS LÄN</t>
        </is>
      </c>
      <c r="E105" t="inlineStr">
        <is>
          <t>ÖSTERSUND</t>
        </is>
      </c>
      <c r="G105" t="n">
        <v>9.800000000000001</v>
      </c>
      <c r="H105" t="n">
        <v>2</v>
      </c>
      <c r="I105" t="n">
        <v>2</v>
      </c>
      <c r="J105" t="n">
        <v>0</v>
      </c>
      <c r="K105" t="n">
        <v>0</v>
      </c>
      <c r="L105" t="n">
        <v>0</v>
      </c>
      <c r="M105" t="n">
        <v>0</v>
      </c>
      <c r="N105" t="n">
        <v>0</v>
      </c>
      <c r="O105" t="n">
        <v>0</v>
      </c>
      <c r="P105" t="n">
        <v>0</v>
      </c>
      <c r="Q105" t="n">
        <v>3</v>
      </c>
      <c r="R105" s="2" t="inlineStr">
        <is>
          <t>Grönkulla
Vårärt
Blåsippa</t>
        </is>
      </c>
      <c r="S105">
        <f>HYPERLINK("https://klasma.github.io/Logging_2380/artfynd/A 36806-2025 artfynd.xlsx", "A 36806-2025")</f>
        <v/>
      </c>
      <c r="T105">
        <f>HYPERLINK("https://klasma.github.io/Logging_2380/kartor/A 36806-2025 karta.png", "A 36806-2025")</f>
        <v/>
      </c>
      <c r="V105">
        <f>HYPERLINK("https://klasma.github.io/Logging_2380/klagomål/A 36806-2025 FSC-klagomål.docx", "A 36806-2025")</f>
        <v/>
      </c>
      <c r="W105">
        <f>HYPERLINK("https://klasma.github.io/Logging_2380/klagomålsmail/A 36806-2025 FSC-klagomål mail.docx", "A 36806-2025")</f>
        <v/>
      </c>
      <c r="X105">
        <f>HYPERLINK("https://klasma.github.io/Logging_2380/tillsyn/A 36806-2025 tillsynsbegäran.docx", "A 36806-2025")</f>
        <v/>
      </c>
      <c r="Y105">
        <f>HYPERLINK("https://klasma.github.io/Logging_2380/tillsynsmail/A 36806-2025 tillsynsbegäran mail.docx", "A 36806-2025")</f>
        <v/>
      </c>
    </row>
    <row r="106" ht="15" customHeight="1">
      <c r="A106" t="inlineStr">
        <is>
          <t>A 40695-2024</t>
        </is>
      </c>
      <c r="B106" s="1" t="n">
        <v>45558</v>
      </c>
      <c r="C106" s="1" t="n">
        <v>46052</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46705-2023</t>
        </is>
      </c>
      <c r="B107" s="1" t="n">
        <v>45198</v>
      </c>
      <c r="C107" s="1" t="n">
        <v>46052</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53652-2024</t>
        </is>
      </c>
      <c r="B108" s="1" t="n">
        <v>45615.29761574074</v>
      </c>
      <c r="C108" s="1" t="n">
        <v>46052</v>
      </c>
      <c r="D108" t="inlineStr">
        <is>
          <t>JÄMTLANDS LÄN</t>
        </is>
      </c>
      <c r="E108" t="inlineStr">
        <is>
          <t>ÖSTERSUND</t>
        </is>
      </c>
      <c r="G108" t="n">
        <v>4.2</v>
      </c>
      <c r="H108" t="n">
        <v>1</v>
      </c>
      <c r="I108" t="n">
        <v>1</v>
      </c>
      <c r="J108" t="n">
        <v>1</v>
      </c>
      <c r="K108" t="n">
        <v>0</v>
      </c>
      <c r="L108" t="n">
        <v>0</v>
      </c>
      <c r="M108" t="n">
        <v>0</v>
      </c>
      <c r="N108" t="n">
        <v>0</v>
      </c>
      <c r="O108" t="n">
        <v>1</v>
      </c>
      <c r="P108" t="n">
        <v>0</v>
      </c>
      <c r="Q108" t="n">
        <v>3</v>
      </c>
      <c r="R108" s="2" t="inlineStr">
        <is>
          <t>Flattoppad klubbsvamp
Kransrams
Revlummer</t>
        </is>
      </c>
      <c r="S108">
        <f>HYPERLINK("https://klasma.github.io/Logging_2380/artfynd/A 53652-2024 artfynd.xlsx", "A 53652-2024")</f>
        <v/>
      </c>
      <c r="T108">
        <f>HYPERLINK("https://klasma.github.io/Logging_2380/kartor/A 53652-2024 karta.png", "A 53652-2024")</f>
        <v/>
      </c>
      <c r="V108">
        <f>HYPERLINK("https://klasma.github.io/Logging_2380/klagomål/A 53652-2024 FSC-klagomål.docx", "A 53652-2024")</f>
        <v/>
      </c>
      <c r="W108">
        <f>HYPERLINK("https://klasma.github.io/Logging_2380/klagomålsmail/A 53652-2024 FSC-klagomål mail.docx", "A 53652-2024")</f>
        <v/>
      </c>
      <c r="X108">
        <f>HYPERLINK("https://klasma.github.io/Logging_2380/tillsyn/A 53652-2024 tillsynsbegäran.docx", "A 53652-2024")</f>
        <v/>
      </c>
      <c r="Y108">
        <f>HYPERLINK("https://klasma.github.io/Logging_2380/tillsynsmail/A 53652-2024 tillsynsbegäran mail.docx", "A 53652-2024")</f>
        <v/>
      </c>
    </row>
    <row r="109" ht="15" customHeight="1">
      <c r="A109" t="inlineStr">
        <is>
          <t>A 5100-2023</t>
        </is>
      </c>
      <c r="B109" s="1" t="n">
        <v>44956</v>
      </c>
      <c r="C109" s="1" t="n">
        <v>46052</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46052</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56647-2025</t>
        </is>
      </c>
      <c r="B111" s="1" t="n">
        <v>45975.63585648148</v>
      </c>
      <c r="C111" s="1" t="n">
        <v>46052</v>
      </c>
      <c r="D111" t="inlineStr">
        <is>
          <t>JÄMTLANDS LÄN</t>
        </is>
      </c>
      <c r="E111" t="inlineStr">
        <is>
          <t>ÖSTERSUND</t>
        </is>
      </c>
      <c r="G111" t="n">
        <v>12.1</v>
      </c>
      <c r="H111" t="n">
        <v>1</v>
      </c>
      <c r="I111" t="n">
        <v>0</v>
      </c>
      <c r="J111" t="n">
        <v>2</v>
      </c>
      <c r="K111" t="n">
        <v>1</v>
      </c>
      <c r="L111" t="n">
        <v>0</v>
      </c>
      <c r="M111" t="n">
        <v>0</v>
      </c>
      <c r="N111" t="n">
        <v>0</v>
      </c>
      <c r="O111" t="n">
        <v>3</v>
      </c>
      <c r="P111" t="n">
        <v>1</v>
      </c>
      <c r="Q111" t="n">
        <v>3</v>
      </c>
      <c r="R111" s="2" t="inlineStr">
        <is>
          <t>Rynkskinn
Garnlav
Tretåig hackspett</t>
        </is>
      </c>
      <c r="S111">
        <f>HYPERLINK("https://klasma.github.io/Logging_2380/artfynd/A 56647-2025 artfynd.xlsx", "A 56647-2025")</f>
        <v/>
      </c>
      <c r="T111">
        <f>HYPERLINK("https://klasma.github.io/Logging_2380/kartor/A 56647-2025 karta.png", "A 56647-2025")</f>
        <v/>
      </c>
      <c r="V111">
        <f>HYPERLINK("https://klasma.github.io/Logging_2380/klagomål/A 56647-2025 FSC-klagomål.docx", "A 56647-2025")</f>
        <v/>
      </c>
      <c r="W111">
        <f>HYPERLINK("https://klasma.github.io/Logging_2380/klagomålsmail/A 56647-2025 FSC-klagomål mail.docx", "A 56647-2025")</f>
        <v/>
      </c>
      <c r="X111">
        <f>HYPERLINK("https://klasma.github.io/Logging_2380/tillsyn/A 56647-2025 tillsynsbegäran.docx", "A 56647-2025")</f>
        <v/>
      </c>
      <c r="Y111">
        <f>HYPERLINK("https://klasma.github.io/Logging_2380/tillsynsmail/A 56647-2025 tillsynsbegäran mail.docx", "A 56647-2025")</f>
        <v/>
      </c>
      <c r="Z111">
        <f>HYPERLINK("https://klasma.github.io/Logging_2380/fåglar/A 56647-2025 prioriterade fågelarter.docx", "A 56647-2025")</f>
        <v/>
      </c>
    </row>
    <row r="112" ht="15" customHeight="1">
      <c r="A112" t="inlineStr">
        <is>
          <t>A 63930-2023</t>
        </is>
      </c>
      <c r="B112" s="1" t="n">
        <v>45278</v>
      </c>
      <c r="C112" s="1" t="n">
        <v>46052</v>
      </c>
      <c r="D112" t="inlineStr">
        <is>
          <t>JÄMTLANDS LÄN</t>
        </is>
      </c>
      <c r="E112" t="inlineStr">
        <is>
          <t>ÖSTERSUND</t>
        </is>
      </c>
      <c r="G112" t="n">
        <v>2.1</v>
      </c>
      <c r="H112" t="n">
        <v>0</v>
      </c>
      <c r="I112" t="n">
        <v>2</v>
      </c>
      <c r="J112" t="n">
        <v>0</v>
      </c>
      <c r="K112" t="n">
        <v>0</v>
      </c>
      <c r="L112" t="n">
        <v>0</v>
      </c>
      <c r="M112" t="n">
        <v>0</v>
      </c>
      <c r="N112" t="n">
        <v>0</v>
      </c>
      <c r="O112" t="n">
        <v>0</v>
      </c>
      <c r="P112" t="n">
        <v>0</v>
      </c>
      <c r="Q112" t="n">
        <v>2</v>
      </c>
      <c r="R112" s="2" t="inlineStr">
        <is>
          <t>Strimspindling
Svavelriska</t>
        </is>
      </c>
      <c r="S112">
        <f>HYPERLINK("https://klasma.github.io/Logging_2380/artfynd/A 63930-2023 artfynd.xlsx", "A 63930-2023")</f>
        <v/>
      </c>
      <c r="T112">
        <f>HYPERLINK("https://klasma.github.io/Logging_2380/kartor/A 63930-2023 karta.png", "A 63930-2023")</f>
        <v/>
      </c>
      <c r="V112">
        <f>HYPERLINK("https://klasma.github.io/Logging_2380/klagomål/A 63930-2023 FSC-klagomål.docx", "A 63930-2023")</f>
        <v/>
      </c>
      <c r="W112">
        <f>HYPERLINK("https://klasma.github.io/Logging_2380/klagomålsmail/A 63930-2023 FSC-klagomål mail.docx", "A 63930-2023")</f>
        <v/>
      </c>
      <c r="X112">
        <f>HYPERLINK("https://klasma.github.io/Logging_2380/tillsyn/A 63930-2023 tillsynsbegäran.docx", "A 63930-2023")</f>
        <v/>
      </c>
      <c r="Y112">
        <f>HYPERLINK("https://klasma.github.io/Logging_2380/tillsynsmail/A 63930-2023 tillsynsbegäran mail.docx", "A 63930-2023")</f>
        <v/>
      </c>
    </row>
    <row r="113" ht="15" customHeight="1">
      <c r="A113" t="inlineStr">
        <is>
          <t>A 59793-2022</t>
        </is>
      </c>
      <c r="B113" s="1" t="n">
        <v>44908</v>
      </c>
      <c r="C113" s="1" t="n">
        <v>46052</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50125-2024</t>
        </is>
      </c>
      <c r="B114" s="1" t="n">
        <v>45600.42737268518</v>
      </c>
      <c r="C114" s="1" t="n">
        <v>46052</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46105-2021</t>
        </is>
      </c>
      <c r="B115" s="1" t="n">
        <v>44441</v>
      </c>
      <c r="C115" s="1" t="n">
        <v>46052</v>
      </c>
      <c r="D115" t="inlineStr">
        <is>
          <t>JÄMTLANDS LÄN</t>
        </is>
      </c>
      <c r="E115" t="inlineStr">
        <is>
          <t>ÖSTERSUND</t>
        </is>
      </c>
      <c r="G115" t="n">
        <v>4.4</v>
      </c>
      <c r="H115" t="n">
        <v>2</v>
      </c>
      <c r="I115" t="n">
        <v>0</v>
      </c>
      <c r="J115" t="n">
        <v>1</v>
      </c>
      <c r="K115" t="n">
        <v>1</v>
      </c>
      <c r="L115" t="n">
        <v>0</v>
      </c>
      <c r="M115" t="n">
        <v>0</v>
      </c>
      <c r="N115" t="n">
        <v>0</v>
      </c>
      <c r="O115" t="n">
        <v>2</v>
      </c>
      <c r="P115" t="n">
        <v>1</v>
      </c>
      <c r="Q115" t="n">
        <v>2</v>
      </c>
      <c r="R115" s="2" t="inlineStr">
        <is>
          <t>Tallbit
Tretåig hackspett</t>
        </is>
      </c>
      <c r="S115">
        <f>HYPERLINK("https://klasma.github.io/Logging_2380/artfynd/A 46105-2021 artfynd.xlsx", "A 46105-2021")</f>
        <v/>
      </c>
      <c r="T115">
        <f>HYPERLINK("https://klasma.github.io/Logging_2380/kartor/A 46105-2021 karta.png", "A 46105-2021")</f>
        <v/>
      </c>
      <c r="V115">
        <f>HYPERLINK("https://klasma.github.io/Logging_2380/klagomål/A 46105-2021 FSC-klagomål.docx", "A 46105-2021")</f>
        <v/>
      </c>
      <c r="W115">
        <f>HYPERLINK("https://klasma.github.io/Logging_2380/klagomålsmail/A 46105-2021 FSC-klagomål mail.docx", "A 46105-2021")</f>
        <v/>
      </c>
      <c r="X115">
        <f>HYPERLINK("https://klasma.github.io/Logging_2380/tillsyn/A 46105-2021 tillsynsbegäran.docx", "A 46105-2021")</f>
        <v/>
      </c>
      <c r="Y115">
        <f>HYPERLINK("https://klasma.github.io/Logging_2380/tillsynsmail/A 46105-2021 tillsynsbegäran mail.docx", "A 46105-2021")</f>
        <v/>
      </c>
      <c r="Z115">
        <f>HYPERLINK("https://klasma.github.io/Logging_2380/fåglar/A 46105-2021 prioriterade fågelarter.docx", "A 46105-2021")</f>
        <v/>
      </c>
    </row>
    <row r="116" ht="15" customHeight="1">
      <c r="A116" t="inlineStr">
        <is>
          <t>A 13795-2025</t>
        </is>
      </c>
      <c r="B116" s="1" t="n">
        <v>45737</v>
      </c>
      <c r="C116" s="1" t="n">
        <v>46052</v>
      </c>
      <c r="D116" t="inlineStr">
        <is>
          <t>JÄMTLANDS LÄN</t>
        </is>
      </c>
      <c r="E116" t="inlineStr">
        <is>
          <t>ÖSTERSUND</t>
        </is>
      </c>
      <c r="G116" t="n">
        <v>13.4</v>
      </c>
      <c r="H116" t="n">
        <v>1</v>
      </c>
      <c r="I116" t="n">
        <v>0</v>
      </c>
      <c r="J116" t="n">
        <v>1</v>
      </c>
      <c r="K116" t="n">
        <v>1</v>
      </c>
      <c r="L116" t="n">
        <v>0</v>
      </c>
      <c r="M116" t="n">
        <v>0</v>
      </c>
      <c r="N116" t="n">
        <v>0</v>
      </c>
      <c r="O116" t="n">
        <v>2</v>
      </c>
      <c r="P116" t="n">
        <v>1</v>
      </c>
      <c r="Q116" t="n">
        <v>2</v>
      </c>
      <c r="R116" s="2" t="inlineStr">
        <is>
          <t>Knärot
Lunglav</t>
        </is>
      </c>
      <c r="S116">
        <f>HYPERLINK("https://klasma.github.io/Logging_2380/artfynd/A 13795-2025 artfynd.xlsx", "A 13795-2025")</f>
        <v/>
      </c>
      <c r="T116">
        <f>HYPERLINK("https://klasma.github.io/Logging_2380/kartor/A 13795-2025 karta.png", "A 13795-2025")</f>
        <v/>
      </c>
      <c r="U116">
        <f>HYPERLINK("https://klasma.github.io/Logging_2380/knärot/A 13795-2025 karta knärot.png", "A 13795-2025")</f>
        <v/>
      </c>
      <c r="V116">
        <f>HYPERLINK("https://klasma.github.io/Logging_2380/klagomål/A 13795-2025 FSC-klagomål.docx", "A 13795-2025")</f>
        <v/>
      </c>
      <c r="W116">
        <f>HYPERLINK("https://klasma.github.io/Logging_2380/klagomålsmail/A 13795-2025 FSC-klagomål mail.docx", "A 13795-2025")</f>
        <v/>
      </c>
      <c r="X116">
        <f>HYPERLINK("https://klasma.github.io/Logging_2380/tillsyn/A 13795-2025 tillsynsbegäran.docx", "A 13795-2025")</f>
        <v/>
      </c>
      <c r="Y116">
        <f>HYPERLINK("https://klasma.github.io/Logging_2380/tillsynsmail/A 13795-2025 tillsynsbegäran mail.docx", "A 13795-2025")</f>
        <v/>
      </c>
    </row>
    <row r="117" ht="15" customHeight="1">
      <c r="A117" t="inlineStr">
        <is>
          <t>A 60534-2022</t>
        </is>
      </c>
      <c r="B117" s="1" t="n">
        <v>44904</v>
      </c>
      <c r="C117" s="1" t="n">
        <v>46052</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60446-2024</t>
        </is>
      </c>
      <c r="B118" s="1" t="n">
        <v>45643.59420138889</v>
      </c>
      <c r="C118" s="1" t="n">
        <v>46052</v>
      </c>
      <c r="D118" t="inlineStr">
        <is>
          <t>JÄMTLANDS LÄN</t>
        </is>
      </c>
      <c r="E118" t="inlineStr">
        <is>
          <t>ÖSTERSUND</t>
        </is>
      </c>
      <c r="F118" t="inlineStr">
        <is>
          <t>SCA</t>
        </is>
      </c>
      <c r="G118" t="n">
        <v>3.6</v>
      </c>
      <c r="H118" t="n">
        <v>0</v>
      </c>
      <c r="I118" t="n">
        <v>1</v>
      </c>
      <c r="J118" t="n">
        <v>1</v>
      </c>
      <c r="K118" t="n">
        <v>0</v>
      </c>
      <c r="L118" t="n">
        <v>0</v>
      </c>
      <c r="M118" t="n">
        <v>0</v>
      </c>
      <c r="N118" t="n">
        <v>0</v>
      </c>
      <c r="O118" t="n">
        <v>1</v>
      </c>
      <c r="P118" t="n">
        <v>0</v>
      </c>
      <c r="Q118" t="n">
        <v>2</v>
      </c>
      <c r="R118" s="2" t="inlineStr">
        <is>
          <t>Ullticka
Vedticka</t>
        </is>
      </c>
      <c r="S118">
        <f>HYPERLINK("https://klasma.github.io/Logging_2380/artfynd/A 60446-2024 artfynd.xlsx", "A 60446-2024")</f>
        <v/>
      </c>
      <c r="T118">
        <f>HYPERLINK("https://klasma.github.io/Logging_2380/kartor/A 60446-2024 karta.png", "A 60446-2024")</f>
        <v/>
      </c>
      <c r="V118">
        <f>HYPERLINK("https://klasma.github.io/Logging_2380/klagomål/A 60446-2024 FSC-klagomål.docx", "A 60446-2024")</f>
        <v/>
      </c>
      <c r="W118">
        <f>HYPERLINK("https://klasma.github.io/Logging_2380/klagomålsmail/A 60446-2024 FSC-klagomål mail.docx", "A 60446-2024")</f>
        <v/>
      </c>
      <c r="X118">
        <f>HYPERLINK("https://klasma.github.io/Logging_2380/tillsyn/A 60446-2024 tillsynsbegäran.docx", "A 60446-2024")</f>
        <v/>
      </c>
      <c r="Y118">
        <f>HYPERLINK("https://klasma.github.io/Logging_2380/tillsynsmail/A 60446-2024 tillsynsbegäran mail.docx", "A 60446-2024")</f>
        <v/>
      </c>
    </row>
    <row r="119" ht="15" customHeight="1">
      <c r="A119" t="inlineStr">
        <is>
          <t>A 10529-2025</t>
        </is>
      </c>
      <c r="B119" s="1" t="n">
        <v>45721.44840277778</v>
      </c>
      <c r="C119" s="1" t="n">
        <v>46052</v>
      </c>
      <c r="D119" t="inlineStr">
        <is>
          <t>JÄMTLANDS LÄN</t>
        </is>
      </c>
      <c r="E119" t="inlineStr">
        <is>
          <t>ÖSTERSUND</t>
        </is>
      </c>
      <c r="F119" t="inlineStr">
        <is>
          <t>SCA</t>
        </is>
      </c>
      <c r="G119" t="n">
        <v>1.4</v>
      </c>
      <c r="H119" t="n">
        <v>0</v>
      </c>
      <c r="I119" t="n">
        <v>2</v>
      </c>
      <c r="J119" t="n">
        <v>0</v>
      </c>
      <c r="K119" t="n">
        <v>0</v>
      </c>
      <c r="L119" t="n">
        <v>0</v>
      </c>
      <c r="M119" t="n">
        <v>0</v>
      </c>
      <c r="N119" t="n">
        <v>0</v>
      </c>
      <c r="O119" t="n">
        <v>0</v>
      </c>
      <c r="P119" t="n">
        <v>0</v>
      </c>
      <c r="Q119" t="n">
        <v>2</v>
      </c>
      <c r="R119" s="2" t="inlineStr">
        <is>
          <t>Gräsull
Ögonpyrola</t>
        </is>
      </c>
      <c r="S119">
        <f>HYPERLINK("https://klasma.github.io/Logging_2380/artfynd/A 10529-2025 artfynd.xlsx", "A 10529-2025")</f>
        <v/>
      </c>
      <c r="T119">
        <f>HYPERLINK("https://klasma.github.io/Logging_2380/kartor/A 10529-2025 karta.png", "A 10529-2025")</f>
        <v/>
      </c>
      <c r="V119">
        <f>HYPERLINK("https://klasma.github.io/Logging_2380/klagomål/A 10529-2025 FSC-klagomål.docx", "A 10529-2025")</f>
        <v/>
      </c>
      <c r="W119">
        <f>HYPERLINK("https://klasma.github.io/Logging_2380/klagomålsmail/A 10529-2025 FSC-klagomål mail.docx", "A 10529-2025")</f>
        <v/>
      </c>
      <c r="X119">
        <f>HYPERLINK("https://klasma.github.io/Logging_2380/tillsyn/A 10529-2025 tillsynsbegäran.docx", "A 10529-2025")</f>
        <v/>
      </c>
      <c r="Y119">
        <f>HYPERLINK("https://klasma.github.io/Logging_2380/tillsynsmail/A 10529-2025 tillsynsbegäran mail.docx", "A 10529-2025")</f>
        <v/>
      </c>
    </row>
    <row r="120" ht="15" customHeight="1">
      <c r="A120" t="inlineStr">
        <is>
          <t>A 47385-2022</t>
        </is>
      </c>
      <c r="B120" s="1" t="n">
        <v>44853</v>
      </c>
      <c r="C120" s="1" t="n">
        <v>46052</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15700-2025</t>
        </is>
      </c>
      <c r="B121" s="1" t="n">
        <v>45748.47314814815</v>
      </c>
      <c r="C121" s="1" t="n">
        <v>46052</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60614-2022</t>
        </is>
      </c>
      <c r="B122" s="1" t="n">
        <v>44911</v>
      </c>
      <c r="C122" s="1" t="n">
        <v>46052</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26612-2025</t>
        </is>
      </c>
      <c r="B123" s="1" t="n">
        <v>45810</v>
      </c>
      <c r="C123" s="1" t="n">
        <v>46052</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52129-2023</t>
        </is>
      </c>
      <c r="B124" s="1" t="n">
        <v>45223</v>
      </c>
      <c r="C124" s="1" t="n">
        <v>46052</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40207-2025</t>
        </is>
      </c>
      <c r="B125" s="1" t="n">
        <v>45894.67988425926</v>
      </c>
      <c r="C125" s="1" t="n">
        <v>46052</v>
      </c>
      <c r="D125" t="inlineStr">
        <is>
          <t>JÄMTLANDS LÄN</t>
        </is>
      </c>
      <c r="E125" t="inlineStr">
        <is>
          <t>ÖSTERSUND</t>
        </is>
      </c>
      <c r="G125" t="n">
        <v>5.4</v>
      </c>
      <c r="H125" t="n">
        <v>0</v>
      </c>
      <c r="I125" t="n">
        <v>1</v>
      </c>
      <c r="J125" t="n">
        <v>0</v>
      </c>
      <c r="K125" t="n">
        <v>0</v>
      </c>
      <c r="L125" t="n">
        <v>1</v>
      </c>
      <c r="M125" t="n">
        <v>0</v>
      </c>
      <c r="N125" t="n">
        <v>0</v>
      </c>
      <c r="O125" t="n">
        <v>1</v>
      </c>
      <c r="P125" t="n">
        <v>1</v>
      </c>
      <c r="Q125" t="n">
        <v>2</v>
      </c>
      <c r="R125" s="2" t="inlineStr">
        <is>
          <t>Trolldruvemätare
Tibast</t>
        </is>
      </c>
      <c r="S125">
        <f>HYPERLINK("https://klasma.github.io/Logging_2380/artfynd/A 40207-2025 artfynd.xlsx", "A 40207-2025")</f>
        <v/>
      </c>
      <c r="T125">
        <f>HYPERLINK("https://klasma.github.io/Logging_2380/kartor/A 40207-2025 karta.png", "A 40207-2025")</f>
        <v/>
      </c>
      <c r="V125">
        <f>HYPERLINK("https://klasma.github.io/Logging_2380/klagomål/A 40207-2025 FSC-klagomål.docx", "A 40207-2025")</f>
        <v/>
      </c>
      <c r="W125">
        <f>HYPERLINK("https://klasma.github.io/Logging_2380/klagomålsmail/A 40207-2025 FSC-klagomål mail.docx", "A 40207-2025")</f>
        <v/>
      </c>
      <c r="X125">
        <f>HYPERLINK("https://klasma.github.io/Logging_2380/tillsyn/A 40207-2025 tillsynsbegäran.docx", "A 40207-2025")</f>
        <v/>
      </c>
      <c r="Y125">
        <f>HYPERLINK("https://klasma.github.io/Logging_2380/tillsynsmail/A 40207-2025 tillsynsbegäran mail.docx", "A 40207-2025")</f>
        <v/>
      </c>
    </row>
    <row r="126" ht="15" customHeight="1">
      <c r="A126" t="inlineStr">
        <is>
          <t>A 4916-2023</t>
        </is>
      </c>
      <c r="B126" s="1" t="n">
        <v>44956</v>
      </c>
      <c r="C126" s="1" t="n">
        <v>46052</v>
      </c>
      <c r="D126" t="inlineStr">
        <is>
          <t>JÄMTLANDS LÄN</t>
        </is>
      </c>
      <c r="E126" t="inlineStr">
        <is>
          <t>ÖSTERSUND</t>
        </is>
      </c>
      <c r="G126" t="n">
        <v>1.2</v>
      </c>
      <c r="H126" t="n">
        <v>0</v>
      </c>
      <c r="I126" t="n">
        <v>1</v>
      </c>
      <c r="J126" t="n">
        <v>0</v>
      </c>
      <c r="K126" t="n">
        <v>0</v>
      </c>
      <c r="L126" t="n">
        <v>1</v>
      </c>
      <c r="M126" t="n">
        <v>0</v>
      </c>
      <c r="N126" t="n">
        <v>0</v>
      </c>
      <c r="O126" t="n">
        <v>1</v>
      </c>
      <c r="P126" t="n">
        <v>1</v>
      </c>
      <c r="Q126" t="n">
        <v>2</v>
      </c>
      <c r="R126" s="2" t="inlineStr">
        <is>
          <t>Trolldruvemätare
Svart trolldruva</t>
        </is>
      </c>
      <c r="S126">
        <f>HYPERLINK("https://klasma.github.io/Logging_2380/artfynd/A 4916-2023 artfynd.xlsx", "A 4916-2023")</f>
        <v/>
      </c>
      <c r="T126">
        <f>HYPERLINK("https://klasma.github.io/Logging_2380/kartor/A 4916-2023 karta.png", "A 4916-2023")</f>
        <v/>
      </c>
      <c r="V126">
        <f>HYPERLINK("https://klasma.github.io/Logging_2380/klagomål/A 4916-2023 FSC-klagomål.docx", "A 4916-2023")</f>
        <v/>
      </c>
      <c r="W126">
        <f>HYPERLINK("https://klasma.github.io/Logging_2380/klagomålsmail/A 4916-2023 FSC-klagomål mail.docx", "A 4916-2023")</f>
        <v/>
      </c>
      <c r="X126">
        <f>HYPERLINK("https://klasma.github.io/Logging_2380/tillsyn/A 4916-2023 tillsynsbegäran.docx", "A 4916-2023")</f>
        <v/>
      </c>
      <c r="Y126">
        <f>HYPERLINK("https://klasma.github.io/Logging_2380/tillsynsmail/A 4916-2023 tillsynsbegäran mail.docx", "A 4916-2023")</f>
        <v/>
      </c>
    </row>
    <row r="127" ht="15" customHeight="1">
      <c r="A127" t="inlineStr">
        <is>
          <t>A 21615-2024</t>
        </is>
      </c>
      <c r="B127" s="1" t="n">
        <v>45441.95357638889</v>
      </c>
      <c r="C127" s="1" t="n">
        <v>46052</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39968-2024</t>
        </is>
      </c>
      <c r="B128" s="1" t="n">
        <v>45553.59296296296</v>
      </c>
      <c r="C128" s="1" t="n">
        <v>46052</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35977-2024</t>
        </is>
      </c>
      <c r="B129" s="1" t="n">
        <v>45533.49601851852</v>
      </c>
      <c r="C129" s="1" t="n">
        <v>46052</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45237-2025</t>
        </is>
      </c>
      <c r="B130" s="1" t="n">
        <v>45919.59467592592</v>
      </c>
      <c r="C130" s="1" t="n">
        <v>46052</v>
      </c>
      <c r="D130" t="inlineStr">
        <is>
          <t>JÄMTLANDS LÄN</t>
        </is>
      </c>
      <c r="E130" t="inlineStr">
        <is>
          <t>ÖSTERSUND</t>
        </is>
      </c>
      <c r="F130" t="inlineStr">
        <is>
          <t>SCA</t>
        </is>
      </c>
      <c r="G130" t="n">
        <v>1.5</v>
      </c>
      <c r="H130" t="n">
        <v>0</v>
      </c>
      <c r="I130" t="n">
        <v>0</v>
      </c>
      <c r="J130" t="n">
        <v>2</v>
      </c>
      <c r="K130" t="n">
        <v>0</v>
      </c>
      <c r="L130" t="n">
        <v>0</v>
      </c>
      <c r="M130" t="n">
        <v>0</v>
      </c>
      <c r="N130" t="n">
        <v>0</v>
      </c>
      <c r="O130" t="n">
        <v>2</v>
      </c>
      <c r="P130" t="n">
        <v>0</v>
      </c>
      <c r="Q130" t="n">
        <v>2</v>
      </c>
      <c r="R130" s="2" t="inlineStr">
        <is>
          <t>Dvärgbägarlav
Mörk kolflarnlav</t>
        </is>
      </c>
      <c r="S130">
        <f>HYPERLINK("https://klasma.github.io/Logging_2380/artfynd/A 45237-2025 artfynd.xlsx", "A 45237-2025")</f>
        <v/>
      </c>
      <c r="T130">
        <f>HYPERLINK("https://klasma.github.io/Logging_2380/kartor/A 45237-2025 karta.png", "A 45237-2025")</f>
        <v/>
      </c>
      <c r="V130">
        <f>HYPERLINK("https://klasma.github.io/Logging_2380/klagomål/A 45237-2025 FSC-klagomål.docx", "A 45237-2025")</f>
        <v/>
      </c>
      <c r="W130">
        <f>HYPERLINK("https://klasma.github.io/Logging_2380/klagomålsmail/A 45237-2025 FSC-klagomål mail.docx", "A 45237-2025")</f>
        <v/>
      </c>
      <c r="X130">
        <f>HYPERLINK("https://klasma.github.io/Logging_2380/tillsyn/A 45237-2025 tillsynsbegäran.docx", "A 45237-2025")</f>
        <v/>
      </c>
      <c r="Y130">
        <f>HYPERLINK("https://klasma.github.io/Logging_2380/tillsynsmail/A 45237-2025 tillsynsbegäran mail.docx", "A 45237-2025")</f>
        <v/>
      </c>
    </row>
    <row r="131" ht="15" customHeight="1">
      <c r="A131" t="inlineStr">
        <is>
          <t>A 56006-2023</t>
        </is>
      </c>
      <c r="B131" s="1" t="n">
        <v>45233</v>
      </c>
      <c r="C131" s="1" t="n">
        <v>46052</v>
      </c>
      <c r="D131" t="inlineStr">
        <is>
          <t>JÄMTLANDS LÄN</t>
        </is>
      </c>
      <c r="E131" t="inlineStr">
        <is>
          <t>ÖSTERSUND</t>
        </is>
      </c>
      <c r="G131" t="n">
        <v>2.3</v>
      </c>
      <c r="H131" t="n">
        <v>0</v>
      </c>
      <c r="I131" t="n">
        <v>2</v>
      </c>
      <c r="J131" t="n">
        <v>0</v>
      </c>
      <c r="K131" t="n">
        <v>0</v>
      </c>
      <c r="L131" t="n">
        <v>0</v>
      </c>
      <c r="M131" t="n">
        <v>0</v>
      </c>
      <c r="N131" t="n">
        <v>0</v>
      </c>
      <c r="O131" t="n">
        <v>0</v>
      </c>
      <c r="P131" t="n">
        <v>0</v>
      </c>
      <c r="Q131" t="n">
        <v>2</v>
      </c>
      <c r="R131" s="2" t="inlineStr">
        <is>
          <t>Korallblylav
Skinnlav</t>
        </is>
      </c>
      <c r="S131">
        <f>HYPERLINK("https://klasma.github.io/Logging_2380/artfynd/A 56006-2023 artfynd.xlsx", "A 56006-2023")</f>
        <v/>
      </c>
      <c r="T131">
        <f>HYPERLINK("https://klasma.github.io/Logging_2380/kartor/A 56006-2023 karta.png", "A 56006-2023")</f>
        <v/>
      </c>
      <c r="V131">
        <f>HYPERLINK("https://klasma.github.io/Logging_2380/klagomål/A 56006-2023 FSC-klagomål.docx", "A 56006-2023")</f>
        <v/>
      </c>
      <c r="W131">
        <f>HYPERLINK("https://klasma.github.io/Logging_2380/klagomålsmail/A 56006-2023 FSC-klagomål mail.docx", "A 56006-2023")</f>
        <v/>
      </c>
      <c r="X131">
        <f>HYPERLINK("https://klasma.github.io/Logging_2380/tillsyn/A 56006-2023 tillsynsbegäran.docx", "A 56006-2023")</f>
        <v/>
      </c>
      <c r="Y131">
        <f>HYPERLINK("https://klasma.github.io/Logging_2380/tillsynsmail/A 56006-2023 tillsynsbegäran mail.docx", "A 56006-2023")</f>
        <v/>
      </c>
    </row>
    <row r="132" ht="15" customHeight="1">
      <c r="A132" t="inlineStr">
        <is>
          <t>A 54872-2025</t>
        </is>
      </c>
      <c r="B132" s="1" t="n">
        <v>45966.94104166667</v>
      </c>
      <c r="C132" s="1" t="n">
        <v>46052</v>
      </c>
      <c r="D132" t="inlineStr">
        <is>
          <t>JÄMTLANDS LÄN</t>
        </is>
      </c>
      <c r="E132" t="inlineStr">
        <is>
          <t>ÖSTERSUND</t>
        </is>
      </c>
      <c r="G132" t="n">
        <v>2.4</v>
      </c>
      <c r="H132" t="n">
        <v>1</v>
      </c>
      <c r="I132" t="n">
        <v>1</v>
      </c>
      <c r="J132" t="n">
        <v>1</v>
      </c>
      <c r="K132" t="n">
        <v>0</v>
      </c>
      <c r="L132" t="n">
        <v>0</v>
      </c>
      <c r="M132" t="n">
        <v>0</v>
      </c>
      <c r="N132" t="n">
        <v>0</v>
      </c>
      <c r="O132" t="n">
        <v>1</v>
      </c>
      <c r="P132" t="n">
        <v>0</v>
      </c>
      <c r="Q132" t="n">
        <v>2</v>
      </c>
      <c r="R132" s="2" t="inlineStr">
        <is>
          <t>Slåtterfibbla
Korallrot</t>
        </is>
      </c>
      <c r="S132">
        <f>HYPERLINK("https://klasma.github.io/Logging_2380/artfynd/A 54872-2025 artfynd.xlsx", "A 54872-2025")</f>
        <v/>
      </c>
      <c r="T132">
        <f>HYPERLINK("https://klasma.github.io/Logging_2380/kartor/A 54872-2025 karta.png", "A 54872-2025")</f>
        <v/>
      </c>
      <c r="V132">
        <f>HYPERLINK("https://klasma.github.io/Logging_2380/klagomål/A 54872-2025 FSC-klagomål.docx", "A 54872-2025")</f>
        <v/>
      </c>
      <c r="W132">
        <f>HYPERLINK("https://klasma.github.io/Logging_2380/klagomålsmail/A 54872-2025 FSC-klagomål mail.docx", "A 54872-2025")</f>
        <v/>
      </c>
      <c r="X132">
        <f>HYPERLINK("https://klasma.github.io/Logging_2380/tillsyn/A 54872-2025 tillsynsbegäran.docx", "A 54872-2025")</f>
        <v/>
      </c>
      <c r="Y132">
        <f>HYPERLINK("https://klasma.github.io/Logging_2380/tillsynsmail/A 54872-2025 tillsynsbegäran mail.docx", "A 54872-2025")</f>
        <v/>
      </c>
    </row>
    <row r="133" ht="15" customHeight="1">
      <c r="A133" t="inlineStr">
        <is>
          <t>A 56750-2025</t>
        </is>
      </c>
      <c r="B133" s="1" t="n">
        <v>45975</v>
      </c>
      <c r="C133" s="1" t="n">
        <v>46052</v>
      </c>
      <c r="D133" t="inlineStr">
        <is>
          <t>JÄMTLANDS LÄN</t>
        </is>
      </c>
      <c r="E133" t="inlineStr">
        <is>
          <t>ÖSTERSUND</t>
        </is>
      </c>
      <c r="G133" t="n">
        <v>5.1</v>
      </c>
      <c r="H133" t="n">
        <v>1</v>
      </c>
      <c r="I133" t="n">
        <v>0</v>
      </c>
      <c r="J133" t="n">
        <v>1</v>
      </c>
      <c r="K133" t="n">
        <v>0</v>
      </c>
      <c r="L133" t="n">
        <v>0</v>
      </c>
      <c r="M133" t="n">
        <v>0</v>
      </c>
      <c r="N133" t="n">
        <v>0</v>
      </c>
      <c r="O133" t="n">
        <v>1</v>
      </c>
      <c r="P133" t="n">
        <v>0</v>
      </c>
      <c r="Q133" t="n">
        <v>2</v>
      </c>
      <c r="R133" s="2" t="inlineStr">
        <is>
          <t>Garnlav
Revlummer</t>
        </is>
      </c>
      <c r="S133">
        <f>HYPERLINK("https://klasma.github.io/Logging_2380/artfynd/A 56750-2025 artfynd.xlsx", "A 56750-2025")</f>
        <v/>
      </c>
      <c r="T133">
        <f>HYPERLINK("https://klasma.github.io/Logging_2380/kartor/A 56750-2025 karta.png", "A 56750-2025")</f>
        <v/>
      </c>
      <c r="V133">
        <f>HYPERLINK("https://klasma.github.io/Logging_2380/klagomål/A 56750-2025 FSC-klagomål.docx", "A 56750-2025")</f>
        <v/>
      </c>
      <c r="W133">
        <f>HYPERLINK("https://klasma.github.io/Logging_2380/klagomålsmail/A 56750-2025 FSC-klagomål mail.docx", "A 56750-2025")</f>
        <v/>
      </c>
      <c r="X133">
        <f>HYPERLINK("https://klasma.github.io/Logging_2380/tillsyn/A 56750-2025 tillsynsbegäran.docx", "A 56750-2025")</f>
        <v/>
      </c>
      <c r="Y133">
        <f>HYPERLINK("https://klasma.github.io/Logging_2380/tillsynsmail/A 56750-2025 tillsynsbegäran mail.docx", "A 56750-2025")</f>
        <v/>
      </c>
    </row>
    <row r="134" ht="15" customHeight="1">
      <c r="A134" t="inlineStr">
        <is>
          <t>A 58931-2025</t>
        </is>
      </c>
      <c r="B134" s="1" t="n">
        <v>45987.55831018519</v>
      </c>
      <c r="C134" s="1" t="n">
        <v>46052</v>
      </c>
      <c r="D134" t="inlineStr">
        <is>
          <t>JÄMTLANDS LÄN</t>
        </is>
      </c>
      <c r="E134" t="inlineStr">
        <is>
          <t>ÖSTERSUND</t>
        </is>
      </c>
      <c r="G134" t="n">
        <v>3.9</v>
      </c>
      <c r="H134" t="n">
        <v>2</v>
      </c>
      <c r="I134" t="n">
        <v>0</v>
      </c>
      <c r="J134" t="n">
        <v>0</v>
      </c>
      <c r="K134" t="n">
        <v>0</v>
      </c>
      <c r="L134" t="n">
        <v>0</v>
      </c>
      <c r="M134" t="n">
        <v>0</v>
      </c>
      <c r="N134" t="n">
        <v>0</v>
      </c>
      <c r="O134" t="n">
        <v>0</v>
      </c>
      <c r="P134" t="n">
        <v>0</v>
      </c>
      <c r="Q134" t="n">
        <v>2</v>
      </c>
      <c r="R134" s="2" t="inlineStr">
        <is>
          <t>Blåsippa
Revlummer</t>
        </is>
      </c>
      <c r="S134">
        <f>HYPERLINK("https://klasma.github.io/Logging_2380/artfynd/A 58931-2025 artfynd.xlsx", "A 58931-2025")</f>
        <v/>
      </c>
      <c r="T134">
        <f>HYPERLINK("https://klasma.github.io/Logging_2380/kartor/A 58931-2025 karta.png", "A 58931-2025")</f>
        <v/>
      </c>
      <c r="V134">
        <f>HYPERLINK("https://klasma.github.io/Logging_2380/klagomål/A 58931-2025 FSC-klagomål.docx", "A 58931-2025")</f>
        <v/>
      </c>
      <c r="W134">
        <f>HYPERLINK("https://klasma.github.io/Logging_2380/klagomålsmail/A 58931-2025 FSC-klagomål mail.docx", "A 58931-2025")</f>
        <v/>
      </c>
      <c r="X134">
        <f>HYPERLINK("https://klasma.github.io/Logging_2380/tillsyn/A 58931-2025 tillsynsbegäran.docx", "A 58931-2025")</f>
        <v/>
      </c>
      <c r="Y134">
        <f>HYPERLINK("https://klasma.github.io/Logging_2380/tillsynsmail/A 58931-2025 tillsynsbegäran mail.docx", "A 58931-2025")</f>
        <v/>
      </c>
    </row>
    <row r="135" ht="15" customHeight="1">
      <c r="A135" t="inlineStr">
        <is>
          <t>A 33137-2021</t>
        </is>
      </c>
      <c r="B135" s="1" t="n">
        <v>44376</v>
      </c>
      <c r="C135" s="1" t="n">
        <v>46052</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19798-2022</t>
        </is>
      </c>
      <c r="B136" s="1" t="n">
        <v>44694</v>
      </c>
      <c r="C136" s="1" t="n">
        <v>46052</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10336-2022</t>
        </is>
      </c>
      <c r="B137" s="1" t="n">
        <v>44623</v>
      </c>
      <c r="C137" s="1" t="n">
        <v>46052</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46163-2021</t>
        </is>
      </c>
      <c r="B138" s="1" t="n">
        <v>44441</v>
      </c>
      <c r="C138" s="1" t="n">
        <v>46052</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46052</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56201-2024</t>
        </is>
      </c>
      <c r="B140" s="1" t="n">
        <v>45624.59462962963</v>
      </c>
      <c r="C140" s="1" t="n">
        <v>46052</v>
      </c>
      <c r="D140" t="inlineStr">
        <is>
          <t>JÄMTLANDS LÄN</t>
        </is>
      </c>
      <c r="E140" t="inlineStr">
        <is>
          <t>ÖSTERSUND</t>
        </is>
      </c>
      <c r="F140" t="inlineStr">
        <is>
          <t>SCA</t>
        </is>
      </c>
      <c r="G140" t="n">
        <v>5.9</v>
      </c>
      <c r="H140" t="n">
        <v>1</v>
      </c>
      <c r="I140" t="n">
        <v>0</v>
      </c>
      <c r="J140" t="n">
        <v>0</v>
      </c>
      <c r="K140" t="n">
        <v>1</v>
      </c>
      <c r="L140" t="n">
        <v>0</v>
      </c>
      <c r="M140" t="n">
        <v>0</v>
      </c>
      <c r="N140" t="n">
        <v>0</v>
      </c>
      <c r="O140" t="n">
        <v>1</v>
      </c>
      <c r="P140" t="n">
        <v>1</v>
      </c>
      <c r="Q140" t="n">
        <v>1</v>
      </c>
      <c r="R140" s="2" t="inlineStr">
        <is>
          <t>Doftticka</t>
        </is>
      </c>
      <c r="S140">
        <f>HYPERLINK("https://klasma.github.io/Logging_2380/artfynd/A 56201-2024 artfynd.xlsx", "A 56201-2024")</f>
        <v/>
      </c>
      <c r="T140">
        <f>HYPERLINK("https://klasma.github.io/Logging_2380/kartor/A 56201-2024 karta.png", "A 56201-2024")</f>
        <v/>
      </c>
      <c r="V140">
        <f>HYPERLINK("https://klasma.github.io/Logging_2380/klagomål/A 56201-2024 FSC-klagomål.docx", "A 56201-2024")</f>
        <v/>
      </c>
      <c r="W140">
        <f>HYPERLINK("https://klasma.github.io/Logging_2380/klagomålsmail/A 56201-2024 FSC-klagomål mail.docx", "A 56201-2024")</f>
        <v/>
      </c>
      <c r="X140">
        <f>HYPERLINK("https://klasma.github.io/Logging_2380/tillsyn/A 56201-2024 tillsynsbegäran.docx", "A 56201-2024")</f>
        <v/>
      </c>
      <c r="Y140">
        <f>HYPERLINK("https://klasma.github.io/Logging_2380/tillsynsmail/A 56201-2024 tillsynsbegäran mail.docx", "A 56201-2024")</f>
        <v/>
      </c>
    </row>
    <row r="141" ht="15" customHeight="1">
      <c r="A141" t="inlineStr">
        <is>
          <t>A 11513-2024</t>
        </is>
      </c>
      <c r="B141" s="1" t="n">
        <v>45372</v>
      </c>
      <c r="C141" s="1" t="n">
        <v>46052</v>
      </c>
      <c r="D141" t="inlineStr">
        <is>
          <t>JÄMTLANDS LÄN</t>
        </is>
      </c>
      <c r="E141" t="inlineStr">
        <is>
          <t>ÖSTERSUND</t>
        </is>
      </c>
      <c r="G141" t="n">
        <v>21.2</v>
      </c>
      <c r="H141" t="n">
        <v>0</v>
      </c>
      <c r="I141" t="n">
        <v>1</v>
      </c>
      <c r="J141" t="n">
        <v>0</v>
      </c>
      <c r="K141" t="n">
        <v>0</v>
      </c>
      <c r="L141" t="n">
        <v>0</v>
      </c>
      <c r="M141" t="n">
        <v>0</v>
      </c>
      <c r="N141" t="n">
        <v>0</v>
      </c>
      <c r="O141" t="n">
        <v>0</v>
      </c>
      <c r="P141" t="n">
        <v>0</v>
      </c>
      <c r="Q141" t="n">
        <v>1</v>
      </c>
      <c r="R141" s="2" t="inlineStr">
        <is>
          <t>Tibast</t>
        </is>
      </c>
      <c r="S141">
        <f>HYPERLINK("https://klasma.github.io/Logging_2380/artfynd/A 11513-2024 artfynd.xlsx", "A 11513-2024")</f>
        <v/>
      </c>
      <c r="T141">
        <f>HYPERLINK("https://klasma.github.io/Logging_2380/kartor/A 11513-2024 karta.png", "A 11513-2024")</f>
        <v/>
      </c>
      <c r="V141">
        <f>HYPERLINK("https://klasma.github.io/Logging_2380/klagomål/A 11513-2024 FSC-klagomål.docx", "A 11513-2024")</f>
        <v/>
      </c>
      <c r="W141">
        <f>HYPERLINK("https://klasma.github.io/Logging_2380/klagomålsmail/A 11513-2024 FSC-klagomål mail.docx", "A 11513-2024")</f>
        <v/>
      </c>
      <c r="X141">
        <f>HYPERLINK("https://klasma.github.io/Logging_2380/tillsyn/A 11513-2024 tillsynsbegäran.docx", "A 11513-2024")</f>
        <v/>
      </c>
      <c r="Y141">
        <f>HYPERLINK("https://klasma.github.io/Logging_2380/tillsynsmail/A 11513-2024 tillsynsbegäran mail.docx", "A 11513-2024")</f>
        <v/>
      </c>
    </row>
    <row r="142" ht="15" customHeight="1">
      <c r="A142" t="inlineStr">
        <is>
          <t>A 41279-2024</t>
        </is>
      </c>
      <c r="B142" s="1" t="n">
        <v>45559</v>
      </c>
      <c r="C142" s="1" t="n">
        <v>46052</v>
      </c>
      <c r="D142" t="inlineStr">
        <is>
          <t>JÄMTLANDS LÄN</t>
        </is>
      </c>
      <c r="E142" t="inlineStr">
        <is>
          <t>ÖSTERSUND</t>
        </is>
      </c>
      <c r="F142" t="inlineStr">
        <is>
          <t>SCA</t>
        </is>
      </c>
      <c r="G142" t="n">
        <v>1.6</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41279-2024 artfynd.xlsx", "A 41279-2024")</f>
        <v/>
      </c>
      <c r="T142">
        <f>HYPERLINK("https://klasma.github.io/Logging_2380/kartor/A 41279-2024 karta.png", "A 41279-2024")</f>
        <v/>
      </c>
      <c r="V142">
        <f>HYPERLINK("https://klasma.github.io/Logging_2380/klagomål/A 41279-2024 FSC-klagomål.docx", "A 41279-2024")</f>
        <v/>
      </c>
      <c r="W142">
        <f>HYPERLINK("https://klasma.github.io/Logging_2380/klagomålsmail/A 41279-2024 FSC-klagomål mail.docx", "A 41279-2024")</f>
        <v/>
      </c>
      <c r="X142">
        <f>HYPERLINK("https://klasma.github.io/Logging_2380/tillsyn/A 41279-2024 tillsynsbegäran.docx", "A 41279-2024")</f>
        <v/>
      </c>
      <c r="Y142">
        <f>HYPERLINK("https://klasma.github.io/Logging_2380/tillsynsmail/A 41279-2024 tillsynsbegäran mail.docx", "A 41279-2024")</f>
        <v/>
      </c>
    </row>
    <row r="143" ht="15" customHeight="1">
      <c r="A143" t="inlineStr">
        <is>
          <t>A 40692-2024</t>
        </is>
      </c>
      <c r="B143" s="1" t="n">
        <v>45558</v>
      </c>
      <c r="C143" s="1" t="n">
        <v>46052</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59108-2024</t>
        </is>
      </c>
      <c r="B144" s="1" t="n">
        <v>45637.34469907408</v>
      </c>
      <c r="C144" s="1" t="n">
        <v>46052</v>
      </c>
      <c r="D144" t="inlineStr">
        <is>
          <t>JÄMTLANDS LÄN</t>
        </is>
      </c>
      <c r="E144" t="inlineStr">
        <is>
          <t>ÖSTERSUND</t>
        </is>
      </c>
      <c r="F144" t="inlineStr">
        <is>
          <t>SCA</t>
        </is>
      </c>
      <c r="G144" t="n">
        <v>10.6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59108-2024 artfynd.xlsx", "A 59108-2024")</f>
        <v/>
      </c>
      <c r="T144">
        <f>HYPERLINK("https://klasma.github.io/Logging_2380/kartor/A 59108-2024 karta.png", "A 59108-2024")</f>
        <v/>
      </c>
      <c r="V144">
        <f>HYPERLINK("https://klasma.github.io/Logging_2380/klagomål/A 59108-2024 FSC-klagomål.docx", "A 59108-2024")</f>
        <v/>
      </c>
      <c r="W144">
        <f>HYPERLINK("https://klasma.github.io/Logging_2380/klagomålsmail/A 59108-2024 FSC-klagomål mail.docx", "A 59108-2024")</f>
        <v/>
      </c>
      <c r="X144">
        <f>HYPERLINK("https://klasma.github.io/Logging_2380/tillsyn/A 59108-2024 tillsynsbegäran.docx", "A 59108-2024")</f>
        <v/>
      </c>
      <c r="Y144">
        <f>HYPERLINK("https://klasma.github.io/Logging_2380/tillsynsmail/A 59108-2024 tillsynsbegäran mail.docx", "A 59108-2024")</f>
        <v/>
      </c>
      <c r="Z144">
        <f>HYPERLINK("https://klasma.github.io/Logging_2380/fåglar/A 59108-2024 prioriterade fågelarter.docx", "A 59108-2024")</f>
        <v/>
      </c>
    </row>
    <row r="145" ht="15" customHeight="1">
      <c r="A145" t="inlineStr">
        <is>
          <t>A 40694-2024</t>
        </is>
      </c>
      <c r="B145" s="1" t="n">
        <v>45558</v>
      </c>
      <c r="C145" s="1" t="n">
        <v>46052</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64380-2023</t>
        </is>
      </c>
      <c r="B146" s="1" t="n">
        <v>45280.56451388889</v>
      </c>
      <c r="C146" s="1" t="n">
        <v>46052</v>
      </c>
      <c r="D146" t="inlineStr">
        <is>
          <t>JÄMTLANDS LÄN</t>
        </is>
      </c>
      <c r="E146" t="inlineStr">
        <is>
          <t>ÖSTERSUND</t>
        </is>
      </c>
      <c r="G146" t="n">
        <v>12.4</v>
      </c>
      <c r="H146" t="n">
        <v>0</v>
      </c>
      <c r="I146" t="n">
        <v>0</v>
      </c>
      <c r="J146" t="n">
        <v>1</v>
      </c>
      <c r="K146" t="n">
        <v>0</v>
      </c>
      <c r="L146" t="n">
        <v>0</v>
      </c>
      <c r="M146" t="n">
        <v>0</v>
      </c>
      <c r="N146" t="n">
        <v>0</v>
      </c>
      <c r="O146" t="n">
        <v>1</v>
      </c>
      <c r="P146" t="n">
        <v>0</v>
      </c>
      <c r="Q146" t="n">
        <v>1</v>
      </c>
      <c r="R146" s="2" t="inlineStr">
        <is>
          <t>Luddfingersvamp</t>
        </is>
      </c>
      <c r="S146">
        <f>HYPERLINK("https://klasma.github.io/Logging_2380/artfynd/A 64380-2023 artfynd.xlsx", "A 64380-2023")</f>
        <v/>
      </c>
      <c r="T146">
        <f>HYPERLINK("https://klasma.github.io/Logging_2380/kartor/A 64380-2023 karta.png", "A 64380-2023")</f>
        <v/>
      </c>
      <c r="V146">
        <f>HYPERLINK("https://klasma.github.io/Logging_2380/klagomål/A 64380-2023 FSC-klagomål.docx", "A 64380-2023")</f>
        <v/>
      </c>
      <c r="W146">
        <f>HYPERLINK("https://klasma.github.io/Logging_2380/klagomålsmail/A 64380-2023 FSC-klagomål mail.docx", "A 64380-2023")</f>
        <v/>
      </c>
      <c r="X146">
        <f>HYPERLINK("https://klasma.github.io/Logging_2380/tillsyn/A 64380-2023 tillsynsbegäran.docx", "A 64380-2023")</f>
        <v/>
      </c>
      <c r="Y146">
        <f>HYPERLINK("https://klasma.github.io/Logging_2380/tillsynsmail/A 64380-2023 tillsynsbegäran mail.docx", "A 64380-2023")</f>
        <v/>
      </c>
    </row>
    <row r="147" ht="15" customHeight="1">
      <c r="A147" t="inlineStr">
        <is>
          <t>A 55821-2021</t>
        </is>
      </c>
      <c r="B147" s="1" t="n">
        <v>44476</v>
      </c>
      <c r="C147" s="1" t="n">
        <v>46052</v>
      </c>
      <c r="D147" t="inlineStr">
        <is>
          <t>JÄMTLANDS LÄN</t>
        </is>
      </c>
      <c r="E147" t="inlineStr">
        <is>
          <t>ÖSTERSUND</t>
        </is>
      </c>
      <c r="G147" t="n">
        <v>7.2</v>
      </c>
      <c r="H147" t="n">
        <v>0</v>
      </c>
      <c r="I147" t="n">
        <v>0</v>
      </c>
      <c r="J147" t="n">
        <v>1</v>
      </c>
      <c r="K147" t="n">
        <v>0</v>
      </c>
      <c r="L147" t="n">
        <v>0</v>
      </c>
      <c r="M147" t="n">
        <v>0</v>
      </c>
      <c r="N147" t="n">
        <v>0</v>
      </c>
      <c r="O147" t="n">
        <v>1</v>
      </c>
      <c r="P147" t="n">
        <v>0</v>
      </c>
      <c r="Q147" t="n">
        <v>1</v>
      </c>
      <c r="R147" s="2" t="inlineStr">
        <is>
          <t>Harticka</t>
        </is>
      </c>
      <c r="S147">
        <f>HYPERLINK("https://klasma.github.io/Logging_2380/artfynd/A 55821-2021 artfynd.xlsx", "A 55821-2021")</f>
        <v/>
      </c>
      <c r="T147">
        <f>HYPERLINK("https://klasma.github.io/Logging_2380/kartor/A 55821-2021 karta.png", "A 55821-2021")</f>
        <v/>
      </c>
      <c r="V147">
        <f>HYPERLINK("https://klasma.github.io/Logging_2380/klagomål/A 55821-2021 FSC-klagomål.docx", "A 55821-2021")</f>
        <v/>
      </c>
      <c r="W147">
        <f>HYPERLINK("https://klasma.github.io/Logging_2380/klagomålsmail/A 55821-2021 FSC-klagomål mail.docx", "A 55821-2021")</f>
        <v/>
      </c>
      <c r="X147">
        <f>HYPERLINK("https://klasma.github.io/Logging_2380/tillsyn/A 55821-2021 tillsynsbegäran.docx", "A 55821-2021")</f>
        <v/>
      </c>
      <c r="Y147">
        <f>HYPERLINK("https://klasma.github.io/Logging_2380/tillsynsmail/A 55821-2021 tillsynsbegäran mail.docx", "A 55821-2021")</f>
        <v/>
      </c>
    </row>
    <row r="148" ht="15" customHeight="1">
      <c r="A148" t="inlineStr">
        <is>
          <t>A 17217-2021</t>
        </is>
      </c>
      <c r="B148" s="1" t="n">
        <v>44298</v>
      </c>
      <c r="C148" s="1" t="n">
        <v>46052</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26605-2025</t>
        </is>
      </c>
      <c r="B149" s="1" t="n">
        <v>45809.86790509259</v>
      </c>
      <c r="C149" s="1" t="n">
        <v>46052</v>
      </c>
      <c r="D149" t="inlineStr">
        <is>
          <t>JÄMTLANDS LÄN</t>
        </is>
      </c>
      <c r="E149" t="inlineStr">
        <is>
          <t>ÖSTERSUND</t>
        </is>
      </c>
      <c r="G149" t="n">
        <v>1.3</v>
      </c>
      <c r="H149" t="n">
        <v>0</v>
      </c>
      <c r="I149" t="n">
        <v>0</v>
      </c>
      <c r="J149" t="n">
        <v>1</v>
      </c>
      <c r="K149" t="n">
        <v>0</v>
      </c>
      <c r="L149" t="n">
        <v>0</v>
      </c>
      <c r="M149" t="n">
        <v>0</v>
      </c>
      <c r="N149" t="n">
        <v>0</v>
      </c>
      <c r="O149" t="n">
        <v>1</v>
      </c>
      <c r="P149" t="n">
        <v>0</v>
      </c>
      <c r="Q149" t="n">
        <v>1</v>
      </c>
      <c r="R149" s="2" t="inlineStr">
        <is>
          <t>Garnlav</t>
        </is>
      </c>
      <c r="S149">
        <f>HYPERLINK("https://klasma.github.io/Logging_2380/artfynd/A 26605-2025 artfynd.xlsx", "A 26605-2025")</f>
        <v/>
      </c>
      <c r="T149">
        <f>HYPERLINK("https://klasma.github.io/Logging_2380/kartor/A 26605-2025 karta.png", "A 26605-2025")</f>
        <v/>
      </c>
      <c r="V149">
        <f>HYPERLINK("https://klasma.github.io/Logging_2380/klagomål/A 26605-2025 FSC-klagomål.docx", "A 26605-2025")</f>
        <v/>
      </c>
      <c r="W149">
        <f>HYPERLINK("https://klasma.github.io/Logging_2380/klagomålsmail/A 26605-2025 FSC-klagomål mail.docx", "A 26605-2025")</f>
        <v/>
      </c>
      <c r="X149">
        <f>HYPERLINK("https://klasma.github.io/Logging_2380/tillsyn/A 26605-2025 tillsynsbegäran.docx", "A 26605-2025")</f>
        <v/>
      </c>
      <c r="Y149">
        <f>HYPERLINK("https://klasma.github.io/Logging_2380/tillsynsmail/A 26605-2025 tillsynsbegäran mail.docx", "A 26605-2025")</f>
        <v/>
      </c>
    </row>
    <row r="150" ht="15" customHeight="1">
      <c r="A150" t="inlineStr">
        <is>
          <t>A 41770-2024</t>
        </is>
      </c>
      <c r="B150" s="1" t="n">
        <v>45561.34641203703</v>
      </c>
      <c r="C150" s="1" t="n">
        <v>46052</v>
      </c>
      <c r="D150" t="inlineStr">
        <is>
          <t>JÄMTLANDS LÄN</t>
        </is>
      </c>
      <c r="E150" t="inlineStr">
        <is>
          <t>ÖSTERSUND</t>
        </is>
      </c>
      <c r="F150" t="inlineStr">
        <is>
          <t>SCA</t>
        </is>
      </c>
      <c r="G150" t="n">
        <v>4.4</v>
      </c>
      <c r="H150" t="n">
        <v>0</v>
      </c>
      <c r="I150" t="n">
        <v>1</v>
      </c>
      <c r="J150" t="n">
        <v>0</v>
      </c>
      <c r="K150" t="n">
        <v>0</v>
      </c>
      <c r="L150" t="n">
        <v>0</v>
      </c>
      <c r="M150" t="n">
        <v>0</v>
      </c>
      <c r="N150" t="n">
        <v>0</v>
      </c>
      <c r="O150" t="n">
        <v>0</v>
      </c>
      <c r="P150" t="n">
        <v>0</v>
      </c>
      <c r="Q150" t="n">
        <v>1</v>
      </c>
      <c r="R150" s="2" t="inlineStr">
        <is>
          <t>Vedticka</t>
        </is>
      </c>
      <c r="S150">
        <f>HYPERLINK("https://klasma.github.io/Logging_2380/artfynd/A 41770-2024 artfynd.xlsx", "A 41770-2024")</f>
        <v/>
      </c>
      <c r="T150">
        <f>HYPERLINK("https://klasma.github.io/Logging_2380/kartor/A 41770-2024 karta.png", "A 41770-2024")</f>
        <v/>
      </c>
      <c r="V150">
        <f>HYPERLINK("https://klasma.github.io/Logging_2380/klagomål/A 41770-2024 FSC-klagomål.docx", "A 41770-2024")</f>
        <v/>
      </c>
      <c r="W150">
        <f>HYPERLINK("https://klasma.github.io/Logging_2380/klagomålsmail/A 41770-2024 FSC-klagomål mail.docx", "A 41770-2024")</f>
        <v/>
      </c>
      <c r="X150">
        <f>HYPERLINK("https://klasma.github.io/Logging_2380/tillsyn/A 41770-2024 tillsynsbegäran.docx", "A 41770-2024")</f>
        <v/>
      </c>
      <c r="Y150">
        <f>HYPERLINK("https://klasma.github.io/Logging_2380/tillsynsmail/A 41770-2024 tillsynsbegäran mail.docx", "A 41770-2024")</f>
        <v/>
      </c>
    </row>
    <row r="151" ht="15" customHeight="1">
      <c r="A151" t="inlineStr">
        <is>
          <t>A 33550-2025</t>
        </is>
      </c>
      <c r="B151" s="1" t="n">
        <v>45841.57331018519</v>
      </c>
      <c r="C151" s="1" t="n">
        <v>46052</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36225-2025</t>
        </is>
      </c>
      <c r="B152" s="1" t="n">
        <v>45867.51128472222</v>
      </c>
      <c r="C152" s="1" t="n">
        <v>46052</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59433-2021</t>
        </is>
      </c>
      <c r="B153" s="1" t="n">
        <v>44491</v>
      </c>
      <c r="C153" s="1" t="n">
        <v>46052</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55-2023</t>
        </is>
      </c>
      <c r="B154" s="1" t="n">
        <v>44928</v>
      </c>
      <c r="C154" s="1" t="n">
        <v>46052</v>
      </c>
      <c r="D154" t="inlineStr">
        <is>
          <t>JÄMTLANDS LÄN</t>
        </is>
      </c>
      <c r="E154" t="inlineStr">
        <is>
          <t>ÖSTERSUND</t>
        </is>
      </c>
      <c r="G154" t="n">
        <v>4</v>
      </c>
      <c r="H154" t="n">
        <v>1</v>
      </c>
      <c r="I154" t="n">
        <v>0</v>
      </c>
      <c r="J154" t="n">
        <v>0</v>
      </c>
      <c r="K154" t="n">
        <v>1</v>
      </c>
      <c r="L154" t="n">
        <v>0</v>
      </c>
      <c r="M154" t="n">
        <v>0</v>
      </c>
      <c r="N154" t="n">
        <v>0</v>
      </c>
      <c r="O154" t="n">
        <v>1</v>
      </c>
      <c r="P154" t="n">
        <v>1</v>
      </c>
      <c r="Q154" t="n">
        <v>1</v>
      </c>
      <c r="R154" s="2" t="inlineStr">
        <is>
          <t>Knärot</t>
        </is>
      </c>
      <c r="S154">
        <f>HYPERLINK("https://klasma.github.io/Logging_2380/artfynd/A 55-2023 artfynd.xlsx", "A 55-2023")</f>
        <v/>
      </c>
      <c r="T154">
        <f>HYPERLINK("https://klasma.github.io/Logging_2380/kartor/A 55-2023 karta.png", "A 55-2023")</f>
        <v/>
      </c>
      <c r="U154">
        <f>HYPERLINK("https://klasma.github.io/Logging_2380/knärot/A 55-2023 karta knärot.png", "A 55-2023")</f>
        <v/>
      </c>
      <c r="V154">
        <f>HYPERLINK("https://klasma.github.io/Logging_2380/klagomål/A 55-2023 FSC-klagomål.docx", "A 55-2023")</f>
        <v/>
      </c>
      <c r="W154">
        <f>HYPERLINK("https://klasma.github.io/Logging_2380/klagomålsmail/A 55-2023 FSC-klagomål mail.docx", "A 55-2023")</f>
        <v/>
      </c>
      <c r="X154">
        <f>HYPERLINK("https://klasma.github.io/Logging_2380/tillsyn/A 55-2023 tillsynsbegäran.docx", "A 55-2023")</f>
        <v/>
      </c>
      <c r="Y154">
        <f>HYPERLINK("https://klasma.github.io/Logging_2380/tillsynsmail/A 55-2023 tillsynsbegäran mail.docx", "A 55-2023")</f>
        <v/>
      </c>
    </row>
    <row r="155" ht="15" customHeight="1">
      <c r="A155" t="inlineStr">
        <is>
          <t>A 28980-2023</t>
        </is>
      </c>
      <c r="B155" s="1" t="n">
        <v>45096</v>
      </c>
      <c r="C155" s="1" t="n">
        <v>46052</v>
      </c>
      <c r="D155" t="inlineStr">
        <is>
          <t>JÄMTLANDS LÄN</t>
        </is>
      </c>
      <c r="E155" t="inlineStr">
        <is>
          <t>ÖSTERSUND</t>
        </is>
      </c>
      <c r="G155" t="n">
        <v>2.7</v>
      </c>
      <c r="H155" t="n">
        <v>0</v>
      </c>
      <c r="I155" t="n">
        <v>1</v>
      </c>
      <c r="J155" t="n">
        <v>0</v>
      </c>
      <c r="K155" t="n">
        <v>0</v>
      </c>
      <c r="L155" t="n">
        <v>0</v>
      </c>
      <c r="M155" t="n">
        <v>0</v>
      </c>
      <c r="N155" t="n">
        <v>0</v>
      </c>
      <c r="O155" t="n">
        <v>0</v>
      </c>
      <c r="P155" t="n">
        <v>0</v>
      </c>
      <c r="Q155" t="n">
        <v>1</v>
      </c>
      <c r="R155" s="2" t="inlineStr">
        <is>
          <t>Finbräken</t>
        </is>
      </c>
      <c r="S155">
        <f>HYPERLINK("https://klasma.github.io/Logging_2380/artfynd/A 28980-2023 artfynd.xlsx", "A 28980-2023")</f>
        <v/>
      </c>
      <c r="T155">
        <f>HYPERLINK("https://klasma.github.io/Logging_2380/kartor/A 28980-2023 karta.png", "A 28980-2023")</f>
        <v/>
      </c>
      <c r="V155">
        <f>HYPERLINK("https://klasma.github.io/Logging_2380/klagomål/A 28980-2023 FSC-klagomål.docx", "A 28980-2023")</f>
        <v/>
      </c>
      <c r="W155">
        <f>HYPERLINK("https://klasma.github.io/Logging_2380/klagomålsmail/A 28980-2023 FSC-klagomål mail.docx", "A 28980-2023")</f>
        <v/>
      </c>
      <c r="X155">
        <f>HYPERLINK("https://klasma.github.io/Logging_2380/tillsyn/A 28980-2023 tillsynsbegäran.docx", "A 28980-2023")</f>
        <v/>
      </c>
      <c r="Y155">
        <f>HYPERLINK("https://klasma.github.io/Logging_2380/tillsynsmail/A 28980-2023 tillsynsbegäran mail.docx", "A 28980-2023")</f>
        <v/>
      </c>
    </row>
    <row r="156" ht="15" customHeight="1">
      <c r="A156" t="inlineStr">
        <is>
          <t>A 24368-2025</t>
        </is>
      </c>
      <c r="B156" s="1" t="n">
        <v>45797.60623842593</v>
      </c>
      <c r="C156" s="1" t="n">
        <v>46052</v>
      </c>
      <c r="D156" t="inlineStr">
        <is>
          <t>JÄMTLANDS LÄN</t>
        </is>
      </c>
      <c r="E156" t="inlineStr">
        <is>
          <t>ÖSTERSUND</t>
        </is>
      </c>
      <c r="G156" t="n">
        <v>2.9</v>
      </c>
      <c r="H156" t="n">
        <v>0</v>
      </c>
      <c r="I156" t="n">
        <v>0</v>
      </c>
      <c r="J156" t="n">
        <v>0</v>
      </c>
      <c r="K156" t="n">
        <v>1</v>
      </c>
      <c r="L156" t="n">
        <v>0</v>
      </c>
      <c r="M156" t="n">
        <v>0</v>
      </c>
      <c r="N156" t="n">
        <v>0</v>
      </c>
      <c r="O156" t="n">
        <v>1</v>
      </c>
      <c r="P156" t="n">
        <v>1</v>
      </c>
      <c r="Q156" t="n">
        <v>1</v>
      </c>
      <c r="R156" s="2" t="inlineStr">
        <is>
          <t>Fjällfotad fingersvamp</t>
        </is>
      </c>
      <c r="S156">
        <f>HYPERLINK("https://klasma.github.io/Logging_2380/artfynd/A 24368-2025 artfynd.xlsx", "A 24368-2025")</f>
        <v/>
      </c>
      <c r="T156">
        <f>HYPERLINK("https://klasma.github.io/Logging_2380/kartor/A 24368-2025 karta.png", "A 24368-2025")</f>
        <v/>
      </c>
      <c r="V156">
        <f>HYPERLINK("https://klasma.github.io/Logging_2380/klagomål/A 24368-2025 FSC-klagomål.docx", "A 24368-2025")</f>
        <v/>
      </c>
      <c r="W156">
        <f>HYPERLINK("https://klasma.github.io/Logging_2380/klagomålsmail/A 24368-2025 FSC-klagomål mail.docx", "A 24368-2025")</f>
        <v/>
      </c>
      <c r="X156">
        <f>HYPERLINK("https://klasma.github.io/Logging_2380/tillsyn/A 24368-2025 tillsynsbegäran.docx", "A 24368-2025")</f>
        <v/>
      </c>
      <c r="Y156">
        <f>HYPERLINK("https://klasma.github.io/Logging_2380/tillsynsmail/A 24368-2025 tillsynsbegäran mail.docx", "A 24368-2025")</f>
        <v/>
      </c>
    </row>
    <row r="157" ht="15" customHeight="1">
      <c r="A157" t="inlineStr">
        <is>
          <t>A 44049-2024</t>
        </is>
      </c>
      <c r="B157" s="1" t="n">
        <v>45572.59462962963</v>
      </c>
      <c r="C157" s="1" t="n">
        <v>46052</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43188-2025</t>
        </is>
      </c>
      <c r="B158" s="1" t="n">
        <v>45910.41201388889</v>
      </c>
      <c r="C158" s="1" t="n">
        <v>46052</v>
      </c>
      <c r="D158" t="inlineStr">
        <is>
          <t>JÄMTLANDS LÄN</t>
        </is>
      </c>
      <c r="E158" t="inlineStr">
        <is>
          <t>ÖSTERSUND</t>
        </is>
      </c>
      <c r="G158" t="n">
        <v>8.6</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43188-2025 artfynd.xlsx", "A 43188-2025")</f>
        <v/>
      </c>
      <c r="T158">
        <f>HYPERLINK("https://klasma.github.io/Logging_2380/kartor/A 43188-2025 karta.png", "A 43188-2025")</f>
        <v/>
      </c>
      <c r="V158">
        <f>HYPERLINK("https://klasma.github.io/Logging_2380/klagomål/A 43188-2025 FSC-klagomål.docx", "A 43188-2025")</f>
        <v/>
      </c>
      <c r="W158">
        <f>HYPERLINK("https://klasma.github.io/Logging_2380/klagomålsmail/A 43188-2025 FSC-klagomål mail.docx", "A 43188-2025")</f>
        <v/>
      </c>
      <c r="X158">
        <f>HYPERLINK("https://klasma.github.io/Logging_2380/tillsyn/A 43188-2025 tillsynsbegäran.docx", "A 43188-2025")</f>
        <v/>
      </c>
      <c r="Y158">
        <f>HYPERLINK("https://klasma.github.io/Logging_2380/tillsynsmail/A 43188-2025 tillsynsbegäran mail.docx", "A 43188-2025")</f>
        <v/>
      </c>
      <c r="Z158">
        <f>HYPERLINK("https://klasma.github.io/Logging_2380/fåglar/A 43188-2025 prioriterade fågelarter.docx", "A 43188-2025")</f>
        <v/>
      </c>
    </row>
    <row r="159" ht="15" customHeight="1">
      <c r="A159" t="inlineStr">
        <is>
          <t>A 54354-2024</t>
        </is>
      </c>
      <c r="B159" s="1" t="n">
        <v>45617.40244212963</v>
      </c>
      <c r="C159" s="1" t="n">
        <v>46052</v>
      </c>
      <c r="D159" t="inlineStr">
        <is>
          <t>JÄMTLANDS LÄN</t>
        </is>
      </c>
      <c r="E159" t="inlineStr">
        <is>
          <t>ÖSTERSUND</t>
        </is>
      </c>
      <c r="G159" t="n">
        <v>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54354-2024 artfynd.xlsx", "A 54354-2024")</f>
        <v/>
      </c>
      <c r="T159">
        <f>HYPERLINK("https://klasma.github.io/Logging_2380/kartor/A 54354-2024 karta.png", "A 54354-2024")</f>
        <v/>
      </c>
      <c r="V159">
        <f>HYPERLINK("https://klasma.github.io/Logging_2380/klagomål/A 54354-2024 FSC-klagomål.docx", "A 54354-2024")</f>
        <v/>
      </c>
      <c r="W159">
        <f>HYPERLINK("https://klasma.github.io/Logging_2380/klagomålsmail/A 54354-2024 FSC-klagomål mail.docx", "A 54354-2024")</f>
        <v/>
      </c>
      <c r="X159">
        <f>HYPERLINK("https://klasma.github.io/Logging_2380/tillsyn/A 54354-2024 tillsynsbegäran.docx", "A 54354-2024")</f>
        <v/>
      </c>
      <c r="Y159">
        <f>HYPERLINK("https://klasma.github.io/Logging_2380/tillsynsmail/A 54354-2024 tillsynsbegäran mail.docx", "A 54354-2024")</f>
        <v/>
      </c>
      <c r="Z159">
        <f>HYPERLINK("https://klasma.github.io/Logging_2380/fåglar/A 54354-2024 prioriterade fågelarter.docx", "A 54354-2024")</f>
        <v/>
      </c>
    </row>
    <row r="160" ht="15" customHeight="1">
      <c r="A160" t="inlineStr">
        <is>
          <t>A 40696-2024</t>
        </is>
      </c>
      <c r="B160" s="1" t="n">
        <v>45558</v>
      </c>
      <c r="C160" s="1" t="n">
        <v>46052</v>
      </c>
      <c r="D160" t="inlineStr">
        <is>
          <t>JÄMTLANDS LÄN</t>
        </is>
      </c>
      <c r="E160" t="inlineStr">
        <is>
          <t>ÖSTERSUND</t>
        </is>
      </c>
      <c r="F160" t="inlineStr">
        <is>
          <t>SCA</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HYPERLINK("https://klasma.github.io/Logging_2380/artfynd/A 40696-2024 artfynd.xlsx", "A 40696-2024")</f>
        <v/>
      </c>
      <c r="T160">
        <f>HYPERLINK("https://klasma.github.io/Logging_2380/kartor/A 40696-2024 karta.png", "A 40696-2024")</f>
        <v/>
      </c>
      <c r="V160">
        <f>HYPERLINK("https://klasma.github.io/Logging_2380/klagomål/A 40696-2024 FSC-klagomål.docx", "A 40696-2024")</f>
        <v/>
      </c>
      <c r="W160">
        <f>HYPERLINK("https://klasma.github.io/Logging_2380/klagomålsmail/A 40696-2024 FSC-klagomål mail.docx", "A 40696-2024")</f>
        <v/>
      </c>
      <c r="X160">
        <f>HYPERLINK("https://klasma.github.io/Logging_2380/tillsyn/A 40696-2024 tillsynsbegäran.docx", "A 40696-2024")</f>
        <v/>
      </c>
      <c r="Y160">
        <f>HYPERLINK("https://klasma.github.io/Logging_2380/tillsynsmail/A 40696-2024 tillsynsbegäran mail.docx", "A 40696-2024")</f>
        <v/>
      </c>
    </row>
    <row r="161" ht="15" customHeight="1">
      <c r="A161" t="inlineStr">
        <is>
          <t>A 58181-2022</t>
        </is>
      </c>
      <c r="B161" s="1" t="n">
        <v>44900</v>
      </c>
      <c r="C161" s="1" t="n">
        <v>46052</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41312-2024</t>
        </is>
      </c>
      <c r="B162" s="1" t="n">
        <v>45559.63584490741</v>
      </c>
      <c r="C162" s="1" t="n">
        <v>46052</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31883-2024</t>
        </is>
      </c>
      <c r="B163" s="1" t="n">
        <v>45509.9572800926</v>
      </c>
      <c r="C163" s="1" t="n">
        <v>46052</v>
      </c>
      <c r="D163" t="inlineStr">
        <is>
          <t>JÄMTLANDS LÄN</t>
        </is>
      </c>
      <c r="E163" t="inlineStr">
        <is>
          <t>ÖSTERSUND</t>
        </is>
      </c>
      <c r="F163" t="inlineStr">
        <is>
          <t>SCA</t>
        </is>
      </c>
      <c r="G163" t="n">
        <v>3.3</v>
      </c>
      <c r="H163" t="n">
        <v>1</v>
      </c>
      <c r="I163" t="n">
        <v>0</v>
      </c>
      <c r="J163" t="n">
        <v>0</v>
      </c>
      <c r="K163" t="n">
        <v>1</v>
      </c>
      <c r="L163" t="n">
        <v>0</v>
      </c>
      <c r="M163" t="n">
        <v>0</v>
      </c>
      <c r="N163" t="n">
        <v>0</v>
      </c>
      <c r="O163" t="n">
        <v>1</v>
      </c>
      <c r="P163" t="n">
        <v>1</v>
      </c>
      <c r="Q163" t="n">
        <v>1</v>
      </c>
      <c r="R163" s="2" t="inlineStr">
        <is>
          <t>Doftticka</t>
        </is>
      </c>
      <c r="S163">
        <f>HYPERLINK("https://klasma.github.io/Logging_2380/artfynd/A 31883-2024 artfynd.xlsx", "A 31883-2024")</f>
        <v/>
      </c>
      <c r="T163">
        <f>HYPERLINK("https://klasma.github.io/Logging_2380/kartor/A 31883-2024 karta.png", "A 31883-2024")</f>
        <v/>
      </c>
      <c r="V163">
        <f>HYPERLINK("https://klasma.github.io/Logging_2380/klagomål/A 31883-2024 FSC-klagomål.docx", "A 31883-2024")</f>
        <v/>
      </c>
      <c r="W163">
        <f>HYPERLINK("https://klasma.github.io/Logging_2380/klagomålsmail/A 31883-2024 FSC-klagomål mail.docx", "A 31883-2024")</f>
        <v/>
      </c>
      <c r="X163">
        <f>HYPERLINK("https://klasma.github.io/Logging_2380/tillsyn/A 31883-2024 tillsynsbegäran.docx", "A 31883-2024")</f>
        <v/>
      </c>
      <c r="Y163">
        <f>HYPERLINK("https://klasma.github.io/Logging_2380/tillsynsmail/A 31883-2024 tillsynsbegäran mail.docx", "A 31883-2024")</f>
        <v/>
      </c>
    </row>
    <row r="164" ht="15" customHeight="1">
      <c r="A164" t="inlineStr">
        <is>
          <t>A 47580-2025</t>
        </is>
      </c>
      <c r="B164" s="1" t="n">
        <v>45931.40935185185</v>
      </c>
      <c r="C164" s="1" t="n">
        <v>46052</v>
      </c>
      <c r="D164" t="inlineStr">
        <is>
          <t>JÄMTLANDS LÄN</t>
        </is>
      </c>
      <c r="E164" t="inlineStr">
        <is>
          <t>ÖSTERSUND</t>
        </is>
      </c>
      <c r="G164" t="n">
        <v>4.1</v>
      </c>
      <c r="H164" t="n">
        <v>1</v>
      </c>
      <c r="I164" t="n">
        <v>0</v>
      </c>
      <c r="J164" t="n">
        <v>0</v>
      </c>
      <c r="K164" t="n">
        <v>0</v>
      </c>
      <c r="L164" t="n">
        <v>0</v>
      </c>
      <c r="M164" t="n">
        <v>0</v>
      </c>
      <c r="N164" t="n">
        <v>0</v>
      </c>
      <c r="O164" t="n">
        <v>0</v>
      </c>
      <c r="P164" t="n">
        <v>0</v>
      </c>
      <c r="Q164" t="n">
        <v>1</v>
      </c>
      <c r="R164" s="2" t="inlineStr">
        <is>
          <t>Revlummer</t>
        </is>
      </c>
      <c r="S164">
        <f>HYPERLINK("https://klasma.github.io/Logging_2380/artfynd/A 47580-2025 artfynd.xlsx", "A 47580-2025")</f>
        <v/>
      </c>
      <c r="T164">
        <f>HYPERLINK("https://klasma.github.io/Logging_2380/kartor/A 47580-2025 karta.png", "A 47580-2025")</f>
        <v/>
      </c>
      <c r="V164">
        <f>HYPERLINK("https://klasma.github.io/Logging_2380/klagomål/A 47580-2025 FSC-klagomål.docx", "A 47580-2025")</f>
        <v/>
      </c>
      <c r="W164">
        <f>HYPERLINK("https://klasma.github.io/Logging_2380/klagomålsmail/A 47580-2025 FSC-klagomål mail.docx", "A 47580-2025")</f>
        <v/>
      </c>
      <c r="X164">
        <f>HYPERLINK("https://klasma.github.io/Logging_2380/tillsyn/A 47580-2025 tillsynsbegäran.docx", "A 47580-2025")</f>
        <v/>
      </c>
      <c r="Y164">
        <f>HYPERLINK("https://klasma.github.io/Logging_2380/tillsynsmail/A 47580-2025 tillsynsbegäran mail.docx", "A 47580-2025")</f>
        <v/>
      </c>
    </row>
    <row r="165" ht="15" customHeight="1">
      <c r="A165" t="inlineStr">
        <is>
          <t>A 43883-2024</t>
        </is>
      </c>
      <c r="B165" s="1" t="n">
        <v>45570</v>
      </c>
      <c r="C165" s="1" t="n">
        <v>46052</v>
      </c>
      <c r="D165" t="inlineStr">
        <is>
          <t>JÄMTLANDS LÄN</t>
        </is>
      </c>
      <c r="E165" t="inlineStr">
        <is>
          <t>ÖSTERSUND</t>
        </is>
      </c>
      <c r="G165" t="n">
        <v>3.8</v>
      </c>
      <c r="H165" t="n">
        <v>0</v>
      </c>
      <c r="I165" t="n">
        <v>0</v>
      </c>
      <c r="J165" t="n">
        <v>0</v>
      </c>
      <c r="K165" t="n">
        <v>1</v>
      </c>
      <c r="L165" t="n">
        <v>0</v>
      </c>
      <c r="M165" t="n">
        <v>0</v>
      </c>
      <c r="N165" t="n">
        <v>0</v>
      </c>
      <c r="O165" t="n">
        <v>1</v>
      </c>
      <c r="P165" t="n">
        <v>1</v>
      </c>
      <c r="Q165" t="n">
        <v>1</v>
      </c>
      <c r="R165" s="2" t="inlineStr">
        <is>
          <t>Frösöstarr</t>
        </is>
      </c>
      <c r="S165">
        <f>HYPERLINK("https://klasma.github.io/Logging_2380/artfynd/A 43883-2024 artfynd.xlsx", "A 43883-2024")</f>
        <v/>
      </c>
      <c r="T165">
        <f>HYPERLINK("https://klasma.github.io/Logging_2380/kartor/A 43883-2024 karta.png", "A 43883-2024")</f>
        <v/>
      </c>
      <c r="V165">
        <f>HYPERLINK("https://klasma.github.io/Logging_2380/klagomål/A 43883-2024 FSC-klagomål.docx", "A 43883-2024")</f>
        <v/>
      </c>
      <c r="W165">
        <f>HYPERLINK("https://klasma.github.io/Logging_2380/klagomålsmail/A 43883-2024 FSC-klagomål mail.docx", "A 43883-2024")</f>
        <v/>
      </c>
      <c r="X165">
        <f>HYPERLINK("https://klasma.github.io/Logging_2380/tillsyn/A 43883-2024 tillsynsbegäran.docx", "A 43883-2024")</f>
        <v/>
      </c>
      <c r="Y165">
        <f>HYPERLINK("https://klasma.github.io/Logging_2380/tillsynsmail/A 43883-2024 tillsynsbegäran mail.docx", "A 43883-2024")</f>
        <v/>
      </c>
    </row>
    <row r="166" ht="15" customHeight="1">
      <c r="A166" t="inlineStr">
        <is>
          <t>A 9739-2022</t>
        </is>
      </c>
      <c r="B166" s="1" t="n">
        <v>44617</v>
      </c>
      <c r="C166" s="1" t="n">
        <v>46052</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33267-2022</t>
        </is>
      </c>
      <c r="B167" s="1" t="n">
        <v>44785</v>
      </c>
      <c r="C167" s="1" t="n">
        <v>46052</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57065-2024</t>
        </is>
      </c>
      <c r="B168" s="1" t="n">
        <v>45629.35344907407</v>
      </c>
      <c r="C168" s="1" t="n">
        <v>46052</v>
      </c>
      <c r="D168" t="inlineStr">
        <is>
          <t>JÄMTLANDS LÄN</t>
        </is>
      </c>
      <c r="E168" t="inlineStr">
        <is>
          <t>ÖSTERSUND</t>
        </is>
      </c>
      <c r="F168" t="inlineStr">
        <is>
          <t>SCA</t>
        </is>
      </c>
      <c r="G168" t="n">
        <v>6.3</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57065-2024 artfynd.xlsx", "A 57065-2024")</f>
        <v/>
      </c>
      <c r="T168">
        <f>HYPERLINK("https://klasma.github.io/Logging_2380/kartor/A 57065-2024 karta.png", "A 57065-2024")</f>
        <v/>
      </c>
      <c r="V168">
        <f>HYPERLINK("https://klasma.github.io/Logging_2380/klagomål/A 57065-2024 FSC-klagomål.docx", "A 57065-2024")</f>
        <v/>
      </c>
      <c r="W168">
        <f>HYPERLINK("https://klasma.github.io/Logging_2380/klagomålsmail/A 57065-2024 FSC-klagomål mail.docx", "A 57065-2024")</f>
        <v/>
      </c>
      <c r="X168">
        <f>HYPERLINK("https://klasma.github.io/Logging_2380/tillsyn/A 57065-2024 tillsynsbegäran.docx", "A 57065-2024")</f>
        <v/>
      </c>
      <c r="Y168">
        <f>HYPERLINK("https://klasma.github.io/Logging_2380/tillsynsmail/A 57065-2024 tillsynsbegäran mail.docx", "A 57065-2024")</f>
        <v/>
      </c>
      <c r="Z168">
        <f>HYPERLINK("https://klasma.github.io/Logging_2380/fåglar/A 57065-2024 prioriterade fågelarter.docx", "A 57065-2024")</f>
        <v/>
      </c>
    </row>
    <row r="169" ht="15" customHeight="1">
      <c r="A169" t="inlineStr">
        <is>
          <t>A 53300-2025</t>
        </is>
      </c>
      <c r="B169" s="1" t="n">
        <v>45959.32394675926</v>
      </c>
      <c r="C169" s="1" t="n">
        <v>46052</v>
      </c>
      <c r="D169" t="inlineStr">
        <is>
          <t>JÄMTLANDS LÄN</t>
        </is>
      </c>
      <c r="E169" t="inlineStr">
        <is>
          <t>ÖSTERSUND</t>
        </is>
      </c>
      <c r="F169" t="inlineStr">
        <is>
          <t>Sveaskog</t>
        </is>
      </c>
      <c r="G169" t="n">
        <v>12.2</v>
      </c>
      <c r="H169" t="n">
        <v>0</v>
      </c>
      <c r="I169" t="n">
        <v>1</v>
      </c>
      <c r="J169" t="n">
        <v>0</v>
      </c>
      <c r="K169" t="n">
        <v>0</v>
      </c>
      <c r="L169" t="n">
        <v>0</v>
      </c>
      <c r="M169" t="n">
        <v>0</v>
      </c>
      <c r="N169" t="n">
        <v>0</v>
      </c>
      <c r="O169" t="n">
        <v>0</v>
      </c>
      <c r="P169" t="n">
        <v>0</v>
      </c>
      <c r="Q169" t="n">
        <v>1</v>
      </c>
      <c r="R169" s="2" t="inlineStr">
        <is>
          <t>Rödgul trumpetsvamp</t>
        </is>
      </c>
      <c r="S169">
        <f>HYPERLINK("https://klasma.github.io/Logging_2380/artfynd/A 53300-2025 artfynd.xlsx", "A 53300-2025")</f>
        <v/>
      </c>
      <c r="T169">
        <f>HYPERLINK("https://klasma.github.io/Logging_2380/kartor/A 53300-2025 karta.png", "A 53300-2025")</f>
        <v/>
      </c>
      <c r="V169">
        <f>HYPERLINK("https://klasma.github.io/Logging_2380/klagomål/A 53300-2025 FSC-klagomål.docx", "A 53300-2025")</f>
        <v/>
      </c>
      <c r="W169">
        <f>HYPERLINK("https://klasma.github.io/Logging_2380/klagomålsmail/A 53300-2025 FSC-klagomål mail.docx", "A 53300-2025")</f>
        <v/>
      </c>
      <c r="X169">
        <f>HYPERLINK("https://klasma.github.io/Logging_2380/tillsyn/A 53300-2025 tillsynsbegäran.docx", "A 53300-2025")</f>
        <v/>
      </c>
      <c r="Y169">
        <f>HYPERLINK("https://klasma.github.io/Logging_2380/tillsynsmail/A 53300-2025 tillsynsbegäran mail.docx", "A 53300-2025")</f>
        <v/>
      </c>
    </row>
    <row r="170" ht="15" customHeight="1">
      <c r="A170" t="inlineStr">
        <is>
          <t>A 58274-2025</t>
        </is>
      </c>
      <c r="B170" s="1" t="n">
        <v>45985.43086805556</v>
      </c>
      <c r="C170" s="1" t="n">
        <v>46052</v>
      </c>
      <c r="D170" t="inlineStr">
        <is>
          <t>JÄMTLANDS LÄN</t>
        </is>
      </c>
      <c r="E170" t="inlineStr">
        <is>
          <t>ÖSTERSUND</t>
        </is>
      </c>
      <c r="F170" t="inlineStr">
        <is>
          <t>Övriga Aktiebolag</t>
        </is>
      </c>
      <c r="G170" t="n">
        <v>18.7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58274-2025 artfynd.xlsx", "A 58274-2025")</f>
        <v/>
      </c>
      <c r="T170">
        <f>HYPERLINK("https://klasma.github.io/Logging_2380/kartor/A 58274-2025 karta.png", "A 58274-2025")</f>
        <v/>
      </c>
      <c r="V170">
        <f>HYPERLINK("https://klasma.github.io/Logging_2380/klagomål/A 58274-2025 FSC-klagomål.docx", "A 58274-2025")</f>
        <v/>
      </c>
      <c r="W170">
        <f>HYPERLINK("https://klasma.github.io/Logging_2380/klagomålsmail/A 58274-2025 FSC-klagomål mail.docx", "A 58274-2025")</f>
        <v/>
      </c>
      <c r="X170">
        <f>HYPERLINK("https://klasma.github.io/Logging_2380/tillsyn/A 58274-2025 tillsynsbegäran.docx", "A 58274-2025")</f>
        <v/>
      </c>
      <c r="Y170">
        <f>HYPERLINK("https://klasma.github.io/Logging_2380/tillsynsmail/A 58274-2025 tillsynsbegäran mail.docx", "A 58274-2025")</f>
        <v/>
      </c>
      <c r="Z170">
        <f>HYPERLINK("https://klasma.github.io/Logging_2380/fåglar/A 58274-2025 prioriterade fågelarter.docx", "A 58274-2025")</f>
        <v/>
      </c>
    </row>
    <row r="171" ht="15" customHeight="1">
      <c r="A171" t="inlineStr">
        <is>
          <t>A 60966-2025</t>
        </is>
      </c>
      <c r="B171" s="1" t="n">
        <v>45999.67758101852</v>
      </c>
      <c r="C171" s="1" t="n">
        <v>46052</v>
      </c>
      <c r="D171" t="inlineStr">
        <is>
          <t>JÄMTLANDS LÄN</t>
        </is>
      </c>
      <c r="E171" t="inlineStr">
        <is>
          <t>ÖSTERSUND</t>
        </is>
      </c>
      <c r="F171" t="inlineStr">
        <is>
          <t>SCA</t>
        </is>
      </c>
      <c r="G171" t="n">
        <v>1.9</v>
      </c>
      <c r="H171" t="n">
        <v>1</v>
      </c>
      <c r="I171" t="n">
        <v>1</v>
      </c>
      <c r="J171" t="n">
        <v>0</v>
      </c>
      <c r="K171" t="n">
        <v>0</v>
      </c>
      <c r="L171" t="n">
        <v>0</v>
      </c>
      <c r="M171" t="n">
        <v>0</v>
      </c>
      <c r="N171" t="n">
        <v>0</v>
      </c>
      <c r="O171" t="n">
        <v>0</v>
      </c>
      <c r="P171" t="n">
        <v>0</v>
      </c>
      <c r="Q171" t="n">
        <v>1</v>
      </c>
      <c r="R171" s="2" t="inlineStr">
        <is>
          <t>Tvåblad</t>
        </is>
      </c>
      <c r="S171">
        <f>HYPERLINK("https://klasma.github.io/Logging_2380/artfynd/A 60966-2025 artfynd.xlsx", "A 60966-2025")</f>
        <v/>
      </c>
      <c r="T171">
        <f>HYPERLINK("https://klasma.github.io/Logging_2380/kartor/A 60966-2025 karta.png", "A 60966-2025")</f>
        <v/>
      </c>
      <c r="V171">
        <f>HYPERLINK("https://klasma.github.io/Logging_2380/klagomål/A 60966-2025 FSC-klagomål.docx", "A 60966-2025")</f>
        <v/>
      </c>
      <c r="W171">
        <f>HYPERLINK("https://klasma.github.io/Logging_2380/klagomålsmail/A 60966-2025 FSC-klagomål mail.docx", "A 60966-2025")</f>
        <v/>
      </c>
      <c r="X171">
        <f>HYPERLINK("https://klasma.github.io/Logging_2380/tillsyn/A 60966-2025 tillsynsbegäran.docx", "A 60966-2025")</f>
        <v/>
      </c>
      <c r="Y171">
        <f>HYPERLINK("https://klasma.github.io/Logging_2380/tillsynsmail/A 60966-2025 tillsynsbegäran mail.docx", "A 60966-2025")</f>
        <v/>
      </c>
    </row>
    <row r="172" ht="15" customHeight="1">
      <c r="A172" t="inlineStr">
        <is>
          <t>A 3894-2026</t>
        </is>
      </c>
      <c r="B172" s="1" t="n">
        <v>46043.67922453704</v>
      </c>
      <c r="C172" s="1" t="n">
        <v>46052</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Rynkskinn</t>
        </is>
      </c>
      <c r="S172">
        <f>HYPERLINK("https://klasma.github.io/Logging_2380/artfynd/A 3894-2026 artfynd.xlsx", "A 3894-2026")</f>
        <v/>
      </c>
      <c r="T172">
        <f>HYPERLINK("https://klasma.github.io/Logging_2380/kartor/A 3894-2026 karta.png", "A 3894-2026")</f>
        <v/>
      </c>
      <c r="V172">
        <f>HYPERLINK("https://klasma.github.io/Logging_2380/klagomål/A 3894-2026 FSC-klagomål.docx", "A 3894-2026")</f>
        <v/>
      </c>
      <c r="W172">
        <f>HYPERLINK("https://klasma.github.io/Logging_2380/klagomålsmail/A 3894-2026 FSC-klagomål mail.docx", "A 3894-2026")</f>
        <v/>
      </c>
      <c r="X172">
        <f>HYPERLINK("https://klasma.github.io/Logging_2380/tillsyn/A 3894-2026 tillsynsbegäran.docx", "A 3894-2026")</f>
        <v/>
      </c>
      <c r="Y172">
        <f>HYPERLINK("https://klasma.github.io/Logging_2380/tillsynsmail/A 3894-2026 tillsynsbegäran mail.docx", "A 3894-2026")</f>
        <v/>
      </c>
    </row>
    <row r="173" ht="15" customHeight="1">
      <c r="A173" t="inlineStr">
        <is>
          <t>A 3512-2026</t>
        </is>
      </c>
      <c r="B173" s="1" t="n">
        <v>46042.58655092592</v>
      </c>
      <c r="C173" s="1" t="n">
        <v>46052</v>
      </c>
      <c r="D173" t="inlineStr">
        <is>
          <t>JÄMTLANDS LÄN</t>
        </is>
      </c>
      <c r="E173" t="inlineStr">
        <is>
          <t>ÖSTERSUND</t>
        </is>
      </c>
      <c r="G173" t="n">
        <v>5.7</v>
      </c>
      <c r="H173" t="n">
        <v>0</v>
      </c>
      <c r="I173" t="n">
        <v>0</v>
      </c>
      <c r="J173" t="n">
        <v>1</v>
      </c>
      <c r="K173" t="n">
        <v>0</v>
      </c>
      <c r="L173" t="n">
        <v>0</v>
      </c>
      <c r="M173" t="n">
        <v>0</v>
      </c>
      <c r="N173" t="n">
        <v>0</v>
      </c>
      <c r="O173" t="n">
        <v>1</v>
      </c>
      <c r="P173" t="n">
        <v>0</v>
      </c>
      <c r="Q173" t="n">
        <v>1</v>
      </c>
      <c r="R173" s="2" t="inlineStr">
        <is>
          <t>Slåtterfibbla</t>
        </is>
      </c>
      <c r="S173">
        <f>HYPERLINK("https://klasma.github.io/Logging_2380/artfynd/A 3512-2026 artfynd.xlsx", "A 3512-2026")</f>
        <v/>
      </c>
      <c r="T173">
        <f>HYPERLINK("https://klasma.github.io/Logging_2380/kartor/A 3512-2026 karta.png", "A 3512-2026")</f>
        <v/>
      </c>
      <c r="V173">
        <f>HYPERLINK("https://klasma.github.io/Logging_2380/klagomål/A 3512-2026 FSC-klagomål.docx", "A 3512-2026")</f>
        <v/>
      </c>
      <c r="W173">
        <f>HYPERLINK("https://klasma.github.io/Logging_2380/klagomålsmail/A 3512-2026 FSC-klagomål mail.docx", "A 3512-2026")</f>
        <v/>
      </c>
      <c r="X173">
        <f>HYPERLINK("https://klasma.github.io/Logging_2380/tillsyn/A 3512-2026 tillsynsbegäran.docx", "A 3512-2026")</f>
        <v/>
      </c>
      <c r="Y173">
        <f>HYPERLINK("https://klasma.github.io/Logging_2380/tillsynsmail/A 3512-2026 tillsynsbegäran mail.docx", "A 3512-2026")</f>
        <v/>
      </c>
    </row>
    <row r="174" ht="15" customHeight="1">
      <c r="A174" t="inlineStr">
        <is>
          <t>A 40781-2025</t>
        </is>
      </c>
      <c r="B174" s="1" t="n">
        <v>45897</v>
      </c>
      <c r="C174" s="1" t="n">
        <v>46052</v>
      </c>
      <c r="D174" t="inlineStr">
        <is>
          <t>JÄMTLANDS LÄN</t>
        </is>
      </c>
      <c r="E174" t="inlineStr">
        <is>
          <t>ÖSTERSUND</t>
        </is>
      </c>
      <c r="F174" t="inlineStr">
        <is>
          <t>Övriga Aktiebolag</t>
        </is>
      </c>
      <c r="G174" t="n">
        <v>2.2</v>
      </c>
      <c r="H174" t="n">
        <v>1</v>
      </c>
      <c r="I174" t="n">
        <v>0</v>
      </c>
      <c r="J174" t="n">
        <v>0</v>
      </c>
      <c r="K174" t="n">
        <v>0</v>
      </c>
      <c r="L174" t="n">
        <v>0</v>
      </c>
      <c r="M174" t="n">
        <v>0</v>
      </c>
      <c r="N174" t="n">
        <v>0</v>
      </c>
      <c r="O174" t="n">
        <v>0</v>
      </c>
      <c r="P174" t="n">
        <v>0</v>
      </c>
      <c r="Q174" t="n">
        <v>1</v>
      </c>
      <c r="R174" s="2" t="inlineStr">
        <is>
          <t>Blåsippa</t>
        </is>
      </c>
      <c r="S174">
        <f>HYPERLINK("https://klasma.github.io/Logging_2380/artfynd/A 40781-2025 artfynd.xlsx", "A 40781-2025")</f>
        <v/>
      </c>
      <c r="T174">
        <f>HYPERLINK("https://klasma.github.io/Logging_2380/kartor/A 40781-2025 karta.png", "A 40781-2025")</f>
        <v/>
      </c>
      <c r="V174">
        <f>HYPERLINK("https://klasma.github.io/Logging_2380/klagomål/A 40781-2025 FSC-klagomål.docx", "A 40781-2025")</f>
        <v/>
      </c>
      <c r="W174">
        <f>HYPERLINK("https://klasma.github.io/Logging_2380/klagomålsmail/A 40781-2025 FSC-klagomål mail.docx", "A 40781-2025")</f>
        <v/>
      </c>
      <c r="X174">
        <f>HYPERLINK("https://klasma.github.io/Logging_2380/tillsyn/A 40781-2025 tillsynsbegäran.docx", "A 40781-2025")</f>
        <v/>
      </c>
      <c r="Y174">
        <f>HYPERLINK("https://klasma.github.io/Logging_2380/tillsynsmail/A 40781-2025 tillsynsbegäran mail.docx", "A 40781-2025")</f>
        <v/>
      </c>
    </row>
    <row r="175" ht="15" customHeight="1">
      <c r="A175" t="inlineStr">
        <is>
          <t>A 4787-2026</t>
        </is>
      </c>
      <c r="B175" s="1" t="n">
        <v>46045</v>
      </c>
      <c r="C175" s="1" t="n">
        <v>46052</v>
      </c>
      <c r="D175" t="inlineStr">
        <is>
          <t>JÄMTLANDS LÄN</t>
        </is>
      </c>
      <c r="E175" t="inlineStr">
        <is>
          <t>ÖSTERSUND</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4787-2026 artfynd.xlsx", "A 4787-2026")</f>
        <v/>
      </c>
      <c r="T175">
        <f>HYPERLINK("https://klasma.github.io/Logging_2380/kartor/A 4787-2026 karta.png", "A 4787-2026")</f>
        <v/>
      </c>
      <c r="V175">
        <f>HYPERLINK("https://klasma.github.io/Logging_2380/klagomål/A 4787-2026 FSC-klagomål.docx", "A 4787-2026")</f>
        <v/>
      </c>
      <c r="W175">
        <f>HYPERLINK("https://klasma.github.io/Logging_2380/klagomålsmail/A 4787-2026 FSC-klagomål mail.docx", "A 4787-2026")</f>
        <v/>
      </c>
      <c r="X175">
        <f>HYPERLINK("https://klasma.github.io/Logging_2380/tillsyn/A 4787-2026 tillsynsbegäran.docx", "A 4787-2026")</f>
        <v/>
      </c>
      <c r="Y175">
        <f>HYPERLINK("https://klasma.github.io/Logging_2380/tillsynsmail/A 4787-2026 tillsynsbegäran mail.docx", "A 4787-2026")</f>
        <v/>
      </c>
      <c r="Z175">
        <f>HYPERLINK("https://klasma.github.io/Logging_2380/fåglar/A 4787-2026 prioriterade fågelarter.docx", "A 4787-2026")</f>
        <v/>
      </c>
    </row>
    <row r="176" ht="15" customHeight="1">
      <c r="A176" t="inlineStr">
        <is>
          <t>A 62835-2025</t>
        </is>
      </c>
      <c r="B176" s="1" t="n">
        <v>46008.67969907408</v>
      </c>
      <c r="C176" s="1" t="n">
        <v>46052</v>
      </c>
      <c r="D176" t="inlineStr">
        <is>
          <t>JÄMTLANDS LÄN</t>
        </is>
      </c>
      <c r="E176" t="inlineStr">
        <is>
          <t>ÖSTERSUND</t>
        </is>
      </c>
      <c r="G176" t="n">
        <v>2.2</v>
      </c>
      <c r="H176" t="n">
        <v>0</v>
      </c>
      <c r="I176" t="n">
        <v>0</v>
      </c>
      <c r="J176" t="n">
        <v>1</v>
      </c>
      <c r="K176" t="n">
        <v>0</v>
      </c>
      <c r="L176" t="n">
        <v>0</v>
      </c>
      <c r="M176" t="n">
        <v>0</v>
      </c>
      <c r="N176" t="n">
        <v>0</v>
      </c>
      <c r="O176" t="n">
        <v>1</v>
      </c>
      <c r="P176" t="n">
        <v>0</v>
      </c>
      <c r="Q176" t="n">
        <v>1</v>
      </c>
      <c r="R176" s="2" t="inlineStr">
        <is>
          <t>Åkerkål</t>
        </is>
      </c>
      <c r="S176">
        <f>HYPERLINK("https://klasma.github.io/Logging_2380/artfynd/A 62835-2025 artfynd.xlsx", "A 62835-2025")</f>
        <v/>
      </c>
      <c r="T176">
        <f>HYPERLINK("https://klasma.github.io/Logging_2380/kartor/A 62835-2025 karta.png", "A 62835-2025")</f>
        <v/>
      </c>
      <c r="V176">
        <f>HYPERLINK("https://klasma.github.io/Logging_2380/klagomål/A 62835-2025 FSC-klagomål.docx", "A 62835-2025")</f>
        <v/>
      </c>
      <c r="W176">
        <f>HYPERLINK("https://klasma.github.io/Logging_2380/klagomålsmail/A 62835-2025 FSC-klagomål mail.docx", "A 62835-2025")</f>
        <v/>
      </c>
      <c r="X176">
        <f>HYPERLINK("https://klasma.github.io/Logging_2380/tillsyn/A 62835-2025 tillsynsbegäran.docx", "A 62835-2025")</f>
        <v/>
      </c>
      <c r="Y176">
        <f>HYPERLINK("https://klasma.github.io/Logging_2380/tillsynsmail/A 62835-2025 tillsynsbegäran mail.docx", "A 62835-2025")</f>
        <v/>
      </c>
    </row>
    <row r="177" ht="15" customHeight="1">
      <c r="A177" t="inlineStr">
        <is>
          <t>A 5729-2026</t>
        </is>
      </c>
      <c r="B177" s="1" t="n">
        <v>46051.57149305556</v>
      </c>
      <c r="C177" s="1" t="n">
        <v>46052</v>
      </c>
      <c r="D177" t="inlineStr">
        <is>
          <t>JÄMTLANDS LÄN</t>
        </is>
      </c>
      <c r="E177" t="inlineStr">
        <is>
          <t>ÖSTERSUND</t>
        </is>
      </c>
      <c r="G177" t="n">
        <v>4.4</v>
      </c>
      <c r="H177" t="n">
        <v>0</v>
      </c>
      <c r="I177" t="n">
        <v>0</v>
      </c>
      <c r="J177" t="n">
        <v>1</v>
      </c>
      <c r="K177" t="n">
        <v>0</v>
      </c>
      <c r="L177" t="n">
        <v>0</v>
      </c>
      <c r="M177" t="n">
        <v>0</v>
      </c>
      <c r="N177" t="n">
        <v>0</v>
      </c>
      <c r="O177" t="n">
        <v>1</v>
      </c>
      <c r="P177" t="n">
        <v>0</v>
      </c>
      <c r="Q177" t="n">
        <v>1</v>
      </c>
      <c r="R177" s="2" t="inlineStr">
        <is>
          <t>Lunglav</t>
        </is>
      </c>
      <c r="S177">
        <f>HYPERLINK("https://klasma.github.io/Logging_2380/artfynd/A 5729-2026 artfynd.xlsx", "A 5729-2026")</f>
        <v/>
      </c>
      <c r="T177">
        <f>HYPERLINK("https://klasma.github.io/Logging_2380/kartor/A 5729-2026 karta.png", "A 5729-2026")</f>
        <v/>
      </c>
      <c r="V177">
        <f>HYPERLINK("https://klasma.github.io/Logging_2380/klagomål/A 5729-2026 FSC-klagomål.docx", "A 5729-2026")</f>
        <v/>
      </c>
      <c r="W177">
        <f>HYPERLINK("https://klasma.github.io/Logging_2380/klagomålsmail/A 5729-2026 FSC-klagomål mail.docx", "A 5729-2026")</f>
        <v/>
      </c>
      <c r="X177">
        <f>HYPERLINK("https://klasma.github.io/Logging_2380/tillsyn/A 5729-2026 tillsynsbegäran.docx", "A 5729-2026")</f>
        <v/>
      </c>
      <c r="Y177">
        <f>HYPERLINK("https://klasma.github.io/Logging_2380/tillsynsmail/A 5729-2026 tillsynsbegäran mail.docx", "A 5729-2026")</f>
        <v/>
      </c>
    </row>
    <row r="178" ht="15" customHeight="1">
      <c r="A178" t="inlineStr">
        <is>
          <t>A 20620-2021</t>
        </is>
      </c>
      <c r="B178" s="1" t="n">
        <v>44316</v>
      </c>
      <c r="C178" s="1" t="n">
        <v>46052</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43310-2021</t>
        </is>
      </c>
      <c r="B179" s="1" t="n">
        <v>44432</v>
      </c>
      <c r="C179" s="1" t="n">
        <v>46052</v>
      </c>
      <c r="D179" t="inlineStr">
        <is>
          <t>JÄMTLANDS LÄN</t>
        </is>
      </c>
      <c r="E179" t="inlineStr">
        <is>
          <t>ÖSTERSUND</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23187-2021</t>
        </is>
      </c>
      <c r="B180" s="1" t="n">
        <v>44328</v>
      </c>
      <c r="C180" s="1" t="n">
        <v>46052</v>
      </c>
      <c r="D180" t="inlineStr">
        <is>
          <t>JÄMTLANDS LÄN</t>
        </is>
      </c>
      <c r="E180" t="inlineStr">
        <is>
          <t>ÖSTERSUND</t>
        </is>
      </c>
      <c r="G180" t="n">
        <v>1.8</v>
      </c>
      <c r="H180" t="n">
        <v>0</v>
      </c>
      <c r="I180" t="n">
        <v>0</v>
      </c>
      <c r="J180" t="n">
        <v>0</v>
      </c>
      <c r="K180" t="n">
        <v>0</v>
      </c>
      <c r="L180" t="n">
        <v>0</v>
      </c>
      <c r="M180" t="n">
        <v>0</v>
      </c>
      <c r="N180" t="n">
        <v>0</v>
      </c>
      <c r="O180" t="n">
        <v>0</v>
      </c>
      <c r="P180" t="n">
        <v>0</v>
      </c>
      <c r="Q180" t="n">
        <v>0</v>
      </c>
      <c r="R180" s="2" t="inlineStr"/>
    </row>
    <row r="181" ht="15" customHeight="1">
      <c r="A181" t="inlineStr">
        <is>
          <t>A 53453-2022</t>
        </is>
      </c>
      <c r="B181" s="1" t="n">
        <v>44879.49488425926</v>
      </c>
      <c r="C181" s="1" t="n">
        <v>46052</v>
      </c>
      <c r="D181" t="inlineStr">
        <is>
          <t>JÄMTLANDS LÄN</t>
        </is>
      </c>
      <c r="E181" t="inlineStr">
        <is>
          <t>ÖSTERSUND</t>
        </is>
      </c>
      <c r="G181" t="n">
        <v>22.2</v>
      </c>
      <c r="H181" t="n">
        <v>0</v>
      </c>
      <c r="I181" t="n">
        <v>0</v>
      </c>
      <c r="J181" t="n">
        <v>0</v>
      </c>
      <c r="K181" t="n">
        <v>0</v>
      </c>
      <c r="L181" t="n">
        <v>0</v>
      </c>
      <c r="M181" t="n">
        <v>0</v>
      </c>
      <c r="N181" t="n">
        <v>0</v>
      </c>
      <c r="O181" t="n">
        <v>0</v>
      </c>
      <c r="P181" t="n">
        <v>0</v>
      </c>
      <c r="Q181" t="n">
        <v>0</v>
      </c>
      <c r="R181" s="2" t="inlineStr"/>
    </row>
    <row r="182" ht="15" customHeight="1">
      <c r="A182" t="inlineStr">
        <is>
          <t>A 8396-2021</t>
        </is>
      </c>
      <c r="B182" s="1" t="n">
        <v>44238</v>
      </c>
      <c r="C182" s="1" t="n">
        <v>46052</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64092-2021</t>
        </is>
      </c>
      <c r="B183" s="1" t="n">
        <v>44510.44064814815</v>
      </c>
      <c r="C183" s="1" t="n">
        <v>46052</v>
      </c>
      <c r="D183" t="inlineStr">
        <is>
          <t>JÄMTLANDS LÄN</t>
        </is>
      </c>
      <c r="E183" t="inlineStr">
        <is>
          <t>ÖSTERSUND</t>
        </is>
      </c>
      <c r="G183" t="n">
        <v>5.6</v>
      </c>
      <c r="H183" t="n">
        <v>0</v>
      </c>
      <c r="I183" t="n">
        <v>0</v>
      </c>
      <c r="J183" t="n">
        <v>0</v>
      </c>
      <c r="K183" t="n">
        <v>0</v>
      </c>
      <c r="L183" t="n">
        <v>0</v>
      </c>
      <c r="M183" t="n">
        <v>0</v>
      </c>
      <c r="N183" t="n">
        <v>0</v>
      </c>
      <c r="O183" t="n">
        <v>0</v>
      </c>
      <c r="P183" t="n">
        <v>0</v>
      </c>
      <c r="Q183" t="n">
        <v>0</v>
      </c>
      <c r="R183" s="2" t="inlineStr"/>
    </row>
    <row r="184" ht="15" customHeight="1">
      <c r="A184" t="inlineStr">
        <is>
          <t>A 40038-2021</t>
        </is>
      </c>
      <c r="B184" s="1" t="n">
        <v>44418.45925925926</v>
      </c>
      <c r="C184" s="1" t="n">
        <v>46052</v>
      </c>
      <c r="D184" t="inlineStr">
        <is>
          <t>JÄMTLANDS LÄN</t>
        </is>
      </c>
      <c r="E184" t="inlineStr">
        <is>
          <t>ÖSTERSUND</t>
        </is>
      </c>
      <c r="G184" t="n">
        <v>7</v>
      </c>
      <c r="H184" t="n">
        <v>0</v>
      </c>
      <c r="I184" t="n">
        <v>0</v>
      </c>
      <c r="J184" t="n">
        <v>0</v>
      </c>
      <c r="K184" t="n">
        <v>0</v>
      </c>
      <c r="L184" t="n">
        <v>0</v>
      </c>
      <c r="M184" t="n">
        <v>0</v>
      </c>
      <c r="N184" t="n">
        <v>0</v>
      </c>
      <c r="O184" t="n">
        <v>0</v>
      </c>
      <c r="P184" t="n">
        <v>0</v>
      </c>
      <c r="Q184" t="n">
        <v>0</v>
      </c>
      <c r="R184" s="2" t="inlineStr"/>
    </row>
    <row r="185" ht="15" customHeight="1">
      <c r="A185" t="inlineStr">
        <is>
          <t>A 67695-2021</t>
        </is>
      </c>
      <c r="B185" s="1" t="n">
        <v>44524.94607638889</v>
      </c>
      <c r="C185" s="1" t="n">
        <v>46052</v>
      </c>
      <c r="D185" t="inlineStr">
        <is>
          <t>JÄMTLANDS LÄN</t>
        </is>
      </c>
      <c r="E185" t="inlineStr">
        <is>
          <t>ÖSTERSUND</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32986-2021</t>
        </is>
      </c>
      <c r="B186" s="1" t="n">
        <v>44375</v>
      </c>
      <c r="C186" s="1" t="n">
        <v>46052</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29707-2021</t>
        </is>
      </c>
      <c r="B187" s="1" t="n">
        <v>44362</v>
      </c>
      <c r="C187" s="1" t="n">
        <v>46052</v>
      </c>
      <c r="D187" t="inlineStr">
        <is>
          <t>JÄMTLANDS LÄN</t>
        </is>
      </c>
      <c r="E187" t="inlineStr">
        <is>
          <t>ÖSTERSUND</t>
        </is>
      </c>
      <c r="G187" t="n">
        <v>4</v>
      </c>
      <c r="H187" t="n">
        <v>0</v>
      </c>
      <c r="I187" t="n">
        <v>0</v>
      </c>
      <c r="J187" t="n">
        <v>0</v>
      </c>
      <c r="K187" t="n">
        <v>0</v>
      </c>
      <c r="L187" t="n">
        <v>0</v>
      </c>
      <c r="M187" t="n">
        <v>0</v>
      </c>
      <c r="N187" t="n">
        <v>0</v>
      </c>
      <c r="O187" t="n">
        <v>0</v>
      </c>
      <c r="P187" t="n">
        <v>0</v>
      </c>
      <c r="Q187" t="n">
        <v>0</v>
      </c>
      <c r="R187" s="2" t="inlineStr"/>
    </row>
    <row r="188" ht="15" customHeight="1">
      <c r="A188" t="inlineStr">
        <is>
          <t>A 43951-2022</t>
        </is>
      </c>
      <c r="B188" s="1" t="n">
        <v>44838</v>
      </c>
      <c r="C188" s="1" t="n">
        <v>46052</v>
      </c>
      <c r="D188" t="inlineStr">
        <is>
          <t>JÄMTLANDS LÄN</t>
        </is>
      </c>
      <c r="E188" t="inlineStr">
        <is>
          <t>ÖSTERSUND</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72089-2021</t>
        </is>
      </c>
      <c r="B189" s="1" t="n">
        <v>44540</v>
      </c>
      <c r="C189" s="1" t="n">
        <v>46052</v>
      </c>
      <c r="D189" t="inlineStr">
        <is>
          <t>JÄMTLANDS LÄN</t>
        </is>
      </c>
      <c r="E189" t="inlineStr">
        <is>
          <t>ÖSTERSUND</t>
        </is>
      </c>
      <c r="G189" t="n">
        <v>0.9</v>
      </c>
      <c r="H189" t="n">
        <v>0</v>
      </c>
      <c r="I189" t="n">
        <v>0</v>
      </c>
      <c r="J189" t="n">
        <v>0</v>
      </c>
      <c r="K189" t="n">
        <v>0</v>
      </c>
      <c r="L189" t="n">
        <v>0</v>
      </c>
      <c r="M189" t="n">
        <v>0</v>
      </c>
      <c r="N189" t="n">
        <v>0</v>
      </c>
      <c r="O189" t="n">
        <v>0</v>
      </c>
      <c r="P189" t="n">
        <v>0</v>
      </c>
      <c r="Q189" t="n">
        <v>0</v>
      </c>
      <c r="R189" s="2" t="inlineStr"/>
    </row>
    <row r="190" ht="15" customHeight="1">
      <c r="A190" t="inlineStr">
        <is>
          <t>A 33808-2022</t>
        </is>
      </c>
      <c r="B190" s="1" t="n">
        <v>44790</v>
      </c>
      <c r="C190" s="1" t="n">
        <v>46052</v>
      </c>
      <c r="D190" t="inlineStr">
        <is>
          <t>JÄMTLANDS LÄN</t>
        </is>
      </c>
      <c r="E190" t="inlineStr">
        <is>
          <t>ÖSTERSUND</t>
        </is>
      </c>
      <c r="G190" t="n">
        <v>4.1</v>
      </c>
      <c r="H190" t="n">
        <v>0</v>
      </c>
      <c r="I190" t="n">
        <v>0</v>
      </c>
      <c r="J190" t="n">
        <v>0</v>
      </c>
      <c r="K190" t="n">
        <v>0</v>
      </c>
      <c r="L190" t="n">
        <v>0</v>
      </c>
      <c r="M190" t="n">
        <v>0</v>
      </c>
      <c r="N190" t="n">
        <v>0</v>
      </c>
      <c r="O190" t="n">
        <v>0</v>
      </c>
      <c r="P190" t="n">
        <v>0</v>
      </c>
      <c r="Q190" t="n">
        <v>0</v>
      </c>
      <c r="R190" s="2" t="inlineStr"/>
    </row>
    <row r="191" ht="15" customHeight="1">
      <c r="A191" t="inlineStr">
        <is>
          <t>A 8647-2022</t>
        </is>
      </c>
      <c r="B191" s="1" t="n">
        <v>44613</v>
      </c>
      <c r="C191" s="1" t="n">
        <v>46052</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19541-2021</t>
        </is>
      </c>
      <c r="B192" s="1" t="n">
        <v>44312.41724537037</v>
      </c>
      <c r="C192" s="1" t="n">
        <v>46052</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2880-2022</t>
        </is>
      </c>
      <c r="B193" s="1" t="n">
        <v>44581</v>
      </c>
      <c r="C193" s="1" t="n">
        <v>46052</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10834-2021</t>
        </is>
      </c>
      <c r="B194" s="1" t="n">
        <v>44259</v>
      </c>
      <c r="C194" s="1" t="n">
        <v>46052</v>
      </c>
      <c r="D194" t="inlineStr">
        <is>
          <t>JÄMTLANDS LÄN</t>
        </is>
      </c>
      <c r="E194" t="inlineStr">
        <is>
          <t>ÖSTERSUND</t>
        </is>
      </c>
      <c r="G194" t="n">
        <v>12.2</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46052</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154-2022</t>
        </is>
      </c>
      <c r="B196" s="1" t="n">
        <v>44561</v>
      </c>
      <c r="C196" s="1" t="n">
        <v>46052</v>
      </c>
      <c r="D196" t="inlineStr">
        <is>
          <t>JÄMTLANDS LÄN</t>
        </is>
      </c>
      <c r="E196" t="inlineStr">
        <is>
          <t>ÖSTERSUND</t>
        </is>
      </c>
      <c r="G196" t="n">
        <v>4.2</v>
      </c>
      <c r="H196" t="n">
        <v>0</v>
      </c>
      <c r="I196" t="n">
        <v>0</v>
      </c>
      <c r="J196" t="n">
        <v>0</v>
      </c>
      <c r="K196" t="n">
        <v>0</v>
      </c>
      <c r="L196" t="n">
        <v>0</v>
      </c>
      <c r="M196" t="n">
        <v>0</v>
      </c>
      <c r="N196" t="n">
        <v>0</v>
      </c>
      <c r="O196" t="n">
        <v>0</v>
      </c>
      <c r="P196" t="n">
        <v>0</v>
      </c>
      <c r="Q196" t="n">
        <v>0</v>
      </c>
      <c r="R196" s="2" t="inlineStr"/>
    </row>
    <row r="197" ht="15" customHeight="1">
      <c r="A197" t="inlineStr">
        <is>
          <t>A 14155-2021</t>
        </is>
      </c>
      <c r="B197" s="1" t="n">
        <v>44278.42459490741</v>
      </c>
      <c r="C197" s="1" t="n">
        <v>46052</v>
      </c>
      <c r="D197" t="inlineStr">
        <is>
          <t>JÄMTLANDS LÄN</t>
        </is>
      </c>
      <c r="E197" t="inlineStr">
        <is>
          <t>ÖSTERSUND</t>
        </is>
      </c>
      <c r="G197" t="n">
        <v>2.6</v>
      </c>
      <c r="H197" t="n">
        <v>0</v>
      </c>
      <c r="I197" t="n">
        <v>0</v>
      </c>
      <c r="J197" t="n">
        <v>0</v>
      </c>
      <c r="K197" t="n">
        <v>0</v>
      </c>
      <c r="L197" t="n">
        <v>0</v>
      </c>
      <c r="M197" t="n">
        <v>0</v>
      </c>
      <c r="N197" t="n">
        <v>0</v>
      </c>
      <c r="O197" t="n">
        <v>0</v>
      </c>
      <c r="P197" t="n">
        <v>0</v>
      </c>
      <c r="Q197" t="n">
        <v>0</v>
      </c>
      <c r="R197" s="2" t="inlineStr"/>
    </row>
    <row r="198" ht="15" customHeight="1">
      <c r="A198" t="inlineStr">
        <is>
          <t>A 35032-2021</t>
        </is>
      </c>
      <c r="B198" s="1" t="n">
        <v>44383.85295138889</v>
      </c>
      <c r="C198" s="1" t="n">
        <v>46052</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26254-2021</t>
        </is>
      </c>
      <c r="B199" s="1" t="n">
        <v>44347</v>
      </c>
      <c r="C199" s="1" t="n">
        <v>46052</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46052</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24706-2021</t>
        </is>
      </c>
      <c r="B201" s="1" t="n">
        <v>44340</v>
      </c>
      <c r="C201" s="1" t="n">
        <v>46052</v>
      </c>
      <c r="D201" t="inlineStr">
        <is>
          <t>JÄMTLANDS LÄN</t>
        </is>
      </c>
      <c r="E201" t="inlineStr">
        <is>
          <t>ÖSTERSUND</t>
        </is>
      </c>
      <c r="G201" t="n">
        <v>5.6</v>
      </c>
      <c r="H201" t="n">
        <v>0</v>
      </c>
      <c r="I201" t="n">
        <v>0</v>
      </c>
      <c r="J201" t="n">
        <v>0</v>
      </c>
      <c r="K201" t="n">
        <v>0</v>
      </c>
      <c r="L201" t="n">
        <v>0</v>
      </c>
      <c r="M201" t="n">
        <v>0</v>
      </c>
      <c r="N201" t="n">
        <v>0</v>
      </c>
      <c r="O201" t="n">
        <v>0</v>
      </c>
      <c r="P201" t="n">
        <v>0</v>
      </c>
      <c r="Q201" t="n">
        <v>0</v>
      </c>
      <c r="R201" s="2" t="inlineStr"/>
    </row>
    <row r="202" ht="15" customHeight="1">
      <c r="A202" t="inlineStr">
        <is>
          <t>A 48947-2021</t>
        </is>
      </c>
      <c r="B202" s="1" t="n">
        <v>44453</v>
      </c>
      <c r="C202" s="1" t="n">
        <v>46052</v>
      </c>
      <c r="D202" t="inlineStr">
        <is>
          <t>JÄMTLANDS LÄN</t>
        </is>
      </c>
      <c r="E202" t="inlineStr">
        <is>
          <t>ÖSTERSUND</t>
        </is>
      </c>
      <c r="G202" t="n">
        <v>22.3</v>
      </c>
      <c r="H202" t="n">
        <v>0</v>
      </c>
      <c r="I202" t="n">
        <v>0</v>
      </c>
      <c r="J202" t="n">
        <v>0</v>
      </c>
      <c r="K202" t="n">
        <v>0</v>
      </c>
      <c r="L202" t="n">
        <v>0</v>
      </c>
      <c r="M202" t="n">
        <v>0</v>
      </c>
      <c r="N202" t="n">
        <v>0</v>
      </c>
      <c r="O202" t="n">
        <v>0</v>
      </c>
      <c r="P202" t="n">
        <v>0</v>
      </c>
      <c r="Q202" t="n">
        <v>0</v>
      </c>
      <c r="R202" s="2" t="inlineStr"/>
    </row>
    <row r="203" ht="15" customHeight="1">
      <c r="A203" t="inlineStr">
        <is>
          <t>A 27061-2021</t>
        </is>
      </c>
      <c r="B203" s="1" t="n">
        <v>44349</v>
      </c>
      <c r="C203" s="1" t="n">
        <v>46052</v>
      </c>
      <c r="D203" t="inlineStr">
        <is>
          <t>JÄMTLANDS LÄN</t>
        </is>
      </c>
      <c r="E203" t="inlineStr">
        <is>
          <t>ÖSTERSUND</t>
        </is>
      </c>
      <c r="G203" t="n">
        <v>3.2</v>
      </c>
      <c r="H203" t="n">
        <v>0</v>
      </c>
      <c r="I203" t="n">
        <v>0</v>
      </c>
      <c r="J203" t="n">
        <v>0</v>
      </c>
      <c r="K203" t="n">
        <v>0</v>
      </c>
      <c r="L203" t="n">
        <v>0</v>
      </c>
      <c r="M203" t="n">
        <v>0</v>
      </c>
      <c r="N203" t="n">
        <v>0</v>
      </c>
      <c r="O203" t="n">
        <v>0</v>
      </c>
      <c r="P203" t="n">
        <v>0</v>
      </c>
      <c r="Q203" t="n">
        <v>0</v>
      </c>
      <c r="R203" s="2" t="inlineStr"/>
    </row>
    <row r="204" ht="15" customHeight="1">
      <c r="A204" t="inlineStr">
        <is>
          <t>A 26259-2021</t>
        </is>
      </c>
      <c r="B204" s="1" t="n">
        <v>44347</v>
      </c>
      <c r="C204" s="1" t="n">
        <v>46052</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695-2022</t>
        </is>
      </c>
      <c r="B205" s="1" t="n">
        <v>44566</v>
      </c>
      <c r="C205" s="1" t="n">
        <v>46052</v>
      </c>
      <c r="D205" t="inlineStr">
        <is>
          <t>JÄMTLANDS LÄN</t>
        </is>
      </c>
      <c r="E205" t="inlineStr">
        <is>
          <t>ÖSTERSUND</t>
        </is>
      </c>
      <c r="G205" t="n">
        <v>14.9</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46052</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44267-2021</t>
        </is>
      </c>
      <c r="B207" s="1" t="n">
        <v>44434</v>
      </c>
      <c r="C207" s="1" t="n">
        <v>46052</v>
      </c>
      <c r="D207" t="inlineStr">
        <is>
          <t>JÄMTLANDS LÄN</t>
        </is>
      </c>
      <c r="E207" t="inlineStr">
        <is>
          <t>ÖSTERSUND</t>
        </is>
      </c>
      <c r="G207" t="n">
        <v>1.1</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46052</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47296-2022</t>
        </is>
      </c>
      <c r="B209" s="1" t="n">
        <v>44852.95248842592</v>
      </c>
      <c r="C209" s="1" t="n">
        <v>46052</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72041-2021</t>
        </is>
      </c>
      <c r="B210" s="1" t="n">
        <v>44540</v>
      </c>
      <c r="C210" s="1" t="n">
        <v>46052</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17596-2021</t>
        </is>
      </c>
      <c r="B211" s="1" t="n">
        <v>44299</v>
      </c>
      <c r="C211" s="1" t="n">
        <v>46052</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23895-2021</t>
        </is>
      </c>
      <c r="B212" s="1" t="n">
        <v>44335</v>
      </c>
      <c r="C212" s="1" t="n">
        <v>46052</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70816-2021</t>
        </is>
      </c>
      <c r="B213" s="1" t="n">
        <v>44537.935</v>
      </c>
      <c r="C213" s="1" t="n">
        <v>46052</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8227-2022</t>
        </is>
      </c>
      <c r="B214" s="1" t="n">
        <v>44609.93075231482</v>
      </c>
      <c r="C214" s="1" t="n">
        <v>46052</v>
      </c>
      <c r="D214" t="inlineStr">
        <is>
          <t>JÄMTLANDS LÄN</t>
        </is>
      </c>
      <c r="E214" t="inlineStr">
        <is>
          <t>ÖSTERSUND</t>
        </is>
      </c>
      <c r="G214" t="n">
        <v>6.6</v>
      </c>
      <c r="H214" t="n">
        <v>0</v>
      </c>
      <c r="I214" t="n">
        <v>0</v>
      </c>
      <c r="J214" t="n">
        <v>0</v>
      </c>
      <c r="K214" t="n">
        <v>0</v>
      </c>
      <c r="L214" t="n">
        <v>0</v>
      </c>
      <c r="M214" t="n">
        <v>0</v>
      </c>
      <c r="N214" t="n">
        <v>0</v>
      </c>
      <c r="O214" t="n">
        <v>0</v>
      </c>
      <c r="P214" t="n">
        <v>0</v>
      </c>
      <c r="Q214" t="n">
        <v>0</v>
      </c>
      <c r="R214" s="2" t="inlineStr"/>
    </row>
    <row r="215" ht="15" customHeight="1">
      <c r="A215" t="inlineStr">
        <is>
          <t>A 55105-2022</t>
        </is>
      </c>
      <c r="B215" s="1" t="n">
        <v>44886.63148148148</v>
      </c>
      <c r="C215" s="1" t="n">
        <v>46052</v>
      </c>
      <c r="D215" t="inlineStr">
        <is>
          <t>JÄMTLANDS LÄN</t>
        </is>
      </c>
      <c r="E215" t="inlineStr">
        <is>
          <t>ÖSTERSUND</t>
        </is>
      </c>
      <c r="F215" t="inlineStr">
        <is>
          <t>Övriga Aktiebolag</t>
        </is>
      </c>
      <c r="G215" t="n">
        <v>2.4</v>
      </c>
      <c r="H215" t="n">
        <v>0</v>
      </c>
      <c r="I215" t="n">
        <v>0</v>
      </c>
      <c r="J215" t="n">
        <v>0</v>
      </c>
      <c r="K215" t="n">
        <v>0</v>
      </c>
      <c r="L215" t="n">
        <v>0</v>
      </c>
      <c r="M215" t="n">
        <v>0</v>
      </c>
      <c r="N215" t="n">
        <v>0</v>
      </c>
      <c r="O215" t="n">
        <v>0</v>
      </c>
      <c r="P215" t="n">
        <v>0</v>
      </c>
      <c r="Q215" t="n">
        <v>0</v>
      </c>
      <c r="R215" s="2" t="inlineStr"/>
      <c r="U215">
        <f>HYPERLINK("https://klasma.github.io/Logging_2380/knärot/A 55105-2022 karta knärot.png", "A 55105-2022")</f>
        <v/>
      </c>
      <c r="V215">
        <f>HYPERLINK("https://klasma.github.io/Logging_2380/klagomål/A 55105-2022 FSC-klagomål.docx", "A 55105-2022")</f>
        <v/>
      </c>
      <c r="W215">
        <f>HYPERLINK("https://klasma.github.io/Logging_2380/klagomålsmail/A 55105-2022 FSC-klagomål mail.docx", "A 55105-2022")</f>
        <v/>
      </c>
      <c r="X215">
        <f>HYPERLINK("https://klasma.github.io/Logging_2380/tillsyn/A 55105-2022 tillsynsbegäran.docx", "A 55105-2022")</f>
        <v/>
      </c>
      <c r="Y215">
        <f>HYPERLINK("https://klasma.github.io/Logging_2380/tillsynsmail/A 55105-2022 tillsynsbegäran mail.docx", "A 55105-2022")</f>
        <v/>
      </c>
    </row>
    <row r="216" ht="15" customHeight="1">
      <c r="A216" t="inlineStr">
        <is>
          <t>A 56148-2022</t>
        </is>
      </c>
      <c r="B216" s="1" t="n">
        <v>44889.89929398148</v>
      </c>
      <c r="C216" s="1" t="n">
        <v>46052</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42832-2021</t>
        </is>
      </c>
      <c r="B217" s="1" t="n">
        <v>44430</v>
      </c>
      <c r="C217" s="1" t="n">
        <v>46052</v>
      </c>
      <c r="D217" t="inlineStr">
        <is>
          <t>JÄMTLANDS LÄN</t>
        </is>
      </c>
      <c r="E217" t="inlineStr">
        <is>
          <t>ÖSTERSUND</t>
        </is>
      </c>
      <c r="G217" t="n">
        <v>9</v>
      </c>
      <c r="H217" t="n">
        <v>0</v>
      </c>
      <c r="I217" t="n">
        <v>0</v>
      </c>
      <c r="J217" t="n">
        <v>0</v>
      </c>
      <c r="K217" t="n">
        <v>0</v>
      </c>
      <c r="L217" t="n">
        <v>0</v>
      </c>
      <c r="M217" t="n">
        <v>0</v>
      </c>
      <c r="N217" t="n">
        <v>0</v>
      </c>
      <c r="O217" t="n">
        <v>0</v>
      </c>
      <c r="P217" t="n">
        <v>0</v>
      </c>
      <c r="Q217" t="n">
        <v>0</v>
      </c>
      <c r="R217" s="2" t="inlineStr"/>
    </row>
    <row r="218" ht="15" customHeight="1">
      <c r="A218" t="inlineStr">
        <is>
          <t>A 35755-2021</t>
        </is>
      </c>
      <c r="B218" s="1" t="n">
        <v>44385</v>
      </c>
      <c r="C218" s="1" t="n">
        <v>46052</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65428-2021</t>
        </is>
      </c>
      <c r="B219" s="1" t="n">
        <v>44515</v>
      </c>
      <c r="C219" s="1" t="n">
        <v>46052</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71956-2021</t>
        </is>
      </c>
      <c r="B220" s="1" t="n">
        <v>44544</v>
      </c>
      <c r="C220" s="1" t="n">
        <v>46052</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29094-2022</t>
        </is>
      </c>
      <c r="B221" s="1" t="n">
        <v>44750</v>
      </c>
      <c r="C221" s="1" t="n">
        <v>46052</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27575-2022</t>
        </is>
      </c>
      <c r="B222" s="1" t="n">
        <v>44742</v>
      </c>
      <c r="C222" s="1" t="n">
        <v>46052</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c r="U222">
        <f>HYPERLINK("https://klasma.github.io/Logging_2380/knärot/A 27575-2022 karta knärot.png", "A 27575-2022")</f>
        <v/>
      </c>
      <c r="V222">
        <f>HYPERLINK("https://klasma.github.io/Logging_2380/klagomål/A 27575-2022 FSC-klagomål.docx", "A 27575-2022")</f>
        <v/>
      </c>
      <c r="W222">
        <f>HYPERLINK("https://klasma.github.io/Logging_2380/klagomålsmail/A 27575-2022 FSC-klagomål mail.docx", "A 27575-2022")</f>
        <v/>
      </c>
      <c r="X222">
        <f>HYPERLINK("https://klasma.github.io/Logging_2380/tillsyn/A 27575-2022 tillsynsbegäran.docx", "A 27575-2022")</f>
        <v/>
      </c>
      <c r="Y222">
        <f>HYPERLINK("https://klasma.github.io/Logging_2380/tillsynsmail/A 27575-2022 tillsynsbegäran mail.docx", "A 27575-2022")</f>
        <v/>
      </c>
    </row>
    <row r="223" ht="15" customHeight="1">
      <c r="A223" t="inlineStr">
        <is>
          <t>A 2627-2024</t>
        </is>
      </c>
      <c r="B223" s="1" t="n">
        <v>45313.9496875</v>
      </c>
      <c r="C223" s="1" t="n">
        <v>46052</v>
      </c>
      <c r="D223" t="inlineStr">
        <is>
          <t>JÄMTLANDS LÄN</t>
        </is>
      </c>
      <c r="E223" t="inlineStr">
        <is>
          <t>ÖSTERSUND</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65866-2021</t>
        </is>
      </c>
      <c r="B224" s="1" t="n">
        <v>44516</v>
      </c>
      <c r="C224" s="1" t="n">
        <v>46052</v>
      </c>
      <c r="D224" t="inlineStr">
        <is>
          <t>JÄMTLANDS LÄN</t>
        </is>
      </c>
      <c r="E224" t="inlineStr">
        <is>
          <t>ÖSTERSUND</t>
        </is>
      </c>
      <c r="G224" t="n">
        <v>2.6</v>
      </c>
      <c r="H224" t="n">
        <v>0</v>
      </c>
      <c r="I224" t="n">
        <v>0</v>
      </c>
      <c r="J224" t="n">
        <v>0</v>
      </c>
      <c r="K224" t="n">
        <v>0</v>
      </c>
      <c r="L224" t="n">
        <v>0</v>
      </c>
      <c r="M224" t="n">
        <v>0</v>
      </c>
      <c r="N224" t="n">
        <v>0</v>
      </c>
      <c r="O224" t="n">
        <v>0</v>
      </c>
      <c r="P224" t="n">
        <v>0</v>
      </c>
      <c r="Q224" t="n">
        <v>0</v>
      </c>
      <c r="R224" s="2" t="inlineStr"/>
    </row>
    <row r="225" ht="15" customHeight="1">
      <c r="A225" t="inlineStr">
        <is>
          <t>A 65991-2021</t>
        </is>
      </c>
      <c r="B225" s="1" t="n">
        <v>44517.55134259259</v>
      </c>
      <c r="C225" s="1" t="n">
        <v>46052</v>
      </c>
      <c r="D225" t="inlineStr">
        <is>
          <t>JÄMTLANDS LÄN</t>
        </is>
      </c>
      <c r="E225" t="inlineStr">
        <is>
          <t>ÖSTERSUND</t>
        </is>
      </c>
      <c r="G225" t="n">
        <v>4.3</v>
      </c>
      <c r="H225" t="n">
        <v>0</v>
      </c>
      <c r="I225" t="n">
        <v>0</v>
      </c>
      <c r="J225" t="n">
        <v>0</v>
      </c>
      <c r="K225" t="n">
        <v>0</v>
      </c>
      <c r="L225" t="n">
        <v>0</v>
      </c>
      <c r="M225" t="n">
        <v>0</v>
      </c>
      <c r="N225" t="n">
        <v>0</v>
      </c>
      <c r="O225" t="n">
        <v>0</v>
      </c>
      <c r="P225" t="n">
        <v>0</v>
      </c>
      <c r="Q225" t="n">
        <v>0</v>
      </c>
      <c r="R225" s="2" t="inlineStr"/>
    </row>
    <row r="226" ht="15" customHeight="1">
      <c r="A226" t="inlineStr">
        <is>
          <t>A 6458-2022</t>
        </is>
      </c>
      <c r="B226" s="1" t="n">
        <v>44601.36165509259</v>
      </c>
      <c r="C226" s="1" t="n">
        <v>46052</v>
      </c>
      <c r="D226" t="inlineStr">
        <is>
          <t>JÄMTLANDS LÄN</t>
        </is>
      </c>
      <c r="E226" t="inlineStr">
        <is>
          <t>ÖSTERSUND</t>
        </is>
      </c>
      <c r="G226" t="n">
        <v>3.1</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46052</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46052</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14657-2022</t>
        </is>
      </c>
      <c r="B229" s="1" t="n">
        <v>44655</v>
      </c>
      <c r="C229" s="1" t="n">
        <v>46052</v>
      </c>
      <c r="D229" t="inlineStr">
        <is>
          <t>JÄMTLANDS LÄN</t>
        </is>
      </c>
      <c r="E229" t="inlineStr">
        <is>
          <t>ÖSTERSUND</t>
        </is>
      </c>
      <c r="G229" t="n">
        <v>1.1</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46052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46052</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5145-2022</t>
        </is>
      </c>
      <c r="B232" s="1" t="n">
        <v>44594</v>
      </c>
      <c r="C232" s="1" t="n">
        <v>46052</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46052</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46052</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23551-2022</t>
        </is>
      </c>
      <c r="B235" s="1" t="n">
        <v>44721</v>
      </c>
      <c r="C235" s="1" t="n">
        <v>46052</v>
      </c>
      <c r="D235" t="inlineStr">
        <is>
          <t>JÄMTLANDS LÄN</t>
        </is>
      </c>
      <c r="E235" t="inlineStr">
        <is>
          <t>ÖSTERSUND</t>
        </is>
      </c>
      <c r="G235" t="n">
        <v>0.3</v>
      </c>
      <c r="H235" t="n">
        <v>0</v>
      </c>
      <c r="I235" t="n">
        <v>0</v>
      </c>
      <c r="J235" t="n">
        <v>0</v>
      </c>
      <c r="K235" t="n">
        <v>0</v>
      </c>
      <c r="L235" t="n">
        <v>0</v>
      </c>
      <c r="M235" t="n">
        <v>0</v>
      </c>
      <c r="N235" t="n">
        <v>0</v>
      </c>
      <c r="O235" t="n">
        <v>0</v>
      </c>
      <c r="P235" t="n">
        <v>0</v>
      </c>
      <c r="Q235" t="n">
        <v>0</v>
      </c>
      <c r="R235" s="2" t="inlineStr"/>
    </row>
    <row r="236" ht="15" customHeight="1">
      <c r="A236" t="inlineStr">
        <is>
          <t>A 45654-2022</t>
        </is>
      </c>
      <c r="B236" s="1" t="n">
        <v>44845.67710648148</v>
      </c>
      <c r="C236" s="1" t="n">
        <v>46052</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72061-2021</t>
        </is>
      </c>
      <c r="B237" s="1" t="n">
        <v>44540</v>
      </c>
      <c r="C237" s="1" t="n">
        <v>46052</v>
      </c>
      <c r="D237" t="inlineStr">
        <is>
          <t>JÄMTLANDS LÄN</t>
        </is>
      </c>
      <c r="E237" t="inlineStr">
        <is>
          <t>ÖSTERSUND</t>
        </is>
      </c>
      <c r="G237" t="n">
        <v>5.3</v>
      </c>
      <c r="H237" t="n">
        <v>0</v>
      </c>
      <c r="I237" t="n">
        <v>0</v>
      </c>
      <c r="J237" t="n">
        <v>0</v>
      </c>
      <c r="K237" t="n">
        <v>0</v>
      </c>
      <c r="L237" t="n">
        <v>0</v>
      </c>
      <c r="M237" t="n">
        <v>0</v>
      </c>
      <c r="N237" t="n">
        <v>0</v>
      </c>
      <c r="O237" t="n">
        <v>0</v>
      </c>
      <c r="P237" t="n">
        <v>0</v>
      </c>
      <c r="Q237" t="n">
        <v>0</v>
      </c>
      <c r="R237" s="2" t="inlineStr"/>
    </row>
    <row r="238" ht="15" customHeight="1">
      <c r="A238" t="inlineStr">
        <is>
          <t>A 46913-2022</t>
        </is>
      </c>
      <c r="B238" s="1" t="n">
        <v>44851</v>
      </c>
      <c r="C238" s="1" t="n">
        <v>46052</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32994-2021</t>
        </is>
      </c>
      <c r="B239" s="1" t="n">
        <v>44375</v>
      </c>
      <c r="C239" s="1" t="n">
        <v>46052</v>
      </c>
      <c r="D239" t="inlineStr">
        <is>
          <t>JÄMTLANDS LÄN</t>
        </is>
      </c>
      <c r="E239" t="inlineStr">
        <is>
          <t>ÖSTERSUND</t>
        </is>
      </c>
      <c r="G239" t="n">
        <v>0.1</v>
      </c>
      <c r="H239" t="n">
        <v>0</v>
      </c>
      <c r="I239" t="n">
        <v>0</v>
      </c>
      <c r="J239" t="n">
        <v>0</v>
      </c>
      <c r="K239" t="n">
        <v>0</v>
      </c>
      <c r="L239" t="n">
        <v>0</v>
      </c>
      <c r="M239" t="n">
        <v>0</v>
      </c>
      <c r="N239" t="n">
        <v>0</v>
      </c>
      <c r="O239" t="n">
        <v>0</v>
      </c>
      <c r="P239" t="n">
        <v>0</v>
      </c>
      <c r="Q239" t="n">
        <v>0</v>
      </c>
      <c r="R239" s="2" t="inlineStr"/>
    </row>
    <row r="240" ht="15" customHeight="1">
      <c r="A240" t="inlineStr">
        <is>
          <t>A 6013-2022</t>
        </is>
      </c>
      <c r="B240" s="1" t="n">
        <v>44599.45850694444</v>
      </c>
      <c r="C240" s="1" t="n">
        <v>46052</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45980-2023</t>
        </is>
      </c>
      <c r="B241" s="1" t="n">
        <v>45189</v>
      </c>
      <c r="C241" s="1" t="n">
        <v>46052</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14118-2025</t>
        </is>
      </c>
      <c r="B242" s="1" t="n">
        <v>45740.46325231482</v>
      </c>
      <c r="C242" s="1" t="n">
        <v>46052</v>
      </c>
      <c r="D242" t="inlineStr">
        <is>
          <t>JÄMTLANDS LÄN</t>
        </is>
      </c>
      <c r="E242" t="inlineStr">
        <is>
          <t>ÖSTERSUND</t>
        </is>
      </c>
      <c r="G242" t="n">
        <v>3.6</v>
      </c>
      <c r="H242" t="n">
        <v>0</v>
      </c>
      <c r="I242" t="n">
        <v>0</v>
      </c>
      <c r="J242" t="n">
        <v>0</v>
      </c>
      <c r="K242" t="n">
        <v>0</v>
      </c>
      <c r="L242" t="n">
        <v>0</v>
      </c>
      <c r="M242" t="n">
        <v>0</v>
      </c>
      <c r="N242" t="n">
        <v>0</v>
      </c>
      <c r="O242" t="n">
        <v>0</v>
      </c>
      <c r="P242" t="n">
        <v>0</v>
      </c>
      <c r="Q242" t="n">
        <v>0</v>
      </c>
      <c r="R242" s="2" t="inlineStr"/>
    </row>
    <row r="243" ht="15" customHeight="1">
      <c r="A243" t="inlineStr">
        <is>
          <t>A 44489-2024</t>
        </is>
      </c>
      <c r="B243" s="1" t="n">
        <v>45574.38943287037</v>
      </c>
      <c r="C243" s="1" t="n">
        <v>46052</v>
      </c>
      <c r="D243" t="inlineStr">
        <is>
          <t>JÄMTLANDS LÄN</t>
        </is>
      </c>
      <c r="E243" t="inlineStr">
        <is>
          <t>ÖSTERSUND</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46052</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6578-2021</t>
        </is>
      </c>
      <c r="B245" s="1" t="n">
        <v>44236</v>
      </c>
      <c r="C245" s="1" t="n">
        <v>46052</v>
      </c>
      <c r="D245" t="inlineStr">
        <is>
          <t>JÄMTLANDS LÄN</t>
        </is>
      </c>
      <c r="E245" t="inlineStr">
        <is>
          <t>ÖSTERSUND</t>
        </is>
      </c>
      <c r="G245" t="n">
        <v>1.4</v>
      </c>
      <c r="H245" t="n">
        <v>0</v>
      </c>
      <c r="I245" t="n">
        <v>0</v>
      </c>
      <c r="J245" t="n">
        <v>0</v>
      </c>
      <c r="K245" t="n">
        <v>0</v>
      </c>
      <c r="L245" t="n">
        <v>0</v>
      </c>
      <c r="M245" t="n">
        <v>0</v>
      </c>
      <c r="N245" t="n">
        <v>0</v>
      </c>
      <c r="O245" t="n">
        <v>0</v>
      </c>
      <c r="P245" t="n">
        <v>0</v>
      </c>
      <c r="Q245" t="n">
        <v>0</v>
      </c>
      <c r="R245" s="2" t="inlineStr"/>
    </row>
    <row r="246" ht="15" customHeight="1">
      <c r="A246" t="inlineStr">
        <is>
          <t>A 7549-2025</t>
        </is>
      </c>
      <c r="B246" s="1" t="n">
        <v>45705.57454861111</v>
      </c>
      <c r="C246" s="1" t="n">
        <v>46052</v>
      </c>
      <c r="D246" t="inlineStr">
        <is>
          <t>JÄMTLANDS LÄN</t>
        </is>
      </c>
      <c r="E246" t="inlineStr">
        <is>
          <t>ÖSTERSUND</t>
        </is>
      </c>
      <c r="F246" t="inlineStr">
        <is>
          <t>SCA</t>
        </is>
      </c>
      <c r="G246" t="n">
        <v>6.4</v>
      </c>
      <c r="H246" t="n">
        <v>0</v>
      </c>
      <c r="I246" t="n">
        <v>0</v>
      </c>
      <c r="J246" t="n">
        <v>0</v>
      </c>
      <c r="K246" t="n">
        <v>0</v>
      </c>
      <c r="L246" t="n">
        <v>0</v>
      </c>
      <c r="M246" t="n">
        <v>0</v>
      </c>
      <c r="N246" t="n">
        <v>0</v>
      </c>
      <c r="O246" t="n">
        <v>0</v>
      </c>
      <c r="P246" t="n">
        <v>0</v>
      </c>
      <c r="Q246" t="n">
        <v>0</v>
      </c>
      <c r="R246" s="2" t="inlineStr"/>
    </row>
    <row r="247" ht="15" customHeight="1">
      <c r="A247" t="inlineStr">
        <is>
          <t>A 31464-2024</t>
        </is>
      </c>
      <c r="B247" s="1" t="n">
        <v>45505.95078703704</v>
      </c>
      <c r="C247" s="1" t="n">
        <v>46052</v>
      </c>
      <c r="D247" t="inlineStr">
        <is>
          <t>JÄMTLANDS LÄN</t>
        </is>
      </c>
      <c r="E247" t="inlineStr">
        <is>
          <t>ÖSTERSUND</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7573-2022</t>
        </is>
      </c>
      <c r="B248" s="1" t="n">
        <v>44607</v>
      </c>
      <c r="C248" s="1" t="n">
        <v>46052</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21211-2022</t>
        </is>
      </c>
      <c r="B249" s="1" t="n">
        <v>44704.94370370371</v>
      </c>
      <c r="C249" s="1" t="n">
        <v>46052</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52898-2022</t>
        </is>
      </c>
      <c r="B250" s="1" t="n">
        <v>44875</v>
      </c>
      <c r="C250" s="1" t="n">
        <v>46052</v>
      </c>
      <c r="D250" t="inlineStr">
        <is>
          <t>JÄMTLANDS LÄN</t>
        </is>
      </c>
      <c r="E250" t="inlineStr">
        <is>
          <t>ÖSTERSUND</t>
        </is>
      </c>
      <c r="F250" t="inlineStr">
        <is>
          <t>Övriga Aktiebolag</t>
        </is>
      </c>
      <c r="G250" t="n">
        <v>12.1</v>
      </c>
      <c r="H250" t="n">
        <v>0</v>
      </c>
      <c r="I250" t="n">
        <v>0</v>
      </c>
      <c r="J250" t="n">
        <v>0</v>
      </c>
      <c r="K250" t="n">
        <v>0</v>
      </c>
      <c r="L250" t="n">
        <v>0</v>
      </c>
      <c r="M250" t="n">
        <v>0</v>
      </c>
      <c r="N250" t="n">
        <v>0</v>
      </c>
      <c r="O250" t="n">
        <v>0</v>
      </c>
      <c r="P250" t="n">
        <v>0</v>
      </c>
      <c r="Q250" t="n">
        <v>0</v>
      </c>
      <c r="R250" s="2" t="inlineStr"/>
    </row>
    <row r="251" ht="15" customHeight="1">
      <c r="A251" t="inlineStr">
        <is>
          <t>A 4872-2023</t>
        </is>
      </c>
      <c r="B251" s="1" t="n">
        <v>44957</v>
      </c>
      <c r="C251" s="1" t="n">
        <v>46052</v>
      </c>
      <c r="D251" t="inlineStr">
        <is>
          <t>JÄMTLANDS LÄN</t>
        </is>
      </c>
      <c r="E251" t="inlineStr">
        <is>
          <t>ÖSTERSUND</t>
        </is>
      </c>
      <c r="G251" t="n">
        <v>10.7</v>
      </c>
      <c r="H251" t="n">
        <v>0</v>
      </c>
      <c r="I251" t="n">
        <v>0</v>
      </c>
      <c r="J251" t="n">
        <v>0</v>
      </c>
      <c r="K251" t="n">
        <v>0</v>
      </c>
      <c r="L251" t="n">
        <v>0</v>
      </c>
      <c r="M251" t="n">
        <v>0</v>
      </c>
      <c r="N251" t="n">
        <v>0</v>
      </c>
      <c r="O251" t="n">
        <v>0</v>
      </c>
      <c r="P251" t="n">
        <v>0</v>
      </c>
      <c r="Q251" t="n">
        <v>0</v>
      </c>
      <c r="R251" s="2" t="inlineStr"/>
    </row>
    <row r="252" ht="15" customHeight="1">
      <c r="A252" t="inlineStr">
        <is>
          <t>A 231-2022</t>
        </is>
      </c>
      <c r="B252" s="1" t="n">
        <v>44564.93909722222</v>
      </c>
      <c r="C252" s="1" t="n">
        <v>46052</v>
      </c>
      <c r="D252" t="inlineStr">
        <is>
          <t>JÄMTLANDS LÄN</t>
        </is>
      </c>
      <c r="E252" t="inlineStr">
        <is>
          <t>ÖSTERSUND</t>
        </is>
      </c>
      <c r="G252" t="n">
        <v>1.9</v>
      </c>
      <c r="H252" t="n">
        <v>0</v>
      </c>
      <c r="I252" t="n">
        <v>0</v>
      </c>
      <c r="J252" t="n">
        <v>0</v>
      </c>
      <c r="K252" t="n">
        <v>0</v>
      </c>
      <c r="L252" t="n">
        <v>0</v>
      </c>
      <c r="M252" t="n">
        <v>0</v>
      </c>
      <c r="N252" t="n">
        <v>0</v>
      </c>
      <c r="O252" t="n">
        <v>0</v>
      </c>
      <c r="P252" t="n">
        <v>0</v>
      </c>
      <c r="Q252" t="n">
        <v>0</v>
      </c>
      <c r="R252" s="2" t="inlineStr"/>
    </row>
    <row r="253" ht="15" customHeight="1">
      <c r="A253" t="inlineStr">
        <is>
          <t>A 58952-2024</t>
        </is>
      </c>
      <c r="B253" s="1" t="n">
        <v>45636.5674537037</v>
      </c>
      <c r="C253" s="1" t="n">
        <v>46052</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46748-2023</t>
        </is>
      </c>
      <c r="B254" s="1" t="n">
        <v>45198</v>
      </c>
      <c r="C254" s="1" t="n">
        <v>46052</v>
      </c>
      <c r="D254" t="inlineStr">
        <is>
          <t>JÄMTLANDS LÄN</t>
        </is>
      </c>
      <c r="E254" t="inlineStr">
        <is>
          <t>ÖSTERSUND</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46763-2023</t>
        </is>
      </c>
      <c r="B255" s="1" t="n">
        <v>45198</v>
      </c>
      <c r="C255" s="1" t="n">
        <v>46052</v>
      </c>
      <c r="D255" t="inlineStr">
        <is>
          <t>JÄMTLANDS LÄN</t>
        </is>
      </c>
      <c r="E255" t="inlineStr">
        <is>
          <t>ÖSTERSUND</t>
        </is>
      </c>
      <c r="F255" t="inlineStr">
        <is>
          <t>Sveaskog</t>
        </is>
      </c>
      <c r="G255" t="n">
        <v>13.3</v>
      </c>
      <c r="H255" t="n">
        <v>0</v>
      </c>
      <c r="I255" t="n">
        <v>0</v>
      </c>
      <c r="J255" t="n">
        <v>0</v>
      </c>
      <c r="K255" t="n">
        <v>0</v>
      </c>
      <c r="L255" t="n">
        <v>0</v>
      </c>
      <c r="M255" t="n">
        <v>0</v>
      </c>
      <c r="N255" t="n">
        <v>0</v>
      </c>
      <c r="O255" t="n">
        <v>0</v>
      </c>
      <c r="P255" t="n">
        <v>0</v>
      </c>
      <c r="Q255" t="n">
        <v>0</v>
      </c>
      <c r="R255" s="2" t="inlineStr"/>
    </row>
    <row r="256" ht="15" customHeight="1">
      <c r="A256" t="inlineStr">
        <is>
          <t>A 5341-2025</t>
        </is>
      </c>
      <c r="B256" s="1" t="n">
        <v>45692.55256944444</v>
      </c>
      <c r="C256" s="1" t="n">
        <v>46052</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14523-2023</t>
        </is>
      </c>
      <c r="B257" s="1" t="n">
        <v>45012</v>
      </c>
      <c r="C257" s="1" t="n">
        <v>46052</v>
      </c>
      <c r="D257" t="inlineStr">
        <is>
          <t>JÄMTLANDS LÄN</t>
        </is>
      </c>
      <c r="E257" t="inlineStr">
        <is>
          <t>ÖSTERSUND</t>
        </is>
      </c>
      <c r="G257" t="n">
        <v>4.5</v>
      </c>
      <c r="H257" t="n">
        <v>0</v>
      </c>
      <c r="I257" t="n">
        <v>0</v>
      </c>
      <c r="J257" t="n">
        <v>0</v>
      </c>
      <c r="K257" t="n">
        <v>0</v>
      </c>
      <c r="L257" t="n">
        <v>0</v>
      </c>
      <c r="M257" t="n">
        <v>0</v>
      </c>
      <c r="N257" t="n">
        <v>0</v>
      </c>
      <c r="O257" t="n">
        <v>0</v>
      </c>
      <c r="P257" t="n">
        <v>0</v>
      </c>
      <c r="Q257" t="n">
        <v>0</v>
      </c>
      <c r="R257" s="2" t="inlineStr"/>
    </row>
    <row r="258" ht="15" customHeight="1">
      <c r="A258" t="inlineStr">
        <is>
          <t>A 21060-2025</t>
        </is>
      </c>
      <c r="B258" s="1" t="n">
        <v>45777.58025462963</v>
      </c>
      <c r="C258" s="1" t="n">
        <v>46052</v>
      </c>
      <c r="D258" t="inlineStr">
        <is>
          <t>JÄMTLANDS LÄN</t>
        </is>
      </c>
      <c r="E258" t="inlineStr">
        <is>
          <t>ÖSTERSUND</t>
        </is>
      </c>
      <c r="G258" t="n">
        <v>2.9</v>
      </c>
      <c r="H258" t="n">
        <v>0</v>
      </c>
      <c r="I258" t="n">
        <v>0</v>
      </c>
      <c r="J258" t="n">
        <v>0</v>
      </c>
      <c r="K258" t="n">
        <v>0</v>
      </c>
      <c r="L258" t="n">
        <v>0</v>
      </c>
      <c r="M258" t="n">
        <v>0</v>
      </c>
      <c r="N258" t="n">
        <v>0</v>
      </c>
      <c r="O258" t="n">
        <v>0</v>
      </c>
      <c r="P258" t="n">
        <v>0</v>
      </c>
      <c r="Q258" t="n">
        <v>0</v>
      </c>
      <c r="R258" s="2" t="inlineStr"/>
    </row>
    <row r="259" ht="15" customHeight="1">
      <c r="A259" t="inlineStr">
        <is>
          <t>A 21094-2025</t>
        </is>
      </c>
      <c r="B259" s="1" t="n">
        <v>45777.62665509259</v>
      </c>
      <c r="C259" s="1" t="n">
        <v>46052</v>
      </c>
      <c r="D259" t="inlineStr">
        <is>
          <t>JÄMTLANDS LÄN</t>
        </is>
      </c>
      <c r="E259" t="inlineStr">
        <is>
          <t>ÖSTERSUND</t>
        </is>
      </c>
      <c r="G259" t="n">
        <v>3.3</v>
      </c>
      <c r="H259" t="n">
        <v>0</v>
      </c>
      <c r="I259" t="n">
        <v>0</v>
      </c>
      <c r="J259" t="n">
        <v>0</v>
      </c>
      <c r="K259" t="n">
        <v>0</v>
      </c>
      <c r="L259" t="n">
        <v>0</v>
      </c>
      <c r="M259" t="n">
        <v>0</v>
      </c>
      <c r="N259" t="n">
        <v>0</v>
      </c>
      <c r="O259" t="n">
        <v>0</v>
      </c>
      <c r="P259" t="n">
        <v>0</v>
      </c>
      <c r="Q259" t="n">
        <v>0</v>
      </c>
      <c r="R259" s="2" t="inlineStr"/>
    </row>
    <row r="260" ht="15" customHeight="1">
      <c r="A260" t="inlineStr">
        <is>
          <t>A 60681-2022</t>
        </is>
      </c>
      <c r="B260" s="1" t="n">
        <v>44911.93994212963</v>
      </c>
      <c r="C260" s="1" t="n">
        <v>46052</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1159-2024</t>
        </is>
      </c>
      <c r="B261" s="1" t="n">
        <v>45302.52006944444</v>
      </c>
      <c r="C261" s="1" t="n">
        <v>46052</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48106-2024</t>
        </is>
      </c>
      <c r="B262" s="1" t="n">
        <v>45589.62625</v>
      </c>
      <c r="C262" s="1" t="n">
        <v>46052</v>
      </c>
      <c r="D262" t="inlineStr">
        <is>
          <t>JÄMTLANDS LÄN</t>
        </is>
      </c>
      <c r="E262" t="inlineStr">
        <is>
          <t>ÖSTERSUND</t>
        </is>
      </c>
      <c r="G262" t="n">
        <v>3.5</v>
      </c>
      <c r="H262" t="n">
        <v>0</v>
      </c>
      <c r="I262" t="n">
        <v>0</v>
      </c>
      <c r="J262" t="n">
        <v>0</v>
      </c>
      <c r="K262" t="n">
        <v>0</v>
      </c>
      <c r="L262" t="n">
        <v>0</v>
      </c>
      <c r="M262" t="n">
        <v>0</v>
      </c>
      <c r="N262" t="n">
        <v>0</v>
      </c>
      <c r="O262" t="n">
        <v>0</v>
      </c>
      <c r="P262" t="n">
        <v>0</v>
      </c>
      <c r="Q262" t="n">
        <v>0</v>
      </c>
      <c r="R262" s="2" t="inlineStr"/>
    </row>
    <row r="263" ht="15" customHeight="1">
      <c r="A263" t="inlineStr">
        <is>
          <t>A 15669-2025</t>
        </is>
      </c>
      <c r="B263" s="1" t="n">
        <v>45748.4396412037</v>
      </c>
      <c r="C263" s="1" t="n">
        <v>46052</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10493-2025</t>
        </is>
      </c>
      <c r="B264" s="1" t="n">
        <v>45721.36320601852</v>
      </c>
      <c r="C264" s="1" t="n">
        <v>46052</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1255-2025</t>
        </is>
      </c>
      <c r="B265" s="1" t="n">
        <v>45667.46922453704</v>
      </c>
      <c r="C265" s="1" t="n">
        <v>46052</v>
      </c>
      <c r="D265" t="inlineStr">
        <is>
          <t>JÄMTLANDS LÄN</t>
        </is>
      </c>
      <c r="E265" t="inlineStr">
        <is>
          <t>ÖSTERSUND</t>
        </is>
      </c>
      <c r="F265" t="inlineStr">
        <is>
          <t>SCA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63099-2023</t>
        </is>
      </c>
      <c r="B266" s="1" t="n">
        <v>45273</v>
      </c>
      <c r="C266" s="1" t="n">
        <v>46052</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21237-2025</t>
        </is>
      </c>
      <c r="B267" s="1" t="n">
        <v>45779</v>
      </c>
      <c r="C267" s="1" t="n">
        <v>46052</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16812-2025</t>
        </is>
      </c>
      <c r="B268" s="1" t="n">
        <v>45754</v>
      </c>
      <c r="C268" s="1" t="n">
        <v>46052</v>
      </c>
      <c r="D268" t="inlineStr">
        <is>
          <t>JÄMTLANDS LÄN</t>
        </is>
      </c>
      <c r="E268" t="inlineStr">
        <is>
          <t>ÖSTERSUND</t>
        </is>
      </c>
      <c r="F268" t="inlineStr">
        <is>
          <t>Övriga statliga verk och myndigheter</t>
        </is>
      </c>
      <c r="G268" t="n">
        <v>3.7</v>
      </c>
      <c r="H268" t="n">
        <v>0</v>
      </c>
      <c r="I268" t="n">
        <v>0</v>
      </c>
      <c r="J268" t="n">
        <v>0</v>
      </c>
      <c r="K268" t="n">
        <v>0</v>
      </c>
      <c r="L268" t="n">
        <v>0</v>
      </c>
      <c r="M268" t="n">
        <v>0</v>
      </c>
      <c r="N268" t="n">
        <v>0</v>
      </c>
      <c r="O268" t="n">
        <v>0</v>
      </c>
      <c r="P268" t="n">
        <v>0</v>
      </c>
      <c r="Q268" t="n">
        <v>0</v>
      </c>
      <c r="R268" s="2" t="inlineStr"/>
    </row>
    <row r="269" ht="15" customHeight="1">
      <c r="A269" t="inlineStr">
        <is>
          <t>A 3122-2025</t>
        </is>
      </c>
      <c r="B269" s="1" t="n">
        <v>45678</v>
      </c>
      <c r="C269" s="1" t="n">
        <v>46052</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14848-2025</t>
        </is>
      </c>
      <c r="B270" s="1" t="n">
        <v>45743.39528935185</v>
      </c>
      <c r="C270" s="1" t="n">
        <v>46052</v>
      </c>
      <c r="D270" t="inlineStr">
        <is>
          <t>JÄMTLANDS LÄN</t>
        </is>
      </c>
      <c r="E270" t="inlineStr">
        <is>
          <t>ÖSTERSUND</t>
        </is>
      </c>
      <c r="G270" t="n">
        <v>12.1</v>
      </c>
      <c r="H270" t="n">
        <v>0</v>
      </c>
      <c r="I270" t="n">
        <v>0</v>
      </c>
      <c r="J270" t="n">
        <v>0</v>
      </c>
      <c r="K270" t="n">
        <v>0</v>
      </c>
      <c r="L270" t="n">
        <v>0</v>
      </c>
      <c r="M270" t="n">
        <v>0</v>
      </c>
      <c r="N270" t="n">
        <v>0</v>
      </c>
      <c r="O270" t="n">
        <v>0</v>
      </c>
      <c r="P270" t="n">
        <v>0</v>
      </c>
      <c r="Q270" t="n">
        <v>0</v>
      </c>
      <c r="R270" s="2" t="inlineStr"/>
    </row>
    <row r="271" ht="15" customHeight="1">
      <c r="A271" t="inlineStr">
        <is>
          <t>A 21495-2022</t>
        </is>
      </c>
      <c r="B271" s="1" t="n">
        <v>44706</v>
      </c>
      <c r="C271" s="1" t="n">
        <v>46052</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60575-2022</t>
        </is>
      </c>
      <c r="B272" s="1" t="n">
        <v>44911.5662037037</v>
      </c>
      <c r="C272" s="1" t="n">
        <v>46052</v>
      </c>
      <c r="D272" t="inlineStr">
        <is>
          <t>JÄMTLANDS LÄN</t>
        </is>
      </c>
      <c r="E272" t="inlineStr">
        <is>
          <t>ÖSTERSUND</t>
        </is>
      </c>
      <c r="G272" t="n">
        <v>1</v>
      </c>
      <c r="H272" t="n">
        <v>0</v>
      </c>
      <c r="I272" t="n">
        <v>0</v>
      </c>
      <c r="J272" t="n">
        <v>0</v>
      </c>
      <c r="K272" t="n">
        <v>0</v>
      </c>
      <c r="L272" t="n">
        <v>0</v>
      </c>
      <c r="M272" t="n">
        <v>0</v>
      </c>
      <c r="N272" t="n">
        <v>0</v>
      </c>
      <c r="O272" t="n">
        <v>0</v>
      </c>
      <c r="P272" t="n">
        <v>0</v>
      </c>
      <c r="Q272" t="n">
        <v>0</v>
      </c>
      <c r="R272" s="2" t="inlineStr"/>
    </row>
    <row r="273" ht="15" customHeight="1">
      <c r="A273" t="inlineStr">
        <is>
          <t>A 16725-2025</t>
        </is>
      </c>
      <c r="B273" s="1" t="n">
        <v>45754</v>
      </c>
      <c r="C273" s="1" t="n">
        <v>46052</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53060-2024</t>
        </is>
      </c>
      <c r="B274" s="1" t="n">
        <v>45611.46912037037</v>
      </c>
      <c r="C274" s="1" t="n">
        <v>46052</v>
      </c>
      <c r="D274" t="inlineStr">
        <is>
          <t>JÄMTLANDS LÄN</t>
        </is>
      </c>
      <c r="E274" t="inlineStr">
        <is>
          <t>ÖSTERSUND</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43557-2024</t>
        </is>
      </c>
      <c r="B275" s="1" t="n">
        <v>45569.39229166666</v>
      </c>
      <c r="C275" s="1" t="n">
        <v>46052</v>
      </c>
      <c r="D275" t="inlineStr">
        <is>
          <t>JÄMTLANDS LÄN</t>
        </is>
      </c>
      <c r="E275" t="inlineStr">
        <is>
          <t>ÖSTERSUND</t>
        </is>
      </c>
      <c r="G275" t="n">
        <v>3.6</v>
      </c>
      <c r="H275" t="n">
        <v>0</v>
      </c>
      <c r="I275" t="n">
        <v>0</v>
      </c>
      <c r="J275" t="n">
        <v>0</v>
      </c>
      <c r="K275" t="n">
        <v>0</v>
      </c>
      <c r="L275" t="n">
        <v>0</v>
      </c>
      <c r="M275" t="n">
        <v>0</v>
      </c>
      <c r="N275" t="n">
        <v>0</v>
      </c>
      <c r="O275" t="n">
        <v>0</v>
      </c>
      <c r="P275" t="n">
        <v>0</v>
      </c>
      <c r="Q275" t="n">
        <v>0</v>
      </c>
      <c r="R275" s="2" t="inlineStr"/>
    </row>
    <row r="276" ht="15" customHeight="1">
      <c r="A276" t="inlineStr">
        <is>
          <t>A 4521-2025</t>
        </is>
      </c>
      <c r="B276" s="1" t="n">
        <v>45686</v>
      </c>
      <c r="C276" s="1" t="n">
        <v>46052</v>
      </c>
      <c r="D276" t="inlineStr">
        <is>
          <t>JÄMTLANDS LÄN</t>
        </is>
      </c>
      <c r="E276" t="inlineStr">
        <is>
          <t>ÖSTERSUND</t>
        </is>
      </c>
      <c r="G276" t="n">
        <v>28.4</v>
      </c>
      <c r="H276" t="n">
        <v>0</v>
      </c>
      <c r="I276" t="n">
        <v>0</v>
      </c>
      <c r="J276" t="n">
        <v>0</v>
      </c>
      <c r="K276" t="n">
        <v>0</v>
      </c>
      <c r="L276" t="n">
        <v>0</v>
      </c>
      <c r="M276" t="n">
        <v>0</v>
      </c>
      <c r="N276" t="n">
        <v>0</v>
      </c>
      <c r="O276" t="n">
        <v>0</v>
      </c>
      <c r="P276" t="n">
        <v>0</v>
      </c>
      <c r="Q276" t="n">
        <v>0</v>
      </c>
      <c r="R276" s="2" t="inlineStr"/>
    </row>
    <row r="277" ht="15" customHeight="1">
      <c r="A277" t="inlineStr">
        <is>
          <t>A 23555-2022</t>
        </is>
      </c>
      <c r="B277" s="1" t="n">
        <v>44721</v>
      </c>
      <c r="C277" s="1" t="n">
        <v>46052</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54237-2024</t>
        </is>
      </c>
      <c r="B278" s="1" t="n">
        <v>45616.67833333334</v>
      </c>
      <c r="C278" s="1" t="n">
        <v>46052</v>
      </c>
      <c r="D278" t="inlineStr">
        <is>
          <t>JÄMTLANDS LÄN</t>
        </is>
      </c>
      <c r="E278" t="inlineStr">
        <is>
          <t>ÖSTERSUND</t>
        </is>
      </c>
      <c r="F278" t="inlineStr">
        <is>
          <t>SCA</t>
        </is>
      </c>
      <c r="G278" t="n">
        <v>8.9</v>
      </c>
      <c r="H278" t="n">
        <v>0</v>
      </c>
      <c r="I278" t="n">
        <v>0</v>
      </c>
      <c r="J278" t="n">
        <v>0</v>
      </c>
      <c r="K278" t="n">
        <v>0</v>
      </c>
      <c r="L278" t="n">
        <v>0</v>
      </c>
      <c r="M278" t="n">
        <v>0</v>
      </c>
      <c r="N278" t="n">
        <v>0</v>
      </c>
      <c r="O278" t="n">
        <v>0</v>
      </c>
      <c r="P278" t="n">
        <v>0</v>
      </c>
      <c r="Q278" t="n">
        <v>0</v>
      </c>
      <c r="R278" s="2" t="inlineStr"/>
    </row>
    <row r="279" ht="15" customHeight="1">
      <c r="A279" t="inlineStr">
        <is>
          <t>A 4480-2025</t>
        </is>
      </c>
      <c r="B279" s="1" t="n">
        <v>45686.64175925926</v>
      </c>
      <c r="C279" s="1" t="n">
        <v>46052</v>
      </c>
      <c r="D279" t="inlineStr">
        <is>
          <t>JÄMTLANDS LÄN</t>
        </is>
      </c>
      <c r="E279" t="inlineStr">
        <is>
          <t>ÖSTERSUND</t>
        </is>
      </c>
      <c r="G279" t="n">
        <v>27.7</v>
      </c>
      <c r="H279" t="n">
        <v>0</v>
      </c>
      <c r="I279" t="n">
        <v>0</v>
      </c>
      <c r="J279" t="n">
        <v>0</v>
      </c>
      <c r="K279" t="n">
        <v>0</v>
      </c>
      <c r="L279" t="n">
        <v>0</v>
      </c>
      <c r="M279" t="n">
        <v>0</v>
      </c>
      <c r="N279" t="n">
        <v>0</v>
      </c>
      <c r="O279" t="n">
        <v>0</v>
      </c>
      <c r="P279" t="n">
        <v>0</v>
      </c>
      <c r="Q279" t="n">
        <v>0</v>
      </c>
      <c r="R279" s="2" t="inlineStr"/>
    </row>
    <row r="280" ht="15" customHeight="1">
      <c r="A280" t="inlineStr">
        <is>
          <t>A 296-2023</t>
        </is>
      </c>
      <c r="B280" s="1" t="n">
        <v>44922</v>
      </c>
      <c r="C280" s="1" t="n">
        <v>46052</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47627-2024</t>
        </is>
      </c>
      <c r="B281" s="1" t="n">
        <v>45588.3440625</v>
      </c>
      <c r="C281" s="1" t="n">
        <v>46052</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47628-2024</t>
        </is>
      </c>
      <c r="B282" s="1" t="n">
        <v>45588.34418981482</v>
      </c>
      <c r="C282" s="1" t="n">
        <v>46052</v>
      </c>
      <c r="D282" t="inlineStr">
        <is>
          <t>JÄMTLANDS LÄN</t>
        </is>
      </c>
      <c r="E282" t="inlineStr">
        <is>
          <t>ÖSTERSUND</t>
        </is>
      </c>
      <c r="G282" t="n">
        <v>1.9</v>
      </c>
      <c r="H282" t="n">
        <v>0</v>
      </c>
      <c r="I282" t="n">
        <v>0</v>
      </c>
      <c r="J282" t="n">
        <v>0</v>
      </c>
      <c r="K282" t="n">
        <v>0</v>
      </c>
      <c r="L282" t="n">
        <v>0</v>
      </c>
      <c r="M282" t="n">
        <v>0</v>
      </c>
      <c r="N282" t="n">
        <v>0</v>
      </c>
      <c r="O282" t="n">
        <v>0</v>
      </c>
      <c r="P282" t="n">
        <v>0</v>
      </c>
      <c r="Q282" t="n">
        <v>0</v>
      </c>
      <c r="R282" s="2" t="inlineStr"/>
    </row>
    <row r="283" ht="15" customHeight="1">
      <c r="A283" t="inlineStr">
        <is>
          <t>A 17732-2022</t>
        </is>
      </c>
      <c r="B283" s="1" t="n">
        <v>44680.92873842592</v>
      </c>
      <c r="C283" s="1" t="n">
        <v>46052</v>
      </c>
      <c r="D283" t="inlineStr">
        <is>
          <t>JÄMTLANDS LÄN</t>
        </is>
      </c>
      <c r="E283" t="inlineStr">
        <is>
          <t>ÖSTERSUND</t>
        </is>
      </c>
      <c r="G283" t="n">
        <v>5.4</v>
      </c>
      <c r="H283" t="n">
        <v>0</v>
      </c>
      <c r="I283" t="n">
        <v>0</v>
      </c>
      <c r="J283" t="n">
        <v>0</v>
      </c>
      <c r="K283" t="n">
        <v>0</v>
      </c>
      <c r="L283" t="n">
        <v>0</v>
      </c>
      <c r="M283" t="n">
        <v>0</v>
      </c>
      <c r="N283" t="n">
        <v>0</v>
      </c>
      <c r="O283" t="n">
        <v>0</v>
      </c>
      <c r="P283" t="n">
        <v>0</v>
      </c>
      <c r="Q283" t="n">
        <v>0</v>
      </c>
      <c r="R283" s="2" t="inlineStr"/>
    </row>
    <row r="284" ht="15" customHeight="1">
      <c r="A284" t="inlineStr">
        <is>
          <t>A 22612-2025</t>
        </is>
      </c>
      <c r="B284" s="1" t="n">
        <v>45789.42538194444</v>
      </c>
      <c r="C284" s="1" t="n">
        <v>46052</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24246-2024</t>
        </is>
      </c>
      <c r="B285" s="1" t="n">
        <v>45457.37893518519</v>
      </c>
      <c r="C285" s="1" t="n">
        <v>46052</v>
      </c>
      <c r="D285" t="inlineStr">
        <is>
          <t>JÄMTLANDS LÄN</t>
        </is>
      </c>
      <c r="E285" t="inlineStr">
        <is>
          <t>ÖSTERSUND</t>
        </is>
      </c>
      <c r="G285" t="n">
        <v>5.3</v>
      </c>
      <c r="H285" t="n">
        <v>0</v>
      </c>
      <c r="I285" t="n">
        <v>0</v>
      </c>
      <c r="J285" t="n">
        <v>0</v>
      </c>
      <c r="K285" t="n">
        <v>0</v>
      </c>
      <c r="L285" t="n">
        <v>0</v>
      </c>
      <c r="M285" t="n">
        <v>0</v>
      </c>
      <c r="N285" t="n">
        <v>0</v>
      </c>
      <c r="O285" t="n">
        <v>0</v>
      </c>
      <c r="P285" t="n">
        <v>0</v>
      </c>
      <c r="Q285" t="n">
        <v>0</v>
      </c>
      <c r="R285" s="2" t="inlineStr"/>
    </row>
    <row r="286" ht="15" customHeight="1">
      <c r="A286" t="inlineStr">
        <is>
          <t>A 58407-2024</t>
        </is>
      </c>
      <c r="B286" s="1" t="n">
        <v>45634.72633101852</v>
      </c>
      <c r="C286" s="1" t="n">
        <v>46052</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17948-2025</t>
        </is>
      </c>
      <c r="B287" s="1" t="n">
        <v>45760.66995370371</v>
      </c>
      <c r="C287" s="1" t="n">
        <v>46052</v>
      </c>
      <c r="D287" t="inlineStr">
        <is>
          <t>JÄMTLANDS LÄN</t>
        </is>
      </c>
      <c r="E287" t="inlineStr">
        <is>
          <t>ÖSTERSUND</t>
        </is>
      </c>
      <c r="G287" t="n">
        <v>3.9</v>
      </c>
      <c r="H287" t="n">
        <v>0</v>
      </c>
      <c r="I287" t="n">
        <v>0</v>
      </c>
      <c r="J287" t="n">
        <v>0</v>
      </c>
      <c r="K287" t="n">
        <v>0</v>
      </c>
      <c r="L287" t="n">
        <v>0</v>
      </c>
      <c r="M287" t="n">
        <v>0</v>
      </c>
      <c r="N287" t="n">
        <v>0</v>
      </c>
      <c r="O287" t="n">
        <v>0</v>
      </c>
      <c r="P287" t="n">
        <v>0</v>
      </c>
      <c r="Q287" t="n">
        <v>0</v>
      </c>
      <c r="R287" s="2" t="inlineStr"/>
    </row>
    <row r="288" ht="15" customHeight="1">
      <c r="A288" t="inlineStr">
        <is>
          <t>A 57589-2024</t>
        </is>
      </c>
      <c r="B288" s="1" t="n">
        <v>45630.49710648148</v>
      </c>
      <c r="C288" s="1" t="n">
        <v>46052</v>
      </c>
      <c r="D288" t="inlineStr">
        <is>
          <t>JÄMTLANDS LÄN</t>
        </is>
      </c>
      <c r="E288" t="inlineStr">
        <is>
          <t>ÖSTERSUND</t>
        </is>
      </c>
      <c r="G288" t="n">
        <v>1.8</v>
      </c>
      <c r="H288" t="n">
        <v>0</v>
      </c>
      <c r="I288" t="n">
        <v>0</v>
      </c>
      <c r="J288" t="n">
        <v>0</v>
      </c>
      <c r="K288" t="n">
        <v>0</v>
      </c>
      <c r="L288" t="n">
        <v>0</v>
      </c>
      <c r="M288" t="n">
        <v>0</v>
      </c>
      <c r="N288" t="n">
        <v>0</v>
      </c>
      <c r="O288" t="n">
        <v>0</v>
      </c>
      <c r="P288" t="n">
        <v>0</v>
      </c>
      <c r="Q288" t="n">
        <v>0</v>
      </c>
      <c r="R288" s="2" t="inlineStr"/>
    </row>
    <row r="289" ht="15" customHeight="1">
      <c r="A289" t="inlineStr">
        <is>
          <t>A 4520-2025</t>
        </is>
      </c>
      <c r="B289" s="1" t="n">
        <v>45686.92384259259</v>
      </c>
      <c r="C289" s="1" t="n">
        <v>46052</v>
      </c>
      <c r="D289" t="inlineStr">
        <is>
          <t>JÄMTLANDS LÄN</t>
        </is>
      </c>
      <c r="E289" t="inlineStr">
        <is>
          <t>ÖSTERSUND</t>
        </is>
      </c>
      <c r="G289" t="n">
        <v>15.2</v>
      </c>
      <c r="H289" t="n">
        <v>0</v>
      </c>
      <c r="I289" t="n">
        <v>0</v>
      </c>
      <c r="J289" t="n">
        <v>0</v>
      </c>
      <c r="K289" t="n">
        <v>0</v>
      </c>
      <c r="L289" t="n">
        <v>0</v>
      </c>
      <c r="M289" t="n">
        <v>0</v>
      </c>
      <c r="N289" t="n">
        <v>0</v>
      </c>
      <c r="O289" t="n">
        <v>0</v>
      </c>
      <c r="P289" t="n">
        <v>0</v>
      </c>
      <c r="Q289" t="n">
        <v>0</v>
      </c>
      <c r="R289" s="2" t="inlineStr"/>
    </row>
    <row r="290" ht="15" customHeight="1">
      <c r="A290" t="inlineStr">
        <is>
          <t>A 4523-2025</t>
        </is>
      </c>
      <c r="B290" s="1" t="n">
        <v>45686.92864583333</v>
      </c>
      <c r="C290" s="1" t="n">
        <v>46052</v>
      </c>
      <c r="D290" t="inlineStr">
        <is>
          <t>JÄMTLANDS LÄN</t>
        </is>
      </c>
      <c r="E290" t="inlineStr">
        <is>
          <t>ÖSTERSUND</t>
        </is>
      </c>
      <c r="G290" t="n">
        <v>15.2</v>
      </c>
      <c r="H290" t="n">
        <v>0</v>
      </c>
      <c r="I290" t="n">
        <v>0</v>
      </c>
      <c r="J290" t="n">
        <v>0</v>
      </c>
      <c r="K290" t="n">
        <v>0</v>
      </c>
      <c r="L290" t="n">
        <v>0</v>
      </c>
      <c r="M290" t="n">
        <v>0</v>
      </c>
      <c r="N290" t="n">
        <v>0</v>
      </c>
      <c r="O290" t="n">
        <v>0</v>
      </c>
      <c r="P290" t="n">
        <v>0</v>
      </c>
      <c r="Q290" t="n">
        <v>0</v>
      </c>
      <c r="R290" s="2" t="inlineStr"/>
    </row>
    <row r="291" ht="15" customHeight="1">
      <c r="A291" t="inlineStr">
        <is>
          <t>A 22713-2025</t>
        </is>
      </c>
      <c r="B291" s="1" t="n">
        <v>45789.56414351852</v>
      </c>
      <c r="C291" s="1" t="n">
        <v>46052</v>
      </c>
      <c r="D291" t="inlineStr">
        <is>
          <t>JÄMTLANDS LÄN</t>
        </is>
      </c>
      <c r="E291" t="inlineStr">
        <is>
          <t>ÖSTERSUND</t>
        </is>
      </c>
      <c r="G291" t="n">
        <v>0.8</v>
      </c>
      <c r="H291" t="n">
        <v>0</v>
      </c>
      <c r="I291" t="n">
        <v>0</v>
      </c>
      <c r="J291" t="n">
        <v>0</v>
      </c>
      <c r="K291" t="n">
        <v>0</v>
      </c>
      <c r="L291" t="n">
        <v>0</v>
      </c>
      <c r="M291" t="n">
        <v>0</v>
      </c>
      <c r="N291" t="n">
        <v>0</v>
      </c>
      <c r="O291" t="n">
        <v>0</v>
      </c>
      <c r="P291" t="n">
        <v>0</v>
      </c>
      <c r="Q291" t="n">
        <v>0</v>
      </c>
      <c r="R291" s="2" t="inlineStr"/>
    </row>
    <row r="292" ht="15" customHeight="1">
      <c r="A292" t="inlineStr">
        <is>
          <t>A 31040-2021</t>
        </is>
      </c>
      <c r="B292" s="1" t="n">
        <v>44368</v>
      </c>
      <c r="C292" s="1" t="n">
        <v>46052</v>
      </c>
      <c r="D292" t="inlineStr">
        <is>
          <t>JÄMTLANDS LÄN</t>
        </is>
      </c>
      <c r="E292" t="inlineStr">
        <is>
          <t>ÖSTERSUND</t>
        </is>
      </c>
      <c r="G292" t="n">
        <v>4.3</v>
      </c>
      <c r="H292" t="n">
        <v>0</v>
      </c>
      <c r="I292" t="n">
        <v>0</v>
      </c>
      <c r="J292" t="n">
        <v>0</v>
      </c>
      <c r="K292" t="n">
        <v>0</v>
      </c>
      <c r="L292" t="n">
        <v>0</v>
      </c>
      <c r="M292" t="n">
        <v>0</v>
      </c>
      <c r="N292" t="n">
        <v>0</v>
      </c>
      <c r="O292" t="n">
        <v>0</v>
      </c>
      <c r="P292" t="n">
        <v>0</v>
      </c>
      <c r="Q292" t="n">
        <v>0</v>
      </c>
      <c r="R292" s="2" t="inlineStr"/>
    </row>
    <row r="293" ht="15" customHeight="1">
      <c r="A293" t="inlineStr">
        <is>
          <t>A 55678-2023</t>
        </is>
      </c>
      <c r="B293" s="1" t="n">
        <v>45239.33032407407</v>
      </c>
      <c r="C293" s="1" t="n">
        <v>46052</v>
      </c>
      <c r="D293" t="inlineStr">
        <is>
          <t>JÄMTLANDS LÄN</t>
        </is>
      </c>
      <c r="E293" t="inlineStr">
        <is>
          <t>ÖSTERSUND</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2984-2024</t>
        </is>
      </c>
      <c r="B294" s="1" t="n">
        <v>45315</v>
      </c>
      <c r="C294" s="1" t="n">
        <v>46052</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55002-2024</t>
        </is>
      </c>
      <c r="B295" s="1" t="n">
        <v>45621</v>
      </c>
      <c r="C295" s="1" t="n">
        <v>46052</v>
      </c>
      <c r="D295" t="inlineStr">
        <is>
          <t>JÄMTLANDS LÄN</t>
        </is>
      </c>
      <c r="E295" t="inlineStr">
        <is>
          <t>ÖSTERSUND</t>
        </is>
      </c>
      <c r="F295" t="inlineStr">
        <is>
          <t>Övriga Aktiebolag</t>
        </is>
      </c>
      <c r="G295" t="n">
        <v>0.3</v>
      </c>
      <c r="H295" t="n">
        <v>0</v>
      </c>
      <c r="I295" t="n">
        <v>0</v>
      </c>
      <c r="J295" t="n">
        <v>0</v>
      </c>
      <c r="K295" t="n">
        <v>0</v>
      </c>
      <c r="L295" t="n">
        <v>0</v>
      </c>
      <c r="M295" t="n">
        <v>0</v>
      </c>
      <c r="N295" t="n">
        <v>0</v>
      </c>
      <c r="O295" t="n">
        <v>0</v>
      </c>
      <c r="P295" t="n">
        <v>0</v>
      </c>
      <c r="Q295" t="n">
        <v>0</v>
      </c>
      <c r="R295" s="2" t="inlineStr"/>
    </row>
    <row r="296" ht="15" customHeight="1">
      <c r="A296" t="inlineStr">
        <is>
          <t>A 55666-2023</t>
        </is>
      </c>
      <c r="B296" s="1" t="n">
        <v>45238.96770833333</v>
      </c>
      <c r="C296" s="1" t="n">
        <v>46052</v>
      </c>
      <c r="D296" t="inlineStr">
        <is>
          <t>JÄMTLANDS LÄN</t>
        </is>
      </c>
      <c r="E296" t="inlineStr">
        <is>
          <t>ÖSTERSUND</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9109-2024</t>
        </is>
      </c>
      <c r="B297" s="1" t="n">
        <v>45357.96106481482</v>
      </c>
      <c r="C297" s="1" t="n">
        <v>46052</v>
      </c>
      <c r="D297" t="inlineStr">
        <is>
          <t>JÄMTLANDS LÄN</t>
        </is>
      </c>
      <c r="E297" t="inlineStr">
        <is>
          <t>ÖSTERSUND</t>
        </is>
      </c>
      <c r="G297" t="n">
        <v>17.1</v>
      </c>
      <c r="H297" t="n">
        <v>0</v>
      </c>
      <c r="I297" t="n">
        <v>0</v>
      </c>
      <c r="J297" t="n">
        <v>0</v>
      </c>
      <c r="K297" t="n">
        <v>0</v>
      </c>
      <c r="L297" t="n">
        <v>0</v>
      </c>
      <c r="M297" t="n">
        <v>0</v>
      </c>
      <c r="N297" t="n">
        <v>0</v>
      </c>
      <c r="O297" t="n">
        <v>0</v>
      </c>
      <c r="P297" t="n">
        <v>0</v>
      </c>
      <c r="Q297" t="n">
        <v>0</v>
      </c>
      <c r="R297" s="2" t="inlineStr"/>
    </row>
    <row r="298" ht="15" customHeight="1">
      <c r="A298" t="inlineStr">
        <is>
          <t>A 22822-2025</t>
        </is>
      </c>
      <c r="B298" s="1" t="n">
        <v>45789</v>
      </c>
      <c r="C298" s="1" t="n">
        <v>46052</v>
      </c>
      <c r="D298" t="inlineStr">
        <is>
          <t>JÄMTLANDS LÄN</t>
        </is>
      </c>
      <c r="E298" t="inlineStr">
        <is>
          <t>ÖSTERSUND</t>
        </is>
      </c>
      <c r="G298" t="n">
        <v>2.2</v>
      </c>
      <c r="H298" t="n">
        <v>0</v>
      </c>
      <c r="I298" t="n">
        <v>0</v>
      </c>
      <c r="J298" t="n">
        <v>0</v>
      </c>
      <c r="K298" t="n">
        <v>0</v>
      </c>
      <c r="L298" t="n">
        <v>0</v>
      </c>
      <c r="M298" t="n">
        <v>0</v>
      </c>
      <c r="N298" t="n">
        <v>0</v>
      </c>
      <c r="O298" t="n">
        <v>0</v>
      </c>
      <c r="P298" t="n">
        <v>0</v>
      </c>
      <c r="Q298" t="n">
        <v>0</v>
      </c>
      <c r="R298" s="2" t="inlineStr"/>
    </row>
    <row r="299" ht="15" customHeight="1">
      <c r="A299" t="inlineStr">
        <is>
          <t>A 22384-2025</t>
        </is>
      </c>
      <c r="B299" s="1" t="n">
        <v>45786</v>
      </c>
      <c r="C299" s="1" t="n">
        <v>46052</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46052</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50088-2024</t>
        </is>
      </c>
      <c r="B301" s="1" t="n">
        <v>45600.38585648148</v>
      </c>
      <c r="C301" s="1" t="n">
        <v>46052</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35556-2022</t>
        </is>
      </c>
      <c r="B302" s="1" t="n">
        <v>44799</v>
      </c>
      <c r="C302" s="1" t="n">
        <v>46052</v>
      </c>
      <c r="D302" t="inlineStr">
        <is>
          <t>JÄMTLANDS LÄN</t>
        </is>
      </c>
      <c r="E302" t="inlineStr">
        <is>
          <t>ÖSTERSUND</t>
        </is>
      </c>
      <c r="G302" t="n">
        <v>3.6</v>
      </c>
      <c r="H302" t="n">
        <v>0</v>
      </c>
      <c r="I302" t="n">
        <v>0</v>
      </c>
      <c r="J302" t="n">
        <v>0</v>
      </c>
      <c r="K302" t="n">
        <v>0</v>
      </c>
      <c r="L302" t="n">
        <v>0</v>
      </c>
      <c r="M302" t="n">
        <v>0</v>
      </c>
      <c r="N302" t="n">
        <v>0</v>
      </c>
      <c r="O302" t="n">
        <v>0</v>
      </c>
      <c r="P302" t="n">
        <v>0</v>
      </c>
      <c r="Q302" t="n">
        <v>0</v>
      </c>
      <c r="R302" s="2" t="inlineStr"/>
    </row>
    <row r="303" ht="15" customHeight="1">
      <c r="A303" t="inlineStr">
        <is>
          <t>A 11740-2022</t>
        </is>
      </c>
      <c r="B303" s="1" t="n">
        <v>44634.52982638889</v>
      </c>
      <c r="C303" s="1" t="n">
        <v>46052</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23249-2025</t>
        </is>
      </c>
      <c r="B304" s="1" t="n">
        <v>45791</v>
      </c>
      <c r="C304" s="1" t="n">
        <v>46052</v>
      </c>
      <c r="D304" t="inlineStr">
        <is>
          <t>JÄMTLANDS LÄN</t>
        </is>
      </c>
      <c r="E304" t="inlineStr">
        <is>
          <t>ÖSTERSUND</t>
        </is>
      </c>
      <c r="G304" t="n">
        <v>10</v>
      </c>
      <c r="H304" t="n">
        <v>0</v>
      </c>
      <c r="I304" t="n">
        <v>0</v>
      </c>
      <c r="J304" t="n">
        <v>0</v>
      </c>
      <c r="K304" t="n">
        <v>0</v>
      </c>
      <c r="L304" t="n">
        <v>0</v>
      </c>
      <c r="M304" t="n">
        <v>0</v>
      </c>
      <c r="N304" t="n">
        <v>0</v>
      </c>
      <c r="O304" t="n">
        <v>0</v>
      </c>
      <c r="P304" t="n">
        <v>0</v>
      </c>
      <c r="Q304" t="n">
        <v>0</v>
      </c>
      <c r="R304" s="2" t="inlineStr"/>
    </row>
    <row r="305" ht="15" customHeight="1">
      <c r="A305" t="inlineStr">
        <is>
          <t>A 7938-2025</t>
        </is>
      </c>
      <c r="B305" s="1" t="n">
        <v>45707</v>
      </c>
      <c r="C305" s="1" t="n">
        <v>46052</v>
      </c>
      <c r="D305" t="inlineStr">
        <is>
          <t>JÄMTLANDS LÄN</t>
        </is>
      </c>
      <c r="E305" t="inlineStr">
        <is>
          <t>ÖSTERSUND</t>
        </is>
      </c>
      <c r="G305" t="n">
        <v>3</v>
      </c>
      <c r="H305" t="n">
        <v>0</v>
      </c>
      <c r="I305" t="n">
        <v>0</v>
      </c>
      <c r="J305" t="n">
        <v>0</v>
      </c>
      <c r="K305" t="n">
        <v>0</v>
      </c>
      <c r="L305" t="n">
        <v>0</v>
      </c>
      <c r="M305" t="n">
        <v>0</v>
      </c>
      <c r="N305" t="n">
        <v>0</v>
      </c>
      <c r="O305" t="n">
        <v>0</v>
      </c>
      <c r="P305" t="n">
        <v>0</v>
      </c>
      <c r="Q305" t="n">
        <v>0</v>
      </c>
      <c r="R305" s="2" t="inlineStr"/>
    </row>
    <row r="306" ht="15" customHeight="1">
      <c r="A306" t="inlineStr">
        <is>
          <t>A 15659-2021</t>
        </is>
      </c>
      <c r="B306" s="1" t="n">
        <v>44298</v>
      </c>
      <c r="C306" s="1" t="n">
        <v>46052</v>
      </c>
      <c r="D306" t="inlineStr">
        <is>
          <t>JÄMTLANDS LÄN</t>
        </is>
      </c>
      <c r="E306" t="inlineStr">
        <is>
          <t>ÖSTERSUND</t>
        </is>
      </c>
      <c r="G306" t="n">
        <v>13.3</v>
      </c>
      <c r="H306" t="n">
        <v>0</v>
      </c>
      <c r="I306" t="n">
        <v>0</v>
      </c>
      <c r="J306" t="n">
        <v>0</v>
      </c>
      <c r="K306" t="n">
        <v>0</v>
      </c>
      <c r="L306" t="n">
        <v>0</v>
      </c>
      <c r="M306" t="n">
        <v>0</v>
      </c>
      <c r="N306" t="n">
        <v>0</v>
      </c>
      <c r="O306" t="n">
        <v>0</v>
      </c>
      <c r="P306" t="n">
        <v>0</v>
      </c>
      <c r="Q306" t="n">
        <v>0</v>
      </c>
      <c r="R306" s="2" t="inlineStr"/>
    </row>
    <row r="307" ht="15" customHeight="1">
      <c r="A307" t="inlineStr">
        <is>
          <t>A 23100-2025</t>
        </is>
      </c>
      <c r="B307" s="1" t="n">
        <v>45791.35212962963</v>
      </c>
      <c r="C307" s="1" t="n">
        <v>46052</v>
      </c>
      <c r="D307" t="inlineStr">
        <is>
          <t>JÄMTLANDS LÄN</t>
        </is>
      </c>
      <c r="E307" t="inlineStr">
        <is>
          <t>ÖSTERSUND</t>
        </is>
      </c>
      <c r="G307" t="n">
        <v>4.5</v>
      </c>
      <c r="H307" t="n">
        <v>0</v>
      </c>
      <c r="I307" t="n">
        <v>0</v>
      </c>
      <c r="J307" t="n">
        <v>0</v>
      </c>
      <c r="K307" t="n">
        <v>0</v>
      </c>
      <c r="L307" t="n">
        <v>0</v>
      </c>
      <c r="M307" t="n">
        <v>0</v>
      </c>
      <c r="N307" t="n">
        <v>0</v>
      </c>
      <c r="O307" t="n">
        <v>0</v>
      </c>
      <c r="P307" t="n">
        <v>0</v>
      </c>
      <c r="Q307" t="n">
        <v>0</v>
      </c>
      <c r="R307" s="2" t="inlineStr"/>
    </row>
    <row r="308" ht="15" customHeight="1">
      <c r="A308" t="inlineStr">
        <is>
          <t>A 53802-2022</t>
        </is>
      </c>
      <c r="B308" s="1" t="n">
        <v>44875</v>
      </c>
      <c r="C308" s="1" t="n">
        <v>46052</v>
      </c>
      <c r="D308" t="inlineStr">
        <is>
          <t>JÄMTLANDS LÄN</t>
        </is>
      </c>
      <c r="E308" t="inlineStr">
        <is>
          <t>ÖSTERSUND</t>
        </is>
      </c>
      <c r="G308" t="n">
        <v>0.2</v>
      </c>
      <c r="H308" t="n">
        <v>0</v>
      </c>
      <c r="I308" t="n">
        <v>0</v>
      </c>
      <c r="J308" t="n">
        <v>0</v>
      </c>
      <c r="K308" t="n">
        <v>0</v>
      </c>
      <c r="L308" t="n">
        <v>0</v>
      </c>
      <c r="M308" t="n">
        <v>0</v>
      </c>
      <c r="N308" t="n">
        <v>0</v>
      </c>
      <c r="O308" t="n">
        <v>0</v>
      </c>
      <c r="P308" t="n">
        <v>0</v>
      </c>
      <c r="Q308" t="n">
        <v>0</v>
      </c>
      <c r="R308" s="2" t="inlineStr"/>
    </row>
    <row r="309" ht="15" customHeight="1">
      <c r="A309" t="inlineStr">
        <is>
          <t>A 23110-2025</t>
        </is>
      </c>
      <c r="B309" s="1" t="n">
        <v>45791.36526620371</v>
      </c>
      <c r="C309" s="1" t="n">
        <v>46052</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5549-2025</t>
        </is>
      </c>
      <c r="B310" s="1" t="n">
        <v>45693</v>
      </c>
      <c r="C310" s="1" t="n">
        <v>46052</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5553-2025</t>
        </is>
      </c>
      <c r="B311" s="1" t="n">
        <v>45693</v>
      </c>
      <c r="C311" s="1" t="n">
        <v>46052</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60560-2022</t>
        </is>
      </c>
      <c r="B312" s="1" t="n">
        <v>44911.54984953703</v>
      </c>
      <c r="C312" s="1" t="n">
        <v>46052</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49592-2024</t>
        </is>
      </c>
      <c r="B313" s="1" t="n">
        <v>45596.55266203704</v>
      </c>
      <c r="C313" s="1" t="n">
        <v>46052</v>
      </c>
      <c r="D313" t="inlineStr">
        <is>
          <t>JÄMTLANDS LÄN</t>
        </is>
      </c>
      <c r="E313" t="inlineStr">
        <is>
          <t>ÖSTERSUND</t>
        </is>
      </c>
      <c r="F313" t="inlineStr">
        <is>
          <t>SCA</t>
        </is>
      </c>
      <c r="G313" t="n">
        <v>4.1</v>
      </c>
      <c r="H313" t="n">
        <v>0</v>
      </c>
      <c r="I313" t="n">
        <v>0</v>
      </c>
      <c r="J313" t="n">
        <v>0</v>
      </c>
      <c r="K313" t="n">
        <v>0</v>
      </c>
      <c r="L313" t="n">
        <v>0</v>
      </c>
      <c r="M313" t="n">
        <v>0</v>
      </c>
      <c r="N313" t="n">
        <v>0</v>
      </c>
      <c r="O313" t="n">
        <v>0</v>
      </c>
      <c r="P313" t="n">
        <v>0</v>
      </c>
      <c r="Q313" t="n">
        <v>0</v>
      </c>
      <c r="R313" s="2" t="inlineStr"/>
    </row>
    <row r="314" ht="15" customHeight="1">
      <c r="A314" t="inlineStr">
        <is>
          <t>A 22920-2025</t>
        </is>
      </c>
      <c r="B314" s="1" t="n">
        <v>45790.43905092592</v>
      </c>
      <c r="C314" s="1" t="n">
        <v>46052</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23078-2025</t>
        </is>
      </c>
      <c r="B315" s="1" t="n">
        <v>45791.27984953704</v>
      </c>
      <c r="C315" s="1" t="n">
        <v>46052</v>
      </c>
      <c r="D315" t="inlineStr">
        <is>
          <t>JÄMTLANDS LÄN</t>
        </is>
      </c>
      <c r="E315" t="inlineStr">
        <is>
          <t>ÖSTERSUND</t>
        </is>
      </c>
      <c r="G315" t="n">
        <v>2.8</v>
      </c>
      <c r="H315" t="n">
        <v>0</v>
      </c>
      <c r="I315" t="n">
        <v>0</v>
      </c>
      <c r="J315" t="n">
        <v>0</v>
      </c>
      <c r="K315" t="n">
        <v>0</v>
      </c>
      <c r="L315" t="n">
        <v>0</v>
      </c>
      <c r="M315" t="n">
        <v>0</v>
      </c>
      <c r="N315" t="n">
        <v>0</v>
      </c>
      <c r="O315" t="n">
        <v>0</v>
      </c>
      <c r="P315" t="n">
        <v>0</v>
      </c>
      <c r="Q315" t="n">
        <v>0</v>
      </c>
      <c r="R315" s="2" t="inlineStr"/>
    </row>
    <row r="316" ht="15" customHeight="1">
      <c r="A316" t="inlineStr">
        <is>
          <t>A 56847-2024</t>
        </is>
      </c>
      <c r="B316" s="1" t="n">
        <v>45628.53381944444</v>
      </c>
      <c r="C316" s="1" t="n">
        <v>46052</v>
      </c>
      <c r="D316" t="inlineStr">
        <is>
          <t>JÄMTLANDS LÄN</t>
        </is>
      </c>
      <c r="E316" t="inlineStr">
        <is>
          <t>ÖSTERSUND</t>
        </is>
      </c>
      <c r="G316" t="n">
        <v>1.4</v>
      </c>
      <c r="H316" t="n">
        <v>0</v>
      </c>
      <c r="I316" t="n">
        <v>0</v>
      </c>
      <c r="J316" t="n">
        <v>0</v>
      </c>
      <c r="K316" t="n">
        <v>0</v>
      </c>
      <c r="L316" t="n">
        <v>0</v>
      </c>
      <c r="M316" t="n">
        <v>0</v>
      </c>
      <c r="N316" t="n">
        <v>0</v>
      </c>
      <c r="O316" t="n">
        <v>0</v>
      </c>
      <c r="P316" t="n">
        <v>0</v>
      </c>
      <c r="Q316" t="n">
        <v>0</v>
      </c>
      <c r="R316" s="2" t="inlineStr"/>
    </row>
    <row r="317" ht="15" customHeight="1">
      <c r="A317" t="inlineStr">
        <is>
          <t>A 5140-2025</t>
        </is>
      </c>
      <c r="B317" s="1" t="n">
        <v>45691</v>
      </c>
      <c r="C317" s="1" t="n">
        <v>46052</v>
      </c>
      <c r="D317" t="inlineStr">
        <is>
          <t>JÄMTLANDS LÄN</t>
        </is>
      </c>
      <c r="E317" t="inlineStr">
        <is>
          <t>ÖSTERSUND</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19323-2024</t>
        </is>
      </c>
      <c r="B318" s="1" t="n">
        <v>45428.92486111111</v>
      </c>
      <c r="C318" s="1" t="n">
        <v>46052</v>
      </c>
      <c r="D318" t="inlineStr">
        <is>
          <t>JÄMTLANDS LÄN</t>
        </is>
      </c>
      <c r="E318" t="inlineStr">
        <is>
          <t>ÖSTERSUND</t>
        </is>
      </c>
      <c r="F318" t="inlineStr">
        <is>
          <t>Kommuner</t>
        </is>
      </c>
      <c r="G318" t="n">
        <v>0.2</v>
      </c>
      <c r="H318" t="n">
        <v>0</v>
      </c>
      <c r="I318" t="n">
        <v>0</v>
      </c>
      <c r="J318" t="n">
        <v>0</v>
      </c>
      <c r="K318" t="n">
        <v>0</v>
      </c>
      <c r="L318" t="n">
        <v>0</v>
      </c>
      <c r="M318" t="n">
        <v>0</v>
      </c>
      <c r="N318" t="n">
        <v>0</v>
      </c>
      <c r="O318" t="n">
        <v>0</v>
      </c>
      <c r="P318" t="n">
        <v>0</v>
      </c>
      <c r="Q318" t="n">
        <v>0</v>
      </c>
      <c r="R318" s="2" t="inlineStr"/>
    </row>
    <row r="319" ht="15" customHeight="1">
      <c r="A319" t="inlineStr">
        <is>
          <t>A 43511-2022</t>
        </is>
      </c>
      <c r="B319" s="1" t="n">
        <v>44837.36724537037</v>
      </c>
      <c r="C319" s="1" t="n">
        <v>46052</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60174-2022</t>
        </is>
      </c>
      <c r="B320" s="1" t="n">
        <v>44909.9640162037</v>
      </c>
      <c r="C320" s="1" t="n">
        <v>46052</v>
      </c>
      <c r="D320" t="inlineStr">
        <is>
          <t>JÄMTLANDS LÄN</t>
        </is>
      </c>
      <c r="E320" t="inlineStr">
        <is>
          <t>ÖSTERSUND</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7005-2025</t>
        </is>
      </c>
      <c r="B321" s="1" t="n">
        <v>45701.60046296296</v>
      </c>
      <c r="C321" s="1" t="n">
        <v>46052</v>
      </c>
      <c r="D321" t="inlineStr">
        <is>
          <t>JÄMTLANDS LÄN</t>
        </is>
      </c>
      <c r="E321" t="inlineStr">
        <is>
          <t>ÖSTERSUND</t>
        </is>
      </c>
      <c r="G321" t="n">
        <v>3.3</v>
      </c>
      <c r="H321" t="n">
        <v>0</v>
      </c>
      <c r="I321" t="n">
        <v>0</v>
      </c>
      <c r="J321" t="n">
        <v>0</v>
      </c>
      <c r="K321" t="n">
        <v>0</v>
      </c>
      <c r="L321" t="n">
        <v>0</v>
      </c>
      <c r="M321" t="n">
        <v>0</v>
      </c>
      <c r="N321" t="n">
        <v>0</v>
      </c>
      <c r="O321" t="n">
        <v>0</v>
      </c>
      <c r="P321" t="n">
        <v>0</v>
      </c>
      <c r="Q321" t="n">
        <v>0</v>
      </c>
      <c r="R321" s="2" t="inlineStr"/>
    </row>
    <row r="322" ht="15" customHeight="1">
      <c r="A322" t="inlineStr">
        <is>
          <t>A 43016-2024</t>
        </is>
      </c>
      <c r="B322" s="1" t="n">
        <v>45567.39192129629</v>
      </c>
      <c r="C322" s="1" t="n">
        <v>46052</v>
      </c>
      <c r="D322" t="inlineStr">
        <is>
          <t>JÄMTLANDS LÄN</t>
        </is>
      </c>
      <c r="E322" t="inlineStr">
        <is>
          <t>ÖSTERSUND</t>
        </is>
      </c>
      <c r="G322" t="n">
        <v>5.3</v>
      </c>
      <c r="H322" t="n">
        <v>0</v>
      </c>
      <c r="I322" t="n">
        <v>0</v>
      </c>
      <c r="J322" t="n">
        <v>0</v>
      </c>
      <c r="K322" t="n">
        <v>0</v>
      </c>
      <c r="L322" t="n">
        <v>0</v>
      </c>
      <c r="M322" t="n">
        <v>0</v>
      </c>
      <c r="N322" t="n">
        <v>0</v>
      </c>
      <c r="O322" t="n">
        <v>0</v>
      </c>
      <c r="P322" t="n">
        <v>0</v>
      </c>
      <c r="Q322" t="n">
        <v>0</v>
      </c>
      <c r="R322" s="2" t="inlineStr"/>
    </row>
    <row r="323" ht="15" customHeight="1">
      <c r="A323" t="inlineStr">
        <is>
          <t>A 23877-2025</t>
        </is>
      </c>
      <c r="B323" s="1" t="n">
        <v>45793.68469907407</v>
      </c>
      <c r="C323" s="1" t="n">
        <v>46052</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27294-2023</t>
        </is>
      </c>
      <c r="B324" s="1" t="n">
        <v>45092</v>
      </c>
      <c r="C324" s="1" t="n">
        <v>46052</v>
      </c>
      <c r="D324" t="inlineStr">
        <is>
          <t>JÄMTLANDS LÄN</t>
        </is>
      </c>
      <c r="E324" t="inlineStr">
        <is>
          <t>ÖSTERSUND</t>
        </is>
      </c>
      <c r="G324" t="n">
        <v>2.8</v>
      </c>
      <c r="H324" t="n">
        <v>0</v>
      </c>
      <c r="I324" t="n">
        <v>0</v>
      </c>
      <c r="J324" t="n">
        <v>0</v>
      </c>
      <c r="K324" t="n">
        <v>0</v>
      </c>
      <c r="L324" t="n">
        <v>0</v>
      </c>
      <c r="M324" t="n">
        <v>0</v>
      </c>
      <c r="N324" t="n">
        <v>0</v>
      </c>
      <c r="O324" t="n">
        <v>0</v>
      </c>
      <c r="P324" t="n">
        <v>0</v>
      </c>
      <c r="Q324" t="n">
        <v>0</v>
      </c>
      <c r="R324" s="2" t="inlineStr"/>
    </row>
    <row r="325" ht="15" customHeight="1">
      <c r="A325" t="inlineStr">
        <is>
          <t>A 51481-2023</t>
        </is>
      </c>
      <c r="B325" s="1" t="n">
        <v>45221.92440972223</v>
      </c>
      <c r="C325" s="1" t="n">
        <v>46052</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8389-2025</t>
        </is>
      </c>
      <c r="B326" s="1" t="n">
        <v>45709.36497685185</v>
      </c>
      <c r="C326" s="1" t="n">
        <v>46052</v>
      </c>
      <c r="D326" t="inlineStr">
        <is>
          <t>JÄMTLANDS LÄN</t>
        </is>
      </c>
      <c r="E326" t="inlineStr">
        <is>
          <t>ÖSTERSUND</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8675-2023</t>
        </is>
      </c>
      <c r="B327" s="1" t="n">
        <v>44977.98629629629</v>
      </c>
      <c r="C327" s="1" t="n">
        <v>46052</v>
      </c>
      <c r="D327" t="inlineStr">
        <is>
          <t>JÄMTLANDS LÄN</t>
        </is>
      </c>
      <c r="E327" t="inlineStr">
        <is>
          <t>ÖSTERSUND</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24403-2025</t>
        </is>
      </c>
      <c r="B328" s="1" t="n">
        <v>45797.65025462963</v>
      </c>
      <c r="C328" s="1" t="n">
        <v>46052</v>
      </c>
      <c r="D328" t="inlineStr">
        <is>
          <t>JÄMTLANDS LÄN</t>
        </is>
      </c>
      <c r="E328" t="inlineStr">
        <is>
          <t>ÖSTERSUND</t>
        </is>
      </c>
      <c r="G328" t="n">
        <v>1.3</v>
      </c>
      <c r="H328" t="n">
        <v>0</v>
      </c>
      <c r="I328" t="n">
        <v>0</v>
      </c>
      <c r="J328" t="n">
        <v>0</v>
      </c>
      <c r="K328" t="n">
        <v>0</v>
      </c>
      <c r="L328" t="n">
        <v>0</v>
      </c>
      <c r="M328" t="n">
        <v>0</v>
      </c>
      <c r="N328" t="n">
        <v>0</v>
      </c>
      <c r="O328" t="n">
        <v>0</v>
      </c>
      <c r="P328" t="n">
        <v>0</v>
      </c>
      <c r="Q328" t="n">
        <v>0</v>
      </c>
      <c r="R328" s="2" t="inlineStr"/>
    </row>
    <row r="329" ht="15" customHeight="1">
      <c r="A329" t="inlineStr">
        <is>
          <t>A 6048-2024</t>
        </is>
      </c>
      <c r="B329" s="1" t="n">
        <v>45336</v>
      </c>
      <c r="C329" s="1" t="n">
        <v>46052</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2747-2025</t>
        </is>
      </c>
      <c r="B330" s="1" t="n">
        <v>45677.4649537037</v>
      </c>
      <c r="C330" s="1" t="n">
        <v>46052</v>
      </c>
      <c r="D330" t="inlineStr">
        <is>
          <t>JÄMTLANDS LÄN</t>
        </is>
      </c>
      <c r="E330" t="inlineStr">
        <is>
          <t>ÖSTERSUND</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41780-2024</t>
        </is>
      </c>
      <c r="B331" s="1" t="n">
        <v>45561.34908564815</v>
      </c>
      <c r="C331" s="1" t="n">
        <v>46052</v>
      </c>
      <c r="D331" t="inlineStr">
        <is>
          <t>JÄMTLANDS LÄN</t>
        </is>
      </c>
      <c r="E331" t="inlineStr">
        <is>
          <t>ÖSTERSUND</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24568-2025</t>
        </is>
      </c>
      <c r="B332" s="1" t="n">
        <v>45798.46913194445</v>
      </c>
      <c r="C332" s="1" t="n">
        <v>46052</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17570-2025</t>
        </is>
      </c>
      <c r="B333" s="1" t="n">
        <v>45757.64563657407</v>
      </c>
      <c r="C333" s="1" t="n">
        <v>46052</v>
      </c>
      <c r="D333" t="inlineStr">
        <is>
          <t>JÄMTLANDS LÄN</t>
        </is>
      </c>
      <c r="E333" t="inlineStr">
        <is>
          <t>ÖSTERSUND</t>
        </is>
      </c>
      <c r="G333" t="n">
        <v>2.4</v>
      </c>
      <c r="H333" t="n">
        <v>0</v>
      </c>
      <c r="I333" t="n">
        <v>0</v>
      </c>
      <c r="J333" t="n">
        <v>0</v>
      </c>
      <c r="K333" t="n">
        <v>0</v>
      </c>
      <c r="L333" t="n">
        <v>0</v>
      </c>
      <c r="M333" t="n">
        <v>0</v>
      </c>
      <c r="N333" t="n">
        <v>0</v>
      </c>
      <c r="O333" t="n">
        <v>0</v>
      </c>
      <c r="P333" t="n">
        <v>0</v>
      </c>
      <c r="Q333" t="n">
        <v>0</v>
      </c>
      <c r="R333" s="2" t="inlineStr"/>
    </row>
    <row r="334" ht="15" customHeight="1">
      <c r="A334" t="inlineStr">
        <is>
          <t>A 24523-2025</t>
        </is>
      </c>
      <c r="B334" s="1" t="n">
        <v>45798.42108796296</v>
      </c>
      <c r="C334" s="1" t="n">
        <v>46052</v>
      </c>
      <c r="D334" t="inlineStr">
        <is>
          <t>JÄMTLANDS LÄN</t>
        </is>
      </c>
      <c r="E334" t="inlineStr">
        <is>
          <t>ÖSTERSUND</t>
        </is>
      </c>
      <c r="G334" t="n">
        <v>13.7</v>
      </c>
      <c r="H334" t="n">
        <v>0</v>
      </c>
      <c r="I334" t="n">
        <v>0</v>
      </c>
      <c r="J334" t="n">
        <v>0</v>
      </c>
      <c r="K334" t="n">
        <v>0</v>
      </c>
      <c r="L334" t="n">
        <v>0</v>
      </c>
      <c r="M334" t="n">
        <v>0</v>
      </c>
      <c r="N334" t="n">
        <v>0</v>
      </c>
      <c r="O334" t="n">
        <v>0</v>
      </c>
      <c r="P334" t="n">
        <v>0</v>
      </c>
      <c r="Q334" t="n">
        <v>0</v>
      </c>
      <c r="R334" s="2" t="inlineStr"/>
    </row>
    <row r="335" ht="15" customHeight="1">
      <c r="A335" t="inlineStr">
        <is>
          <t>A 25058-2025</t>
        </is>
      </c>
      <c r="B335" s="1" t="n">
        <v>45799.68418981481</v>
      </c>
      <c r="C335" s="1" t="n">
        <v>46052</v>
      </c>
      <c r="D335" t="inlineStr">
        <is>
          <t>JÄMTLANDS LÄN</t>
        </is>
      </c>
      <c r="E335" t="inlineStr">
        <is>
          <t>ÖSTERSUND</t>
        </is>
      </c>
      <c r="G335" t="n">
        <v>0.8</v>
      </c>
      <c r="H335" t="n">
        <v>0</v>
      </c>
      <c r="I335" t="n">
        <v>0</v>
      </c>
      <c r="J335" t="n">
        <v>0</v>
      </c>
      <c r="K335" t="n">
        <v>0</v>
      </c>
      <c r="L335" t="n">
        <v>0</v>
      </c>
      <c r="M335" t="n">
        <v>0</v>
      </c>
      <c r="N335" t="n">
        <v>0</v>
      </c>
      <c r="O335" t="n">
        <v>0</v>
      </c>
      <c r="P335" t="n">
        <v>0</v>
      </c>
      <c r="Q335" t="n">
        <v>0</v>
      </c>
      <c r="R335" s="2" t="inlineStr"/>
    </row>
    <row r="336" ht="15" customHeight="1">
      <c r="A336" t="inlineStr">
        <is>
          <t>A 41280-2024</t>
        </is>
      </c>
      <c r="B336" s="1" t="n">
        <v>45559.59476851852</v>
      </c>
      <c r="C336" s="1" t="n">
        <v>46052</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53176-2024</t>
        </is>
      </c>
      <c r="B337" s="1" t="n">
        <v>45611.66655092593</v>
      </c>
      <c r="C337" s="1" t="n">
        <v>46052</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25069-2025</t>
        </is>
      </c>
      <c r="B338" s="1" t="n">
        <v>45799.7372337963</v>
      </c>
      <c r="C338" s="1" t="n">
        <v>46052</v>
      </c>
      <c r="D338" t="inlineStr">
        <is>
          <t>JÄMTLANDS LÄN</t>
        </is>
      </c>
      <c r="E338" t="inlineStr">
        <is>
          <t>ÖSTERSUND</t>
        </is>
      </c>
      <c r="G338" t="n">
        <v>3.5</v>
      </c>
      <c r="H338" t="n">
        <v>0</v>
      </c>
      <c r="I338" t="n">
        <v>0</v>
      </c>
      <c r="J338" t="n">
        <v>0</v>
      </c>
      <c r="K338" t="n">
        <v>0</v>
      </c>
      <c r="L338" t="n">
        <v>0</v>
      </c>
      <c r="M338" t="n">
        <v>0</v>
      </c>
      <c r="N338" t="n">
        <v>0</v>
      </c>
      <c r="O338" t="n">
        <v>0</v>
      </c>
      <c r="P338" t="n">
        <v>0</v>
      </c>
      <c r="Q338" t="n">
        <v>0</v>
      </c>
      <c r="R338" s="2" t="inlineStr"/>
    </row>
    <row r="339" ht="15" customHeight="1">
      <c r="A339" t="inlineStr">
        <is>
          <t>A 24946-2025</t>
        </is>
      </c>
      <c r="B339" s="1" t="n">
        <v>45799.56515046296</v>
      </c>
      <c r="C339" s="1" t="n">
        <v>46052</v>
      </c>
      <c r="D339" t="inlineStr">
        <is>
          <t>JÄMTLANDS LÄN</t>
        </is>
      </c>
      <c r="E339" t="inlineStr">
        <is>
          <t>ÖSTERSUND</t>
        </is>
      </c>
      <c r="G339" t="n">
        <v>4.8</v>
      </c>
      <c r="H339" t="n">
        <v>0</v>
      </c>
      <c r="I339" t="n">
        <v>0</v>
      </c>
      <c r="J339" t="n">
        <v>0</v>
      </c>
      <c r="K339" t="n">
        <v>0</v>
      </c>
      <c r="L339" t="n">
        <v>0</v>
      </c>
      <c r="M339" t="n">
        <v>0</v>
      </c>
      <c r="N339" t="n">
        <v>0</v>
      </c>
      <c r="O339" t="n">
        <v>0</v>
      </c>
      <c r="P339" t="n">
        <v>0</v>
      </c>
      <c r="Q339" t="n">
        <v>0</v>
      </c>
      <c r="R339" s="2" t="inlineStr"/>
    </row>
    <row r="340" ht="15" customHeight="1">
      <c r="A340" t="inlineStr">
        <is>
          <t>A 25059-2025</t>
        </is>
      </c>
      <c r="B340" s="1" t="n">
        <v>45799.69116898148</v>
      </c>
      <c r="C340" s="1" t="n">
        <v>46052</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12429-2025</t>
        </is>
      </c>
      <c r="B341" s="1" t="n">
        <v>45730.45930555555</v>
      </c>
      <c r="C341" s="1" t="n">
        <v>46052</v>
      </c>
      <c r="D341" t="inlineStr">
        <is>
          <t>JÄMTLANDS LÄN</t>
        </is>
      </c>
      <c r="E341" t="inlineStr">
        <is>
          <t>ÖSTERSUND</t>
        </is>
      </c>
      <c r="F341" t="inlineStr">
        <is>
          <t>Övriga Aktiebolag</t>
        </is>
      </c>
      <c r="G341" t="n">
        <v>4.4</v>
      </c>
      <c r="H341" t="n">
        <v>0</v>
      </c>
      <c r="I341" t="n">
        <v>0</v>
      </c>
      <c r="J341" t="n">
        <v>0</v>
      </c>
      <c r="K341" t="n">
        <v>0</v>
      </c>
      <c r="L341" t="n">
        <v>0</v>
      </c>
      <c r="M341" t="n">
        <v>0</v>
      </c>
      <c r="N341" t="n">
        <v>0</v>
      </c>
      <c r="O341" t="n">
        <v>0</v>
      </c>
      <c r="P341" t="n">
        <v>0</v>
      </c>
      <c r="Q341" t="n">
        <v>0</v>
      </c>
      <c r="R341" s="2" t="inlineStr"/>
    </row>
    <row r="342" ht="15" customHeight="1">
      <c r="A342" t="inlineStr">
        <is>
          <t>A 22082-2022</t>
        </is>
      </c>
      <c r="B342" s="1" t="n">
        <v>44711.9403587963</v>
      </c>
      <c r="C342" s="1" t="n">
        <v>46052</v>
      </c>
      <c r="D342" t="inlineStr">
        <is>
          <t>JÄMTLANDS LÄN</t>
        </is>
      </c>
      <c r="E342" t="inlineStr">
        <is>
          <t>ÖSTERSUND</t>
        </is>
      </c>
      <c r="G342" t="n">
        <v>2.6</v>
      </c>
      <c r="H342" t="n">
        <v>0</v>
      </c>
      <c r="I342" t="n">
        <v>0</v>
      </c>
      <c r="J342" t="n">
        <v>0</v>
      </c>
      <c r="K342" t="n">
        <v>0</v>
      </c>
      <c r="L342" t="n">
        <v>0</v>
      </c>
      <c r="M342" t="n">
        <v>0</v>
      </c>
      <c r="N342" t="n">
        <v>0</v>
      </c>
      <c r="O342" t="n">
        <v>0</v>
      </c>
      <c r="P342" t="n">
        <v>0</v>
      </c>
      <c r="Q342" t="n">
        <v>0</v>
      </c>
      <c r="R342" s="2" t="inlineStr"/>
    </row>
    <row r="343" ht="15" customHeight="1">
      <c r="A343" t="inlineStr">
        <is>
          <t>A 38142-2021</t>
        </is>
      </c>
      <c r="B343" s="1" t="n">
        <v>44405</v>
      </c>
      <c r="C343" s="1" t="n">
        <v>46052</v>
      </c>
      <c r="D343" t="inlineStr">
        <is>
          <t>JÄMTLANDS LÄN</t>
        </is>
      </c>
      <c r="E343" t="inlineStr">
        <is>
          <t>ÖSTERSUND</t>
        </is>
      </c>
      <c r="G343" t="n">
        <v>1.7</v>
      </c>
      <c r="H343" t="n">
        <v>0</v>
      </c>
      <c r="I343" t="n">
        <v>0</v>
      </c>
      <c r="J343" t="n">
        <v>0</v>
      </c>
      <c r="K343" t="n">
        <v>0</v>
      </c>
      <c r="L343" t="n">
        <v>0</v>
      </c>
      <c r="M343" t="n">
        <v>0</v>
      </c>
      <c r="N343" t="n">
        <v>0</v>
      </c>
      <c r="O343" t="n">
        <v>0</v>
      </c>
      <c r="P343" t="n">
        <v>0</v>
      </c>
      <c r="Q343" t="n">
        <v>0</v>
      </c>
      <c r="R343" s="2" t="inlineStr"/>
    </row>
    <row r="344" ht="15" customHeight="1">
      <c r="A344" t="inlineStr">
        <is>
          <t>A 25572-2025</t>
        </is>
      </c>
      <c r="B344" s="1" t="n">
        <v>45803</v>
      </c>
      <c r="C344" s="1" t="n">
        <v>46052</v>
      </c>
      <c r="D344" t="inlineStr">
        <is>
          <t>JÄMTLANDS LÄN</t>
        </is>
      </c>
      <c r="E344" t="inlineStr">
        <is>
          <t>ÖSTERSUND</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61256-2022</t>
        </is>
      </c>
      <c r="B345" s="1" t="n">
        <v>44909</v>
      </c>
      <c r="C345" s="1" t="n">
        <v>46052</v>
      </c>
      <c r="D345" t="inlineStr">
        <is>
          <t>JÄMTLANDS LÄN</t>
        </is>
      </c>
      <c r="E345" t="inlineStr">
        <is>
          <t>ÖSTERSUND</t>
        </is>
      </c>
      <c r="G345" t="n">
        <v>3.9</v>
      </c>
      <c r="H345" t="n">
        <v>0</v>
      </c>
      <c r="I345" t="n">
        <v>0</v>
      </c>
      <c r="J345" t="n">
        <v>0</v>
      </c>
      <c r="K345" t="n">
        <v>0</v>
      </c>
      <c r="L345" t="n">
        <v>0</v>
      </c>
      <c r="M345" t="n">
        <v>0</v>
      </c>
      <c r="N345" t="n">
        <v>0</v>
      </c>
      <c r="O345" t="n">
        <v>0</v>
      </c>
      <c r="P345" t="n">
        <v>0</v>
      </c>
      <c r="Q345" t="n">
        <v>0</v>
      </c>
      <c r="R345" s="2" t="inlineStr"/>
    </row>
    <row r="346" ht="15" customHeight="1">
      <c r="A346" t="inlineStr">
        <is>
          <t>A 19581-2025</t>
        </is>
      </c>
      <c r="B346" s="1" t="n">
        <v>45770.56363425926</v>
      </c>
      <c r="C346" s="1" t="n">
        <v>46052</v>
      </c>
      <c r="D346" t="inlineStr">
        <is>
          <t>JÄMTLANDS LÄN</t>
        </is>
      </c>
      <c r="E346" t="inlineStr">
        <is>
          <t>ÖSTERSUND</t>
        </is>
      </c>
      <c r="G346" t="n">
        <v>17.2</v>
      </c>
      <c r="H346" t="n">
        <v>0</v>
      </c>
      <c r="I346" t="n">
        <v>0</v>
      </c>
      <c r="J346" t="n">
        <v>0</v>
      </c>
      <c r="K346" t="n">
        <v>0</v>
      </c>
      <c r="L346" t="n">
        <v>0</v>
      </c>
      <c r="M346" t="n">
        <v>0</v>
      </c>
      <c r="N346" t="n">
        <v>0</v>
      </c>
      <c r="O346" t="n">
        <v>0</v>
      </c>
      <c r="P346" t="n">
        <v>0</v>
      </c>
      <c r="Q346" t="n">
        <v>0</v>
      </c>
      <c r="R346" s="2" t="inlineStr"/>
    </row>
    <row r="347" ht="15" customHeight="1">
      <c r="A347" t="inlineStr">
        <is>
          <t>A 25252-2025</t>
        </is>
      </c>
      <c r="B347" s="1" t="n">
        <v>45800.50355324074</v>
      </c>
      <c r="C347" s="1" t="n">
        <v>46052</v>
      </c>
      <c r="D347" t="inlineStr">
        <is>
          <t>JÄMTLANDS LÄN</t>
        </is>
      </c>
      <c r="E347" t="inlineStr">
        <is>
          <t>ÖSTERSUND</t>
        </is>
      </c>
      <c r="G347" t="n">
        <v>2.7</v>
      </c>
      <c r="H347" t="n">
        <v>0</v>
      </c>
      <c r="I347" t="n">
        <v>0</v>
      </c>
      <c r="J347" t="n">
        <v>0</v>
      </c>
      <c r="K347" t="n">
        <v>0</v>
      </c>
      <c r="L347" t="n">
        <v>0</v>
      </c>
      <c r="M347" t="n">
        <v>0</v>
      </c>
      <c r="N347" t="n">
        <v>0</v>
      </c>
      <c r="O347" t="n">
        <v>0</v>
      </c>
      <c r="P347" t="n">
        <v>0</v>
      </c>
      <c r="Q347" t="n">
        <v>0</v>
      </c>
      <c r="R347" s="2" t="inlineStr"/>
    </row>
    <row r="348" ht="15" customHeight="1">
      <c r="A348" t="inlineStr">
        <is>
          <t>A 38871-2025</t>
        </is>
      </c>
      <c r="B348" s="1" t="n">
        <v>45887.57407407407</v>
      </c>
      <c r="C348" s="1" t="n">
        <v>46052</v>
      </c>
      <c r="D348" t="inlineStr">
        <is>
          <t>JÄMTLANDS LÄN</t>
        </is>
      </c>
      <c r="E348" t="inlineStr">
        <is>
          <t>ÖSTERSUND</t>
        </is>
      </c>
      <c r="G348" t="n">
        <v>3</v>
      </c>
      <c r="H348" t="n">
        <v>0</v>
      </c>
      <c r="I348" t="n">
        <v>0</v>
      </c>
      <c r="J348" t="n">
        <v>0</v>
      </c>
      <c r="K348" t="n">
        <v>0</v>
      </c>
      <c r="L348" t="n">
        <v>0</v>
      </c>
      <c r="M348" t="n">
        <v>0</v>
      </c>
      <c r="N348" t="n">
        <v>0</v>
      </c>
      <c r="O348" t="n">
        <v>0</v>
      </c>
      <c r="P348" t="n">
        <v>0</v>
      </c>
      <c r="Q348" t="n">
        <v>0</v>
      </c>
      <c r="R348" s="2" t="inlineStr"/>
    </row>
    <row r="349" ht="15" customHeight="1">
      <c r="A349" t="inlineStr">
        <is>
          <t>A 24312-2021</t>
        </is>
      </c>
      <c r="B349" s="1" t="n">
        <v>44336</v>
      </c>
      <c r="C349" s="1" t="n">
        <v>46052</v>
      </c>
      <c r="D349" t="inlineStr">
        <is>
          <t>JÄMTLANDS LÄN</t>
        </is>
      </c>
      <c r="E349" t="inlineStr">
        <is>
          <t>ÖSTERSUND</t>
        </is>
      </c>
      <c r="G349" t="n">
        <v>10.6</v>
      </c>
      <c r="H349" t="n">
        <v>0</v>
      </c>
      <c r="I349" t="n">
        <v>0</v>
      </c>
      <c r="J349" t="n">
        <v>0</v>
      </c>
      <c r="K349" t="n">
        <v>0</v>
      </c>
      <c r="L349" t="n">
        <v>0</v>
      </c>
      <c r="M349" t="n">
        <v>0</v>
      </c>
      <c r="N349" t="n">
        <v>0</v>
      </c>
      <c r="O349" t="n">
        <v>0</v>
      </c>
      <c r="P349" t="n">
        <v>0</v>
      </c>
      <c r="Q349" t="n">
        <v>0</v>
      </c>
      <c r="R349" s="2" t="inlineStr"/>
    </row>
    <row r="350" ht="15" customHeight="1">
      <c r="A350" t="inlineStr">
        <is>
          <t>A 25210-2025</t>
        </is>
      </c>
      <c r="B350" s="1" t="n">
        <v>45800.46960648148</v>
      </c>
      <c r="C350" s="1" t="n">
        <v>46052</v>
      </c>
      <c r="D350" t="inlineStr">
        <is>
          <t>JÄMTLANDS LÄN</t>
        </is>
      </c>
      <c r="E350" t="inlineStr">
        <is>
          <t>ÖSTERSUND</t>
        </is>
      </c>
      <c r="G350" t="n">
        <v>3.5</v>
      </c>
      <c r="H350" t="n">
        <v>0</v>
      </c>
      <c r="I350" t="n">
        <v>0</v>
      </c>
      <c r="J350" t="n">
        <v>0</v>
      </c>
      <c r="K350" t="n">
        <v>0</v>
      </c>
      <c r="L350" t="n">
        <v>0</v>
      </c>
      <c r="M350" t="n">
        <v>0</v>
      </c>
      <c r="N350" t="n">
        <v>0</v>
      </c>
      <c r="O350" t="n">
        <v>0</v>
      </c>
      <c r="P350" t="n">
        <v>0</v>
      </c>
      <c r="Q350" t="n">
        <v>0</v>
      </c>
      <c r="R350" s="2" t="inlineStr"/>
    </row>
    <row r="351" ht="15" customHeight="1">
      <c r="A351" t="inlineStr">
        <is>
          <t>A 38926-2024</t>
        </is>
      </c>
      <c r="B351" s="1" t="n">
        <v>45547.90777777778</v>
      </c>
      <c r="C351" s="1" t="n">
        <v>46052</v>
      </c>
      <c r="D351" t="inlineStr">
        <is>
          <t>JÄMTLANDS LÄN</t>
        </is>
      </c>
      <c r="E351" t="inlineStr">
        <is>
          <t>ÖSTERSUND</t>
        </is>
      </c>
      <c r="G351" t="n">
        <v>0.4</v>
      </c>
      <c r="H351" t="n">
        <v>0</v>
      </c>
      <c r="I351" t="n">
        <v>0</v>
      </c>
      <c r="J351" t="n">
        <v>0</v>
      </c>
      <c r="K351" t="n">
        <v>0</v>
      </c>
      <c r="L351" t="n">
        <v>0</v>
      </c>
      <c r="M351" t="n">
        <v>0</v>
      </c>
      <c r="N351" t="n">
        <v>0</v>
      </c>
      <c r="O351" t="n">
        <v>0</v>
      </c>
      <c r="P351" t="n">
        <v>0</v>
      </c>
      <c r="Q351" t="n">
        <v>0</v>
      </c>
      <c r="R351" s="2" t="inlineStr"/>
    </row>
    <row r="352" ht="15" customHeight="1">
      <c r="A352" t="inlineStr">
        <is>
          <t>A 55302-2021</t>
        </is>
      </c>
      <c r="B352" s="1" t="n">
        <v>44475</v>
      </c>
      <c r="C352" s="1" t="n">
        <v>46052</v>
      </c>
      <c r="D352" t="inlineStr">
        <is>
          <t>JÄMTLANDS LÄN</t>
        </is>
      </c>
      <c r="E352" t="inlineStr">
        <is>
          <t>ÖSTERSUND</t>
        </is>
      </c>
      <c r="G352" t="n">
        <v>0.3</v>
      </c>
      <c r="H352" t="n">
        <v>0</v>
      </c>
      <c r="I352" t="n">
        <v>0</v>
      </c>
      <c r="J352" t="n">
        <v>0</v>
      </c>
      <c r="K352" t="n">
        <v>0</v>
      </c>
      <c r="L352" t="n">
        <v>0</v>
      </c>
      <c r="M352" t="n">
        <v>0</v>
      </c>
      <c r="N352" t="n">
        <v>0</v>
      </c>
      <c r="O352" t="n">
        <v>0</v>
      </c>
      <c r="P352" t="n">
        <v>0</v>
      </c>
      <c r="Q352" t="n">
        <v>0</v>
      </c>
      <c r="R352" s="2" t="inlineStr"/>
    </row>
    <row r="353" ht="15" customHeight="1">
      <c r="A353" t="inlineStr">
        <is>
          <t>A 46139-2021</t>
        </is>
      </c>
      <c r="B353" s="1" t="n">
        <v>44441</v>
      </c>
      <c r="C353" s="1" t="n">
        <v>46052</v>
      </c>
      <c r="D353" t="inlineStr">
        <is>
          <t>JÄMTLANDS LÄN</t>
        </is>
      </c>
      <c r="E353" t="inlineStr">
        <is>
          <t>ÖSTERSUND</t>
        </is>
      </c>
      <c r="G353" t="n">
        <v>12.8</v>
      </c>
      <c r="H353" t="n">
        <v>0</v>
      </c>
      <c r="I353" t="n">
        <v>0</v>
      </c>
      <c r="J353" t="n">
        <v>0</v>
      </c>
      <c r="K353" t="n">
        <v>0</v>
      </c>
      <c r="L353" t="n">
        <v>0</v>
      </c>
      <c r="M353" t="n">
        <v>0</v>
      </c>
      <c r="N353" t="n">
        <v>0</v>
      </c>
      <c r="O353" t="n">
        <v>0</v>
      </c>
      <c r="P353" t="n">
        <v>0</v>
      </c>
      <c r="Q353" t="n">
        <v>0</v>
      </c>
      <c r="R353" s="2" t="inlineStr"/>
    </row>
    <row r="354" ht="15" customHeight="1">
      <c r="A354" t="inlineStr">
        <is>
          <t>A 26144-2025</t>
        </is>
      </c>
      <c r="B354" s="1" t="n">
        <v>45805.42827546296</v>
      </c>
      <c r="C354" s="1" t="n">
        <v>46052</v>
      </c>
      <c r="D354" t="inlineStr">
        <is>
          <t>JÄMTLANDS LÄN</t>
        </is>
      </c>
      <c r="E354" t="inlineStr">
        <is>
          <t>ÖSTERSUND</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61376-2024</t>
        </is>
      </c>
      <c r="B355" s="1" t="n">
        <v>45646.39434027778</v>
      </c>
      <c r="C355" s="1" t="n">
        <v>46052</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47357-2024</t>
        </is>
      </c>
      <c r="B356" s="1" t="n">
        <v>45587.42835648148</v>
      </c>
      <c r="C356" s="1" t="n">
        <v>46052</v>
      </c>
      <c r="D356" t="inlineStr">
        <is>
          <t>JÄMTLANDS LÄN</t>
        </is>
      </c>
      <c r="E356" t="inlineStr">
        <is>
          <t>ÖSTERSUND</t>
        </is>
      </c>
      <c r="G356" t="n">
        <v>2.4</v>
      </c>
      <c r="H356" t="n">
        <v>0</v>
      </c>
      <c r="I356" t="n">
        <v>0</v>
      </c>
      <c r="J356" t="n">
        <v>0</v>
      </c>
      <c r="K356" t="n">
        <v>0</v>
      </c>
      <c r="L356" t="n">
        <v>0</v>
      </c>
      <c r="M356" t="n">
        <v>0</v>
      </c>
      <c r="N356" t="n">
        <v>0</v>
      </c>
      <c r="O356" t="n">
        <v>0</v>
      </c>
      <c r="P356" t="n">
        <v>0</v>
      </c>
      <c r="Q356" t="n">
        <v>0</v>
      </c>
      <c r="R356" s="2" t="inlineStr"/>
    </row>
    <row r="357" ht="15" customHeight="1">
      <c r="A357" t="inlineStr">
        <is>
          <t>A 38853-2025</t>
        </is>
      </c>
      <c r="B357" s="1" t="n">
        <v>45887.55666666666</v>
      </c>
      <c r="C357" s="1" t="n">
        <v>46052</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69190-2021</t>
        </is>
      </c>
      <c r="B358" s="1" t="n">
        <v>44529</v>
      </c>
      <c r="C358" s="1" t="n">
        <v>46052</v>
      </c>
      <c r="D358" t="inlineStr">
        <is>
          <t>JÄMTLANDS LÄN</t>
        </is>
      </c>
      <c r="E358" t="inlineStr">
        <is>
          <t>ÖSTERSUND</t>
        </is>
      </c>
      <c r="G358" t="n">
        <v>4.2</v>
      </c>
      <c r="H358" t="n">
        <v>0</v>
      </c>
      <c r="I358" t="n">
        <v>0</v>
      </c>
      <c r="J358" t="n">
        <v>0</v>
      </c>
      <c r="K358" t="n">
        <v>0</v>
      </c>
      <c r="L358" t="n">
        <v>0</v>
      </c>
      <c r="M358" t="n">
        <v>0</v>
      </c>
      <c r="N358" t="n">
        <v>0</v>
      </c>
      <c r="O358" t="n">
        <v>0</v>
      </c>
      <c r="P358" t="n">
        <v>0</v>
      </c>
      <c r="Q358" t="n">
        <v>0</v>
      </c>
      <c r="R358" s="2" t="inlineStr"/>
    </row>
    <row r="359" ht="15" customHeight="1">
      <c r="A359" t="inlineStr">
        <is>
          <t>A 11182-2025</t>
        </is>
      </c>
      <c r="B359" s="1" t="n">
        <v>45725.44297453704</v>
      </c>
      <c r="C359" s="1" t="n">
        <v>46052</v>
      </c>
      <c r="D359" t="inlineStr">
        <is>
          <t>JÄMTLANDS LÄN</t>
        </is>
      </c>
      <c r="E359" t="inlineStr">
        <is>
          <t>ÖSTERSUND</t>
        </is>
      </c>
      <c r="G359" t="n">
        <v>3.3</v>
      </c>
      <c r="H359" t="n">
        <v>0</v>
      </c>
      <c r="I359" t="n">
        <v>0</v>
      </c>
      <c r="J359" t="n">
        <v>0</v>
      </c>
      <c r="K359" t="n">
        <v>0</v>
      </c>
      <c r="L359" t="n">
        <v>0</v>
      </c>
      <c r="M359" t="n">
        <v>0</v>
      </c>
      <c r="N359" t="n">
        <v>0</v>
      </c>
      <c r="O359" t="n">
        <v>0</v>
      </c>
      <c r="P359" t="n">
        <v>0</v>
      </c>
      <c r="Q359" t="n">
        <v>0</v>
      </c>
      <c r="R359" s="2" t="inlineStr"/>
    </row>
    <row r="360" ht="15" customHeight="1">
      <c r="A360" t="inlineStr">
        <is>
          <t>A 55064-2024</t>
        </is>
      </c>
      <c r="B360" s="1" t="n">
        <v>45621.41050925926</v>
      </c>
      <c r="C360" s="1" t="n">
        <v>46052</v>
      </c>
      <c r="D360" t="inlineStr">
        <is>
          <t>JÄMTLANDS LÄN</t>
        </is>
      </c>
      <c r="E360" t="inlineStr">
        <is>
          <t>ÖSTERSUND</t>
        </is>
      </c>
      <c r="G360" t="n">
        <v>0.8</v>
      </c>
      <c r="H360" t="n">
        <v>0</v>
      </c>
      <c r="I360" t="n">
        <v>0</v>
      </c>
      <c r="J360" t="n">
        <v>0</v>
      </c>
      <c r="K360" t="n">
        <v>0</v>
      </c>
      <c r="L360" t="n">
        <v>0</v>
      </c>
      <c r="M360" t="n">
        <v>0</v>
      </c>
      <c r="N360" t="n">
        <v>0</v>
      </c>
      <c r="O360" t="n">
        <v>0</v>
      </c>
      <c r="P360" t="n">
        <v>0</v>
      </c>
      <c r="Q360" t="n">
        <v>0</v>
      </c>
      <c r="R360" s="2" t="inlineStr"/>
    </row>
    <row r="361" ht="15" customHeight="1">
      <c r="A361" t="inlineStr">
        <is>
          <t>A 26492-2025</t>
        </is>
      </c>
      <c r="B361" s="1" t="n">
        <v>45807</v>
      </c>
      <c r="C361" s="1" t="n">
        <v>46052</v>
      </c>
      <c r="D361" t="inlineStr">
        <is>
          <t>JÄMTLANDS LÄN</t>
        </is>
      </c>
      <c r="E361" t="inlineStr">
        <is>
          <t>ÖSTERSUND</t>
        </is>
      </c>
      <c r="G361" t="n">
        <v>7</v>
      </c>
      <c r="H361" t="n">
        <v>0</v>
      </c>
      <c r="I361" t="n">
        <v>0</v>
      </c>
      <c r="J361" t="n">
        <v>0</v>
      </c>
      <c r="K361" t="n">
        <v>0</v>
      </c>
      <c r="L361" t="n">
        <v>0</v>
      </c>
      <c r="M361" t="n">
        <v>0</v>
      </c>
      <c r="N361" t="n">
        <v>0</v>
      </c>
      <c r="O361" t="n">
        <v>0</v>
      </c>
      <c r="P361" t="n">
        <v>0</v>
      </c>
      <c r="Q361" t="n">
        <v>0</v>
      </c>
      <c r="R361" s="2" t="inlineStr"/>
    </row>
    <row r="362" ht="15" customHeight="1">
      <c r="A362" t="inlineStr">
        <is>
          <t>A 26500-2025</t>
        </is>
      </c>
      <c r="B362" s="1" t="n">
        <v>45807</v>
      </c>
      <c r="C362" s="1" t="n">
        <v>46052</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5135-2025</t>
        </is>
      </c>
      <c r="B363" s="1" t="n">
        <v>45691</v>
      </c>
      <c r="C363" s="1" t="n">
        <v>46052</v>
      </c>
      <c r="D363" t="inlineStr">
        <is>
          <t>JÄMTLANDS LÄN</t>
        </is>
      </c>
      <c r="E363" t="inlineStr">
        <is>
          <t>ÖSTERSUND</t>
        </is>
      </c>
      <c r="F363" t="inlineStr">
        <is>
          <t>Övriga Aktiebolag</t>
        </is>
      </c>
      <c r="G363" t="n">
        <v>126.9</v>
      </c>
      <c r="H363" t="n">
        <v>0</v>
      </c>
      <c r="I363" t="n">
        <v>0</v>
      </c>
      <c r="J363" t="n">
        <v>0</v>
      </c>
      <c r="K363" t="n">
        <v>0</v>
      </c>
      <c r="L363" t="n">
        <v>0</v>
      </c>
      <c r="M363" t="n">
        <v>0</v>
      </c>
      <c r="N363" t="n">
        <v>0</v>
      </c>
      <c r="O363" t="n">
        <v>0</v>
      </c>
      <c r="P363" t="n">
        <v>0</v>
      </c>
      <c r="Q363" t="n">
        <v>0</v>
      </c>
      <c r="R363" s="2" t="inlineStr"/>
    </row>
    <row r="364" ht="15" customHeight="1">
      <c r="A364" t="inlineStr">
        <is>
          <t>A 3610-2024</t>
        </is>
      </c>
      <c r="B364" s="1" t="n">
        <v>45320.92060185185</v>
      </c>
      <c r="C364" s="1" t="n">
        <v>46052</v>
      </c>
      <c r="D364" t="inlineStr">
        <is>
          <t>JÄMTLANDS LÄN</t>
        </is>
      </c>
      <c r="E364" t="inlineStr">
        <is>
          <t>ÖSTERSUND</t>
        </is>
      </c>
      <c r="G364" t="n">
        <v>6.2</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46052</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27034-2025</t>
        </is>
      </c>
      <c r="B366" s="1" t="n">
        <v>45811.59258101852</v>
      </c>
      <c r="C366" s="1" t="n">
        <v>46052</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53378-2023</t>
        </is>
      </c>
      <c r="B367" s="1" t="n">
        <v>45223</v>
      </c>
      <c r="C367" s="1" t="n">
        <v>46052</v>
      </c>
      <c r="D367" t="inlineStr">
        <is>
          <t>JÄMTLANDS LÄN</t>
        </is>
      </c>
      <c r="E367" t="inlineStr">
        <is>
          <t>ÖSTERSUND</t>
        </is>
      </c>
      <c r="G367" t="n">
        <v>1.5</v>
      </c>
      <c r="H367" t="n">
        <v>0</v>
      </c>
      <c r="I367" t="n">
        <v>0</v>
      </c>
      <c r="J367" t="n">
        <v>0</v>
      </c>
      <c r="K367" t="n">
        <v>0</v>
      </c>
      <c r="L367" t="n">
        <v>0</v>
      </c>
      <c r="M367" t="n">
        <v>0</v>
      </c>
      <c r="N367" t="n">
        <v>0</v>
      </c>
      <c r="O367" t="n">
        <v>0</v>
      </c>
      <c r="P367" t="n">
        <v>0</v>
      </c>
      <c r="Q367" t="n">
        <v>0</v>
      </c>
      <c r="R367" s="2" t="inlineStr"/>
    </row>
    <row r="368" ht="15" customHeight="1">
      <c r="A368" t="inlineStr">
        <is>
          <t>A 4063-2025</t>
        </is>
      </c>
      <c r="B368" s="1" t="n">
        <v>45684</v>
      </c>
      <c r="C368" s="1" t="n">
        <v>46052</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26587-2025</t>
        </is>
      </c>
      <c r="B369" s="1" t="n">
        <v>45807.75076388889</v>
      </c>
      <c r="C369" s="1" t="n">
        <v>46052</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10064-2024</t>
        </is>
      </c>
      <c r="B370" s="1" t="n">
        <v>45364.3874074074</v>
      </c>
      <c r="C370" s="1" t="n">
        <v>46052</v>
      </c>
      <c r="D370" t="inlineStr">
        <is>
          <t>JÄMTLANDS LÄN</t>
        </is>
      </c>
      <c r="E370" t="inlineStr">
        <is>
          <t>ÖSTERSUND</t>
        </is>
      </c>
      <c r="G370" t="n">
        <v>13.9</v>
      </c>
      <c r="H370" t="n">
        <v>0</v>
      </c>
      <c r="I370" t="n">
        <v>0</v>
      </c>
      <c r="J370" t="n">
        <v>0</v>
      </c>
      <c r="K370" t="n">
        <v>0</v>
      </c>
      <c r="L370" t="n">
        <v>0</v>
      </c>
      <c r="M370" t="n">
        <v>0</v>
      </c>
      <c r="N370" t="n">
        <v>0</v>
      </c>
      <c r="O370" t="n">
        <v>0</v>
      </c>
      <c r="P370" t="n">
        <v>0</v>
      </c>
      <c r="Q370" t="n">
        <v>0</v>
      </c>
      <c r="R370" s="2" t="inlineStr"/>
    </row>
    <row r="371" ht="15" customHeight="1">
      <c r="A371" t="inlineStr">
        <is>
          <t>A 13651-2025</t>
        </is>
      </c>
      <c r="B371" s="1" t="n">
        <v>45736.71818287037</v>
      </c>
      <c r="C371" s="1" t="n">
        <v>46052</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39510-2024</t>
        </is>
      </c>
      <c r="B372" s="1" t="n">
        <v>45551.67761574074</v>
      </c>
      <c r="C372" s="1" t="n">
        <v>46052</v>
      </c>
      <c r="D372" t="inlineStr">
        <is>
          <t>JÄMTLANDS LÄN</t>
        </is>
      </c>
      <c r="E372" t="inlineStr">
        <is>
          <t>ÖSTERSUND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7224-2024</t>
        </is>
      </c>
      <c r="B373" s="1" t="n">
        <v>45344</v>
      </c>
      <c r="C373" s="1" t="n">
        <v>46052</v>
      </c>
      <c r="D373" t="inlineStr">
        <is>
          <t>JÄMTLANDS LÄN</t>
        </is>
      </c>
      <c r="E373" t="inlineStr">
        <is>
          <t>ÖSTERSUND</t>
        </is>
      </c>
      <c r="G373" t="n">
        <v>2.9</v>
      </c>
      <c r="H373" t="n">
        <v>0</v>
      </c>
      <c r="I373" t="n">
        <v>0</v>
      </c>
      <c r="J373" t="n">
        <v>0</v>
      </c>
      <c r="K373" t="n">
        <v>0</v>
      </c>
      <c r="L373" t="n">
        <v>0</v>
      </c>
      <c r="M373" t="n">
        <v>0</v>
      </c>
      <c r="N373" t="n">
        <v>0</v>
      </c>
      <c r="O373" t="n">
        <v>0</v>
      </c>
      <c r="P373" t="n">
        <v>0</v>
      </c>
      <c r="Q373" t="n">
        <v>0</v>
      </c>
      <c r="R373" s="2" t="inlineStr"/>
    </row>
    <row r="374" ht="15" customHeight="1">
      <c r="A374" t="inlineStr">
        <is>
          <t>A 27035-2025</t>
        </is>
      </c>
      <c r="B374" s="1" t="n">
        <v>45811.5928587963</v>
      </c>
      <c r="C374" s="1" t="n">
        <v>46052</v>
      </c>
      <c r="D374" t="inlineStr">
        <is>
          <t>JÄMTLANDS LÄN</t>
        </is>
      </c>
      <c r="E374" t="inlineStr">
        <is>
          <t>ÖSTERSUND</t>
        </is>
      </c>
      <c r="G374" t="n">
        <v>2.8</v>
      </c>
      <c r="H374" t="n">
        <v>0</v>
      </c>
      <c r="I374" t="n">
        <v>0</v>
      </c>
      <c r="J374" t="n">
        <v>0</v>
      </c>
      <c r="K374" t="n">
        <v>0</v>
      </c>
      <c r="L374" t="n">
        <v>0</v>
      </c>
      <c r="M374" t="n">
        <v>0</v>
      </c>
      <c r="N374" t="n">
        <v>0</v>
      </c>
      <c r="O374" t="n">
        <v>0</v>
      </c>
      <c r="P374" t="n">
        <v>0</v>
      </c>
      <c r="Q374" t="n">
        <v>0</v>
      </c>
      <c r="R374" s="2" t="inlineStr"/>
    </row>
    <row r="375" ht="15" customHeight="1">
      <c r="A375" t="inlineStr">
        <is>
          <t>A 10266-2025</t>
        </is>
      </c>
      <c r="B375" s="1" t="n">
        <v>45720.38576388889</v>
      </c>
      <c r="C375" s="1" t="n">
        <v>46052</v>
      </c>
      <c r="D375" t="inlineStr">
        <is>
          <t>JÄMTLANDS LÄN</t>
        </is>
      </c>
      <c r="E375" t="inlineStr">
        <is>
          <t>ÖSTERSUND</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27517-2025</t>
        </is>
      </c>
      <c r="B376" s="1" t="n">
        <v>45813.43966435185</v>
      </c>
      <c r="C376" s="1" t="n">
        <v>46052</v>
      </c>
      <c r="D376" t="inlineStr">
        <is>
          <t>JÄMTLANDS LÄN</t>
        </is>
      </c>
      <c r="E376" t="inlineStr">
        <is>
          <t>ÖSTERSUND</t>
        </is>
      </c>
      <c r="G376" t="n">
        <v>2.2</v>
      </c>
      <c r="H376" t="n">
        <v>0</v>
      </c>
      <c r="I376" t="n">
        <v>0</v>
      </c>
      <c r="J376" t="n">
        <v>0</v>
      </c>
      <c r="K376" t="n">
        <v>0</v>
      </c>
      <c r="L376" t="n">
        <v>0</v>
      </c>
      <c r="M376" t="n">
        <v>0</v>
      </c>
      <c r="N376" t="n">
        <v>0</v>
      </c>
      <c r="O376" t="n">
        <v>0</v>
      </c>
      <c r="P376" t="n">
        <v>0</v>
      </c>
      <c r="Q376" t="n">
        <v>0</v>
      </c>
      <c r="R376" s="2" t="inlineStr"/>
    </row>
    <row r="377" ht="15" customHeight="1">
      <c r="A377" t="inlineStr">
        <is>
          <t>A 56646-2024</t>
        </is>
      </c>
      <c r="B377" s="1" t="n">
        <v>45625</v>
      </c>
      <c r="C377" s="1" t="n">
        <v>46052</v>
      </c>
      <c r="D377" t="inlineStr">
        <is>
          <t>JÄMTLANDS LÄN</t>
        </is>
      </c>
      <c r="E377" t="inlineStr">
        <is>
          <t>ÖSTERSUND</t>
        </is>
      </c>
      <c r="G377" t="n">
        <v>18.9</v>
      </c>
      <c r="H377" t="n">
        <v>0</v>
      </c>
      <c r="I377" t="n">
        <v>0</v>
      </c>
      <c r="J377" t="n">
        <v>0</v>
      </c>
      <c r="K377" t="n">
        <v>0</v>
      </c>
      <c r="L377" t="n">
        <v>0</v>
      </c>
      <c r="M377" t="n">
        <v>0</v>
      </c>
      <c r="N377" t="n">
        <v>0</v>
      </c>
      <c r="O377" t="n">
        <v>0</v>
      </c>
      <c r="P377" t="n">
        <v>0</v>
      </c>
      <c r="Q377" t="n">
        <v>0</v>
      </c>
      <c r="R377" s="2" t="inlineStr"/>
    </row>
    <row r="378" ht="15" customHeight="1">
      <c r="A378" t="inlineStr">
        <is>
          <t>A 27343-2022</t>
        </is>
      </c>
      <c r="B378" s="1" t="n">
        <v>44742</v>
      </c>
      <c r="C378" s="1" t="n">
        <v>46052</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7956-2025</t>
        </is>
      </c>
      <c r="B379" s="1" t="n">
        <v>45707.42825231481</v>
      </c>
      <c r="C379" s="1" t="n">
        <v>46052</v>
      </c>
      <c r="D379" t="inlineStr">
        <is>
          <t>JÄMTLANDS LÄN</t>
        </is>
      </c>
      <c r="E379" t="inlineStr">
        <is>
          <t>ÖSTERSUND</t>
        </is>
      </c>
      <c r="F379" t="inlineStr">
        <is>
          <t>Övriga Aktiebolag</t>
        </is>
      </c>
      <c r="G379" t="n">
        <v>111.2</v>
      </c>
      <c r="H379" t="n">
        <v>0</v>
      </c>
      <c r="I379" t="n">
        <v>0</v>
      </c>
      <c r="J379" t="n">
        <v>0</v>
      </c>
      <c r="K379" t="n">
        <v>0</v>
      </c>
      <c r="L379" t="n">
        <v>0</v>
      </c>
      <c r="M379" t="n">
        <v>0</v>
      </c>
      <c r="N379" t="n">
        <v>0</v>
      </c>
      <c r="O379" t="n">
        <v>0</v>
      </c>
      <c r="P379" t="n">
        <v>0</v>
      </c>
      <c r="Q379" t="n">
        <v>0</v>
      </c>
      <c r="R379" s="2" t="inlineStr"/>
    </row>
    <row r="380" ht="15" customHeight="1">
      <c r="A380" t="inlineStr">
        <is>
          <t>A 28025-2025</t>
        </is>
      </c>
      <c r="B380" s="1" t="n">
        <v>45817</v>
      </c>
      <c r="C380" s="1" t="n">
        <v>46052</v>
      </c>
      <c r="D380" t="inlineStr">
        <is>
          <t>JÄMTLANDS LÄN</t>
        </is>
      </c>
      <c r="E380" t="inlineStr">
        <is>
          <t>ÖSTERSUND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7022-2025</t>
        </is>
      </c>
      <c r="B381" s="1" t="n">
        <v>45701.61899305556</v>
      </c>
      <c r="C381" s="1" t="n">
        <v>46052</v>
      </c>
      <c r="D381" t="inlineStr">
        <is>
          <t>JÄMTLANDS LÄN</t>
        </is>
      </c>
      <c r="E381" t="inlineStr">
        <is>
          <t>ÖSTERSUND</t>
        </is>
      </c>
      <c r="G381" t="n">
        <v>4.8</v>
      </c>
      <c r="H381" t="n">
        <v>0</v>
      </c>
      <c r="I381" t="n">
        <v>0</v>
      </c>
      <c r="J381" t="n">
        <v>0</v>
      </c>
      <c r="K381" t="n">
        <v>0</v>
      </c>
      <c r="L381" t="n">
        <v>0</v>
      </c>
      <c r="M381" t="n">
        <v>0</v>
      </c>
      <c r="N381" t="n">
        <v>0</v>
      </c>
      <c r="O381" t="n">
        <v>0</v>
      </c>
      <c r="P381" t="n">
        <v>0</v>
      </c>
      <c r="Q381" t="n">
        <v>0</v>
      </c>
      <c r="R381" s="2" t="inlineStr"/>
    </row>
    <row r="382" ht="15" customHeight="1">
      <c r="A382" t="inlineStr">
        <is>
          <t>A 62222-2022</t>
        </is>
      </c>
      <c r="B382" s="1" t="n">
        <v>44922</v>
      </c>
      <c r="C382" s="1" t="n">
        <v>46052</v>
      </c>
      <c r="D382" t="inlineStr">
        <is>
          <t>JÄMTLANDS LÄN</t>
        </is>
      </c>
      <c r="E382" t="inlineStr">
        <is>
          <t>ÖSTERSUND</t>
        </is>
      </c>
      <c r="G382" t="n">
        <v>4.1</v>
      </c>
      <c r="H382" t="n">
        <v>0</v>
      </c>
      <c r="I382" t="n">
        <v>0</v>
      </c>
      <c r="J382" t="n">
        <v>0</v>
      </c>
      <c r="K382" t="n">
        <v>0</v>
      </c>
      <c r="L382" t="n">
        <v>0</v>
      </c>
      <c r="M382" t="n">
        <v>0</v>
      </c>
      <c r="N382" t="n">
        <v>0</v>
      </c>
      <c r="O382" t="n">
        <v>0</v>
      </c>
      <c r="P382" t="n">
        <v>0</v>
      </c>
      <c r="Q382" t="n">
        <v>0</v>
      </c>
      <c r="R382" s="2" t="inlineStr"/>
    </row>
    <row r="383" ht="15" customHeight="1">
      <c r="A383" t="inlineStr">
        <is>
          <t>A 28595-2025</t>
        </is>
      </c>
      <c r="B383" s="1" t="n">
        <v>45819.59429398148</v>
      </c>
      <c r="C383" s="1" t="n">
        <v>46052</v>
      </c>
      <c r="D383" t="inlineStr">
        <is>
          <t>JÄMTLANDS LÄN</t>
        </is>
      </c>
      <c r="E383" t="inlineStr">
        <is>
          <t>ÖSTERSUND</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47804-2024</t>
        </is>
      </c>
      <c r="B384" s="1" t="n">
        <v>45588.61498842593</v>
      </c>
      <c r="C384" s="1" t="n">
        <v>46052</v>
      </c>
      <c r="D384" t="inlineStr">
        <is>
          <t>JÄMTLANDS LÄN</t>
        </is>
      </c>
      <c r="E384" t="inlineStr">
        <is>
          <t>ÖSTERSUND</t>
        </is>
      </c>
      <c r="F384" t="inlineStr">
        <is>
          <t>SCA</t>
        </is>
      </c>
      <c r="G384" t="n">
        <v>7.3</v>
      </c>
      <c r="H384" t="n">
        <v>0</v>
      </c>
      <c r="I384" t="n">
        <v>0</v>
      </c>
      <c r="J384" t="n">
        <v>0</v>
      </c>
      <c r="K384" t="n">
        <v>0</v>
      </c>
      <c r="L384" t="n">
        <v>0</v>
      </c>
      <c r="M384" t="n">
        <v>0</v>
      </c>
      <c r="N384" t="n">
        <v>0</v>
      </c>
      <c r="O384" t="n">
        <v>0</v>
      </c>
      <c r="P384" t="n">
        <v>0</v>
      </c>
      <c r="Q384" t="n">
        <v>0</v>
      </c>
      <c r="R384" s="2" t="inlineStr"/>
    </row>
    <row r="385" ht="15" customHeight="1">
      <c r="A385" t="inlineStr">
        <is>
          <t>A 50218-2024</t>
        </is>
      </c>
      <c r="B385" s="1" t="n">
        <v>45600.53160879629</v>
      </c>
      <c r="C385" s="1" t="n">
        <v>46052</v>
      </c>
      <c r="D385" t="inlineStr">
        <is>
          <t>JÄMTLANDS LÄN</t>
        </is>
      </c>
      <c r="E385" t="inlineStr">
        <is>
          <t>ÖSTERSUND</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28185-2025</t>
        </is>
      </c>
      <c r="B386" s="1" t="n">
        <v>45818.40337962963</v>
      </c>
      <c r="C386" s="1" t="n">
        <v>46052</v>
      </c>
      <c r="D386" t="inlineStr">
        <is>
          <t>JÄMTLANDS LÄN</t>
        </is>
      </c>
      <c r="E386" t="inlineStr">
        <is>
          <t>ÖSTERSUND</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62111-2024</t>
        </is>
      </c>
      <c r="B387" s="1" t="n">
        <v>45656.53215277778</v>
      </c>
      <c r="C387" s="1" t="n">
        <v>46052</v>
      </c>
      <c r="D387" t="inlineStr">
        <is>
          <t>JÄMTLANDS LÄN</t>
        </is>
      </c>
      <c r="E387" t="inlineStr">
        <is>
          <t>ÖSTERSUND</t>
        </is>
      </c>
      <c r="G387" t="n">
        <v>3.4</v>
      </c>
      <c r="H387" t="n">
        <v>0</v>
      </c>
      <c r="I387" t="n">
        <v>0</v>
      </c>
      <c r="J387" t="n">
        <v>0</v>
      </c>
      <c r="K387" t="n">
        <v>0</v>
      </c>
      <c r="L387" t="n">
        <v>0</v>
      </c>
      <c r="M387" t="n">
        <v>0</v>
      </c>
      <c r="N387" t="n">
        <v>0</v>
      </c>
      <c r="O387" t="n">
        <v>0</v>
      </c>
      <c r="P387" t="n">
        <v>0</v>
      </c>
      <c r="Q387" t="n">
        <v>0</v>
      </c>
      <c r="R387" s="2" t="inlineStr"/>
    </row>
    <row r="388" ht="15" customHeight="1">
      <c r="A388" t="inlineStr">
        <is>
          <t>A 60780-2023</t>
        </is>
      </c>
      <c r="B388" s="1" t="n">
        <v>45260</v>
      </c>
      <c r="C388" s="1" t="n">
        <v>46052</v>
      </c>
      <c r="D388" t="inlineStr">
        <is>
          <t>JÄMTLANDS LÄN</t>
        </is>
      </c>
      <c r="E388" t="inlineStr">
        <is>
          <t>ÖSTERSUND</t>
        </is>
      </c>
      <c r="G388" t="n">
        <v>3.7</v>
      </c>
      <c r="H388" t="n">
        <v>0</v>
      </c>
      <c r="I388" t="n">
        <v>0</v>
      </c>
      <c r="J388" t="n">
        <v>0</v>
      </c>
      <c r="K388" t="n">
        <v>0</v>
      </c>
      <c r="L388" t="n">
        <v>0</v>
      </c>
      <c r="M388" t="n">
        <v>0</v>
      </c>
      <c r="N388" t="n">
        <v>0</v>
      </c>
      <c r="O388" t="n">
        <v>0</v>
      </c>
      <c r="P388" t="n">
        <v>0</v>
      </c>
      <c r="Q388" t="n">
        <v>0</v>
      </c>
      <c r="R388" s="2" t="inlineStr"/>
    </row>
    <row r="389" ht="15" customHeight="1">
      <c r="A389" t="inlineStr">
        <is>
          <t>A 60794-2023</t>
        </is>
      </c>
      <c r="B389" s="1" t="n">
        <v>45260</v>
      </c>
      <c r="C389" s="1" t="n">
        <v>46052</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11877-2024</t>
        </is>
      </c>
      <c r="B390" s="1" t="n">
        <v>45376</v>
      </c>
      <c r="C390" s="1" t="n">
        <v>46052</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53714-2022</t>
        </is>
      </c>
      <c r="B391" s="1" t="n">
        <v>44880</v>
      </c>
      <c r="C391" s="1" t="n">
        <v>46052</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14653-2022</t>
        </is>
      </c>
      <c r="B392" s="1" t="n">
        <v>44655.69303240741</v>
      </c>
      <c r="C392" s="1" t="n">
        <v>46052</v>
      </c>
      <c r="D392" t="inlineStr">
        <is>
          <t>JÄMTLANDS LÄN</t>
        </is>
      </c>
      <c r="E392" t="inlineStr">
        <is>
          <t>ÖSTERSUND</t>
        </is>
      </c>
      <c r="G392" t="n">
        <v>1.6</v>
      </c>
      <c r="H392" t="n">
        <v>0</v>
      </c>
      <c r="I392" t="n">
        <v>0</v>
      </c>
      <c r="J392" t="n">
        <v>0</v>
      </c>
      <c r="K392" t="n">
        <v>0</v>
      </c>
      <c r="L392" t="n">
        <v>0</v>
      </c>
      <c r="M392" t="n">
        <v>0</v>
      </c>
      <c r="N392" t="n">
        <v>0</v>
      </c>
      <c r="O392" t="n">
        <v>0</v>
      </c>
      <c r="P392" t="n">
        <v>0</v>
      </c>
      <c r="Q392" t="n">
        <v>0</v>
      </c>
      <c r="R392" s="2" t="inlineStr"/>
    </row>
    <row r="393" ht="15" customHeight="1">
      <c r="A393" t="inlineStr">
        <is>
          <t>A 52128-2023</t>
        </is>
      </c>
      <c r="B393" s="1" t="n">
        <v>45223</v>
      </c>
      <c r="C393" s="1" t="n">
        <v>46052</v>
      </c>
      <c r="D393" t="inlineStr">
        <is>
          <t>JÄMTLANDS LÄN</t>
        </is>
      </c>
      <c r="E393" t="inlineStr">
        <is>
          <t>ÖSTERSUND</t>
        </is>
      </c>
      <c r="F393" t="inlineStr">
        <is>
          <t>SCA</t>
        </is>
      </c>
      <c r="G393" t="n">
        <v>11.9</v>
      </c>
      <c r="H393" t="n">
        <v>0</v>
      </c>
      <c r="I393" t="n">
        <v>0</v>
      </c>
      <c r="J393" t="n">
        <v>0</v>
      </c>
      <c r="K393" t="n">
        <v>0</v>
      </c>
      <c r="L393" t="n">
        <v>0</v>
      </c>
      <c r="M393" t="n">
        <v>0</v>
      </c>
      <c r="N393" t="n">
        <v>0</v>
      </c>
      <c r="O393" t="n">
        <v>0</v>
      </c>
      <c r="P393" t="n">
        <v>0</v>
      </c>
      <c r="Q393" t="n">
        <v>0</v>
      </c>
      <c r="R393" s="2" t="inlineStr"/>
    </row>
    <row r="394" ht="15" customHeight="1">
      <c r="A394" t="inlineStr">
        <is>
          <t>A 44013-2021</t>
        </is>
      </c>
      <c r="B394" s="1" t="n">
        <v>44434</v>
      </c>
      <c r="C394" s="1" t="n">
        <v>46052</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8003-2025</t>
        </is>
      </c>
      <c r="B395" s="1" t="n">
        <v>45707</v>
      </c>
      <c r="C395" s="1" t="n">
        <v>46052</v>
      </c>
      <c r="D395" t="inlineStr">
        <is>
          <t>JÄMTLANDS LÄN</t>
        </is>
      </c>
      <c r="E395" t="inlineStr">
        <is>
          <t>ÖSTERSUND</t>
        </is>
      </c>
      <c r="F395" t="inlineStr">
        <is>
          <t>Övriga Aktiebolag</t>
        </is>
      </c>
      <c r="G395" t="n">
        <v>35.1</v>
      </c>
      <c r="H395" t="n">
        <v>0</v>
      </c>
      <c r="I395" t="n">
        <v>0</v>
      </c>
      <c r="J395" t="n">
        <v>0</v>
      </c>
      <c r="K395" t="n">
        <v>0</v>
      </c>
      <c r="L395" t="n">
        <v>0</v>
      </c>
      <c r="M395" t="n">
        <v>0</v>
      </c>
      <c r="N395" t="n">
        <v>0</v>
      </c>
      <c r="O395" t="n">
        <v>0</v>
      </c>
      <c r="P395" t="n">
        <v>0</v>
      </c>
      <c r="Q395" t="n">
        <v>0</v>
      </c>
      <c r="R395" s="2" t="inlineStr"/>
    </row>
    <row r="396" ht="15" customHeight="1">
      <c r="A396" t="inlineStr">
        <is>
          <t>A 24781-2024</t>
        </is>
      </c>
      <c r="B396" s="1" t="n">
        <v>45460.7772800926</v>
      </c>
      <c r="C396" s="1" t="n">
        <v>46052</v>
      </c>
      <c r="D396" t="inlineStr">
        <is>
          <t>JÄMTLANDS LÄN</t>
        </is>
      </c>
      <c r="E396" t="inlineStr">
        <is>
          <t>ÖSTERSUND</t>
        </is>
      </c>
      <c r="G396" t="n">
        <v>2.2</v>
      </c>
      <c r="H396" t="n">
        <v>0</v>
      </c>
      <c r="I396" t="n">
        <v>0</v>
      </c>
      <c r="J396" t="n">
        <v>0</v>
      </c>
      <c r="K396" t="n">
        <v>0</v>
      </c>
      <c r="L396" t="n">
        <v>0</v>
      </c>
      <c r="M396" t="n">
        <v>0</v>
      </c>
      <c r="N396" t="n">
        <v>0</v>
      </c>
      <c r="O396" t="n">
        <v>0</v>
      </c>
      <c r="P396" t="n">
        <v>0</v>
      </c>
      <c r="Q396" t="n">
        <v>0</v>
      </c>
      <c r="R396" s="2" t="inlineStr"/>
    </row>
    <row r="397" ht="15" customHeight="1">
      <c r="A397" t="inlineStr">
        <is>
          <t>A 39030-2025</t>
        </is>
      </c>
      <c r="B397" s="1" t="n">
        <v>45888.40700231482</v>
      </c>
      <c r="C397" s="1" t="n">
        <v>46052</v>
      </c>
      <c r="D397" t="inlineStr">
        <is>
          <t>JÄMTLANDS LÄN</t>
        </is>
      </c>
      <c r="E397" t="inlineStr">
        <is>
          <t>ÖSTERSUND</t>
        </is>
      </c>
      <c r="G397" t="n">
        <v>1.8</v>
      </c>
      <c r="H397" t="n">
        <v>0</v>
      </c>
      <c r="I397" t="n">
        <v>0</v>
      </c>
      <c r="J397" t="n">
        <v>0</v>
      </c>
      <c r="K397" t="n">
        <v>0</v>
      </c>
      <c r="L397" t="n">
        <v>0</v>
      </c>
      <c r="M397" t="n">
        <v>0</v>
      </c>
      <c r="N397" t="n">
        <v>0</v>
      </c>
      <c r="O397" t="n">
        <v>0</v>
      </c>
      <c r="P397" t="n">
        <v>0</v>
      </c>
      <c r="Q397" t="n">
        <v>0</v>
      </c>
      <c r="R397" s="2" t="inlineStr"/>
    </row>
    <row r="398" ht="15" customHeight="1">
      <c r="A398" t="inlineStr">
        <is>
          <t>A 3844-2024</t>
        </is>
      </c>
      <c r="B398" s="1" t="n">
        <v>45321</v>
      </c>
      <c r="C398" s="1" t="n">
        <v>46052</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12285-2022</t>
        </is>
      </c>
      <c r="B399" s="1" t="n">
        <v>44637</v>
      </c>
      <c r="C399" s="1" t="n">
        <v>46052</v>
      </c>
      <c r="D399" t="inlineStr">
        <is>
          <t>JÄMTLANDS LÄN</t>
        </is>
      </c>
      <c r="E399" t="inlineStr">
        <is>
          <t>ÖSTERSUND</t>
        </is>
      </c>
      <c r="G399" t="n">
        <v>1.4</v>
      </c>
      <c r="H399" t="n">
        <v>0</v>
      </c>
      <c r="I399" t="n">
        <v>0</v>
      </c>
      <c r="J399" t="n">
        <v>0</v>
      </c>
      <c r="K399" t="n">
        <v>0</v>
      </c>
      <c r="L399" t="n">
        <v>0</v>
      </c>
      <c r="M399" t="n">
        <v>0</v>
      </c>
      <c r="N399" t="n">
        <v>0</v>
      </c>
      <c r="O399" t="n">
        <v>0</v>
      </c>
      <c r="P399" t="n">
        <v>0</v>
      </c>
      <c r="Q399" t="n">
        <v>0</v>
      </c>
      <c r="R399" s="2" t="inlineStr"/>
    </row>
    <row r="400" ht="15" customHeight="1">
      <c r="A400" t="inlineStr">
        <is>
          <t>A 7327-2023</t>
        </is>
      </c>
      <c r="B400" s="1" t="n">
        <v>44970.97871527778</v>
      </c>
      <c r="C400" s="1" t="n">
        <v>46052</v>
      </c>
      <c r="D400" t="inlineStr">
        <is>
          <t>JÄMTLANDS LÄN</t>
        </is>
      </c>
      <c r="E400" t="inlineStr">
        <is>
          <t>ÖSTERSUND</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49192-2024</t>
        </is>
      </c>
      <c r="B401" s="1" t="n">
        <v>45595.34762731481</v>
      </c>
      <c r="C401" s="1" t="n">
        <v>46052</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25385-2024</t>
        </is>
      </c>
      <c r="B402" s="1" t="n">
        <v>45462.96347222223</v>
      </c>
      <c r="C402" s="1" t="n">
        <v>46052</v>
      </c>
      <c r="D402" t="inlineStr">
        <is>
          <t>JÄMTLANDS LÄN</t>
        </is>
      </c>
      <c r="E402" t="inlineStr">
        <is>
          <t>ÖSTERSUND</t>
        </is>
      </c>
      <c r="F402" t="inlineStr">
        <is>
          <t>SCA</t>
        </is>
      </c>
      <c r="G402" t="n">
        <v>5.2</v>
      </c>
      <c r="H402" t="n">
        <v>0</v>
      </c>
      <c r="I402" t="n">
        <v>0</v>
      </c>
      <c r="J402" t="n">
        <v>0</v>
      </c>
      <c r="K402" t="n">
        <v>0</v>
      </c>
      <c r="L402" t="n">
        <v>0</v>
      </c>
      <c r="M402" t="n">
        <v>0</v>
      </c>
      <c r="N402" t="n">
        <v>0</v>
      </c>
      <c r="O402" t="n">
        <v>0</v>
      </c>
      <c r="P402" t="n">
        <v>0</v>
      </c>
      <c r="Q402" t="n">
        <v>0</v>
      </c>
      <c r="R402" s="2" t="inlineStr"/>
    </row>
    <row r="403" ht="15" customHeight="1">
      <c r="A403" t="inlineStr">
        <is>
          <t>A 30320-2025</t>
        </is>
      </c>
      <c r="B403" s="1" t="n">
        <v>45827.49415509259</v>
      </c>
      <c r="C403" s="1" t="n">
        <v>46052</v>
      </c>
      <c r="D403" t="inlineStr">
        <is>
          <t>JÄMTLANDS LÄN</t>
        </is>
      </c>
      <c r="E403" t="inlineStr">
        <is>
          <t>ÖSTERSUND</t>
        </is>
      </c>
      <c r="G403" t="n">
        <v>4.6</v>
      </c>
      <c r="H403" t="n">
        <v>0</v>
      </c>
      <c r="I403" t="n">
        <v>0</v>
      </c>
      <c r="J403" t="n">
        <v>0</v>
      </c>
      <c r="K403" t="n">
        <v>0</v>
      </c>
      <c r="L403" t="n">
        <v>0</v>
      </c>
      <c r="M403" t="n">
        <v>0</v>
      </c>
      <c r="N403" t="n">
        <v>0</v>
      </c>
      <c r="O403" t="n">
        <v>0</v>
      </c>
      <c r="P403" t="n">
        <v>0</v>
      </c>
      <c r="Q403" t="n">
        <v>0</v>
      </c>
      <c r="R403" s="2" t="inlineStr"/>
    </row>
    <row r="404" ht="15" customHeight="1">
      <c r="A404" t="inlineStr">
        <is>
          <t>A 16335-2025</t>
        </is>
      </c>
      <c r="B404" s="1" t="n">
        <v>45751.36518518518</v>
      </c>
      <c r="C404" s="1" t="n">
        <v>46052</v>
      </c>
      <c r="D404" t="inlineStr">
        <is>
          <t>JÄMTLANDS LÄN</t>
        </is>
      </c>
      <c r="E404" t="inlineStr">
        <is>
          <t>ÖSTERSUND</t>
        </is>
      </c>
      <c r="G404" t="n">
        <v>3.7</v>
      </c>
      <c r="H404" t="n">
        <v>0</v>
      </c>
      <c r="I404" t="n">
        <v>0</v>
      </c>
      <c r="J404" t="n">
        <v>0</v>
      </c>
      <c r="K404" t="n">
        <v>0</v>
      </c>
      <c r="L404" t="n">
        <v>0</v>
      </c>
      <c r="M404" t="n">
        <v>0</v>
      </c>
      <c r="N404" t="n">
        <v>0</v>
      </c>
      <c r="O404" t="n">
        <v>0</v>
      </c>
      <c r="P404" t="n">
        <v>0</v>
      </c>
      <c r="Q404" t="n">
        <v>0</v>
      </c>
      <c r="R404" s="2" t="inlineStr"/>
    </row>
    <row r="405" ht="15" customHeight="1">
      <c r="A405" t="inlineStr">
        <is>
          <t>A 30210-2025</t>
        </is>
      </c>
      <c r="B405" s="1" t="n">
        <v>45827.36590277778</v>
      </c>
      <c r="C405" s="1" t="n">
        <v>46052</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15686-2025</t>
        </is>
      </c>
      <c r="B406" s="1" t="n">
        <v>45748.46021990741</v>
      </c>
      <c r="C406" s="1" t="n">
        <v>46052</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8027-2022</t>
        </is>
      </c>
      <c r="B407" s="1" t="n">
        <v>44609</v>
      </c>
      <c r="C407" s="1" t="n">
        <v>46052</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11933-2022</t>
        </is>
      </c>
      <c r="B408" s="1" t="n">
        <v>44635</v>
      </c>
      <c r="C408" s="1" t="n">
        <v>46052</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79-2025</t>
        </is>
      </c>
      <c r="B409" s="1" t="n">
        <v>45659.44413194444</v>
      </c>
      <c r="C409" s="1" t="n">
        <v>46052</v>
      </c>
      <c r="D409" t="inlineStr">
        <is>
          <t>JÄMTLANDS LÄN</t>
        </is>
      </c>
      <c r="E409" t="inlineStr">
        <is>
          <t>ÖSTERSUND</t>
        </is>
      </c>
      <c r="G409" t="n">
        <v>0.6</v>
      </c>
      <c r="H409" t="n">
        <v>0</v>
      </c>
      <c r="I409" t="n">
        <v>0</v>
      </c>
      <c r="J409" t="n">
        <v>0</v>
      </c>
      <c r="K409" t="n">
        <v>0</v>
      </c>
      <c r="L409" t="n">
        <v>0</v>
      </c>
      <c r="M409" t="n">
        <v>0</v>
      </c>
      <c r="N409" t="n">
        <v>0</v>
      </c>
      <c r="O409" t="n">
        <v>0</v>
      </c>
      <c r="P409" t="n">
        <v>0</v>
      </c>
      <c r="Q409" t="n">
        <v>0</v>
      </c>
      <c r="R409" s="2" t="inlineStr"/>
    </row>
    <row r="410" ht="15" customHeight="1">
      <c r="A410" t="inlineStr">
        <is>
          <t>A 44327-2023</t>
        </is>
      </c>
      <c r="B410" s="1" t="n">
        <v>45188</v>
      </c>
      <c r="C410" s="1" t="n">
        <v>46052</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21667-2024</t>
        </is>
      </c>
      <c r="B411" s="1" t="n">
        <v>45442.38511574074</v>
      </c>
      <c r="C411" s="1" t="n">
        <v>46052</v>
      </c>
      <c r="D411" t="inlineStr">
        <is>
          <t>JÄMTLANDS LÄN</t>
        </is>
      </c>
      <c r="E411" t="inlineStr">
        <is>
          <t>ÖSTERSUND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39103-2025</t>
        </is>
      </c>
      <c r="B412" s="1" t="n">
        <v>45888.52440972222</v>
      </c>
      <c r="C412" s="1" t="n">
        <v>46052</v>
      </c>
      <c r="D412" t="inlineStr">
        <is>
          <t>JÄMTLANDS LÄN</t>
        </is>
      </c>
      <c r="E412" t="inlineStr">
        <is>
          <t>ÖSTERSUND</t>
        </is>
      </c>
      <c r="G412" t="n">
        <v>23.9</v>
      </c>
      <c r="H412" t="n">
        <v>0</v>
      </c>
      <c r="I412" t="n">
        <v>0</v>
      </c>
      <c r="J412" t="n">
        <v>0</v>
      </c>
      <c r="K412" t="n">
        <v>0</v>
      </c>
      <c r="L412" t="n">
        <v>0</v>
      </c>
      <c r="M412" t="n">
        <v>0</v>
      </c>
      <c r="N412" t="n">
        <v>0</v>
      </c>
      <c r="O412" t="n">
        <v>0</v>
      </c>
      <c r="P412" t="n">
        <v>0</v>
      </c>
      <c r="Q412" t="n">
        <v>0</v>
      </c>
      <c r="R412" s="2" t="inlineStr"/>
    </row>
    <row r="413" ht="15" customHeight="1">
      <c r="A413" t="inlineStr">
        <is>
          <t>A 14947-2025</t>
        </is>
      </c>
      <c r="B413" s="1" t="n">
        <v>45743.57336805556</v>
      </c>
      <c r="C413" s="1" t="n">
        <v>46052</v>
      </c>
      <c r="D413" t="inlineStr">
        <is>
          <t>JÄMTLANDS LÄN</t>
        </is>
      </c>
      <c r="E413" t="inlineStr">
        <is>
          <t>ÖSTERSUND</t>
        </is>
      </c>
      <c r="G413" t="n">
        <v>0.5</v>
      </c>
      <c r="H413" t="n">
        <v>0</v>
      </c>
      <c r="I413" t="n">
        <v>0</v>
      </c>
      <c r="J413" t="n">
        <v>0</v>
      </c>
      <c r="K413" t="n">
        <v>0</v>
      </c>
      <c r="L413" t="n">
        <v>0</v>
      </c>
      <c r="M413" t="n">
        <v>0</v>
      </c>
      <c r="N413" t="n">
        <v>0</v>
      </c>
      <c r="O413" t="n">
        <v>0</v>
      </c>
      <c r="P413" t="n">
        <v>0</v>
      </c>
      <c r="Q413" t="n">
        <v>0</v>
      </c>
      <c r="R413" s="2" t="inlineStr"/>
    </row>
    <row r="414" ht="15" customHeight="1">
      <c r="A414" t="inlineStr">
        <is>
          <t>A 2753-2025</t>
        </is>
      </c>
      <c r="B414" s="1" t="n">
        <v>45677.47302083333</v>
      </c>
      <c r="C414" s="1" t="n">
        <v>46052</v>
      </c>
      <c r="D414" t="inlineStr">
        <is>
          <t>JÄMTLANDS LÄN</t>
        </is>
      </c>
      <c r="E414" t="inlineStr">
        <is>
          <t>ÖSTERSUND</t>
        </is>
      </c>
      <c r="G414" t="n">
        <v>6.4</v>
      </c>
      <c r="H414" t="n">
        <v>0</v>
      </c>
      <c r="I414" t="n">
        <v>0</v>
      </c>
      <c r="J414" t="n">
        <v>0</v>
      </c>
      <c r="K414" t="n">
        <v>0</v>
      </c>
      <c r="L414" t="n">
        <v>0</v>
      </c>
      <c r="M414" t="n">
        <v>0</v>
      </c>
      <c r="N414" t="n">
        <v>0</v>
      </c>
      <c r="O414" t="n">
        <v>0</v>
      </c>
      <c r="P414" t="n">
        <v>0</v>
      </c>
      <c r="Q414" t="n">
        <v>0</v>
      </c>
      <c r="R414" s="2" t="inlineStr"/>
    </row>
    <row r="415" ht="15" customHeight="1">
      <c r="A415" t="inlineStr">
        <is>
          <t>A 25187-2024</t>
        </is>
      </c>
      <c r="B415" s="1" t="n">
        <v>45462.56172453704</v>
      </c>
      <c r="C415" s="1" t="n">
        <v>46052</v>
      </c>
      <c r="D415" t="inlineStr">
        <is>
          <t>JÄMTLANDS LÄN</t>
        </is>
      </c>
      <c r="E415" t="inlineStr">
        <is>
          <t>ÖSTERSUND</t>
        </is>
      </c>
      <c r="G415" t="n">
        <v>2.4</v>
      </c>
      <c r="H415" t="n">
        <v>0</v>
      </c>
      <c r="I415" t="n">
        <v>0</v>
      </c>
      <c r="J415" t="n">
        <v>0</v>
      </c>
      <c r="K415" t="n">
        <v>0</v>
      </c>
      <c r="L415" t="n">
        <v>0</v>
      </c>
      <c r="M415" t="n">
        <v>0</v>
      </c>
      <c r="N415" t="n">
        <v>0</v>
      </c>
      <c r="O415" t="n">
        <v>0</v>
      </c>
      <c r="P415" t="n">
        <v>0</v>
      </c>
      <c r="Q415" t="n">
        <v>0</v>
      </c>
      <c r="R415" s="2" t="inlineStr"/>
    </row>
    <row r="416" ht="15" customHeight="1">
      <c r="A416" t="inlineStr">
        <is>
          <t>A 32071-2025</t>
        </is>
      </c>
      <c r="B416" s="1" t="n">
        <v>45835.4491087963</v>
      </c>
      <c r="C416" s="1" t="n">
        <v>46052</v>
      </c>
      <c r="D416" t="inlineStr">
        <is>
          <t>JÄMTLANDS LÄN</t>
        </is>
      </c>
      <c r="E416" t="inlineStr">
        <is>
          <t>ÖSTERSUND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13282-2023</t>
        </is>
      </c>
      <c r="B417" s="1" t="n">
        <v>45004</v>
      </c>
      <c r="C417" s="1" t="n">
        <v>46052</v>
      </c>
      <c r="D417" t="inlineStr">
        <is>
          <t>JÄMTLANDS LÄN</t>
        </is>
      </c>
      <c r="E417" t="inlineStr">
        <is>
          <t>ÖSTERSUND</t>
        </is>
      </c>
      <c r="G417" t="n">
        <v>28.5</v>
      </c>
      <c r="H417" t="n">
        <v>0</v>
      </c>
      <c r="I417" t="n">
        <v>0</v>
      </c>
      <c r="J417" t="n">
        <v>0</v>
      </c>
      <c r="K417" t="n">
        <v>0</v>
      </c>
      <c r="L417" t="n">
        <v>0</v>
      </c>
      <c r="M417" t="n">
        <v>0</v>
      </c>
      <c r="N417" t="n">
        <v>0</v>
      </c>
      <c r="O417" t="n">
        <v>0</v>
      </c>
      <c r="P417" t="n">
        <v>0</v>
      </c>
      <c r="Q417" t="n">
        <v>0</v>
      </c>
      <c r="R417" s="2" t="inlineStr"/>
    </row>
    <row r="418" ht="15" customHeight="1">
      <c r="A418" t="inlineStr">
        <is>
          <t>A 32279-2025</t>
        </is>
      </c>
      <c r="B418" s="1" t="n">
        <v>45835.67109953704</v>
      </c>
      <c r="C418" s="1" t="n">
        <v>46052</v>
      </c>
      <c r="D418" t="inlineStr">
        <is>
          <t>JÄMTLANDS LÄN</t>
        </is>
      </c>
      <c r="E418" t="inlineStr">
        <is>
          <t>ÖSTERSUND</t>
        </is>
      </c>
      <c r="G418" t="n">
        <v>3.5</v>
      </c>
      <c r="H418" t="n">
        <v>0</v>
      </c>
      <c r="I418" t="n">
        <v>0</v>
      </c>
      <c r="J418" t="n">
        <v>0</v>
      </c>
      <c r="K418" t="n">
        <v>0</v>
      </c>
      <c r="L418" t="n">
        <v>0</v>
      </c>
      <c r="M418" t="n">
        <v>0</v>
      </c>
      <c r="N418" t="n">
        <v>0</v>
      </c>
      <c r="O418" t="n">
        <v>0</v>
      </c>
      <c r="P418" t="n">
        <v>0</v>
      </c>
      <c r="Q418" t="n">
        <v>0</v>
      </c>
      <c r="R418" s="2" t="inlineStr"/>
    </row>
    <row r="419" ht="15" customHeight="1">
      <c r="A419" t="inlineStr">
        <is>
          <t>A 36406-2023</t>
        </is>
      </c>
      <c r="B419" s="1" t="n">
        <v>45149</v>
      </c>
      <c r="C419" s="1" t="n">
        <v>46052</v>
      </c>
      <c r="D419" t="inlineStr">
        <is>
          <t>JÄMTLANDS LÄN</t>
        </is>
      </c>
      <c r="E419" t="inlineStr">
        <is>
          <t>ÖSTERSUND</t>
        </is>
      </c>
      <c r="G419" t="n">
        <v>2.4</v>
      </c>
      <c r="H419" t="n">
        <v>0</v>
      </c>
      <c r="I419" t="n">
        <v>0</v>
      </c>
      <c r="J419" t="n">
        <v>0</v>
      </c>
      <c r="K419" t="n">
        <v>0</v>
      </c>
      <c r="L419" t="n">
        <v>0</v>
      </c>
      <c r="M419" t="n">
        <v>0</v>
      </c>
      <c r="N419" t="n">
        <v>0</v>
      </c>
      <c r="O419" t="n">
        <v>0</v>
      </c>
      <c r="P419" t="n">
        <v>0</v>
      </c>
      <c r="Q419" t="n">
        <v>0</v>
      </c>
      <c r="R419" s="2" t="inlineStr"/>
    </row>
    <row r="420" ht="15" customHeight="1">
      <c r="A420" t="inlineStr">
        <is>
          <t>A 20400-2024</t>
        </is>
      </c>
      <c r="B420" s="1" t="n">
        <v>45435.55372685185</v>
      </c>
      <c r="C420" s="1" t="n">
        <v>46052</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10267-2025</t>
        </is>
      </c>
      <c r="B421" s="1" t="n">
        <v>45720.3859375</v>
      </c>
      <c r="C421" s="1" t="n">
        <v>46052</v>
      </c>
      <c r="D421" t="inlineStr">
        <is>
          <t>JÄMTLANDS LÄN</t>
        </is>
      </c>
      <c r="E421" t="inlineStr">
        <is>
          <t>ÖSTERSUND</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20588-2023</t>
        </is>
      </c>
      <c r="B422" s="1" t="n">
        <v>45057</v>
      </c>
      <c r="C422" s="1" t="n">
        <v>46052</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27780-2022</t>
        </is>
      </c>
      <c r="B423" s="1" t="n">
        <v>44743</v>
      </c>
      <c r="C423" s="1" t="n">
        <v>46052</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32358-2025</t>
        </is>
      </c>
      <c r="B424" s="1" t="n">
        <v>45837.57481481481</v>
      </c>
      <c r="C424" s="1" t="n">
        <v>46052</v>
      </c>
      <c r="D424" t="inlineStr">
        <is>
          <t>JÄMTLANDS LÄN</t>
        </is>
      </c>
      <c r="E424" t="inlineStr">
        <is>
          <t>ÖSTERSUND</t>
        </is>
      </c>
      <c r="F424" t="inlineStr">
        <is>
          <t>Övriga Aktiebolag</t>
        </is>
      </c>
      <c r="G424" t="n">
        <v>4.8</v>
      </c>
      <c r="H424" t="n">
        <v>0</v>
      </c>
      <c r="I424" t="n">
        <v>0</v>
      </c>
      <c r="J424" t="n">
        <v>0</v>
      </c>
      <c r="K424" t="n">
        <v>0</v>
      </c>
      <c r="L424" t="n">
        <v>0</v>
      </c>
      <c r="M424" t="n">
        <v>0</v>
      </c>
      <c r="N424" t="n">
        <v>0</v>
      </c>
      <c r="O424" t="n">
        <v>0</v>
      </c>
      <c r="P424" t="n">
        <v>0</v>
      </c>
      <c r="Q424" t="n">
        <v>0</v>
      </c>
      <c r="R424" s="2" t="inlineStr"/>
    </row>
    <row r="425" ht="15" customHeight="1">
      <c r="A425" t="inlineStr">
        <is>
          <t>A 32353-2025</t>
        </is>
      </c>
      <c r="B425" s="1" t="n">
        <v>45837.51741898148</v>
      </c>
      <c r="C425" s="1" t="n">
        <v>46052</v>
      </c>
      <c r="D425" t="inlineStr">
        <is>
          <t>JÄMTLANDS LÄN</t>
        </is>
      </c>
      <c r="E425" t="inlineStr">
        <is>
          <t>ÖSTERSUND</t>
        </is>
      </c>
      <c r="F425" t="inlineStr">
        <is>
          <t>Övriga Aktiebolag</t>
        </is>
      </c>
      <c r="G425" t="n">
        <v>4.8</v>
      </c>
      <c r="H425" t="n">
        <v>0</v>
      </c>
      <c r="I425" t="n">
        <v>0</v>
      </c>
      <c r="J425" t="n">
        <v>0</v>
      </c>
      <c r="K425" t="n">
        <v>0</v>
      </c>
      <c r="L425" t="n">
        <v>0</v>
      </c>
      <c r="M425" t="n">
        <v>0</v>
      </c>
      <c r="N425" t="n">
        <v>0</v>
      </c>
      <c r="O425" t="n">
        <v>0</v>
      </c>
      <c r="P425" t="n">
        <v>0</v>
      </c>
      <c r="Q425" t="n">
        <v>0</v>
      </c>
      <c r="R425" s="2" t="inlineStr"/>
    </row>
    <row r="426" ht="15" customHeight="1">
      <c r="A426" t="inlineStr">
        <is>
          <t>A 32369-2025</t>
        </is>
      </c>
      <c r="B426" s="1" t="n">
        <v>45837.67381944445</v>
      </c>
      <c r="C426" s="1" t="n">
        <v>46052</v>
      </c>
      <c r="D426" t="inlineStr">
        <is>
          <t>JÄMTLANDS LÄN</t>
        </is>
      </c>
      <c r="E426" t="inlineStr">
        <is>
          <t>ÖSTERSUND</t>
        </is>
      </c>
      <c r="F426" t="inlineStr">
        <is>
          <t>Övriga Aktiebolag</t>
        </is>
      </c>
      <c r="G426" t="n">
        <v>5.7</v>
      </c>
      <c r="H426" t="n">
        <v>0</v>
      </c>
      <c r="I426" t="n">
        <v>0</v>
      </c>
      <c r="J426" t="n">
        <v>0</v>
      </c>
      <c r="K426" t="n">
        <v>0</v>
      </c>
      <c r="L426" t="n">
        <v>0</v>
      </c>
      <c r="M426" t="n">
        <v>0</v>
      </c>
      <c r="N426" t="n">
        <v>0</v>
      </c>
      <c r="O426" t="n">
        <v>0</v>
      </c>
      <c r="P426" t="n">
        <v>0</v>
      </c>
      <c r="Q426" t="n">
        <v>0</v>
      </c>
      <c r="R426" s="2" t="inlineStr"/>
    </row>
    <row r="427" ht="15" customHeight="1">
      <c r="A427" t="inlineStr">
        <is>
          <t>A 43082-2024</t>
        </is>
      </c>
      <c r="B427" s="1" t="n">
        <v>45567.51068287037</v>
      </c>
      <c r="C427" s="1" t="n">
        <v>46052</v>
      </c>
      <c r="D427" t="inlineStr">
        <is>
          <t>JÄMTLANDS LÄN</t>
        </is>
      </c>
      <c r="E427" t="inlineStr">
        <is>
          <t>ÖSTERSUND</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61653-2022</t>
        </is>
      </c>
      <c r="B428" s="1" t="n">
        <v>44916</v>
      </c>
      <c r="C428" s="1" t="n">
        <v>46052</v>
      </c>
      <c r="D428" t="inlineStr">
        <is>
          <t>JÄMTLANDS LÄN</t>
        </is>
      </c>
      <c r="E428" t="inlineStr">
        <is>
          <t>ÖSTERSUND</t>
        </is>
      </c>
      <c r="G428" t="n">
        <v>7.6</v>
      </c>
      <c r="H428" t="n">
        <v>0</v>
      </c>
      <c r="I428" t="n">
        <v>0</v>
      </c>
      <c r="J428" t="n">
        <v>0</v>
      </c>
      <c r="K428" t="n">
        <v>0</v>
      </c>
      <c r="L428" t="n">
        <v>0</v>
      </c>
      <c r="M428" t="n">
        <v>0</v>
      </c>
      <c r="N428" t="n">
        <v>0</v>
      </c>
      <c r="O428" t="n">
        <v>0</v>
      </c>
      <c r="P428" t="n">
        <v>0</v>
      </c>
      <c r="Q428" t="n">
        <v>0</v>
      </c>
      <c r="R428" s="2" t="inlineStr"/>
    </row>
    <row r="429" ht="15" customHeight="1">
      <c r="A429" t="inlineStr">
        <is>
          <t>A 27689-2024</t>
        </is>
      </c>
      <c r="B429" s="1" t="n">
        <v>45475.3378125</v>
      </c>
      <c r="C429" s="1" t="n">
        <v>46052</v>
      </c>
      <c r="D429" t="inlineStr">
        <is>
          <t>JÄMTLANDS LÄN</t>
        </is>
      </c>
      <c r="E429" t="inlineStr">
        <is>
          <t>ÖSTERSUND</t>
        </is>
      </c>
      <c r="G429" t="n">
        <v>0.6</v>
      </c>
      <c r="H429" t="n">
        <v>0</v>
      </c>
      <c r="I429" t="n">
        <v>0</v>
      </c>
      <c r="J429" t="n">
        <v>0</v>
      </c>
      <c r="K429" t="n">
        <v>0</v>
      </c>
      <c r="L429" t="n">
        <v>0</v>
      </c>
      <c r="M429" t="n">
        <v>0</v>
      </c>
      <c r="N429" t="n">
        <v>0</v>
      </c>
      <c r="O429" t="n">
        <v>0</v>
      </c>
      <c r="P429" t="n">
        <v>0</v>
      </c>
      <c r="Q429" t="n">
        <v>0</v>
      </c>
      <c r="R429" s="2" t="inlineStr"/>
    </row>
    <row r="430" ht="15" customHeight="1">
      <c r="A430" t="inlineStr">
        <is>
          <t>A 52854-2024</t>
        </is>
      </c>
      <c r="B430" s="1" t="n">
        <v>45610.61030092592</v>
      </c>
      <c r="C430" s="1" t="n">
        <v>46052</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32368-2025</t>
        </is>
      </c>
      <c r="B431" s="1" t="n">
        <v>45837.66230324074</v>
      </c>
      <c r="C431" s="1" t="n">
        <v>46052</v>
      </c>
      <c r="D431" t="inlineStr">
        <is>
          <t>JÄMTLANDS LÄN</t>
        </is>
      </c>
      <c r="E431" t="inlineStr">
        <is>
          <t>ÖSTERSUND</t>
        </is>
      </c>
      <c r="F431" t="inlineStr">
        <is>
          <t>Övriga Aktiebolag</t>
        </is>
      </c>
      <c r="G431" t="n">
        <v>19.5</v>
      </c>
      <c r="H431" t="n">
        <v>0</v>
      </c>
      <c r="I431" t="n">
        <v>0</v>
      </c>
      <c r="J431" t="n">
        <v>0</v>
      </c>
      <c r="K431" t="n">
        <v>0</v>
      </c>
      <c r="L431" t="n">
        <v>0</v>
      </c>
      <c r="M431" t="n">
        <v>0</v>
      </c>
      <c r="N431" t="n">
        <v>0</v>
      </c>
      <c r="O431" t="n">
        <v>0</v>
      </c>
      <c r="P431" t="n">
        <v>0</v>
      </c>
      <c r="Q431" t="n">
        <v>0</v>
      </c>
      <c r="R431" s="2" t="inlineStr"/>
    </row>
    <row r="432" ht="15" customHeight="1">
      <c r="A432" t="inlineStr">
        <is>
          <t>A 51818-2024</t>
        </is>
      </c>
      <c r="B432" s="1" t="n">
        <v>45607.49265046296</v>
      </c>
      <c r="C432" s="1" t="n">
        <v>46052</v>
      </c>
      <c r="D432" t="inlineStr">
        <is>
          <t>JÄMTLANDS LÄN</t>
        </is>
      </c>
      <c r="E432" t="inlineStr">
        <is>
          <t>ÖSTERSUND</t>
        </is>
      </c>
      <c r="G432" t="n">
        <v>4.6</v>
      </c>
      <c r="H432" t="n">
        <v>0</v>
      </c>
      <c r="I432" t="n">
        <v>0</v>
      </c>
      <c r="J432" t="n">
        <v>0</v>
      </c>
      <c r="K432" t="n">
        <v>0</v>
      </c>
      <c r="L432" t="n">
        <v>0</v>
      </c>
      <c r="M432" t="n">
        <v>0</v>
      </c>
      <c r="N432" t="n">
        <v>0</v>
      </c>
      <c r="O432" t="n">
        <v>0</v>
      </c>
      <c r="P432" t="n">
        <v>0</v>
      </c>
      <c r="Q432" t="n">
        <v>0</v>
      </c>
      <c r="R432" s="2" t="inlineStr"/>
    </row>
    <row r="433" ht="15" customHeight="1">
      <c r="A433" t="inlineStr">
        <is>
          <t>A 2228-2024</t>
        </is>
      </c>
      <c r="B433" s="1" t="n">
        <v>45309</v>
      </c>
      <c r="C433" s="1" t="n">
        <v>46052</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33358-2025</t>
        </is>
      </c>
      <c r="B434" s="1" t="n">
        <v>45841.38054398148</v>
      </c>
      <c r="C434" s="1" t="n">
        <v>46052</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29703-2023</t>
        </is>
      </c>
      <c r="B435" s="1" t="n">
        <v>45107</v>
      </c>
      <c r="C435" s="1" t="n">
        <v>46052</v>
      </c>
      <c r="D435" t="inlineStr">
        <is>
          <t>JÄMTLANDS LÄN</t>
        </is>
      </c>
      <c r="E435" t="inlineStr">
        <is>
          <t>ÖSTERSUND</t>
        </is>
      </c>
      <c r="G435" t="n">
        <v>0.3</v>
      </c>
      <c r="H435" t="n">
        <v>0</v>
      </c>
      <c r="I435" t="n">
        <v>0</v>
      </c>
      <c r="J435" t="n">
        <v>0</v>
      </c>
      <c r="K435" t="n">
        <v>0</v>
      </c>
      <c r="L435" t="n">
        <v>0</v>
      </c>
      <c r="M435" t="n">
        <v>0</v>
      </c>
      <c r="N435" t="n">
        <v>0</v>
      </c>
      <c r="O435" t="n">
        <v>0</v>
      </c>
      <c r="P435" t="n">
        <v>0</v>
      </c>
      <c r="Q435" t="n">
        <v>0</v>
      </c>
      <c r="R435" s="2" t="inlineStr"/>
    </row>
    <row r="436" ht="15" customHeight="1">
      <c r="A436" t="inlineStr">
        <is>
          <t>A 51479-2023</t>
        </is>
      </c>
      <c r="B436" s="1" t="n">
        <v>45221.92429398148</v>
      </c>
      <c r="C436" s="1" t="n">
        <v>46052</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61530-2023</t>
        </is>
      </c>
      <c r="B437" s="1" t="n">
        <v>45261</v>
      </c>
      <c r="C437" s="1" t="n">
        <v>46052</v>
      </c>
      <c r="D437" t="inlineStr">
        <is>
          <t>JÄMTLANDS LÄN</t>
        </is>
      </c>
      <c r="E437" t="inlineStr">
        <is>
          <t>ÖSTERSUND</t>
        </is>
      </c>
      <c r="F437" t="inlineStr">
        <is>
          <t>Övriga statliga verk och myndigheter</t>
        </is>
      </c>
      <c r="G437" t="n">
        <v>1</v>
      </c>
      <c r="H437" t="n">
        <v>0</v>
      </c>
      <c r="I437" t="n">
        <v>0</v>
      </c>
      <c r="J437" t="n">
        <v>0</v>
      </c>
      <c r="K437" t="n">
        <v>0</v>
      </c>
      <c r="L437" t="n">
        <v>0</v>
      </c>
      <c r="M437" t="n">
        <v>0</v>
      </c>
      <c r="N437" t="n">
        <v>0</v>
      </c>
      <c r="O437" t="n">
        <v>0</v>
      </c>
      <c r="P437" t="n">
        <v>0</v>
      </c>
      <c r="Q437" t="n">
        <v>0</v>
      </c>
      <c r="R437" s="2" t="inlineStr"/>
    </row>
    <row r="438" ht="15" customHeight="1">
      <c r="A438" t="inlineStr">
        <is>
          <t>A 2978-2024</t>
        </is>
      </c>
      <c r="B438" s="1" t="n">
        <v>45315</v>
      </c>
      <c r="C438" s="1" t="n">
        <v>46052</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28181-2024</t>
        </is>
      </c>
      <c r="B439" s="1" t="n">
        <v>45477.28482638889</v>
      </c>
      <c r="C439" s="1" t="n">
        <v>46052</v>
      </c>
      <c r="D439" t="inlineStr">
        <is>
          <t>JÄMTLANDS LÄN</t>
        </is>
      </c>
      <c r="E439" t="inlineStr">
        <is>
          <t>ÖSTERSUND</t>
        </is>
      </c>
      <c r="G439" t="n">
        <v>0.7</v>
      </c>
      <c r="H439" t="n">
        <v>0</v>
      </c>
      <c r="I439" t="n">
        <v>0</v>
      </c>
      <c r="J439" t="n">
        <v>0</v>
      </c>
      <c r="K439" t="n">
        <v>0</v>
      </c>
      <c r="L439" t="n">
        <v>0</v>
      </c>
      <c r="M439" t="n">
        <v>0</v>
      </c>
      <c r="N439" t="n">
        <v>0</v>
      </c>
      <c r="O439" t="n">
        <v>0</v>
      </c>
      <c r="P439" t="n">
        <v>0</v>
      </c>
      <c r="Q439" t="n">
        <v>0</v>
      </c>
      <c r="R439" s="2" t="inlineStr"/>
    </row>
    <row r="440" ht="15" customHeight="1">
      <c r="A440" t="inlineStr">
        <is>
          <t>A 61002-2024</t>
        </is>
      </c>
      <c r="B440" s="1" t="n">
        <v>45645.44158564815</v>
      </c>
      <c r="C440" s="1" t="n">
        <v>46052</v>
      </c>
      <c r="D440" t="inlineStr">
        <is>
          <t>JÄMTLANDS LÄN</t>
        </is>
      </c>
      <c r="E440" t="inlineStr">
        <is>
          <t>ÖSTERSUND</t>
        </is>
      </c>
      <c r="G440" t="n">
        <v>4.1</v>
      </c>
      <c r="H440" t="n">
        <v>0</v>
      </c>
      <c r="I440" t="n">
        <v>0</v>
      </c>
      <c r="J440" t="n">
        <v>0</v>
      </c>
      <c r="K440" t="n">
        <v>0</v>
      </c>
      <c r="L440" t="n">
        <v>0</v>
      </c>
      <c r="M440" t="n">
        <v>0</v>
      </c>
      <c r="N440" t="n">
        <v>0</v>
      </c>
      <c r="O440" t="n">
        <v>0</v>
      </c>
      <c r="P440" t="n">
        <v>0</v>
      </c>
      <c r="Q440" t="n">
        <v>0</v>
      </c>
      <c r="R440" s="2" t="inlineStr"/>
    </row>
    <row r="441" ht="15" customHeight="1">
      <c r="A441" t="inlineStr">
        <is>
          <t>A 34490-2025</t>
        </is>
      </c>
      <c r="B441" s="1" t="n">
        <v>45847.40722222222</v>
      </c>
      <c r="C441" s="1" t="n">
        <v>46052</v>
      </c>
      <c r="D441" t="inlineStr">
        <is>
          <t>JÄMTLANDS LÄN</t>
        </is>
      </c>
      <c r="E441" t="inlineStr">
        <is>
          <t>ÖSTERSUND</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25535-2023</t>
        </is>
      </c>
      <c r="B442" s="1" t="n">
        <v>45089.54944444444</v>
      </c>
      <c r="C442" s="1" t="n">
        <v>46052</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34331-2025</t>
        </is>
      </c>
      <c r="B443" s="1" t="n">
        <v>45846.44827546296</v>
      </c>
      <c r="C443" s="1" t="n">
        <v>46052</v>
      </c>
      <c r="D443" t="inlineStr">
        <is>
          <t>JÄMTLANDS LÄN</t>
        </is>
      </c>
      <c r="E443" t="inlineStr">
        <is>
          <t>ÖSTERSUND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34589-2025</t>
        </is>
      </c>
      <c r="B444" s="1" t="n">
        <v>45847.61561342593</v>
      </c>
      <c r="C444" s="1" t="n">
        <v>46052</v>
      </c>
      <c r="D444" t="inlineStr">
        <is>
          <t>JÄMTLANDS LÄN</t>
        </is>
      </c>
      <c r="E444" t="inlineStr">
        <is>
          <t>ÖSTERSUND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34587-2025</t>
        </is>
      </c>
      <c r="B445" s="1" t="n">
        <v>45847.61533564814</v>
      </c>
      <c r="C445" s="1" t="n">
        <v>46052</v>
      </c>
      <c r="D445" t="inlineStr">
        <is>
          <t>JÄMTLANDS LÄN</t>
        </is>
      </c>
      <c r="E445" t="inlineStr">
        <is>
          <t>ÖSTERSUND</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32225-2024</t>
        </is>
      </c>
      <c r="B446" s="1" t="n">
        <v>45511.92825231481</v>
      </c>
      <c r="C446" s="1" t="n">
        <v>46052</v>
      </c>
      <c r="D446" t="inlineStr">
        <is>
          <t>JÄMTLANDS LÄN</t>
        </is>
      </c>
      <c r="E446" t="inlineStr">
        <is>
          <t>ÖSTERSUND</t>
        </is>
      </c>
      <c r="G446" t="n">
        <v>2</v>
      </c>
      <c r="H446" t="n">
        <v>0</v>
      </c>
      <c r="I446" t="n">
        <v>0</v>
      </c>
      <c r="J446" t="n">
        <v>0</v>
      </c>
      <c r="K446" t="n">
        <v>0</v>
      </c>
      <c r="L446" t="n">
        <v>0</v>
      </c>
      <c r="M446" t="n">
        <v>0</v>
      </c>
      <c r="N446" t="n">
        <v>0</v>
      </c>
      <c r="O446" t="n">
        <v>0</v>
      </c>
      <c r="P446" t="n">
        <v>0</v>
      </c>
      <c r="Q446" t="n">
        <v>0</v>
      </c>
      <c r="R446" s="2" t="inlineStr"/>
    </row>
    <row r="447" ht="15" customHeight="1">
      <c r="A447" t="inlineStr">
        <is>
          <t>A 4311-2025</t>
        </is>
      </c>
      <c r="B447" s="1" t="n">
        <v>45685.69267361111</v>
      </c>
      <c r="C447" s="1" t="n">
        <v>46052</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11181-2025</t>
        </is>
      </c>
      <c r="B448" s="1" t="n">
        <v>45725.44039351852</v>
      </c>
      <c r="C448" s="1" t="n">
        <v>46052</v>
      </c>
      <c r="D448" t="inlineStr">
        <is>
          <t>JÄMTLANDS LÄN</t>
        </is>
      </c>
      <c r="E448" t="inlineStr">
        <is>
          <t>ÖSTERSUND</t>
        </is>
      </c>
      <c r="G448" t="n">
        <v>15.4</v>
      </c>
      <c r="H448" t="n">
        <v>0</v>
      </c>
      <c r="I448" t="n">
        <v>0</v>
      </c>
      <c r="J448" t="n">
        <v>0</v>
      </c>
      <c r="K448" t="n">
        <v>0</v>
      </c>
      <c r="L448" t="n">
        <v>0</v>
      </c>
      <c r="M448" t="n">
        <v>0</v>
      </c>
      <c r="N448" t="n">
        <v>0</v>
      </c>
      <c r="O448" t="n">
        <v>0</v>
      </c>
      <c r="P448" t="n">
        <v>0</v>
      </c>
      <c r="Q448" t="n">
        <v>0</v>
      </c>
      <c r="R448" s="2" t="inlineStr"/>
    </row>
    <row r="449" ht="15" customHeight="1">
      <c r="A449" t="inlineStr">
        <is>
          <t>A 39493-2023</t>
        </is>
      </c>
      <c r="B449" s="1" t="n">
        <v>45166.9569675926</v>
      </c>
      <c r="C449" s="1" t="n">
        <v>46052</v>
      </c>
      <c r="D449" t="inlineStr">
        <is>
          <t>JÄMTLANDS LÄN</t>
        </is>
      </c>
      <c r="E449" t="inlineStr">
        <is>
          <t>ÖSTERSUND</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25221-2025</t>
        </is>
      </c>
      <c r="B450" s="1" t="n">
        <v>45800.47802083333</v>
      </c>
      <c r="C450" s="1" t="n">
        <v>46052</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54883-2023</t>
        </is>
      </c>
      <c r="B451" s="1" t="n">
        <v>45236.62300925926</v>
      </c>
      <c r="C451" s="1" t="n">
        <v>46052</v>
      </c>
      <c r="D451" t="inlineStr">
        <is>
          <t>JÄMTLANDS LÄN</t>
        </is>
      </c>
      <c r="E451" t="inlineStr">
        <is>
          <t>ÖSTERSUND</t>
        </is>
      </c>
      <c r="F451" t="inlineStr">
        <is>
          <t>Övriga Aktiebolag</t>
        </is>
      </c>
      <c r="G451" t="n">
        <v>3.2</v>
      </c>
      <c r="H451" t="n">
        <v>0</v>
      </c>
      <c r="I451" t="n">
        <v>0</v>
      </c>
      <c r="J451" t="n">
        <v>0</v>
      </c>
      <c r="K451" t="n">
        <v>0</v>
      </c>
      <c r="L451" t="n">
        <v>0</v>
      </c>
      <c r="M451" t="n">
        <v>0</v>
      </c>
      <c r="N451" t="n">
        <v>0</v>
      </c>
      <c r="O451" t="n">
        <v>0</v>
      </c>
      <c r="P451" t="n">
        <v>0</v>
      </c>
      <c r="Q451" t="n">
        <v>0</v>
      </c>
      <c r="R451" s="2" t="inlineStr"/>
    </row>
    <row r="452" ht="15" customHeight="1">
      <c r="A452" t="inlineStr">
        <is>
          <t>A 12998-2025</t>
        </is>
      </c>
      <c r="B452" s="1" t="n">
        <v>45734.48991898148</v>
      </c>
      <c r="C452" s="1" t="n">
        <v>46052</v>
      </c>
      <c r="D452" t="inlineStr">
        <is>
          <t>JÄMTLANDS LÄN</t>
        </is>
      </c>
      <c r="E452" t="inlineStr">
        <is>
          <t>ÖSTERSUND</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40325-2025</t>
        </is>
      </c>
      <c r="B453" s="1" t="n">
        <v>45895.4484837963</v>
      </c>
      <c r="C453" s="1" t="n">
        <v>46052</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54913-2024</t>
        </is>
      </c>
      <c r="B454" s="1" t="n">
        <v>45618.6917824074</v>
      </c>
      <c r="C454" s="1" t="n">
        <v>46052</v>
      </c>
      <c r="D454" t="inlineStr">
        <is>
          <t>JÄMTLANDS LÄN</t>
        </is>
      </c>
      <c r="E454" t="inlineStr">
        <is>
          <t>ÖSTERSUND</t>
        </is>
      </c>
      <c r="G454" t="n">
        <v>4.7</v>
      </c>
      <c r="H454" t="n">
        <v>0</v>
      </c>
      <c r="I454" t="n">
        <v>0</v>
      </c>
      <c r="J454" t="n">
        <v>0</v>
      </c>
      <c r="K454" t="n">
        <v>0</v>
      </c>
      <c r="L454" t="n">
        <v>0</v>
      </c>
      <c r="M454" t="n">
        <v>0</v>
      </c>
      <c r="N454" t="n">
        <v>0</v>
      </c>
      <c r="O454" t="n">
        <v>0</v>
      </c>
      <c r="P454" t="n">
        <v>0</v>
      </c>
      <c r="Q454" t="n">
        <v>0</v>
      </c>
      <c r="R454" s="2" t="inlineStr"/>
    </row>
    <row r="455" ht="15" customHeight="1">
      <c r="A455" t="inlineStr">
        <is>
          <t>A 40361-2025</t>
        </is>
      </c>
      <c r="B455" s="1" t="n">
        <v>45895.49026620371</v>
      </c>
      <c r="C455" s="1" t="n">
        <v>46052</v>
      </c>
      <c r="D455" t="inlineStr">
        <is>
          <t>JÄMTLANDS LÄN</t>
        </is>
      </c>
      <c r="E455" t="inlineStr">
        <is>
          <t>ÖSTERSUND</t>
        </is>
      </c>
      <c r="G455" t="n">
        <v>1.5</v>
      </c>
      <c r="H455" t="n">
        <v>0</v>
      </c>
      <c r="I455" t="n">
        <v>0</v>
      </c>
      <c r="J455" t="n">
        <v>0</v>
      </c>
      <c r="K455" t="n">
        <v>0</v>
      </c>
      <c r="L455" t="n">
        <v>0</v>
      </c>
      <c r="M455" t="n">
        <v>0</v>
      </c>
      <c r="N455" t="n">
        <v>0</v>
      </c>
      <c r="O455" t="n">
        <v>0</v>
      </c>
      <c r="P455" t="n">
        <v>0</v>
      </c>
      <c r="Q455" t="n">
        <v>0</v>
      </c>
      <c r="R455" s="2" t="inlineStr"/>
    </row>
    <row r="456" ht="15" customHeight="1">
      <c r="A456" t="inlineStr">
        <is>
          <t>A 2730-2025</t>
        </is>
      </c>
      <c r="B456" s="1" t="n">
        <v>45677.44393518518</v>
      </c>
      <c r="C456" s="1" t="n">
        <v>46052</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40360-2025</t>
        </is>
      </c>
      <c r="B457" s="1" t="n">
        <v>45895.49024305555</v>
      </c>
      <c r="C457" s="1" t="n">
        <v>46052</v>
      </c>
      <c r="D457" t="inlineStr">
        <is>
          <t>JÄMTLANDS LÄN</t>
        </is>
      </c>
      <c r="E457" t="inlineStr">
        <is>
          <t>ÖSTERSUND</t>
        </is>
      </c>
      <c r="G457" t="n">
        <v>3.7</v>
      </c>
      <c r="H457" t="n">
        <v>0</v>
      </c>
      <c r="I457" t="n">
        <v>0</v>
      </c>
      <c r="J457" t="n">
        <v>0</v>
      </c>
      <c r="K457" t="n">
        <v>0</v>
      </c>
      <c r="L457" t="n">
        <v>0</v>
      </c>
      <c r="M457" t="n">
        <v>0</v>
      </c>
      <c r="N457" t="n">
        <v>0</v>
      </c>
      <c r="O457" t="n">
        <v>0</v>
      </c>
      <c r="P457" t="n">
        <v>0</v>
      </c>
      <c r="Q457" t="n">
        <v>0</v>
      </c>
      <c r="R457" s="2" t="inlineStr"/>
    </row>
    <row r="458" ht="15" customHeight="1">
      <c r="A458" t="inlineStr">
        <is>
          <t>A 57398-2023</t>
        </is>
      </c>
      <c r="B458" s="1" t="n">
        <v>45245</v>
      </c>
      <c r="C458" s="1" t="n">
        <v>46052</v>
      </c>
      <c r="D458" t="inlineStr">
        <is>
          <t>JÄMTLANDS LÄN</t>
        </is>
      </c>
      <c r="E458" t="inlineStr">
        <is>
          <t>ÖSTERSUND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44051-2021</t>
        </is>
      </c>
      <c r="B459" s="1" t="n">
        <v>44434</v>
      </c>
      <c r="C459" s="1" t="n">
        <v>46052</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55235-2023</t>
        </is>
      </c>
      <c r="B460" s="1" t="n">
        <v>45231</v>
      </c>
      <c r="C460" s="1" t="n">
        <v>46052</v>
      </c>
      <c r="D460" t="inlineStr">
        <is>
          <t>JÄMTLANDS LÄN</t>
        </is>
      </c>
      <c r="E460" t="inlineStr">
        <is>
          <t>ÖSTERSUND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62225-2022</t>
        </is>
      </c>
      <c r="B461" s="1" t="n">
        <v>44922</v>
      </c>
      <c r="C461" s="1" t="n">
        <v>46052</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8216-2025</t>
        </is>
      </c>
      <c r="B462" s="1" t="n">
        <v>45708.44947916667</v>
      </c>
      <c r="C462" s="1" t="n">
        <v>46052</v>
      </c>
      <c r="D462" t="inlineStr">
        <is>
          <t>JÄMTLANDS LÄN</t>
        </is>
      </c>
      <c r="E462" t="inlineStr">
        <is>
          <t>ÖSTERSUND</t>
        </is>
      </c>
      <c r="F462" t="inlineStr">
        <is>
          <t>Övriga Aktiebolag</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54587-2024</t>
        </is>
      </c>
      <c r="B463" s="1" t="n">
        <v>45617.65800925926</v>
      </c>
      <c r="C463" s="1" t="n">
        <v>46052</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38644-2021</t>
        </is>
      </c>
      <c r="B464" s="1" t="n">
        <v>44410.35376157407</v>
      </c>
      <c r="C464" s="1" t="n">
        <v>46052</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20634-2023</t>
        </is>
      </c>
      <c r="B465" s="1" t="n">
        <v>45057.9441087963</v>
      </c>
      <c r="C465" s="1" t="n">
        <v>46052</v>
      </c>
      <c r="D465" t="inlineStr">
        <is>
          <t>JÄMTLANDS LÄN</t>
        </is>
      </c>
      <c r="E465" t="inlineStr">
        <is>
          <t>ÖSTERSUND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25228-2025</t>
        </is>
      </c>
      <c r="B466" s="1" t="n">
        <v>45800.48368055555</v>
      </c>
      <c r="C466" s="1" t="n">
        <v>46052</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52913-2021</t>
        </is>
      </c>
      <c r="B467" s="1" t="n">
        <v>44466</v>
      </c>
      <c r="C467" s="1" t="n">
        <v>46052</v>
      </c>
      <c r="D467" t="inlineStr">
        <is>
          <t>JÄMTLANDS LÄN</t>
        </is>
      </c>
      <c r="E467" t="inlineStr">
        <is>
          <t>ÖSTERSUND</t>
        </is>
      </c>
      <c r="G467" t="n">
        <v>4.2</v>
      </c>
      <c r="H467" t="n">
        <v>0</v>
      </c>
      <c r="I467" t="n">
        <v>0</v>
      </c>
      <c r="J467" t="n">
        <v>0</v>
      </c>
      <c r="K467" t="n">
        <v>0</v>
      </c>
      <c r="L467" t="n">
        <v>0</v>
      </c>
      <c r="M467" t="n">
        <v>0</v>
      </c>
      <c r="N467" t="n">
        <v>0</v>
      </c>
      <c r="O467" t="n">
        <v>0</v>
      </c>
      <c r="P467" t="n">
        <v>0</v>
      </c>
      <c r="Q467" t="n">
        <v>0</v>
      </c>
      <c r="R467" s="2" t="inlineStr"/>
    </row>
    <row r="468" ht="15" customHeight="1">
      <c r="A468" t="inlineStr">
        <is>
          <t>A 40326-2025</t>
        </is>
      </c>
      <c r="B468" s="1" t="n">
        <v>45895.44856481482</v>
      </c>
      <c r="C468" s="1" t="n">
        <v>46052</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44701.94034722223</v>
      </c>
      <c r="C469" s="1" t="n">
        <v>46052</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10306-2023</t>
        </is>
      </c>
      <c r="B470" s="1" t="n">
        <v>44986.94196759259</v>
      </c>
      <c r="C470" s="1" t="n">
        <v>46052</v>
      </c>
      <c r="D470" t="inlineStr">
        <is>
          <t>JÄMTLANDS LÄN</t>
        </is>
      </c>
      <c r="E470" t="inlineStr">
        <is>
          <t>ÖSTERSUND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16306-2025</t>
        </is>
      </c>
      <c r="B471" s="1" t="n">
        <v>45751.34664351852</v>
      </c>
      <c r="C471" s="1" t="n">
        <v>46052</v>
      </c>
      <c r="D471" t="inlineStr">
        <is>
          <t>JÄMTLANDS LÄN</t>
        </is>
      </c>
      <c r="E471" t="inlineStr">
        <is>
          <t>ÖSTERSUND</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10756-2025</t>
        </is>
      </c>
      <c r="B472" s="1" t="n">
        <v>45722.44892361111</v>
      </c>
      <c r="C472" s="1" t="n">
        <v>46052</v>
      </c>
      <c r="D472" t="inlineStr">
        <is>
          <t>JÄMTLANDS LÄN</t>
        </is>
      </c>
      <c r="E472" t="inlineStr">
        <is>
          <t>ÖSTERSUND</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26321-2022</t>
        </is>
      </c>
      <c r="B473" s="1" t="n">
        <v>44735</v>
      </c>
      <c r="C473" s="1" t="n">
        <v>46052</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43252-2023</t>
        </is>
      </c>
      <c r="B474" s="1" t="n">
        <v>45183</v>
      </c>
      <c r="C474" s="1" t="n">
        <v>46052</v>
      </c>
      <c r="D474" t="inlineStr">
        <is>
          <t>JÄMTLANDS LÄN</t>
        </is>
      </c>
      <c r="E474" t="inlineStr">
        <is>
          <t>ÖSTERSUND</t>
        </is>
      </c>
      <c r="G474" t="n">
        <v>2.9</v>
      </c>
      <c r="H474" t="n">
        <v>0</v>
      </c>
      <c r="I474" t="n">
        <v>0</v>
      </c>
      <c r="J474" t="n">
        <v>0</v>
      </c>
      <c r="K474" t="n">
        <v>0</v>
      </c>
      <c r="L474" t="n">
        <v>0</v>
      </c>
      <c r="M474" t="n">
        <v>0</v>
      </c>
      <c r="N474" t="n">
        <v>0</v>
      </c>
      <c r="O474" t="n">
        <v>0</v>
      </c>
      <c r="P474" t="n">
        <v>0</v>
      </c>
      <c r="Q474" t="n">
        <v>0</v>
      </c>
      <c r="R474" s="2" t="inlineStr"/>
    </row>
    <row r="475" ht="15" customHeight="1">
      <c r="A475" t="inlineStr">
        <is>
          <t>A 22126-2021</t>
        </is>
      </c>
      <c r="B475" s="1" t="n">
        <v>44323</v>
      </c>
      <c r="C475" s="1" t="n">
        <v>46052</v>
      </c>
      <c r="D475" t="inlineStr">
        <is>
          <t>JÄMTLANDS LÄN</t>
        </is>
      </c>
      <c r="E475" t="inlineStr">
        <is>
          <t>ÖSTERSUND</t>
        </is>
      </c>
      <c r="G475" t="n">
        <v>1.4</v>
      </c>
      <c r="H475" t="n">
        <v>0</v>
      </c>
      <c r="I475" t="n">
        <v>0</v>
      </c>
      <c r="J475" t="n">
        <v>0</v>
      </c>
      <c r="K475" t="n">
        <v>0</v>
      </c>
      <c r="L475" t="n">
        <v>0</v>
      </c>
      <c r="M475" t="n">
        <v>0</v>
      </c>
      <c r="N475" t="n">
        <v>0</v>
      </c>
      <c r="O475" t="n">
        <v>0</v>
      </c>
      <c r="P475" t="n">
        <v>0</v>
      </c>
      <c r="Q475" t="n">
        <v>0</v>
      </c>
      <c r="R475" s="2" t="inlineStr"/>
    </row>
    <row r="476" ht="15" customHeight="1">
      <c r="A476" t="inlineStr">
        <is>
          <t>A 7936-2025</t>
        </is>
      </c>
      <c r="B476" s="1" t="n">
        <v>45707</v>
      </c>
      <c r="C476" s="1" t="n">
        <v>46052</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7940-2025</t>
        </is>
      </c>
      <c r="B477" s="1" t="n">
        <v>45707.40493055555</v>
      </c>
      <c r="C477" s="1" t="n">
        <v>46052</v>
      </c>
      <c r="D477" t="inlineStr">
        <is>
          <t>JÄMTLANDS LÄN</t>
        </is>
      </c>
      <c r="E477" t="inlineStr">
        <is>
          <t>ÖSTERSUND</t>
        </is>
      </c>
      <c r="F477" t="inlineStr">
        <is>
          <t>Övriga Aktiebolag</t>
        </is>
      </c>
      <c r="G477" t="n">
        <v>48.1</v>
      </c>
      <c r="H477" t="n">
        <v>0</v>
      </c>
      <c r="I477" t="n">
        <v>0</v>
      </c>
      <c r="J477" t="n">
        <v>0</v>
      </c>
      <c r="K477" t="n">
        <v>0</v>
      </c>
      <c r="L477" t="n">
        <v>0</v>
      </c>
      <c r="M477" t="n">
        <v>0</v>
      </c>
      <c r="N477" t="n">
        <v>0</v>
      </c>
      <c r="O477" t="n">
        <v>0</v>
      </c>
      <c r="P477" t="n">
        <v>0</v>
      </c>
      <c r="Q477" t="n">
        <v>0</v>
      </c>
      <c r="R477" s="2" t="inlineStr"/>
    </row>
    <row r="478" ht="15" customHeight="1">
      <c r="A478" t="inlineStr">
        <is>
          <t>A 26586-2025</t>
        </is>
      </c>
      <c r="B478" s="1" t="n">
        <v>45807.74140046296</v>
      </c>
      <c r="C478" s="1" t="n">
        <v>46052</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36211-2025</t>
        </is>
      </c>
      <c r="B479" s="1" t="n">
        <v>45867.46946759259</v>
      </c>
      <c r="C479" s="1" t="n">
        <v>46052</v>
      </c>
      <c r="D479" t="inlineStr">
        <is>
          <t>JÄMTLANDS LÄN</t>
        </is>
      </c>
      <c r="E479" t="inlineStr">
        <is>
          <t>ÖSTERSUND</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5024-2025</t>
        </is>
      </c>
      <c r="B480" s="1" t="n">
        <v>45691.40832175926</v>
      </c>
      <c r="C480" s="1" t="n">
        <v>46052</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5025-2025</t>
        </is>
      </c>
      <c r="B481" s="1" t="n">
        <v>45691.40836805556</v>
      </c>
      <c r="C481" s="1" t="n">
        <v>46052</v>
      </c>
      <c r="D481" t="inlineStr">
        <is>
          <t>JÄMTLANDS LÄN</t>
        </is>
      </c>
      <c r="E481" t="inlineStr">
        <is>
          <t>ÖSTERSUND</t>
        </is>
      </c>
      <c r="G481" t="n">
        <v>0.1</v>
      </c>
      <c r="H481" t="n">
        <v>0</v>
      </c>
      <c r="I481" t="n">
        <v>0</v>
      </c>
      <c r="J481" t="n">
        <v>0</v>
      </c>
      <c r="K481" t="n">
        <v>0</v>
      </c>
      <c r="L481" t="n">
        <v>0</v>
      </c>
      <c r="M481" t="n">
        <v>0</v>
      </c>
      <c r="N481" t="n">
        <v>0</v>
      </c>
      <c r="O481" t="n">
        <v>0</v>
      </c>
      <c r="P481" t="n">
        <v>0</v>
      </c>
      <c r="Q481" t="n">
        <v>0</v>
      </c>
      <c r="R481" s="2" t="inlineStr"/>
    </row>
    <row r="482" ht="15" customHeight="1">
      <c r="A482" t="inlineStr">
        <is>
          <t>A 30217-2022</t>
        </is>
      </c>
      <c r="B482" s="1" t="n">
        <v>44757.92671296297</v>
      </c>
      <c r="C482" s="1" t="n">
        <v>46052</v>
      </c>
      <c r="D482" t="inlineStr">
        <is>
          <t>JÄMTLANDS LÄN</t>
        </is>
      </c>
      <c r="E482" t="inlineStr">
        <is>
          <t>ÖSTERSUND</t>
        </is>
      </c>
      <c r="G482" t="n">
        <v>2.9</v>
      </c>
      <c r="H482" t="n">
        <v>0</v>
      </c>
      <c r="I482" t="n">
        <v>0</v>
      </c>
      <c r="J482" t="n">
        <v>0</v>
      </c>
      <c r="K482" t="n">
        <v>0</v>
      </c>
      <c r="L482" t="n">
        <v>0</v>
      </c>
      <c r="M482" t="n">
        <v>0</v>
      </c>
      <c r="N482" t="n">
        <v>0</v>
      </c>
      <c r="O482" t="n">
        <v>0</v>
      </c>
      <c r="P482" t="n">
        <v>0</v>
      </c>
      <c r="Q482" t="n">
        <v>0</v>
      </c>
      <c r="R482" s="2" t="inlineStr"/>
    </row>
    <row r="483" ht="15" customHeight="1">
      <c r="A483" t="inlineStr">
        <is>
          <t>A 34923-2025</t>
        </is>
      </c>
      <c r="B483" s="1" t="n">
        <v>45849.55601851852</v>
      </c>
      <c r="C483" s="1" t="n">
        <v>46052</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36098-2025</t>
        </is>
      </c>
      <c r="B484" s="1" t="n">
        <v>45866.50549768518</v>
      </c>
      <c r="C484" s="1" t="n">
        <v>46052</v>
      </c>
      <c r="D484" t="inlineStr">
        <is>
          <t>JÄMTLANDS LÄN</t>
        </is>
      </c>
      <c r="E484" t="inlineStr">
        <is>
          <t>ÖSTERSUND</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55140-2023</t>
        </is>
      </c>
      <c r="B485" s="1" t="n">
        <v>45237.50966435186</v>
      </c>
      <c r="C485" s="1" t="n">
        <v>46052</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54663-2022</t>
        </is>
      </c>
      <c r="B486" s="1" t="n">
        <v>44883.44737268519</v>
      </c>
      <c r="C486" s="1" t="n">
        <v>46052</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36566-2025</t>
        </is>
      </c>
      <c r="B487" s="1" t="n">
        <v>45869</v>
      </c>
      <c r="C487" s="1" t="n">
        <v>46052</v>
      </c>
      <c r="D487" t="inlineStr">
        <is>
          <t>JÄMTLANDS LÄN</t>
        </is>
      </c>
      <c r="E487" t="inlineStr">
        <is>
          <t>ÖSTERSUND</t>
        </is>
      </c>
      <c r="F487" t="inlineStr">
        <is>
          <t>Sveaskog</t>
        </is>
      </c>
      <c r="G487" t="n">
        <v>6.9</v>
      </c>
      <c r="H487" t="n">
        <v>0</v>
      </c>
      <c r="I487" t="n">
        <v>0</v>
      </c>
      <c r="J487" t="n">
        <v>0</v>
      </c>
      <c r="K487" t="n">
        <v>0</v>
      </c>
      <c r="L487" t="n">
        <v>0</v>
      </c>
      <c r="M487" t="n">
        <v>0</v>
      </c>
      <c r="N487" t="n">
        <v>0</v>
      </c>
      <c r="O487" t="n">
        <v>0</v>
      </c>
      <c r="P487" t="n">
        <v>0</v>
      </c>
      <c r="Q487" t="n">
        <v>0</v>
      </c>
      <c r="R487" s="2" t="inlineStr"/>
    </row>
    <row r="488" ht="15" customHeight="1">
      <c r="A488" t="inlineStr">
        <is>
          <t>A 47727-2023</t>
        </is>
      </c>
      <c r="B488" s="1" t="n">
        <v>45203</v>
      </c>
      <c r="C488" s="1" t="n">
        <v>46052</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11052-2024</t>
        </is>
      </c>
      <c r="B489" s="1" t="n">
        <v>45370</v>
      </c>
      <c r="C489" s="1" t="n">
        <v>46052</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60767-2022</t>
        </is>
      </c>
      <c r="B490" s="1" t="n">
        <v>44914.35599537037</v>
      </c>
      <c r="C490" s="1" t="n">
        <v>46052</v>
      </c>
      <c r="D490" t="inlineStr">
        <is>
          <t>JÄMTLANDS LÄN</t>
        </is>
      </c>
      <c r="E490" t="inlineStr">
        <is>
          <t>ÖSTERSUND</t>
        </is>
      </c>
      <c r="G490" t="n">
        <v>1.6</v>
      </c>
      <c r="H490" t="n">
        <v>0</v>
      </c>
      <c r="I490" t="n">
        <v>0</v>
      </c>
      <c r="J490" t="n">
        <v>0</v>
      </c>
      <c r="K490" t="n">
        <v>0</v>
      </c>
      <c r="L490" t="n">
        <v>0</v>
      </c>
      <c r="M490" t="n">
        <v>0</v>
      </c>
      <c r="N490" t="n">
        <v>0</v>
      </c>
      <c r="O490" t="n">
        <v>0</v>
      </c>
      <c r="P490" t="n">
        <v>0</v>
      </c>
      <c r="Q490" t="n">
        <v>0</v>
      </c>
      <c r="R490" s="2" t="inlineStr"/>
    </row>
    <row r="491" ht="15" customHeight="1">
      <c r="A491" t="inlineStr">
        <is>
          <t>A 14182-2025</t>
        </is>
      </c>
      <c r="B491" s="1" t="n">
        <v>45740.54168981482</v>
      </c>
      <c r="C491" s="1" t="n">
        <v>46052</v>
      </c>
      <c r="D491" t="inlineStr">
        <is>
          <t>JÄMTLANDS LÄN</t>
        </is>
      </c>
      <c r="E491" t="inlineStr">
        <is>
          <t>ÖSTERSUND</t>
        </is>
      </c>
      <c r="F491" t="inlineStr">
        <is>
          <t>Övriga Aktiebolag</t>
        </is>
      </c>
      <c r="G491" t="n">
        <v>20.1</v>
      </c>
      <c r="H491" t="n">
        <v>0</v>
      </c>
      <c r="I491" t="n">
        <v>0</v>
      </c>
      <c r="J491" t="n">
        <v>0</v>
      </c>
      <c r="K491" t="n">
        <v>0</v>
      </c>
      <c r="L491" t="n">
        <v>0</v>
      </c>
      <c r="M491" t="n">
        <v>0</v>
      </c>
      <c r="N491" t="n">
        <v>0</v>
      </c>
      <c r="O491" t="n">
        <v>0</v>
      </c>
      <c r="P491" t="n">
        <v>0</v>
      </c>
      <c r="Q491" t="n">
        <v>0</v>
      </c>
      <c r="R491" s="2" t="inlineStr"/>
    </row>
    <row r="492" ht="15" customHeight="1">
      <c r="A492" t="inlineStr">
        <is>
          <t>A 60623-2022</t>
        </is>
      </c>
      <c r="B492" s="1" t="n">
        <v>44911.6459837963</v>
      </c>
      <c r="C492" s="1" t="n">
        <v>46052</v>
      </c>
      <c r="D492" t="inlineStr">
        <is>
          <t>JÄMTLANDS LÄN</t>
        </is>
      </c>
      <c r="E492" t="inlineStr">
        <is>
          <t>ÖSTERSUND</t>
        </is>
      </c>
      <c r="G492" t="n">
        <v>10.9</v>
      </c>
      <c r="H492" t="n">
        <v>0</v>
      </c>
      <c r="I492" t="n">
        <v>0</v>
      </c>
      <c r="J492" t="n">
        <v>0</v>
      </c>
      <c r="K492" t="n">
        <v>0</v>
      </c>
      <c r="L492" t="n">
        <v>0</v>
      </c>
      <c r="M492" t="n">
        <v>0</v>
      </c>
      <c r="N492" t="n">
        <v>0</v>
      </c>
      <c r="O492" t="n">
        <v>0</v>
      </c>
      <c r="P492" t="n">
        <v>0</v>
      </c>
      <c r="Q492" t="n">
        <v>0</v>
      </c>
      <c r="R492" s="2" t="inlineStr"/>
    </row>
    <row r="493" ht="15" customHeight="1">
      <c r="A493" t="inlineStr">
        <is>
          <t>A 3615-2025</t>
        </is>
      </c>
      <c r="B493" s="1" t="n">
        <v>45681.36493055556</v>
      </c>
      <c r="C493" s="1" t="n">
        <v>46052</v>
      </c>
      <c r="D493" t="inlineStr">
        <is>
          <t>JÄMTLANDS LÄN</t>
        </is>
      </c>
      <c r="E493" t="inlineStr">
        <is>
          <t>ÖSTERSUND</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3651-2025</t>
        </is>
      </c>
      <c r="B494" s="1" t="n">
        <v>45681.40689814815</v>
      </c>
      <c r="C494" s="1" t="n">
        <v>46052</v>
      </c>
      <c r="D494" t="inlineStr">
        <is>
          <t>JÄMTLANDS LÄN</t>
        </is>
      </c>
      <c r="E494" t="inlineStr">
        <is>
          <t>ÖSTERSUND</t>
        </is>
      </c>
      <c r="F494" t="inlineStr">
        <is>
          <t>SCA</t>
        </is>
      </c>
      <c r="G494" t="n">
        <v>9.6</v>
      </c>
      <c r="H494" t="n">
        <v>0</v>
      </c>
      <c r="I494" t="n">
        <v>0</v>
      </c>
      <c r="J494" t="n">
        <v>0</v>
      </c>
      <c r="K494" t="n">
        <v>0</v>
      </c>
      <c r="L494" t="n">
        <v>0</v>
      </c>
      <c r="M494" t="n">
        <v>0</v>
      </c>
      <c r="N494" t="n">
        <v>0</v>
      </c>
      <c r="O494" t="n">
        <v>0</v>
      </c>
      <c r="P494" t="n">
        <v>0</v>
      </c>
      <c r="Q494" t="n">
        <v>0</v>
      </c>
      <c r="R494" s="2" t="inlineStr"/>
    </row>
    <row r="495" ht="15" customHeight="1">
      <c r="A495" t="inlineStr">
        <is>
          <t>A 3664-2025</t>
        </is>
      </c>
      <c r="B495" s="1" t="n">
        <v>45681.4275462963</v>
      </c>
      <c r="C495" s="1" t="n">
        <v>46052</v>
      </c>
      <c r="D495" t="inlineStr">
        <is>
          <t>JÄMTLANDS LÄN</t>
        </is>
      </c>
      <c r="E495" t="inlineStr">
        <is>
          <t>ÖSTERSUND</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12821-2023</t>
        </is>
      </c>
      <c r="B496" s="1" t="n">
        <v>45000</v>
      </c>
      <c r="C496" s="1" t="n">
        <v>46052</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37597-2023</t>
        </is>
      </c>
      <c r="B497" s="1" t="n">
        <v>45159.42180555555</v>
      </c>
      <c r="C497" s="1" t="n">
        <v>46052</v>
      </c>
      <c r="D497" t="inlineStr">
        <is>
          <t>JÄMTLANDS LÄN</t>
        </is>
      </c>
      <c r="E497" t="inlineStr">
        <is>
          <t>ÖSTERSUND</t>
        </is>
      </c>
      <c r="G497" t="n">
        <v>4.7</v>
      </c>
      <c r="H497" t="n">
        <v>0</v>
      </c>
      <c r="I497" t="n">
        <v>0</v>
      </c>
      <c r="J497" t="n">
        <v>0</v>
      </c>
      <c r="K497" t="n">
        <v>0</v>
      </c>
      <c r="L497" t="n">
        <v>0</v>
      </c>
      <c r="M497" t="n">
        <v>0</v>
      </c>
      <c r="N497" t="n">
        <v>0</v>
      </c>
      <c r="O497" t="n">
        <v>0</v>
      </c>
      <c r="P497" t="n">
        <v>0</v>
      </c>
      <c r="Q497" t="n">
        <v>0</v>
      </c>
      <c r="R497" s="2" t="inlineStr"/>
    </row>
    <row r="498" ht="15" customHeight="1">
      <c r="A498" t="inlineStr">
        <is>
          <t>A 44798-2023</t>
        </is>
      </c>
      <c r="B498" s="1" t="n">
        <v>45190</v>
      </c>
      <c r="C498" s="1" t="n">
        <v>46052</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4936-2025</t>
        </is>
      </c>
      <c r="B499" s="1" t="n">
        <v>45688.69356481481</v>
      </c>
      <c r="C499" s="1" t="n">
        <v>46052</v>
      </c>
      <c r="D499" t="inlineStr">
        <is>
          <t>JÄMTLANDS LÄN</t>
        </is>
      </c>
      <c r="E499" t="inlineStr">
        <is>
          <t>ÖSTERSUND</t>
        </is>
      </c>
      <c r="G499" t="n">
        <v>8.1</v>
      </c>
      <c r="H499" t="n">
        <v>0</v>
      </c>
      <c r="I499" t="n">
        <v>0</v>
      </c>
      <c r="J499" t="n">
        <v>0</v>
      </c>
      <c r="K499" t="n">
        <v>0</v>
      </c>
      <c r="L499" t="n">
        <v>0</v>
      </c>
      <c r="M499" t="n">
        <v>0</v>
      </c>
      <c r="N499" t="n">
        <v>0</v>
      </c>
      <c r="O499" t="n">
        <v>0</v>
      </c>
      <c r="P499" t="n">
        <v>0</v>
      </c>
      <c r="Q499" t="n">
        <v>0</v>
      </c>
      <c r="R499" s="2" t="inlineStr"/>
    </row>
    <row r="500" ht="15" customHeight="1">
      <c r="A500" t="inlineStr">
        <is>
          <t>A 37085-2025</t>
        </is>
      </c>
      <c r="B500" s="1" t="n">
        <v>45875.44840277778</v>
      </c>
      <c r="C500" s="1" t="n">
        <v>46052</v>
      </c>
      <c r="D500" t="inlineStr">
        <is>
          <t>JÄMTLANDS LÄN</t>
        </is>
      </c>
      <c r="E500" t="inlineStr">
        <is>
          <t>ÖSTERSUND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55365-2024</t>
        </is>
      </c>
      <c r="B501" s="1" t="n">
        <v>45621.86827546296</v>
      </c>
      <c r="C501" s="1" t="n">
        <v>46052</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44048-2024</t>
        </is>
      </c>
      <c r="B502" s="1" t="n">
        <v>45572.59430555555</v>
      </c>
      <c r="C502" s="1" t="n">
        <v>46052</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18429-2025</t>
        </is>
      </c>
      <c r="B503" s="1" t="n">
        <v>45762.63375</v>
      </c>
      <c r="C503" s="1" t="n">
        <v>46052</v>
      </c>
      <c r="D503" t="inlineStr">
        <is>
          <t>JÄMTLANDS LÄN</t>
        </is>
      </c>
      <c r="E503" t="inlineStr">
        <is>
          <t>ÖSTERSUND</t>
        </is>
      </c>
      <c r="F503" t="inlineStr">
        <is>
          <t>Sveaskog</t>
        </is>
      </c>
      <c r="G503" t="n">
        <v>5.5</v>
      </c>
      <c r="H503" t="n">
        <v>0</v>
      </c>
      <c r="I503" t="n">
        <v>0</v>
      </c>
      <c r="J503" t="n">
        <v>0</v>
      </c>
      <c r="K503" t="n">
        <v>0</v>
      </c>
      <c r="L503" t="n">
        <v>0</v>
      </c>
      <c r="M503" t="n">
        <v>0</v>
      </c>
      <c r="N503" t="n">
        <v>0</v>
      </c>
      <c r="O503" t="n">
        <v>0</v>
      </c>
      <c r="P503" t="n">
        <v>0</v>
      </c>
      <c r="Q503" t="n">
        <v>0</v>
      </c>
      <c r="R503" s="2" t="inlineStr"/>
    </row>
    <row r="504" ht="15" customHeight="1">
      <c r="A504" t="inlineStr">
        <is>
          <t>A 6877-2024</t>
        </is>
      </c>
      <c r="B504" s="1" t="n">
        <v>45342</v>
      </c>
      <c r="C504" s="1" t="n">
        <v>46052</v>
      </c>
      <c r="D504" t="inlineStr">
        <is>
          <t>JÄMTLANDS LÄN</t>
        </is>
      </c>
      <c r="E504" t="inlineStr">
        <is>
          <t>ÖSTERSUND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9971-2025</t>
        </is>
      </c>
      <c r="B505" s="1" t="n">
        <v>45719.38630787037</v>
      </c>
      <c r="C505" s="1" t="n">
        <v>46052</v>
      </c>
      <c r="D505" t="inlineStr">
        <is>
          <t>JÄMTLANDS LÄN</t>
        </is>
      </c>
      <c r="E505" t="inlineStr">
        <is>
          <t>ÖSTERSUND</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60349-2024</t>
        </is>
      </c>
      <c r="B506" s="1" t="n">
        <v>45643.42986111111</v>
      </c>
      <c r="C506" s="1" t="n">
        <v>46052</v>
      </c>
      <c r="D506" t="inlineStr">
        <is>
          <t>JÄMTLANDS LÄN</t>
        </is>
      </c>
      <c r="E506" t="inlineStr">
        <is>
          <t>ÖSTERSUND</t>
        </is>
      </c>
      <c r="F506" t="inlineStr">
        <is>
          <t>Sveaskog</t>
        </is>
      </c>
      <c r="G506" t="n">
        <v>16.6</v>
      </c>
      <c r="H506" t="n">
        <v>0</v>
      </c>
      <c r="I506" t="n">
        <v>0</v>
      </c>
      <c r="J506" t="n">
        <v>0</v>
      </c>
      <c r="K506" t="n">
        <v>0</v>
      </c>
      <c r="L506" t="n">
        <v>0</v>
      </c>
      <c r="M506" t="n">
        <v>0</v>
      </c>
      <c r="N506" t="n">
        <v>0</v>
      </c>
      <c r="O506" t="n">
        <v>0</v>
      </c>
      <c r="P506" t="n">
        <v>0</v>
      </c>
      <c r="Q506" t="n">
        <v>0</v>
      </c>
      <c r="R506" s="2" t="inlineStr"/>
    </row>
    <row r="507" ht="15" customHeight="1">
      <c r="A507" t="inlineStr">
        <is>
          <t>A 41582-2025</t>
        </is>
      </c>
      <c r="B507" s="1" t="n">
        <v>45901</v>
      </c>
      <c r="C507" s="1" t="n">
        <v>46052</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17574-2022</t>
        </is>
      </c>
      <c r="B508" s="1" t="n">
        <v>44679.92574074074</v>
      </c>
      <c r="C508" s="1" t="n">
        <v>46052</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61332-2024</t>
        </is>
      </c>
      <c r="B509" s="1" t="n">
        <v>45646.35685185185</v>
      </c>
      <c r="C509" s="1" t="n">
        <v>46052</v>
      </c>
      <c r="D509" t="inlineStr">
        <is>
          <t>JÄMTLANDS LÄN</t>
        </is>
      </c>
      <c r="E509" t="inlineStr">
        <is>
          <t>ÖSTERSUND</t>
        </is>
      </c>
      <c r="G509" t="n">
        <v>3.2</v>
      </c>
      <c r="H509" t="n">
        <v>0</v>
      </c>
      <c r="I509" t="n">
        <v>0</v>
      </c>
      <c r="J509" t="n">
        <v>0</v>
      </c>
      <c r="K509" t="n">
        <v>0</v>
      </c>
      <c r="L509" t="n">
        <v>0</v>
      </c>
      <c r="M509" t="n">
        <v>0</v>
      </c>
      <c r="N509" t="n">
        <v>0</v>
      </c>
      <c r="O509" t="n">
        <v>0</v>
      </c>
      <c r="P509" t="n">
        <v>0</v>
      </c>
      <c r="Q509" t="n">
        <v>0</v>
      </c>
      <c r="R509" s="2" t="inlineStr"/>
    </row>
    <row r="510" ht="15" customHeight="1">
      <c r="A510" t="inlineStr">
        <is>
          <t>A 6351-2024</t>
        </is>
      </c>
      <c r="B510" s="1" t="n">
        <v>45338</v>
      </c>
      <c r="C510" s="1" t="n">
        <v>46052</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32998-2021</t>
        </is>
      </c>
      <c r="B511" s="1" t="n">
        <v>44375</v>
      </c>
      <c r="C511" s="1" t="n">
        <v>46052</v>
      </c>
      <c r="D511" t="inlineStr">
        <is>
          <t>JÄMTLANDS LÄN</t>
        </is>
      </c>
      <c r="E511" t="inlineStr">
        <is>
          <t>ÖSTERSUND</t>
        </is>
      </c>
      <c r="G511" t="n">
        <v>0.1</v>
      </c>
      <c r="H511" t="n">
        <v>0</v>
      </c>
      <c r="I511" t="n">
        <v>0</v>
      </c>
      <c r="J511" t="n">
        <v>0</v>
      </c>
      <c r="K511" t="n">
        <v>0</v>
      </c>
      <c r="L511" t="n">
        <v>0</v>
      </c>
      <c r="M511" t="n">
        <v>0</v>
      </c>
      <c r="N511" t="n">
        <v>0</v>
      </c>
      <c r="O511" t="n">
        <v>0</v>
      </c>
      <c r="P511" t="n">
        <v>0</v>
      </c>
      <c r="Q511" t="n">
        <v>0</v>
      </c>
      <c r="R511" s="2" t="inlineStr"/>
    </row>
    <row r="512" ht="15" customHeight="1">
      <c r="A512" t="inlineStr">
        <is>
          <t>A 3749-2023</t>
        </is>
      </c>
      <c r="B512" s="1" t="n">
        <v>44949</v>
      </c>
      <c r="C512" s="1" t="n">
        <v>46052</v>
      </c>
      <c r="D512" t="inlineStr">
        <is>
          <t>JÄMTLANDS LÄN</t>
        </is>
      </c>
      <c r="E512" t="inlineStr">
        <is>
          <t>ÖSTERSUND</t>
        </is>
      </c>
      <c r="G512" t="n">
        <v>0.2</v>
      </c>
      <c r="H512" t="n">
        <v>0</v>
      </c>
      <c r="I512" t="n">
        <v>0</v>
      </c>
      <c r="J512" t="n">
        <v>0</v>
      </c>
      <c r="K512" t="n">
        <v>0</v>
      </c>
      <c r="L512" t="n">
        <v>0</v>
      </c>
      <c r="M512" t="n">
        <v>0</v>
      </c>
      <c r="N512" t="n">
        <v>0</v>
      </c>
      <c r="O512" t="n">
        <v>0</v>
      </c>
      <c r="P512" t="n">
        <v>0</v>
      </c>
      <c r="Q512" t="n">
        <v>0</v>
      </c>
      <c r="R512" s="2" t="inlineStr"/>
    </row>
    <row r="513" ht="15" customHeight="1">
      <c r="A513" t="inlineStr">
        <is>
          <t>A 3255-2025</t>
        </is>
      </c>
      <c r="B513" s="1" t="n">
        <v>45679.55256944444</v>
      </c>
      <c r="C513" s="1" t="n">
        <v>46052</v>
      </c>
      <c r="D513" t="inlineStr">
        <is>
          <t>JÄMTLANDS LÄN</t>
        </is>
      </c>
      <c r="E513" t="inlineStr">
        <is>
          <t>ÖSTERSUND</t>
        </is>
      </c>
      <c r="F513" t="inlineStr">
        <is>
          <t>SCA</t>
        </is>
      </c>
      <c r="G513" t="n">
        <v>16.7</v>
      </c>
      <c r="H513" t="n">
        <v>0</v>
      </c>
      <c r="I513" t="n">
        <v>0</v>
      </c>
      <c r="J513" t="n">
        <v>0</v>
      </c>
      <c r="K513" t="n">
        <v>0</v>
      </c>
      <c r="L513" t="n">
        <v>0</v>
      </c>
      <c r="M513" t="n">
        <v>0</v>
      </c>
      <c r="N513" t="n">
        <v>0</v>
      </c>
      <c r="O513" t="n">
        <v>0</v>
      </c>
      <c r="P513" t="n">
        <v>0</v>
      </c>
      <c r="Q513" t="n">
        <v>0</v>
      </c>
      <c r="R513" s="2" t="inlineStr"/>
    </row>
    <row r="514" ht="15" customHeight="1">
      <c r="A514" t="inlineStr">
        <is>
          <t>A 51941-2023</t>
        </is>
      </c>
      <c r="B514" s="1" t="n">
        <v>45223</v>
      </c>
      <c r="C514" s="1" t="n">
        <v>46052</v>
      </c>
      <c r="D514" t="inlineStr">
        <is>
          <t>JÄMTLANDS LÄN</t>
        </is>
      </c>
      <c r="E514" t="inlineStr">
        <is>
          <t>ÖSTERSUND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58364-2024</t>
        </is>
      </c>
      <c r="B515" s="1" t="n">
        <v>45632.68814814815</v>
      </c>
      <c r="C515" s="1" t="n">
        <v>46052</v>
      </c>
      <c r="D515" t="inlineStr">
        <is>
          <t>JÄMTLANDS LÄN</t>
        </is>
      </c>
      <c r="E515" t="inlineStr">
        <is>
          <t>ÖSTERSUND</t>
        </is>
      </c>
      <c r="G515" t="n">
        <v>5.5</v>
      </c>
      <c r="H515" t="n">
        <v>0</v>
      </c>
      <c r="I515" t="n">
        <v>0</v>
      </c>
      <c r="J515" t="n">
        <v>0</v>
      </c>
      <c r="K515" t="n">
        <v>0</v>
      </c>
      <c r="L515" t="n">
        <v>0</v>
      </c>
      <c r="M515" t="n">
        <v>0</v>
      </c>
      <c r="N515" t="n">
        <v>0</v>
      </c>
      <c r="O515" t="n">
        <v>0</v>
      </c>
      <c r="P515" t="n">
        <v>0</v>
      </c>
      <c r="Q515" t="n">
        <v>0</v>
      </c>
      <c r="R515" s="2" t="inlineStr"/>
    </row>
    <row r="516" ht="15" customHeight="1">
      <c r="A516" t="inlineStr">
        <is>
          <t>A 33801-2022</t>
        </is>
      </c>
      <c r="B516" s="1" t="n">
        <v>44790</v>
      </c>
      <c r="C516" s="1" t="n">
        <v>46052</v>
      </c>
      <c r="D516" t="inlineStr">
        <is>
          <t>JÄMTLANDS LÄN</t>
        </is>
      </c>
      <c r="E516" t="inlineStr">
        <is>
          <t>ÖSTERSUND</t>
        </is>
      </c>
      <c r="G516" t="n">
        <v>7.6</v>
      </c>
      <c r="H516" t="n">
        <v>0</v>
      </c>
      <c r="I516" t="n">
        <v>0</v>
      </c>
      <c r="J516" t="n">
        <v>0</v>
      </c>
      <c r="K516" t="n">
        <v>0</v>
      </c>
      <c r="L516" t="n">
        <v>0</v>
      </c>
      <c r="M516" t="n">
        <v>0</v>
      </c>
      <c r="N516" t="n">
        <v>0</v>
      </c>
      <c r="O516" t="n">
        <v>0</v>
      </c>
      <c r="P516" t="n">
        <v>0</v>
      </c>
      <c r="Q516" t="n">
        <v>0</v>
      </c>
      <c r="R516" s="2" t="inlineStr"/>
    </row>
    <row r="517" ht="15" customHeight="1">
      <c r="A517" t="inlineStr">
        <is>
          <t>A 3997-2025</t>
        </is>
      </c>
      <c r="B517" s="1" t="n">
        <v>45684.56725694444</v>
      </c>
      <c r="C517" s="1" t="n">
        <v>46052</v>
      </c>
      <c r="D517" t="inlineStr">
        <is>
          <t>JÄMTLANDS LÄN</t>
        </is>
      </c>
      <c r="E517" t="inlineStr">
        <is>
          <t>ÖSTERSUND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33831-2021</t>
        </is>
      </c>
      <c r="B518" s="1" t="n">
        <v>44378</v>
      </c>
      <c r="C518" s="1" t="n">
        <v>46052</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64645-2021</t>
        </is>
      </c>
      <c r="B519" s="1" t="n">
        <v>44511.94629629629</v>
      </c>
      <c r="C519" s="1" t="n">
        <v>46052</v>
      </c>
      <c r="D519" t="inlineStr">
        <is>
          <t>JÄMTLANDS LÄN</t>
        </is>
      </c>
      <c r="E519" t="inlineStr">
        <is>
          <t>ÖSTERSUND</t>
        </is>
      </c>
      <c r="G519" t="n">
        <v>3.2</v>
      </c>
      <c r="H519" t="n">
        <v>0</v>
      </c>
      <c r="I519" t="n">
        <v>0</v>
      </c>
      <c r="J519" t="n">
        <v>0</v>
      </c>
      <c r="K519" t="n">
        <v>0</v>
      </c>
      <c r="L519" t="n">
        <v>0</v>
      </c>
      <c r="M519" t="n">
        <v>0</v>
      </c>
      <c r="N519" t="n">
        <v>0</v>
      </c>
      <c r="O519" t="n">
        <v>0</v>
      </c>
      <c r="P519" t="n">
        <v>0</v>
      </c>
      <c r="Q519" t="n">
        <v>0</v>
      </c>
      <c r="R519" s="2" t="inlineStr"/>
    </row>
    <row r="520" ht="15" customHeight="1">
      <c r="A520" t="inlineStr">
        <is>
          <t>A 41675-2025</t>
        </is>
      </c>
      <c r="B520" s="1" t="n">
        <v>45902.36641203704</v>
      </c>
      <c r="C520" s="1" t="n">
        <v>46052</v>
      </c>
      <c r="D520" t="inlineStr">
        <is>
          <t>JÄMTLANDS LÄN</t>
        </is>
      </c>
      <c r="E520" t="inlineStr">
        <is>
          <t>ÖSTERSUND</t>
        </is>
      </c>
      <c r="G520" t="n">
        <v>0.5</v>
      </c>
      <c r="H520" t="n">
        <v>0</v>
      </c>
      <c r="I520" t="n">
        <v>0</v>
      </c>
      <c r="J520" t="n">
        <v>0</v>
      </c>
      <c r="K520" t="n">
        <v>0</v>
      </c>
      <c r="L520" t="n">
        <v>0</v>
      </c>
      <c r="M520" t="n">
        <v>0</v>
      </c>
      <c r="N520" t="n">
        <v>0</v>
      </c>
      <c r="O520" t="n">
        <v>0</v>
      </c>
      <c r="P520" t="n">
        <v>0</v>
      </c>
      <c r="Q520" t="n">
        <v>0</v>
      </c>
      <c r="R520" s="2" t="inlineStr"/>
    </row>
    <row r="521" ht="15" customHeight="1">
      <c r="A521" t="inlineStr">
        <is>
          <t>A 41708-2025</t>
        </is>
      </c>
      <c r="B521" s="1" t="n">
        <v>45902.42280092592</v>
      </c>
      <c r="C521" s="1" t="n">
        <v>46052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42129-2025</t>
        </is>
      </c>
      <c r="B522" s="1" t="n">
        <v>45904.3452662037</v>
      </c>
      <c r="C522" s="1" t="n">
        <v>46052</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846-2024</t>
        </is>
      </c>
      <c r="B523" s="1" t="n">
        <v>45300</v>
      </c>
      <c r="C523" s="1" t="n">
        <v>46052</v>
      </c>
      <c r="D523" t="inlineStr">
        <is>
          <t>JÄMTLANDS LÄN</t>
        </is>
      </c>
      <c r="E523" t="inlineStr">
        <is>
          <t>ÖSTERSUND</t>
        </is>
      </c>
      <c r="G523" t="n">
        <v>2.8</v>
      </c>
      <c r="H523" t="n">
        <v>0</v>
      </c>
      <c r="I523" t="n">
        <v>0</v>
      </c>
      <c r="J523" t="n">
        <v>0</v>
      </c>
      <c r="K523" t="n">
        <v>0</v>
      </c>
      <c r="L523" t="n">
        <v>0</v>
      </c>
      <c r="M523" t="n">
        <v>0</v>
      </c>
      <c r="N523" t="n">
        <v>0</v>
      </c>
      <c r="O523" t="n">
        <v>0</v>
      </c>
      <c r="P523" t="n">
        <v>0</v>
      </c>
      <c r="Q523" t="n">
        <v>0</v>
      </c>
      <c r="R523" s="2" t="inlineStr"/>
    </row>
    <row r="524" ht="15" customHeight="1">
      <c r="A524" t="inlineStr">
        <is>
          <t>A 12102-2025</t>
        </is>
      </c>
      <c r="B524" s="1" t="n">
        <v>45729.3425</v>
      </c>
      <c r="C524" s="1" t="n">
        <v>46052</v>
      </c>
      <c r="D524" t="inlineStr">
        <is>
          <t>JÄMTLANDS LÄN</t>
        </is>
      </c>
      <c r="E524" t="inlineStr">
        <is>
          <t>ÖSTERSUND</t>
        </is>
      </c>
      <c r="G524" t="n">
        <v>1.5</v>
      </c>
      <c r="H524" t="n">
        <v>0</v>
      </c>
      <c r="I524" t="n">
        <v>0</v>
      </c>
      <c r="J524" t="n">
        <v>0</v>
      </c>
      <c r="K524" t="n">
        <v>0</v>
      </c>
      <c r="L524" t="n">
        <v>0</v>
      </c>
      <c r="M524" t="n">
        <v>0</v>
      </c>
      <c r="N524" t="n">
        <v>0</v>
      </c>
      <c r="O524" t="n">
        <v>0</v>
      </c>
      <c r="P524" t="n">
        <v>0</v>
      </c>
      <c r="Q524" t="n">
        <v>0</v>
      </c>
      <c r="R524" s="2" t="inlineStr"/>
    </row>
    <row r="525" ht="15" customHeight="1">
      <c r="A525" t="inlineStr">
        <is>
          <t>A 51936-2023</t>
        </is>
      </c>
      <c r="B525" s="1" t="n">
        <v>45223.5036574074</v>
      </c>
      <c r="C525" s="1" t="n">
        <v>46052</v>
      </c>
      <c r="D525" t="inlineStr">
        <is>
          <t>JÄMTLANDS LÄN</t>
        </is>
      </c>
      <c r="E525" t="inlineStr">
        <is>
          <t>ÖSTERSUND</t>
        </is>
      </c>
      <c r="G525" t="n">
        <v>8.4</v>
      </c>
      <c r="H525" t="n">
        <v>0</v>
      </c>
      <c r="I525" t="n">
        <v>0</v>
      </c>
      <c r="J525" t="n">
        <v>0</v>
      </c>
      <c r="K525" t="n">
        <v>0</v>
      </c>
      <c r="L525" t="n">
        <v>0</v>
      </c>
      <c r="M525" t="n">
        <v>0</v>
      </c>
      <c r="N525" t="n">
        <v>0</v>
      </c>
      <c r="O525" t="n">
        <v>0</v>
      </c>
      <c r="P525" t="n">
        <v>0</v>
      </c>
      <c r="Q525" t="n">
        <v>0</v>
      </c>
      <c r="R525" s="2" t="inlineStr"/>
    </row>
    <row r="526" ht="15" customHeight="1">
      <c r="A526" t="inlineStr">
        <is>
          <t>A 54973-2023</t>
        </is>
      </c>
      <c r="B526" s="1" t="n">
        <v>45236.92776620371</v>
      </c>
      <c r="C526" s="1" t="n">
        <v>46052</v>
      </c>
      <c r="D526" t="inlineStr">
        <is>
          <t>JÄMTLANDS LÄN</t>
        </is>
      </c>
      <c r="E526" t="inlineStr">
        <is>
          <t>ÖSTERSUND</t>
        </is>
      </c>
      <c r="G526" t="n">
        <v>15.4</v>
      </c>
      <c r="H526" t="n">
        <v>0</v>
      </c>
      <c r="I526" t="n">
        <v>0</v>
      </c>
      <c r="J526" t="n">
        <v>0</v>
      </c>
      <c r="K526" t="n">
        <v>0</v>
      </c>
      <c r="L526" t="n">
        <v>0</v>
      </c>
      <c r="M526" t="n">
        <v>0</v>
      </c>
      <c r="N526" t="n">
        <v>0</v>
      </c>
      <c r="O526" t="n">
        <v>0</v>
      </c>
      <c r="P526" t="n">
        <v>0</v>
      </c>
      <c r="Q526" t="n">
        <v>0</v>
      </c>
      <c r="R526" s="2" t="inlineStr"/>
    </row>
    <row r="527" ht="15" customHeight="1">
      <c r="A527" t="inlineStr">
        <is>
          <t>A 36099-2025</t>
        </is>
      </c>
      <c r="B527" s="1" t="n">
        <v>45866.51630787037</v>
      </c>
      <c r="C527" s="1" t="n">
        <v>46052</v>
      </c>
      <c r="D527" t="inlineStr">
        <is>
          <t>JÄMTLANDS LÄN</t>
        </is>
      </c>
      <c r="E527" t="inlineStr">
        <is>
          <t>ÖSTERSUND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25995-2025</t>
        </is>
      </c>
      <c r="B528" s="1" t="n">
        <v>45804.656875</v>
      </c>
      <c r="C528" s="1" t="n">
        <v>46052</v>
      </c>
      <c r="D528" t="inlineStr">
        <is>
          <t>JÄMTLANDS LÄN</t>
        </is>
      </c>
      <c r="E528" t="inlineStr">
        <is>
          <t>ÖSTERSUND</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18627-2024</t>
        </is>
      </c>
      <c r="B529" s="1" t="n">
        <v>45425.96443287037</v>
      </c>
      <c r="C529" s="1" t="n">
        <v>46052</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28179-2024</t>
        </is>
      </c>
      <c r="B530" s="1" t="n">
        <v>45477.26746527778</v>
      </c>
      <c r="C530" s="1" t="n">
        <v>46052</v>
      </c>
      <c r="D530" t="inlineStr">
        <is>
          <t>JÄMTLANDS LÄN</t>
        </is>
      </c>
      <c r="E530" t="inlineStr">
        <is>
          <t>ÖSTERSUND</t>
        </is>
      </c>
      <c r="G530" t="n">
        <v>2.2</v>
      </c>
      <c r="H530" t="n">
        <v>0</v>
      </c>
      <c r="I530" t="n">
        <v>0</v>
      </c>
      <c r="J530" t="n">
        <v>0</v>
      </c>
      <c r="K530" t="n">
        <v>0</v>
      </c>
      <c r="L530" t="n">
        <v>0</v>
      </c>
      <c r="M530" t="n">
        <v>0</v>
      </c>
      <c r="N530" t="n">
        <v>0</v>
      </c>
      <c r="O530" t="n">
        <v>0</v>
      </c>
      <c r="P530" t="n">
        <v>0</v>
      </c>
      <c r="Q530" t="n">
        <v>0</v>
      </c>
      <c r="R530" s="2" t="inlineStr"/>
    </row>
    <row r="531" ht="15" customHeight="1">
      <c r="A531" t="inlineStr">
        <is>
          <t>A 42989-2025</t>
        </is>
      </c>
      <c r="B531" s="1" t="n">
        <v>45909.44971064815</v>
      </c>
      <c r="C531" s="1" t="n">
        <v>46052</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13921-2023</t>
        </is>
      </c>
      <c r="B532" s="1" t="n">
        <v>45008</v>
      </c>
      <c r="C532" s="1" t="n">
        <v>46052</v>
      </c>
      <c r="D532" t="inlineStr">
        <is>
          <t>JÄMTLANDS LÄN</t>
        </is>
      </c>
      <c r="E532" t="inlineStr">
        <is>
          <t>ÖSTERSUND</t>
        </is>
      </c>
      <c r="G532" t="n">
        <v>0.3</v>
      </c>
      <c r="H532" t="n">
        <v>0</v>
      </c>
      <c r="I532" t="n">
        <v>0</v>
      </c>
      <c r="J532" t="n">
        <v>0</v>
      </c>
      <c r="K532" t="n">
        <v>0</v>
      </c>
      <c r="L532" t="n">
        <v>0</v>
      </c>
      <c r="M532" t="n">
        <v>0</v>
      </c>
      <c r="N532" t="n">
        <v>0</v>
      </c>
      <c r="O532" t="n">
        <v>0</v>
      </c>
      <c r="P532" t="n">
        <v>0</v>
      </c>
      <c r="Q532" t="n">
        <v>0</v>
      </c>
      <c r="R532" s="2" t="inlineStr"/>
    </row>
    <row r="533" ht="15" customHeight="1">
      <c r="A533" t="inlineStr">
        <is>
          <t>A 207-2025</t>
        </is>
      </c>
      <c r="B533" s="1" t="n">
        <v>45660.32672453704</v>
      </c>
      <c r="C533" s="1" t="n">
        <v>46052</v>
      </c>
      <c r="D533" t="inlineStr">
        <is>
          <t>JÄMTLANDS LÄN</t>
        </is>
      </c>
      <c r="E533" t="inlineStr">
        <is>
          <t>ÖSTERSUND</t>
        </is>
      </c>
      <c r="G533" t="n">
        <v>4</v>
      </c>
      <c r="H533" t="n">
        <v>0</v>
      </c>
      <c r="I533" t="n">
        <v>0</v>
      </c>
      <c r="J533" t="n">
        <v>0</v>
      </c>
      <c r="K533" t="n">
        <v>0</v>
      </c>
      <c r="L533" t="n">
        <v>0</v>
      </c>
      <c r="M533" t="n">
        <v>0</v>
      </c>
      <c r="N533" t="n">
        <v>0</v>
      </c>
      <c r="O533" t="n">
        <v>0</v>
      </c>
      <c r="P533" t="n">
        <v>0</v>
      </c>
      <c r="Q533" t="n">
        <v>0</v>
      </c>
      <c r="R533" s="2" t="inlineStr"/>
    </row>
    <row r="534" ht="15" customHeight="1">
      <c r="A534" t="inlineStr">
        <is>
          <t>A 7233-2024</t>
        </is>
      </c>
      <c r="B534" s="1" t="n">
        <v>45344</v>
      </c>
      <c r="C534" s="1" t="n">
        <v>46052</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43225-2025</t>
        </is>
      </c>
      <c r="B535" s="1" t="n">
        <v>45910.4900462963</v>
      </c>
      <c r="C535" s="1" t="n">
        <v>46052</v>
      </c>
      <c r="D535" t="inlineStr">
        <is>
          <t>JÄMTLANDS LÄN</t>
        </is>
      </c>
      <c r="E535" t="inlineStr">
        <is>
          <t>ÖSTERSUND</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43548-2025</t>
        </is>
      </c>
      <c r="B536" s="1" t="n">
        <v>45911.61579861111</v>
      </c>
      <c r="C536" s="1" t="n">
        <v>46052</v>
      </c>
      <c r="D536" t="inlineStr">
        <is>
          <t>JÄMTLANDS LÄN</t>
        </is>
      </c>
      <c r="E536" t="inlineStr">
        <is>
          <t>ÖSTERSUND</t>
        </is>
      </c>
      <c r="F536" t="inlineStr">
        <is>
          <t>SCA</t>
        </is>
      </c>
      <c r="G536" t="n">
        <v>17.3</v>
      </c>
      <c r="H536" t="n">
        <v>0</v>
      </c>
      <c r="I536" t="n">
        <v>0</v>
      </c>
      <c r="J536" t="n">
        <v>0</v>
      </c>
      <c r="K536" t="n">
        <v>0</v>
      </c>
      <c r="L536" t="n">
        <v>0</v>
      </c>
      <c r="M536" t="n">
        <v>0</v>
      </c>
      <c r="N536" t="n">
        <v>0</v>
      </c>
      <c r="O536" t="n">
        <v>0</v>
      </c>
      <c r="P536" t="n">
        <v>0</v>
      </c>
      <c r="Q536" t="n">
        <v>0</v>
      </c>
      <c r="R536" s="2" t="inlineStr"/>
    </row>
    <row r="537" ht="15" customHeight="1">
      <c r="A537" t="inlineStr">
        <is>
          <t>A 13738-2025</t>
        </is>
      </c>
      <c r="B537" s="1" t="n">
        <v>45737.40131944444</v>
      </c>
      <c r="C537" s="1" t="n">
        <v>46052</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43411-2025</t>
        </is>
      </c>
      <c r="B538" s="1" t="n">
        <v>45911.40074074074</v>
      </c>
      <c r="C538" s="1" t="n">
        <v>46052</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43519-2025</t>
        </is>
      </c>
      <c r="B539" s="1" t="n">
        <v>45911.57349537037</v>
      </c>
      <c r="C539" s="1" t="n">
        <v>46052</v>
      </c>
      <c r="D539" t="inlineStr">
        <is>
          <t>JÄMTLANDS LÄN</t>
        </is>
      </c>
      <c r="E539" t="inlineStr">
        <is>
          <t>ÖSTERSUND</t>
        </is>
      </c>
      <c r="F539" t="inlineStr">
        <is>
          <t>SCA</t>
        </is>
      </c>
      <c r="G539" t="n">
        <v>14.4</v>
      </c>
      <c r="H539" t="n">
        <v>0</v>
      </c>
      <c r="I539" t="n">
        <v>0</v>
      </c>
      <c r="J539" t="n">
        <v>0</v>
      </c>
      <c r="K539" t="n">
        <v>0</v>
      </c>
      <c r="L539" t="n">
        <v>0</v>
      </c>
      <c r="M539" t="n">
        <v>0</v>
      </c>
      <c r="N539" t="n">
        <v>0</v>
      </c>
      <c r="O539" t="n">
        <v>0</v>
      </c>
      <c r="P539" t="n">
        <v>0</v>
      </c>
      <c r="Q539" t="n">
        <v>0</v>
      </c>
      <c r="R539" s="2" t="inlineStr"/>
    </row>
    <row r="540" ht="15" customHeight="1">
      <c r="A540" t="inlineStr">
        <is>
          <t>A 18577-2025</t>
        </is>
      </c>
      <c r="B540" s="1" t="n">
        <v>45763</v>
      </c>
      <c r="C540" s="1" t="n">
        <v>46052</v>
      </c>
      <c r="D540" t="inlineStr">
        <is>
          <t>JÄMTLANDS LÄN</t>
        </is>
      </c>
      <c r="E540" t="inlineStr">
        <is>
          <t>ÖSTERSUND</t>
        </is>
      </c>
      <c r="G540" t="n">
        <v>3.5</v>
      </c>
      <c r="H540" t="n">
        <v>0</v>
      </c>
      <c r="I540" t="n">
        <v>0</v>
      </c>
      <c r="J540" t="n">
        <v>0</v>
      </c>
      <c r="K540" t="n">
        <v>0</v>
      </c>
      <c r="L540" t="n">
        <v>0</v>
      </c>
      <c r="M540" t="n">
        <v>0</v>
      </c>
      <c r="N540" t="n">
        <v>0</v>
      </c>
      <c r="O540" t="n">
        <v>0</v>
      </c>
      <c r="P540" t="n">
        <v>0</v>
      </c>
      <c r="Q540" t="n">
        <v>0</v>
      </c>
      <c r="R540" s="2" t="inlineStr"/>
    </row>
    <row r="541" ht="15" customHeight="1">
      <c r="A541" t="inlineStr">
        <is>
          <t>A 18578-2025</t>
        </is>
      </c>
      <c r="B541" s="1" t="n">
        <v>45763</v>
      </c>
      <c r="C541" s="1" t="n">
        <v>46052</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59691-2024</t>
        </is>
      </c>
      <c r="B542" s="1" t="n">
        <v>45639.40684027778</v>
      </c>
      <c r="C542" s="1" t="n">
        <v>46052</v>
      </c>
      <c r="D542" t="inlineStr">
        <is>
          <t>JÄMTLANDS LÄN</t>
        </is>
      </c>
      <c r="E542" t="inlineStr">
        <is>
          <t>ÖSTERSUND</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61791-2023</t>
        </is>
      </c>
      <c r="B543" s="1" t="n">
        <v>45265.95795138889</v>
      </c>
      <c r="C543" s="1" t="n">
        <v>46052</v>
      </c>
      <c r="D543" t="inlineStr">
        <is>
          <t>JÄMTLANDS LÄN</t>
        </is>
      </c>
      <c r="E543" t="inlineStr">
        <is>
          <t>ÖSTERSUND</t>
        </is>
      </c>
      <c r="F543" t="inlineStr">
        <is>
          <t>SCA</t>
        </is>
      </c>
      <c r="G543" t="n">
        <v>11.4</v>
      </c>
      <c r="H543" t="n">
        <v>0</v>
      </c>
      <c r="I543" t="n">
        <v>0</v>
      </c>
      <c r="J543" t="n">
        <v>0</v>
      </c>
      <c r="K543" t="n">
        <v>0</v>
      </c>
      <c r="L543" t="n">
        <v>0</v>
      </c>
      <c r="M543" t="n">
        <v>0</v>
      </c>
      <c r="N543" t="n">
        <v>0</v>
      </c>
      <c r="O543" t="n">
        <v>0</v>
      </c>
      <c r="P543" t="n">
        <v>0</v>
      </c>
      <c r="Q543" t="n">
        <v>0</v>
      </c>
      <c r="R543" s="2" t="inlineStr"/>
    </row>
    <row r="544" ht="15" customHeight="1">
      <c r="A544" t="inlineStr">
        <is>
          <t>A 13655-2025</t>
        </is>
      </c>
      <c r="B544" s="1" t="n">
        <v>45736.71956018519</v>
      </c>
      <c r="C544" s="1" t="n">
        <v>46052</v>
      </c>
      <c r="D544" t="inlineStr">
        <is>
          <t>JÄMTLANDS LÄN</t>
        </is>
      </c>
      <c r="E544" t="inlineStr">
        <is>
          <t>ÖSTERSUND</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23563-2022</t>
        </is>
      </c>
      <c r="B545" s="1" t="n">
        <v>44721.47241898148</v>
      </c>
      <c r="C545" s="1" t="n">
        <v>46052</v>
      </c>
      <c r="D545" t="inlineStr">
        <is>
          <t>JÄMTLANDS LÄN</t>
        </is>
      </c>
      <c r="E545" t="inlineStr">
        <is>
          <t>ÖSTERSUND</t>
        </is>
      </c>
      <c r="F545" t="inlineStr">
        <is>
          <t>Övriga Aktiebolag</t>
        </is>
      </c>
      <c r="G545" t="n">
        <v>3.7</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46052</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27118-2023</t>
        </is>
      </c>
      <c r="B547" s="1" t="n">
        <v>45096</v>
      </c>
      <c r="C547" s="1" t="n">
        <v>46052</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12-2023</t>
        </is>
      </c>
      <c r="B548" s="1" t="n">
        <v>44927.88021990741</v>
      </c>
      <c r="C548" s="1" t="n">
        <v>46052</v>
      </c>
      <c r="D548" t="inlineStr">
        <is>
          <t>JÄMTLANDS LÄN</t>
        </is>
      </c>
      <c r="E548" t="inlineStr">
        <is>
          <t>ÖSTERSUND</t>
        </is>
      </c>
      <c r="G548" t="n">
        <v>4.7</v>
      </c>
      <c r="H548" t="n">
        <v>0</v>
      </c>
      <c r="I548" t="n">
        <v>0</v>
      </c>
      <c r="J548" t="n">
        <v>0</v>
      </c>
      <c r="K548" t="n">
        <v>0</v>
      </c>
      <c r="L548" t="n">
        <v>0</v>
      </c>
      <c r="M548" t="n">
        <v>0</v>
      </c>
      <c r="N548" t="n">
        <v>0</v>
      </c>
      <c r="O548" t="n">
        <v>0</v>
      </c>
      <c r="P548" t="n">
        <v>0</v>
      </c>
      <c r="Q548" t="n">
        <v>0</v>
      </c>
      <c r="R548" s="2" t="inlineStr"/>
    </row>
    <row r="549" ht="15" customHeight="1">
      <c r="A549" t="inlineStr">
        <is>
          <t>A 8972-2022</t>
        </is>
      </c>
      <c r="B549" s="1" t="n">
        <v>44614.91989583334</v>
      </c>
      <c r="C549" s="1" t="n">
        <v>46052</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10305-2023</t>
        </is>
      </c>
      <c r="B550" s="1" t="n">
        <v>44986</v>
      </c>
      <c r="C550" s="1" t="n">
        <v>46052</v>
      </c>
      <c r="D550" t="inlineStr">
        <is>
          <t>JÄMTLANDS LÄN</t>
        </is>
      </c>
      <c r="E550" t="inlineStr">
        <is>
          <t>ÖSTERSUND</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51865-2024</t>
        </is>
      </c>
      <c r="B551" s="1" t="n">
        <v>45607.55260416667</v>
      </c>
      <c r="C551" s="1" t="n">
        <v>46052</v>
      </c>
      <c r="D551" t="inlineStr">
        <is>
          <t>JÄMTLANDS LÄN</t>
        </is>
      </c>
      <c r="E551" t="inlineStr">
        <is>
          <t>ÖSTERSUND</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55235-2023</t>
        </is>
      </c>
      <c r="B552" s="1" t="n">
        <v>45231</v>
      </c>
      <c r="C552" s="1" t="n">
        <v>46052</v>
      </c>
      <c r="D552" t="inlineStr">
        <is>
          <t>JÄMTLANDS LÄN</t>
        </is>
      </c>
      <c r="E552" t="inlineStr">
        <is>
          <t>ÖSTERSUND</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64309-2023</t>
        </is>
      </c>
      <c r="B553" s="1" t="n">
        <v>45280</v>
      </c>
      <c r="C553" s="1" t="n">
        <v>46052</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64314-2023</t>
        </is>
      </c>
      <c r="B554" s="1" t="n">
        <v>45280</v>
      </c>
      <c r="C554" s="1" t="n">
        <v>46052</v>
      </c>
      <c r="D554" t="inlineStr">
        <is>
          <t>JÄMTLANDS LÄN</t>
        </is>
      </c>
      <c r="E554" t="inlineStr">
        <is>
          <t>ÖSTERSUND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27124-2023</t>
        </is>
      </c>
      <c r="B555" s="1" t="n">
        <v>45096</v>
      </c>
      <c r="C555" s="1" t="n">
        <v>46052</v>
      </c>
      <c r="D555" t="inlineStr">
        <is>
          <t>JÄMTLANDS LÄN</t>
        </is>
      </c>
      <c r="E555" t="inlineStr">
        <is>
          <t>ÖSTERSUND</t>
        </is>
      </c>
      <c r="G555" t="n">
        <v>1.9</v>
      </c>
      <c r="H555" t="n">
        <v>0</v>
      </c>
      <c r="I555" t="n">
        <v>0</v>
      </c>
      <c r="J555" t="n">
        <v>0</v>
      </c>
      <c r="K555" t="n">
        <v>0</v>
      </c>
      <c r="L555" t="n">
        <v>0</v>
      </c>
      <c r="M555" t="n">
        <v>0</v>
      </c>
      <c r="N555" t="n">
        <v>0</v>
      </c>
      <c r="O555" t="n">
        <v>0</v>
      </c>
      <c r="P555" t="n">
        <v>0</v>
      </c>
      <c r="Q555" t="n">
        <v>0</v>
      </c>
      <c r="R555" s="2" t="inlineStr"/>
    </row>
    <row r="556" ht="15" customHeight="1">
      <c r="A556" t="inlineStr">
        <is>
          <t>A 7953-2025</t>
        </is>
      </c>
      <c r="B556" s="1" t="n">
        <v>45707.42392361111</v>
      </c>
      <c r="C556" s="1" t="n">
        <v>46052</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16336-2025</t>
        </is>
      </c>
      <c r="B557" s="1" t="n">
        <v>45751.36519675926</v>
      </c>
      <c r="C557" s="1" t="n">
        <v>46052</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44446-2025</t>
        </is>
      </c>
      <c r="B558" s="1" t="n">
        <v>45916.59773148148</v>
      </c>
      <c r="C558" s="1" t="n">
        <v>46052</v>
      </c>
      <c r="D558" t="inlineStr">
        <is>
          <t>JÄMTLANDS LÄN</t>
        </is>
      </c>
      <c r="E558" t="inlineStr">
        <is>
          <t>ÖSTERSUND</t>
        </is>
      </c>
      <c r="G558" t="n">
        <v>1.9</v>
      </c>
      <c r="H558" t="n">
        <v>0</v>
      </c>
      <c r="I558" t="n">
        <v>0</v>
      </c>
      <c r="J558" t="n">
        <v>0</v>
      </c>
      <c r="K558" t="n">
        <v>0</v>
      </c>
      <c r="L558" t="n">
        <v>0</v>
      </c>
      <c r="M558" t="n">
        <v>0</v>
      </c>
      <c r="N558" t="n">
        <v>0</v>
      </c>
      <c r="O558" t="n">
        <v>0</v>
      </c>
      <c r="P558" t="n">
        <v>0</v>
      </c>
      <c r="Q558" t="n">
        <v>0</v>
      </c>
      <c r="R558" s="2" t="inlineStr"/>
    </row>
    <row r="559" ht="15" customHeight="1">
      <c r="A559" t="inlineStr">
        <is>
          <t>A 4350-2024</t>
        </is>
      </c>
      <c r="B559" s="1" t="n">
        <v>45324.93804398148</v>
      </c>
      <c r="C559" s="1" t="n">
        <v>46052</v>
      </c>
      <c r="D559" t="inlineStr">
        <is>
          <t>JÄMTLANDS LÄN</t>
        </is>
      </c>
      <c r="E559" t="inlineStr">
        <is>
          <t>ÖSTERSUND</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17066-2024</t>
        </is>
      </c>
      <c r="B560" s="1" t="n">
        <v>45412.46636574074</v>
      </c>
      <c r="C560" s="1" t="n">
        <v>46052</v>
      </c>
      <c r="D560" t="inlineStr">
        <is>
          <t>JÄMTLANDS LÄN</t>
        </is>
      </c>
      <c r="E560" t="inlineStr">
        <is>
          <t>ÖSTERSUND</t>
        </is>
      </c>
      <c r="G560" t="n">
        <v>4.2</v>
      </c>
      <c r="H560" t="n">
        <v>0</v>
      </c>
      <c r="I560" t="n">
        <v>0</v>
      </c>
      <c r="J560" t="n">
        <v>0</v>
      </c>
      <c r="K560" t="n">
        <v>0</v>
      </c>
      <c r="L560" t="n">
        <v>0</v>
      </c>
      <c r="M560" t="n">
        <v>0</v>
      </c>
      <c r="N560" t="n">
        <v>0</v>
      </c>
      <c r="O560" t="n">
        <v>0</v>
      </c>
      <c r="P560" t="n">
        <v>0</v>
      </c>
      <c r="Q560" t="n">
        <v>0</v>
      </c>
      <c r="R560" s="2" t="inlineStr"/>
    </row>
    <row r="561" ht="15" customHeight="1">
      <c r="A561" t="inlineStr">
        <is>
          <t>A 61449-2024</t>
        </is>
      </c>
      <c r="B561" s="1" t="n">
        <v>45646.48988425926</v>
      </c>
      <c r="C561" s="1" t="n">
        <v>46052</v>
      </c>
      <c r="D561" t="inlineStr">
        <is>
          <t>JÄMTLANDS LÄN</t>
        </is>
      </c>
      <c r="E561" t="inlineStr">
        <is>
          <t>ÖSTERSUND</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61450-2024</t>
        </is>
      </c>
      <c r="B562" s="1" t="n">
        <v>45646.49012731481</v>
      </c>
      <c r="C562" s="1" t="n">
        <v>46052</v>
      </c>
      <c r="D562" t="inlineStr">
        <is>
          <t>JÄMTLANDS LÄN</t>
        </is>
      </c>
      <c r="E562" t="inlineStr">
        <is>
          <t>ÖSTERSUND</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61451-2024</t>
        </is>
      </c>
      <c r="B563" s="1" t="n">
        <v>45646.49017361111</v>
      </c>
      <c r="C563" s="1" t="n">
        <v>46052</v>
      </c>
      <c r="D563" t="inlineStr">
        <is>
          <t>JÄMTLANDS LÄN</t>
        </is>
      </c>
      <c r="E563" t="inlineStr">
        <is>
          <t>ÖSTERSUND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8261-2025</t>
        </is>
      </c>
      <c r="B564" s="1" t="n">
        <v>45708.50256944444</v>
      </c>
      <c r="C564" s="1" t="n">
        <v>46052</v>
      </c>
      <c r="D564" t="inlineStr">
        <is>
          <t>JÄMTLANDS LÄN</t>
        </is>
      </c>
      <c r="E564" t="inlineStr">
        <is>
          <t>ÖSTERSUND</t>
        </is>
      </c>
      <c r="G564" t="n">
        <v>5.4</v>
      </c>
      <c r="H564" t="n">
        <v>0</v>
      </c>
      <c r="I564" t="n">
        <v>0</v>
      </c>
      <c r="J564" t="n">
        <v>0</v>
      </c>
      <c r="K564" t="n">
        <v>0</v>
      </c>
      <c r="L564" t="n">
        <v>0</v>
      </c>
      <c r="M564" t="n">
        <v>0</v>
      </c>
      <c r="N564" t="n">
        <v>0</v>
      </c>
      <c r="O564" t="n">
        <v>0</v>
      </c>
      <c r="P564" t="n">
        <v>0</v>
      </c>
      <c r="Q564" t="n">
        <v>0</v>
      </c>
      <c r="R564" s="2" t="inlineStr"/>
    </row>
    <row r="565" ht="15" customHeight="1">
      <c r="A565" t="inlineStr">
        <is>
          <t>A 2756-2024</t>
        </is>
      </c>
      <c r="B565" s="1" t="n">
        <v>45314.58785879629</v>
      </c>
      <c r="C565" s="1" t="n">
        <v>46052</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44429-2025</t>
        </is>
      </c>
      <c r="B566" s="1" t="n">
        <v>45916.57010416667</v>
      </c>
      <c r="C566" s="1" t="n">
        <v>46052</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39975-2024</t>
        </is>
      </c>
      <c r="B567" s="1" t="n">
        <v>45553.60474537037</v>
      </c>
      <c r="C567" s="1" t="n">
        <v>46052</v>
      </c>
      <c r="D567" t="inlineStr">
        <is>
          <t>JÄMTLANDS LÄN</t>
        </is>
      </c>
      <c r="E567" t="inlineStr">
        <is>
          <t>ÖSTERSUND</t>
        </is>
      </c>
      <c r="G567" t="n">
        <v>3.8</v>
      </c>
      <c r="H567" t="n">
        <v>0</v>
      </c>
      <c r="I567" t="n">
        <v>0</v>
      </c>
      <c r="J567" t="n">
        <v>0</v>
      </c>
      <c r="K567" t="n">
        <v>0</v>
      </c>
      <c r="L567" t="n">
        <v>0</v>
      </c>
      <c r="M567" t="n">
        <v>0</v>
      </c>
      <c r="N567" t="n">
        <v>0</v>
      </c>
      <c r="O567" t="n">
        <v>0</v>
      </c>
      <c r="P567" t="n">
        <v>0</v>
      </c>
      <c r="Q567" t="n">
        <v>0</v>
      </c>
      <c r="R567" s="2" t="inlineStr"/>
    </row>
    <row r="568" ht="15" customHeight="1">
      <c r="A568" t="inlineStr">
        <is>
          <t>A 61506-2023</t>
        </is>
      </c>
      <c r="B568" s="1" t="n">
        <v>45264</v>
      </c>
      <c r="C568" s="1" t="n">
        <v>46052</v>
      </c>
      <c r="D568" t="inlineStr">
        <is>
          <t>JÄMTLANDS LÄN</t>
        </is>
      </c>
      <c r="E568" t="inlineStr">
        <is>
          <t>ÖSTERSUND</t>
        </is>
      </c>
      <c r="G568" t="n">
        <v>3</v>
      </c>
      <c r="H568" t="n">
        <v>0</v>
      </c>
      <c r="I568" t="n">
        <v>0</v>
      </c>
      <c r="J568" t="n">
        <v>0</v>
      </c>
      <c r="K568" t="n">
        <v>0</v>
      </c>
      <c r="L568" t="n">
        <v>0</v>
      </c>
      <c r="M568" t="n">
        <v>0</v>
      </c>
      <c r="N568" t="n">
        <v>0</v>
      </c>
      <c r="O568" t="n">
        <v>0</v>
      </c>
      <c r="P568" t="n">
        <v>0</v>
      </c>
      <c r="Q568" t="n">
        <v>0</v>
      </c>
      <c r="R568" s="2" t="inlineStr"/>
    </row>
    <row r="569" ht="15" customHeight="1">
      <c r="A569" t="inlineStr">
        <is>
          <t>A 70256-2021</t>
        </is>
      </c>
      <c r="B569" s="1" t="n">
        <v>44533</v>
      </c>
      <c r="C569" s="1" t="n">
        <v>46052</v>
      </c>
      <c r="D569" t="inlineStr">
        <is>
          <t>JÄMTLANDS LÄN</t>
        </is>
      </c>
      <c r="E569" t="inlineStr">
        <is>
          <t>ÖSTERSUND</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16753-2025</t>
        </is>
      </c>
      <c r="B570" s="1" t="n">
        <v>45754.56839120371</v>
      </c>
      <c r="C570" s="1" t="n">
        <v>46052</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46052</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56067-2022</t>
        </is>
      </c>
      <c r="B572" s="1" t="n">
        <v>44889.59378472222</v>
      </c>
      <c r="C572" s="1" t="n">
        <v>46052</v>
      </c>
      <c r="D572" t="inlineStr">
        <is>
          <t>JÄMTLANDS LÄN</t>
        </is>
      </c>
      <c r="E572" t="inlineStr">
        <is>
          <t>ÖSTERSUND</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1893-2023</t>
        </is>
      </c>
      <c r="B573" s="1" t="n">
        <v>44937</v>
      </c>
      <c r="C573" s="1" t="n">
        <v>46052</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57556-2024</t>
        </is>
      </c>
      <c r="B574" s="1" t="n">
        <v>45630</v>
      </c>
      <c r="C574" s="1" t="n">
        <v>46052</v>
      </c>
      <c r="D574" t="inlineStr">
        <is>
          <t>JÄMTLANDS LÄN</t>
        </is>
      </c>
      <c r="E574" t="inlineStr">
        <is>
          <t>ÖSTERSUND</t>
        </is>
      </c>
      <c r="G574" t="n">
        <v>5.5</v>
      </c>
      <c r="H574" t="n">
        <v>0</v>
      </c>
      <c r="I574" t="n">
        <v>0</v>
      </c>
      <c r="J574" t="n">
        <v>0</v>
      </c>
      <c r="K574" t="n">
        <v>0</v>
      </c>
      <c r="L574" t="n">
        <v>0</v>
      </c>
      <c r="M574" t="n">
        <v>0</v>
      </c>
      <c r="N574" t="n">
        <v>0</v>
      </c>
      <c r="O574" t="n">
        <v>0</v>
      </c>
      <c r="P574" t="n">
        <v>0</v>
      </c>
      <c r="Q574" t="n">
        <v>0</v>
      </c>
      <c r="R574" s="2" t="inlineStr"/>
    </row>
    <row r="575" ht="15" customHeight="1">
      <c r="A575" t="inlineStr">
        <is>
          <t>A 6067-2025</t>
        </is>
      </c>
      <c r="B575" s="1" t="n">
        <v>45696.34405092592</v>
      </c>
      <c r="C575" s="1" t="n">
        <v>46052</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14518-2023</t>
        </is>
      </c>
      <c r="B576" s="1" t="n">
        <v>45012</v>
      </c>
      <c r="C576" s="1" t="n">
        <v>46052</v>
      </c>
      <c r="D576" t="inlineStr">
        <is>
          <t>JÄMTLANDS LÄN</t>
        </is>
      </c>
      <c r="E576" t="inlineStr">
        <is>
          <t>ÖSTERSUND</t>
        </is>
      </c>
      <c r="G576" t="n">
        <v>14.4</v>
      </c>
      <c r="H576" t="n">
        <v>0</v>
      </c>
      <c r="I576" t="n">
        <v>0</v>
      </c>
      <c r="J576" t="n">
        <v>0</v>
      </c>
      <c r="K576" t="n">
        <v>0</v>
      </c>
      <c r="L576" t="n">
        <v>0</v>
      </c>
      <c r="M576" t="n">
        <v>0</v>
      </c>
      <c r="N576" t="n">
        <v>0</v>
      </c>
      <c r="O576" t="n">
        <v>0</v>
      </c>
      <c r="P576" t="n">
        <v>0</v>
      </c>
      <c r="Q576" t="n">
        <v>0</v>
      </c>
      <c r="R576" s="2" t="inlineStr"/>
    </row>
    <row r="577" ht="15" customHeight="1">
      <c r="A577" t="inlineStr">
        <is>
          <t>A 19566-2024</t>
        </is>
      </c>
      <c r="B577" s="1" t="n">
        <v>45429.92313657407</v>
      </c>
      <c r="C577" s="1" t="n">
        <v>46052</v>
      </c>
      <c r="D577" t="inlineStr">
        <is>
          <t>JÄMTLANDS LÄN</t>
        </is>
      </c>
      <c r="E577" t="inlineStr">
        <is>
          <t>ÖSTERSUND</t>
        </is>
      </c>
      <c r="G577" t="n">
        <v>0</v>
      </c>
      <c r="H577" t="n">
        <v>0</v>
      </c>
      <c r="I577" t="n">
        <v>0</v>
      </c>
      <c r="J577" t="n">
        <v>0</v>
      </c>
      <c r="K577" t="n">
        <v>0</v>
      </c>
      <c r="L577" t="n">
        <v>0</v>
      </c>
      <c r="M577" t="n">
        <v>0</v>
      </c>
      <c r="N577" t="n">
        <v>0</v>
      </c>
      <c r="O577" t="n">
        <v>0</v>
      </c>
      <c r="P577" t="n">
        <v>0</v>
      </c>
      <c r="Q577" t="n">
        <v>0</v>
      </c>
      <c r="R577" s="2" t="inlineStr"/>
    </row>
    <row r="578" ht="15" customHeight="1">
      <c r="A578" t="inlineStr">
        <is>
          <t>A 9552-2025</t>
        </is>
      </c>
      <c r="B578" s="1" t="n">
        <v>45715.59545138889</v>
      </c>
      <c r="C578" s="1" t="n">
        <v>46052</v>
      </c>
      <c r="D578" t="inlineStr">
        <is>
          <t>JÄMTLANDS LÄN</t>
        </is>
      </c>
      <c r="E578" t="inlineStr">
        <is>
          <t>ÖSTERSUND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45389-2025</t>
        </is>
      </c>
      <c r="B579" s="1" t="n">
        <v>45922.4075</v>
      </c>
      <c r="C579" s="1" t="n">
        <v>46052</v>
      </c>
      <c r="D579" t="inlineStr">
        <is>
          <t>JÄMTLANDS LÄN</t>
        </is>
      </c>
      <c r="E579" t="inlineStr">
        <is>
          <t>ÖSTERSUND</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30602-2023</t>
        </is>
      </c>
      <c r="B580" s="1" t="n">
        <v>45112</v>
      </c>
      <c r="C580" s="1" t="n">
        <v>46052</v>
      </c>
      <c r="D580" t="inlineStr">
        <is>
          <t>JÄMTLANDS LÄN</t>
        </is>
      </c>
      <c r="E580" t="inlineStr">
        <is>
          <t>ÖSTERSUND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45391-2025</t>
        </is>
      </c>
      <c r="B581" s="1" t="n">
        <v>45922.4077662037</v>
      </c>
      <c r="C581" s="1" t="n">
        <v>46052</v>
      </c>
      <c r="D581" t="inlineStr">
        <is>
          <t>JÄMTLANDS LÄN</t>
        </is>
      </c>
      <c r="E581" t="inlineStr">
        <is>
          <t>ÖSTERSUND</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13024-2022</t>
        </is>
      </c>
      <c r="B582" s="1" t="n">
        <v>44643</v>
      </c>
      <c r="C582" s="1" t="n">
        <v>46052</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45297-2025</t>
        </is>
      </c>
      <c r="B583" s="1" t="n">
        <v>45920.8446412037</v>
      </c>
      <c r="C583" s="1" t="n">
        <v>46052</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1211-2025</t>
        </is>
      </c>
      <c r="B584" s="1" t="n">
        <v>45667.40662037037</v>
      </c>
      <c r="C584" s="1" t="n">
        <v>46052</v>
      </c>
      <c r="D584" t="inlineStr">
        <is>
          <t>JÄMTLANDS LÄN</t>
        </is>
      </c>
      <c r="E584" t="inlineStr">
        <is>
          <t>ÖSTERSUND</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7233-2025</t>
        </is>
      </c>
      <c r="B585" s="1" t="n">
        <v>45702.51765046296</v>
      </c>
      <c r="C585" s="1" t="n">
        <v>46052</v>
      </c>
      <c r="D585" t="inlineStr">
        <is>
          <t>JÄMTLANDS LÄN</t>
        </is>
      </c>
      <c r="E585" t="inlineStr">
        <is>
          <t>ÖSTERSUND</t>
        </is>
      </c>
      <c r="G585" t="n">
        <v>1.7</v>
      </c>
      <c r="H585" t="n">
        <v>0</v>
      </c>
      <c r="I585" t="n">
        <v>0</v>
      </c>
      <c r="J585" t="n">
        <v>0</v>
      </c>
      <c r="K585" t="n">
        <v>0</v>
      </c>
      <c r="L585" t="n">
        <v>0</v>
      </c>
      <c r="M585" t="n">
        <v>0</v>
      </c>
      <c r="N585" t="n">
        <v>0</v>
      </c>
      <c r="O585" t="n">
        <v>0</v>
      </c>
      <c r="P585" t="n">
        <v>0</v>
      </c>
      <c r="Q585" t="n">
        <v>0</v>
      </c>
      <c r="R585" s="2" t="inlineStr"/>
    </row>
    <row r="586" ht="15" customHeight="1">
      <c r="A586" t="inlineStr">
        <is>
          <t>A 45385-2025</t>
        </is>
      </c>
      <c r="B586" s="1" t="n">
        <v>45922.40680555555</v>
      </c>
      <c r="C586" s="1" t="n">
        <v>46052</v>
      </c>
      <c r="D586" t="inlineStr">
        <is>
          <t>JÄMTLANDS LÄN</t>
        </is>
      </c>
      <c r="E586" t="inlineStr">
        <is>
          <t>ÖSTERSUND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45004-2022</t>
        </is>
      </c>
      <c r="B587" s="1" t="n">
        <v>44840</v>
      </c>
      <c r="C587" s="1" t="n">
        <v>46052</v>
      </c>
      <c r="D587" t="inlineStr">
        <is>
          <t>JÄMTLANDS LÄN</t>
        </is>
      </c>
      <c r="E587" t="inlineStr">
        <is>
          <t>ÖSTERSUND</t>
        </is>
      </c>
      <c r="G587" t="n">
        <v>2.5</v>
      </c>
      <c r="H587" t="n">
        <v>0</v>
      </c>
      <c r="I587" t="n">
        <v>0</v>
      </c>
      <c r="J587" t="n">
        <v>0</v>
      </c>
      <c r="K587" t="n">
        <v>0</v>
      </c>
      <c r="L587" t="n">
        <v>0</v>
      </c>
      <c r="M587" t="n">
        <v>0</v>
      </c>
      <c r="N587" t="n">
        <v>0</v>
      </c>
      <c r="O587" t="n">
        <v>0</v>
      </c>
      <c r="P587" t="n">
        <v>0</v>
      </c>
      <c r="Q587" t="n">
        <v>0</v>
      </c>
      <c r="R587" s="2" t="inlineStr"/>
    </row>
    <row r="588" ht="15" customHeight="1">
      <c r="A588" t="inlineStr">
        <is>
          <t>A 4966-2025</t>
        </is>
      </c>
      <c r="B588" s="1" t="n">
        <v>45690.63628472222</v>
      </c>
      <c r="C588" s="1" t="n">
        <v>46052</v>
      </c>
      <c r="D588" t="inlineStr">
        <is>
          <t>JÄMTLANDS LÄN</t>
        </is>
      </c>
      <c r="E588" t="inlineStr">
        <is>
          <t>ÖSTERSUND</t>
        </is>
      </c>
      <c r="G588" t="n">
        <v>3.4</v>
      </c>
      <c r="H588" t="n">
        <v>0</v>
      </c>
      <c r="I588" t="n">
        <v>0</v>
      </c>
      <c r="J588" t="n">
        <v>0</v>
      </c>
      <c r="K588" t="n">
        <v>0</v>
      </c>
      <c r="L588" t="n">
        <v>0</v>
      </c>
      <c r="M588" t="n">
        <v>0</v>
      </c>
      <c r="N588" t="n">
        <v>0</v>
      </c>
      <c r="O588" t="n">
        <v>0</v>
      </c>
      <c r="P588" t="n">
        <v>0</v>
      </c>
      <c r="Q588" t="n">
        <v>0</v>
      </c>
      <c r="R588" s="2" t="inlineStr"/>
    </row>
    <row r="589" ht="15" customHeight="1">
      <c r="A589" t="inlineStr">
        <is>
          <t>A 12352-2025</t>
        </is>
      </c>
      <c r="B589" s="1" t="n">
        <v>45730.36263888889</v>
      </c>
      <c r="C589" s="1" t="n">
        <v>46052</v>
      </c>
      <c r="D589" t="inlineStr">
        <is>
          <t>JÄMTLANDS LÄN</t>
        </is>
      </c>
      <c r="E589" t="inlineStr">
        <is>
          <t>ÖSTERSUND</t>
        </is>
      </c>
      <c r="G589" t="n">
        <v>7.8</v>
      </c>
      <c r="H589" t="n">
        <v>0</v>
      </c>
      <c r="I589" t="n">
        <v>0</v>
      </c>
      <c r="J589" t="n">
        <v>0</v>
      </c>
      <c r="K589" t="n">
        <v>0</v>
      </c>
      <c r="L589" t="n">
        <v>0</v>
      </c>
      <c r="M589" t="n">
        <v>0</v>
      </c>
      <c r="N589" t="n">
        <v>0</v>
      </c>
      <c r="O589" t="n">
        <v>0</v>
      </c>
      <c r="P589" t="n">
        <v>0</v>
      </c>
      <c r="Q589" t="n">
        <v>0</v>
      </c>
      <c r="R589" s="2" t="inlineStr"/>
    </row>
    <row r="590" ht="15" customHeight="1">
      <c r="A590" t="inlineStr">
        <is>
          <t>A 45386-2025</t>
        </is>
      </c>
      <c r="B590" s="1" t="n">
        <v>45922.40697916667</v>
      </c>
      <c r="C590" s="1" t="n">
        <v>46052</v>
      </c>
      <c r="D590" t="inlineStr">
        <is>
          <t>JÄMTLANDS LÄN</t>
        </is>
      </c>
      <c r="E590" t="inlineStr">
        <is>
          <t>ÖSTERSUND</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45388-2025</t>
        </is>
      </c>
      <c r="B591" s="1" t="n">
        <v>45922.4074537037</v>
      </c>
      <c r="C591" s="1" t="n">
        <v>46052</v>
      </c>
      <c r="D591" t="inlineStr">
        <is>
          <t>JÄMTLANDS LÄN</t>
        </is>
      </c>
      <c r="E591" t="inlineStr">
        <is>
          <t>ÖSTERSUND</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27906-2024</t>
        </is>
      </c>
      <c r="B592" s="1" t="n">
        <v>45475.94585648148</v>
      </c>
      <c r="C592" s="1" t="n">
        <v>46052</v>
      </c>
      <c r="D592" t="inlineStr">
        <is>
          <t>JÄMTLANDS LÄN</t>
        </is>
      </c>
      <c r="E592" t="inlineStr">
        <is>
          <t>ÖSTERSUND</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53380-2023</t>
        </is>
      </c>
      <c r="B593" s="1" t="n">
        <v>45223</v>
      </c>
      <c r="C593" s="1" t="n">
        <v>46052</v>
      </c>
      <c r="D593" t="inlineStr">
        <is>
          <t>JÄMTLANDS LÄN</t>
        </is>
      </c>
      <c r="E593" t="inlineStr">
        <is>
          <t>ÖSTERSUND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10116-2025</t>
        </is>
      </c>
      <c r="B594" s="1" t="n">
        <v>45719.59836805556</v>
      </c>
      <c r="C594" s="1" t="n">
        <v>46052</v>
      </c>
      <c r="D594" t="inlineStr">
        <is>
          <t>JÄMTLANDS LÄN</t>
        </is>
      </c>
      <c r="E594" t="inlineStr">
        <is>
          <t>ÖSTERSUND</t>
        </is>
      </c>
      <c r="G594" t="n">
        <v>11.1</v>
      </c>
      <c r="H594" t="n">
        <v>0</v>
      </c>
      <c r="I594" t="n">
        <v>0</v>
      </c>
      <c r="J594" t="n">
        <v>0</v>
      </c>
      <c r="K594" t="n">
        <v>0</v>
      </c>
      <c r="L594" t="n">
        <v>0</v>
      </c>
      <c r="M594" t="n">
        <v>0</v>
      </c>
      <c r="N594" t="n">
        <v>0</v>
      </c>
      <c r="O594" t="n">
        <v>0</v>
      </c>
      <c r="P594" t="n">
        <v>0</v>
      </c>
      <c r="Q594" t="n">
        <v>0</v>
      </c>
      <c r="R594" s="2" t="inlineStr"/>
    </row>
    <row r="595" ht="15" customHeight="1">
      <c r="A595" t="inlineStr">
        <is>
          <t>A 48696-2024</t>
        </is>
      </c>
      <c r="B595" s="1" t="n">
        <v>45593.51123842593</v>
      </c>
      <c r="C595" s="1" t="n">
        <v>46052</v>
      </c>
      <c r="D595" t="inlineStr">
        <is>
          <t>JÄMTLANDS LÄN</t>
        </is>
      </c>
      <c r="E595" t="inlineStr">
        <is>
          <t>ÖSTERSUND</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45558-2025</t>
        </is>
      </c>
      <c r="B596" s="1" t="n">
        <v>45922</v>
      </c>
      <c r="C596" s="1" t="n">
        <v>46052</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48737-2024</t>
        </is>
      </c>
      <c r="B597" s="1" t="n">
        <v>45593.57327546296</v>
      </c>
      <c r="C597" s="1" t="n">
        <v>46052</v>
      </c>
      <c r="D597" t="inlineStr">
        <is>
          <t>JÄMTLANDS LÄN</t>
        </is>
      </c>
      <c r="E597" t="inlineStr">
        <is>
          <t>ÖSTERSUND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45481-2025</t>
        </is>
      </c>
      <c r="B598" s="1" t="n">
        <v>45922.53217592592</v>
      </c>
      <c r="C598" s="1" t="n">
        <v>46052</v>
      </c>
      <c r="D598" t="inlineStr">
        <is>
          <t>JÄMTLANDS LÄN</t>
        </is>
      </c>
      <c r="E598" t="inlineStr">
        <is>
          <t>ÖSTERSUND</t>
        </is>
      </c>
      <c r="G598" t="n">
        <v>3</v>
      </c>
      <c r="H598" t="n">
        <v>0</v>
      </c>
      <c r="I598" t="n">
        <v>0</v>
      </c>
      <c r="J598" t="n">
        <v>0</v>
      </c>
      <c r="K598" t="n">
        <v>0</v>
      </c>
      <c r="L598" t="n">
        <v>0</v>
      </c>
      <c r="M598" t="n">
        <v>0</v>
      </c>
      <c r="N598" t="n">
        <v>0</v>
      </c>
      <c r="O598" t="n">
        <v>0</v>
      </c>
      <c r="P598" t="n">
        <v>0</v>
      </c>
      <c r="Q598" t="n">
        <v>0</v>
      </c>
      <c r="R598" s="2" t="inlineStr"/>
    </row>
    <row r="599" ht="15" customHeight="1">
      <c r="A599" t="inlineStr">
        <is>
          <t>A 46132-2025</t>
        </is>
      </c>
      <c r="B599" s="1" t="n">
        <v>45924.59484953704</v>
      </c>
      <c r="C599" s="1" t="n">
        <v>46052</v>
      </c>
      <c r="D599" t="inlineStr">
        <is>
          <t>JÄMTLANDS LÄN</t>
        </is>
      </c>
      <c r="E599" t="inlineStr">
        <is>
          <t>ÖSTERSUND</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46052</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46152-2025</t>
        </is>
      </c>
      <c r="B601" s="1" t="n">
        <v>45924.61512731481</v>
      </c>
      <c r="C601" s="1" t="n">
        <v>46052</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60088-2024</t>
        </is>
      </c>
      <c r="B602" s="1" t="n">
        <v>45642.54847222222</v>
      </c>
      <c r="C602" s="1" t="n">
        <v>46052</v>
      </c>
      <c r="D602" t="inlineStr">
        <is>
          <t>JÄMTLANDS LÄN</t>
        </is>
      </c>
      <c r="E602" t="inlineStr">
        <is>
          <t>ÖSTERSUND</t>
        </is>
      </c>
      <c r="G602" t="n">
        <v>5</v>
      </c>
      <c r="H602" t="n">
        <v>0</v>
      </c>
      <c r="I602" t="n">
        <v>0</v>
      </c>
      <c r="J602" t="n">
        <v>0</v>
      </c>
      <c r="K602" t="n">
        <v>0</v>
      </c>
      <c r="L602" t="n">
        <v>0</v>
      </c>
      <c r="M602" t="n">
        <v>0</v>
      </c>
      <c r="N602" t="n">
        <v>0</v>
      </c>
      <c r="O602" t="n">
        <v>0</v>
      </c>
      <c r="P602" t="n">
        <v>0</v>
      </c>
      <c r="Q602" t="n">
        <v>0</v>
      </c>
      <c r="R602" s="2" t="inlineStr"/>
    </row>
    <row r="603" ht="15" customHeight="1">
      <c r="A603" t="inlineStr">
        <is>
          <t>A 49788-2024</t>
        </is>
      </c>
      <c r="B603" s="1" t="n">
        <v>45597.36623842592</v>
      </c>
      <c r="C603" s="1" t="n">
        <v>46052</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2615-2024</t>
        </is>
      </c>
      <c r="B604" s="1" t="n">
        <v>45313</v>
      </c>
      <c r="C604" s="1" t="n">
        <v>46052</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4901-2025</t>
        </is>
      </c>
      <c r="B605" s="1" t="n">
        <v>45688.67965277778</v>
      </c>
      <c r="C605" s="1" t="n">
        <v>46052</v>
      </c>
      <c r="D605" t="inlineStr">
        <is>
          <t>JÄMTLANDS LÄN</t>
        </is>
      </c>
      <c r="E605" t="inlineStr">
        <is>
          <t>ÖSTERSUND</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33002-2021</t>
        </is>
      </c>
      <c r="B606" s="1" t="n">
        <v>44375</v>
      </c>
      <c r="C606" s="1" t="n">
        <v>46052</v>
      </c>
      <c r="D606" t="inlineStr">
        <is>
          <t>JÄMTLANDS LÄN</t>
        </is>
      </c>
      <c r="E606" t="inlineStr">
        <is>
          <t>ÖSTERSUND</t>
        </is>
      </c>
      <c r="G606" t="n">
        <v>0.2</v>
      </c>
      <c r="H606" t="n">
        <v>0</v>
      </c>
      <c r="I606" t="n">
        <v>0</v>
      </c>
      <c r="J606" t="n">
        <v>0</v>
      </c>
      <c r="K606" t="n">
        <v>0</v>
      </c>
      <c r="L606" t="n">
        <v>0</v>
      </c>
      <c r="M606" t="n">
        <v>0</v>
      </c>
      <c r="N606" t="n">
        <v>0</v>
      </c>
      <c r="O606" t="n">
        <v>0</v>
      </c>
      <c r="P606" t="n">
        <v>0</v>
      </c>
      <c r="Q606" t="n">
        <v>0</v>
      </c>
      <c r="R606" s="2" t="inlineStr"/>
    </row>
    <row r="607" ht="15" customHeight="1">
      <c r="A607" t="inlineStr">
        <is>
          <t>A 14542-2025</t>
        </is>
      </c>
      <c r="B607" s="1" t="n">
        <v>45741.68631944444</v>
      </c>
      <c r="C607" s="1" t="n">
        <v>46052</v>
      </c>
      <c r="D607" t="inlineStr">
        <is>
          <t>JÄMTLANDS LÄN</t>
        </is>
      </c>
      <c r="E607" t="inlineStr">
        <is>
          <t>ÖSTERSUND</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17709-2024</t>
        </is>
      </c>
      <c r="B608" s="1" t="n">
        <v>45418.4843287037</v>
      </c>
      <c r="C608" s="1" t="n">
        <v>46052</v>
      </c>
      <c r="D608" t="inlineStr">
        <is>
          <t>JÄMTLANDS LÄN</t>
        </is>
      </c>
      <c r="E608" t="inlineStr">
        <is>
          <t>ÖSTERSUND</t>
        </is>
      </c>
      <c r="G608" t="n">
        <v>2.9</v>
      </c>
      <c r="H608" t="n">
        <v>0</v>
      </c>
      <c r="I608" t="n">
        <v>0</v>
      </c>
      <c r="J608" t="n">
        <v>0</v>
      </c>
      <c r="K608" t="n">
        <v>0</v>
      </c>
      <c r="L608" t="n">
        <v>0</v>
      </c>
      <c r="M608" t="n">
        <v>0</v>
      </c>
      <c r="N608" t="n">
        <v>0</v>
      </c>
      <c r="O608" t="n">
        <v>0</v>
      </c>
      <c r="P608" t="n">
        <v>0</v>
      </c>
      <c r="Q608" t="n">
        <v>0</v>
      </c>
      <c r="R608" s="2" t="inlineStr"/>
    </row>
    <row r="609" ht="15" customHeight="1">
      <c r="A609" t="inlineStr">
        <is>
          <t>A 58406-2024</t>
        </is>
      </c>
      <c r="B609" s="1" t="n">
        <v>45634.70898148148</v>
      </c>
      <c r="C609" s="1" t="n">
        <v>46052</v>
      </c>
      <c r="D609" t="inlineStr">
        <is>
          <t>JÄMTLANDS LÄN</t>
        </is>
      </c>
      <c r="E609" t="inlineStr">
        <is>
          <t>ÖSTERSUND</t>
        </is>
      </c>
      <c r="G609" t="n">
        <v>3.8</v>
      </c>
      <c r="H609" t="n">
        <v>0</v>
      </c>
      <c r="I609" t="n">
        <v>0</v>
      </c>
      <c r="J609" t="n">
        <v>0</v>
      </c>
      <c r="K609" t="n">
        <v>0</v>
      </c>
      <c r="L609" t="n">
        <v>0</v>
      </c>
      <c r="M609" t="n">
        <v>0</v>
      </c>
      <c r="N609" t="n">
        <v>0</v>
      </c>
      <c r="O609" t="n">
        <v>0</v>
      </c>
      <c r="P609" t="n">
        <v>0</v>
      </c>
      <c r="Q609" t="n">
        <v>0</v>
      </c>
      <c r="R609" s="2" t="inlineStr"/>
    </row>
    <row r="610" ht="15" customHeight="1">
      <c r="A610" t="inlineStr">
        <is>
          <t>A 51826-2024</t>
        </is>
      </c>
      <c r="B610" s="1" t="n">
        <v>45607.50137731482</v>
      </c>
      <c r="C610" s="1" t="n">
        <v>46052</v>
      </c>
      <c r="D610" t="inlineStr">
        <is>
          <t>JÄMTLANDS LÄN</t>
        </is>
      </c>
      <c r="E610" t="inlineStr">
        <is>
          <t>ÖSTERSUND</t>
        </is>
      </c>
      <c r="G610" t="n">
        <v>1.1</v>
      </c>
      <c r="H610" t="n">
        <v>0</v>
      </c>
      <c r="I610" t="n">
        <v>0</v>
      </c>
      <c r="J610" t="n">
        <v>0</v>
      </c>
      <c r="K610" t="n">
        <v>0</v>
      </c>
      <c r="L610" t="n">
        <v>0</v>
      </c>
      <c r="M610" t="n">
        <v>0</v>
      </c>
      <c r="N610" t="n">
        <v>0</v>
      </c>
      <c r="O610" t="n">
        <v>0</v>
      </c>
      <c r="P610" t="n">
        <v>0</v>
      </c>
      <c r="Q610" t="n">
        <v>0</v>
      </c>
      <c r="R610" s="2" t="inlineStr"/>
    </row>
    <row r="611" ht="15" customHeight="1">
      <c r="A611" t="inlineStr">
        <is>
          <t>A 46202-2025</t>
        </is>
      </c>
      <c r="B611" s="1" t="n">
        <v>45924.70346064815</v>
      </c>
      <c r="C611" s="1" t="n">
        <v>46052</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24786-2024</t>
        </is>
      </c>
      <c r="B612" s="1" t="n">
        <v>45460.81277777778</v>
      </c>
      <c r="C612" s="1" t="n">
        <v>46052</v>
      </c>
      <c r="D612" t="inlineStr">
        <is>
          <t>JÄMTLANDS LÄN</t>
        </is>
      </c>
      <c r="E612" t="inlineStr">
        <is>
          <t>ÖSTERSUND</t>
        </is>
      </c>
      <c r="G612" t="n">
        <v>0.1</v>
      </c>
      <c r="H612" t="n">
        <v>0</v>
      </c>
      <c r="I612" t="n">
        <v>0</v>
      </c>
      <c r="J612" t="n">
        <v>0</v>
      </c>
      <c r="K612" t="n">
        <v>0</v>
      </c>
      <c r="L612" t="n">
        <v>0</v>
      </c>
      <c r="M612" t="n">
        <v>0</v>
      </c>
      <c r="N612" t="n">
        <v>0</v>
      </c>
      <c r="O612" t="n">
        <v>0</v>
      </c>
      <c r="P612" t="n">
        <v>0</v>
      </c>
      <c r="Q612" t="n">
        <v>0</v>
      </c>
      <c r="R612" s="2" t="inlineStr"/>
    </row>
    <row r="613" ht="15" customHeight="1">
      <c r="A613" t="inlineStr">
        <is>
          <t>A 13166-2023</t>
        </is>
      </c>
      <c r="B613" s="1" t="n">
        <v>45002</v>
      </c>
      <c r="C613" s="1" t="n">
        <v>46052</v>
      </c>
      <c r="D613" t="inlineStr">
        <is>
          <t>JÄMTLANDS LÄN</t>
        </is>
      </c>
      <c r="E613" t="inlineStr">
        <is>
          <t>ÖSTERSUND</t>
        </is>
      </c>
      <c r="F613" t="inlineStr">
        <is>
          <t>Övriga statliga verk och myndigheter</t>
        </is>
      </c>
      <c r="G613" t="n">
        <v>1</v>
      </c>
      <c r="H613" t="n">
        <v>0</v>
      </c>
      <c r="I613" t="n">
        <v>0</v>
      </c>
      <c r="J613" t="n">
        <v>0</v>
      </c>
      <c r="K613" t="n">
        <v>0</v>
      </c>
      <c r="L613" t="n">
        <v>0</v>
      </c>
      <c r="M613" t="n">
        <v>0</v>
      </c>
      <c r="N613" t="n">
        <v>0</v>
      </c>
      <c r="O613" t="n">
        <v>0</v>
      </c>
      <c r="P613" t="n">
        <v>0</v>
      </c>
      <c r="Q613" t="n">
        <v>0</v>
      </c>
      <c r="R613" s="2" t="inlineStr"/>
    </row>
    <row r="614" ht="15" customHeight="1">
      <c r="A614" t="inlineStr">
        <is>
          <t>A 53660-2024</t>
        </is>
      </c>
      <c r="B614" s="1" t="n">
        <v>45615.31297453704</v>
      </c>
      <c r="C614" s="1" t="n">
        <v>46052</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16682-2023</t>
        </is>
      </c>
      <c r="B615" s="1" t="n">
        <v>45028</v>
      </c>
      <c r="C615" s="1" t="n">
        <v>46052</v>
      </c>
      <c r="D615" t="inlineStr">
        <is>
          <t>JÄMTLANDS LÄN</t>
        </is>
      </c>
      <c r="E615" t="inlineStr">
        <is>
          <t>ÖSTERSUND</t>
        </is>
      </c>
      <c r="G615" t="n">
        <v>7.9</v>
      </c>
      <c r="H615" t="n">
        <v>0</v>
      </c>
      <c r="I615" t="n">
        <v>0</v>
      </c>
      <c r="J615" t="n">
        <v>0</v>
      </c>
      <c r="K615" t="n">
        <v>0</v>
      </c>
      <c r="L615" t="n">
        <v>0</v>
      </c>
      <c r="M615" t="n">
        <v>0</v>
      </c>
      <c r="N615" t="n">
        <v>0</v>
      </c>
      <c r="O615" t="n">
        <v>0</v>
      </c>
      <c r="P615" t="n">
        <v>0</v>
      </c>
      <c r="Q615" t="n">
        <v>0</v>
      </c>
      <c r="R615" s="2" t="inlineStr"/>
    </row>
    <row r="616" ht="15" customHeight="1">
      <c r="A616" t="inlineStr">
        <is>
          <t>A 8423-2023</t>
        </is>
      </c>
      <c r="B616" s="1" t="n">
        <v>44977</v>
      </c>
      <c r="C616" s="1" t="n">
        <v>46052</v>
      </c>
      <c r="D616" t="inlineStr">
        <is>
          <t>JÄMTLANDS LÄN</t>
        </is>
      </c>
      <c r="E616" t="inlineStr">
        <is>
          <t>ÖSTERSUND</t>
        </is>
      </c>
      <c r="F616" t="inlineStr">
        <is>
          <t>Övriga Aktiebolag</t>
        </is>
      </c>
      <c r="G616" t="n">
        <v>53.1</v>
      </c>
      <c r="H616" t="n">
        <v>0</v>
      </c>
      <c r="I616" t="n">
        <v>0</v>
      </c>
      <c r="J616" t="n">
        <v>0</v>
      </c>
      <c r="K616" t="n">
        <v>0</v>
      </c>
      <c r="L616" t="n">
        <v>0</v>
      </c>
      <c r="M616" t="n">
        <v>0</v>
      </c>
      <c r="N616" t="n">
        <v>0</v>
      </c>
      <c r="O616" t="n">
        <v>0</v>
      </c>
      <c r="P616" t="n">
        <v>0</v>
      </c>
      <c r="Q616" t="n">
        <v>0</v>
      </c>
      <c r="R616" s="2" t="inlineStr"/>
    </row>
    <row r="617" ht="15" customHeight="1">
      <c r="A617" t="inlineStr">
        <is>
          <t>A 47563-2025</t>
        </is>
      </c>
      <c r="B617" s="1" t="n">
        <v>45931.38956018518</v>
      </c>
      <c r="C617" s="1" t="n">
        <v>46052</v>
      </c>
      <c r="D617" t="inlineStr">
        <is>
          <t>JÄMTLANDS LÄN</t>
        </is>
      </c>
      <c r="E617" t="inlineStr">
        <is>
          <t>ÖSTERSUND</t>
        </is>
      </c>
      <c r="G617" t="n">
        <v>2.3</v>
      </c>
      <c r="H617" t="n">
        <v>0</v>
      </c>
      <c r="I617" t="n">
        <v>0</v>
      </c>
      <c r="J617" t="n">
        <v>0</v>
      </c>
      <c r="K617" t="n">
        <v>0</v>
      </c>
      <c r="L617" t="n">
        <v>0</v>
      </c>
      <c r="M617" t="n">
        <v>0</v>
      </c>
      <c r="N617" t="n">
        <v>0</v>
      </c>
      <c r="O617" t="n">
        <v>0</v>
      </c>
      <c r="P617" t="n">
        <v>0</v>
      </c>
      <c r="Q617" t="n">
        <v>0</v>
      </c>
      <c r="R617" s="2" t="inlineStr"/>
    </row>
    <row r="618" ht="15" customHeight="1">
      <c r="A618" t="inlineStr">
        <is>
          <t>A 47805-2024</t>
        </is>
      </c>
      <c r="B618" s="1" t="n">
        <v>45588.61512731481</v>
      </c>
      <c r="C618" s="1" t="n">
        <v>46052</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14831-2025</t>
        </is>
      </c>
      <c r="B619" s="1" t="n">
        <v>45743.37109953703</v>
      </c>
      <c r="C619" s="1" t="n">
        <v>46052</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45338-2024</t>
        </is>
      </c>
      <c r="B620" s="1" t="n">
        <v>45576.46905092592</v>
      </c>
      <c r="C620" s="1" t="n">
        <v>46052</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45895-2024</t>
        </is>
      </c>
      <c r="B621" s="1" t="n">
        <v>45580.42736111111</v>
      </c>
      <c r="C621" s="1" t="n">
        <v>46052</v>
      </c>
      <c r="D621" t="inlineStr">
        <is>
          <t>JÄMTLANDS LÄN</t>
        </is>
      </c>
      <c r="E621" t="inlineStr">
        <is>
          <t>ÖSTERSUND</t>
        </is>
      </c>
      <c r="G621" t="n">
        <v>1.2</v>
      </c>
      <c r="H621" t="n">
        <v>0</v>
      </c>
      <c r="I621" t="n">
        <v>0</v>
      </c>
      <c r="J621" t="n">
        <v>0</v>
      </c>
      <c r="K621" t="n">
        <v>0</v>
      </c>
      <c r="L621" t="n">
        <v>0</v>
      </c>
      <c r="M621" t="n">
        <v>0</v>
      </c>
      <c r="N621" t="n">
        <v>0</v>
      </c>
      <c r="O621" t="n">
        <v>0</v>
      </c>
      <c r="P621" t="n">
        <v>0</v>
      </c>
      <c r="Q621" t="n">
        <v>0</v>
      </c>
      <c r="R621" s="2" t="inlineStr"/>
    </row>
    <row r="622" ht="15" customHeight="1">
      <c r="A622" t="inlineStr">
        <is>
          <t>A 47575-2025</t>
        </is>
      </c>
      <c r="B622" s="1" t="n">
        <v>45931.40100694444</v>
      </c>
      <c r="C622" s="1" t="n">
        <v>46052</v>
      </c>
      <c r="D622" t="inlineStr">
        <is>
          <t>JÄMTLANDS LÄN</t>
        </is>
      </c>
      <c r="E622" t="inlineStr">
        <is>
          <t>ÖSTERSUND</t>
        </is>
      </c>
      <c r="G622" t="n">
        <v>1.1</v>
      </c>
      <c r="H622" t="n">
        <v>0</v>
      </c>
      <c r="I622" t="n">
        <v>0</v>
      </c>
      <c r="J622" t="n">
        <v>0</v>
      </c>
      <c r="K622" t="n">
        <v>0</v>
      </c>
      <c r="L622" t="n">
        <v>0</v>
      </c>
      <c r="M622" t="n">
        <v>0</v>
      </c>
      <c r="N622" t="n">
        <v>0</v>
      </c>
      <c r="O622" t="n">
        <v>0</v>
      </c>
      <c r="P622" t="n">
        <v>0</v>
      </c>
      <c r="Q622" t="n">
        <v>0</v>
      </c>
      <c r="R622" s="2" t="inlineStr"/>
    </row>
    <row r="623" ht="15" customHeight="1">
      <c r="A623" t="inlineStr">
        <is>
          <t>A 47579-2025</t>
        </is>
      </c>
      <c r="B623" s="1" t="n">
        <v>45931.40671296296</v>
      </c>
      <c r="C623" s="1" t="n">
        <v>46052</v>
      </c>
      <c r="D623" t="inlineStr">
        <is>
          <t>JÄMTLANDS LÄN</t>
        </is>
      </c>
      <c r="E623" t="inlineStr">
        <is>
          <t>ÖSTERSUND</t>
        </is>
      </c>
      <c r="G623" t="n">
        <v>5.8</v>
      </c>
      <c r="H623" t="n">
        <v>0</v>
      </c>
      <c r="I623" t="n">
        <v>0</v>
      </c>
      <c r="J623" t="n">
        <v>0</v>
      </c>
      <c r="K623" t="n">
        <v>0</v>
      </c>
      <c r="L623" t="n">
        <v>0</v>
      </c>
      <c r="M623" t="n">
        <v>0</v>
      </c>
      <c r="N623" t="n">
        <v>0</v>
      </c>
      <c r="O623" t="n">
        <v>0</v>
      </c>
      <c r="P623" t="n">
        <v>0</v>
      </c>
      <c r="Q623" t="n">
        <v>0</v>
      </c>
      <c r="R623" s="2" t="inlineStr"/>
    </row>
    <row r="624" ht="15" customHeight="1">
      <c r="A624" t="inlineStr">
        <is>
          <t>A 1670-2024</t>
        </is>
      </c>
      <c r="B624" s="1" t="n">
        <v>45306</v>
      </c>
      <c r="C624" s="1" t="n">
        <v>46052</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4500-2025</t>
        </is>
      </c>
      <c r="B625" s="1" t="n">
        <v>45686.6859375</v>
      </c>
      <c r="C625" s="1" t="n">
        <v>46052</v>
      </c>
      <c r="D625" t="inlineStr">
        <is>
          <t>JÄMTLANDS LÄN</t>
        </is>
      </c>
      <c r="E625" t="inlineStr">
        <is>
          <t>ÖSTERSUND</t>
        </is>
      </c>
      <c r="G625" t="n">
        <v>28.4</v>
      </c>
      <c r="H625" t="n">
        <v>0</v>
      </c>
      <c r="I625" t="n">
        <v>0</v>
      </c>
      <c r="J625" t="n">
        <v>0</v>
      </c>
      <c r="K625" t="n">
        <v>0</v>
      </c>
      <c r="L625" t="n">
        <v>0</v>
      </c>
      <c r="M625" t="n">
        <v>0</v>
      </c>
      <c r="N625" t="n">
        <v>0</v>
      </c>
      <c r="O625" t="n">
        <v>0</v>
      </c>
      <c r="P625" t="n">
        <v>0</v>
      </c>
      <c r="Q625" t="n">
        <v>0</v>
      </c>
      <c r="R625" s="2" t="inlineStr"/>
    </row>
    <row r="626" ht="15" customHeight="1">
      <c r="A626" t="inlineStr">
        <is>
          <t>A 56111-2022</t>
        </is>
      </c>
      <c r="B626" s="1" t="n">
        <v>44889</v>
      </c>
      <c r="C626" s="1" t="n">
        <v>46052</v>
      </c>
      <c r="D626" t="inlineStr">
        <is>
          <t>JÄMTLANDS LÄN</t>
        </is>
      </c>
      <c r="E626" t="inlineStr">
        <is>
          <t>ÖSTERSUND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4135-2023</t>
        </is>
      </c>
      <c r="B627" s="1" t="n">
        <v>44952</v>
      </c>
      <c r="C627" s="1" t="n">
        <v>46052</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14867-2025</t>
        </is>
      </c>
      <c r="B628" s="1" t="n">
        <v>45743.44207175926</v>
      </c>
      <c r="C628" s="1" t="n">
        <v>46052</v>
      </c>
      <c r="D628" t="inlineStr">
        <is>
          <t>JÄMTLANDS LÄN</t>
        </is>
      </c>
      <c r="E628" t="inlineStr">
        <is>
          <t>ÖSTERSUND</t>
        </is>
      </c>
      <c r="G628" t="n">
        <v>3.3</v>
      </c>
      <c r="H628" t="n">
        <v>0</v>
      </c>
      <c r="I628" t="n">
        <v>0</v>
      </c>
      <c r="J628" t="n">
        <v>0</v>
      </c>
      <c r="K628" t="n">
        <v>0</v>
      </c>
      <c r="L628" t="n">
        <v>0</v>
      </c>
      <c r="M628" t="n">
        <v>0</v>
      </c>
      <c r="N628" t="n">
        <v>0</v>
      </c>
      <c r="O628" t="n">
        <v>0</v>
      </c>
      <c r="P628" t="n">
        <v>0</v>
      </c>
      <c r="Q628" t="n">
        <v>0</v>
      </c>
      <c r="R628" s="2" t="inlineStr"/>
    </row>
    <row r="629" ht="15" customHeight="1">
      <c r="A629" t="inlineStr">
        <is>
          <t>A 42151-2023</t>
        </is>
      </c>
      <c r="B629" s="1" t="n">
        <v>45177.93612268518</v>
      </c>
      <c r="C629" s="1" t="n">
        <v>46052</v>
      </c>
      <c r="D629" t="inlineStr">
        <is>
          <t>JÄMTLANDS LÄN</t>
        </is>
      </c>
      <c r="E629" t="inlineStr">
        <is>
          <t>ÖSTERSUND</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46732-2024</t>
        </is>
      </c>
      <c r="B630" s="1" t="n">
        <v>45583.46936342592</v>
      </c>
      <c r="C630" s="1" t="n">
        <v>46052</v>
      </c>
      <c r="D630" t="inlineStr">
        <is>
          <t>JÄMTLANDS LÄN</t>
        </is>
      </c>
      <c r="E630" t="inlineStr">
        <is>
          <t>ÖSTERSUND</t>
        </is>
      </c>
      <c r="G630" t="n">
        <v>3.3</v>
      </c>
      <c r="H630" t="n">
        <v>0</v>
      </c>
      <c r="I630" t="n">
        <v>0</v>
      </c>
      <c r="J630" t="n">
        <v>0</v>
      </c>
      <c r="K630" t="n">
        <v>0</v>
      </c>
      <c r="L630" t="n">
        <v>0</v>
      </c>
      <c r="M630" t="n">
        <v>0</v>
      </c>
      <c r="N630" t="n">
        <v>0</v>
      </c>
      <c r="O630" t="n">
        <v>0</v>
      </c>
      <c r="P630" t="n">
        <v>0</v>
      </c>
      <c r="Q630" t="n">
        <v>0</v>
      </c>
      <c r="R630" s="2" t="inlineStr"/>
    </row>
    <row r="631" ht="15" customHeight="1">
      <c r="A631" t="inlineStr">
        <is>
          <t>A 26373-2025</t>
        </is>
      </c>
      <c r="B631" s="1" t="n">
        <v>45806.40677083333</v>
      </c>
      <c r="C631" s="1" t="n">
        <v>46052</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47759-2025</t>
        </is>
      </c>
      <c r="B632" s="1" t="n">
        <v>45931.67381944445</v>
      </c>
      <c r="C632" s="1" t="n">
        <v>46052</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2763-2022</t>
        </is>
      </c>
      <c r="B633" s="1" t="n">
        <v>44580</v>
      </c>
      <c r="C633" s="1" t="n">
        <v>46052</v>
      </c>
      <c r="D633" t="inlineStr">
        <is>
          <t>JÄMTLANDS LÄN</t>
        </is>
      </c>
      <c r="E633" t="inlineStr">
        <is>
          <t>ÖSTERSUND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59648-2022</t>
        </is>
      </c>
      <c r="B634" s="1" t="n">
        <v>44907</v>
      </c>
      <c r="C634" s="1" t="n">
        <v>46052</v>
      </c>
      <c r="D634" t="inlineStr">
        <is>
          <t>JÄMTLANDS LÄN</t>
        </is>
      </c>
      <c r="E634" t="inlineStr">
        <is>
          <t>ÖSTERSUND</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29128-2022</t>
        </is>
      </c>
      <c r="B635" s="1" t="n">
        <v>44750</v>
      </c>
      <c r="C635" s="1" t="n">
        <v>46052</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56811-2025</t>
        </is>
      </c>
      <c r="B636" s="1" t="n">
        <v>45978.45540509259</v>
      </c>
      <c r="C636" s="1" t="n">
        <v>46052</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5544-2025</t>
        </is>
      </c>
      <c r="B637" s="1" t="n">
        <v>45693</v>
      </c>
      <c r="C637" s="1" t="n">
        <v>46052</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57268-2025</t>
        </is>
      </c>
      <c r="B638" s="1" t="n">
        <v>45979.6756712963</v>
      </c>
      <c r="C638" s="1" t="n">
        <v>46052</v>
      </c>
      <c r="D638" t="inlineStr">
        <is>
          <t>JÄMTLANDS LÄN</t>
        </is>
      </c>
      <c r="E638" t="inlineStr">
        <is>
          <t>ÖSTERSUND</t>
        </is>
      </c>
      <c r="F638" t="inlineStr">
        <is>
          <t>Kommuner</t>
        </is>
      </c>
      <c r="G638" t="n">
        <v>0.7</v>
      </c>
      <c r="H638" t="n">
        <v>0</v>
      </c>
      <c r="I638" t="n">
        <v>0</v>
      </c>
      <c r="J638" t="n">
        <v>0</v>
      </c>
      <c r="K638" t="n">
        <v>0</v>
      </c>
      <c r="L638" t="n">
        <v>0</v>
      </c>
      <c r="M638" t="n">
        <v>0</v>
      </c>
      <c r="N638" t="n">
        <v>0</v>
      </c>
      <c r="O638" t="n">
        <v>0</v>
      </c>
      <c r="P638" t="n">
        <v>0</v>
      </c>
      <c r="Q638" t="n">
        <v>0</v>
      </c>
      <c r="R638" s="2" t="inlineStr"/>
    </row>
    <row r="639" ht="15" customHeight="1">
      <c r="A639" t="inlineStr">
        <is>
          <t>A 48893-2025</t>
        </is>
      </c>
      <c r="B639" s="1" t="n">
        <v>45937.47302083333</v>
      </c>
      <c r="C639" s="1" t="n">
        <v>46052</v>
      </c>
      <c r="D639" t="inlineStr">
        <is>
          <t>JÄMTLANDS LÄN</t>
        </is>
      </c>
      <c r="E639" t="inlineStr">
        <is>
          <t>ÖSTERSUND</t>
        </is>
      </c>
      <c r="F639" t="inlineStr">
        <is>
          <t>Sveaskog</t>
        </is>
      </c>
      <c r="G639" t="n">
        <v>4.4</v>
      </c>
      <c r="H639" t="n">
        <v>0</v>
      </c>
      <c r="I639" t="n">
        <v>0</v>
      </c>
      <c r="J639" t="n">
        <v>0</v>
      </c>
      <c r="K639" t="n">
        <v>0</v>
      </c>
      <c r="L639" t="n">
        <v>0</v>
      </c>
      <c r="M639" t="n">
        <v>0</v>
      </c>
      <c r="N639" t="n">
        <v>0</v>
      </c>
      <c r="O639" t="n">
        <v>0</v>
      </c>
      <c r="P639" t="n">
        <v>0</v>
      </c>
      <c r="Q639" t="n">
        <v>0</v>
      </c>
      <c r="R639" s="2" t="inlineStr"/>
    </row>
    <row r="640" ht="15" customHeight="1">
      <c r="A640" t="inlineStr">
        <is>
          <t>A 4707-2024</t>
        </is>
      </c>
      <c r="B640" s="1" t="n">
        <v>45328</v>
      </c>
      <c r="C640" s="1" t="n">
        <v>46052</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49039-2025</t>
        </is>
      </c>
      <c r="B641" s="1" t="n">
        <v>45937.63275462963</v>
      </c>
      <c r="C641" s="1" t="n">
        <v>46052</v>
      </c>
      <c r="D641" t="inlineStr">
        <is>
          <t>JÄMTLANDS LÄN</t>
        </is>
      </c>
      <c r="E641" t="inlineStr">
        <is>
          <t>ÖSTERSUND</t>
        </is>
      </c>
      <c r="G641" t="n">
        <v>1.6</v>
      </c>
      <c r="H641" t="n">
        <v>0</v>
      </c>
      <c r="I641" t="n">
        <v>0</v>
      </c>
      <c r="J641" t="n">
        <v>0</v>
      </c>
      <c r="K641" t="n">
        <v>0</v>
      </c>
      <c r="L641" t="n">
        <v>0</v>
      </c>
      <c r="M641" t="n">
        <v>0</v>
      </c>
      <c r="N641" t="n">
        <v>0</v>
      </c>
      <c r="O641" t="n">
        <v>0</v>
      </c>
      <c r="P641" t="n">
        <v>0</v>
      </c>
      <c r="Q641" t="n">
        <v>0</v>
      </c>
      <c r="R641" s="2" t="inlineStr"/>
    </row>
    <row r="642" ht="15" customHeight="1">
      <c r="A642" t="inlineStr">
        <is>
          <t>A 49572-2025</t>
        </is>
      </c>
      <c r="B642" s="1" t="n">
        <v>45939.49018518518</v>
      </c>
      <c r="C642" s="1" t="n">
        <v>46052</v>
      </c>
      <c r="D642" t="inlineStr">
        <is>
          <t>JÄMTLANDS LÄN</t>
        </is>
      </c>
      <c r="E642" t="inlineStr">
        <is>
          <t>ÖSTERSUND</t>
        </is>
      </c>
      <c r="G642" t="n">
        <v>1.4</v>
      </c>
      <c r="H642" t="n">
        <v>0</v>
      </c>
      <c r="I642" t="n">
        <v>0</v>
      </c>
      <c r="J642" t="n">
        <v>0</v>
      </c>
      <c r="K642" t="n">
        <v>0</v>
      </c>
      <c r="L642" t="n">
        <v>0</v>
      </c>
      <c r="M642" t="n">
        <v>0</v>
      </c>
      <c r="N642" t="n">
        <v>0</v>
      </c>
      <c r="O642" t="n">
        <v>0</v>
      </c>
      <c r="P642" t="n">
        <v>0</v>
      </c>
      <c r="Q642" t="n">
        <v>0</v>
      </c>
      <c r="R642" s="2" t="inlineStr"/>
    </row>
    <row r="643" ht="15" customHeight="1">
      <c r="A643" t="inlineStr">
        <is>
          <t>A 49576-2025</t>
        </is>
      </c>
      <c r="B643" s="1" t="n">
        <v>45939</v>
      </c>
      <c r="C643" s="1" t="n">
        <v>46052</v>
      </c>
      <c r="D643" t="inlineStr">
        <is>
          <t>JÄMTLANDS LÄN</t>
        </is>
      </c>
      <c r="E643" t="inlineStr">
        <is>
          <t>ÖSTERSUND</t>
        </is>
      </c>
      <c r="F643" t="inlineStr">
        <is>
          <t>SCA</t>
        </is>
      </c>
      <c r="G643" t="n">
        <v>17.1</v>
      </c>
      <c r="H643" t="n">
        <v>0</v>
      </c>
      <c r="I643" t="n">
        <v>0</v>
      </c>
      <c r="J643" t="n">
        <v>0</v>
      </c>
      <c r="K643" t="n">
        <v>0</v>
      </c>
      <c r="L643" t="n">
        <v>0</v>
      </c>
      <c r="M643" t="n">
        <v>0</v>
      </c>
      <c r="N643" t="n">
        <v>0</v>
      </c>
      <c r="O643" t="n">
        <v>0</v>
      </c>
      <c r="P643" t="n">
        <v>0</v>
      </c>
      <c r="Q643" t="n">
        <v>0</v>
      </c>
      <c r="R643" s="2" t="inlineStr"/>
    </row>
    <row r="644" ht="15" customHeight="1">
      <c r="A644" t="inlineStr">
        <is>
          <t>A 50168-2025</t>
        </is>
      </c>
      <c r="B644" s="1" t="n">
        <v>45943.59442129629</v>
      </c>
      <c r="C644" s="1" t="n">
        <v>46052</v>
      </c>
      <c r="D644" t="inlineStr">
        <is>
          <t>JÄMTLANDS LÄN</t>
        </is>
      </c>
      <c r="E644" t="inlineStr">
        <is>
          <t>ÖSTERSUND</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50528-2025</t>
        </is>
      </c>
      <c r="B645" s="1" t="n">
        <v>45945.47097222223</v>
      </c>
      <c r="C645" s="1" t="n">
        <v>46052</v>
      </c>
      <c r="D645" t="inlineStr">
        <is>
          <t>JÄMTLANDS LÄN</t>
        </is>
      </c>
      <c r="E645" t="inlineStr">
        <is>
          <t>ÖSTERSUND</t>
        </is>
      </c>
      <c r="G645" t="n">
        <v>3.4</v>
      </c>
      <c r="H645" t="n">
        <v>0</v>
      </c>
      <c r="I645" t="n">
        <v>0</v>
      </c>
      <c r="J645" t="n">
        <v>0</v>
      </c>
      <c r="K645" t="n">
        <v>0</v>
      </c>
      <c r="L645" t="n">
        <v>0</v>
      </c>
      <c r="M645" t="n">
        <v>0</v>
      </c>
      <c r="N645" t="n">
        <v>0</v>
      </c>
      <c r="O645" t="n">
        <v>0</v>
      </c>
      <c r="P645" t="n">
        <v>0</v>
      </c>
      <c r="Q645" t="n">
        <v>0</v>
      </c>
      <c r="R645" s="2" t="inlineStr"/>
    </row>
    <row r="646" ht="15" customHeight="1">
      <c r="A646" t="inlineStr">
        <is>
          <t>A 50428-2025</t>
        </is>
      </c>
      <c r="B646" s="1" t="n">
        <v>45944.67787037037</v>
      </c>
      <c r="C646" s="1" t="n">
        <v>46052</v>
      </c>
      <c r="D646" t="inlineStr">
        <is>
          <t>JÄMTLANDS LÄN</t>
        </is>
      </c>
      <c r="E646" t="inlineStr">
        <is>
          <t>ÖSTERSUND</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58996-2025</t>
        </is>
      </c>
      <c r="B647" s="1" t="n">
        <v>45987.67032407408</v>
      </c>
      <c r="C647" s="1" t="n">
        <v>46052</v>
      </c>
      <c r="D647" t="inlineStr">
        <is>
          <t>JÄMTLANDS LÄN</t>
        </is>
      </c>
      <c r="E647" t="inlineStr">
        <is>
          <t>ÖSTERSUND</t>
        </is>
      </c>
      <c r="G647" t="n">
        <v>4.3</v>
      </c>
      <c r="H647" t="n">
        <v>0</v>
      </c>
      <c r="I647" t="n">
        <v>0</v>
      </c>
      <c r="J647" t="n">
        <v>0</v>
      </c>
      <c r="K647" t="n">
        <v>0</v>
      </c>
      <c r="L647" t="n">
        <v>0</v>
      </c>
      <c r="M647" t="n">
        <v>0</v>
      </c>
      <c r="N647" t="n">
        <v>0</v>
      </c>
      <c r="O647" t="n">
        <v>0</v>
      </c>
      <c r="P647" t="n">
        <v>0</v>
      </c>
      <c r="Q647" t="n">
        <v>0</v>
      </c>
      <c r="R647" s="2" t="inlineStr"/>
    </row>
    <row r="648" ht="15" customHeight="1">
      <c r="A648" t="inlineStr">
        <is>
          <t>A 7941-2025</t>
        </is>
      </c>
      <c r="B648" s="1" t="n">
        <v>45707</v>
      </c>
      <c r="C648" s="1" t="n">
        <v>46052</v>
      </c>
      <c r="D648" t="inlineStr">
        <is>
          <t>JÄMTLANDS LÄN</t>
        </is>
      </c>
      <c r="E648" t="inlineStr">
        <is>
          <t>ÖSTERSUND</t>
        </is>
      </c>
      <c r="G648" t="n">
        <v>2</v>
      </c>
      <c r="H648" t="n">
        <v>0</v>
      </c>
      <c r="I648" t="n">
        <v>0</v>
      </c>
      <c r="J648" t="n">
        <v>0</v>
      </c>
      <c r="K648" t="n">
        <v>0</v>
      </c>
      <c r="L648" t="n">
        <v>0</v>
      </c>
      <c r="M648" t="n">
        <v>0</v>
      </c>
      <c r="N648" t="n">
        <v>0</v>
      </c>
      <c r="O648" t="n">
        <v>0</v>
      </c>
      <c r="P648" t="n">
        <v>0</v>
      </c>
      <c r="Q648" t="n">
        <v>0</v>
      </c>
      <c r="R648" s="2" t="inlineStr"/>
    </row>
    <row r="649" ht="15" customHeight="1">
      <c r="A649" t="inlineStr">
        <is>
          <t>A 52247-2025</t>
        </is>
      </c>
      <c r="B649" s="1" t="n">
        <v>45953.47575231481</v>
      </c>
      <c r="C649" s="1" t="n">
        <v>46052</v>
      </c>
      <c r="D649" t="inlineStr">
        <is>
          <t>JÄMTLANDS LÄN</t>
        </is>
      </c>
      <c r="E649" t="inlineStr">
        <is>
          <t>ÖSTERSUND</t>
        </is>
      </c>
      <c r="G649" t="n">
        <v>8.4</v>
      </c>
      <c r="H649" t="n">
        <v>0</v>
      </c>
      <c r="I649" t="n">
        <v>0</v>
      </c>
      <c r="J649" t="n">
        <v>0</v>
      </c>
      <c r="K649" t="n">
        <v>0</v>
      </c>
      <c r="L649" t="n">
        <v>0</v>
      </c>
      <c r="M649" t="n">
        <v>0</v>
      </c>
      <c r="N649" t="n">
        <v>0</v>
      </c>
      <c r="O649" t="n">
        <v>0</v>
      </c>
      <c r="P649" t="n">
        <v>0</v>
      </c>
      <c r="Q649" t="n">
        <v>0</v>
      </c>
      <c r="R649" s="2" t="inlineStr"/>
    </row>
    <row r="650" ht="15" customHeight="1">
      <c r="A650" t="inlineStr">
        <is>
          <t>A 52286-2025</t>
        </is>
      </c>
      <c r="B650" s="1" t="n">
        <v>45953.58497685185</v>
      </c>
      <c r="C650" s="1" t="n">
        <v>46052</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52280-2025</t>
        </is>
      </c>
      <c r="B651" s="1" t="n">
        <v>45953.56976851852</v>
      </c>
      <c r="C651" s="1" t="n">
        <v>46052</v>
      </c>
      <c r="D651" t="inlineStr">
        <is>
          <t>JÄMTLANDS LÄN</t>
        </is>
      </c>
      <c r="E651" t="inlineStr">
        <is>
          <t>ÖSTERSUND</t>
        </is>
      </c>
      <c r="G651" t="n">
        <v>1.6</v>
      </c>
      <c r="H651" t="n">
        <v>0</v>
      </c>
      <c r="I651" t="n">
        <v>0</v>
      </c>
      <c r="J651" t="n">
        <v>0</v>
      </c>
      <c r="K651" t="n">
        <v>0</v>
      </c>
      <c r="L651" t="n">
        <v>0</v>
      </c>
      <c r="M651" t="n">
        <v>0</v>
      </c>
      <c r="N651" t="n">
        <v>0</v>
      </c>
      <c r="O651" t="n">
        <v>0</v>
      </c>
      <c r="P651" t="n">
        <v>0</v>
      </c>
      <c r="Q651" t="n">
        <v>0</v>
      </c>
      <c r="R651" s="2" t="inlineStr"/>
    </row>
    <row r="652" ht="15" customHeight="1">
      <c r="A652" t="inlineStr">
        <is>
          <t>A 52003-2025</t>
        </is>
      </c>
      <c r="B652" s="1" t="n">
        <v>45952.5909375</v>
      </c>
      <c r="C652" s="1" t="n">
        <v>46052</v>
      </c>
      <c r="D652" t="inlineStr">
        <is>
          <t>JÄMTLANDS LÄN</t>
        </is>
      </c>
      <c r="E652" t="inlineStr">
        <is>
          <t>ÖSTERSUND</t>
        </is>
      </c>
      <c r="G652" t="n">
        <v>5.7</v>
      </c>
      <c r="H652" t="n">
        <v>0</v>
      </c>
      <c r="I652" t="n">
        <v>0</v>
      </c>
      <c r="J652" t="n">
        <v>0</v>
      </c>
      <c r="K652" t="n">
        <v>0</v>
      </c>
      <c r="L652" t="n">
        <v>0</v>
      </c>
      <c r="M652" t="n">
        <v>0</v>
      </c>
      <c r="N652" t="n">
        <v>0</v>
      </c>
      <c r="O652" t="n">
        <v>0</v>
      </c>
      <c r="P652" t="n">
        <v>0</v>
      </c>
      <c r="Q652" t="n">
        <v>0</v>
      </c>
      <c r="R652" s="2" t="inlineStr"/>
    </row>
    <row r="653" ht="15" customHeight="1">
      <c r="A653" t="inlineStr">
        <is>
          <t>A 52935-2025</t>
        </is>
      </c>
      <c r="B653" s="1" t="n">
        <v>45957.62978009259</v>
      </c>
      <c r="C653" s="1" t="n">
        <v>46052</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52620-2025</t>
        </is>
      </c>
      <c r="B654" s="1" t="n">
        <v>45954.68207175926</v>
      </c>
      <c r="C654" s="1" t="n">
        <v>46052</v>
      </c>
      <c r="D654" t="inlineStr">
        <is>
          <t>JÄMTLANDS LÄN</t>
        </is>
      </c>
      <c r="E654" t="inlineStr">
        <is>
          <t>ÖSTERSUND</t>
        </is>
      </c>
      <c r="G654" t="n">
        <v>4.6</v>
      </c>
      <c r="H654" t="n">
        <v>0</v>
      </c>
      <c r="I654" t="n">
        <v>0</v>
      </c>
      <c r="J654" t="n">
        <v>0</v>
      </c>
      <c r="K654" t="n">
        <v>0</v>
      </c>
      <c r="L654" t="n">
        <v>0</v>
      </c>
      <c r="M654" t="n">
        <v>0</v>
      </c>
      <c r="N654" t="n">
        <v>0</v>
      </c>
      <c r="O654" t="n">
        <v>0</v>
      </c>
      <c r="P654" t="n">
        <v>0</v>
      </c>
      <c r="Q654" t="n">
        <v>0</v>
      </c>
      <c r="R654" s="2" t="inlineStr"/>
    </row>
    <row r="655" ht="15" customHeight="1">
      <c r="A655" t="inlineStr">
        <is>
          <t>A 52975-2025</t>
        </is>
      </c>
      <c r="B655" s="1" t="n">
        <v>45957.67876157408</v>
      </c>
      <c r="C655" s="1" t="n">
        <v>46052</v>
      </c>
      <c r="D655" t="inlineStr">
        <is>
          <t>JÄMTLANDS LÄN</t>
        </is>
      </c>
      <c r="E655" t="inlineStr">
        <is>
          <t>ÖSTERSUND</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53054-2025</t>
        </is>
      </c>
      <c r="B656" s="1" t="n">
        <v>45958.36498842593</v>
      </c>
      <c r="C656" s="1" t="n">
        <v>46052</v>
      </c>
      <c r="D656" t="inlineStr">
        <is>
          <t>JÄMTLANDS LÄN</t>
        </is>
      </c>
      <c r="E656" t="inlineStr">
        <is>
          <t>ÖSTERSUND</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53057-2025</t>
        </is>
      </c>
      <c r="B657" s="1" t="n">
        <v>45958.36537037037</v>
      </c>
      <c r="C657" s="1" t="n">
        <v>46052</v>
      </c>
      <c r="D657" t="inlineStr">
        <is>
          <t>JÄMTLANDS LÄN</t>
        </is>
      </c>
      <c r="E657" t="inlineStr">
        <is>
          <t>ÖSTERSUND</t>
        </is>
      </c>
      <c r="F657" t="inlineStr">
        <is>
          <t>SCA</t>
        </is>
      </c>
      <c r="G657" t="n">
        <v>47.8</v>
      </c>
      <c r="H657" t="n">
        <v>0</v>
      </c>
      <c r="I657" t="n">
        <v>0</v>
      </c>
      <c r="J657" t="n">
        <v>0</v>
      </c>
      <c r="K657" t="n">
        <v>0</v>
      </c>
      <c r="L657" t="n">
        <v>0</v>
      </c>
      <c r="M657" t="n">
        <v>0</v>
      </c>
      <c r="N657" t="n">
        <v>0</v>
      </c>
      <c r="O657" t="n">
        <v>0</v>
      </c>
      <c r="P657" t="n">
        <v>0</v>
      </c>
      <c r="Q657" t="n">
        <v>0</v>
      </c>
      <c r="R657" s="2" t="inlineStr"/>
    </row>
    <row r="658" ht="15" customHeight="1">
      <c r="A658" t="inlineStr">
        <is>
          <t>A 45533-2025</t>
        </is>
      </c>
      <c r="B658" s="1" t="n">
        <v>45922</v>
      </c>
      <c r="C658" s="1" t="n">
        <v>46052</v>
      </c>
      <c r="D658" t="inlineStr">
        <is>
          <t>JÄMTLANDS LÄN</t>
        </is>
      </c>
      <c r="E658" t="inlineStr">
        <is>
          <t>ÖSTERSUND</t>
        </is>
      </c>
      <c r="F658" t="inlineStr">
        <is>
          <t>Övriga statliga verk och myndigheter</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54133-2025</t>
        </is>
      </c>
      <c r="B659" s="1" t="n">
        <v>45964.46944444445</v>
      </c>
      <c r="C659" s="1" t="n">
        <v>46052</v>
      </c>
      <c r="D659" t="inlineStr">
        <is>
          <t>JÄMTLANDS LÄN</t>
        </is>
      </c>
      <c r="E659" t="inlineStr">
        <is>
          <t>ÖSTERSUND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54528-2025</t>
        </is>
      </c>
      <c r="B660" s="1" t="n">
        <v>45965.63496527778</v>
      </c>
      <c r="C660" s="1" t="n">
        <v>46052</v>
      </c>
      <c r="D660" t="inlineStr">
        <is>
          <t>JÄMTLANDS LÄN</t>
        </is>
      </c>
      <c r="E660" t="inlineStr">
        <is>
          <t>ÖSTERSUND</t>
        </is>
      </c>
      <c r="G660" t="n">
        <v>1.7</v>
      </c>
      <c r="H660" t="n">
        <v>0</v>
      </c>
      <c r="I660" t="n">
        <v>0</v>
      </c>
      <c r="J660" t="n">
        <v>0</v>
      </c>
      <c r="K660" t="n">
        <v>0</v>
      </c>
      <c r="L660" t="n">
        <v>0</v>
      </c>
      <c r="M660" t="n">
        <v>0</v>
      </c>
      <c r="N660" t="n">
        <v>0</v>
      </c>
      <c r="O660" t="n">
        <v>0</v>
      </c>
      <c r="P660" t="n">
        <v>0</v>
      </c>
      <c r="Q660" t="n">
        <v>0</v>
      </c>
      <c r="R660" s="2" t="inlineStr"/>
    </row>
    <row r="661" ht="15" customHeight="1">
      <c r="A661" t="inlineStr">
        <is>
          <t>A 54965-2025</t>
        </is>
      </c>
      <c r="B661" s="1" t="n">
        <v>45967.49037037037</v>
      </c>
      <c r="C661" s="1" t="n">
        <v>46052</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54667-2025</t>
        </is>
      </c>
      <c r="B662" s="1" t="n">
        <v>45966.4077662037</v>
      </c>
      <c r="C662" s="1" t="n">
        <v>46052</v>
      </c>
      <c r="D662" t="inlineStr">
        <is>
          <t>JÄMTLANDS LÄN</t>
        </is>
      </c>
      <c r="E662" t="inlineStr">
        <is>
          <t>ÖSTERSUND</t>
        </is>
      </c>
      <c r="G662" t="n">
        <v>6.8</v>
      </c>
      <c r="H662" t="n">
        <v>0</v>
      </c>
      <c r="I662" t="n">
        <v>0</v>
      </c>
      <c r="J662" t="n">
        <v>0</v>
      </c>
      <c r="K662" t="n">
        <v>0</v>
      </c>
      <c r="L662" t="n">
        <v>0</v>
      </c>
      <c r="M662" t="n">
        <v>0</v>
      </c>
      <c r="N662" t="n">
        <v>0</v>
      </c>
      <c r="O662" t="n">
        <v>0</v>
      </c>
      <c r="P662" t="n">
        <v>0</v>
      </c>
      <c r="Q662" t="n">
        <v>0</v>
      </c>
      <c r="R662" s="2" t="inlineStr"/>
    </row>
    <row r="663" ht="15" customHeight="1">
      <c r="A663" t="inlineStr">
        <is>
          <t>A 54931-2025</t>
        </is>
      </c>
      <c r="B663" s="1" t="n">
        <v>45967.42462962963</v>
      </c>
      <c r="C663" s="1" t="n">
        <v>46052</v>
      </c>
      <c r="D663" t="inlineStr">
        <is>
          <t>JÄMTLANDS LÄN</t>
        </is>
      </c>
      <c r="E663" t="inlineStr">
        <is>
          <t>ÖSTERSUND</t>
        </is>
      </c>
      <c r="G663" t="n">
        <v>7.1</v>
      </c>
      <c r="H663" t="n">
        <v>0</v>
      </c>
      <c r="I663" t="n">
        <v>0</v>
      </c>
      <c r="J663" t="n">
        <v>0</v>
      </c>
      <c r="K663" t="n">
        <v>0</v>
      </c>
      <c r="L663" t="n">
        <v>0</v>
      </c>
      <c r="M663" t="n">
        <v>0</v>
      </c>
      <c r="N663" t="n">
        <v>0</v>
      </c>
      <c r="O663" t="n">
        <v>0</v>
      </c>
      <c r="P663" t="n">
        <v>0</v>
      </c>
      <c r="Q663" t="n">
        <v>0</v>
      </c>
      <c r="R663" s="2" t="inlineStr"/>
    </row>
    <row r="664" ht="15" customHeight="1">
      <c r="A664" t="inlineStr">
        <is>
          <t>A 63195-2025</t>
        </is>
      </c>
      <c r="B664" s="1" t="n">
        <v>46010.45680555556</v>
      </c>
      <c r="C664" s="1" t="n">
        <v>46052</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63516-2025</t>
        </is>
      </c>
      <c r="B665" s="1" t="n">
        <v>46013.50993055556</v>
      </c>
      <c r="C665" s="1" t="n">
        <v>46052</v>
      </c>
      <c r="D665" t="inlineStr">
        <is>
          <t>JÄMTLANDS LÄN</t>
        </is>
      </c>
      <c r="E665" t="inlineStr">
        <is>
          <t>ÖSTERSUND</t>
        </is>
      </c>
      <c r="G665" t="n">
        <v>4.8</v>
      </c>
      <c r="H665" t="n">
        <v>0</v>
      </c>
      <c r="I665" t="n">
        <v>0</v>
      </c>
      <c r="J665" t="n">
        <v>0</v>
      </c>
      <c r="K665" t="n">
        <v>0</v>
      </c>
      <c r="L665" t="n">
        <v>0</v>
      </c>
      <c r="M665" t="n">
        <v>0</v>
      </c>
      <c r="N665" t="n">
        <v>0</v>
      </c>
      <c r="O665" t="n">
        <v>0</v>
      </c>
      <c r="P665" t="n">
        <v>0</v>
      </c>
      <c r="Q665" t="n">
        <v>0</v>
      </c>
      <c r="R665" s="2" t="inlineStr"/>
    </row>
    <row r="666" ht="15" customHeight="1">
      <c r="A666" t="inlineStr">
        <is>
          <t>A 63245-2025</t>
        </is>
      </c>
      <c r="B666" s="1" t="n">
        <v>46010.53825231481</v>
      </c>
      <c r="C666" s="1" t="n">
        <v>46052</v>
      </c>
      <c r="D666" t="inlineStr">
        <is>
          <t>JÄMTLANDS LÄN</t>
        </is>
      </c>
      <c r="E666" t="inlineStr">
        <is>
          <t>ÖSTERSUND</t>
        </is>
      </c>
      <c r="G666" t="n">
        <v>1.8</v>
      </c>
      <c r="H666" t="n">
        <v>0</v>
      </c>
      <c r="I666" t="n">
        <v>0</v>
      </c>
      <c r="J666" t="n">
        <v>0</v>
      </c>
      <c r="K666" t="n">
        <v>0</v>
      </c>
      <c r="L666" t="n">
        <v>0</v>
      </c>
      <c r="M666" t="n">
        <v>0</v>
      </c>
      <c r="N666" t="n">
        <v>0</v>
      </c>
      <c r="O666" t="n">
        <v>0</v>
      </c>
      <c r="P666" t="n">
        <v>0</v>
      </c>
      <c r="Q666" t="n">
        <v>0</v>
      </c>
      <c r="R666" s="2" t="inlineStr"/>
    </row>
    <row r="667" ht="15" customHeight="1">
      <c r="A667" t="inlineStr">
        <is>
          <t>A 55179-2025</t>
        </is>
      </c>
      <c r="B667" s="1" t="n">
        <v>45968.53167824074</v>
      </c>
      <c r="C667" s="1" t="n">
        <v>46052</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63475-2025</t>
        </is>
      </c>
      <c r="B668" s="1" t="n">
        <v>46013.4459375</v>
      </c>
      <c r="C668" s="1" t="n">
        <v>46052</v>
      </c>
      <c r="D668" t="inlineStr">
        <is>
          <t>JÄMTLANDS LÄN</t>
        </is>
      </c>
      <c r="E668" t="inlineStr">
        <is>
          <t>ÖSTERSUND</t>
        </is>
      </c>
      <c r="G668" t="n">
        <v>4.4</v>
      </c>
      <c r="H668" t="n">
        <v>0</v>
      </c>
      <c r="I668" t="n">
        <v>0</v>
      </c>
      <c r="J668" t="n">
        <v>0</v>
      </c>
      <c r="K668" t="n">
        <v>0</v>
      </c>
      <c r="L668" t="n">
        <v>0</v>
      </c>
      <c r="M668" t="n">
        <v>0</v>
      </c>
      <c r="N668" t="n">
        <v>0</v>
      </c>
      <c r="O668" t="n">
        <v>0</v>
      </c>
      <c r="P668" t="n">
        <v>0</v>
      </c>
      <c r="Q668" t="n">
        <v>0</v>
      </c>
      <c r="R668" s="2" t="inlineStr"/>
    </row>
    <row r="669" ht="15" customHeight="1">
      <c r="A669" t="inlineStr">
        <is>
          <t>A 63693-2025</t>
        </is>
      </c>
      <c r="B669" s="1" t="n">
        <v>46014.5496875</v>
      </c>
      <c r="C669" s="1" t="n">
        <v>46052</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56165-2025</t>
        </is>
      </c>
      <c r="B670" s="1" t="n">
        <v>45974.38310185185</v>
      </c>
      <c r="C670" s="1" t="n">
        <v>46052</v>
      </c>
      <c r="D670" t="inlineStr">
        <is>
          <t>JÄMTLANDS LÄN</t>
        </is>
      </c>
      <c r="E670" t="inlineStr">
        <is>
          <t>ÖSTERSUND</t>
        </is>
      </c>
      <c r="G670" t="n">
        <v>1.2</v>
      </c>
      <c r="H670" t="n">
        <v>0</v>
      </c>
      <c r="I670" t="n">
        <v>0</v>
      </c>
      <c r="J670" t="n">
        <v>0</v>
      </c>
      <c r="K670" t="n">
        <v>0</v>
      </c>
      <c r="L670" t="n">
        <v>0</v>
      </c>
      <c r="M670" t="n">
        <v>0</v>
      </c>
      <c r="N670" t="n">
        <v>0</v>
      </c>
      <c r="O670" t="n">
        <v>0</v>
      </c>
      <c r="P670" t="n">
        <v>0</v>
      </c>
      <c r="Q670" t="n">
        <v>0</v>
      </c>
      <c r="R670" s="2" t="inlineStr"/>
    </row>
    <row r="671" ht="15" customHeight="1">
      <c r="A671" t="inlineStr">
        <is>
          <t>A 63807-2025</t>
        </is>
      </c>
      <c r="B671" s="1" t="n">
        <v>46019</v>
      </c>
      <c r="C671" s="1" t="n">
        <v>46052</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56903-2025</t>
        </is>
      </c>
      <c r="B672" s="1" t="n">
        <v>45978.57414351852</v>
      </c>
      <c r="C672" s="1" t="n">
        <v>46052</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56690-2025</t>
        </is>
      </c>
      <c r="B673" s="1" t="n">
        <v>45976.58684027778</v>
      </c>
      <c r="C673" s="1" t="n">
        <v>46052</v>
      </c>
      <c r="D673" t="inlineStr">
        <is>
          <t>JÄMTLANDS LÄN</t>
        </is>
      </c>
      <c r="E673" t="inlineStr">
        <is>
          <t>ÖSTERSUND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63982-2025</t>
        </is>
      </c>
      <c r="B674" s="1" t="n">
        <v>46021.34454861111</v>
      </c>
      <c r="C674" s="1" t="n">
        <v>46052</v>
      </c>
      <c r="D674" t="inlineStr">
        <is>
          <t>JÄMTLANDS LÄN</t>
        </is>
      </c>
      <c r="E674" t="inlineStr">
        <is>
          <t>ÖSTERSUND</t>
        </is>
      </c>
      <c r="G674" t="n">
        <v>6.5</v>
      </c>
      <c r="H674" t="n">
        <v>0</v>
      </c>
      <c r="I674" t="n">
        <v>0</v>
      </c>
      <c r="J674" t="n">
        <v>0</v>
      </c>
      <c r="K674" t="n">
        <v>0</v>
      </c>
      <c r="L674" t="n">
        <v>0</v>
      </c>
      <c r="M674" t="n">
        <v>0</v>
      </c>
      <c r="N674" t="n">
        <v>0</v>
      </c>
      <c r="O674" t="n">
        <v>0</v>
      </c>
      <c r="P674" t="n">
        <v>0</v>
      </c>
      <c r="Q674" t="n">
        <v>0</v>
      </c>
      <c r="R674" s="2" t="inlineStr"/>
    </row>
    <row r="675" ht="15" customHeight="1">
      <c r="A675" t="inlineStr">
        <is>
          <t>A 64022-2025</t>
        </is>
      </c>
      <c r="B675" s="1" t="n">
        <v>46021.46912037037</v>
      </c>
      <c r="C675" s="1" t="n">
        <v>46052</v>
      </c>
      <c r="D675" t="inlineStr">
        <is>
          <t>JÄMTLANDS LÄN</t>
        </is>
      </c>
      <c r="E675" t="inlineStr">
        <is>
          <t>ÖSTERSUND</t>
        </is>
      </c>
      <c r="G675" t="n">
        <v>2.1</v>
      </c>
      <c r="H675" t="n">
        <v>0</v>
      </c>
      <c r="I675" t="n">
        <v>0</v>
      </c>
      <c r="J675" t="n">
        <v>0</v>
      </c>
      <c r="K675" t="n">
        <v>0</v>
      </c>
      <c r="L675" t="n">
        <v>0</v>
      </c>
      <c r="M675" t="n">
        <v>0</v>
      </c>
      <c r="N675" t="n">
        <v>0</v>
      </c>
      <c r="O675" t="n">
        <v>0</v>
      </c>
      <c r="P675" t="n">
        <v>0</v>
      </c>
      <c r="Q675" t="n">
        <v>0</v>
      </c>
      <c r="R675" s="2" t="inlineStr"/>
    </row>
    <row r="676" ht="15" customHeight="1">
      <c r="A676" t="inlineStr">
        <is>
          <t>A 63981-2025</t>
        </is>
      </c>
      <c r="B676" s="1" t="n">
        <v>46021.34450231482</v>
      </c>
      <c r="C676" s="1" t="n">
        <v>46052</v>
      </c>
      <c r="D676" t="inlineStr">
        <is>
          <t>JÄMTLANDS LÄN</t>
        </is>
      </c>
      <c r="E676" t="inlineStr">
        <is>
          <t>ÖSTERSUND</t>
        </is>
      </c>
      <c r="G676" t="n">
        <v>17.7</v>
      </c>
      <c r="H676" t="n">
        <v>0</v>
      </c>
      <c r="I676" t="n">
        <v>0</v>
      </c>
      <c r="J676" t="n">
        <v>0</v>
      </c>
      <c r="K676" t="n">
        <v>0</v>
      </c>
      <c r="L676" t="n">
        <v>0</v>
      </c>
      <c r="M676" t="n">
        <v>0</v>
      </c>
      <c r="N676" t="n">
        <v>0</v>
      </c>
      <c r="O676" t="n">
        <v>0</v>
      </c>
      <c r="P676" t="n">
        <v>0</v>
      </c>
      <c r="Q676" t="n">
        <v>0</v>
      </c>
      <c r="R676" s="2" t="inlineStr"/>
    </row>
    <row r="677" ht="15" customHeight="1">
      <c r="A677" t="inlineStr">
        <is>
          <t>A 63856-2025</t>
        </is>
      </c>
      <c r="B677" s="1" t="n">
        <v>46020.47796296296</v>
      </c>
      <c r="C677" s="1" t="n">
        <v>46052</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63861-2025</t>
        </is>
      </c>
      <c r="B678" s="1" t="n">
        <v>46020.49056712963</v>
      </c>
      <c r="C678" s="1" t="n">
        <v>46052</v>
      </c>
      <c r="D678" t="inlineStr">
        <is>
          <t>JÄMTLANDS LÄN</t>
        </is>
      </c>
      <c r="E678" t="inlineStr">
        <is>
          <t>ÖSTERSUND</t>
        </is>
      </c>
      <c r="G678" t="n">
        <v>1</v>
      </c>
      <c r="H678" t="n">
        <v>0</v>
      </c>
      <c r="I678" t="n">
        <v>0</v>
      </c>
      <c r="J678" t="n">
        <v>0</v>
      </c>
      <c r="K678" t="n">
        <v>0</v>
      </c>
      <c r="L678" t="n">
        <v>0</v>
      </c>
      <c r="M678" t="n">
        <v>0</v>
      </c>
      <c r="N678" t="n">
        <v>0</v>
      </c>
      <c r="O678" t="n">
        <v>0</v>
      </c>
      <c r="P678" t="n">
        <v>0</v>
      </c>
      <c r="Q678" t="n">
        <v>0</v>
      </c>
      <c r="R678" s="2" t="inlineStr"/>
    </row>
    <row r="679" ht="15" customHeight="1">
      <c r="A679" t="inlineStr">
        <is>
          <t>A 57513-2025</t>
        </is>
      </c>
      <c r="B679" s="1" t="n">
        <v>45980.61142361111</v>
      </c>
      <c r="C679" s="1" t="n">
        <v>46052</v>
      </c>
      <c r="D679" t="inlineStr">
        <is>
          <t>JÄMTLANDS LÄN</t>
        </is>
      </c>
      <c r="E679" t="inlineStr">
        <is>
          <t>ÖSTERSUND</t>
        </is>
      </c>
      <c r="G679" t="n">
        <v>3.8</v>
      </c>
      <c r="H679" t="n">
        <v>0</v>
      </c>
      <c r="I679" t="n">
        <v>0</v>
      </c>
      <c r="J679" t="n">
        <v>0</v>
      </c>
      <c r="K679" t="n">
        <v>0</v>
      </c>
      <c r="L679" t="n">
        <v>0</v>
      </c>
      <c r="M679" t="n">
        <v>0</v>
      </c>
      <c r="N679" t="n">
        <v>0</v>
      </c>
      <c r="O679" t="n">
        <v>0</v>
      </c>
      <c r="P679" t="n">
        <v>0</v>
      </c>
      <c r="Q679" t="n">
        <v>0</v>
      </c>
      <c r="R679" s="2" t="inlineStr"/>
    </row>
    <row r="680" ht="15" customHeight="1">
      <c r="A680" t="inlineStr">
        <is>
          <t>A 58122-2025</t>
        </is>
      </c>
      <c r="B680" s="1" t="n">
        <v>45982.61043981482</v>
      </c>
      <c r="C680" s="1" t="n">
        <v>46052</v>
      </c>
      <c r="D680" t="inlineStr">
        <is>
          <t>JÄMTLANDS LÄN</t>
        </is>
      </c>
      <c r="E680" t="inlineStr">
        <is>
          <t>ÖSTERSUND</t>
        </is>
      </c>
      <c r="G680" t="n">
        <v>2.2</v>
      </c>
      <c r="H680" t="n">
        <v>0</v>
      </c>
      <c r="I680" t="n">
        <v>0</v>
      </c>
      <c r="J680" t="n">
        <v>0</v>
      </c>
      <c r="K680" t="n">
        <v>0</v>
      </c>
      <c r="L680" t="n">
        <v>0</v>
      </c>
      <c r="M680" t="n">
        <v>0</v>
      </c>
      <c r="N680" t="n">
        <v>0</v>
      </c>
      <c r="O680" t="n">
        <v>0</v>
      </c>
      <c r="P680" t="n">
        <v>0</v>
      </c>
      <c r="Q680" t="n">
        <v>0</v>
      </c>
      <c r="R680" s="2" t="inlineStr"/>
    </row>
    <row r="681" ht="15" customHeight="1">
      <c r="A681" t="inlineStr">
        <is>
          <t>A 58099-2025</t>
        </is>
      </c>
      <c r="B681" s="1" t="n">
        <v>45982.5862037037</v>
      </c>
      <c r="C681" s="1" t="n">
        <v>46052</v>
      </c>
      <c r="D681" t="inlineStr">
        <is>
          <t>JÄMTLANDS LÄN</t>
        </is>
      </c>
      <c r="E681" t="inlineStr">
        <is>
          <t>ÖSTERSUND</t>
        </is>
      </c>
      <c r="G681" t="n">
        <v>6.1</v>
      </c>
      <c r="H681" t="n">
        <v>0</v>
      </c>
      <c r="I681" t="n">
        <v>0</v>
      </c>
      <c r="J681" t="n">
        <v>0</v>
      </c>
      <c r="K681" t="n">
        <v>0</v>
      </c>
      <c r="L681" t="n">
        <v>0</v>
      </c>
      <c r="M681" t="n">
        <v>0</v>
      </c>
      <c r="N681" t="n">
        <v>0</v>
      </c>
      <c r="O681" t="n">
        <v>0</v>
      </c>
      <c r="P681" t="n">
        <v>0</v>
      </c>
      <c r="Q681" t="n">
        <v>0</v>
      </c>
      <c r="R681" s="2" t="inlineStr"/>
    </row>
    <row r="682" ht="15" customHeight="1">
      <c r="A682" t="inlineStr">
        <is>
          <t>A 379-2026</t>
        </is>
      </c>
      <c r="B682" s="1" t="n">
        <v>46027.7344212963</v>
      </c>
      <c r="C682" s="1" t="n">
        <v>46052</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58440-2025</t>
        </is>
      </c>
      <c r="B683" s="1" t="n">
        <v>45985.61524305555</v>
      </c>
      <c r="C683" s="1" t="n">
        <v>46052</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58354-2025</t>
        </is>
      </c>
      <c r="B684" s="1" t="n">
        <v>45985.51131944444</v>
      </c>
      <c r="C684" s="1" t="n">
        <v>46052</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58353-2025</t>
        </is>
      </c>
      <c r="B685" s="1" t="n">
        <v>45985.51128472222</v>
      </c>
      <c r="C685" s="1" t="n">
        <v>46052</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318-2026</t>
        </is>
      </c>
      <c r="B686" s="1" t="n">
        <v>46027.57334490741</v>
      </c>
      <c r="C686" s="1" t="n">
        <v>46052</v>
      </c>
      <c r="D686" t="inlineStr">
        <is>
          <t>JÄMTLANDS LÄN</t>
        </is>
      </c>
      <c r="E686" t="inlineStr">
        <is>
          <t>ÖSTERSUND</t>
        </is>
      </c>
      <c r="G686" t="n">
        <v>2</v>
      </c>
      <c r="H686" t="n">
        <v>0</v>
      </c>
      <c r="I686" t="n">
        <v>0</v>
      </c>
      <c r="J686" t="n">
        <v>0</v>
      </c>
      <c r="K686" t="n">
        <v>0</v>
      </c>
      <c r="L686" t="n">
        <v>0</v>
      </c>
      <c r="M686" t="n">
        <v>0</v>
      </c>
      <c r="N686" t="n">
        <v>0</v>
      </c>
      <c r="O686" t="n">
        <v>0</v>
      </c>
      <c r="P686" t="n">
        <v>0</v>
      </c>
      <c r="Q686" t="n">
        <v>0</v>
      </c>
      <c r="R686" s="2" t="inlineStr"/>
    </row>
    <row r="687" ht="15" customHeight="1">
      <c r="A687" t="inlineStr">
        <is>
          <t>A 58373-2025</t>
        </is>
      </c>
      <c r="B687" s="1" t="n">
        <v>45985.53162037037</v>
      </c>
      <c r="C687" s="1" t="n">
        <v>46052</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330-2026</t>
        </is>
      </c>
      <c r="B688" s="1" t="n">
        <v>46027.59451388889</v>
      </c>
      <c r="C688" s="1" t="n">
        <v>46052</v>
      </c>
      <c r="D688" t="inlineStr">
        <is>
          <t>JÄMTLANDS LÄN</t>
        </is>
      </c>
      <c r="E688" t="inlineStr">
        <is>
          <t>ÖSTERSUND</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58917-2025</t>
        </is>
      </c>
      <c r="B689" s="1" t="n">
        <v>45987.52949074074</v>
      </c>
      <c r="C689" s="1" t="n">
        <v>46052</v>
      </c>
      <c r="D689" t="inlineStr">
        <is>
          <t>JÄMTLANDS LÄN</t>
        </is>
      </c>
      <c r="E689" t="inlineStr">
        <is>
          <t>ÖSTERSUND</t>
        </is>
      </c>
      <c r="G689" t="n">
        <v>0.7</v>
      </c>
      <c r="H689" t="n">
        <v>0</v>
      </c>
      <c r="I689" t="n">
        <v>0</v>
      </c>
      <c r="J689" t="n">
        <v>0</v>
      </c>
      <c r="K689" t="n">
        <v>0</v>
      </c>
      <c r="L689" t="n">
        <v>0</v>
      </c>
      <c r="M689" t="n">
        <v>0</v>
      </c>
      <c r="N689" t="n">
        <v>0</v>
      </c>
      <c r="O689" t="n">
        <v>0</v>
      </c>
      <c r="P689" t="n">
        <v>0</v>
      </c>
      <c r="Q689" t="n">
        <v>0</v>
      </c>
      <c r="R689" s="2" t="inlineStr"/>
    </row>
    <row r="690" ht="15" customHeight="1">
      <c r="A690" t="inlineStr">
        <is>
          <t>A 58818-2025</t>
        </is>
      </c>
      <c r="B690" s="1" t="n">
        <v>45987.33479166667</v>
      </c>
      <c r="C690" s="1" t="n">
        <v>46052</v>
      </c>
      <c r="D690" t="inlineStr">
        <is>
          <t>JÄMTLANDS LÄN</t>
        </is>
      </c>
      <c r="E690" t="inlineStr">
        <is>
          <t>ÖSTERSUND</t>
        </is>
      </c>
      <c r="G690" t="n">
        <v>3.6</v>
      </c>
      <c r="H690" t="n">
        <v>0</v>
      </c>
      <c r="I690" t="n">
        <v>0</v>
      </c>
      <c r="J690" t="n">
        <v>0</v>
      </c>
      <c r="K690" t="n">
        <v>0</v>
      </c>
      <c r="L690" t="n">
        <v>0</v>
      </c>
      <c r="M690" t="n">
        <v>0</v>
      </c>
      <c r="N690" t="n">
        <v>0</v>
      </c>
      <c r="O690" t="n">
        <v>0</v>
      </c>
      <c r="P690" t="n">
        <v>0</v>
      </c>
      <c r="Q690" t="n">
        <v>0</v>
      </c>
      <c r="R690" s="2" t="inlineStr"/>
    </row>
    <row r="691" ht="15" customHeight="1">
      <c r="A691" t="inlineStr">
        <is>
          <t>A 58824-2025</t>
        </is>
      </c>
      <c r="B691" s="1" t="n">
        <v>45987.34543981482</v>
      </c>
      <c r="C691" s="1" t="n">
        <v>46052</v>
      </c>
      <c r="D691" t="inlineStr">
        <is>
          <t>JÄMTLANDS LÄN</t>
        </is>
      </c>
      <c r="E691" t="inlineStr">
        <is>
          <t>ÖSTERSUND</t>
        </is>
      </c>
      <c r="G691" t="n">
        <v>3.2</v>
      </c>
      <c r="H691" t="n">
        <v>0</v>
      </c>
      <c r="I691" t="n">
        <v>0</v>
      </c>
      <c r="J691" t="n">
        <v>0</v>
      </c>
      <c r="K691" t="n">
        <v>0</v>
      </c>
      <c r="L691" t="n">
        <v>0</v>
      </c>
      <c r="M691" t="n">
        <v>0</v>
      </c>
      <c r="N691" t="n">
        <v>0</v>
      </c>
      <c r="O691" t="n">
        <v>0</v>
      </c>
      <c r="P691" t="n">
        <v>0</v>
      </c>
      <c r="Q691" t="n">
        <v>0</v>
      </c>
      <c r="R691" s="2" t="inlineStr"/>
    </row>
    <row r="692" ht="15" customHeight="1">
      <c r="A692" t="inlineStr">
        <is>
          <t>A 58583-2025</t>
        </is>
      </c>
      <c r="B692" s="1" t="n">
        <v>45986.39024305555</v>
      </c>
      <c r="C692" s="1" t="n">
        <v>46052</v>
      </c>
      <c r="D692" t="inlineStr">
        <is>
          <t>JÄMTLANDS LÄN</t>
        </is>
      </c>
      <c r="E692" t="inlineStr">
        <is>
          <t>ÖSTERSUND</t>
        </is>
      </c>
      <c r="G692" t="n">
        <v>43.1</v>
      </c>
      <c r="H692" t="n">
        <v>0</v>
      </c>
      <c r="I692" t="n">
        <v>0</v>
      </c>
      <c r="J692" t="n">
        <v>0</v>
      </c>
      <c r="K692" t="n">
        <v>0</v>
      </c>
      <c r="L692" t="n">
        <v>0</v>
      </c>
      <c r="M692" t="n">
        <v>0</v>
      </c>
      <c r="N692" t="n">
        <v>0</v>
      </c>
      <c r="O692" t="n">
        <v>0</v>
      </c>
      <c r="P692" t="n">
        <v>0</v>
      </c>
      <c r="Q692" t="n">
        <v>0</v>
      </c>
      <c r="R692" s="2" t="inlineStr"/>
    </row>
    <row r="693" ht="15" customHeight="1">
      <c r="A693" t="inlineStr">
        <is>
          <t>A 485-2026</t>
        </is>
      </c>
      <c r="B693" s="1" t="n">
        <v>46029.41560185186</v>
      </c>
      <c r="C693" s="1" t="n">
        <v>46052</v>
      </c>
      <c r="D693" t="inlineStr">
        <is>
          <t>JÄMTLANDS LÄN</t>
        </is>
      </c>
      <c r="E693" t="inlineStr">
        <is>
          <t>ÖSTERSUND</t>
        </is>
      </c>
      <c r="G693" t="n">
        <v>1.6</v>
      </c>
      <c r="H693" t="n">
        <v>0</v>
      </c>
      <c r="I693" t="n">
        <v>0</v>
      </c>
      <c r="J693" t="n">
        <v>0</v>
      </c>
      <c r="K693" t="n">
        <v>0</v>
      </c>
      <c r="L693" t="n">
        <v>0</v>
      </c>
      <c r="M693" t="n">
        <v>0</v>
      </c>
      <c r="N693" t="n">
        <v>0</v>
      </c>
      <c r="O693" t="n">
        <v>0</v>
      </c>
      <c r="P693" t="n">
        <v>0</v>
      </c>
      <c r="Q693" t="n">
        <v>0</v>
      </c>
      <c r="R693" s="2" t="inlineStr"/>
    </row>
    <row r="694" ht="15" customHeight="1">
      <c r="A694" t="inlineStr">
        <is>
          <t>A 623-2026</t>
        </is>
      </c>
      <c r="B694" s="1" t="n">
        <v>46024</v>
      </c>
      <c r="C694" s="1" t="n">
        <v>46052</v>
      </c>
      <c r="D694" t="inlineStr">
        <is>
          <t>JÄMTLANDS LÄN</t>
        </is>
      </c>
      <c r="E694" t="inlineStr">
        <is>
          <t>ÖSTERSUND</t>
        </is>
      </c>
      <c r="G694" t="n">
        <v>1.1</v>
      </c>
      <c r="H694" t="n">
        <v>0</v>
      </c>
      <c r="I694" t="n">
        <v>0</v>
      </c>
      <c r="J694" t="n">
        <v>0</v>
      </c>
      <c r="K694" t="n">
        <v>0</v>
      </c>
      <c r="L694" t="n">
        <v>0</v>
      </c>
      <c r="M694" t="n">
        <v>0</v>
      </c>
      <c r="N694" t="n">
        <v>0</v>
      </c>
      <c r="O694" t="n">
        <v>0</v>
      </c>
      <c r="P694" t="n">
        <v>0</v>
      </c>
      <c r="Q694" t="n">
        <v>0</v>
      </c>
      <c r="R694" s="2" t="inlineStr"/>
    </row>
    <row r="695" ht="15" customHeight="1">
      <c r="A695" t="inlineStr">
        <is>
          <t>A 59188-2025</t>
        </is>
      </c>
      <c r="B695" s="1" t="n">
        <v>45988.58856481482</v>
      </c>
      <c r="C695" s="1" t="n">
        <v>46052</v>
      </c>
      <c r="D695" t="inlineStr">
        <is>
          <t>JÄMTLANDS LÄN</t>
        </is>
      </c>
      <c r="E695" t="inlineStr">
        <is>
          <t>ÖSTERSUND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59015-2025</t>
        </is>
      </c>
      <c r="B696" s="1" t="n">
        <v>45987.83457175926</v>
      </c>
      <c r="C696" s="1" t="n">
        <v>46052</v>
      </c>
      <c r="D696" t="inlineStr">
        <is>
          <t>JÄMTLANDS LÄN</t>
        </is>
      </c>
      <c r="E696" t="inlineStr">
        <is>
          <t>ÖSTERSUND</t>
        </is>
      </c>
      <c r="G696" t="n">
        <v>2.4</v>
      </c>
      <c r="H696" t="n">
        <v>0</v>
      </c>
      <c r="I696" t="n">
        <v>0</v>
      </c>
      <c r="J696" t="n">
        <v>0</v>
      </c>
      <c r="K696" t="n">
        <v>0</v>
      </c>
      <c r="L696" t="n">
        <v>0</v>
      </c>
      <c r="M696" t="n">
        <v>0</v>
      </c>
      <c r="N696" t="n">
        <v>0</v>
      </c>
      <c r="O696" t="n">
        <v>0</v>
      </c>
      <c r="P696" t="n">
        <v>0</v>
      </c>
      <c r="Q696" t="n">
        <v>0</v>
      </c>
      <c r="R696" s="2" t="inlineStr"/>
    </row>
    <row r="697" ht="15" customHeight="1">
      <c r="A697" t="inlineStr">
        <is>
          <t>A 1374-2026</t>
        </is>
      </c>
      <c r="B697" s="1" t="n">
        <v>46031.6141087963</v>
      </c>
      <c r="C697" s="1" t="n">
        <v>46052</v>
      </c>
      <c r="D697" t="inlineStr">
        <is>
          <t>JÄMTLANDS LÄN</t>
        </is>
      </c>
      <c r="E697" t="inlineStr">
        <is>
          <t>ÖSTERSUND</t>
        </is>
      </c>
      <c r="G697" t="n">
        <v>2.7</v>
      </c>
      <c r="H697" t="n">
        <v>0</v>
      </c>
      <c r="I697" t="n">
        <v>0</v>
      </c>
      <c r="J697" t="n">
        <v>0</v>
      </c>
      <c r="K697" t="n">
        <v>0</v>
      </c>
      <c r="L697" t="n">
        <v>0</v>
      </c>
      <c r="M697" t="n">
        <v>0</v>
      </c>
      <c r="N697" t="n">
        <v>0</v>
      </c>
      <c r="O697" t="n">
        <v>0</v>
      </c>
      <c r="P697" t="n">
        <v>0</v>
      </c>
      <c r="Q697" t="n">
        <v>0</v>
      </c>
      <c r="R697" s="2" t="inlineStr"/>
    </row>
    <row r="698" ht="15" customHeight="1">
      <c r="A698" t="inlineStr">
        <is>
          <t>A 59007-2025</t>
        </is>
      </c>
      <c r="B698" s="1" t="n">
        <v>45987.69552083333</v>
      </c>
      <c r="C698" s="1" t="n">
        <v>46052</v>
      </c>
      <c r="D698" t="inlineStr">
        <is>
          <t>JÄMTLANDS LÄN</t>
        </is>
      </c>
      <c r="E698" t="inlineStr">
        <is>
          <t>ÖSTERSUND</t>
        </is>
      </c>
      <c r="G698" t="n">
        <v>4</v>
      </c>
      <c r="H698" t="n">
        <v>0</v>
      </c>
      <c r="I698" t="n">
        <v>0</v>
      </c>
      <c r="J698" t="n">
        <v>0</v>
      </c>
      <c r="K698" t="n">
        <v>0</v>
      </c>
      <c r="L698" t="n">
        <v>0</v>
      </c>
      <c r="M698" t="n">
        <v>0</v>
      </c>
      <c r="N698" t="n">
        <v>0</v>
      </c>
      <c r="O698" t="n">
        <v>0</v>
      </c>
      <c r="P698" t="n">
        <v>0</v>
      </c>
      <c r="Q698" t="n">
        <v>0</v>
      </c>
      <c r="R698" s="2" t="inlineStr"/>
    </row>
    <row r="699" ht="15" customHeight="1">
      <c r="A699" t="inlineStr">
        <is>
          <t>A 59619-2025</t>
        </is>
      </c>
      <c r="B699" s="1" t="n">
        <v>45992.38109953704</v>
      </c>
      <c r="C699" s="1" t="n">
        <v>46052</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59612-2025</t>
        </is>
      </c>
      <c r="B700" s="1" t="n">
        <v>45992.3706712963</v>
      </c>
      <c r="C700" s="1" t="n">
        <v>46052</v>
      </c>
      <c r="D700" t="inlineStr">
        <is>
          <t>JÄMTLANDS LÄN</t>
        </is>
      </c>
      <c r="E700" t="inlineStr">
        <is>
          <t>ÖSTERSUND</t>
        </is>
      </c>
      <c r="G700" t="n">
        <v>2.3</v>
      </c>
      <c r="H700" t="n">
        <v>0</v>
      </c>
      <c r="I700" t="n">
        <v>0</v>
      </c>
      <c r="J700" t="n">
        <v>0</v>
      </c>
      <c r="K700" t="n">
        <v>0</v>
      </c>
      <c r="L700" t="n">
        <v>0</v>
      </c>
      <c r="M700" t="n">
        <v>0</v>
      </c>
      <c r="N700" t="n">
        <v>0</v>
      </c>
      <c r="O700" t="n">
        <v>0</v>
      </c>
      <c r="P700" t="n">
        <v>0</v>
      </c>
      <c r="Q700" t="n">
        <v>0</v>
      </c>
      <c r="R700" s="2" t="inlineStr"/>
    </row>
    <row r="701" ht="15" customHeight="1">
      <c r="A701" t="inlineStr">
        <is>
          <t>A 59687-2025</t>
        </is>
      </c>
      <c r="B701" s="1" t="n">
        <v>45992.47729166667</v>
      </c>
      <c r="C701" s="1" t="n">
        <v>46052</v>
      </c>
      <c r="D701" t="inlineStr">
        <is>
          <t>JÄMTLANDS LÄN</t>
        </is>
      </c>
      <c r="E701" t="inlineStr">
        <is>
          <t>ÖSTERSUND</t>
        </is>
      </c>
      <c r="G701" t="n">
        <v>5</v>
      </c>
      <c r="H701" t="n">
        <v>0</v>
      </c>
      <c r="I701" t="n">
        <v>0</v>
      </c>
      <c r="J701" t="n">
        <v>0</v>
      </c>
      <c r="K701" t="n">
        <v>0</v>
      </c>
      <c r="L701" t="n">
        <v>0</v>
      </c>
      <c r="M701" t="n">
        <v>0</v>
      </c>
      <c r="N701" t="n">
        <v>0</v>
      </c>
      <c r="O701" t="n">
        <v>0</v>
      </c>
      <c r="P701" t="n">
        <v>0</v>
      </c>
      <c r="Q701" t="n">
        <v>0</v>
      </c>
      <c r="R701" s="2" t="inlineStr"/>
    </row>
    <row r="702" ht="15" customHeight="1">
      <c r="A702" t="inlineStr">
        <is>
          <t>A 59613-2025</t>
        </is>
      </c>
      <c r="B702" s="1" t="n">
        <v>45992.37172453704</v>
      </c>
      <c r="C702" s="1" t="n">
        <v>46052</v>
      </c>
      <c r="D702" t="inlineStr">
        <is>
          <t>JÄMTLANDS LÄN</t>
        </is>
      </c>
      <c r="E702" t="inlineStr">
        <is>
          <t>ÖSTERSUND</t>
        </is>
      </c>
      <c r="G702" t="n">
        <v>2.1</v>
      </c>
      <c r="H702" t="n">
        <v>0</v>
      </c>
      <c r="I702" t="n">
        <v>0</v>
      </c>
      <c r="J702" t="n">
        <v>0</v>
      </c>
      <c r="K702" t="n">
        <v>0</v>
      </c>
      <c r="L702" t="n">
        <v>0</v>
      </c>
      <c r="M702" t="n">
        <v>0</v>
      </c>
      <c r="N702" t="n">
        <v>0</v>
      </c>
      <c r="O702" t="n">
        <v>0</v>
      </c>
      <c r="P702" t="n">
        <v>0</v>
      </c>
      <c r="Q702" t="n">
        <v>0</v>
      </c>
      <c r="R702" s="2" t="inlineStr"/>
    </row>
    <row r="703" ht="15" customHeight="1">
      <c r="A703" t="inlineStr">
        <is>
          <t>A 1552-2026</t>
        </is>
      </c>
      <c r="B703" s="1" t="n">
        <v>46034.38729166667</v>
      </c>
      <c r="C703" s="1" t="n">
        <v>46052</v>
      </c>
      <c r="D703" t="inlineStr">
        <is>
          <t>JÄMTLANDS LÄN</t>
        </is>
      </c>
      <c r="E703" t="inlineStr">
        <is>
          <t>ÖSTERSUND</t>
        </is>
      </c>
      <c r="G703" t="n">
        <v>1.1</v>
      </c>
      <c r="H703" t="n">
        <v>0</v>
      </c>
      <c r="I703" t="n">
        <v>0</v>
      </c>
      <c r="J703" t="n">
        <v>0</v>
      </c>
      <c r="K703" t="n">
        <v>0</v>
      </c>
      <c r="L703" t="n">
        <v>0</v>
      </c>
      <c r="M703" t="n">
        <v>0</v>
      </c>
      <c r="N703" t="n">
        <v>0</v>
      </c>
      <c r="O703" t="n">
        <v>0</v>
      </c>
      <c r="P703" t="n">
        <v>0</v>
      </c>
      <c r="Q703" t="n">
        <v>0</v>
      </c>
      <c r="R703" s="2" t="inlineStr"/>
    </row>
    <row r="704" ht="15" customHeight="1">
      <c r="A704" t="inlineStr">
        <is>
          <t>A 2700-2026</t>
        </is>
      </c>
      <c r="B704" s="1" t="n">
        <v>46037.6787962963</v>
      </c>
      <c r="C704" s="1" t="n">
        <v>46052</v>
      </c>
      <c r="D704" t="inlineStr">
        <is>
          <t>JÄMTLANDS LÄN</t>
        </is>
      </c>
      <c r="E704" t="inlineStr">
        <is>
          <t>ÖSTERSUND</t>
        </is>
      </c>
      <c r="G704" t="n">
        <v>8.6</v>
      </c>
      <c r="H704" t="n">
        <v>0</v>
      </c>
      <c r="I704" t="n">
        <v>0</v>
      </c>
      <c r="J704" t="n">
        <v>0</v>
      </c>
      <c r="K704" t="n">
        <v>0</v>
      </c>
      <c r="L704" t="n">
        <v>0</v>
      </c>
      <c r="M704" t="n">
        <v>0</v>
      </c>
      <c r="N704" t="n">
        <v>0</v>
      </c>
      <c r="O704" t="n">
        <v>0</v>
      </c>
      <c r="P704" t="n">
        <v>0</v>
      </c>
      <c r="Q704" t="n">
        <v>0</v>
      </c>
      <c r="R704" s="2" t="inlineStr"/>
    </row>
    <row r="705" ht="15" customHeight="1">
      <c r="A705" t="inlineStr">
        <is>
          <t>A 2702-2026</t>
        </is>
      </c>
      <c r="B705" s="1" t="n">
        <v>46037.68489583334</v>
      </c>
      <c r="C705" s="1" t="n">
        <v>46052</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1026-2026</t>
        </is>
      </c>
      <c r="B706" s="1" t="n">
        <v>46030.61326388889</v>
      </c>
      <c r="C706" s="1" t="n">
        <v>46052</v>
      </c>
      <c r="D706" t="inlineStr">
        <is>
          <t>JÄMTLANDS LÄN</t>
        </is>
      </c>
      <c r="E706" t="inlineStr">
        <is>
          <t>ÖSTERSUND</t>
        </is>
      </c>
      <c r="G706" t="n">
        <v>6.6</v>
      </c>
      <c r="H706" t="n">
        <v>0</v>
      </c>
      <c r="I706" t="n">
        <v>0</v>
      </c>
      <c r="J706" t="n">
        <v>0</v>
      </c>
      <c r="K706" t="n">
        <v>0</v>
      </c>
      <c r="L706" t="n">
        <v>0</v>
      </c>
      <c r="M706" t="n">
        <v>0</v>
      </c>
      <c r="N706" t="n">
        <v>0</v>
      </c>
      <c r="O706" t="n">
        <v>0</v>
      </c>
      <c r="P706" t="n">
        <v>0</v>
      </c>
      <c r="Q706" t="n">
        <v>0</v>
      </c>
      <c r="R706" s="2" t="inlineStr"/>
    </row>
    <row r="707" ht="15" customHeight="1">
      <c r="A707" t="inlineStr">
        <is>
          <t>A 60537-2025</t>
        </is>
      </c>
      <c r="B707" s="1" t="n">
        <v>45995</v>
      </c>
      <c r="C707" s="1" t="n">
        <v>46052</v>
      </c>
      <c r="D707" t="inlineStr">
        <is>
          <t>JÄMTLANDS LÄN</t>
        </is>
      </c>
      <c r="E707" t="inlineStr">
        <is>
          <t>ÖSTERSUND</t>
        </is>
      </c>
      <c r="G707" t="n">
        <v>4.7</v>
      </c>
      <c r="H707" t="n">
        <v>0</v>
      </c>
      <c r="I707" t="n">
        <v>0</v>
      </c>
      <c r="J707" t="n">
        <v>0</v>
      </c>
      <c r="K707" t="n">
        <v>0</v>
      </c>
      <c r="L707" t="n">
        <v>0</v>
      </c>
      <c r="M707" t="n">
        <v>0</v>
      </c>
      <c r="N707" t="n">
        <v>0</v>
      </c>
      <c r="O707" t="n">
        <v>0</v>
      </c>
      <c r="P707" t="n">
        <v>0</v>
      </c>
      <c r="Q707" t="n">
        <v>0</v>
      </c>
      <c r="R707" s="2" t="inlineStr"/>
    </row>
    <row r="708" ht="15" customHeight="1">
      <c r="A708" t="inlineStr">
        <is>
          <t>A 2694-2026</t>
        </is>
      </c>
      <c r="B708" s="1" t="n">
        <v>46037.6703125</v>
      </c>
      <c r="C708" s="1" t="n">
        <v>46052</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row r="709" ht="15" customHeight="1">
      <c r="A709" t="inlineStr">
        <is>
          <t>A 1901-2026</t>
        </is>
      </c>
      <c r="B709" s="1" t="n">
        <v>46032</v>
      </c>
      <c r="C709" s="1" t="n">
        <v>46052</v>
      </c>
      <c r="D709" t="inlineStr">
        <is>
          <t>JÄMTLANDS LÄN</t>
        </is>
      </c>
      <c r="E709" t="inlineStr">
        <is>
          <t>ÖSTERSUND</t>
        </is>
      </c>
      <c r="G709" t="n">
        <v>6.4</v>
      </c>
      <c r="H709" t="n">
        <v>0</v>
      </c>
      <c r="I709" t="n">
        <v>0</v>
      </c>
      <c r="J709" t="n">
        <v>0</v>
      </c>
      <c r="K709" t="n">
        <v>0</v>
      </c>
      <c r="L709" t="n">
        <v>0</v>
      </c>
      <c r="M709" t="n">
        <v>0</v>
      </c>
      <c r="N709" t="n">
        <v>0</v>
      </c>
      <c r="O709" t="n">
        <v>0</v>
      </c>
      <c r="P709" t="n">
        <v>0</v>
      </c>
      <c r="Q709" t="n">
        <v>0</v>
      </c>
      <c r="R709" s="2" t="inlineStr"/>
    </row>
    <row r="710" ht="15" customHeight="1">
      <c r="A710" t="inlineStr">
        <is>
          <t>A 2974-2026</t>
        </is>
      </c>
      <c r="B710" s="1" t="n">
        <v>46038.62193287037</v>
      </c>
      <c r="C710" s="1" t="n">
        <v>46052</v>
      </c>
      <c r="D710" t="inlineStr">
        <is>
          <t>JÄMTLANDS LÄN</t>
        </is>
      </c>
      <c r="E710" t="inlineStr">
        <is>
          <t>ÖSTERSUND</t>
        </is>
      </c>
      <c r="G710" t="n">
        <v>4.5</v>
      </c>
      <c r="H710" t="n">
        <v>0</v>
      </c>
      <c r="I710" t="n">
        <v>0</v>
      </c>
      <c r="J710" t="n">
        <v>0</v>
      </c>
      <c r="K710" t="n">
        <v>0</v>
      </c>
      <c r="L710" t="n">
        <v>0</v>
      </c>
      <c r="M710" t="n">
        <v>0</v>
      </c>
      <c r="N710" t="n">
        <v>0</v>
      </c>
      <c r="O710" t="n">
        <v>0</v>
      </c>
      <c r="P710" t="n">
        <v>0</v>
      </c>
      <c r="Q710" t="n">
        <v>0</v>
      </c>
      <c r="R710" s="2" t="inlineStr"/>
    </row>
    <row r="711" ht="15" customHeight="1">
      <c r="A711" t="inlineStr">
        <is>
          <t>A 721-2026</t>
        </is>
      </c>
      <c r="B711" s="1" t="n">
        <v>46029</v>
      </c>
      <c r="C711" s="1" t="n">
        <v>46052</v>
      </c>
      <c r="D711" t="inlineStr">
        <is>
          <t>JÄMTLANDS LÄN</t>
        </is>
      </c>
      <c r="E711" t="inlineStr">
        <is>
          <t>ÖSTERSUND</t>
        </is>
      </c>
      <c r="G711" t="n">
        <v>1.6</v>
      </c>
      <c r="H711" t="n">
        <v>0</v>
      </c>
      <c r="I711" t="n">
        <v>0</v>
      </c>
      <c r="J711" t="n">
        <v>0</v>
      </c>
      <c r="K711" t="n">
        <v>0</v>
      </c>
      <c r="L711" t="n">
        <v>0</v>
      </c>
      <c r="M711" t="n">
        <v>0</v>
      </c>
      <c r="N711" t="n">
        <v>0</v>
      </c>
      <c r="O711" t="n">
        <v>0</v>
      </c>
      <c r="P711" t="n">
        <v>0</v>
      </c>
      <c r="Q711" t="n">
        <v>0</v>
      </c>
      <c r="R711" s="2" t="inlineStr"/>
    </row>
    <row r="712" ht="15" customHeight="1">
      <c r="A712" t="inlineStr">
        <is>
          <t>A 2986-2026</t>
        </is>
      </c>
      <c r="B712" s="1" t="n">
        <v>46038.6322337963</v>
      </c>
      <c r="C712" s="1" t="n">
        <v>46052</v>
      </c>
      <c r="D712" t="inlineStr">
        <is>
          <t>JÄMTLANDS LÄN</t>
        </is>
      </c>
      <c r="E712" t="inlineStr">
        <is>
          <t>ÖSTERSUND</t>
        </is>
      </c>
      <c r="G712" t="n">
        <v>8.6</v>
      </c>
      <c r="H712" t="n">
        <v>0</v>
      </c>
      <c r="I712" t="n">
        <v>0</v>
      </c>
      <c r="J712" t="n">
        <v>0</v>
      </c>
      <c r="K712" t="n">
        <v>0</v>
      </c>
      <c r="L712" t="n">
        <v>0</v>
      </c>
      <c r="M712" t="n">
        <v>0</v>
      </c>
      <c r="N712" t="n">
        <v>0</v>
      </c>
      <c r="O712" t="n">
        <v>0</v>
      </c>
      <c r="P712" t="n">
        <v>0</v>
      </c>
      <c r="Q712" t="n">
        <v>0</v>
      </c>
      <c r="R712" s="2" t="inlineStr"/>
    </row>
    <row r="713" ht="15" customHeight="1">
      <c r="A713" t="inlineStr">
        <is>
          <t>A 3197-2026</t>
        </is>
      </c>
      <c r="B713" s="1" t="n">
        <v>46041.47474537037</v>
      </c>
      <c r="C713" s="1" t="n">
        <v>46052</v>
      </c>
      <c r="D713" t="inlineStr">
        <is>
          <t>JÄMTLANDS LÄN</t>
        </is>
      </c>
      <c r="E713" t="inlineStr">
        <is>
          <t>ÖSTERSUND</t>
        </is>
      </c>
      <c r="G713" t="n">
        <v>1</v>
      </c>
      <c r="H713" t="n">
        <v>0</v>
      </c>
      <c r="I713" t="n">
        <v>0</v>
      </c>
      <c r="J713" t="n">
        <v>0</v>
      </c>
      <c r="K713" t="n">
        <v>0</v>
      </c>
      <c r="L713" t="n">
        <v>0</v>
      </c>
      <c r="M713" t="n">
        <v>0</v>
      </c>
      <c r="N713" t="n">
        <v>0</v>
      </c>
      <c r="O713" t="n">
        <v>0</v>
      </c>
      <c r="P713" t="n">
        <v>0</v>
      </c>
      <c r="Q713" t="n">
        <v>0</v>
      </c>
      <c r="R713" s="2" t="inlineStr"/>
    </row>
    <row r="714" ht="15" customHeight="1">
      <c r="A714" t="inlineStr">
        <is>
          <t>A 60048-2025</t>
        </is>
      </c>
      <c r="B714" s="1" t="n">
        <v>45993</v>
      </c>
      <c r="C714" s="1" t="n">
        <v>46052</v>
      </c>
      <c r="D714" t="inlineStr">
        <is>
          <t>JÄMTLANDS LÄN</t>
        </is>
      </c>
      <c r="E714" t="inlineStr">
        <is>
          <t>ÖSTERSUND</t>
        </is>
      </c>
      <c r="G714" t="n">
        <v>1.3</v>
      </c>
      <c r="H714" t="n">
        <v>0</v>
      </c>
      <c r="I714" t="n">
        <v>0</v>
      </c>
      <c r="J714" t="n">
        <v>0</v>
      </c>
      <c r="K714" t="n">
        <v>0</v>
      </c>
      <c r="L714" t="n">
        <v>0</v>
      </c>
      <c r="M714" t="n">
        <v>0</v>
      </c>
      <c r="N714" t="n">
        <v>0</v>
      </c>
      <c r="O714" t="n">
        <v>0</v>
      </c>
      <c r="P714" t="n">
        <v>0</v>
      </c>
      <c r="Q714" t="n">
        <v>0</v>
      </c>
      <c r="R714" s="2" t="inlineStr"/>
    </row>
    <row r="715" ht="15" customHeight="1">
      <c r="A715" t="inlineStr">
        <is>
          <t>A 2971-2026</t>
        </is>
      </c>
      <c r="B715" s="1" t="n">
        <v>46038.62047453703</v>
      </c>
      <c r="C715" s="1" t="n">
        <v>46052</v>
      </c>
      <c r="D715" t="inlineStr">
        <is>
          <t>JÄMTLANDS LÄN</t>
        </is>
      </c>
      <c r="E715" t="inlineStr">
        <is>
          <t>ÖSTERSUND</t>
        </is>
      </c>
      <c r="G715" t="n">
        <v>0.5</v>
      </c>
      <c r="H715" t="n">
        <v>0</v>
      </c>
      <c r="I715" t="n">
        <v>0</v>
      </c>
      <c r="J715" t="n">
        <v>0</v>
      </c>
      <c r="K715" t="n">
        <v>0</v>
      </c>
      <c r="L715" t="n">
        <v>0</v>
      </c>
      <c r="M715" t="n">
        <v>0</v>
      </c>
      <c r="N715" t="n">
        <v>0</v>
      </c>
      <c r="O715" t="n">
        <v>0</v>
      </c>
      <c r="P715" t="n">
        <v>0</v>
      </c>
      <c r="Q715" t="n">
        <v>0</v>
      </c>
      <c r="R715" s="2" t="inlineStr"/>
    </row>
    <row r="716" ht="15" customHeight="1">
      <c r="A716" t="inlineStr">
        <is>
          <t>A 2988-2026</t>
        </is>
      </c>
      <c r="B716" s="1" t="n">
        <v>46038.6360300926</v>
      </c>
      <c r="C716" s="1" t="n">
        <v>46052</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61222-2025</t>
        </is>
      </c>
      <c r="B717" s="1" t="n">
        <v>46000.62851851852</v>
      </c>
      <c r="C717" s="1" t="n">
        <v>46052</v>
      </c>
      <c r="D717" t="inlineStr">
        <is>
          <t>JÄMTLANDS LÄN</t>
        </is>
      </c>
      <c r="E717" t="inlineStr">
        <is>
          <t>ÖSTERSUND</t>
        </is>
      </c>
      <c r="G717" t="n">
        <v>9.1</v>
      </c>
      <c r="H717" t="n">
        <v>0</v>
      </c>
      <c r="I717" t="n">
        <v>0</v>
      </c>
      <c r="J717" t="n">
        <v>0</v>
      </c>
      <c r="K717" t="n">
        <v>0</v>
      </c>
      <c r="L717" t="n">
        <v>0</v>
      </c>
      <c r="M717" t="n">
        <v>0</v>
      </c>
      <c r="N717" t="n">
        <v>0</v>
      </c>
      <c r="O717" t="n">
        <v>0</v>
      </c>
      <c r="P717" t="n">
        <v>0</v>
      </c>
      <c r="Q717" t="n">
        <v>0</v>
      </c>
      <c r="R717" s="2" t="inlineStr"/>
    </row>
    <row r="718" ht="15" customHeight="1">
      <c r="A718" t="inlineStr">
        <is>
          <t>A 61235-2025</t>
        </is>
      </c>
      <c r="B718" s="1" t="n">
        <v>46000.63969907408</v>
      </c>
      <c r="C718" s="1" t="n">
        <v>46052</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61267-2025</t>
        </is>
      </c>
      <c r="B719" s="1" t="n">
        <v>46000.67793981481</v>
      </c>
      <c r="C719" s="1" t="n">
        <v>46052</v>
      </c>
      <c r="D719" t="inlineStr">
        <is>
          <t>JÄMTLANDS LÄN</t>
        </is>
      </c>
      <c r="E719" t="inlineStr">
        <is>
          <t>ÖSTERSUND</t>
        </is>
      </c>
      <c r="G719" t="n">
        <v>3.6</v>
      </c>
      <c r="H719" t="n">
        <v>0</v>
      </c>
      <c r="I719" t="n">
        <v>0</v>
      </c>
      <c r="J719" t="n">
        <v>0</v>
      </c>
      <c r="K719" t="n">
        <v>0</v>
      </c>
      <c r="L719" t="n">
        <v>0</v>
      </c>
      <c r="M719" t="n">
        <v>0</v>
      </c>
      <c r="N719" t="n">
        <v>0</v>
      </c>
      <c r="O719" t="n">
        <v>0</v>
      </c>
      <c r="P719" t="n">
        <v>0</v>
      </c>
      <c r="Q719" t="n">
        <v>0</v>
      </c>
      <c r="R719" s="2" t="inlineStr"/>
    </row>
    <row r="720" ht="15" customHeight="1">
      <c r="A720" t="inlineStr">
        <is>
          <t>A 61427-2025</t>
        </is>
      </c>
      <c r="B720" s="1" t="n">
        <v>46000</v>
      </c>
      <c r="C720" s="1" t="n">
        <v>46052</v>
      </c>
      <c r="D720" t="inlineStr">
        <is>
          <t>JÄMTLANDS LÄN</t>
        </is>
      </c>
      <c r="E720" t="inlineStr">
        <is>
          <t>ÖSTERSUND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61330-2025</t>
        </is>
      </c>
      <c r="B721" s="1" t="n">
        <v>46001</v>
      </c>
      <c r="C721" s="1" t="n">
        <v>46052</v>
      </c>
      <c r="D721" t="inlineStr">
        <is>
          <t>JÄMTLANDS LÄN</t>
        </is>
      </c>
      <c r="E721" t="inlineStr">
        <is>
          <t>ÖSTERSUND</t>
        </is>
      </c>
      <c r="G721" t="n">
        <v>4.5</v>
      </c>
      <c r="H721" t="n">
        <v>0</v>
      </c>
      <c r="I721" t="n">
        <v>0</v>
      </c>
      <c r="J721" t="n">
        <v>0</v>
      </c>
      <c r="K721" t="n">
        <v>0</v>
      </c>
      <c r="L721" t="n">
        <v>0</v>
      </c>
      <c r="M721" t="n">
        <v>0</v>
      </c>
      <c r="N721" t="n">
        <v>0</v>
      </c>
      <c r="O721" t="n">
        <v>0</v>
      </c>
      <c r="P721" t="n">
        <v>0</v>
      </c>
      <c r="Q721" t="n">
        <v>0</v>
      </c>
      <c r="R721" s="2" t="inlineStr"/>
    </row>
    <row r="722" ht="15" customHeight="1">
      <c r="A722" t="inlineStr">
        <is>
          <t>A 4406-2026</t>
        </is>
      </c>
      <c r="B722" s="1" t="n">
        <v>46045.59430555555</v>
      </c>
      <c r="C722" s="1" t="n">
        <v>46052</v>
      </c>
      <c r="D722" t="inlineStr">
        <is>
          <t>JÄMTLANDS LÄN</t>
        </is>
      </c>
      <c r="E722" t="inlineStr">
        <is>
          <t>ÖSTERSUND</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61836-2025</t>
        </is>
      </c>
      <c r="B723" s="1" t="n">
        <v>46003</v>
      </c>
      <c r="C723" s="1" t="n">
        <v>46052</v>
      </c>
      <c r="D723" t="inlineStr">
        <is>
          <t>JÄMTLANDS LÄN</t>
        </is>
      </c>
      <c r="E723" t="inlineStr">
        <is>
          <t>ÖSTERSUND</t>
        </is>
      </c>
      <c r="G723" t="n">
        <v>4.6</v>
      </c>
      <c r="H723" t="n">
        <v>0</v>
      </c>
      <c r="I723" t="n">
        <v>0</v>
      </c>
      <c r="J723" t="n">
        <v>0</v>
      </c>
      <c r="K723" t="n">
        <v>0</v>
      </c>
      <c r="L723" t="n">
        <v>0</v>
      </c>
      <c r="M723" t="n">
        <v>0</v>
      </c>
      <c r="N723" t="n">
        <v>0</v>
      </c>
      <c r="O723" t="n">
        <v>0</v>
      </c>
      <c r="P723" t="n">
        <v>0</v>
      </c>
      <c r="Q723" t="n">
        <v>0</v>
      </c>
      <c r="R723" s="2" t="inlineStr"/>
    </row>
    <row r="724" ht="15" customHeight="1">
      <c r="A724" t="inlineStr">
        <is>
          <t>A 4294-2026</t>
        </is>
      </c>
      <c r="B724" s="1" t="n">
        <v>46045.41643518519</v>
      </c>
      <c r="C724" s="1" t="n">
        <v>46052</v>
      </c>
      <c r="D724" t="inlineStr">
        <is>
          <t>JÄMTLANDS LÄN</t>
        </is>
      </c>
      <c r="E724" t="inlineStr">
        <is>
          <t>ÖSTERSUND</t>
        </is>
      </c>
      <c r="G724" t="n">
        <v>21.6</v>
      </c>
      <c r="H724" t="n">
        <v>0</v>
      </c>
      <c r="I724" t="n">
        <v>0</v>
      </c>
      <c r="J724" t="n">
        <v>0</v>
      </c>
      <c r="K724" t="n">
        <v>0</v>
      </c>
      <c r="L724" t="n">
        <v>0</v>
      </c>
      <c r="M724" t="n">
        <v>0</v>
      </c>
      <c r="N724" t="n">
        <v>0</v>
      </c>
      <c r="O724" t="n">
        <v>0</v>
      </c>
      <c r="P724" t="n">
        <v>0</v>
      </c>
      <c r="Q724" t="n">
        <v>0</v>
      </c>
      <c r="R724" s="2" t="inlineStr"/>
    </row>
    <row r="725" ht="15" customHeight="1">
      <c r="A725" t="inlineStr">
        <is>
          <t>A 61985-2025</t>
        </is>
      </c>
      <c r="B725" s="1" t="n">
        <v>46003.62509259259</v>
      </c>
      <c r="C725" s="1" t="n">
        <v>46052</v>
      </c>
      <c r="D725" t="inlineStr">
        <is>
          <t>JÄMTLANDS LÄN</t>
        </is>
      </c>
      <c r="E725" t="inlineStr">
        <is>
          <t>ÖSTERSUND</t>
        </is>
      </c>
      <c r="G725" t="n">
        <v>4.2</v>
      </c>
      <c r="H725" t="n">
        <v>0</v>
      </c>
      <c r="I725" t="n">
        <v>0</v>
      </c>
      <c r="J725" t="n">
        <v>0</v>
      </c>
      <c r="K725" t="n">
        <v>0</v>
      </c>
      <c r="L725" t="n">
        <v>0</v>
      </c>
      <c r="M725" t="n">
        <v>0</v>
      </c>
      <c r="N725" t="n">
        <v>0</v>
      </c>
      <c r="O725" t="n">
        <v>0</v>
      </c>
      <c r="P725" t="n">
        <v>0</v>
      </c>
      <c r="Q725" t="n">
        <v>0</v>
      </c>
      <c r="R725" s="2" t="inlineStr"/>
    </row>
    <row r="726" ht="15" customHeight="1">
      <c r="A726" t="inlineStr">
        <is>
          <t>A 4423-2026</t>
        </is>
      </c>
      <c r="B726" s="1" t="n">
        <v>46045.61509259259</v>
      </c>
      <c r="C726" s="1" t="n">
        <v>46052</v>
      </c>
      <c r="D726" t="inlineStr">
        <is>
          <t>JÄMTLANDS LÄN</t>
        </is>
      </c>
      <c r="E726" t="inlineStr">
        <is>
          <t>ÖSTERSUND</t>
        </is>
      </c>
      <c r="G726" t="n">
        <v>1.3</v>
      </c>
      <c r="H726" t="n">
        <v>0</v>
      </c>
      <c r="I726" t="n">
        <v>0</v>
      </c>
      <c r="J726" t="n">
        <v>0</v>
      </c>
      <c r="K726" t="n">
        <v>0</v>
      </c>
      <c r="L726" t="n">
        <v>0</v>
      </c>
      <c r="M726" t="n">
        <v>0</v>
      </c>
      <c r="N726" t="n">
        <v>0</v>
      </c>
      <c r="O726" t="n">
        <v>0</v>
      </c>
      <c r="P726" t="n">
        <v>0</v>
      </c>
      <c r="Q726" t="n">
        <v>0</v>
      </c>
      <c r="R726" s="2" t="inlineStr"/>
    </row>
    <row r="727" ht="15" customHeight="1">
      <c r="A727" t="inlineStr">
        <is>
          <t>A 61944-2025</t>
        </is>
      </c>
      <c r="B727" s="1" t="n">
        <v>46003.56467592593</v>
      </c>
      <c r="C727" s="1" t="n">
        <v>46052</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61964-2025</t>
        </is>
      </c>
      <c r="B728" s="1" t="n">
        <v>46003</v>
      </c>
      <c r="C728" s="1" t="n">
        <v>46052</v>
      </c>
      <c r="D728" t="inlineStr">
        <is>
          <t>JÄMTLANDS LÄN</t>
        </is>
      </c>
      <c r="E728" t="inlineStr">
        <is>
          <t>ÖSTERSUND</t>
        </is>
      </c>
      <c r="G728" t="n">
        <v>16.5</v>
      </c>
      <c r="H728" t="n">
        <v>0</v>
      </c>
      <c r="I728" t="n">
        <v>0</v>
      </c>
      <c r="J728" t="n">
        <v>0</v>
      </c>
      <c r="K728" t="n">
        <v>0</v>
      </c>
      <c r="L728" t="n">
        <v>0</v>
      </c>
      <c r="M728" t="n">
        <v>0</v>
      </c>
      <c r="N728" t="n">
        <v>0</v>
      </c>
      <c r="O728" t="n">
        <v>0</v>
      </c>
      <c r="P728" t="n">
        <v>0</v>
      </c>
      <c r="Q728" t="n">
        <v>0</v>
      </c>
      <c r="R728" s="2" t="inlineStr"/>
    </row>
    <row r="729" ht="15" customHeight="1">
      <c r="A729" t="inlineStr">
        <is>
          <t>A 61611-2025</t>
        </is>
      </c>
      <c r="B729" s="1" t="n">
        <v>46002</v>
      </c>
      <c r="C729" s="1" t="n">
        <v>46052</v>
      </c>
      <c r="D729" t="inlineStr">
        <is>
          <t>JÄMTLANDS LÄN</t>
        </is>
      </c>
      <c r="E729" t="inlineStr">
        <is>
          <t>ÖSTERSUND</t>
        </is>
      </c>
      <c r="G729" t="n">
        <v>5</v>
      </c>
      <c r="H729" t="n">
        <v>0</v>
      </c>
      <c r="I729" t="n">
        <v>0</v>
      </c>
      <c r="J729" t="n">
        <v>0</v>
      </c>
      <c r="K729" t="n">
        <v>0</v>
      </c>
      <c r="L729" t="n">
        <v>0</v>
      </c>
      <c r="M729" t="n">
        <v>0</v>
      </c>
      <c r="N729" t="n">
        <v>0</v>
      </c>
      <c r="O729" t="n">
        <v>0</v>
      </c>
      <c r="P729" t="n">
        <v>0</v>
      </c>
      <c r="Q729" t="n">
        <v>0</v>
      </c>
      <c r="R729" s="2" t="inlineStr"/>
    </row>
    <row r="730" ht="15" customHeight="1">
      <c r="A730" t="inlineStr">
        <is>
          <t>A 61982-2025</t>
        </is>
      </c>
      <c r="B730" s="1" t="n">
        <v>46003.6159375</v>
      </c>
      <c r="C730" s="1" t="n">
        <v>46052</v>
      </c>
      <c r="D730" t="inlineStr">
        <is>
          <t>JÄMTLANDS LÄN</t>
        </is>
      </c>
      <c r="E730" t="inlineStr">
        <is>
          <t>ÖSTERSUND</t>
        </is>
      </c>
      <c r="G730" t="n">
        <v>4.7</v>
      </c>
      <c r="H730" t="n">
        <v>0</v>
      </c>
      <c r="I730" t="n">
        <v>0</v>
      </c>
      <c r="J730" t="n">
        <v>0</v>
      </c>
      <c r="K730" t="n">
        <v>0</v>
      </c>
      <c r="L730" t="n">
        <v>0</v>
      </c>
      <c r="M730" t="n">
        <v>0</v>
      </c>
      <c r="N730" t="n">
        <v>0</v>
      </c>
      <c r="O730" t="n">
        <v>0</v>
      </c>
      <c r="P730" t="n">
        <v>0</v>
      </c>
      <c r="Q730" t="n">
        <v>0</v>
      </c>
      <c r="R730" s="2" t="inlineStr"/>
    </row>
    <row r="731" ht="15" customHeight="1">
      <c r="A731" t="inlineStr">
        <is>
          <t>A 61849-2025</t>
        </is>
      </c>
      <c r="B731" s="1" t="n">
        <v>46003.38026620371</v>
      </c>
      <c r="C731" s="1" t="n">
        <v>46052</v>
      </c>
      <c r="D731" t="inlineStr">
        <is>
          <t>JÄMTLANDS LÄN</t>
        </is>
      </c>
      <c r="E731" t="inlineStr">
        <is>
          <t>ÖSTERSUND</t>
        </is>
      </c>
      <c r="G731" t="n">
        <v>5.5</v>
      </c>
      <c r="H731" t="n">
        <v>0</v>
      </c>
      <c r="I731" t="n">
        <v>0</v>
      </c>
      <c r="J731" t="n">
        <v>0</v>
      </c>
      <c r="K731" t="n">
        <v>0</v>
      </c>
      <c r="L731" t="n">
        <v>0</v>
      </c>
      <c r="M731" t="n">
        <v>0</v>
      </c>
      <c r="N731" t="n">
        <v>0</v>
      </c>
      <c r="O731" t="n">
        <v>0</v>
      </c>
      <c r="P731" t="n">
        <v>0</v>
      </c>
      <c r="Q731" t="n">
        <v>0</v>
      </c>
      <c r="R731" s="2" t="inlineStr"/>
    </row>
    <row r="732" ht="15" customHeight="1">
      <c r="A732" t="inlineStr">
        <is>
          <t>A 4223-2026</t>
        </is>
      </c>
      <c r="B732" s="1" t="n">
        <v>46044.84650462963</v>
      </c>
      <c r="C732" s="1" t="n">
        <v>46052</v>
      </c>
      <c r="D732" t="inlineStr">
        <is>
          <t>JÄMTLANDS LÄN</t>
        </is>
      </c>
      <c r="E732" t="inlineStr">
        <is>
          <t>ÖSTERSUND</t>
        </is>
      </c>
      <c r="G732" t="n">
        <v>3.5</v>
      </c>
      <c r="H732" t="n">
        <v>0</v>
      </c>
      <c r="I732" t="n">
        <v>0</v>
      </c>
      <c r="J732" t="n">
        <v>0</v>
      </c>
      <c r="K732" t="n">
        <v>0</v>
      </c>
      <c r="L732" t="n">
        <v>0</v>
      </c>
      <c r="M732" t="n">
        <v>0</v>
      </c>
      <c r="N732" t="n">
        <v>0</v>
      </c>
      <c r="O732" t="n">
        <v>0</v>
      </c>
      <c r="P732" t="n">
        <v>0</v>
      </c>
      <c r="Q732" t="n">
        <v>0</v>
      </c>
      <c r="R732" s="2" t="inlineStr"/>
    </row>
    <row r="733" ht="15" customHeight="1">
      <c r="A733" t="inlineStr">
        <is>
          <t>A 4382-2026</t>
        </is>
      </c>
      <c r="B733" s="1" t="n">
        <v>46045.56253472222</v>
      </c>
      <c r="C733" s="1" t="n">
        <v>46052</v>
      </c>
      <c r="D733" t="inlineStr">
        <is>
          <t>JÄMTLANDS LÄN</t>
        </is>
      </c>
      <c r="E733" t="inlineStr">
        <is>
          <t>ÖSTERSUND</t>
        </is>
      </c>
      <c r="G733" t="n">
        <v>13.5</v>
      </c>
      <c r="H733" t="n">
        <v>0</v>
      </c>
      <c r="I733" t="n">
        <v>0</v>
      </c>
      <c r="J733" t="n">
        <v>0</v>
      </c>
      <c r="K733" t="n">
        <v>0</v>
      </c>
      <c r="L733" t="n">
        <v>0</v>
      </c>
      <c r="M733" t="n">
        <v>0</v>
      </c>
      <c r="N733" t="n">
        <v>0</v>
      </c>
      <c r="O733" t="n">
        <v>0</v>
      </c>
      <c r="P733" t="n">
        <v>0</v>
      </c>
      <c r="Q733" t="n">
        <v>0</v>
      </c>
      <c r="R733" s="2" t="inlineStr"/>
    </row>
    <row r="734" ht="15" customHeight="1">
      <c r="A734" t="inlineStr">
        <is>
          <t>A 4226-2026</t>
        </is>
      </c>
      <c r="B734" s="1" t="n">
        <v>46044.85285879629</v>
      </c>
      <c r="C734" s="1" t="n">
        <v>46052</v>
      </c>
      <c r="D734" t="inlineStr">
        <is>
          <t>JÄMTLANDS LÄN</t>
        </is>
      </c>
      <c r="E734" t="inlineStr">
        <is>
          <t>ÖSTERSUND</t>
        </is>
      </c>
      <c r="G734" t="n">
        <v>2.1</v>
      </c>
      <c r="H734" t="n">
        <v>0</v>
      </c>
      <c r="I734" t="n">
        <v>0</v>
      </c>
      <c r="J734" t="n">
        <v>0</v>
      </c>
      <c r="K734" t="n">
        <v>0</v>
      </c>
      <c r="L734" t="n">
        <v>0</v>
      </c>
      <c r="M734" t="n">
        <v>0</v>
      </c>
      <c r="N734" t="n">
        <v>0</v>
      </c>
      <c r="O734" t="n">
        <v>0</v>
      </c>
      <c r="P734" t="n">
        <v>0</v>
      </c>
      <c r="Q734" t="n">
        <v>0</v>
      </c>
      <c r="R734" s="2" t="inlineStr"/>
    </row>
    <row r="735" ht="15" customHeight="1">
      <c r="A735" t="inlineStr">
        <is>
          <t>A 62176-2025</t>
        </is>
      </c>
      <c r="B735" s="1" t="n">
        <v>46006.51157407407</v>
      </c>
      <c r="C735" s="1" t="n">
        <v>46052</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62175-2025</t>
        </is>
      </c>
      <c r="B736" s="1" t="n">
        <v>46006.51155092593</v>
      </c>
      <c r="C736" s="1" t="n">
        <v>46052</v>
      </c>
      <c r="D736" t="inlineStr">
        <is>
          <t>JÄMTLANDS LÄN</t>
        </is>
      </c>
      <c r="E736" t="inlineStr">
        <is>
          <t>ÖSTERSUND</t>
        </is>
      </c>
      <c r="G736" t="n">
        <v>1.3</v>
      </c>
      <c r="H736" t="n">
        <v>0</v>
      </c>
      <c r="I736" t="n">
        <v>0</v>
      </c>
      <c r="J736" t="n">
        <v>0</v>
      </c>
      <c r="K736" t="n">
        <v>0</v>
      </c>
      <c r="L736" t="n">
        <v>0</v>
      </c>
      <c r="M736" t="n">
        <v>0</v>
      </c>
      <c r="N736" t="n">
        <v>0</v>
      </c>
      <c r="O736" t="n">
        <v>0</v>
      </c>
      <c r="P736" t="n">
        <v>0</v>
      </c>
      <c r="Q736" t="n">
        <v>0</v>
      </c>
      <c r="R736" s="2" t="inlineStr"/>
    </row>
    <row r="737" ht="15" customHeight="1">
      <c r="A737" t="inlineStr">
        <is>
          <t>A 62437-2025</t>
        </is>
      </c>
      <c r="B737" s="1" t="n">
        <v>46007.46907407408</v>
      </c>
      <c r="C737" s="1" t="n">
        <v>46052</v>
      </c>
      <c r="D737" t="inlineStr">
        <is>
          <t>JÄMTLANDS LÄN</t>
        </is>
      </c>
      <c r="E737" t="inlineStr">
        <is>
          <t>ÖSTERSUND</t>
        </is>
      </c>
      <c r="G737" t="n">
        <v>6.3</v>
      </c>
      <c r="H737" t="n">
        <v>0</v>
      </c>
      <c r="I737" t="n">
        <v>0</v>
      </c>
      <c r="J737" t="n">
        <v>0</v>
      </c>
      <c r="K737" t="n">
        <v>0</v>
      </c>
      <c r="L737" t="n">
        <v>0</v>
      </c>
      <c r="M737" t="n">
        <v>0</v>
      </c>
      <c r="N737" t="n">
        <v>0</v>
      </c>
      <c r="O737" t="n">
        <v>0</v>
      </c>
      <c r="P737" t="n">
        <v>0</v>
      </c>
      <c r="Q737" t="n">
        <v>0</v>
      </c>
      <c r="R737" s="2" t="inlineStr"/>
    </row>
    <row r="738" ht="15" customHeight="1">
      <c r="A738" t="inlineStr">
        <is>
          <t>A 4936-2026</t>
        </is>
      </c>
      <c r="B738" s="1" t="n">
        <v>46048.89435185185</v>
      </c>
      <c r="C738" s="1" t="n">
        <v>46052</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62452-2025</t>
        </is>
      </c>
      <c r="B739" s="1" t="n">
        <v>46007.49001157407</v>
      </c>
      <c r="C739" s="1" t="n">
        <v>46052</v>
      </c>
      <c r="D739" t="inlineStr">
        <is>
          <t>JÄMTLANDS LÄN</t>
        </is>
      </c>
      <c r="E739" t="inlineStr">
        <is>
          <t>ÖSTERSUND</t>
        </is>
      </c>
      <c r="G739" t="n">
        <v>1.2</v>
      </c>
      <c r="H739" t="n">
        <v>0</v>
      </c>
      <c r="I739" t="n">
        <v>0</v>
      </c>
      <c r="J739" t="n">
        <v>0</v>
      </c>
      <c r="K739" t="n">
        <v>0</v>
      </c>
      <c r="L739" t="n">
        <v>0</v>
      </c>
      <c r="M739" t="n">
        <v>0</v>
      </c>
      <c r="N739" t="n">
        <v>0</v>
      </c>
      <c r="O739" t="n">
        <v>0</v>
      </c>
      <c r="P739" t="n">
        <v>0</v>
      </c>
      <c r="Q739" t="n">
        <v>0</v>
      </c>
      <c r="R739" s="2" t="inlineStr"/>
    </row>
    <row r="740" ht="15" customHeight="1">
      <c r="A740" t="inlineStr">
        <is>
          <t>A 62509-2025</t>
        </is>
      </c>
      <c r="B740" s="1" t="n">
        <v>46007.5958912037</v>
      </c>
      <c r="C740" s="1" t="n">
        <v>46052</v>
      </c>
      <c r="D740" t="inlineStr">
        <is>
          <t>JÄMTLANDS LÄN</t>
        </is>
      </c>
      <c r="E740" t="inlineStr">
        <is>
          <t>ÖSTERSUND</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4775-2026</t>
        </is>
      </c>
      <c r="B741" s="1" t="n">
        <v>46045</v>
      </c>
      <c r="C741" s="1" t="n">
        <v>46052</v>
      </c>
      <c r="D741" t="inlineStr">
        <is>
          <t>JÄMTLANDS LÄN</t>
        </is>
      </c>
      <c r="E741" t="inlineStr">
        <is>
          <t>ÖSTERSUND</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62369-2025</t>
        </is>
      </c>
      <c r="B742" s="1" t="n">
        <v>46007.33719907407</v>
      </c>
      <c r="C742" s="1" t="n">
        <v>46052</v>
      </c>
      <c r="D742" t="inlineStr">
        <is>
          <t>JÄMTLANDS LÄN</t>
        </is>
      </c>
      <c r="E742" t="inlineStr">
        <is>
          <t>ÖSTERSUND</t>
        </is>
      </c>
      <c r="F742" t="inlineStr">
        <is>
          <t>Sveaskog</t>
        </is>
      </c>
      <c r="G742" t="n">
        <v>20.3</v>
      </c>
      <c r="H742" t="n">
        <v>0</v>
      </c>
      <c r="I742" t="n">
        <v>0</v>
      </c>
      <c r="J742" t="n">
        <v>0</v>
      </c>
      <c r="K742" t="n">
        <v>0</v>
      </c>
      <c r="L742" t="n">
        <v>0</v>
      </c>
      <c r="M742" t="n">
        <v>0</v>
      </c>
      <c r="N742" t="n">
        <v>0</v>
      </c>
      <c r="O742" t="n">
        <v>0</v>
      </c>
      <c r="P742" t="n">
        <v>0</v>
      </c>
      <c r="Q742" t="n">
        <v>0</v>
      </c>
      <c r="R742" s="2" t="inlineStr"/>
    </row>
    <row r="743" ht="15" customHeight="1">
      <c r="A743" t="inlineStr">
        <is>
          <t>A 62622-2025</t>
        </is>
      </c>
      <c r="B743" s="1" t="n">
        <v>46008.34438657408</v>
      </c>
      <c r="C743" s="1" t="n">
        <v>46052</v>
      </c>
      <c r="D743" t="inlineStr">
        <is>
          <t>JÄMTLANDS LÄN</t>
        </is>
      </c>
      <c r="E743" t="inlineStr">
        <is>
          <t>ÖSTERSUND</t>
        </is>
      </c>
      <c r="G743" t="n">
        <v>7.4</v>
      </c>
      <c r="H743" t="n">
        <v>0</v>
      </c>
      <c r="I743" t="n">
        <v>0</v>
      </c>
      <c r="J743" t="n">
        <v>0</v>
      </c>
      <c r="K743" t="n">
        <v>0</v>
      </c>
      <c r="L743" t="n">
        <v>0</v>
      </c>
      <c r="M743" t="n">
        <v>0</v>
      </c>
      <c r="N743" t="n">
        <v>0</v>
      </c>
      <c r="O743" t="n">
        <v>0</v>
      </c>
      <c r="P743" t="n">
        <v>0</v>
      </c>
      <c r="Q743" t="n">
        <v>0</v>
      </c>
      <c r="R743" s="2" t="inlineStr"/>
    </row>
    <row r="744" ht="15" customHeight="1">
      <c r="A744" t="inlineStr">
        <is>
          <t>A 62623-2025</t>
        </is>
      </c>
      <c r="B744" s="1" t="n">
        <v>46008.34443287037</v>
      </c>
      <c r="C744" s="1" t="n">
        <v>46052</v>
      </c>
      <c r="D744" t="inlineStr">
        <is>
          <t>JÄMTLANDS LÄN</t>
        </is>
      </c>
      <c r="E744" t="inlineStr">
        <is>
          <t>ÖSTERSUND</t>
        </is>
      </c>
      <c r="G744" t="n">
        <v>7.9</v>
      </c>
      <c r="H744" t="n">
        <v>0</v>
      </c>
      <c r="I744" t="n">
        <v>0</v>
      </c>
      <c r="J744" t="n">
        <v>0</v>
      </c>
      <c r="K744" t="n">
        <v>0</v>
      </c>
      <c r="L744" t="n">
        <v>0</v>
      </c>
      <c r="M744" t="n">
        <v>0</v>
      </c>
      <c r="N744" t="n">
        <v>0</v>
      </c>
      <c r="O744" t="n">
        <v>0</v>
      </c>
      <c r="P744" t="n">
        <v>0</v>
      </c>
      <c r="Q744" t="n">
        <v>0</v>
      </c>
      <c r="R744" s="2" t="inlineStr"/>
    </row>
    <row r="745" ht="15" customHeight="1">
      <c r="A745" t="inlineStr">
        <is>
          <t>A 5360-2026</t>
        </is>
      </c>
      <c r="B745" s="1" t="n">
        <v>46050.44859953703</v>
      </c>
      <c r="C745" s="1" t="n">
        <v>46052</v>
      </c>
      <c r="D745" t="inlineStr">
        <is>
          <t>JÄMTLANDS LÄN</t>
        </is>
      </c>
      <c r="E745" t="inlineStr">
        <is>
          <t>ÖSTERSUND</t>
        </is>
      </c>
      <c r="G745" t="n">
        <v>0.5</v>
      </c>
      <c r="H745" t="n">
        <v>0</v>
      </c>
      <c r="I745" t="n">
        <v>0</v>
      </c>
      <c r="J745" t="n">
        <v>0</v>
      </c>
      <c r="K745" t="n">
        <v>0</v>
      </c>
      <c r="L745" t="n">
        <v>0</v>
      </c>
      <c r="M745" t="n">
        <v>0</v>
      </c>
      <c r="N745" t="n">
        <v>0</v>
      </c>
      <c r="O745" t="n">
        <v>0</v>
      </c>
      <c r="P745" t="n">
        <v>0</v>
      </c>
      <c r="Q745" t="n">
        <v>0</v>
      </c>
      <c r="R745" s="2" t="inlineStr"/>
    </row>
    <row r="746">
      <c r="A746" t="inlineStr">
        <is>
          <t>A 5684-2026</t>
        </is>
      </c>
      <c r="B746" s="1" t="n">
        <v>46051.48681712963</v>
      </c>
      <c r="C746" s="1" t="n">
        <v>46052</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2026-01-30T10:58:31Z</dcterms:created>
  <dcterms:modified xmlns:dcterms="http://purl.org/dc/terms/" xmlns:xsi="http://www.w3.org/2001/XMLSchema-instance" xsi:type="dcterms:W3CDTF">2026-01-30T10:58:32Z</dcterms:modified>
</cp:coreProperties>
</file>