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mälningar"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5"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620"/>
  <sheetViews>
    <sheetView workbookViewId="0">
      <pane xSplit="1" ySplit="1" topLeftCell="B2" activePane="bottomRight" state="frozen"/>
      <selection pane="topRight"/>
      <selection pane="bottomLeft"/>
      <selection pane="bottomRight" activeCell="A1" sqref="A1"/>
    </sheetView>
  </sheetViews>
  <sheetFormatPr baseColWidth="8" defaultRowHeight="15"/>
  <sheetData>
    <row r="0" ht="15" customHeight="1"/>
    <row r="1" ht="15" customHeight="1">
      <c r="A1" t="inlineStr">
        <is>
          <t>Beteckning</t>
        </is>
      </c>
      <c r="B1" t="inlineStr">
        <is>
          <t>Typ</t>
        </is>
      </c>
      <c r="C1" t="inlineStr">
        <is>
          <t>Åtgärd</t>
        </is>
      </c>
      <c r="D1" t="inlineStr">
        <is>
          <t>Datum</t>
        </is>
      </c>
      <c r="E1" t="inlineStr">
        <is>
          <t>Förändrad</t>
        </is>
      </c>
      <c r="F1" t="inlineStr">
        <is>
          <t>Län</t>
        </is>
      </c>
      <c r="G1" t="inlineStr">
        <is>
          <t>Kommun</t>
        </is>
      </c>
      <c r="H1" t="inlineStr">
        <is>
          <t>Markägare</t>
        </is>
      </c>
      <c r="I1" t="inlineStr">
        <is>
          <t>Area (ha)</t>
        </is>
      </c>
      <c r="J1" t="inlineStr">
        <is>
          <t>Fridlysta</t>
        </is>
      </c>
      <c r="K1" t="inlineStr">
        <is>
          <t>Signalarter</t>
        </is>
      </c>
      <c r="L1" t="inlineStr">
        <is>
          <t>NT</t>
        </is>
      </c>
      <c r="M1" t="inlineStr">
        <is>
          <t>VU</t>
        </is>
      </c>
      <c r="N1" t="inlineStr">
        <is>
          <t>EN</t>
        </is>
      </c>
      <c r="O1" t="inlineStr">
        <is>
          <t>CR</t>
        </is>
      </c>
      <c r="P1" t="inlineStr">
        <is>
          <t>RE</t>
        </is>
      </c>
      <c r="Q1" t="inlineStr">
        <is>
          <t>Rödlistade</t>
        </is>
      </c>
      <c r="R1" t="inlineStr">
        <is>
          <t>Hotade</t>
        </is>
      </c>
      <c r="S1" t="inlineStr">
        <is>
          <t>Alla arter</t>
        </is>
      </c>
      <c r="T1" t="inlineStr">
        <is>
          <t>Fynd</t>
        </is>
      </c>
      <c r="U1" t="inlineStr">
        <is>
          <t>Nya fynd</t>
        </is>
      </c>
      <c r="V1" t="inlineStr">
        <is>
          <t>Artnamn</t>
        </is>
      </c>
      <c r="W1" t="inlineStr">
        <is>
          <t>Artfyndslänk</t>
        </is>
      </c>
      <c r="X1" t="inlineStr">
        <is>
          <t>Kartlänk</t>
        </is>
      </c>
      <c r="Y1" t="inlineStr">
        <is>
          <t>Geotifflänk</t>
        </is>
      </c>
      <c r="Z1" t="inlineStr">
        <is>
          <t>Knärotsbuffertlänk</t>
        </is>
      </c>
      <c r="AA1" t="inlineStr">
        <is>
          <t>Klagomålslänk</t>
        </is>
      </c>
      <c r="AB1" t="inlineStr">
        <is>
          <t>Klagomålsmaillänk</t>
        </is>
      </c>
      <c r="AC1" t="inlineStr">
        <is>
          <t>Tillsynsbegäranslänk</t>
        </is>
      </c>
      <c r="AD1" t="inlineStr">
        <is>
          <t>Tillsynsbegäransmaillänk</t>
        </is>
      </c>
      <c r="AE1" t="inlineStr">
        <is>
          <t>Fågeltillsynsbegäranslänk</t>
        </is>
      </c>
    </row>
    <row r="2" ht="15" customHeight="1">
      <c r="A2" t="inlineStr">
        <is>
          <t>A 29992-2023</t>
        </is>
      </c>
      <c r="B2" t="inlineStr">
        <is>
          <t>avverkningsanmälan</t>
        </is>
      </c>
      <c r="C2" t="inlineStr">
        <is>
          <t>Föryngringsavverkning</t>
        </is>
      </c>
      <c r="D2" s="1" t="n">
        <v>45109</v>
      </c>
      <c r="E2" s="1" t="n">
        <v>46312</v>
      </c>
      <c r="F2" t="inlineStr">
        <is>
          <t>JÄMTLANDS LÄN</t>
        </is>
      </c>
      <c r="G2" t="inlineStr">
        <is>
          <t>ÖSTERSUND</t>
        </is>
      </c>
      <c r="I2" t="n">
        <v>93.3</v>
      </c>
      <c r="J2" t="n">
        <v>17</v>
      </c>
      <c r="K2" t="n">
        <v>33</v>
      </c>
      <c r="L2" t="n">
        <v>37</v>
      </c>
      <c r="M2" t="n">
        <v>14</v>
      </c>
      <c r="N2" t="n">
        <v>4</v>
      </c>
      <c r="O2" t="n">
        <v>0</v>
      </c>
      <c r="P2" t="n">
        <v>0</v>
      </c>
      <c r="Q2" t="n">
        <v>55</v>
      </c>
      <c r="R2" t="n">
        <v>18</v>
      </c>
      <c r="S2" t="n">
        <v>95</v>
      </c>
      <c r="T2" t="n">
        <v>311</v>
      </c>
      <c r="U2" t="n">
        <v>303</v>
      </c>
      <c r="V2" s="2" t="inlineStr">
        <is>
          <t>Bitter taggsvamp
Blyspindling
Doftmusseron
Siljansspindling
Blåfotad fagerspindling
Borsttagging
Fjällfotad musseron
Garnlav
Granrotspindling
Knärot
Kopparspindling
Läderdoftande fingersvamp
Läderlappslav
Smalskaftslav
Sprickporing
Tvillingspindling
Ulltickeporing
Vitskaftad svartspik
Barrfagerspindling
Barrviolspindling
Blå taggsvamp
Brunpudrad nållav
Doftskinn
Fjällig taggsvamp s.str.
Flattoppad klubbsvamp
Gammelgransskål
Grantaggsvamp
Gultoppig fingersvamp
Harticka
Klotsporig murkla
Kortskaftad ärgspik
Kryddspindling
Kötticka
Liten svartspik
Lunglav
Orange taggsvamp
Puderspindling
Rosenticka
Rynkskinn
Rödbrun klubbdyna
Rödfläckig zontaggsvamp
Skarp dropptaggsvamp
Skogsfru
Skrovellav
Sotvaxskivling
Stjärntagging
Svartvit taggsvamp
Talltita
Tretåig hackspett
Ullticka
Vedflamlav
Vedskivlav
Vedtrappmossa
Vitgrynig nållav
Äggvaxskivling
Barkkornlav
Barkticka
Brun klibbskivling
Bårdlav
Diskvaxskivling
Droppklibbskivling
Finbräken
Granriska
Grönkulla
Guckusko
Gytterlav
Kamjordstjärna
Korallblylav
Korallrot
Kransrams
Kärrkammossa
Luddlav
Norrlandslav
Plattlummer
Rostfläck
Rödgul trumpetsvamp
Rökmusseron
Spindelblomster
Strimspindling
Stuplav
Svart trolldruva
Svavelriska
Tibast
Trådticka
Tvåblad
Vedticka
Zontaggsvamp
Ögonpyrola
Blåsippa
Järpe
Tjäder
Brudsporre
Dubbelnycklar
Fläcknycklar
Revlummer</t>
        </is>
      </c>
      <c r="W2">
        <f>HYPERLINK("https://klasma.github.io/Logging_2380/artfynd/A 29992-2023 artfynd.xlsx", "A 29992-2023")</f>
        <v/>
      </c>
      <c r="X2">
        <f>HYPERLINK("https://klasma.github.io/Logging_2380/kartor/A 29992-2023 karta.png", "A 29992-2023")</f>
        <v/>
      </c>
      <c r="Y2">
        <f>HYPERLINK("https://klasma.github.io/Logging_2380/kartor_geotiff/A 29992-2023 georefererad karta.tif", "A 29992-2023")</f>
        <v/>
      </c>
      <c r="Z2">
        <f>HYPERLINK("https://klasma.github.io/Logging_2380/knärot/A 29992-2023 karta knärot.png", "A 29992-2023")</f>
        <v/>
      </c>
      <c r="AA2">
        <f>HYPERLINK("https://klasma.github.io/Logging_2380/klagomål/A 29992-2023 FSC-klagomål.docx", "A 29992-2023")</f>
        <v/>
      </c>
      <c r="AB2">
        <f>HYPERLINK("https://klasma.github.io/Logging_2380/klagomålsmail/A 29992-2023 FSC-klagomål mail.docx", "A 29992-2023")</f>
        <v/>
      </c>
      <c r="AC2">
        <f>HYPERLINK("https://klasma.github.io/Logging_2380/tillsyn/A 29992-2023 tillsynsbegäran.docx", "A 29992-2023")</f>
        <v/>
      </c>
      <c r="AD2">
        <f>HYPERLINK("https://klasma.github.io/Logging_2380/tillsynsmail/A 29992-2023 tillsynsbegäran mail.docx", "A 29992-2023")</f>
        <v/>
      </c>
      <c r="AE2">
        <f>HYPERLINK("https://klasma.github.io/Logging_2380/fåglar/A 29992-2023 prioriterade fågelarter.docx", "A 29992-2023")</f>
        <v/>
      </c>
    </row>
    <row r="3" ht="15" customHeight="1">
      <c r="A3" t="inlineStr">
        <is>
          <t>A 37096-2023</t>
        </is>
      </c>
      <c r="B3" t="inlineStr">
        <is>
          <t>avverkningsanmälan</t>
        </is>
      </c>
      <c r="C3" t="inlineStr">
        <is>
          <t>Föryngringsavverkning</t>
        </is>
      </c>
      <c r="D3" s="1" t="n">
        <v>45155</v>
      </c>
      <c r="E3" s="1" t="n">
        <v>46312</v>
      </c>
      <c r="F3" t="inlineStr">
        <is>
          <t>JÄMTLANDS LÄN</t>
        </is>
      </c>
      <c r="G3" t="inlineStr">
        <is>
          <t>ÖSTERSUND</t>
        </is>
      </c>
      <c r="I3" t="n">
        <v>70.59999999999999</v>
      </c>
      <c r="J3" t="n">
        <v>13</v>
      </c>
      <c r="K3" t="n">
        <v>8</v>
      </c>
      <c r="L3" t="n">
        <v>23</v>
      </c>
      <c r="M3" t="n">
        <v>10</v>
      </c>
      <c r="N3" t="n">
        <v>1</v>
      </c>
      <c r="O3" t="n">
        <v>0</v>
      </c>
      <c r="P3" t="n">
        <v>0</v>
      </c>
      <c r="Q3" t="n">
        <v>34</v>
      </c>
      <c r="R3" t="n">
        <v>11</v>
      </c>
      <c r="S3" t="n">
        <v>49</v>
      </c>
      <c r="T3" t="n">
        <v>144</v>
      </c>
      <c r="U3" t="n">
        <v>137</v>
      </c>
      <c r="V3" s="2" t="inlineStr">
        <is>
          <t>Doftmusseron
Fjällfotad musseron
Garnlav
Grantickeporing
Knärot
Läderdoftande fingersvamp
Skäggvaxskivling
Smalskaftslav
Sprickporing
Ulltickeporing
Vitskaftad svartspik
Barrfagerspindling
Barrviolspindling
Blanksvart spiklav
Blågrå svartspik
Doftskinn
Dropptaggsvamp
Flattoppad klubbsvamp
Gultoppig fingersvamp
Harticka
Knottrig blåslav
Luddfingersvamp
Lunglav
Nordlig nållav
Rosenticka
Rödbrun klubbdyna
Rödfläckig zontaggsvamp
Skogsfru
Skrovellav
Tallfingersvamp
Tretåig hackspett
Ullticka
Vedflamlav
Äggvaxskivling
Finbräken
Guckusko
Skinnlav
Skogsknipprot
Strimspindling
Svavelriska
Trådticka
Tvåblad
Spillkråka
Tjäder
Skogsrör
Brudsporre
Fläcknycklar
Ängsnycklar
Revlummer</t>
        </is>
      </c>
      <c r="W3">
        <f>HYPERLINK("https://klasma.github.io/Logging_2380/artfynd/A 37096-2023 artfynd.xlsx", "A 37096-2023")</f>
        <v/>
      </c>
      <c r="X3">
        <f>HYPERLINK("https://klasma.github.io/Logging_2380/kartor/A 37096-2023 karta.png", "A 37096-2023")</f>
        <v/>
      </c>
      <c r="Y3">
        <f>HYPERLINK("https://klasma.github.io/Logging_2380/kartor_geotiff/A 37096-2023 georefererad karta.tif", "A 37096-2023")</f>
        <v/>
      </c>
      <c r="Z3">
        <f>HYPERLINK("https://klasma.github.io/Logging_2380/knärot/A 37096-2023 karta knärot.png", "A 37096-2023")</f>
        <v/>
      </c>
      <c r="AA3">
        <f>HYPERLINK("https://klasma.github.io/Logging_2380/klagomål/A 37096-2023 FSC-klagomål.docx", "A 37096-2023")</f>
        <v/>
      </c>
      <c r="AB3">
        <f>HYPERLINK("https://klasma.github.io/Logging_2380/klagomålsmail/A 37096-2023 FSC-klagomål mail.docx", "A 37096-2023")</f>
        <v/>
      </c>
      <c r="AC3">
        <f>HYPERLINK("https://klasma.github.io/Logging_2380/tillsyn/A 37096-2023 tillsynsbegäran.docx", "A 37096-2023")</f>
        <v/>
      </c>
      <c r="AD3">
        <f>HYPERLINK("https://klasma.github.io/Logging_2380/tillsynsmail/A 37096-2023 tillsynsbegäran mail.docx", "A 37096-2023")</f>
        <v/>
      </c>
      <c r="AE3">
        <f>HYPERLINK("https://klasma.github.io/Logging_2380/fåglar/A 37096-2023 prioriterade fågelarter.docx", "A 37096-2023")</f>
        <v/>
      </c>
    </row>
    <row r="4" ht="15" customHeight="1">
      <c r="A4" t="inlineStr">
        <is>
          <t>A 3410-2022</t>
        </is>
      </c>
      <c r="B4" t="inlineStr">
        <is>
          <t>avverkningsanmälan</t>
        </is>
      </c>
      <c r="C4" t="inlineStr">
        <is>
          <t>Föryngringsavverkning</t>
        </is>
      </c>
      <c r="D4" s="1" t="n">
        <v>44585</v>
      </c>
      <c r="E4" s="1" t="n">
        <v>46312</v>
      </c>
      <c r="F4" t="inlineStr">
        <is>
          <t>JÄMTLANDS LÄN</t>
        </is>
      </c>
      <c r="G4" t="inlineStr">
        <is>
          <t>ÖSTERSUND</t>
        </is>
      </c>
      <c r="I4" t="n">
        <v>10.2</v>
      </c>
      <c r="J4" t="n">
        <v>3</v>
      </c>
      <c r="K4" t="n">
        <v>14</v>
      </c>
      <c r="L4" t="n">
        <v>15</v>
      </c>
      <c r="M4" t="n">
        <v>10</v>
      </c>
      <c r="N4" t="n">
        <v>4</v>
      </c>
      <c r="O4" t="n">
        <v>0</v>
      </c>
      <c r="P4" t="n">
        <v>0</v>
      </c>
      <c r="Q4" t="n">
        <v>29</v>
      </c>
      <c r="R4" t="n">
        <v>14</v>
      </c>
      <c r="S4" t="n">
        <v>44</v>
      </c>
      <c r="T4" t="n">
        <v>130</v>
      </c>
      <c r="U4" t="n">
        <v>129</v>
      </c>
      <c r="V4" s="2" t="inlineStr">
        <is>
          <t>Blyspindling
Brandtaggsvamp
Sammetstaggsvamp
Siljansspindling
Fjällfotad musseron
Gul lammticka
Gul taggsvamp
Gyllenspindling
Kopparspindling
Läderdoftande fingersvamp
Rotfingersvamp
Stor odörspindling
Taggfingersvamp
Tvillingspindling
Barrviolspindling
Blå slemspindling
Blå taggsvamp
Dofttaggsvamp
Fjällig taggsvamp s.str.
Flattoppad klubbsvamp
Grantaggsvamp
Gultoppig fingersvamp
Kryddspindling
Lunglav
Orange taggsvamp
Persiljespindling
Rödbrun klubbdyna
Vårärt
Äggvaxskivling
Brun klibbskivling
Diskvaxskivling
Droppklibbskivling
Grönkulla
Guldkremla
Kransrams
Strimspindling
Svart trolldruva
Svavelriska
Tibast
Trådticka
Tvåblad
Underviol
Zontaggsvamp
Blåsippa</t>
        </is>
      </c>
      <c r="W4">
        <f>HYPERLINK("https://klasma.github.io/Logging_2380/artfynd/A 3410-2022 artfynd.xlsx", "A 3410-2022")</f>
        <v/>
      </c>
      <c r="X4">
        <f>HYPERLINK("https://klasma.github.io/Logging_2380/kartor/A 3410-2022 karta.png", "A 3410-2022")</f>
        <v/>
      </c>
      <c r="Y4">
        <f>HYPERLINK("https://klasma.github.io/Logging_2380/kartor_geotiff/A 3410-2022 georefererad karta.tif", "A 3410-2022")</f>
        <v/>
      </c>
      <c r="AA4">
        <f>HYPERLINK("https://klasma.github.io/Logging_2380/klagomål/A 3410-2022 FSC-klagomål.docx", "A 3410-2022")</f>
        <v/>
      </c>
      <c r="AB4">
        <f>HYPERLINK("https://klasma.github.io/Logging_2380/klagomålsmail/A 3410-2022 FSC-klagomål mail.docx", "A 3410-2022")</f>
        <v/>
      </c>
      <c r="AC4">
        <f>HYPERLINK("https://klasma.github.io/Logging_2380/tillsyn/A 3410-2022 tillsynsbegäran.docx", "A 3410-2022")</f>
        <v/>
      </c>
      <c r="AD4">
        <f>HYPERLINK("https://klasma.github.io/Logging_2380/tillsynsmail/A 3410-2022 tillsynsbegäran mail.docx", "A 3410-2022")</f>
        <v/>
      </c>
    </row>
    <row r="5" ht="15" customHeight="1">
      <c r="A5" t="inlineStr">
        <is>
          <t>S 3506-2024</t>
        </is>
      </c>
      <c r="B5" t="inlineStr">
        <is>
          <t>samrådsanmälan</t>
        </is>
      </c>
      <c r="C5" t="inlineStr">
        <is>
          <t>Annan skogsbruksåtgärd</t>
        </is>
      </c>
      <c r="D5" s="1" t="n">
        <v>45540</v>
      </c>
      <c r="E5" s="1" t="n">
        <v>46312</v>
      </c>
      <c r="F5" t="inlineStr">
        <is>
          <t>JÄMTLANDS LÄN</t>
        </is>
      </c>
      <c r="G5" t="inlineStr">
        <is>
          <t>ÖSTERSUND</t>
        </is>
      </c>
      <c r="I5" t="n">
        <v>48.9</v>
      </c>
      <c r="J5" t="n">
        <v>15</v>
      </c>
      <c r="K5" t="n">
        <v>18</v>
      </c>
      <c r="L5" t="n">
        <v>15</v>
      </c>
      <c r="M5" t="n">
        <v>4</v>
      </c>
      <c r="N5" t="n">
        <v>0</v>
      </c>
      <c r="O5" t="n">
        <v>0</v>
      </c>
      <c r="P5" t="n">
        <v>0</v>
      </c>
      <c r="Q5" t="n">
        <v>19</v>
      </c>
      <c r="R5" t="n">
        <v>4</v>
      </c>
      <c r="S5" t="n">
        <v>41</v>
      </c>
      <c r="T5" t="n">
        <v>207</v>
      </c>
      <c r="U5" t="n">
        <v>124</v>
      </c>
      <c r="V5" s="2" t="inlineStr">
        <is>
          <t>Garnlav
Gränsticka
Knärot
Smalskaftslav
Doftskinn
Gammelgransskål
Kötticka
Lavskrika
Liten svartspik
Lunglav
Rosenticka
Rynkskinn
Skogsfru
Skrovellav
Stjärntagging
Talltita
Tretåig hackspett
Ullticka
Vitgrynig nållav
Bårdlav
Grönkulla
Guckusko
Gulnål
Gytterlav
Korallblylav
Korallrot
Kransrams
Luddlav
Mörk husmossa
Plattlummer
Rödgul trumpetsvamp
Spindelblomster
Stuplav
Svavelriska
Trådfräken
Tvåblad
Vedticka
Järpe
Brudsporre
Fläcknycklar
Revlummer</t>
        </is>
      </c>
      <c r="W5">
        <f>HYPERLINK("https://klasma.github.io/Logging_2380/artfynd/S 3506-2024 artfynd.xlsx", "S 3506-2024")</f>
        <v/>
      </c>
      <c r="X5">
        <f>HYPERLINK("https://klasma.github.io/Logging_2380/kartor/S 3506-2024 karta.png", "S 3506-2024")</f>
        <v/>
      </c>
      <c r="Y5">
        <f>HYPERLINK("https://klasma.github.io/Logging_2380/kartor_geotiff/S 3506-2024 georefererad karta.tif", "S 3506-2024")</f>
        <v/>
      </c>
      <c r="Z5">
        <f>HYPERLINK("https://klasma.github.io/Logging_2380/knärot/S 3506-2024 karta knärot.png", "S 3506-2024")</f>
        <v/>
      </c>
      <c r="AA5">
        <f>HYPERLINK("https://klasma.github.io/Logging_2380/klagomål/S 3506-2024 FSC-klagomål.docx", "S 3506-2024")</f>
        <v/>
      </c>
      <c r="AB5">
        <f>HYPERLINK("https://klasma.github.io/Logging_2380/klagomålsmail/S 3506-2024 FSC-klagomål mail.docx", "S 3506-2024")</f>
        <v/>
      </c>
      <c r="AC5">
        <f>HYPERLINK("https://klasma.github.io/Logging_2380/tillsyn/S 3506-2024 tillsynsbegäran.docx", "S 3506-2024")</f>
        <v/>
      </c>
      <c r="AD5">
        <f>HYPERLINK("https://klasma.github.io/Logging_2380/tillsynsmail/S 3506-2024 tillsynsbegäran mail.docx", "S 3506-2024")</f>
        <v/>
      </c>
      <c r="AE5">
        <f>HYPERLINK("https://klasma.github.io/Logging_2380/fåglar/S 3506-2024 prioriterade fågelarter.docx", "S 3506-2024")</f>
        <v/>
      </c>
    </row>
    <row r="6" ht="15" customHeight="1">
      <c r="A6" t="inlineStr">
        <is>
          <t>A 4967-2025</t>
        </is>
      </c>
      <c r="B6" t="inlineStr">
        <is>
          <t>avverkningsanmälan</t>
        </is>
      </c>
      <c r="C6" t="inlineStr">
        <is>
          <t>Föryngringsavverkning</t>
        </is>
      </c>
      <c r="D6" s="1" t="n">
        <v>45690</v>
      </c>
      <c r="E6" s="1" t="n">
        <v>46312</v>
      </c>
      <c r="F6" t="inlineStr">
        <is>
          <t>JÄMTLANDS LÄN</t>
        </is>
      </c>
      <c r="G6" t="inlineStr">
        <is>
          <t>ÖSTERSUND</t>
        </is>
      </c>
      <c r="I6" t="n">
        <v>26.9</v>
      </c>
      <c r="J6" t="n">
        <v>2</v>
      </c>
      <c r="K6" t="n">
        <v>9</v>
      </c>
      <c r="L6" t="n">
        <v>16</v>
      </c>
      <c r="M6" t="n">
        <v>7</v>
      </c>
      <c r="N6" t="n">
        <v>3</v>
      </c>
      <c r="O6" t="n">
        <v>0</v>
      </c>
      <c r="P6" t="n">
        <v>0</v>
      </c>
      <c r="Q6" t="n">
        <v>26</v>
      </c>
      <c r="R6" t="n">
        <v>10</v>
      </c>
      <c r="S6" t="n">
        <v>37</v>
      </c>
      <c r="T6" t="n">
        <v>113</v>
      </c>
      <c r="U6" t="n">
        <v>113</v>
      </c>
      <c r="V6" s="2" t="inlineStr">
        <is>
          <t>Bitter taggsvamp
Blyspindling
Fjällfotad fingersvamp
Fjällfotad musseron
Garnlav
Kejsarskivling
Läderdoftande fingersvamp
Ramaria aff. rubrievanescens
Skäggvaxskivling
Taggfingersvamp
Blek fingersvamp
Blå taggsvamp
Dofttaggsvamp
Fjällig taggsvamp s.str.
Flattoppad klubbsvamp
Grantaggsvamp
Gultoppig fingersvamp
Liten svartspik
Luddfingersvamp
Lunglav
Orange taggsvamp
Slåtterfibbla
Småflikig brosklav
Ullticka
Vitgrynig nållav
Äggvaxskivling
Brun klibbskivling
Finbräken
Granriska
Skinnlav
Strimspindling
Stuplav
Svart trolldruva
Svavelriska
Tibast
Blåsippa
Kungsfågel</t>
        </is>
      </c>
      <c r="W6">
        <f>HYPERLINK("https://klasma.github.io/Logging_2380/artfynd/A 4967-2025 artfynd.xlsx", "A 4967-2025")</f>
        <v/>
      </c>
      <c r="X6">
        <f>HYPERLINK("https://klasma.github.io/Logging_2380/kartor/A 4967-2025 karta.png", "A 4967-2025")</f>
        <v/>
      </c>
      <c r="Y6">
        <f>HYPERLINK("https://klasma.github.io/Logging_2380/kartor_geotiff/A 4967-2025 georefererad karta.tif", "A 4967-2025")</f>
        <v/>
      </c>
      <c r="AA6">
        <f>HYPERLINK("https://klasma.github.io/Logging_2380/klagomål/A 4967-2025 FSC-klagomål.docx", "A 4967-2025")</f>
        <v/>
      </c>
      <c r="AB6">
        <f>HYPERLINK("https://klasma.github.io/Logging_2380/klagomålsmail/A 4967-2025 FSC-klagomål mail.docx", "A 4967-2025")</f>
        <v/>
      </c>
      <c r="AC6">
        <f>HYPERLINK("https://klasma.github.io/Logging_2380/tillsyn/A 4967-2025 tillsynsbegäran.docx", "A 4967-2025")</f>
        <v/>
      </c>
      <c r="AD6">
        <f>HYPERLINK("https://klasma.github.io/Logging_2380/tillsynsmail/A 4967-2025 tillsynsbegäran mail.docx", "A 4967-2025")</f>
        <v/>
      </c>
    </row>
    <row r="7" ht="15" customHeight="1">
      <c r="A7" t="inlineStr">
        <is>
          <t>A 5791-2026</t>
        </is>
      </c>
      <c r="B7" t="inlineStr">
        <is>
          <t>avverkningsanmälan</t>
        </is>
      </c>
      <c r="C7" t="inlineStr">
        <is>
          <t>Föryngringsavverkning</t>
        </is>
      </c>
      <c r="D7" s="1" t="n">
        <v>46051</v>
      </c>
      <c r="E7" s="1" t="n">
        <v>46312</v>
      </c>
      <c r="F7" t="inlineStr">
        <is>
          <t>JÄMTLANDS LÄN</t>
        </is>
      </c>
      <c r="G7" t="inlineStr">
        <is>
          <t>ÖSTERSUND</t>
        </is>
      </c>
      <c r="I7" t="n">
        <v>7.8</v>
      </c>
      <c r="J7" t="n">
        <v>11</v>
      </c>
      <c r="K7" t="n">
        <v>10</v>
      </c>
      <c r="L7" t="n">
        <v>5</v>
      </c>
      <c r="M7" t="n">
        <v>2</v>
      </c>
      <c r="N7" t="n">
        <v>0</v>
      </c>
      <c r="O7" t="n">
        <v>0</v>
      </c>
      <c r="P7" t="n">
        <v>0</v>
      </c>
      <c r="Q7" t="n">
        <v>7</v>
      </c>
      <c r="R7" t="n">
        <v>2</v>
      </c>
      <c r="S7" t="n">
        <v>34</v>
      </c>
      <c r="T7" t="n">
        <v>284</v>
      </c>
      <c r="U7" t="n">
        <v>242</v>
      </c>
      <c r="V7" s="2" t="inlineStr">
        <is>
          <t>Garnlav
Knärot
Harticka
Lunglav
Skrovellav
Talltita
Tretåig hackspett
Grönkulla
Korallrot
Kransrams
Luddlav
Spindelblomster
Stuplav
Svart trolldruva
Svavelriska
Tibast
Ögonpyrola
Blåsippa
Brudborste
Ekbräken
Ekorrbär
Hultbräken
Humleblomster
Järpe
Kransmossa
Kärrfibbla
Liljekonvalj
Linnea
Nordisk stormhatt
Ormbär
Spillkråka
Tofsmes
Torta
Revlummer</t>
        </is>
      </c>
      <c r="W7">
        <f>HYPERLINK("https://klasma.github.io/Logging_2380/artfynd/A 5791-2026 artfynd.xlsx", "A 5791-2026")</f>
        <v/>
      </c>
      <c r="X7">
        <f>HYPERLINK("https://klasma.github.io/Logging_2380/kartor/A 5791-2026 karta.png", "A 5791-2026")</f>
        <v/>
      </c>
      <c r="Y7">
        <f>HYPERLINK("https://klasma.github.io/Logging_2380/kartor_geotiff/A 5791-2026 georefererad karta.tif", "A 5791-2026")</f>
        <v/>
      </c>
      <c r="Z7">
        <f>HYPERLINK("https://klasma.github.io/Logging_2380/knärot/A 5791-2026 karta knärot.png", "A 5791-2026")</f>
        <v/>
      </c>
      <c r="AA7">
        <f>HYPERLINK("https://klasma.github.io/Logging_2380/klagomål/A 5791-2026 FSC-klagomål.docx", "A 5791-2026")</f>
        <v/>
      </c>
      <c r="AB7">
        <f>HYPERLINK("https://klasma.github.io/Logging_2380/klagomålsmail/A 5791-2026 FSC-klagomål mail.docx", "A 5791-2026")</f>
        <v/>
      </c>
      <c r="AC7">
        <f>HYPERLINK("https://klasma.github.io/Logging_2380/tillsyn/A 5791-2026 tillsynsbegäran.docx", "A 5791-2026")</f>
        <v/>
      </c>
      <c r="AD7">
        <f>HYPERLINK("https://klasma.github.io/Logging_2380/tillsynsmail/A 5791-2026 tillsynsbegäran mail.docx", "A 5791-2026")</f>
        <v/>
      </c>
      <c r="AE7">
        <f>HYPERLINK("https://klasma.github.io/Logging_2380/fåglar/A 5791-2026 prioriterade fågelarter.docx", "A 5791-2026")</f>
        <v/>
      </c>
    </row>
    <row r="8" ht="15" customHeight="1">
      <c r="A8" t="inlineStr">
        <is>
          <t>A 23145-2026</t>
        </is>
      </c>
      <c r="B8" t="inlineStr">
        <is>
          <t>avverkningsanmälan</t>
        </is>
      </c>
      <c r="C8" t="inlineStr">
        <is>
          <t>Föryngringsavverkning</t>
        </is>
      </c>
      <c r="D8" s="1" t="n">
        <v>46161</v>
      </c>
      <c r="E8" s="1" t="n">
        <v>46312</v>
      </c>
      <c r="F8" t="inlineStr">
        <is>
          <t>JÄMTLANDS LÄN</t>
        </is>
      </c>
      <c r="G8" t="inlineStr">
        <is>
          <t>ÖSTERSUND</t>
        </is>
      </c>
      <c r="I8" t="n">
        <v>25.5</v>
      </c>
      <c r="J8" t="n">
        <v>6</v>
      </c>
      <c r="K8" t="n">
        <v>9</v>
      </c>
      <c r="L8" t="n">
        <v>14</v>
      </c>
      <c r="M8" t="n">
        <v>2</v>
      </c>
      <c r="N8" t="n">
        <v>0</v>
      </c>
      <c r="O8" t="n">
        <v>0</v>
      </c>
      <c r="P8" t="n">
        <v>0</v>
      </c>
      <c r="Q8" t="n">
        <v>16</v>
      </c>
      <c r="R8" t="n">
        <v>2</v>
      </c>
      <c r="S8" t="n">
        <v>32</v>
      </c>
      <c r="T8" t="n">
        <v>95</v>
      </c>
      <c r="U8" t="n">
        <v>95</v>
      </c>
      <c r="V8" s="2" t="inlineStr">
        <is>
          <t>Garnlav
Knärot
Blanksvart spiklav
Dropptaggsvamp
Dvärgbägarlav
Kolflarnlav
Liten svartspik
Lunglav
Mörk kolflarnlav
Talltagel
Tretåig hackspett
Ullticka
Vedskivlav
Violettgrå tagellav
Vitgrynig nållav
Vårtig dynlav
Grönpyrola
Gytterlav
Norrlandslav
Nästlav
Skinnlav
Spindelblomster
Spädstarr
Vedticka
Ögonpyrola
Blåbär
Klotstarr
Linnea
Tjäder
Tofsmes
Ängskovall
Revlummer</t>
        </is>
      </c>
      <c r="W8">
        <f>HYPERLINK("https://klasma.github.io/Logging_2380/artfynd/A 23145-2026 artfynd.xlsx", "A 23145-2026")</f>
        <v/>
      </c>
      <c r="X8">
        <f>HYPERLINK("https://klasma.github.io/Logging_2380/kartor/A 23145-2026 karta.png", "A 23145-2026")</f>
        <v/>
      </c>
      <c r="Y8">
        <f>HYPERLINK("https://klasma.github.io/Logging_2380/kartor_geotiff/A 23145-2026 georefererad karta.tif", "A 23145-2026")</f>
        <v/>
      </c>
      <c r="Z8">
        <f>HYPERLINK("https://klasma.github.io/Logging_2380/knärot/A 23145-2026 karta knärot.png", "A 23145-2026")</f>
        <v/>
      </c>
      <c r="AA8">
        <f>HYPERLINK("https://klasma.github.io/Logging_2380/klagomål/A 23145-2026 FSC-klagomål.docx", "A 23145-2026")</f>
        <v/>
      </c>
      <c r="AB8">
        <f>HYPERLINK("https://klasma.github.io/Logging_2380/klagomålsmail/A 23145-2026 FSC-klagomål mail.docx", "A 23145-2026")</f>
        <v/>
      </c>
      <c r="AC8">
        <f>HYPERLINK("https://klasma.github.io/Logging_2380/tillsyn/A 23145-2026 tillsynsbegäran.docx", "A 23145-2026")</f>
        <v/>
      </c>
      <c r="AD8">
        <f>HYPERLINK("https://klasma.github.io/Logging_2380/tillsynsmail/A 23145-2026 tillsynsbegäran mail.docx", "A 23145-2026")</f>
        <v/>
      </c>
      <c r="AE8">
        <f>HYPERLINK("https://klasma.github.io/Logging_2380/fåglar/A 23145-2026 prioriterade fågelarter.docx", "A 23145-2026")</f>
        <v/>
      </c>
    </row>
    <row r="9" ht="15" customHeight="1">
      <c r="A9" t="inlineStr">
        <is>
          <t>A 14184-2026</t>
        </is>
      </c>
      <c r="B9" t="inlineStr">
        <is>
          <t>avverkningsanmälan</t>
        </is>
      </c>
      <c r="C9" t="inlineStr">
        <is>
          <t>Föryngringsavverkning</t>
        </is>
      </c>
      <c r="D9" s="1" t="n">
        <v>46099</v>
      </c>
      <c r="E9" s="1" t="n">
        <v>46312</v>
      </c>
      <c r="F9" t="inlineStr">
        <is>
          <t>JÄMTLANDS LÄN</t>
        </is>
      </c>
      <c r="G9" t="inlineStr">
        <is>
          <t>ÖSTERSUND</t>
        </is>
      </c>
      <c r="I9" t="n">
        <v>4.4</v>
      </c>
      <c r="J9" t="n">
        <v>6</v>
      </c>
      <c r="K9" t="n">
        <v>6</v>
      </c>
      <c r="L9" t="n">
        <v>14</v>
      </c>
      <c r="M9" t="n">
        <v>5</v>
      </c>
      <c r="N9" t="n">
        <v>0</v>
      </c>
      <c r="O9" t="n">
        <v>0</v>
      </c>
      <c r="P9" t="n">
        <v>0</v>
      </c>
      <c r="Q9" t="n">
        <v>19</v>
      </c>
      <c r="R9" t="n">
        <v>5</v>
      </c>
      <c r="S9" t="n">
        <v>28</v>
      </c>
      <c r="T9" t="n">
        <v>144</v>
      </c>
      <c r="U9" t="n">
        <v>144</v>
      </c>
      <c r="V9" s="2" t="inlineStr">
        <is>
          <t>Calycina lobariae
Doftticka
Garnlav
Knärot
Sprickporing
Brunpudrad nållav
Doftskinn
Gammelgransskål
Harticka
Kolflarnlav
Lunglav
Rosa skärelav
Skrovellav
Stiftgelélav
Talltagel
Tretåig hackspett
Ullticka
Vedtrappmossa
Vitgrynig nållav
Barkkornlav
Korallblylav
Rostfläck
Skinnlav
Stuplav
Vedticka
Blåsippa
Spillkråka
Kungsfågel</t>
        </is>
      </c>
      <c r="W9">
        <f>HYPERLINK("https://klasma.github.io/Logging_2380/artfynd/A 14184-2026 artfynd.xlsx", "A 14184-2026")</f>
        <v/>
      </c>
      <c r="X9">
        <f>HYPERLINK("https://klasma.github.io/Logging_2380/kartor/A 14184-2026 karta.png", "A 14184-2026")</f>
        <v/>
      </c>
      <c r="Y9">
        <f>HYPERLINK("https://klasma.github.io/Logging_2380/kartor_geotiff/A 14184-2026 georefererad karta.tif", "A 14184-2026")</f>
        <v/>
      </c>
      <c r="Z9">
        <f>HYPERLINK("https://klasma.github.io/Logging_2380/knärot/A 14184-2026 karta knärot.png", "A 14184-2026")</f>
        <v/>
      </c>
      <c r="AA9">
        <f>HYPERLINK("https://klasma.github.io/Logging_2380/klagomål/A 14184-2026 FSC-klagomål.docx", "A 14184-2026")</f>
        <v/>
      </c>
      <c r="AB9">
        <f>HYPERLINK("https://klasma.github.io/Logging_2380/klagomålsmail/A 14184-2026 FSC-klagomål mail.docx", "A 14184-2026")</f>
        <v/>
      </c>
      <c r="AC9">
        <f>HYPERLINK("https://klasma.github.io/Logging_2380/tillsyn/A 14184-2026 tillsynsbegäran.docx", "A 14184-2026")</f>
        <v/>
      </c>
      <c r="AD9">
        <f>HYPERLINK("https://klasma.github.io/Logging_2380/tillsynsmail/A 14184-2026 tillsynsbegäran mail.docx", "A 14184-2026")</f>
        <v/>
      </c>
      <c r="AE9">
        <f>HYPERLINK("https://klasma.github.io/Logging_2380/fåglar/A 14184-2026 prioriterade fågelarter.docx", "A 14184-2026")</f>
        <v/>
      </c>
    </row>
    <row r="10" ht="15" customHeight="1">
      <c r="A10" t="inlineStr">
        <is>
          <t>A 29064-2026</t>
        </is>
      </c>
      <c r="B10" t="inlineStr">
        <is>
          <t>avverkningsanmälan</t>
        </is>
      </c>
      <c r="C10" t="inlineStr">
        <is>
          <t>Föryngringsavverkning</t>
        </is>
      </c>
      <c r="D10" s="1" t="n">
        <v>46199</v>
      </c>
      <c r="E10" s="1" t="n">
        <v>46312</v>
      </c>
      <c r="F10" t="inlineStr">
        <is>
          <t>JÄMTLANDS LÄN</t>
        </is>
      </c>
      <c r="G10" t="inlineStr">
        <is>
          <t>ÖSTERSUND</t>
        </is>
      </c>
      <c r="I10" t="n">
        <v>4.2</v>
      </c>
      <c r="J10" t="n">
        <v>12</v>
      </c>
      <c r="K10" t="n">
        <v>5</v>
      </c>
      <c r="L10" t="n">
        <v>7</v>
      </c>
      <c r="M10" t="n">
        <v>3</v>
      </c>
      <c r="N10" t="n">
        <v>0</v>
      </c>
      <c r="O10" t="n">
        <v>0</v>
      </c>
      <c r="P10" t="n">
        <v>0</v>
      </c>
      <c r="Q10" t="n">
        <v>10</v>
      </c>
      <c r="R10" t="n">
        <v>3</v>
      </c>
      <c r="S10" t="n">
        <v>27</v>
      </c>
      <c r="T10" t="n">
        <v>127</v>
      </c>
      <c r="U10" t="n">
        <v>124</v>
      </c>
      <c r="V10" s="2" t="inlineStr">
        <is>
          <t>Garnlav
Hussvala
Knärot
Harticka
Kryddspindling
Ladusvala
Nötkråka
Talltita
Tretåig hackspett
Äggvaxskivling
Finbräken
Guckusko
Spindelblomster
Trådticka
Tvåblad
Blåsippa
Brudborste
Fjällskära
Hultbräken
Kransmossa
Kärrfibbla
Linnea
Nordisk stormhatt
Ormbär
Svarta vinbär
Fläcknycklar
Revlummer</t>
        </is>
      </c>
      <c r="W10">
        <f>HYPERLINK("https://klasma.github.io/Logging_2380/artfynd/A 29064-2026 artfynd.xlsx", "A 29064-2026")</f>
        <v/>
      </c>
      <c r="X10">
        <f>HYPERLINK("https://klasma.github.io/Logging_2380/kartor/A 29064-2026 karta.png", "A 29064-2026")</f>
        <v/>
      </c>
      <c r="Y10">
        <f>HYPERLINK("https://klasma.github.io/Logging_2380/kartor_geotiff/A 29064-2026 georefererad karta.tif", "A 29064-2026")</f>
        <v/>
      </c>
      <c r="Z10">
        <f>HYPERLINK("https://klasma.github.io/Logging_2380/knärot/A 29064-2026 karta knärot.png", "A 29064-2026")</f>
        <v/>
      </c>
      <c r="AA10">
        <f>HYPERLINK("https://klasma.github.io/Logging_2380/klagomål/A 29064-2026 FSC-klagomål.docx", "A 29064-2026")</f>
        <v/>
      </c>
      <c r="AB10">
        <f>HYPERLINK("https://klasma.github.io/Logging_2380/klagomålsmail/A 29064-2026 FSC-klagomål mail.docx", "A 29064-2026")</f>
        <v/>
      </c>
      <c r="AC10">
        <f>HYPERLINK("https://klasma.github.io/Logging_2380/tillsyn/A 29064-2026 tillsynsbegäran.docx", "A 29064-2026")</f>
        <v/>
      </c>
      <c r="AD10">
        <f>HYPERLINK("https://klasma.github.io/Logging_2380/tillsynsmail/A 29064-2026 tillsynsbegäran mail.docx", "A 29064-2026")</f>
        <v/>
      </c>
      <c r="AE10">
        <f>HYPERLINK("https://klasma.github.io/Logging_2380/fåglar/A 29064-2026 prioriterade fågelarter.docx", "A 29064-2026")</f>
        <v/>
      </c>
    </row>
    <row r="11" ht="15" customHeight="1">
      <c r="A11" t="inlineStr">
        <is>
          <t>A 27881-2026</t>
        </is>
      </c>
      <c r="B11" t="inlineStr">
        <is>
          <t>avverkningsanmälan</t>
        </is>
      </c>
      <c r="C11" t="inlineStr">
        <is>
          <t>Föryngringsavverkning</t>
        </is>
      </c>
      <c r="D11" s="1" t="n">
        <v>46191</v>
      </c>
      <c r="E11" s="1" t="n">
        <v>46312</v>
      </c>
      <c r="F11" t="inlineStr">
        <is>
          <t>JÄMTLANDS LÄN</t>
        </is>
      </c>
      <c r="G11" t="inlineStr">
        <is>
          <t>ÖSTERSUND</t>
        </is>
      </c>
      <c r="I11" t="n">
        <v>3.7</v>
      </c>
      <c r="J11" t="n">
        <v>10</v>
      </c>
      <c r="K11" t="n">
        <v>8</v>
      </c>
      <c r="L11" t="n">
        <v>7</v>
      </c>
      <c r="M11" t="n">
        <v>1</v>
      </c>
      <c r="N11" t="n">
        <v>0</v>
      </c>
      <c r="O11" t="n">
        <v>0</v>
      </c>
      <c r="P11" t="n">
        <v>0</v>
      </c>
      <c r="Q11" t="n">
        <v>8</v>
      </c>
      <c r="R11" t="n">
        <v>1</v>
      </c>
      <c r="S11" t="n">
        <v>26</v>
      </c>
      <c r="T11" t="n">
        <v>42</v>
      </c>
      <c r="U11" t="n">
        <v>42</v>
      </c>
      <c r="V11" s="2" t="inlineStr">
        <is>
          <t>Garnlav
Björktrast
Harticka
Lunglav
Rödvingetrast
Talltita
Tretåig hackspett
Ullticka
Finbräken
Kransrams
Luddlav
Spindelblomster
Stuplav
Svart trolldruva
Tvåblad
Ögonpyrola
Bergfink
Blåsippa
Brudborste
Ekbräken
Kransmossa
Kärrfibbla
Nordisk stormhatt
Ormbär
Spillkråka
Fläcknycklar</t>
        </is>
      </c>
      <c r="W11">
        <f>HYPERLINK("https://klasma.github.io/Logging_2380/artfynd/A 27881-2026 artfynd.xlsx", "A 27881-2026")</f>
        <v/>
      </c>
      <c r="X11">
        <f>HYPERLINK("https://klasma.github.io/Logging_2380/kartor/A 27881-2026 karta.png", "A 27881-2026")</f>
        <v/>
      </c>
      <c r="Y11">
        <f>HYPERLINK("https://klasma.github.io/Logging_2380/kartor_geotiff/A 27881-2026 georefererad karta.tif", "A 27881-2026")</f>
        <v/>
      </c>
      <c r="AA11">
        <f>HYPERLINK("https://klasma.github.io/Logging_2380/klagomål/A 27881-2026 FSC-klagomål.docx", "A 27881-2026")</f>
        <v/>
      </c>
      <c r="AB11">
        <f>HYPERLINK("https://klasma.github.io/Logging_2380/klagomålsmail/A 27881-2026 FSC-klagomål mail.docx", "A 27881-2026")</f>
        <v/>
      </c>
      <c r="AC11">
        <f>HYPERLINK("https://klasma.github.io/Logging_2380/tillsyn/A 27881-2026 tillsynsbegäran.docx", "A 27881-2026")</f>
        <v/>
      </c>
      <c r="AD11">
        <f>HYPERLINK("https://klasma.github.io/Logging_2380/tillsynsmail/A 27881-2026 tillsynsbegäran mail.docx", "A 27881-2026")</f>
        <v/>
      </c>
      <c r="AE11">
        <f>HYPERLINK("https://klasma.github.io/Logging_2380/fåglar/A 27881-2026 prioriterade fågelarter.docx", "A 27881-2026")</f>
        <v/>
      </c>
    </row>
    <row r="12" ht="15" customHeight="1">
      <c r="A12" t="inlineStr">
        <is>
          <t>A 12943-2022</t>
        </is>
      </c>
      <c r="B12" t="inlineStr">
        <is>
          <t>avverkningsanmälan</t>
        </is>
      </c>
      <c r="C12" t="inlineStr">
        <is>
          <t>Föryngringsavverkning</t>
        </is>
      </c>
      <c r="D12" s="1" t="n">
        <v>44642</v>
      </c>
      <c r="E12" s="1" t="n">
        <v>46312</v>
      </c>
      <c r="F12" t="inlineStr">
        <is>
          <t>JÄMTLANDS LÄN</t>
        </is>
      </c>
      <c r="G12" t="inlineStr">
        <is>
          <t>ÖSTERSUND</t>
        </is>
      </c>
      <c r="I12" t="n">
        <v>10</v>
      </c>
      <c r="J12" t="n">
        <v>7</v>
      </c>
      <c r="K12" t="n">
        <v>9</v>
      </c>
      <c r="L12" t="n">
        <v>9</v>
      </c>
      <c r="M12" t="n">
        <v>2</v>
      </c>
      <c r="N12" t="n">
        <v>1</v>
      </c>
      <c r="O12" t="n">
        <v>0</v>
      </c>
      <c r="P12" t="n">
        <v>0</v>
      </c>
      <c r="Q12" t="n">
        <v>12</v>
      </c>
      <c r="R12" t="n">
        <v>3</v>
      </c>
      <c r="S12" t="n">
        <v>23</v>
      </c>
      <c r="T12" t="n">
        <v>68</v>
      </c>
      <c r="U12" t="n">
        <v>56</v>
      </c>
      <c r="V12" s="2" t="inlineStr">
        <is>
          <t>Trolldruvemätare
Knärot
Läderdoftande fingersvamp
Blå taggsvamp
Dofttaggsvamp
Fjällig taggsvamp s.str.
Flattoppad klubbsvamp
Grantaggsvamp
Lavskrika
Orange taggsvamp
Talltita
Vårärt
Diskvaxskivling
Guckusko
Guldkremla
Svart trolldruva
Svavelriska
Tibast
Trådfräken
Tvåblad
Zontaggsvamp
Blåsippa
Fläcknycklar</t>
        </is>
      </c>
      <c r="W12">
        <f>HYPERLINK("https://klasma.github.io/Logging_2380/artfynd/A 12943-2022 artfynd.xlsx", "A 12943-2022")</f>
        <v/>
      </c>
      <c r="X12">
        <f>HYPERLINK("https://klasma.github.io/Logging_2380/kartor/A 12943-2022 karta.png", "A 12943-2022")</f>
        <v/>
      </c>
      <c r="Y12">
        <f>HYPERLINK("https://klasma.github.io/Logging_2380/kartor_geotiff/A 12943-2022 georefererad karta.tif", "A 12943-2022")</f>
        <v/>
      </c>
      <c r="Z12">
        <f>HYPERLINK("https://klasma.github.io/Logging_2380/knärot/A 12943-2022 karta knärot.png", "A 12943-2022")</f>
        <v/>
      </c>
      <c r="AA12">
        <f>HYPERLINK("https://klasma.github.io/Logging_2380/klagomål/A 12943-2022 FSC-klagomål.docx", "A 12943-2022")</f>
        <v/>
      </c>
      <c r="AB12">
        <f>HYPERLINK("https://klasma.github.io/Logging_2380/klagomålsmail/A 12943-2022 FSC-klagomål mail.docx", "A 12943-2022")</f>
        <v/>
      </c>
      <c r="AC12">
        <f>HYPERLINK("https://klasma.github.io/Logging_2380/tillsyn/A 12943-2022 tillsynsbegäran.docx", "A 12943-2022")</f>
        <v/>
      </c>
      <c r="AD12">
        <f>HYPERLINK("https://klasma.github.io/Logging_2380/tillsynsmail/A 12943-2022 tillsynsbegäran mail.docx", "A 12943-2022")</f>
        <v/>
      </c>
      <c r="AE12">
        <f>HYPERLINK("https://klasma.github.io/Logging_2380/fåglar/A 12943-2022 prioriterade fågelarter.docx", "A 12943-2022")</f>
        <v/>
      </c>
    </row>
    <row r="13" ht="15" customHeight="1">
      <c r="A13" t="inlineStr">
        <is>
          <t>A 14960-2026</t>
        </is>
      </c>
      <c r="B13" t="inlineStr">
        <is>
          <t>avverkningsanmälan</t>
        </is>
      </c>
      <c r="C13" t="inlineStr">
        <is>
          <t>Föryngringsavverkning</t>
        </is>
      </c>
      <c r="D13" s="1" t="n">
        <v>46104</v>
      </c>
      <c r="E13" s="1" t="n">
        <v>46312</v>
      </c>
      <c r="F13" t="inlineStr">
        <is>
          <t>JÄMTLANDS LÄN</t>
        </is>
      </c>
      <c r="G13" t="inlineStr">
        <is>
          <t>ÖSTERSUND</t>
        </is>
      </c>
      <c r="I13" t="n">
        <v>14.8</v>
      </c>
      <c r="J13" t="n">
        <v>8</v>
      </c>
      <c r="K13" t="n">
        <v>7</v>
      </c>
      <c r="L13" t="n">
        <v>7</v>
      </c>
      <c r="M13" t="n">
        <v>2</v>
      </c>
      <c r="N13" t="n">
        <v>0</v>
      </c>
      <c r="O13" t="n">
        <v>0</v>
      </c>
      <c r="P13" t="n">
        <v>0</v>
      </c>
      <c r="Q13" t="n">
        <v>9</v>
      </c>
      <c r="R13" t="n">
        <v>2</v>
      </c>
      <c r="S13" t="n">
        <v>22</v>
      </c>
      <c r="T13" t="n">
        <v>180</v>
      </c>
      <c r="U13" t="n">
        <v>164</v>
      </c>
      <c r="V13" s="2" t="inlineStr">
        <is>
          <t>Garnlav
Knärot
Björktrast
Enkelbeckasin
Harticka
Lunglav
Rödvingetrast
Skrovellav
Tretåig hackspett
Bårdlav
Luddlav
Norrlandslav
Skinnlav
Stuplav
Tibast
Ögonpyrola
Blåsippa
Kransmossa
Linnea
Sälg
Kungsfågel
Revlummer</t>
        </is>
      </c>
      <c r="W13">
        <f>HYPERLINK("https://klasma.github.io/Logging_2380/artfynd/A 14960-2026 artfynd.xlsx", "A 14960-2026")</f>
        <v/>
      </c>
      <c r="X13">
        <f>HYPERLINK("https://klasma.github.io/Logging_2380/kartor/A 14960-2026 karta.png", "A 14960-2026")</f>
        <v/>
      </c>
      <c r="Y13">
        <f>HYPERLINK("https://klasma.github.io/Logging_2380/kartor_geotiff/A 14960-2026 georefererad karta.tif", "A 14960-2026")</f>
        <v/>
      </c>
      <c r="Z13">
        <f>HYPERLINK("https://klasma.github.io/Logging_2380/knärot/A 14960-2026 karta knärot.png", "A 14960-2026")</f>
        <v/>
      </c>
      <c r="AA13">
        <f>HYPERLINK("https://klasma.github.io/Logging_2380/klagomål/A 14960-2026 FSC-klagomål.docx", "A 14960-2026")</f>
        <v/>
      </c>
      <c r="AB13">
        <f>HYPERLINK("https://klasma.github.io/Logging_2380/klagomålsmail/A 14960-2026 FSC-klagomål mail.docx", "A 14960-2026")</f>
        <v/>
      </c>
      <c r="AC13">
        <f>HYPERLINK("https://klasma.github.io/Logging_2380/tillsyn/A 14960-2026 tillsynsbegäran.docx", "A 14960-2026")</f>
        <v/>
      </c>
      <c r="AD13">
        <f>HYPERLINK("https://klasma.github.io/Logging_2380/tillsynsmail/A 14960-2026 tillsynsbegäran mail.docx", "A 14960-2026")</f>
        <v/>
      </c>
      <c r="AE13">
        <f>HYPERLINK("https://klasma.github.io/Logging_2380/fåglar/A 14960-2026 prioriterade fågelarter.docx", "A 14960-2026")</f>
        <v/>
      </c>
    </row>
    <row r="14" ht="15" customHeight="1">
      <c r="A14" t="inlineStr">
        <is>
          <t>A 48059-2025</t>
        </is>
      </c>
      <c r="B14" t="inlineStr">
        <is>
          <t>avverkningsanmälan</t>
        </is>
      </c>
      <c r="C14" t="inlineStr">
        <is>
          <t>Föryngringsavverkning</t>
        </is>
      </c>
      <c r="D14" s="1" t="n">
        <v>45932</v>
      </c>
      <c r="E14" s="1" t="n">
        <v>46312</v>
      </c>
      <c r="F14" t="inlineStr">
        <is>
          <t>JÄMTLANDS LÄN</t>
        </is>
      </c>
      <c r="G14" t="inlineStr">
        <is>
          <t>ÖSTERSUND</t>
        </is>
      </c>
      <c r="I14" t="n">
        <v>12.2</v>
      </c>
      <c r="J14" t="n">
        <v>6</v>
      </c>
      <c r="K14" t="n">
        <v>5</v>
      </c>
      <c r="L14" t="n">
        <v>12</v>
      </c>
      <c r="M14" t="n">
        <v>2</v>
      </c>
      <c r="N14" t="n">
        <v>0</v>
      </c>
      <c r="O14" t="n">
        <v>0</v>
      </c>
      <c r="P14" t="n">
        <v>0</v>
      </c>
      <c r="Q14" t="n">
        <v>14</v>
      </c>
      <c r="R14" t="n">
        <v>2</v>
      </c>
      <c r="S14" t="n">
        <v>22</v>
      </c>
      <c r="T14" t="n">
        <v>115</v>
      </c>
      <c r="U14" t="n">
        <v>115</v>
      </c>
      <c r="V14" s="2" t="inlineStr">
        <is>
          <t>Garnlav
Knärot
Brunpudrad nållav
Gammelgransskål
Harticka
Liten svartspik
Lunglav
Rynkskinn
Skogshare
Skrovellav
Talltita
Tretåig hackspett
Ullticka
Vitgrynig nållav
Korallblylav
Luddlav
Stuplav
Trådticka
Vedticka
Blåsippa
Spillkråka
Tjäder</t>
        </is>
      </c>
      <c r="W14">
        <f>HYPERLINK("https://klasma.github.io/Logging_2380/artfynd/A 48059-2025 artfynd.xlsx", "A 48059-2025")</f>
        <v/>
      </c>
      <c r="X14">
        <f>HYPERLINK("https://klasma.github.io/Logging_2380/kartor/A 48059-2025 karta.png", "A 48059-2025")</f>
        <v/>
      </c>
      <c r="Y14">
        <f>HYPERLINK("https://klasma.github.io/Logging_2380/kartor_geotiff/A 48059-2025 georefererad karta.tif", "A 48059-2025")</f>
        <v/>
      </c>
      <c r="Z14">
        <f>HYPERLINK("https://klasma.github.io/Logging_2380/knärot/A 48059-2025 karta knärot.png", "A 48059-2025")</f>
        <v/>
      </c>
      <c r="AA14">
        <f>HYPERLINK("https://klasma.github.io/Logging_2380/klagomål/A 48059-2025 FSC-klagomål.docx", "A 48059-2025")</f>
        <v/>
      </c>
      <c r="AB14">
        <f>HYPERLINK("https://klasma.github.io/Logging_2380/klagomålsmail/A 48059-2025 FSC-klagomål mail.docx", "A 48059-2025")</f>
        <v/>
      </c>
      <c r="AC14">
        <f>HYPERLINK("https://klasma.github.io/Logging_2380/tillsyn/A 48059-2025 tillsynsbegäran.docx", "A 48059-2025")</f>
        <v/>
      </c>
      <c r="AD14">
        <f>HYPERLINK("https://klasma.github.io/Logging_2380/tillsynsmail/A 48059-2025 tillsynsbegäran mail.docx", "A 48059-2025")</f>
        <v/>
      </c>
      <c r="AE14">
        <f>HYPERLINK("https://klasma.github.io/Logging_2380/fåglar/A 48059-2025 prioriterade fågelarter.docx", "A 48059-2025")</f>
        <v/>
      </c>
    </row>
    <row r="15" ht="15" customHeight="1">
      <c r="A15" t="inlineStr">
        <is>
          <t>A 16101-2026</t>
        </is>
      </c>
      <c r="B15" t="inlineStr">
        <is>
          <t>avverkningsanmälan</t>
        </is>
      </c>
      <c r="C15" t="inlineStr">
        <is>
          <t>Föryngringsavverkning</t>
        </is>
      </c>
      <c r="D15" s="1" t="n">
        <v>46108</v>
      </c>
      <c r="E15" s="1" t="n">
        <v>46312</v>
      </c>
      <c r="F15" t="inlineStr">
        <is>
          <t>JÄMTLANDS LÄN</t>
        </is>
      </c>
      <c r="G15" t="inlineStr">
        <is>
          <t>ÖSTERSUND</t>
        </is>
      </c>
      <c r="I15" t="n">
        <v>19.8</v>
      </c>
      <c r="J15" t="n">
        <v>4</v>
      </c>
      <c r="K15" t="n">
        <v>3</v>
      </c>
      <c r="L15" t="n">
        <v>11</v>
      </c>
      <c r="M15" t="n">
        <v>5</v>
      </c>
      <c r="N15" t="n">
        <v>0</v>
      </c>
      <c r="O15" t="n">
        <v>0</v>
      </c>
      <c r="P15" t="n">
        <v>0</v>
      </c>
      <c r="Q15" t="n">
        <v>16</v>
      </c>
      <c r="R15" t="n">
        <v>5</v>
      </c>
      <c r="S15" t="n">
        <v>21</v>
      </c>
      <c r="T15" t="n">
        <v>101</v>
      </c>
      <c r="U15" t="n">
        <v>101</v>
      </c>
      <c r="V15" s="2" t="inlineStr">
        <is>
          <t>Blackticka
Garnlav
Gränsticka
Smalskaftslav
Ulltickeporing
Brunpudrad nållav
Harticka
Liten svartspik
Rosenticka
Rynkskinn
Stjärntagging
Talltita
Tretåig hackspett
Ullticka
Vedtrappmossa
Vitgrynig nållav
Korallblylav
Trådticka
Vedticka
Blåsippa
Järpe</t>
        </is>
      </c>
      <c r="W15">
        <f>HYPERLINK("https://klasma.github.io/Logging_2380/artfynd/A 16101-2026 artfynd.xlsx", "A 16101-2026")</f>
        <v/>
      </c>
      <c r="X15">
        <f>HYPERLINK("https://klasma.github.io/Logging_2380/kartor/A 16101-2026 karta.png", "A 16101-2026")</f>
        <v/>
      </c>
      <c r="Y15">
        <f>HYPERLINK("https://klasma.github.io/Logging_2380/kartor_geotiff/A 16101-2026 georefererad karta.tif", "A 16101-2026")</f>
        <v/>
      </c>
      <c r="AA15">
        <f>HYPERLINK("https://klasma.github.io/Logging_2380/klagomål/A 16101-2026 FSC-klagomål.docx", "A 16101-2026")</f>
        <v/>
      </c>
      <c r="AB15">
        <f>HYPERLINK("https://klasma.github.io/Logging_2380/klagomålsmail/A 16101-2026 FSC-klagomål mail.docx", "A 16101-2026")</f>
        <v/>
      </c>
      <c r="AC15">
        <f>HYPERLINK("https://klasma.github.io/Logging_2380/tillsyn/A 16101-2026 tillsynsbegäran.docx", "A 16101-2026")</f>
        <v/>
      </c>
      <c r="AD15">
        <f>HYPERLINK("https://klasma.github.io/Logging_2380/tillsynsmail/A 16101-2026 tillsynsbegäran mail.docx", "A 16101-2026")</f>
        <v/>
      </c>
      <c r="AE15">
        <f>HYPERLINK("https://klasma.github.io/Logging_2380/fåglar/A 16101-2026 prioriterade fågelarter.docx", "A 16101-2026")</f>
        <v/>
      </c>
    </row>
    <row r="16" ht="15" customHeight="1">
      <c r="A16" t="inlineStr">
        <is>
          <t>A 50126-2024</t>
        </is>
      </c>
      <c r="B16" t="inlineStr">
        <is>
          <t>avverkningsanmälan</t>
        </is>
      </c>
      <c r="C16" t="inlineStr">
        <is>
          <t>Föryngringsavverkning</t>
        </is>
      </c>
      <c r="D16" s="1" t="n">
        <v>45600</v>
      </c>
      <c r="E16" s="1" t="n">
        <v>46312</v>
      </c>
      <c r="F16" t="inlineStr">
        <is>
          <t>JÄMTLANDS LÄN</t>
        </is>
      </c>
      <c r="G16" t="inlineStr">
        <is>
          <t>ÖSTERSUND</t>
        </is>
      </c>
      <c r="H16" t="inlineStr">
        <is>
          <t>SCA</t>
        </is>
      </c>
      <c r="I16" t="n">
        <v>2.6</v>
      </c>
      <c r="J16" t="n">
        <v>5</v>
      </c>
      <c r="K16" t="n">
        <v>4</v>
      </c>
      <c r="L16" t="n">
        <v>10</v>
      </c>
      <c r="M16" t="n">
        <v>6</v>
      </c>
      <c r="N16" t="n">
        <v>0</v>
      </c>
      <c r="O16" t="n">
        <v>0</v>
      </c>
      <c r="P16" t="n">
        <v>0</v>
      </c>
      <c r="Q16" t="n">
        <v>16</v>
      </c>
      <c r="R16" t="n">
        <v>6</v>
      </c>
      <c r="S16" t="n">
        <v>21</v>
      </c>
      <c r="T16" t="n">
        <v>36</v>
      </c>
      <c r="U16" t="n">
        <v>32</v>
      </c>
      <c r="V16" s="2" t="inlineStr">
        <is>
          <t>Doftticka
Garnlav
Gräddporing
Gränsticka
Knärot
Sprickporing
Dropptaggsvamp
Kolflarnlav
Lunglav
Rosenticka
Skrovellav
Talltita
Tretåig hackspett
Ullticka
Vedtrappmossa
Vitgrynig nållav
Luddlav
Skinnlav
Stuplav
Vedticka
Spillkråka</t>
        </is>
      </c>
      <c r="W16">
        <f>HYPERLINK("https://klasma.github.io/Logging_2380/artfynd/A 50126-2024 artfynd.xlsx", "A 50126-2024")</f>
        <v/>
      </c>
      <c r="X16">
        <f>HYPERLINK("https://klasma.github.io/Logging_2380/kartor/A 50126-2024 karta.png", "A 50126-2024")</f>
        <v/>
      </c>
      <c r="Y16">
        <f>HYPERLINK("https://klasma.github.io/Logging_2380/kartor_geotiff/A 50126-2024 georefererad karta.tif", "A 50126-2024")</f>
        <v/>
      </c>
      <c r="Z16">
        <f>HYPERLINK("https://klasma.github.io/Logging_2380/knärot/A 50126-2024 karta knärot.png", "A 50126-2024")</f>
        <v/>
      </c>
      <c r="AA16">
        <f>HYPERLINK("https://klasma.github.io/Logging_2380/klagomål/A 50126-2024 FSC-klagomål.docx", "A 50126-2024")</f>
        <v/>
      </c>
      <c r="AB16">
        <f>HYPERLINK("https://klasma.github.io/Logging_2380/klagomålsmail/A 50126-2024 FSC-klagomål mail.docx", "A 50126-2024")</f>
        <v/>
      </c>
      <c r="AC16">
        <f>HYPERLINK("https://klasma.github.io/Logging_2380/tillsyn/A 50126-2024 tillsynsbegäran.docx", "A 50126-2024")</f>
        <v/>
      </c>
      <c r="AD16">
        <f>HYPERLINK("https://klasma.github.io/Logging_2380/tillsynsmail/A 50126-2024 tillsynsbegäran mail.docx", "A 50126-2024")</f>
        <v/>
      </c>
      <c r="AE16">
        <f>HYPERLINK("https://klasma.github.io/Logging_2380/fåglar/A 50126-2024 prioriterade fågelarter.docx", "A 50126-2024")</f>
        <v/>
      </c>
    </row>
    <row r="17" ht="15" customHeight="1">
      <c r="A17" t="inlineStr">
        <is>
          <t>A 28059-2026</t>
        </is>
      </c>
      <c r="B17" t="inlineStr">
        <is>
          <t>avverkningsanmälan</t>
        </is>
      </c>
      <c r="C17" t="inlineStr">
        <is>
          <t>Föryngringsavverkning</t>
        </is>
      </c>
      <c r="D17" s="1" t="n">
        <v>46195</v>
      </c>
      <c r="E17" s="1" t="n">
        <v>46312</v>
      </c>
      <c r="F17" t="inlineStr">
        <is>
          <t>JÄMTLANDS LÄN</t>
        </is>
      </c>
      <c r="G17" t="inlineStr">
        <is>
          <t>ÖSTERSUND</t>
        </is>
      </c>
      <c r="I17" t="n">
        <v>7</v>
      </c>
      <c r="J17" t="n">
        <v>8</v>
      </c>
      <c r="K17" t="n">
        <v>4</v>
      </c>
      <c r="L17" t="n">
        <v>3</v>
      </c>
      <c r="M17" t="n">
        <v>3</v>
      </c>
      <c r="N17" t="n">
        <v>0</v>
      </c>
      <c r="O17" t="n">
        <v>0</v>
      </c>
      <c r="P17" t="n">
        <v>0</v>
      </c>
      <c r="Q17" t="n">
        <v>6</v>
      </c>
      <c r="R17" t="n">
        <v>3</v>
      </c>
      <c r="S17" t="n">
        <v>21</v>
      </c>
      <c r="T17" t="n">
        <v>70</v>
      </c>
      <c r="U17" t="n">
        <v>70</v>
      </c>
      <c r="V17" s="2" t="inlineStr">
        <is>
          <t>Garnlav
Hussvala
Knärot
Lunglav
Talltita
Tretåig hackspett
Grönkulla
Kransrams
Spindelblomster
Stuplav
Blåsippa
Brudborste
Fjällskära
Hultbräken
Kransmossa
Kärrfibbla
Linnea
Nordisk stormhatt
Ormbär
Tofsmes
Torta</t>
        </is>
      </c>
      <c r="W17">
        <f>HYPERLINK("https://klasma.github.io/Logging_2380/artfynd/A 28059-2026 artfynd.xlsx", "A 28059-2026")</f>
        <v/>
      </c>
      <c r="X17">
        <f>HYPERLINK("https://klasma.github.io/Logging_2380/kartor/A 28059-2026 karta.png", "A 28059-2026")</f>
        <v/>
      </c>
      <c r="Y17">
        <f>HYPERLINK("https://klasma.github.io/Logging_2380/kartor_geotiff/A 28059-2026 georefererad karta.tif", "A 28059-2026")</f>
        <v/>
      </c>
      <c r="Z17">
        <f>HYPERLINK("https://klasma.github.io/Logging_2380/knärot/A 28059-2026 karta knärot.png", "A 28059-2026")</f>
        <v/>
      </c>
      <c r="AA17">
        <f>HYPERLINK("https://klasma.github.io/Logging_2380/klagomål/A 28059-2026 FSC-klagomål.docx", "A 28059-2026")</f>
        <v/>
      </c>
      <c r="AB17">
        <f>HYPERLINK("https://klasma.github.io/Logging_2380/klagomålsmail/A 28059-2026 FSC-klagomål mail.docx", "A 28059-2026")</f>
        <v/>
      </c>
      <c r="AC17">
        <f>HYPERLINK("https://klasma.github.io/Logging_2380/tillsyn/A 28059-2026 tillsynsbegäran.docx", "A 28059-2026")</f>
        <v/>
      </c>
      <c r="AD17">
        <f>HYPERLINK("https://klasma.github.io/Logging_2380/tillsynsmail/A 28059-2026 tillsynsbegäran mail.docx", "A 28059-2026")</f>
        <v/>
      </c>
      <c r="AE17">
        <f>HYPERLINK("https://klasma.github.io/Logging_2380/fåglar/A 28059-2026 prioriterade fågelarter.docx", "A 28059-2026")</f>
        <v/>
      </c>
    </row>
    <row r="18" ht="15" customHeight="1">
      <c r="A18" t="inlineStr">
        <is>
          <t>A 58266-2025</t>
        </is>
      </c>
      <c r="B18" t="inlineStr">
        <is>
          <t>avverkningsanmälan</t>
        </is>
      </c>
      <c r="C18" t="inlineStr">
        <is>
          <t>Föryngringsavverkning</t>
        </is>
      </c>
      <c r="D18" s="1" t="n">
        <v>45985</v>
      </c>
      <c r="E18" s="1" t="n">
        <v>46312</v>
      </c>
      <c r="F18" t="inlineStr">
        <is>
          <t>JÄMTLANDS LÄN</t>
        </is>
      </c>
      <c r="G18" t="inlineStr">
        <is>
          <t>ÖSTERSUND</t>
        </is>
      </c>
      <c r="I18" t="n">
        <v>17.4</v>
      </c>
      <c r="J18" t="n">
        <v>5</v>
      </c>
      <c r="K18" t="n">
        <v>7</v>
      </c>
      <c r="L18" t="n">
        <v>8</v>
      </c>
      <c r="M18" t="n">
        <v>4</v>
      </c>
      <c r="N18" t="n">
        <v>0</v>
      </c>
      <c r="O18" t="n">
        <v>0</v>
      </c>
      <c r="P18" t="n">
        <v>0</v>
      </c>
      <c r="Q18" t="n">
        <v>12</v>
      </c>
      <c r="R18" t="n">
        <v>4</v>
      </c>
      <c r="S18" t="n">
        <v>21</v>
      </c>
      <c r="T18" t="n">
        <v>79</v>
      </c>
      <c r="U18" t="n">
        <v>1</v>
      </c>
      <c r="V18" s="2" t="inlineStr">
        <is>
          <t>Blackticka
Garnlav
Gränsticka
Knärot
Kortskaftad ärgspik
Lunglav
Rosenticka
Stjärntagging
Talltita
Tretåig hackspett
Ullticka
Vitgrynig nållav
Kransrams
Stuplav
Svart trolldruva
Svavelriska
Tibast
Trådticka
Underviol
Blåsippa
Gråspett</t>
        </is>
      </c>
      <c r="W18">
        <f>HYPERLINK("https://klasma.github.io/Logging_2380/artfynd/A 58266-2025 artfynd.xlsx", "A 58266-2025")</f>
        <v/>
      </c>
      <c r="X18">
        <f>HYPERLINK("https://klasma.github.io/Logging_2380/kartor/A 58266-2025 karta.png", "A 58266-2025")</f>
        <v/>
      </c>
      <c r="Y18">
        <f>HYPERLINK("https://klasma.github.io/Logging_2380/kartor_geotiff/A 58266-2025 georefererad karta.tif", "A 58266-2025")</f>
        <v/>
      </c>
      <c r="Z18">
        <f>HYPERLINK("https://klasma.github.io/Logging_2380/knärot/A 58266-2025 karta knärot.png", "A 58266-2025")</f>
        <v/>
      </c>
      <c r="AA18">
        <f>HYPERLINK("https://klasma.github.io/Logging_2380/klagomål/A 58266-2025 FSC-klagomål.docx", "A 58266-2025")</f>
        <v/>
      </c>
      <c r="AB18">
        <f>HYPERLINK("https://klasma.github.io/Logging_2380/klagomålsmail/A 58266-2025 FSC-klagomål mail.docx", "A 58266-2025")</f>
        <v/>
      </c>
      <c r="AC18">
        <f>HYPERLINK("https://klasma.github.io/Logging_2380/tillsyn/A 58266-2025 tillsynsbegäran.docx", "A 58266-2025")</f>
        <v/>
      </c>
      <c r="AD18">
        <f>HYPERLINK("https://klasma.github.io/Logging_2380/tillsynsmail/A 58266-2025 tillsynsbegäran mail.docx", "A 58266-2025")</f>
        <v/>
      </c>
      <c r="AE18">
        <f>HYPERLINK("https://klasma.github.io/Logging_2380/fåglar/A 58266-2025 prioriterade fågelarter.docx", "A 58266-2025")</f>
        <v/>
      </c>
    </row>
    <row r="19" ht="15" customHeight="1">
      <c r="A19" t="inlineStr">
        <is>
          <t>S 3008-2025</t>
        </is>
      </c>
      <c r="B19" t="inlineStr">
        <is>
          <t>samrådsanmälan</t>
        </is>
      </c>
      <c r="C19" t="inlineStr">
        <is>
          <t>Annan skogsbruksåtgärd</t>
        </is>
      </c>
      <c r="D19" s="1" t="n">
        <v>45957</v>
      </c>
      <c r="E19" s="1" t="n">
        <v>46312</v>
      </c>
      <c r="F19" t="inlineStr">
        <is>
          <t>JÄMTLANDS LÄN</t>
        </is>
      </c>
      <c r="G19" t="inlineStr">
        <is>
          <t>ÖSTERSUND</t>
        </is>
      </c>
      <c r="I19" t="n">
        <v>17.4</v>
      </c>
      <c r="J19" t="n">
        <v>5</v>
      </c>
      <c r="K19" t="n">
        <v>7</v>
      </c>
      <c r="L19" t="n">
        <v>8</v>
      </c>
      <c r="M19" t="n">
        <v>4</v>
      </c>
      <c r="N19" t="n">
        <v>0</v>
      </c>
      <c r="O19" t="n">
        <v>0</v>
      </c>
      <c r="P19" t="n">
        <v>0</v>
      </c>
      <c r="Q19" t="n">
        <v>12</v>
      </c>
      <c r="R19" t="n">
        <v>4</v>
      </c>
      <c r="S19" t="n">
        <v>21</v>
      </c>
      <c r="T19" t="n">
        <v>79</v>
      </c>
      <c r="U19" t="n">
        <v>5</v>
      </c>
      <c r="V19" s="2" t="inlineStr">
        <is>
          <t>Blackticka
Garnlav
Gränsticka
Knärot
Kortskaftad ärgspik
Lunglav
Rosenticka
Stjärntagging
Talltita
Tretåig hackspett
Ullticka
Vitgrynig nållav
Kransrams
Stuplav
Svart trolldruva
Svavelriska
Tibast
Trådticka
Underviol
Blåsippa
Gråspett</t>
        </is>
      </c>
      <c r="W19">
        <f>HYPERLINK("https://klasma.github.io/Logging_2380/artfynd/S 3008-2025 artfynd.xlsx", "S 3008-2025")</f>
        <v/>
      </c>
      <c r="X19">
        <f>HYPERLINK("https://klasma.github.io/Logging_2380/kartor/S 3008-2025 karta.png", "S 3008-2025")</f>
        <v/>
      </c>
      <c r="Y19">
        <f>HYPERLINK("https://klasma.github.io/Logging_2380/kartor_geotiff/S 3008-2025 georefererad karta.tif", "S 3008-2025")</f>
        <v/>
      </c>
      <c r="Z19">
        <f>HYPERLINK("https://klasma.github.io/Logging_2380/knärot/S 3008-2025 karta knärot.png", "S 3008-2025")</f>
        <v/>
      </c>
      <c r="AA19">
        <f>HYPERLINK("https://klasma.github.io/Logging_2380/klagomål/S 3008-2025 FSC-klagomål.docx", "S 3008-2025")</f>
        <v/>
      </c>
      <c r="AB19">
        <f>HYPERLINK("https://klasma.github.io/Logging_2380/klagomålsmail/S 3008-2025 FSC-klagomål mail.docx", "S 3008-2025")</f>
        <v/>
      </c>
      <c r="AC19">
        <f>HYPERLINK("https://klasma.github.io/Logging_2380/tillsyn/S 3008-2025 tillsynsbegäran.docx", "S 3008-2025")</f>
        <v/>
      </c>
      <c r="AD19">
        <f>HYPERLINK("https://klasma.github.io/Logging_2380/tillsynsmail/S 3008-2025 tillsynsbegäran mail.docx", "S 3008-2025")</f>
        <v/>
      </c>
      <c r="AE19">
        <f>HYPERLINK("https://klasma.github.io/Logging_2380/fåglar/S 3008-2025 prioriterade fågelarter.docx", "S 3008-2025")</f>
        <v/>
      </c>
    </row>
    <row r="20" ht="15" customHeight="1">
      <c r="A20" t="inlineStr">
        <is>
          <t>A 28079-2026</t>
        </is>
      </c>
      <c r="B20" t="inlineStr">
        <is>
          <t>avverkningsanmälan</t>
        </is>
      </c>
      <c r="C20" t="inlineStr">
        <is>
          <t>Föryngringsavverkning</t>
        </is>
      </c>
      <c r="D20" s="1" t="n">
        <v>46195</v>
      </c>
      <c r="E20" s="1" t="n">
        <v>46312</v>
      </c>
      <c r="F20" t="inlineStr">
        <is>
          <t>JÄMTLANDS LÄN</t>
        </is>
      </c>
      <c r="G20" t="inlineStr">
        <is>
          <t>ÖSTERSUND</t>
        </is>
      </c>
      <c r="I20" t="n">
        <v>8.300000000000001</v>
      </c>
      <c r="J20" t="n">
        <v>6</v>
      </c>
      <c r="K20" t="n">
        <v>1</v>
      </c>
      <c r="L20" t="n">
        <v>5</v>
      </c>
      <c r="M20" t="n">
        <v>2</v>
      </c>
      <c r="N20" t="n">
        <v>0</v>
      </c>
      <c r="O20" t="n">
        <v>0</v>
      </c>
      <c r="P20" t="n">
        <v>0</v>
      </c>
      <c r="Q20" t="n">
        <v>7</v>
      </c>
      <c r="R20" t="n">
        <v>2</v>
      </c>
      <c r="S20" t="n">
        <v>20</v>
      </c>
      <c r="T20" t="n">
        <v>53</v>
      </c>
      <c r="U20" t="n">
        <v>51</v>
      </c>
      <c r="V20" s="2" t="inlineStr">
        <is>
          <t>Garnlav
Knärot
Harticka
Lunglav
Talltita
Tretåig hackspett
Ullticka
Kransrams
Brudborste
Hultbräken
Kransmossa
Kärrfibbla
Linnea
Nordisk stormhatt
Ormbär
Spillkråka
Svarta vinbär
Tofsmes
Torta
Revlummer</t>
        </is>
      </c>
      <c r="W20">
        <f>HYPERLINK("https://klasma.github.io/Logging_2380/artfynd/A 28079-2026 artfynd.xlsx", "A 28079-2026")</f>
        <v/>
      </c>
      <c r="X20">
        <f>HYPERLINK("https://klasma.github.io/Logging_2380/kartor/A 28079-2026 karta.png", "A 28079-2026")</f>
        <v/>
      </c>
      <c r="Y20">
        <f>HYPERLINK("https://klasma.github.io/Logging_2380/kartor_geotiff/A 28079-2026 georefererad karta.tif", "A 28079-2026")</f>
        <v/>
      </c>
      <c r="Z20">
        <f>HYPERLINK("https://klasma.github.io/Logging_2380/knärot/A 28079-2026 karta knärot.png", "A 28079-2026")</f>
        <v/>
      </c>
      <c r="AA20">
        <f>HYPERLINK("https://klasma.github.io/Logging_2380/klagomål/A 28079-2026 FSC-klagomål.docx", "A 28079-2026")</f>
        <v/>
      </c>
      <c r="AB20">
        <f>HYPERLINK("https://klasma.github.io/Logging_2380/klagomålsmail/A 28079-2026 FSC-klagomål mail.docx", "A 28079-2026")</f>
        <v/>
      </c>
      <c r="AC20">
        <f>HYPERLINK("https://klasma.github.io/Logging_2380/tillsyn/A 28079-2026 tillsynsbegäran.docx", "A 28079-2026")</f>
        <v/>
      </c>
      <c r="AD20">
        <f>HYPERLINK("https://klasma.github.io/Logging_2380/tillsynsmail/A 28079-2026 tillsynsbegäran mail.docx", "A 28079-2026")</f>
        <v/>
      </c>
      <c r="AE20">
        <f>HYPERLINK("https://klasma.github.io/Logging_2380/fåglar/A 28079-2026 prioriterade fågelarter.docx", "A 28079-2026")</f>
        <v/>
      </c>
    </row>
    <row r="21" ht="15" customHeight="1">
      <c r="A21" t="inlineStr">
        <is>
          <t>A 45985-2025</t>
        </is>
      </c>
      <c r="B21" t="inlineStr">
        <is>
          <t>avverkningsanmälan</t>
        </is>
      </c>
      <c r="C21" t="inlineStr">
        <is>
          <t>Föryngringsavverkning</t>
        </is>
      </c>
      <c r="D21" s="1" t="n">
        <v>45924</v>
      </c>
      <c r="E21" s="1" t="n">
        <v>46312</v>
      </c>
      <c r="F21" t="inlineStr">
        <is>
          <t>JÄMTLANDS LÄN</t>
        </is>
      </c>
      <c r="G21" t="inlineStr">
        <is>
          <t>ÖSTERSUND</t>
        </is>
      </c>
      <c r="I21" t="n">
        <v>11.8</v>
      </c>
      <c r="J21" t="n">
        <v>8</v>
      </c>
      <c r="K21" t="n">
        <v>7</v>
      </c>
      <c r="L21" t="n">
        <v>7</v>
      </c>
      <c r="M21" t="n">
        <v>3</v>
      </c>
      <c r="N21" t="n">
        <v>0</v>
      </c>
      <c r="O21" t="n">
        <v>0</v>
      </c>
      <c r="P21" t="n">
        <v>0</v>
      </c>
      <c r="Q21" t="n">
        <v>10</v>
      </c>
      <c r="R21" t="n">
        <v>3</v>
      </c>
      <c r="S21" t="n">
        <v>20</v>
      </c>
      <c r="T21" t="n">
        <v>134</v>
      </c>
      <c r="U21" t="n">
        <v>125</v>
      </c>
      <c r="V21" s="2" t="inlineStr">
        <is>
          <t>Blackticka
Garnlav
Knärot
Lunglav
Rosenticka
Rynkskinn
Skrovellav
Talltita
Tretåig hackspett
Ullticka
Grönkulla
Korallrot
Kransrams
Luddlav
Svavelriska
Trådticka
Underviol
Blåsippa
Spillkråka
Revlummer</t>
        </is>
      </c>
      <c r="W21">
        <f>HYPERLINK("https://klasma.github.io/Logging_2380/artfynd/A 45985-2025 artfynd.xlsx", "A 45985-2025")</f>
        <v/>
      </c>
      <c r="X21">
        <f>HYPERLINK("https://klasma.github.io/Logging_2380/kartor/A 45985-2025 karta.png", "A 45985-2025")</f>
        <v/>
      </c>
      <c r="Y21">
        <f>HYPERLINK("https://klasma.github.io/Logging_2380/kartor_geotiff/A 45985-2025 georefererad karta.tif", "A 45985-2025")</f>
        <v/>
      </c>
      <c r="Z21">
        <f>HYPERLINK("https://klasma.github.io/Logging_2380/knärot/A 45985-2025 karta knärot.png", "A 45985-2025")</f>
        <v/>
      </c>
      <c r="AA21">
        <f>HYPERLINK("https://klasma.github.io/Logging_2380/klagomål/A 45985-2025 FSC-klagomål.docx", "A 45985-2025")</f>
        <v/>
      </c>
      <c r="AB21">
        <f>HYPERLINK("https://klasma.github.io/Logging_2380/klagomålsmail/A 45985-2025 FSC-klagomål mail.docx", "A 45985-2025")</f>
        <v/>
      </c>
      <c r="AC21">
        <f>HYPERLINK("https://klasma.github.io/Logging_2380/tillsyn/A 45985-2025 tillsynsbegäran.docx", "A 45985-2025")</f>
        <v/>
      </c>
      <c r="AD21">
        <f>HYPERLINK("https://klasma.github.io/Logging_2380/tillsynsmail/A 45985-2025 tillsynsbegäran mail.docx", "A 45985-2025")</f>
        <v/>
      </c>
      <c r="AE21">
        <f>HYPERLINK("https://klasma.github.io/Logging_2380/fåglar/A 45985-2025 prioriterade fågelarter.docx", "A 45985-2025")</f>
        <v/>
      </c>
    </row>
    <row r="22" ht="15" customHeight="1">
      <c r="A22" t="inlineStr">
        <is>
          <t>A 17456-2026</t>
        </is>
      </c>
      <c r="B22" t="inlineStr">
        <is>
          <t>avverkningsanmälan</t>
        </is>
      </c>
      <c r="C22" t="inlineStr">
        <is>
          <t>Föryngringsavverkning</t>
        </is>
      </c>
      <c r="D22" s="1" t="n">
        <v>46119</v>
      </c>
      <c r="E22" s="1" t="n">
        <v>46312</v>
      </c>
      <c r="F22" t="inlineStr">
        <is>
          <t>JÄMTLANDS LÄN</t>
        </is>
      </c>
      <c r="G22" t="inlineStr">
        <is>
          <t>ÖSTERSUND</t>
        </is>
      </c>
      <c r="H22" t="inlineStr">
        <is>
          <t>Kommuner</t>
        </is>
      </c>
      <c r="I22" t="n">
        <v>0.4</v>
      </c>
      <c r="J22" t="n">
        <v>5</v>
      </c>
      <c r="K22" t="n">
        <v>6</v>
      </c>
      <c r="L22" t="n">
        <v>0</v>
      </c>
      <c r="M22" t="n">
        <v>1</v>
      </c>
      <c r="N22" t="n">
        <v>0</v>
      </c>
      <c r="O22" t="n">
        <v>0</v>
      </c>
      <c r="P22" t="n">
        <v>0</v>
      </c>
      <c r="Q22" t="n">
        <v>1</v>
      </c>
      <c r="R22" t="n">
        <v>1</v>
      </c>
      <c r="S22" t="n">
        <v>19</v>
      </c>
      <c r="T22" t="n">
        <v>94</v>
      </c>
      <c r="U22" t="n">
        <v>94</v>
      </c>
      <c r="V22" s="2" t="inlineStr">
        <is>
          <t>Silverblåvinge
Korallrot
Källmossor
Svart trolldruva
Tibast
Tvåblad
Underviol
Bergsslok
Blåsippa
Brudborste
Fjällskära
Humleblomster
Kattfot
Kransmossa
Kärrfibbla
Liljekonvalj
Ormbär
Brudsporre
Vanliga ängsnycklar</t>
        </is>
      </c>
      <c r="W22">
        <f>HYPERLINK("https://klasma.github.io/Logging_2380/artfynd/A 17456-2026 artfynd.xlsx", "A 17456-2026")</f>
        <v/>
      </c>
      <c r="X22">
        <f>HYPERLINK("https://klasma.github.io/Logging_2380/kartor/A 17456-2026 karta.png", "A 17456-2026")</f>
        <v/>
      </c>
      <c r="Y22">
        <f>HYPERLINK("https://klasma.github.io/Logging_2380/kartor_geotiff/A 17456-2026 georefererad karta.tif", "A 17456-2026")</f>
        <v/>
      </c>
      <c r="AA22">
        <f>HYPERLINK("https://klasma.github.io/Logging_2380/klagomål/A 17456-2026 FSC-klagomål.docx", "A 17456-2026")</f>
        <v/>
      </c>
      <c r="AB22">
        <f>HYPERLINK("https://klasma.github.io/Logging_2380/klagomålsmail/A 17456-2026 FSC-klagomål mail.docx", "A 17456-2026")</f>
        <v/>
      </c>
      <c r="AC22">
        <f>HYPERLINK("https://klasma.github.io/Logging_2380/tillsyn/A 17456-2026 tillsynsbegäran.docx", "A 17456-2026")</f>
        <v/>
      </c>
      <c r="AD22">
        <f>HYPERLINK("https://klasma.github.io/Logging_2380/tillsynsmail/A 17456-2026 tillsynsbegäran mail.docx", "A 17456-2026")</f>
        <v/>
      </c>
    </row>
    <row r="23" ht="15" customHeight="1">
      <c r="A23" t="inlineStr">
        <is>
          <t>A 28050-2026</t>
        </is>
      </c>
      <c r="B23" t="inlineStr">
        <is>
          <t>avverkningsanmälan</t>
        </is>
      </c>
      <c r="C23" t="inlineStr">
        <is>
          <t>Föryngringsavverkning</t>
        </is>
      </c>
      <c r="D23" s="1" t="n">
        <v>46195</v>
      </c>
      <c r="E23" s="1" t="n">
        <v>46312</v>
      </c>
      <c r="F23" t="inlineStr">
        <is>
          <t>JÄMTLANDS LÄN</t>
        </is>
      </c>
      <c r="G23" t="inlineStr">
        <is>
          <t>ÖSTERSUND</t>
        </is>
      </c>
      <c r="I23" t="n">
        <v>5.4</v>
      </c>
      <c r="J23" t="n">
        <v>8</v>
      </c>
      <c r="K23" t="n">
        <v>4</v>
      </c>
      <c r="L23" t="n">
        <v>1</v>
      </c>
      <c r="M23" t="n">
        <v>2</v>
      </c>
      <c r="N23" t="n">
        <v>0</v>
      </c>
      <c r="O23" t="n">
        <v>0</v>
      </c>
      <c r="P23" t="n">
        <v>0</v>
      </c>
      <c r="Q23" t="n">
        <v>3</v>
      </c>
      <c r="R23" t="n">
        <v>2</v>
      </c>
      <c r="S23" t="n">
        <v>19</v>
      </c>
      <c r="T23" t="n">
        <v>75</v>
      </c>
      <c r="U23" t="n">
        <v>75</v>
      </c>
      <c r="V23" s="2" t="inlineStr">
        <is>
          <t>Garnlav
Knärot
Tretåig hackspett
Grönkulla
Kransrams
Spindelblomster
Tvåblad
Blåsippa
Brudborste
Hultbräken
Kransmossa
Kärrfibbla
Liljekonvalj
Linnea
Nordisk stormhatt
Ormbär
Torta
Brudsporre
Fläcknycklar</t>
        </is>
      </c>
      <c r="W23">
        <f>HYPERLINK("https://klasma.github.io/Logging_2380/artfynd/A 28050-2026 artfynd.xlsx", "A 28050-2026")</f>
        <v/>
      </c>
      <c r="X23">
        <f>HYPERLINK("https://klasma.github.io/Logging_2380/kartor/A 28050-2026 karta.png", "A 28050-2026")</f>
        <v/>
      </c>
      <c r="Y23">
        <f>HYPERLINK("https://klasma.github.io/Logging_2380/kartor_geotiff/A 28050-2026 georefererad karta.tif", "A 28050-2026")</f>
        <v/>
      </c>
      <c r="Z23">
        <f>HYPERLINK("https://klasma.github.io/Logging_2380/knärot/A 28050-2026 karta knärot.png", "A 28050-2026")</f>
        <v/>
      </c>
      <c r="AA23">
        <f>HYPERLINK("https://klasma.github.io/Logging_2380/klagomål/A 28050-2026 FSC-klagomål.docx", "A 28050-2026")</f>
        <v/>
      </c>
      <c r="AB23">
        <f>HYPERLINK("https://klasma.github.io/Logging_2380/klagomålsmail/A 28050-2026 FSC-klagomål mail.docx", "A 28050-2026")</f>
        <v/>
      </c>
      <c r="AC23">
        <f>HYPERLINK("https://klasma.github.io/Logging_2380/tillsyn/A 28050-2026 tillsynsbegäran.docx", "A 28050-2026")</f>
        <v/>
      </c>
      <c r="AD23">
        <f>HYPERLINK("https://klasma.github.io/Logging_2380/tillsynsmail/A 28050-2026 tillsynsbegäran mail.docx", "A 28050-2026")</f>
        <v/>
      </c>
      <c r="AE23">
        <f>HYPERLINK("https://klasma.github.io/Logging_2380/fåglar/A 28050-2026 prioriterade fågelarter.docx", "A 28050-2026")</f>
        <v/>
      </c>
    </row>
    <row r="24" ht="15" customHeight="1">
      <c r="A24" t="inlineStr">
        <is>
          <t>A 59147-2025</t>
        </is>
      </c>
      <c r="B24" t="inlineStr">
        <is>
          <t>avverkningsanmälan</t>
        </is>
      </c>
      <c r="C24" t="inlineStr">
        <is>
          <t>Föryngringsavverkning</t>
        </is>
      </c>
      <c r="D24" s="1" t="n">
        <v>45988</v>
      </c>
      <c r="E24" s="1" t="n">
        <v>46312</v>
      </c>
      <c r="F24" t="inlineStr">
        <is>
          <t>JÄMTLANDS LÄN</t>
        </is>
      </c>
      <c r="G24" t="inlineStr">
        <is>
          <t>ÖSTERSUND</t>
        </is>
      </c>
      <c r="H24" t="inlineStr">
        <is>
          <t>Kommuner</t>
        </is>
      </c>
      <c r="I24" t="n">
        <v>5.7</v>
      </c>
      <c r="J24" t="n">
        <v>4</v>
      </c>
      <c r="K24" t="n">
        <v>4</v>
      </c>
      <c r="L24" t="n">
        <v>9</v>
      </c>
      <c r="M24" t="n">
        <v>4</v>
      </c>
      <c r="N24" t="n">
        <v>0</v>
      </c>
      <c r="O24" t="n">
        <v>0</v>
      </c>
      <c r="P24" t="n">
        <v>0</v>
      </c>
      <c r="Q24" t="n">
        <v>13</v>
      </c>
      <c r="R24" t="n">
        <v>4</v>
      </c>
      <c r="S24" t="n">
        <v>18</v>
      </c>
      <c r="T24" t="n">
        <v>70</v>
      </c>
      <c r="U24" t="n">
        <v>68</v>
      </c>
      <c r="V24" s="2" t="inlineStr">
        <is>
          <t>Garnlav
Gränsticka
Knärot
Sprickporing
Harticka
Liten svartspik
Lunglav
Rosenticka
Rynkskinn
Talltita
Tretåig hackspett
Ullticka
Vitgrynig nållav
Skinnlav
Stuplav
Trådticka
Vedticka
Järpe</t>
        </is>
      </c>
      <c r="W24">
        <f>HYPERLINK("https://klasma.github.io/Logging_2380/artfynd/A 59147-2025 artfynd.xlsx", "A 59147-2025")</f>
        <v/>
      </c>
      <c r="X24">
        <f>HYPERLINK("https://klasma.github.io/Logging_2380/kartor/A 59147-2025 karta.png", "A 59147-2025")</f>
        <v/>
      </c>
      <c r="Y24">
        <f>HYPERLINK("https://klasma.github.io/Logging_2380/kartor_geotiff/A 59147-2025 georefererad karta.tif", "A 59147-2025")</f>
        <v/>
      </c>
      <c r="Z24">
        <f>HYPERLINK("https://klasma.github.io/Logging_2380/knärot/A 59147-2025 karta knärot.png", "A 59147-2025")</f>
        <v/>
      </c>
      <c r="AA24">
        <f>HYPERLINK("https://klasma.github.io/Logging_2380/klagomål/A 59147-2025 FSC-klagomål.docx", "A 59147-2025")</f>
        <v/>
      </c>
      <c r="AB24">
        <f>HYPERLINK("https://klasma.github.io/Logging_2380/klagomålsmail/A 59147-2025 FSC-klagomål mail.docx", "A 59147-2025")</f>
        <v/>
      </c>
      <c r="AC24">
        <f>HYPERLINK("https://klasma.github.io/Logging_2380/tillsyn/A 59147-2025 tillsynsbegäran.docx", "A 59147-2025")</f>
        <v/>
      </c>
      <c r="AD24">
        <f>HYPERLINK("https://klasma.github.io/Logging_2380/tillsynsmail/A 59147-2025 tillsynsbegäran mail.docx", "A 59147-2025")</f>
        <v/>
      </c>
      <c r="AE24">
        <f>HYPERLINK("https://klasma.github.io/Logging_2380/fåglar/A 59147-2025 prioriterade fågelarter.docx", "A 59147-2025")</f>
        <v/>
      </c>
    </row>
    <row r="25" ht="15" customHeight="1">
      <c r="A25" t="inlineStr">
        <is>
          <t>A 38335-2023</t>
        </is>
      </c>
      <c r="B25" t="inlineStr">
        <is>
          <t>avverkningsanmälan</t>
        </is>
      </c>
      <c r="C25" t="inlineStr">
        <is>
          <t>Föryngringsavverkning</t>
        </is>
      </c>
      <c r="D25" s="1" t="n">
        <v>45161</v>
      </c>
      <c r="E25" s="1" t="n">
        <v>46312</v>
      </c>
      <c r="F25" t="inlineStr">
        <is>
          <t>JÄMTLANDS LÄN</t>
        </is>
      </c>
      <c r="G25" t="inlineStr">
        <is>
          <t>ÖSTERSUND</t>
        </is>
      </c>
      <c r="I25" t="n">
        <v>15.1</v>
      </c>
      <c r="J25" t="n">
        <v>5</v>
      </c>
      <c r="K25" t="n">
        <v>5</v>
      </c>
      <c r="L25" t="n">
        <v>9</v>
      </c>
      <c r="M25" t="n">
        <v>2</v>
      </c>
      <c r="N25" t="n">
        <v>0</v>
      </c>
      <c r="O25" t="n">
        <v>0</v>
      </c>
      <c r="P25" t="n">
        <v>0</v>
      </c>
      <c r="Q25" t="n">
        <v>11</v>
      </c>
      <c r="R25" t="n">
        <v>2</v>
      </c>
      <c r="S25" t="n">
        <v>18</v>
      </c>
      <c r="T25" t="n">
        <v>25</v>
      </c>
      <c r="U25" t="n">
        <v>24</v>
      </c>
      <c r="V25" s="2" t="inlineStr">
        <is>
          <t>Garnlav
Gränsticka
Gammelgransskål
Harticka
Lavskrika
Rosenticka
Rynkskinn
Talltita
Tretåig hackspett
Ullticka
Vitgrynig nållav
Barkkornlav
Blodticka
Sotriska
Trådticka
Vedticka
Tallbit
Orre</t>
        </is>
      </c>
      <c r="W25">
        <f>HYPERLINK("https://klasma.github.io/Logging_2380/artfynd/A 38335-2023 artfynd.xlsx", "A 38335-2023")</f>
        <v/>
      </c>
      <c r="X25">
        <f>HYPERLINK("https://klasma.github.io/Logging_2380/kartor/A 38335-2023 karta.png", "A 38335-2023")</f>
        <v/>
      </c>
      <c r="Y25">
        <f>HYPERLINK("https://klasma.github.io/Logging_2380/kartor_geotiff/A 38335-2023 georefererad karta.tif", "A 38335-2023")</f>
        <v/>
      </c>
      <c r="AA25">
        <f>HYPERLINK("https://klasma.github.io/Logging_2380/klagomål/A 38335-2023 FSC-klagomål.docx", "A 38335-2023")</f>
        <v/>
      </c>
      <c r="AB25">
        <f>HYPERLINK("https://klasma.github.io/Logging_2380/klagomålsmail/A 38335-2023 FSC-klagomål mail.docx", "A 38335-2023")</f>
        <v/>
      </c>
      <c r="AC25">
        <f>HYPERLINK("https://klasma.github.io/Logging_2380/tillsyn/A 38335-2023 tillsynsbegäran.docx", "A 38335-2023")</f>
        <v/>
      </c>
      <c r="AD25">
        <f>HYPERLINK("https://klasma.github.io/Logging_2380/tillsynsmail/A 38335-2023 tillsynsbegäran mail.docx", "A 38335-2023")</f>
        <v/>
      </c>
      <c r="AE25">
        <f>HYPERLINK("https://klasma.github.io/Logging_2380/fåglar/A 38335-2023 prioriterade fågelarter.docx", "A 38335-2023")</f>
        <v/>
      </c>
    </row>
    <row r="26" ht="15" customHeight="1">
      <c r="A26" t="inlineStr">
        <is>
          <t>A 56647-2025</t>
        </is>
      </c>
      <c r="B26" t="inlineStr">
        <is>
          <t>avverkningsanmälan</t>
        </is>
      </c>
      <c r="C26" t="inlineStr">
        <is>
          <t>Föryngringsavverkning</t>
        </is>
      </c>
      <c r="D26" s="1" t="n">
        <v>45975</v>
      </c>
      <c r="E26" s="1" t="n">
        <v>46312</v>
      </c>
      <c r="F26" t="inlineStr">
        <is>
          <t>JÄMTLANDS LÄN</t>
        </is>
      </c>
      <c r="G26" t="inlineStr">
        <is>
          <t>ÖSTERSUND</t>
        </is>
      </c>
      <c r="I26" t="n">
        <v>12.1</v>
      </c>
      <c r="J26" t="n">
        <v>9</v>
      </c>
      <c r="K26" t="n">
        <v>3</v>
      </c>
      <c r="L26" t="n">
        <v>3</v>
      </c>
      <c r="M26" t="n">
        <v>2</v>
      </c>
      <c r="N26" t="n">
        <v>0</v>
      </c>
      <c r="O26" t="n">
        <v>0</v>
      </c>
      <c r="P26" t="n">
        <v>0</v>
      </c>
      <c r="Q26" t="n">
        <v>5</v>
      </c>
      <c r="R26" t="n">
        <v>2</v>
      </c>
      <c r="S26" t="n">
        <v>18</v>
      </c>
      <c r="T26" t="n">
        <v>106</v>
      </c>
      <c r="U26" t="n">
        <v>103</v>
      </c>
      <c r="V26" s="2" t="inlineStr">
        <is>
          <t>Garnlav
Knärot
Rynkskinn
Rödvingetrast
Tretåig hackspett
Kransrams
Spindelblomster
Stuplav
Blåsippa
Ekorrbär
Kransmossa
Linnea
Nordisk stormhatt
Ormbär
Grönsiska
Kungsfågel
Fläcknycklar
Revlummer</t>
        </is>
      </c>
      <c r="W26">
        <f>HYPERLINK("https://klasma.github.io/Logging_2380/artfynd/A 56647-2025 artfynd.xlsx", "A 56647-2025")</f>
        <v/>
      </c>
      <c r="X26">
        <f>HYPERLINK("https://klasma.github.io/Logging_2380/kartor/A 56647-2025 karta.png", "A 56647-2025")</f>
        <v/>
      </c>
      <c r="Y26">
        <f>HYPERLINK("https://klasma.github.io/Logging_2380/kartor_geotiff/A 56647-2025 georefererad karta.tif", "A 56647-2025")</f>
        <v/>
      </c>
      <c r="Z26">
        <f>HYPERLINK("https://klasma.github.io/Logging_2380/knärot/A 56647-2025 karta knärot.png", "A 56647-2025")</f>
        <v/>
      </c>
      <c r="AA26">
        <f>HYPERLINK("https://klasma.github.io/Logging_2380/klagomål/A 56647-2025 FSC-klagomål.docx", "A 56647-2025")</f>
        <v/>
      </c>
      <c r="AB26">
        <f>HYPERLINK("https://klasma.github.io/Logging_2380/klagomålsmail/A 56647-2025 FSC-klagomål mail.docx", "A 56647-2025")</f>
        <v/>
      </c>
      <c r="AC26">
        <f>HYPERLINK("https://klasma.github.io/Logging_2380/tillsyn/A 56647-2025 tillsynsbegäran.docx", "A 56647-2025")</f>
        <v/>
      </c>
      <c r="AD26">
        <f>HYPERLINK("https://klasma.github.io/Logging_2380/tillsynsmail/A 56647-2025 tillsynsbegäran mail.docx", "A 56647-2025")</f>
        <v/>
      </c>
      <c r="AE26">
        <f>HYPERLINK("https://klasma.github.io/Logging_2380/fåglar/A 56647-2025 prioriterade fågelarter.docx", "A 56647-2025")</f>
        <v/>
      </c>
    </row>
    <row r="27" ht="15" customHeight="1">
      <c r="A27" t="inlineStr">
        <is>
          <t>S 2432-2026</t>
        </is>
      </c>
      <c r="B27" t="inlineStr">
        <is>
          <t>samrådsanmälan</t>
        </is>
      </c>
      <c r="C27" t="inlineStr">
        <is>
          <t>Annan skogsbruksåtgärd</t>
        </is>
      </c>
      <c r="D27" s="1" t="n">
        <v>46280</v>
      </c>
      <c r="E27" s="1" t="n">
        <v>46312</v>
      </c>
      <c r="F27" t="inlineStr">
        <is>
          <t>JÄMTLANDS LÄN</t>
        </is>
      </c>
      <c r="G27" t="inlineStr">
        <is>
          <t>ÖSTERSUND</t>
        </is>
      </c>
      <c r="I27" t="n">
        <v>28.5</v>
      </c>
      <c r="J27" t="n">
        <v>6</v>
      </c>
      <c r="K27" t="n">
        <v>5</v>
      </c>
      <c r="L27" t="n">
        <v>8</v>
      </c>
      <c r="M27" t="n">
        <v>2</v>
      </c>
      <c r="N27" t="n">
        <v>0</v>
      </c>
      <c r="O27" t="n">
        <v>0</v>
      </c>
      <c r="P27" t="n">
        <v>0</v>
      </c>
      <c r="Q27" t="n">
        <v>10</v>
      </c>
      <c r="R27" t="n">
        <v>2</v>
      </c>
      <c r="S27" t="n">
        <v>18</v>
      </c>
      <c r="T27" t="n">
        <v>98</v>
      </c>
      <c r="U27" t="n">
        <v>93</v>
      </c>
      <c r="V27" s="2" t="inlineStr">
        <is>
          <t>Garnlav
Knärot
Fjällig taggsvamp s.str.
Harticka
Lavskrika
Lunglav
Skrovellav
Tretåig hackspett
Ullticka
Vårärt
Kransrams
Svart trolldruva
Svavelriska
Trådticka
Tvåblad
Blåsippa
Brudborste
Järpe</t>
        </is>
      </c>
      <c r="W27">
        <f>HYPERLINK("https://klasma.github.io/Logging_2380/artfynd/S 2432-2026 artfynd.xlsx", "S 2432-2026")</f>
        <v/>
      </c>
      <c r="X27">
        <f>HYPERLINK("https://klasma.github.io/Logging_2380/kartor/S 2432-2026 karta.png", "S 2432-2026")</f>
        <v/>
      </c>
      <c r="Y27">
        <f>HYPERLINK("https://klasma.github.io/Logging_2380/kartor_geotiff/S 2432-2026 georefererad karta.tif", "S 2432-2026")</f>
        <v/>
      </c>
      <c r="Z27">
        <f>HYPERLINK("https://klasma.github.io/Logging_2380/knärot/S 2432-2026 karta knärot.png", "S 2432-2026")</f>
        <v/>
      </c>
      <c r="AA27">
        <f>HYPERLINK("https://klasma.github.io/Logging_2380/klagomål/S 2432-2026 FSC-klagomål.docx", "S 2432-2026")</f>
        <v/>
      </c>
      <c r="AB27">
        <f>HYPERLINK("https://klasma.github.io/Logging_2380/klagomålsmail/S 2432-2026 FSC-klagomål mail.docx", "S 2432-2026")</f>
        <v/>
      </c>
      <c r="AC27">
        <f>HYPERLINK("https://klasma.github.io/Logging_2380/tillsyn/S 2432-2026 tillsynsbegäran.docx", "S 2432-2026")</f>
        <v/>
      </c>
      <c r="AD27">
        <f>HYPERLINK("https://klasma.github.io/Logging_2380/tillsynsmail/S 2432-2026 tillsynsbegäran mail.docx", "S 2432-2026")</f>
        <v/>
      </c>
      <c r="AE27">
        <f>HYPERLINK("https://klasma.github.io/Logging_2380/fåglar/S 2432-2026 prioriterade fågelarter.docx", "S 2432-2026")</f>
        <v/>
      </c>
    </row>
    <row r="28" ht="15" customHeight="1">
      <c r="A28" t="inlineStr">
        <is>
          <t>A 18942-2026</t>
        </is>
      </c>
      <c r="B28" t="inlineStr">
        <is>
          <t>avverkningsanmälan</t>
        </is>
      </c>
      <c r="C28" t="inlineStr">
        <is>
          <t>Föryngringsavverkning</t>
        </is>
      </c>
      <c r="D28" s="1" t="n">
        <v>46129</v>
      </c>
      <c r="E28" s="1" t="n">
        <v>46312</v>
      </c>
      <c r="F28" t="inlineStr">
        <is>
          <t>JÄMTLANDS LÄN</t>
        </is>
      </c>
      <c r="G28" t="inlineStr">
        <is>
          <t>ÖSTERSUND</t>
        </is>
      </c>
      <c r="H28" t="inlineStr">
        <is>
          <t>SCA</t>
        </is>
      </c>
      <c r="I28" t="n">
        <v>2.1</v>
      </c>
      <c r="J28" t="n">
        <v>1</v>
      </c>
      <c r="K28" t="n">
        <v>7</v>
      </c>
      <c r="L28" t="n">
        <v>9</v>
      </c>
      <c r="M28" t="n">
        <v>0</v>
      </c>
      <c r="N28" t="n">
        <v>0</v>
      </c>
      <c r="O28" t="n">
        <v>0</v>
      </c>
      <c r="P28" t="n">
        <v>0</v>
      </c>
      <c r="Q28" t="n">
        <v>9</v>
      </c>
      <c r="R28" t="n">
        <v>0</v>
      </c>
      <c r="S28" t="n">
        <v>16</v>
      </c>
      <c r="T28" t="n">
        <v>16</v>
      </c>
      <c r="U28" t="n">
        <v>0</v>
      </c>
      <c r="V28" s="2" t="inlineStr">
        <is>
          <t>Blågrå svartspik
Dvärgbägarlav
Kolflarnlav
Lunglav
Mörk kolflarnlav
Nordtagging
Talltagel
Vedflamlav
Vedskivlav
Bårdlav
Gullgröppa
Gytterlav
Korallrot
Luddlav
Nästlav
Ögonpyrola</t>
        </is>
      </c>
      <c r="W28">
        <f>HYPERLINK("https://klasma.github.io/Logging_2380/artfynd/A 18942-2026 artfynd.xlsx", "A 18942-2026")</f>
        <v/>
      </c>
      <c r="X28">
        <f>HYPERLINK("https://klasma.github.io/Logging_2380/kartor/A 18942-2026 karta.png", "A 18942-2026")</f>
        <v/>
      </c>
      <c r="Y28">
        <f>HYPERLINK("https://klasma.github.io/Logging_2380/kartor_geotiff/A 18942-2026 georefererad karta.tif", "A 18942-2026")</f>
        <v/>
      </c>
      <c r="AA28">
        <f>HYPERLINK("https://klasma.github.io/Logging_2380/klagomål/A 18942-2026 FSC-klagomål.docx", "A 18942-2026")</f>
        <v/>
      </c>
      <c r="AB28">
        <f>HYPERLINK("https://klasma.github.io/Logging_2380/klagomålsmail/A 18942-2026 FSC-klagomål mail.docx", "A 18942-2026")</f>
        <v/>
      </c>
      <c r="AC28">
        <f>HYPERLINK("https://klasma.github.io/Logging_2380/tillsyn/A 18942-2026 tillsynsbegäran.docx", "A 18942-2026")</f>
        <v/>
      </c>
      <c r="AD28">
        <f>HYPERLINK("https://klasma.github.io/Logging_2380/tillsynsmail/A 18942-2026 tillsynsbegäran mail.docx", "A 18942-2026")</f>
        <v/>
      </c>
    </row>
    <row r="29" ht="15" customHeight="1">
      <c r="A29" t="inlineStr">
        <is>
          <t>A 2979-2023</t>
        </is>
      </c>
      <c r="B29" t="inlineStr">
        <is>
          <t>avverkningsanmälan</t>
        </is>
      </c>
      <c r="C29" t="inlineStr">
        <is>
          <t>Föryngringsavverkning</t>
        </is>
      </c>
      <c r="D29" s="1" t="n">
        <v>44945</v>
      </c>
      <c r="E29" s="1" t="n">
        <v>46312</v>
      </c>
      <c r="F29" t="inlineStr">
        <is>
          <t>JÄMTLANDS LÄN</t>
        </is>
      </c>
      <c r="G29" t="inlineStr">
        <is>
          <t>ÖSTERSUND</t>
        </is>
      </c>
      <c r="I29" t="n">
        <v>12.5</v>
      </c>
      <c r="J29" t="n">
        <v>11</v>
      </c>
      <c r="K29" t="n">
        <v>3</v>
      </c>
      <c r="L29" t="n">
        <v>5</v>
      </c>
      <c r="M29" t="n">
        <v>2</v>
      </c>
      <c r="N29" t="n">
        <v>0</v>
      </c>
      <c r="O29" t="n">
        <v>0</v>
      </c>
      <c r="P29" t="n">
        <v>0</v>
      </c>
      <c r="Q29" t="n">
        <v>7</v>
      </c>
      <c r="R29" t="n">
        <v>2</v>
      </c>
      <c r="S29" t="n">
        <v>16</v>
      </c>
      <c r="T29" t="n">
        <v>87</v>
      </c>
      <c r="U29" t="n">
        <v>87</v>
      </c>
      <c r="V29" s="2" t="inlineStr">
        <is>
          <t>Garnlav
Knärot
Lunglav
Skogsfru
Talltita
Tretåig hackspett
Ullticka
Luddlav
Spindelblomster
Stuplav
Mattlummer
Spillkråka
Tjäder
Kungsfågel
Gullviva
Revlummer</t>
        </is>
      </c>
      <c r="W29">
        <f>HYPERLINK("https://klasma.github.io/Logging_2380/artfynd/A 2979-2023 artfynd.xlsx", "A 2979-2023")</f>
        <v/>
      </c>
      <c r="X29">
        <f>HYPERLINK("https://klasma.github.io/Logging_2380/kartor/A 2979-2023 karta.png", "A 2979-2023")</f>
        <v/>
      </c>
      <c r="Y29">
        <f>HYPERLINK("https://klasma.github.io/Logging_2380/kartor_geotiff/A 2979-2023 georefererad karta.tif", "A 2979-2023")</f>
        <v/>
      </c>
      <c r="Z29">
        <f>HYPERLINK("https://klasma.github.io/Logging_2380/knärot/A 2979-2023 karta knärot.png", "A 2979-2023")</f>
        <v/>
      </c>
      <c r="AA29">
        <f>HYPERLINK("https://klasma.github.io/Logging_2380/klagomål/A 2979-2023 FSC-klagomål.docx", "A 2979-2023")</f>
        <v/>
      </c>
      <c r="AB29">
        <f>HYPERLINK("https://klasma.github.io/Logging_2380/klagomålsmail/A 2979-2023 FSC-klagomål mail.docx", "A 2979-2023")</f>
        <v/>
      </c>
      <c r="AC29">
        <f>HYPERLINK("https://klasma.github.io/Logging_2380/tillsyn/A 2979-2023 tillsynsbegäran.docx", "A 2979-2023")</f>
        <v/>
      </c>
      <c r="AD29">
        <f>HYPERLINK("https://klasma.github.io/Logging_2380/tillsynsmail/A 2979-2023 tillsynsbegäran mail.docx", "A 2979-2023")</f>
        <v/>
      </c>
      <c r="AE29">
        <f>HYPERLINK("https://klasma.github.io/Logging_2380/fåglar/A 2979-2023 prioriterade fågelarter.docx", "A 2979-2023")</f>
        <v/>
      </c>
    </row>
    <row r="30" ht="15" customHeight="1">
      <c r="A30" t="inlineStr">
        <is>
          <t>A 15382-2025</t>
        </is>
      </c>
      <c r="B30" t="inlineStr">
        <is>
          <t>avverkningsanmälan</t>
        </is>
      </c>
      <c r="C30" t="inlineStr">
        <is>
          <t>Föryngringsavverkning</t>
        </is>
      </c>
      <c r="D30" s="1" t="n">
        <v>45747</v>
      </c>
      <c r="E30" s="1" t="n">
        <v>46312</v>
      </c>
      <c r="F30" t="inlineStr">
        <is>
          <t>JÄMTLANDS LÄN</t>
        </is>
      </c>
      <c r="G30" t="inlineStr">
        <is>
          <t>ÖSTERSUND</t>
        </is>
      </c>
      <c r="I30" t="n">
        <v>11.4</v>
      </c>
      <c r="J30" t="n">
        <v>5</v>
      </c>
      <c r="K30" t="n">
        <v>2</v>
      </c>
      <c r="L30" t="n">
        <v>8</v>
      </c>
      <c r="M30" t="n">
        <v>3</v>
      </c>
      <c r="N30" t="n">
        <v>0</v>
      </c>
      <c r="O30" t="n">
        <v>0</v>
      </c>
      <c r="P30" t="n">
        <v>0</v>
      </c>
      <c r="Q30" t="n">
        <v>11</v>
      </c>
      <c r="R30" t="n">
        <v>3</v>
      </c>
      <c r="S30" t="n">
        <v>16</v>
      </c>
      <c r="T30" t="n">
        <v>85</v>
      </c>
      <c r="U30" t="n">
        <v>85</v>
      </c>
      <c r="V30" s="2" t="inlineStr">
        <is>
          <t>Garnlav
Gränsticka
Knärot
Gammelgransskål
Harticka
Rosenticka
Stjärntagging
Tretåig hackspett
Ullticka
Vedtrappmossa
Vitgrynig nållav
Skinnlav
Vedticka
Blåsippa
Järpe
Kungsfågel</t>
        </is>
      </c>
      <c r="W30">
        <f>HYPERLINK("https://klasma.github.io/Logging_2380/artfynd/A 15382-2025 artfynd.xlsx", "A 15382-2025")</f>
        <v/>
      </c>
      <c r="X30">
        <f>HYPERLINK("https://klasma.github.io/Logging_2380/kartor/A 15382-2025 karta.png", "A 15382-2025")</f>
        <v/>
      </c>
      <c r="Y30">
        <f>HYPERLINK("https://klasma.github.io/Logging_2380/kartor_geotiff/A 15382-2025 georefererad karta.tif", "A 15382-2025")</f>
        <v/>
      </c>
      <c r="Z30">
        <f>HYPERLINK("https://klasma.github.io/Logging_2380/knärot/A 15382-2025 karta knärot.png", "A 15382-2025")</f>
        <v/>
      </c>
      <c r="AA30">
        <f>HYPERLINK("https://klasma.github.io/Logging_2380/klagomål/A 15382-2025 FSC-klagomål.docx", "A 15382-2025")</f>
        <v/>
      </c>
      <c r="AB30">
        <f>HYPERLINK("https://klasma.github.io/Logging_2380/klagomålsmail/A 15382-2025 FSC-klagomål mail.docx", "A 15382-2025")</f>
        <v/>
      </c>
      <c r="AC30">
        <f>HYPERLINK("https://klasma.github.io/Logging_2380/tillsyn/A 15382-2025 tillsynsbegäran.docx", "A 15382-2025")</f>
        <v/>
      </c>
      <c r="AD30">
        <f>HYPERLINK("https://klasma.github.io/Logging_2380/tillsynsmail/A 15382-2025 tillsynsbegäran mail.docx", "A 15382-2025")</f>
        <v/>
      </c>
      <c r="AE30">
        <f>HYPERLINK("https://klasma.github.io/Logging_2380/fåglar/A 15382-2025 prioriterade fågelarter.docx", "A 15382-2025")</f>
        <v/>
      </c>
    </row>
    <row r="31" ht="15" customHeight="1">
      <c r="A31" t="inlineStr">
        <is>
          <t>S 902-2024</t>
        </is>
      </c>
      <c r="B31" t="inlineStr">
        <is>
          <t>samrådsanmälan</t>
        </is>
      </c>
      <c r="C31" t="inlineStr">
        <is>
          <t>Skogsgödsling</t>
        </is>
      </c>
      <c r="D31" s="1" t="n">
        <v>45376</v>
      </c>
      <c r="E31" s="1" t="n">
        <v>46312</v>
      </c>
      <c r="F31" t="inlineStr">
        <is>
          <t>JÄMTLANDS LÄN</t>
        </is>
      </c>
      <c r="G31" t="inlineStr">
        <is>
          <t>ÖSTERSUND</t>
        </is>
      </c>
      <c r="H31" t="inlineStr">
        <is>
          <t>Övriga Aktiebolag</t>
        </is>
      </c>
      <c r="I31" t="n">
        <v>212.1</v>
      </c>
      <c r="J31" t="n">
        <v>6</v>
      </c>
      <c r="K31" t="n">
        <v>4</v>
      </c>
      <c r="L31" t="n">
        <v>4</v>
      </c>
      <c r="M31" t="n">
        <v>6</v>
      </c>
      <c r="N31" t="n">
        <v>0</v>
      </c>
      <c r="O31" t="n">
        <v>0</v>
      </c>
      <c r="P31" t="n">
        <v>0</v>
      </c>
      <c r="Q31" t="n">
        <v>10</v>
      </c>
      <c r="R31" t="n">
        <v>6</v>
      </c>
      <c r="S31" t="n">
        <v>16</v>
      </c>
      <c r="T31" t="n">
        <v>25</v>
      </c>
      <c r="U31" t="n">
        <v>8</v>
      </c>
      <c r="V31" s="2" t="inlineStr">
        <is>
          <t>Bredgentiana
Fältgentiana
Garnlav
Grålila vaxing
Knärot
Violett guldvinge
Flattoppad klubbsvamp
Slåtterfibbla
Ullticka
Äggvaxskivling
Gulvaxing
Plattlummer
Slemvaxing
Stuplav
Kungsfågel
Brudsporre</t>
        </is>
      </c>
      <c r="W31">
        <f>HYPERLINK("https://klasma.github.io/Logging_2380/artfynd/S 902-2024 artfynd.xlsx", "S 902-2024")</f>
        <v/>
      </c>
      <c r="X31">
        <f>HYPERLINK("https://klasma.github.io/Logging_2380/kartor/S 902-2024 karta.png", "S 902-2024")</f>
        <v/>
      </c>
      <c r="Y31">
        <f>HYPERLINK("https://klasma.github.io/Logging_2380/kartor_geotiff/S 902-2024 georefererad karta.tif", "S 902-2024")</f>
        <v/>
      </c>
      <c r="Z31">
        <f>HYPERLINK("https://klasma.github.io/Logging_2380/knärot/S 902-2024 karta knärot.png", "S 902-2024")</f>
        <v/>
      </c>
      <c r="AA31">
        <f>HYPERLINK("https://klasma.github.io/Logging_2380/klagomål/S 902-2024 FSC-klagomål.docx", "S 902-2024")</f>
        <v/>
      </c>
      <c r="AB31">
        <f>HYPERLINK("https://klasma.github.io/Logging_2380/klagomålsmail/S 902-2024 FSC-klagomål mail.docx", "S 902-2024")</f>
        <v/>
      </c>
      <c r="AC31">
        <f>HYPERLINK("https://klasma.github.io/Logging_2380/tillsyn/S 902-2024 tillsynsbegäran.docx", "S 902-2024")</f>
        <v/>
      </c>
      <c r="AD31">
        <f>HYPERLINK("https://klasma.github.io/Logging_2380/tillsynsmail/S 902-2024 tillsynsbegäran mail.docx", "S 902-2024")</f>
        <v/>
      </c>
    </row>
    <row r="32" ht="15" customHeight="1">
      <c r="A32" t="inlineStr">
        <is>
          <t>A 7457-2023</t>
        </is>
      </c>
      <c r="B32" t="inlineStr">
        <is>
          <t>avverkningsanmälan</t>
        </is>
      </c>
      <c r="C32" t="inlineStr">
        <is>
          <t>Föryngringsavverkning</t>
        </is>
      </c>
      <c r="D32" s="1" t="n">
        <v>44971</v>
      </c>
      <c r="E32" s="1" t="n">
        <v>46312</v>
      </c>
      <c r="F32" t="inlineStr">
        <is>
          <t>JÄMTLANDS LÄN</t>
        </is>
      </c>
      <c r="G32" t="inlineStr">
        <is>
          <t>ÖSTERSUND</t>
        </is>
      </c>
      <c r="H32" t="inlineStr">
        <is>
          <t>Kommuner</t>
        </is>
      </c>
      <c r="I32" t="n">
        <v>2.5</v>
      </c>
      <c r="J32" t="n">
        <v>2</v>
      </c>
      <c r="K32" t="n">
        <v>3</v>
      </c>
      <c r="L32" t="n">
        <v>8</v>
      </c>
      <c r="M32" t="n">
        <v>3</v>
      </c>
      <c r="N32" t="n">
        <v>1</v>
      </c>
      <c r="O32" t="n">
        <v>0</v>
      </c>
      <c r="P32" t="n">
        <v>0</v>
      </c>
      <c r="Q32" t="n">
        <v>12</v>
      </c>
      <c r="R32" t="n">
        <v>4</v>
      </c>
      <c r="S32" t="n">
        <v>15</v>
      </c>
      <c r="T32" t="n">
        <v>28</v>
      </c>
      <c r="U32" t="n">
        <v>28</v>
      </c>
      <c r="V32" s="2" t="inlineStr">
        <is>
          <t>Ruttaggsvamp
Fjällfotad musseron
Frygisk spindling
Garnlav
Grantaggsvamp
Rödbrun klubbdyna
Rödfläckig zontaggsvamp
Skarp dropptaggsvamp
Tallriska
Talltita
Ullticka
Äggvaxskivling
Diskvaxskivling
Guckusko
Svavelriska</t>
        </is>
      </c>
      <c r="W32">
        <f>HYPERLINK("https://klasma.github.io/Logging_2380/artfynd/A 7457-2023 artfynd.xlsx", "A 7457-2023")</f>
        <v/>
      </c>
      <c r="X32">
        <f>HYPERLINK("https://klasma.github.io/Logging_2380/kartor/A 7457-2023 karta.png", "A 7457-2023")</f>
        <v/>
      </c>
      <c r="Y32">
        <f>HYPERLINK("https://klasma.github.io/Logging_2380/kartor_geotiff/A 7457-2023 georefererad karta.tif", "A 7457-2023")</f>
        <v/>
      </c>
      <c r="AA32">
        <f>HYPERLINK("https://klasma.github.io/Logging_2380/klagomål/A 7457-2023 FSC-klagomål.docx", "A 7457-2023")</f>
        <v/>
      </c>
      <c r="AB32">
        <f>HYPERLINK("https://klasma.github.io/Logging_2380/klagomålsmail/A 7457-2023 FSC-klagomål mail.docx", "A 7457-2023")</f>
        <v/>
      </c>
      <c r="AC32">
        <f>HYPERLINK("https://klasma.github.io/Logging_2380/tillsyn/A 7457-2023 tillsynsbegäran.docx", "A 7457-2023")</f>
        <v/>
      </c>
      <c r="AD32">
        <f>HYPERLINK("https://klasma.github.io/Logging_2380/tillsynsmail/A 7457-2023 tillsynsbegäran mail.docx", "A 7457-2023")</f>
        <v/>
      </c>
      <c r="AE32">
        <f>HYPERLINK("https://klasma.github.io/Logging_2380/fåglar/A 7457-2023 prioriterade fågelarter.docx", "A 7457-2023")</f>
        <v/>
      </c>
    </row>
    <row r="33" ht="15" customHeight="1">
      <c r="A33" t="inlineStr">
        <is>
          <t>A 17248-2026</t>
        </is>
      </c>
      <c r="B33" t="inlineStr">
        <is>
          <t>avverkningsanmälan</t>
        </is>
      </c>
      <c r="C33" t="inlineStr">
        <is>
          <t>Föryngringsavverkning</t>
        </is>
      </c>
      <c r="D33" s="1" t="n">
        <v>46119</v>
      </c>
      <c r="E33" s="1" t="n">
        <v>46312</v>
      </c>
      <c r="F33" t="inlineStr">
        <is>
          <t>JÄMTLANDS LÄN</t>
        </is>
      </c>
      <c r="G33" t="inlineStr">
        <is>
          <t>ÖSTERSUND</t>
        </is>
      </c>
      <c r="I33" t="n">
        <v>14.4</v>
      </c>
      <c r="J33" t="n">
        <v>6</v>
      </c>
      <c r="K33" t="n">
        <v>3</v>
      </c>
      <c r="L33" t="n">
        <v>7</v>
      </c>
      <c r="M33" t="n">
        <v>2</v>
      </c>
      <c r="N33" t="n">
        <v>0</v>
      </c>
      <c r="O33" t="n">
        <v>0</v>
      </c>
      <c r="P33" t="n">
        <v>0</v>
      </c>
      <c r="Q33" t="n">
        <v>9</v>
      </c>
      <c r="R33" t="n">
        <v>2</v>
      </c>
      <c r="S33" t="n">
        <v>15</v>
      </c>
      <c r="T33" t="n">
        <v>153</v>
      </c>
      <c r="U33" t="n">
        <v>153</v>
      </c>
      <c r="V33" s="2" t="inlineStr">
        <is>
          <t>Garnlav
Knärot
Doftskinn
Gammelgransskål
Lavskrika
Lunglav
Skrovellav
Talltita
Tretåig hackspett
Bårdlav
Luddlav
Stuplav
Linnea
Tofsmes
Revlummer</t>
        </is>
      </c>
      <c r="W33">
        <f>HYPERLINK("https://klasma.github.io/Logging_2380/artfynd/A 17248-2026 artfynd.xlsx", "A 17248-2026")</f>
        <v/>
      </c>
      <c r="X33">
        <f>HYPERLINK("https://klasma.github.io/Logging_2380/kartor/A 17248-2026 karta.png", "A 17248-2026")</f>
        <v/>
      </c>
      <c r="Y33">
        <f>HYPERLINK("https://klasma.github.io/Logging_2380/kartor_geotiff/A 17248-2026 georefererad karta.tif", "A 17248-2026")</f>
        <v/>
      </c>
      <c r="Z33">
        <f>HYPERLINK("https://klasma.github.io/Logging_2380/knärot/A 17248-2026 karta knärot.png", "A 17248-2026")</f>
        <v/>
      </c>
      <c r="AA33">
        <f>HYPERLINK("https://klasma.github.io/Logging_2380/klagomål/A 17248-2026 FSC-klagomål.docx", "A 17248-2026")</f>
        <v/>
      </c>
      <c r="AB33">
        <f>HYPERLINK("https://klasma.github.io/Logging_2380/klagomålsmail/A 17248-2026 FSC-klagomål mail.docx", "A 17248-2026")</f>
        <v/>
      </c>
      <c r="AC33">
        <f>HYPERLINK("https://klasma.github.io/Logging_2380/tillsyn/A 17248-2026 tillsynsbegäran.docx", "A 17248-2026")</f>
        <v/>
      </c>
      <c r="AD33">
        <f>HYPERLINK("https://klasma.github.io/Logging_2380/tillsynsmail/A 17248-2026 tillsynsbegäran mail.docx", "A 17248-2026")</f>
        <v/>
      </c>
      <c r="AE33">
        <f>HYPERLINK("https://klasma.github.io/Logging_2380/fåglar/A 17248-2026 prioriterade fågelarter.docx", "A 17248-2026")</f>
        <v/>
      </c>
    </row>
    <row r="34" ht="15" customHeight="1">
      <c r="A34" t="inlineStr">
        <is>
          <t>A 39928-2022</t>
        </is>
      </c>
      <c r="B34" t="inlineStr">
        <is>
          <t>avverkningsanmälan</t>
        </is>
      </c>
      <c r="C34" t="inlineStr">
        <is>
          <t>Föryngringsavverkning</t>
        </is>
      </c>
      <c r="D34" s="1" t="n">
        <v>44819</v>
      </c>
      <c r="E34" s="1" t="n">
        <v>46312</v>
      </c>
      <c r="F34" t="inlineStr">
        <is>
          <t>JÄMTLANDS LÄN</t>
        </is>
      </c>
      <c r="G34" t="inlineStr">
        <is>
          <t>ÖSTERSUND</t>
        </is>
      </c>
      <c r="H34" t="inlineStr">
        <is>
          <t>SCA</t>
        </is>
      </c>
      <c r="I34" t="n">
        <v>8.9</v>
      </c>
      <c r="J34" t="n">
        <v>3</v>
      </c>
      <c r="K34" t="n">
        <v>3</v>
      </c>
      <c r="L34" t="n">
        <v>9</v>
      </c>
      <c r="M34" t="n">
        <v>2</v>
      </c>
      <c r="N34" t="n">
        <v>0</v>
      </c>
      <c r="O34" t="n">
        <v>0</v>
      </c>
      <c r="P34" t="n">
        <v>0</v>
      </c>
      <c r="Q34" t="n">
        <v>11</v>
      </c>
      <c r="R34" t="n">
        <v>2</v>
      </c>
      <c r="S34" t="n">
        <v>15</v>
      </c>
      <c r="T34" t="n">
        <v>31</v>
      </c>
      <c r="U34" t="n">
        <v>28</v>
      </c>
      <c r="V34" s="2" t="inlineStr">
        <is>
          <t>Grangråticka
Läderdoftande fingersvamp
Blå taggsvamp
Fjällig taggsvamp s.str.
Grantaggsvamp
Harticka
Jämtlandsmaskros
Majviva
Rosenticka
Rynkskinn
Tretåig hackspett
Svavelriska
Tibast
Trådticka
Spillkråka</t>
        </is>
      </c>
      <c r="W34">
        <f>HYPERLINK("https://klasma.github.io/Logging_2380/artfynd/A 39928-2022 artfynd.xlsx", "A 39928-2022")</f>
        <v/>
      </c>
      <c r="X34">
        <f>HYPERLINK("https://klasma.github.io/Logging_2380/kartor/A 39928-2022 karta.png", "A 39928-2022")</f>
        <v/>
      </c>
      <c r="Y34">
        <f>HYPERLINK("https://klasma.github.io/Logging_2380/kartor_geotiff/A 39928-2022 georefererad karta.tif", "A 39928-2022")</f>
        <v/>
      </c>
      <c r="AA34">
        <f>HYPERLINK("https://klasma.github.io/Logging_2380/klagomål/A 39928-2022 FSC-klagomål.docx", "A 39928-2022")</f>
        <v/>
      </c>
      <c r="AB34">
        <f>HYPERLINK("https://klasma.github.io/Logging_2380/klagomålsmail/A 39928-2022 FSC-klagomål mail.docx", "A 39928-2022")</f>
        <v/>
      </c>
      <c r="AC34">
        <f>HYPERLINK("https://klasma.github.io/Logging_2380/tillsyn/A 39928-2022 tillsynsbegäran.docx", "A 39928-2022")</f>
        <v/>
      </c>
      <c r="AD34">
        <f>HYPERLINK("https://klasma.github.io/Logging_2380/tillsynsmail/A 39928-2022 tillsynsbegäran mail.docx", "A 39928-2022")</f>
        <v/>
      </c>
      <c r="AE34">
        <f>HYPERLINK("https://klasma.github.io/Logging_2380/fåglar/A 39928-2022 prioriterade fågelarter.docx", "A 39928-2022")</f>
        <v/>
      </c>
    </row>
    <row r="35" ht="15" customHeight="1">
      <c r="A35" t="inlineStr">
        <is>
          <t>A 30683-2023</t>
        </is>
      </c>
      <c r="B35" t="inlineStr">
        <is>
          <t>avverkningsanmälan</t>
        </is>
      </c>
      <c r="C35" t="inlineStr">
        <is>
          <t>Föryngringsavverkning</t>
        </is>
      </c>
      <c r="D35" s="1" t="n">
        <v>45112</v>
      </c>
      <c r="E35" s="1" t="n">
        <v>46312</v>
      </c>
      <c r="F35" t="inlineStr">
        <is>
          <t>JÄMTLANDS LÄN</t>
        </is>
      </c>
      <c r="G35" t="inlineStr">
        <is>
          <t>ÖSTERSUND</t>
        </is>
      </c>
      <c r="I35" t="n">
        <v>3.2</v>
      </c>
      <c r="J35" t="n">
        <v>3</v>
      </c>
      <c r="K35" t="n">
        <v>0</v>
      </c>
      <c r="L35" t="n">
        <v>9</v>
      </c>
      <c r="M35" t="n">
        <v>3</v>
      </c>
      <c r="N35" t="n">
        <v>1</v>
      </c>
      <c r="O35" t="n">
        <v>0</v>
      </c>
      <c r="P35" t="n">
        <v>0</v>
      </c>
      <c r="Q35" t="n">
        <v>13</v>
      </c>
      <c r="R35" t="n">
        <v>4</v>
      </c>
      <c r="S35" t="n">
        <v>14</v>
      </c>
      <c r="T35" t="n">
        <v>21</v>
      </c>
      <c r="U35" t="n">
        <v>8</v>
      </c>
      <c r="V35" s="2" t="inlineStr">
        <is>
          <t>Bitter taggsvamp
Doftticka
Läderdoftande fingersvamp
Taggfingersvamp
Grantaggsvamp
Grynig filtlav
Gultoppig fingersvamp
Kryddspindling
Lunglav
Orange taggsvamp
Skogsfru
Slåtterfibbla
Vårärt
Skogsrör</t>
        </is>
      </c>
      <c r="W35">
        <f>HYPERLINK("https://klasma.github.io/Logging_2380/artfynd/A 30683-2023 artfynd.xlsx", "A 30683-2023")</f>
        <v/>
      </c>
      <c r="X35">
        <f>HYPERLINK("https://klasma.github.io/Logging_2380/kartor/A 30683-2023 karta.png", "A 30683-2023")</f>
        <v/>
      </c>
      <c r="Y35">
        <f>HYPERLINK("https://klasma.github.io/Logging_2380/kartor_geotiff/A 30683-2023 georefererad karta.tif", "A 30683-2023")</f>
        <v/>
      </c>
      <c r="AA35">
        <f>HYPERLINK("https://klasma.github.io/Logging_2380/klagomål/A 30683-2023 FSC-klagomål.docx", "A 30683-2023")</f>
        <v/>
      </c>
      <c r="AB35">
        <f>HYPERLINK("https://klasma.github.io/Logging_2380/klagomålsmail/A 30683-2023 FSC-klagomål mail.docx", "A 30683-2023")</f>
        <v/>
      </c>
      <c r="AC35">
        <f>HYPERLINK("https://klasma.github.io/Logging_2380/tillsyn/A 30683-2023 tillsynsbegäran.docx", "A 30683-2023")</f>
        <v/>
      </c>
      <c r="AD35">
        <f>HYPERLINK("https://klasma.github.io/Logging_2380/tillsynsmail/A 30683-2023 tillsynsbegäran mail.docx", "A 30683-2023")</f>
        <v/>
      </c>
    </row>
    <row r="36" ht="15" customHeight="1">
      <c r="A36" t="inlineStr">
        <is>
          <t>A 47954-2025</t>
        </is>
      </c>
      <c r="B36" t="inlineStr">
        <is>
          <t>avverkningsanmälan</t>
        </is>
      </c>
      <c r="C36" t="inlineStr">
        <is>
          <t>Föryngringsavverkning</t>
        </is>
      </c>
      <c r="D36" s="1" t="n">
        <v>45932</v>
      </c>
      <c r="E36" s="1" t="n">
        <v>46312</v>
      </c>
      <c r="F36" t="inlineStr">
        <is>
          <t>JÄMTLANDS LÄN</t>
        </is>
      </c>
      <c r="G36" t="inlineStr">
        <is>
          <t>ÖSTERSUND</t>
        </is>
      </c>
      <c r="I36" t="n">
        <v>6.8</v>
      </c>
      <c r="J36" t="n">
        <v>5</v>
      </c>
      <c r="K36" t="n">
        <v>4</v>
      </c>
      <c r="L36" t="n">
        <v>6</v>
      </c>
      <c r="M36" t="n">
        <v>3</v>
      </c>
      <c r="N36" t="n">
        <v>0</v>
      </c>
      <c r="O36" t="n">
        <v>0</v>
      </c>
      <c r="P36" t="n">
        <v>0</v>
      </c>
      <c r="Q36" t="n">
        <v>9</v>
      </c>
      <c r="R36" t="n">
        <v>3</v>
      </c>
      <c r="S36" t="n">
        <v>14</v>
      </c>
      <c r="T36" t="n">
        <v>62</v>
      </c>
      <c r="U36" t="n">
        <v>62</v>
      </c>
      <c r="V36" s="2" t="inlineStr">
        <is>
          <t>Garnlav
Gränsticka
Knärot
Harticka
Liten svartspik
Rosenticka
Tretåig hackspett
Ullticka
Vitgrynig nållav
Korallrot
Plattlummer
Trådticka
Vedticka
Blåsippa</t>
        </is>
      </c>
      <c r="W36">
        <f>HYPERLINK("https://klasma.github.io/Logging_2380/artfynd/A 47954-2025 artfynd.xlsx", "A 47954-2025")</f>
        <v/>
      </c>
      <c r="X36">
        <f>HYPERLINK("https://klasma.github.io/Logging_2380/kartor/A 47954-2025 karta.png", "A 47954-2025")</f>
        <v/>
      </c>
      <c r="Y36">
        <f>HYPERLINK("https://klasma.github.io/Logging_2380/kartor_geotiff/A 47954-2025 georefererad karta.tif", "A 47954-2025")</f>
        <v/>
      </c>
      <c r="Z36">
        <f>HYPERLINK("https://klasma.github.io/Logging_2380/knärot/A 47954-2025 karta knärot.png", "A 47954-2025")</f>
        <v/>
      </c>
      <c r="AA36">
        <f>HYPERLINK("https://klasma.github.io/Logging_2380/klagomål/A 47954-2025 FSC-klagomål.docx", "A 47954-2025")</f>
        <v/>
      </c>
      <c r="AB36">
        <f>HYPERLINK("https://klasma.github.io/Logging_2380/klagomålsmail/A 47954-2025 FSC-klagomål mail.docx", "A 47954-2025")</f>
        <v/>
      </c>
      <c r="AC36">
        <f>HYPERLINK("https://klasma.github.io/Logging_2380/tillsyn/A 47954-2025 tillsynsbegäran.docx", "A 47954-2025")</f>
        <v/>
      </c>
      <c r="AD36">
        <f>HYPERLINK("https://klasma.github.io/Logging_2380/tillsynsmail/A 47954-2025 tillsynsbegäran mail.docx", "A 47954-2025")</f>
        <v/>
      </c>
      <c r="AE36">
        <f>HYPERLINK("https://klasma.github.io/Logging_2380/fåglar/A 47954-2025 prioriterade fågelarter.docx", "A 47954-2025")</f>
        <v/>
      </c>
    </row>
    <row r="37" ht="15" customHeight="1">
      <c r="A37" t="inlineStr">
        <is>
          <t>A 44532-2025</t>
        </is>
      </c>
      <c r="B37" t="inlineStr">
        <is>
          <t>avverkningsanmälan</t>
        </is>
      </c>
      <c r="C37" t="inlineStr">
        <is>
          <t>Föryngringsavverkning</t>
        </is>
      </c>
      <c r="D37" s="1" t="n">
        <v>45916</v>
      </c>
      <c r="E37" s="1" t="n">
        <v>46312</v>
      </c>
      <c r="F37" t="inlineStr">
        <is>
          <t>JÄMTLANDS LÄN</t>
        </is>
      </c>
      <c r="G37" t="inlineStr">
        <is>
          <t>ÖSTERSUND</t>
        </is>
      </c>
      <c r="I37" t="n">
        <v>2.9</v>
      </c>
      <c r="J37" t="n">
        <v>2</v>
      </c>
      <c r="K37" t="n">
        <v>3</v>
      </c>
      <c r="L37" t="n">
        <v>9</v>
      </c>
      <c r="M37" t="n">
        <v>2</v>
      </c>
      <c r="N37" t="n">
        <v>0</v>
      </c>
      <c r="O37" t="n">
        <v>0</v>
      </c>
      <c r="P37" t="n">
        <v>0</v>
      </c>
      <c r="Q37" t="n">
        <v>11</v>
      </c>
      <c r="R37" t="n">
        <v>2</v>
      </c>
      <c r="S37" t="n">
        <v>14</v>
      </c>
      <c r="T37" t="n">
        <v>36</v>
      </c>
      <c r="U37" t="n">
        <v>36</v>
      </c>
      <c r="V37" s="2" t="inlineStr">
        <is>
          <t>Garnlav
Knärot
Harticka
Liten svartspik
Rosenticka
Rynkskinn
Talltita
Ullticka
Vedtrappmossa
Vitgrynig nållav
Äggvaxskivling
Svavelriska
Trådticka
Vedticka</t>
        </is>
      </c>
      <c r="W37">
        <f>HYPERLINK("https://klasma.github.io/Logging_2380/artfynd/A 44532-2025 artfynd.xlsx", "A 44532-2025")</f>
        <v/>
      </c>
      <c r="X37">
        <f>HYPERLINK("https://klasma.github.io/Logging_2380/kartor/A 44532-2025 karta.png", "A 44532-2025")</f>
        <v/>
      </c>
      <c r="Y37">
        <f>HYPERLINK("https://klasma.github.io/Logging_2380/kartor_geotiff/A 44532-2025 georefererad karta.tif", "A 44532-2025")</f>
        <v/>
      </c>
      <c r="Z37">
        <f>HYPERLINK("https://klasma.github.io/Logging_2380/knärot/A 44532-2025 karta knärot.png", "A 44532-2025")</f>
        <v/>
      </c>
      <c r="AA37">
        <f>HYPERLINK("https://klasma.github.io/Logging_2380/klagomål/A 44532-2025 FSC-klagomål.docx", "A 44532-2025")</f>
        <v/>
      </c>
      <c r="AB37">
        <f>HYPERLINK("https://klasma.github.io/Logging_2380/klagomålsmail/A 44532-2025 FSC-klagomål mail.docx", "A 44532-2025")</f>
        <v/>
      </c>
      <c r="AC37">
        <f>HYPERLINK("https://klasma.github.io/Logging_2380/tillsyn/A 44532-2025 tillsynsbegäran.docx", "A 44532-2025")</f>
        <v/>
      </c>
      <c r="AD37">
        <f>HYPERLINK("https://klasma.github.io/Logging_2380/tillsynsmail/A 44532-2025 tillsynsbegäran mail.docx", "A 44532-2025")</f>
        <v/>
      </c>
      <c r="AE37">
        <f>HYPERLINK("https://klasma.github.io/Logging_2380/fåglar/A 44532-2025 prioriterade fågelarter.docx", "A 44532-2025")</f>
        <v/>
      </c>
    </row>
    <row r="38" ht="15" customHeight="1">
      <c r="A38" t="inlineStr">
        <is>
          <t>A 4226-2026</t>
        </is>
      </c>
      <c r="B38" t="inlineStr">
        <is>
          <t>avverkningsanmälan</t>
        </is>
      </c>
      <c r="C38" t="inlineStr">
        <is>
          <t>Föryngringsavverkning</t>
        </is>
      </c>
      <c r="D38" s="1" t="n">
        <v>46044</v>
      </c>
      <c r="E38" s="1" t="n">
        <v>46312</v>
      </c>
      <c r="F38" t="inlineStr">
        <is>
          <t>JÄMTLANDS LÄN</t>
        </is>
      </c>
      <c r="G38" t="inlineStr">
        <is>
          <t>ÖSTERSUND</t>
        </is>
      </c>
      <c r="I38" t="n">
        <v>2.1</v>
      </c>
      <c r="J38" t="n">
        <v>0</v>
      </c>
      <c r="K38" t="n">
        <v>3</v>
      </c>
      <c r="L38" t="n">
        <v>5</v>
      </c>
      <c r="M38" t="n">
        <v>4</v>
      </c>
      <c r="N38" t="n">
        <v>1</v>
      </c>
      <c r="O38" t="n">
        <v>0</v>
      </c>
      <c r="P38" t="n">
        <v>0</v>
      </c>
      <c r="Q38" t="n">
        <v>10</v>
      </c>
      <c r="R38" t="n">
        <v>5</v>
      </c>
      <c r="S38" t="n">
        <v>13</v>
      </c>
      <c r="T38" t="n">
        <v>23</v>
      </c>
      <c r="U38" t="n">
        <v>22</v>
      </c>
      <c r="V38" s="2" t="inlineStr">
        <is>
          <t>Fjällfotad fingersvamp
Fältgentiana
Garnlav
Gropig skägglav
Läderdoftande fingersvamp
Fjällig taggsvamp s.str.
Gultoppig fingersvamp
Svartvit taggsvamp
Vårärt
Äggvaxskivling
Finbräken
Svart trolldruva
Underviol</t>
        </is>
      </c>
      <c r="W38">
        <f>HYPERLINK("https://klasma.github.io/Logging_2380/artfynd/A 4226-2026 artfynd.xlsx", "A 4226-2026")</f>
        <v/>
      </c>
      <c r="X38">
        <f>HYPERLINK("https://klasma.github.io/Logging_2380/kartor/A 4226-2026 karta.png", "A 4226-2026")</f>
        <v/>
      </c>
      <c r="Y38">
        <f>HYPERLINK("https://klasma.github.io/Logging_2380/kartor_geotiff/A 4226-2026 georefererad karta.tif", "A 4226-2026")</f>
        <v/>
      </c>
      <c r="AA38">
        <f>HYPERLINK("https://klasma.github.io/Logging_2380/klagomål/A 4226-2026 FSC-klagomål.docx", "A 4226-2026")</f>
        <v/>
      </c>
      <c r="AB38">
        <f>HYPERLINK("https://klasma.github.io/Logging_2380/klagomålsmail/A 4226-2026 FSC-klagomål mail.docx", "A 4226-2026")</f>
        <v/>
      </c>
      <c r="AC38">
        <f>HYPERLINK("https://klasma.github.io/Logging_2380/tillsyn/A 4226-2026 tillsynsbegäran.docx", "A 4226-2026")</f>
        <v/>
      </c>
      <c r="AD38">
        <f>HYPERLINK("https://klasma.github.io/Logging_2380/tillsynsmail/A 4226-2026 tillsynsbegäran mail.docx", "A 4226-2026")</f>
        <v/>
      </c>
    </row>
    <row r="39" ht="15" customHeight="1">
      <c r="A39" t="inlineStr">
        <is>
          <t>A 56557-2025</t>
        </is>
      </c>
      <c r="B39" t="inlineStr">
        <is>
          <t>avverkningsanmälan</t>
        </is>
      </c>
      <c r="C39" t="inlineStr">
        <is>
          <t>Föryngringsavverkning</t>
        </is>
      </c>
      <c r="D39" s="1" t="n">
        <v>45975</v>
      </c>
      <c r="E39" s="1" t="n">
        <v>46312</v>
      </c>
      <c r="F39" t="inlineStr">
        <is>
          <t>JÄMTLANDS LÄN</t>
        </is>
      </c>
      <c r="G39" t="inlineStr">
        <is>
          <t>ÖSTERSUND</t>
        </is>
      </c>
      <c r="I39" t="n">
        <v>13.9</v>
      </c>
      <c r="J39" t="n">
        <v>5</v>
      </c>
      <c r="K39" t="n">
        <v>2</v>
      </c>
      <c r="L39" t="n">
        <v>7</v>
      </c>
      <c r="M39" t="n">
        <v>1</v>
      </c>
      <c r="N39" t="n">
        <v>0</v>
      </c>
      <c r="O39" t="n">
        <v>0</v>
      </c>
      <c r="P39" t="n">
        <v>0</v>
      </c>
      <c r="Q39" t="n">
        <v>8</v>
      </c>
      <c r="R39" t="n">
        <v>1</v>
      </c>
      <c r="S39" t="n">
        <v>12</v>
      </c>
      <c r="T39" t="n">
        <v>54</v>
      </c>
      <c r="U39" t="n">
        <v>54</v>
      </c>
      <c r="V39" s="2" t="inlineStr">
        <is>
          <t>Garnlav
Harticka
Lavskrika
Liten svartspik
Lunglav
Talltita
Tretåig hackspett
Vitgrynig nållav
Luddlav
Stuplav
Spillkråka
Revlummer</t>
        </is>
      </c>
      <c r="W39">
        <f>HYPERLINK("https://klasma.github.io/Logging_2380/artfynd/A 56557-2025 artfynd.xlsx", "A 56557-2025")</f>
        <v/>
      </c>
      <c r="X39">
        <f>HYPERLINK("https://klasma.github.io/Logging_2380/kartor/A 56557-2025 karta.png", "A 56557-2025")</f>
        <v/>
      </c>
      <c r="Y39">
        <f>HYPERLINK("https://klasma.github.io/Logging_2380/kartor_geotiff/A 56557-2025 georefererad karta.tif", "A 56557-2025")</f>
        <v/>
      </c>
      <c r="AA39">
        <f>HYPERLINK("https://klasma.github.io/Logging_2380/klagomål/A 56557-2025 FSC-klagomål.docx", "A 56557-2025")</f>
        <v/>
      </c>
      <c r="AB39">
        <f>HYPERLINK("https://klasma.github.io/Logging_2380/klagomålsmail/A 56557-2025 FSC-klagomål mail.docx", "A 56557-2025")</f>
        <v/>
      </c>
      <c r="AC39">
        <f>HYPERLINK("https://klasma.github.io/Logging_2380/tillsyn/A 56557-2025 tillsynsbegäran.docx", "A 56557-2025")</f>
        <v/>
      </c>
      <c r="AD39">
        <f>HYPERLINK("https://klasma.github.io/Logging_2380/tillsynsmail/A 56557-2025 tillsynsbegäran mail.docx", "A 56557-2025")</f>
        <v/>
      </c>
      <c r="AE39">
        <f>HYPERLINK("https://klasma.github.io/Logging_2380/fåglar/A 56557-2025 prioriterade fågelarter.docx", "A 56557-2025")</f>
        <v/>
      </c>
    </row>
    <row r="40" ht="15" customHeight="1">
      <c r="A40" t="inlineStr">
        <is>
          <t>A 56899-2025</t>
        </is>
      </c>
      <c r="B40" t="inlineStr">
        <is>
          <t>avverkningsanmälan</t>
        </is>
      </c>
      <c r="C40" t="inlineStr">
        <is>
          <t>Föryngringsavverkning</t>
        </is>
      </c>
      <c r="D40" s="1" t="n">
        <v>45978</v>
      </c>
      <c r="E40" s="1" t="n">
        <v>46312</v>
      </c>
      <c r="F40" t="inlineStr">
        <is>
          <t>JÄMTLANDS LÄN</t>
        </is>
      </c>
      <c r="G40" t="inlineStr">
        <is>
          <t>ÖSTERSUND</t>
        </is>
      </c>
      <c r="I40" t="n">
        <v>23.2</v>
      </c>
      <c r="J40" t="n">
        <v>5</v>
      </c>
      <c r="K40" t="n">
        <v>2</v>
      </c>
      <c r="L40" t="n">
        <v>7</v>
      </c>
      <c r="M40" t="n">
        <v>1</v>
      </c>
      <c r="N40" t="n">
        <v>0</v>
      </c>
      <c r="O40" t="n">
        <v>0</v>
      </c>
      <c r="P40" t="n">
        <v>0</v>
      </c>
      <c r="Q40" t="n">
        <v>8</v>
      </c>
      <c r="R40" t="n">
        <v>1</v>
      </c>
      <c r="S40" t="n">
        <v>12</v>
      </c>
      <c r="T40" t="n">
        <v>87</v>
      </c>
      <c r="U40" t="n">
        <v>87</v>
      </c>
      <c r="V40" s="2" t="inlineStr">
        <is>
          <t>Garnlav
Harticka
Lavskrika
Liten svartspik
Lunglav
Talltita
Tretåig hackspett
Vitgrynig nållav
Luddlav
Stuplav
Spillkråka
Revlummer</t>
        </is>
      </c>
      <c r="W40">
        <f>HYPERLINK("https://klasma.github.io/Logging_2380/artfynd/A 56899-2025 artfynd.xlsx", "A 56899-2025")</f>
        <v/>
      </c>
      <c r="X40">
        <f>HYPERLINK("https://klasma.github.io/Logging_2380/kartor/A 56899-2025 karta.png", "A 56899-2025")</f>
        <v/>
      </c>
      <c r="Y40">
        <f>HYPERLINK("https://klasma.github.io/Logging_2380/kartor_geotiff/A 56899-2025 georefererad karta.tif", "A 56899-2025")</f>
        <v/>
      </c>
      <c r="AA40">
        <f>HYPERLINK("https://klasma.github.io/Logging_2380/klagomål/A 56899-2025 FSC-klagomål.docx", "A 56899-2025")</f>
        <v/>
      </c>
      <c r="AB40">
        <f>HYPERLINK("https://klasma.github.io/Logging_2380/klagomålsmail/A 56899-2025 FSC-klagomål mail.docx", "A 56899-2025")</f>
        <v/>
      </c>
      <c r="AC40">
        <f>HYPERLINK("https://klasma.github.io/Logging_2380/tillsyn/A 56899-2025 tillsynsbegäran.docx", "A 56899-2025")</f>
        <v/>
      </c>
      <c r="AD40">
        <f>HYPERLINK("https://klasma.github.io/Logging_2380/tillsynsmail/A 56899-2025 tillsynsbegäran mail.docx", "A 56899-2025")</f>
        <v/>
      </c>
      <c r="AE40">
        <f>HYPERLINK("https://klasma.github.io/Logging_2380/fåglar/A 56899-2025 prioriterade fågelarter.docx", "A 56899-2025")</f>
        <v/>
      </c>
    </row>
    <row r="41" ht="15" customHeight="1">
      <c r="A41" t="inlineStr">
        <is>
          <t>A 10056-2026</t>
        </is>
      </c>
      <c r="B41" t="inlineStr">
        <is>
          <t>avverkningsanmälan</t>
        </is>
      </c>
      <c r="C41" t="inlineStr">
        <is>
          <t>Föryngringsavverkning</t>
        </is>
      </c>
      <c r="D41" s="1" t="n">
        <v>46073</v>
      </c>
      <c r="E41" s="1" t="n">
        <v>46312</v>
      </c>
      <c r="F41" t="inlineStr">
        <is>
          <t>JÄMTLANDS LÄN</t>
        </is>
      </c>
      <c r="G41" t="inlineStr">
        <is>
          <t>ÖSTERSUND</t>
        </is>
      </c>
      <c r="I41" t="n">
        <v>17.2</v>
      </c>
      <c r="J41" t="n">
        <v>4</v>
      </c>
      <c r="K41" t="n">
        <v>1</v>
      </c>
      <c r="L41" t="n">
        <v>6</v>
      </c>
      <c r="M41" t="n">
        <v>3</v>
      </c>
      <c r="N41" t="n">
        <v>0</v>
      </c>
      <c r="O41" t="n">
        <v>0</v>
      </c>
      <c r="P41" t="n">
        <v>0</v>
      </c>
      <c r="Q41" t="n">
        <v>9</v>
      </c>
      <c r="R41" t="n">
        <v>3</v>
      </c>
      <c r="S41" t="n">
        <v>12</v>
      </c>
      <c r="T41" t="n">
        <v>61</v>
      </c>
      <c r="U41" t="n">
        <v>61</v>
      </c>
      <c r="V41" s="2" t="inlineStr">
        <is>
          <t>Blackticka
Garnlav
Knärot
Harticka
Liten svartspik
Rosenticka
Tretåig hackspett
Ullticka
Vitgrynig nållav
Stuplav
Spillkråka
Tjäder</t>
        </is>
      </c>
      <c r="W41">
        <f>HYPERLINK("https://klasma.github.io/Logging_2380/artfynd/A 10056-2026 artfynd.xlsx", "A 10056-2026")</f>
        <v/>
      </c>
      <c r="X41">
        <f>HYPERLINK("https://klasma.github.io/Logging_2380/kartor/A 10056-2026 karta.png", "A 10056-2026")</f>
        <v/>
      </c>
      <c r="Y41">
        <f>HYPERLINK("https://klasma.github.io/Logging_2380/kartor_geotiff/A 10056-2026 georefererad karta.tif", "A 10056-2026")</f>
        <v/>
      </c>
      <c r="Z41">
        <f>HYPERLINK("https://klasma.github.io/Logging_2380/knärot/A 10056-2026 karta knärot.png", "A 10056-2026")</f>
        <v/>
      </c>
      <c r="AA41">
        <f>HYPERLINK("https://klasma.github.io/Logging_2380/klagomål/A 10056-2026 FSC-klagomål.docx", "A 10056-2026")</f>
        <v/>
      </c>
      <c r="AB41">
        <f>HYPERLINK("https://klasma.github.io/Logging_2380/klagomålsmail/A 10056-2026 FSC-klagomål mail.docx", "A 10056-2026")</f>
        <v/>
      </c>
      <c r="AC41">
        <f>HYPERLINK("https://klasma.github.io/Logging_2380/tillsyn/A 10056-2026 tillsynsbegäran.docx", "A 10056-2026")</f>
        <v/>
      </c>
      <c r="AD41">
        <f>HYPERLINK("https://klasma.github.io/Logging_2380/tillsynsmail/A 10056-2026 tillsynsbegäran mail.docx", "A 10056-2026")</f>
        <v/>
      </c>
      <c r="AE41">
        <f>HYPERLINK("https://klasma.github.io/Logging_2380/fåglar/A 10056-2026 prioriterade fågelarter.docx", "A 10056-2026")</f>
        <v/>
      </c>
    </row>
    <row r="42" ht="15" customHeight="1">
      <c r="A42" t="inlineStr">
        <is>
          <t>A 63201-2025</t>
        </is>
      </c>
      <c r="B42" t="inlineStr">
        <is>
          <t>avverkningsanmälan</t>
        </is>
      </c>
      <c r="C42" t="inlineStr">
        <is>
          <t>Föryngringsavverkning</t>
        </is>
      </c>
      <c r="D42" s="1" t="n">
        <v>46010</v>
      </c>
      <c r="E42" s="1" t="n">
        <v>46312</v>
      </c>
      <c r="F42" t="inlineStr">
        <is>
          <t>JÄMTLANDS LÄN</t>
        </is>
      </c>
      <c r="G42" t="inlineStr">
        <is>
          <t>ÖSTERSUND</t>
        </is>
      </c>
      <c r="I42" t="n">
        <v>5.8</v>
      </c>
      <c r="J42" t="n">
        <v>7</v>
      </c>
      <c r="K42" t="n">
        <v>3</v>
      </c>
      <c r="L42" t="n">
        <v>4</v>
      </c>
      <c r="M42" t="n">
        <v>2</v>
      </c>
      <c r="N42" t="n">
        <v>0</v>
      </c>
      <c r="O42" t="n">
        <v>0</v>
      </c>
      <c r="P42" t="n">
        <v>0</v>
      </c>
      <c r="Q42" t="n">
        <v>6</v>
      </c>
      <c r="R42" t="n">
        <v>2</v>
      </c>
      <c r="S42" t="n">
        <v>12</v>
      </c>
      <c r="T42" t="n">
        <v>34</v>
      </c>
      <c r="U42" t="n">
        <v>33</v>
      </c>
      <c r="V42" s="2" t="inlineStr">
        <is>
          <t>Garnlav
Knärot
Lavskrika
Lunglav
Skrovellav
Tretåig hackspett
Kransrams
Stuplav
Tvåblad
Järpe
Spillkråka
Revlummer</t>
        </is>
      </c>
      <c r="W42">
        <f>HYPERLINK("https://klasma.github.io/Logging_2380/artfynd/A 63201-2025 artfynd.xlsx", "A 63201-2025")</f>
        <v/>
      </c>
      <c r="X42">
        <f>HYPERLINK("https://klasma.github.io/Logging_2380/kartor/A 63201-2025 karta.png", "A 63201-2025")</f>
        <v/>
      </c>
      <c r="Y42">
        <f>HYPERLINK("https://klasma.github.io/Logging_2380/kartor_geotiff/A 63201-2025 georefererad karta.tif", "A 63201-2025")</f>
        <v/>
      </c>
      <c r="Z42">
        <f>HYPERLINK("https://klasma.github.io/Logging_2380/knärot/A 63201-2025 karta knärot.png", "A 63201-2025")</f>
        <v/>
      </c>
      <c r="AA42">
        <f>HYPERLINK("https://klasma.github.io/Logging_2380/klagomål/A 63201-2025 FSC-klagomål.docx", "A 63201-2025")</f>
        <v/>
      </c>
      <c r="AB42">
        <f>HYPERLINK("https://klasma.github.io/Logging_2380/klagomålsmail/A 63201-2025 FSC-klagomål mail.docx", "A 63201-2025")</f>
        <v/>
      </c>
      <c r="AC42">
        <f>HYPERLINK("https://klasma.github.io/Logging_2380/tillsyn/A 63201-2025 tillsynsbegäran.docx", "A 63201-2025")</f>
        <v/>
      </c>
      <c r="AD42">
        <f>HYPERLINK("https://klasma.github.io/Logging_2380/tillsynsmail/A 63201-2025 tillsynsbegäran mail.docx", "A 63201-2025")</f>
        <v/>
      </c>
      <c r="AE42">
        <f>HYPERLINK("https://klasma.github.io/Logging_2380/fåglar/A 63201-2025 prioriterade fågelarter.docx", "A 63201-2025")</f>
        <v/>
      </c>
    </row>
    <row r="43" ht="15" customHeight="1">
      <c r="A43" t="inlineStr">
        <is>
          <t>A 39541-2025</t>
        </is>
      </c>
      <c r="B43" t="inlineStr">
        <is>
          <t>avverkningsanmälan</t>
        </is>
      </c>
      <c r="C43" t="inlineStr">
        <is>
          <t>Föryngringsavverkning</t>
        </is>
      </c>
      <c r="D43" s="1" t="n">
        <v>45890</v>
      </c>
      <c r="E43" s="1" t="n">
        <v>46312</v>
      </c>
      <c r="F43" t="inlineStr">
        <is>
          <t>JÄMTLANDS LÄN</t>
        </is>
      </c>
      <c r="G43" t="inlineStr">
        <is>
          <t>ÖSTERSUND</t>
        </is>
      </c>
      <c r="I43" t="n">
        <v>9</v>
      </c>
      <c r="J43" t="n">
        <v>5</v>
      </c>
      <c r="K43" t="n">
        <v>2</v>
      </c>
      <c r="L43" t="n">
        <v>8</v>
      </c>
      <c r="M43" t="n">
        <v>2</v>
      </c>
      <c r="N43" t="n">
        <v>0</v>
      </c>
      <c r="O43" t="n">
        <v>0</v>
      </c>
      <c r="P43" t="n">
        <v>0</v>
      </c>
      <c r="Q43" t="n">
        <v>10</v>
      </c>
      <c r="R43" t="n">
        <v>2</v>
      </c>
      <c r="S43" t="n">
        <v>12</v>
      </c>
      <c r="T43" t="n">
        <v>54</v>
      </c>
      <c r="U43" t="n">
        <v>53</v>
      </c>
      <c r="V43" s="2" t="inlineStr">
        <is>
          <t>Garnlav
Knärot
Doftskinn
Gammelgransskål
Harticka
Liten svartspik
Sparvuggla
Talltita
Tretåig hackspett
Vitgrynig nållav
Skinnlav
Spindelblomster</t>
        </is>
      </c>
      <c r="W43">
        <f>HYPERLINK("https://klasma.github.io/Logging_2380/artfynd/A 39541-2025 artfynd.xlsx", "A 39541-2025")</f>
        <v/>
      </c>
      <c r="X43">
        <f>HYPERLINK("https://klasma.github.io/Logging_2380/kartor/A 39541-2025 karta.png", "A 39541-2025")</f>
        <v/>
      </c>
      <c r="Y43">
        <f>HYPERLINK("https://klasma.github.io/Logging_2380/kartor_geotiff/A 39541-2025 georefererad karta.tif", "A 39541-2025")</f>
        <v/>
      </c>
      <c r="Z43">
        <f>HYPERLINK("https://klasma.github.io/Logging_2380/knärot/A 39541-2025 karta knärot.png", "A 39541-2025")</f>
        <v/>
      </c>
      <c r="AA43">
        <f>HYPERLINK("https://klasma.github.io/Logging_2380/klagomål/A 39541-2025 FSC-klagomål.docx", "A 39541-2025")</f>
        <v/>
      </c>
      <c r="AB43">
        <f>HYPERLINK("https://klasma.github.io/Logging_2380/klagomålsmail/A 39541-2025 FSC-klagomål mail.docx", "A 39541-2025")</f>
        <v/>
      </c>
      <c r="AC43">
        <f>HYPERLINK("https://klasma.github.io/Logging_2380/tillsyn/A 39541-2025 tillsynsbegäran.docx", "A 39541-2025")</f>
        <v/>
      </c>
      <c r="AD43">
        <f>HYPERLINK("https://klasma.github.io/Logging_2380/tillsynsmail/A 39541-2025 tillsynsbegäran mail.docx", "A 39541-2025")</f>
        <v/>
      </c>
      <c r="AE43">
        <f>HYPERLINK("https://klasma.github.io/Logging_2380/fåglar/A 39541-2025 prioriterade fågelarter.docx", "A 39541-2025")</f>
        <v/>
      </c>
    </row>
    <row r="44" ht="15" customHeight="1">
      <c r="A44" t="inlineStr">
        <is>
          <t>A 47128-2025</t>
        </is>
      </c>
      <c r="B44" t="inlineStr">
        <is>
          <t>avverkningsanmälan</t>
        </is>
      </c>
      <c r="C44" t="inlineStr">
        <is>
          <t>Föryngringsavverkning</t>
        </is>
      </c>
      <c r="D44" s="1" t="n">
        <v>45929</v>
      </c>
      <c r="E44" s="1" t="n">
        <v>46312</v>
      </c>
      <c r="F44" t="inlineStr">
        <is>
          <t>JÄMTLANDS LÄN</t>
        </is>
      </c>
      <c r="G44" t="inlineStr">
        <is>
          <t>ÖSTERSUND</t>
        </is>
      </c>
      <c r="I44" t="n">
        <v>4.1</v>
      </c>
      <c r="J44" t="n">
        <v>3</v>
      </c>
      <c r="K44" t="n">
        <v>5</v>
      </c>
      <c r="L44" t="n">
        <v>5</v>
      </c>
      <c r="M44" t="n">
        <v>1</v>
      </c>
      <c r="N44" t="n">
        <v>0</v>
      </c>
      <c r="O44" t="n">
        <v>0</v>
      </c>
      <c r="P44" t="n">
        <v>0</v>
      </c>
      <c r="Q44" t="n">
        <v>6</v>
      </c>
      <c r="R44" t="n">
        <v>1</v>
      </c>
      <c r="S44" t="n">
        <v>12</v>
      </c>
      <c r="T44" t="n">
        <v>23</v>
      </c>
      <c r="U44" t="n">
        <v>23</v>
      </c>
      <c r="V44" s="2" t="inlineStr">
        <is>
          <t>Garnlav
Lunglav
Talltita
Tretåig hackspett
Ullticka
Vitgrynig nållav
Barkkornlav
Korallblylav
Luddlav
Stuplav
Vedticka
Blåsippa</t>
        </is>
      </c>
      <c r="W44">
        <f>HYPERLINK("https://klasma.github.io/Logging_2380/artfynd/A 47128-2025 artfynd.xlsx", "A 47128-2025")</f>
        <v/>
      </c>
      <c r="X44">
        <f>HYPERLINK("https://klasma.github.io/Logging_2380/kartor/A 47128-2025 karta.png", "A 47128-2025")</f>
        <v/>
      </c>
      <c r="Y44">
        <f>HYPERLINK("https://klasma.github.io/Logging_2380/kartor_geotiff/A 47128-2025 georefererad karta.tif", "A 47128-2025")</f>
        <v/>
      </c>
      <c r="AA44">
        <f>HYPERLINK("https://klasma.github.io/Logging_2380/klagomål/A 47128-2025 FSC-klagomål.docx", "A 47128-2025")</f>
        <v/>
      </c>
      <c r="AB44">
        <f>HYPERLINK("https://klasma.github.io/Logging_2380/klagomålsmail/A 47128-2025 FSC-klagomål mail.docx", "A 47128-2025")</f>
        <v/>
      </c>
      <c r="AC44">
        <f>HYPERLINK("https://klasma.github.io/Logging_2380/tillsyn/A 47128-2025 tillsynsbegäran.docx", "A 47128-2025")</f>
        <v/>
      </c>
      <c r="AD44">
        <f>HYPERLINK("https://klasma.github.io/Logging_2380/tillsynsmail/A 47128-2025 tillsynsbegäran mail.docx", "A 47128-2025")</f>
        <v/>
      </c>
      <c r="AE44">
        <f>HYPERLINK("https://klasma.github.io/Logging_2380/fåglar/A 47128-2025 prioriterade fågelarter.docx", "A 47128-2025")</f>
        <v/>
      </c>
    </row>
    <row r="45" ht="15" customHeight="1">
      <c r="A45" t="inlineStr">
        <is>
          <t>A 17267-2026</t>
        </is>
      </c>
      <c r="B45" t="inlineStr">
        <is>
          <t>avverkningsanmälan</t>
        </is>
      </c>
      <c r="C45" t="inlineStr">
        <is>
          <t>Föryngringsavverkning</t>
        </is>
      </c>
      <c r="D45" s="1" t="n">
        <v>46119</v>
      </c>
      <c r="E45" s="1" t="n">
        <v>46312</v>
      </c>
      <c r="F45" t="inlineStr">
        <is>
          <t>JÄMTLANDS LÄN</t>
        </is>
      </c>
      <c r="G45" t="inlineStr">
        <is>
          <t>ÖSTERSUND</t>
        </is>
      </c>
      <c r="I45" t="n">
        <v>7.7</v>
      </c>
      <c r="J45" t="n">
        <v>5</v>
      </c>
      <c r="K45" t="n">
        <v>2</v>
      </c>
      <c r="L45" t="n">
        <v>5</v>
      </c>
      <c r="M45" t="n">
        <v>2</v>
      </c>
      <c r="N45" t="n">
        <v>0</v>
      </c>
      <c r="O45" t="n">
        <v>0</v>
      </c>
      <c r="P45" t="n">
        <v>0</v>
      </c>
      <c r="Q45" t="n">
        <v>7</v>
      </c>
      <c r="R45" t="n">
        <v>2</v>
      </c>
      <c r="S45" t="n">
        <v>11</v>
      </c>
      <c r="T45" t="n">
        <v>69</v>
      </c>
      <c r="U45" t="n">
        <v>69</v>
      </c>
      <c r="V45" s="2" t="inlineStr">
        <is>
          <t>Garnlav
Knärot
Kolflarnlav
Lunglav
Mörk kolflarnlav
Talltita
Tretåig hackspett
Luddlav
Plattlummer
Linnea
Revlummer</t>
        </is>
      </c>
      <c r="W45">
        <f>HYPERLINK("https://klasma.github.io/Logging_2380/artfynd/A 17267-2026 artfynd.xlsx", "A 17267-2026")</f>
        <v/>
      </c>
      <c r="X45">
        <f>HYPERLINK("https://klasma.github.io/Logging_2380/kartor/A 17267-2026 karta.png", "A 17267-2026")</f>
        <v/>
      </c>
      <c r="Y45">
        <f>HYPERLINK("https://klasma.github.io/Logging_2380/kartor_geotiff/A 17267-2026 georefererad karta.tif", "A 17267-2026")</f>
        <v/>
      </c>
      <c r="Z45">
        <f>HYPERLINK("https://klasma.github.io/Logging_2380/knärot/A 17267-2026 karta knärot.png", "A 17267-2026")</f>
        <v/>
      </c>
      <c r="AA45">
        <f>HYPERLINK("https://klasma.github.io/Logging_2380/klagomål/A 17267-2026 FSC-klagomål.docx", "A 17267-2026")</f>
        <v/>
      </c>
      <c r="AB45">
        <f>HYPERLINK("https://klasma.github.io/Logging_2380/klagomålsmail/A 17267-2026 FSC-klagomål mail.docx", "A 17267-2026")</f>
        <v/>
      </c>
      <c r="AC45">
        <f>HYPERLINK("https://klasma.github.io/Logging_2380/tillsyn/A 17267-2026 tillsynsbegäran.docx", "A 17267-2026")</f>
        <v/>
      </c>
      <c r="AD45">
        <f>HYPERLINK("https://klasma.github.io/Logging_2380/tillsynsmail/A 17267-2026 tillsynsbegäran mail.docx", "A 17267-2026")</f>
        <v/>
      </c>
      <c r="AE45">
        <f>HYPERLINK("https://klasma.github.io/Logging_2380/fåglar/A 17267-2026 prioriterade fågelarter.docx", "A 17267-2026")</f>
        <v/>
      </c>
    </row>
    <row r="46" ht="15" customHeight="1">
      <c r="A46" t="inlineStr">
        <is>
          <t>A 48030-2025</t>
        </is>
      </c>
      <c r="B46" t="inlineStr">
        <is>
          <t>avverkningsanmälan</t>
        </is>
      </c>
      <c r="C46" t="inlineStr">
        <is>
          <t>Föryngringsavverkning</t>
        </is>
      </c>
      <c r="D46" s="1" t="n">
        <v>45932</v>
      </c>
      <c r="E46" s="1" t="n">
        <v>46312</v>
      </c>
      <c r="F46" t="inlineStr">
        <is>
          <t>JÄMTLANDS LÄN</t>
        </is>
      </c>
      <c r="G46" t="inlineStr">
        <is>
          <t>ÖSTERSUND</t>
        </is>
      </c>
      <c r="I46" t="n">
        <v>6.4</v>
      </c>
      <c r="J46" t="n">
        <v>4</v>
      </c>
      <c r="K46" t="n">
        <v>4</v>
      </c>
      <c r="L46" t="n">
        <v>4</v>
      </c>
      <c r="M46" t="n">
        <v>2</v>
      </c>
      <c r="N46" t="n">
        <v>0</v>
      </c>
      <c r="O46" t="n">
        <v>0</v>
      </c>
      <c r="P46" t="n">
        <v>0</v>
      </c>
      <c r="Q46" t="n">
        <v>6</v>
      </c>
      <c r="R46" t="n">
        <v>2</v>
      </c>
      <c r="S46" t="n">
        <v>11</v>
      </c>
      <c r="T46" t="n">
        <v>60</v>
      </c>
      <c r="U46" t="n">
        <v>60</v>
      </c>
      <c r="V46" s="2" t="inlineStr">
        <is>
          <t>Garnlav
Knärot
Lunglav
Skrovellav
Talltita
Tretåig hackspett
Luddlav
Stuplav
Svavelriska
Trådticka
Fläcknycklar</t>
        </is>
      </c>
      <c r="W46">
        <f>HYPERLINK("https://klasma.github.io/Logging_2380/artfynd/A 48030-2025 artfynd.xlsx", "A 48030-2025")</f>
        <v/>
      </c>
      <c r="X46">
        <f>HYPERLINK("https://klasma.github.io/Logging_2380/kartor/A 48030-2025 karta.png", "A 48030-2025")</f>
        <v/>
      </c>
      <c r="Y46">
        <f>HYPERLINK("https://klasma.github.io/Logging_2380/kartor_geotiff/A 48030-2025 georefererad karta.tif", "A 48030-2025")</f>
        <v/>
      </c>
      <c r="Z46">
        <f>HYPERLINK("https://klasma.github.io/Logging_2380/knärot/A 48030-2025 karta knärot.png", "A 48030-2025")</f>
        <v/>
      </c>
      <c r="AA46">
        <f>HYPERLINK("https://klasma.github.io/Logging_2380/klagomål/A 48030-2025 FSC-klagomål.docx", "A 48030-2025")</f>
        <v/>
      </c>
      <c r="AB46">
        <f>HYPERLINK("https://klasma.github.io/Logging_2380/klagomålsmail/A 48030-2025 FSC-klagomål mail.docx", "A 48030-2025")</f>
        <v/>
      </c>
      <c r="AC46">
        <f>HYPERLINK("https://klasma.github.io/Logging_2380/tillsyn/A 48030-2025 tillsynsbegäran.docx", "A 48030-2025")</f>
        <v/>
      </c>
      <c r="AD46">
        <f>HYPERLINK("https://klasma.github.io/Logging_2380/tillsynsmail/A 48030-2025 tillsynsbegäran mail.docx", "A 48030-2025")</f>
        <v/>
      </c>
      <c r="AE46">
        <f>HYPERLINK("https://klasma.github.io/Logging_2380/fåglar/A 48030-2025 prioriterade fågelarter.docx", "A 48030-2025")</f>
        <v/>
      </c>
    </row>
    <row r="47" ht="15" customHeight="1">
      <c r="A47" t="inlineStr">
        <is>
          <t>A 20450-2026</t>
        </is>
      </c>
      <c r="B47" t="inlineStr">
        <is>
          <t>avverkningsanmälan</t>
        </is>
      </c>
      <c r="C47" t="inlineStr">
        <is>
          <t>Föryngringsavverkning</t>
        </is>
      </c>
      <c r="D47" s="1" t="n">
        <v>46140</v>
      </c>
      <c r="E47" s="1" t="n">
        <v>46312</v>
      </c>
      <c r="F47" t="inlineStr">
        <is>
          <t>JÄMTLANDS LÄN</t>
        </is>
      </c>
      <c r="G47" t="inlineStr">
        <is>
          <t>ÖSTERSUND</t>
        </is>
      </c>
      <c r="I47" t="n">
        <v>5.7</v>
      </c>
      <c r="J47" t="n">
        <v>2</v>
      </c>
      <c r="K47" t="n">
        <v>1</v>
      </c>
      <c r="L47" t="n">
        <v>4</v>
      </c>
      <c r="M47" t="n">
        <v>4</v>
      </c>
      <c r="N47" t="n">
        <v>0</v>
      </c>
      <c r="O47" t="n">
        <v>0</v>
      </c>
      <c r="P47" t="n">
        <v>0</v>
      </c>
      <c r="Q47" t="n">
        <v>8</v>
      </c>
      <c r="R47" t="n">
        <v>4</v>
      </c>
      <c r="S47" t="n">
        <v>11</v>
      </c>
      <c r="T47" t="n">
        <v>17</v>
      </c>
      <c r="U47" t="n">
        <v>16</v>
      </c>
      <c r="V47" s="2" t="inlineStr">
        <is>
          <t>Garnlav
Kopparspindling
Läderdoftande fingersvamp
Stor odörspindling
Fjällig taggsvamp s.str.
Gultoppig fingersvamp
Lunglav
Äggvaxskivling
Tibast
Blåsippa
Kungsfågel</t>
        </is>
      </c>
      <c r="W47">
        <f>HYPERLINK("https://klasma.github.io/Logging_2380/artfynd/A 20450-2026 artfynd.xlsx", "A 20450-2026")</f>
        <v/>
      </c>
      <c r="X47">
        <f>HYPERLINK("https://klasma.github.io/Logging_2380/kartor/A 20450-2026 karta.png", "A 20450-2026")</f>
        <v/>
      </c>
      <c r="Y47">
        <f>HYPERLINK("https://klasma.github.io/Logging_2380/kartor_geotiff/A 20450-2026 georefererad karta.tif", "A 20450-2026")</f>
        <v/>
      </c>
      <c r="AA47">
        <f>HYPERLINK("https://klasma.github.io/Logging_2380/klagomål/A 20450-2026 FSC-klagomål.docx", "A 20450-2026")</f>
        <v/>
      </c>
      <c r="AB47">
        <f>HYPERLINK("https://klasma.github.io/Logging_2380/klagomålsmail/A 20450-2026 FSC-klagomål mail.docx", "A 20450-2026")</f>
        <v/>
      </c>
      <c r="AC47">
        <f>HYPERLINK("https://klasma.github.io/Logging_2380/tillsyn/A 20450-2026 tillsynsbegäran.docx", "A 20450-2026")</f>
        <v/>
      </c>
      <c r="AD47">
        <f>HYPERLINK("https://klasma.github.io/Logging_2380/tillsynsmail/A 20450-2026 tillsynsbegäran mail.docx", "A 20450-2026")</f>
        <v/>
      </c>
    </row>
    <row r="48" ht="15" customHeight="1">
      <c r="A48" t="inlineStr">
        <is>
          <t>A 30919-2026</t>
        </is>
      </c>
      <c r="B48" t="inlineStr">
        <is>
          <t>avverkningsanmälan</t>
        </is>
      </c>
      <c r="C48" t="inlineStr">
        <is>
          <t>Föryngringsavverkning</t>
        </is>
      </c>
      <c r="D48" s="1" t="n">
        <v>46213</v>
      </c>
      <c r="E48" s="1" t="n">
        <v>46312</v>
      </c>
      <c r="F48" t="inlineStr">
        <is>
          <t>JÄMTLANDS LÄN</t>
        </is>
      </c>
      <c r="G48" t="inlineStr">
        <is>
          <t>ÖSTERSUND</t>
        </is>
      </c>
      <c r="I48" t="n">
        <v>13.4</v>
      </c>
      <c r="J48" t="n">
        <v>3</v>
      </c>
      <c r="K48" t="n">
        <v>2</v>
      </c>
      <c r="L48" t="n">
        <v>5</v>
      </c>
      <c r="M48" t="n">
        <v>2</v>
      </c>
      <c r="N48" t="n">
        <v>0</v>
      </c>
      <c r="O48" t="n">
        <v>0</v>
      </c>
      <c r="P48" t="n">
        <v>0</v>
      </c>
      <c r="Q48" t="n">
        <v>7</v>
      </c>
      <c r="R48" t="n">
        <v>2</v>
      </c>
      <c r="S48" t="n">
        <v>11</v>
      </c>
      <c r="T48" t="n">
        <v>39</v>
      </c>
      <c r="U48" t="n">
        <v>0</v>
      </c>
      <c r="V48" s="2" t="inlineStr">
        <is>
          <t>Garnlav
Knärot
Harticka
Kolflarnlav
Lunglav
Tretåig hackspett
Vitgrynig nållav
Spindelblomster
Stuplav
Linnea
Sälg</t>
        </is>
      </c>
      <c r="W48">
        <f>HYPERLINK("https://klasma.github.io/Logging_2380/artfynd/A 30919-2026 artfynd.xlsx", "A 30919-2026")</f>
        <v/>
      </c>
      <c r="X48">
        <f>HYPERLINK("https://klasma.github.io/Logging_2380/kartor/A 30919-2026 karta.png", "A 30919-2026")</f>
        <v/>
      </c>
      <c r="Y48">
        <f>HYPERLINK("https://klasma.github.io/Logging_2380/kartor_geotiff/A 30919-2026 georefererad karta.tif", "A 30919-2026")</f>
        <v/>
      </c>
      <c r="Z48">
        <f>HYPERLINK("https://klasma.github.io/Logging_2380/knärot/A 30919-2026 karta knärot.png", "A 30919-2026")</f>
        <v/>
      </c>
      <c r="AA48">
        <f>HYPERLINK("https://klasma.github.io/Logging_2380/klagomål/A 30919-2026 FSC-klagomål.docx", "A 30919-2026")</f>
        <v/>
      </c>
      <c r="AB48">
        <f>HYPERLINK("https://klasma.github.io/Logging_2380/klagomålsmail/A 30919-2026 FSC-klagomål mail.docx", "A 30919-2026")</f>
        <v/>
      </c>
      <c r="AC48">
        <f>HYPERLINK("https://klasma.github.io/Logging_2380/tillsyn/A 30919-2026 tillsynsbegäran.docx", "A 30919-2026")</f>
        <v/>
      </c>
      <c r="AD48">
        <f>HYPERLINK("https://klasma.github.io/Logging_2380/tillsynsmail/A 30919-2026 tillsynsbegäran mail.docx", "A 30919-2026")</f>
        <v/>
      </c>
      <c r="AE48">
        <f>HYPERLINK("https://klasma.github.io/Logging_2380/fåglar/A 30919-2026 prioriterade fågelarter.docx", "A 30919-2026")</f>
        <v/>
      </c>
    </row>
    <row r="49" ht="15" customHeight="1">
      <c r="A49" t="inlineStr">
        <is>
          <t>A 50895-2024</t>
        </is>
      </c>
      <c r="B49" t="inlineStr">
        <is>
          <t>avverkningsanmälan</t>
        </is>
      </c>
      <c r="C49" t="inlineStr">
        <is>
          <t>Avverkning för annat ändamål</t>
        </is>
      </c>
      <c r="D49" s="1" t="n">
        <v>45602</v>
      </c>
      <c r="E49" s="1" t="n">
        <v>46312</v>
      </c>
      <c r="F49" t="inlineStr">
        <is>
          <t>JÄMTLANDS LÄN</t>
        </is>
      </c>
      <c r="G49" t="inlineStr">
        <is>
          <t>ÖSTERSUND</t>
        </is>
      </c>
      <c r="H49" t="inlineStr">
        <is>
          <t>Kommuner</t>
        </is>
      </c>
      <c r="I49" t="n">
        <v>6</v>
      </c>
      <c r="J49" t="n">
        <v>4</v>
      </c>
      <c r="K49" t="n">
        <v>3</v>
      </c>
      <c r="L49" t="n">
        <v>4</v>
      </c>
      <c r="M49" t="n">
        <v>2</v>
      </c>
      <c r="N49" t="n">
        <v>0</v>
      </c>
      <c r="O49" t="n">
        <v>0</v>
      </c>
      <c r="P49" t="n">
        <v>0</v>
      </c>
      <c r="Q49" t="n">
        <v>6</v>
      </c>
      <c r="R49" t="n">
        <v>2</v>
      </c>
      <c r="S49" t="n">
        <v>10</v>
      </c>
      <c r="T49" t="n">
        <v>33</v>
      </c>
      <c r="U49" t="n">
        <v>19</v>
      </c>
      <c r="V49" s="2" t="inlineStr">
        <is>
          <t>Garnlav
Knärot
Fjällig taggsvamp s.str.
Lunglav
Tretåig hackspett
Vitgrynig nållav
Kransrams
Spindelblomster
Tibast
Blåsippa</t>
        </is>
      </c>
      <c r="W49">
        <f>HYPERLINK("https://klasma.github.io/Logging_2380/artfynd/A 50895-2024 artfynd.xlsx", "A 50895-2024")</f>
        <v/>
      </c>
      <c r="X49">
        <f>HYPERLINK("https://klasma.github.io/Logging_2380/kartor/A 50895-2024 karta.png", "A 50895-2024")</f>
        <v/>
      </c>
      <c r="Y49">
        <f>HYPERLINK("https://klasma.github.io/Logging_2380/kartor_geotiff/A 50895-2024 georefererad karta.tif", "A 50895-2024")</f>
        <v/>
      </c>
      <c r="Z49">
        <f>HYPERLINK("https://klasma.github.io/Logging_2380/knärot/A 50895-2024 karta knärot.png", "A 50895-2024")</f>
        <v/>
      </c>
      <c r="AA49">
        <f>HYPERLINK("https://klasma.github.io/Logging_2380/klagomål/A 50895-2024 FSC-klagomål.docx", "A 50895-2024")</f>
        <v/>
      </c>
      <c r="AB49">
        <f>HYPERLINK("https://klasma.github.io/Logging_2380/klagomålsmail/A 50895-2024 FSC-klagomål mail.docx", "A 50895-2024")</f>
        <v/>
      </c>
      <c r="AC49">
        <f>HYPERLINK("https://klasma.github.io/Logging_2380/tillsyn/A 50895-2024 tillsynsbegäran.docx", "A 50895-2024")</f>
        <v/>
      </c>
      <c r="AD49">
        <f>HYPERLINK("https://klasma.github.io/Logging_2380/tillsynsmail/A 50895-2024 tillsynsbegäran mail.docx", "A 50895-2024")</f>
        <v/>
      </c>
      <c r="AE49">
        <f>HYPERLINK("https://klasma.github.io/Logging_2380/fåglar/A 50895-2024 prioriterade fågelarter.docx", "A 50895-2024")</f>
        <v/>
      </c>
    </row>
    <row r="50" ht="15" customHeight="1">
      <c r="A50" t="inlineStr">
        <is>
          <t>A 27907-2024</t>
        </is>
      </c>
      <c r="B50" t="inlineStr">
        <is>
          <t>avverkningsanmälan</t>
        </is>
      </c>
      <c r="C50" t="inlineStr">
        <is>
          <t>Föryngringsavverkning</t>
        </is>
      </c>
      <c r="D50" s="1" t="n">
        <v>45475</v>
      </c>
      <c r="E50" s="1" t="n">
        <v>46312</v>
      </c>
      <c r="F50" t="inlineStr">
        <is>
          <t>JÄMTLANDS LÄN</t>
        </is>
      </c>
      <c r="G50" t="inlineStr">
        <is>
          <t>ÖSTERSUND</t>
        </is>
      </c>
      <c r="H50" t="inlineStr">
        <is>
          <t>SCA</t>
        </is>
      </c>
      <c r="I50" t="n">
        <v>12.7</v>
      </c>
      <c r="J50" t="n">
        <v>1</v>
      </c>
      <c r="K50" t="n">
        <v>0</v>
      </c>
      <c r="L50" t="n">
        <v>7</v>
      </c>
      <c r="M50" t="n">
        <v>3</v>
      </c>
      <c r="N50" t="n">
        <v>0</v>
      </c>
      <c r="O50" t="n">
        <v>0</v>
      </c>
      <c r="P50" t="n">
        <v>0</v>
      </c>
      <c r="Q50" t="n">
        <v>10</v>
      </c>
      <c r="R50" t="n">
        <v>3</v>
      </c>
      <c r="S50" t="n">
        <v>10</v>
      </c>
      <c r="T50" t="n">
        <v>39</v>
      </c>
      <c r="U50" t="n">
        <v>37</v>
      </c>
      <c r="V50" s="2" t="inlineStr">
        <is>
          <t>Goliatmusseron
Jättemusseron
Skrovlig taggsvamp
Blå taggsvamp
Dropptaggsvamp
Dvärgbägarlav
Orange taggsvamp
Skarp dropptaggsvamp
Tretåig hackspett
Vedflamlav</t>
        </is>
      </c>
      <c r="W50">
        <f>HYPERLINK("https://klasma.github.io/Logging_2380/artfynd/A 27907-2024 artfynd.xlsx", "A 27907-2024")</f>
        <v/>
      </c>
      <c r="X50">
        <f>HYPERLINK("https://klasma.github.io/Logging_2380/kartor/A 27907-2024 karta.png", "A 27907-2024")</f>
        <v/>
      </c>
      <c r="Y50">
        <f>HYPERLINK("https://klasma.github.io/Logging_2380/kartor_geotiff/A 27907-2024 georefererad karta.tif", "A 27907-2024")</f>
        <v/>
      </c>
      <c r="AA50">
        <f>HYPERLINK("https://klasma.github.io/Logging_2380/klagomål/A 27907-2024 FSC-klagomål.docx", "A 27907-2024")</f>
        <v/>
      </c>
      <c r="AB50">
        <f>HYPERLINK("https://klasma.github.io/Logging_2380/klagomålsmail/A 27907-2024 FSC-klagomål mail.docx", "A 27907-2024")</f>
        <v/>
      </c>
      <c r="AC50">
        <f>HYPERLINK("https://klasma.github.io/Logging_2380/tillsyn/A 27907-2024 tillsynsbegäran.docx", "A 27907-2024")</f>
        <v/>
      </c>
      <c r="AD50">
        <f>HYPERLINK("https://klasma.github.io/Logging_2380/tillsynsmail/A 27907-2024 tillsynsbegäran mail.docx", "A 27907-2024")</f>
        <v/>
      </c>
      <c r="AE50">
        <f>HYPERLINK("https://klasma.github.io/Logging_2380/fåglar/A 27907-2024 prioriterade fågelarter.docx", "A 27907-2024")</f>
        <v/>
      </c>
    </row>
    <row r="51" ht="15" customHeight="1">
      <c r="A51" t="inlineStr">
        <is>
          <t>A 21753-2023</t>
        </is>
      </c>
      <c r="B51" t="inlineStr">
        <is>
          <t>avverkningsanmälan</t>
        </is>
      </c>
      <c r="C51" t="inlineStr">
        <is>
          <t>Föryngringsavverkning</t>
        </is>
      </c>
      <c r="D51" s="1" t="n">
        <v>45063</v>
      </c>
      <c r="E51" s="1" t="n">
        <v>46312</v>
      </c>
      <c r="F51" t="inlineStr">
        <is>
          <t>JÄMTLANDS LÄN</t>
        </is>
      </c>
      <c r="G51" t="inlineStr">
        <is>
          <t>ÖSTERSUND</t>
        </is>
      </c>
      <c r="I51" t="n">
        <v>6.1</v>
      </c>
      <c r="J51" t="n">
        <v>6</v>
      </c>
      <c r="K51" t="n">
        <v>2</v>
      </c>
      <c r="L51" t="n">
        <v>3</v>
      </c>
      <c r="M51" t="n">
        <v>2</v>
      </c>
      <c r="N51" t="n">
        <v>0</v>
      </c>
      <c r="O51" t="n">
        <v>0</v>
      </c>
      <c r="P51" t="n">
        <v>0</v>
      </c>
      <c r="Q51" t="n">
        <v>5</v>
      </c>
      <c r="R51" t="n">
        <v>2</v>
      </c>
      <c r="S51" t="n">
        <v>10</v>
      </c>
      <c r="T51" t="n">
        <v>116</v>
      </c>
      <c r="U51" t="n">
        <v>58</v>
      </c>
      <c r="V51" s="2" t="inlineStr">
        <is>
          <t>Knärot
Violett guldvinge
Flattoppad klubbsvamp
Rosenticka
Ullticka
Rödgul trumpetsvamp
Spindelblomster
Blåsippa
Svartvit flugsnappare
Fläcknycklar</t>
        </is>
      </c>
      <c r="W51">
        <f>HYPERLINK("https://klasma.github.io/Logging_2380/artfynd/A 21753-2023 artfynd.xlsx", "A 21753-2023")</f>
        <v/>
      </c>
      <c r="X51">
        <f>HYPERLINK("https://klasma.github.io/Logging_2380/kartor/A 21753-2023 karta.png", "A 21753-2023")</f>
        <v/>
      </c>
      <c r="Y51">
        <f>HYPERLINK("https://klasma.github.io/Logging_2380/kartor_geotiff/A 21753-2023 georefererad karta.tif", "A 21753-2023")</f>
        <v/>
      </c>
      <c r="Z51">
        <f>HYPERLINK("https://klasma.github.io/Logging_2380/knärot/A 21753-2023 karta knärot.png", "A 21753-2023")</f>
        <v/>
      </c>
      <c r="AA51">
        <f>HYPERLINK("https://klasma.github.io/Logging_2380/klagomål/A 21753-2023 FSC-klagomål.docx", "A 21753-2023")</f>
        <v/>
      </c>
      <c r="AB51">
        <f>HYPERLINK("https://klasma.github.io/Logging_2380/klagomålsmail/A 21753-2023 FSC-klagomål mail.docx", "A 21753-2023")</f>
        <v/>
      </c>
      <c r="AC51">
        <f>HYPERLINK("https://klasma.github.io/Logging_2380/tillsyn/A 21753-2023 tillsynsbegäran.docx", "A 21753-2023")</f>
        <v/>
      </c>
      <c r="AD51">
        <f>HYPERLINK("https://klasma.github.io/Logging_2380/tillsynsmail/A 21753-2023 tillsynsbegäran mail.docx", "A 21753-2023")</f>
        <v/>
      </c>
    </row>
    <row r="52" ht="15" customHeight="1">
      <c r="A52" t="inlineStr">
        <is>
          <t>A 45224-2024</t>
        </is>
      </c>
      <c r="B52" t="inlineStr">
        <is>
          <t>avverkningsanmälan</t>
        </is>
      </c>
      <c r="C52" t="inlineStr">
        <is>
          <t>Föryngringsavverkning</t>
        </is>
      </c>
      <c r="D52" s="1" t="n">
        <v>45575</v>
      </c>
      <c r="E52" s="1" t="n">
        <v>46312</v>
      </c>
      <c r="F52" t="inlineStr">
        <is>
          <t>JÄMTLANDS LÄN</t>
        </is>
      </c>
      <c r="G52" t="inlineStr">
        <is>
          <t>ÖSTERSUND</t>
        </is>
      </c>
      <c r="I52" t="n">
        <v>31.6</v>
      </c>
      <c r="J52" t="n">
        <v>5</v>
      </c>
      <c r="K52" t="n">
        <v>5</v>
      </c>
      <c r="L52" t="n">
        <v>2</v>
      </c>
      <c r="M52" t="n">
        <v>1</v>
      </c>
      <c r="N52" t="n">
        <v>0</v>
      </c>
      <c r="O52" t="n">
        <v>0</v>
      </c>
      <c r="P52" t="n">
        <v>0</v>
      </c>
      <c r="Q52" t="n">
        <v>3</v>
      </c>
      <c r="R52" t="n">
        <v>1</v>
      </c>
      <c r="S52" t="n">
        <v>10</v>
      </c>
      <c r="T52" t="n">
        <v>24</v>
      </c>
      <c r="U52" t="n">
        <v>0</v>
      </c>
      <c r="V52" s="2" t="inlineStr">
        <is>
          <t>Garnlav
Talltita
Tretåig hackspett
Gräsull
Guckusko
Rödgul trumpetsvamp
Strimspindling
Vitvaxing agg.
Blåsippa
Tjäder</t>
        </is>
      </c>
      <c r="W52">
        <f>HYPERLINK("https://klasma.github.io/Logging_2380/artfynd/A 45224-2024 artfynd.xlsx", "A 45224-2024")</f>
        <v/>
      </c>
      <c r="X52">
        <f>HYPERLINK("https://klasma.github.io/Logging_2380/kartor/A 45224-2024 karta.png", "A 45224-2024")</f>
        <v/>
      </c>
      <c r="Y52">
        <f>HYPERLINK("https://klasma.github.io/Logging_2380/kartor_geotiff/A 45224-2024 georefererad karta.tif", "A 45224-2024")</f>
        <v/>
      </c>
      <c r="AA52">
        <f>HYPERLINK("https://klasma.github.io/Logging_2380/klagomål/A 45224-2024 FSC-klagomål.docx", "A 45224-2024")</f>
        <v/>
      </c>
      <c r="AB52">
        <f>HYPERLINK("https://klasma.github.io/Logging_2380/klagomålsmail/A 45224-2024 FSC-klagomål mail.docx", "A 45224-2024")</f>
        <v/>
      </c>
      <c r="AC52">
        <f>HYPERLINK("https://klasma.github.io/Logging_2380/tillsyn/A 45224-2024 tillsynsbegäran.docx", "A 45224-2024")</f>
        <v/>
      </c>
      <c r="AD52">
        <f>HYPERLINK("https://klasma.github.io/Logging_2380/tillsynsmail/A 45224-2024 tillsynsbegäran mail.docx", "A 45224-2024")</f>
        <v/>
      </c>
      <c r="AE52">
        <f>HYPERLINK("https://klasma.github.io/Logging_2380/fåglar/A 45224-2024 prioriterade fågelarter.docx", "A 45224-2024")</f>
        <v/>
      </c>
    </row>
    <row r="53" ht="15" customHeight="1">
      <c r="A53" t="inlineStr">
        <is>
          <t>A 17716-2024</t>
        </is>
      </c>
      <c r="B53" t="inlineStr">
        <is>
          <t>avverkningsanmälan</t>
        </is>
      </c>
      <c r="C53" t="inlineStr">
        <is>
          <t>Föryngringsavverkning</t>
        </is>
      </c>
      <c r="D53" s="1" t="n">
        <v>45415</v>
      </c>
      <c r="E53" s="1" t="n">
        <v>46312</v>
      </c>
      <c r="F53" t="inlineStr">
        <is>
          <t>JÄMTLANDS LÄN</t>
        </is>
      </c>
      <c r="G53" t="inlineStr">
        <is>
          <t>ÖSTERSUND</t>
        </is>
      </c>
      <c r="I53" t="n">
        <v>1.4</v>
      </c>
      <c r="J53" t="n">
        <v>10</v>
      </c>
      <c r="K53" t="n">
        <v>2</v>
      </c>
      <c r="L53" t="n">
        <v>1</v>
      </c>
      <c r="M53" t="n">
        <v>1</v>
      </c>
      <c r="N53" t="n">
        <v>1</v>
      </c>
      <c r="O53" t="n">
        <v>0</v>
      </c>
      <c r="P53" t="n">
        <v>0</v>
      </c>
      <c r="Q53" t="n">
        <v>3</v>
      </c>
      <c r="R53" t="n">
        <v>2</v>
      </c>
      <c r="S53" t="n">
        <v>10</v>
      </c>
      <c r="T53" t="n">
        <v>39</v>
      </c>
      <c r="U53" t="n">
        <v>39</v>
      </c>
      <c r="V53" s="2" t="inlineStr">
        <is>
          <t>Storspov
Knärot
Nötkråka
Spindelblomster
Tvåblad
Blåsippa
Järpe
Spillkråka
Tjäder
Fläcknycklar</t>
        </is>
      </c>
      <c r="W53">
        <f>HYPERLINK("https://klasma.github.io/Logging_2380/artfynd/A 17716-2024 artfynd.xlsx", "A 17716-2024")</f>
        <v/>
      </c>
      <c r="X53">
        <f>HYPERLINK("https://klasma.github.io/Logging_2380/kartor/A 17716-2024 karta.png", "A 17716-2024")</f>
        <v/>
      </c>
      <c r="Y53">
        <f>HYPERLINK("https://klasma.github.io/Logging_2380/kartor_geotiff/A 17716-2024 georefererad karta.tif", "A 17716-2024")</f>
        <v/>
      </c>
      <c r="Z53">
        <f>HYPERLINK("https://klasma.github.io/Logging_2380/knärot/A 17716-2024 karta knärot.png", "A 17716-2024")</f>
        <v/>
      </c>
      <c r="AA53">
        <f>HYPERLINK("https://klasma.github.io/Logging_2380/klagomål/A 17716-2024 FSC-klagomål.docx", "A 17716-2024")</f>
        <v/>
      </c>
      <c r="AB53">
        <f>HYPERLINK("https://klasma.github.io/Logging_2380/klagomålsmail/A 17716-2024 FSC-klagomål mail.docx", "A 17716-2024")</f>
        <v/>
      </c>
      <c r="AC53">
        <f>HYPERLINK("https://klasma.github.io/Logging_2380/tillsyn/A 17716-2024 tillsynsbegäran.docx", "A 17716-2024")</f>
        <v/>
      </c>
      <c r="AD53">
        <f>HYPERLINK("https://klasma.github.io/Logging_2380/tillsynsmail/A 17716-2024 tillsynsbegäran mail.docx", "A 17716-2024")</f>
        <v/>
      </c>
      <c r="AE53">
        <f>HYPERLINK("https://klasma.github.io/Logging_2380/fåglar/A 17716-2024 prioriterade fågelarter.docx", "A 17716-2024")</f>
        <v/>
      </c>
    </row>
    <row r="54" ht="15" customHeight="1">
      <c r="A54" t="inlineStr">
        <is>
          <t>A 44489-2024</t>
        </is>
      </c>
      <c r="B54" t="inlineStr">
        <is>
          <t>avverkningsanmälan</t>
        </is>
      </c>
      <c r="C54" t="inlineStr">
        <is>
          <t>Föryngringsavverkning</t>
        </is>
      </c>
      <c r="D54" s="1" t="n">
        <v>45574</v>
      </c>
      <c r="E54" s="1" t="n">
        <v>46312</v>
      </c>
      <c r="F54" t="inlineStr">
        <is>
          <t>JÄMTLANDS LÄN</t>
        </is>
      </c>
      <c r="G54" t="inlineStr">
        <is>
          <t>ÖSTERSUND</t>
        </is>
      </c>
      <c r="H54" t="inlineStr">
        <is>
          <t>SCA</t>
        </is>
      </c>
      <c r="I54" t="n">
        <v>2.7</v>
      </c>
      <c r="J54" t="n">
        <v>3</v>
      </c>
      <c r="K54" t="n">
        <v>6</v>
      </c>
      <c r="L54" t="n">
        <v>1</v>
      </c>
      <c r="M54" t="n">
        <v>1</v>
      </c>
      <c r="N54" t="n">
        <v>0</v>
      </c>
      <c r="O54" t="n">
        <v>0</v>
      </c>
      <c r="P54" t="n">
        <v>0</v>
      </c>
      <c r="Q54" t="n">
        <v>2</v>
      </c>
      <c r="R54" t="n">
        <v>1</v>
      </c>
      <c r="S54" t="n">
        <v>10</v>
      </c>
      <c r="T54" t="n">
        <v>14</v>
      </c>
      <c r="U54" t="n">
        <v>14</v>
      </c>
      <c r="V54" s="2" t="inlineStr">
        <is>
          <t>Garnlav
Vedskivlav
Bronshjon
Gräsull
Korallrot
Norrlandslav
Vågbandad barkbock
Ögonpyrola
Ängsnycklar
Revlummer</t>
        </is>
      </c>
      <c r="W54">
        <f>HYPERLINK("https://klasma.github.io/Logging_2380/artfynd/A 44489-2024 artfynd.xlsx", "A 44489-2024")</f>
        <v/>
      </c>
      <c r="X54">
        <f>HYPERLINK("https://klasma.github.io/Logging_2380/kartor/A 44489-2024 karta.png", "A 44489-2024")</f>
        <v/>
      </c>
      <c r="Y54">
        <f>HYPERLINK("https://klasma.github.io/Logging_2380/kartor_geotiff/A 44489-2024 georefererad karta.tif", "A 44489-2024")</f>
        <v/>
      </c>
      <c r="AA54">
        <f>HYPERLINK("https://klasma.github.io/Logging_2380/klagomål/A 44489-2024 FSC-klagomål.docx", "A 44489-2024")</f>
        <v/>
      </c>
      <c r="AB54">
        <f>HYPERLINK("https://klasma.github.io/Logging_2380/klagomålsmail/A 44489-2024 FSC-klagomål mail.docx", "A 44489-2024")</f>
        <v/>
      </c>
      <c r="AC54">
        <f>HYPERLINK("https://klasma.github.io/Logging_2380/tillsyn/A 44489-2024 tillsynsbegäran.docx", "A 44489-2024")</f>
        <v/>
      </c>
      <c r="AD54">
        <f>HYPERLINK("https://klasma.github.io/Logging_2380/tillsynsmail/A 44489-2024 tillsynsbegäran mail.docx", "A 44489-2024")</f>
        <v/>
      </c>
    </row>
    <row r="55" ht="15" customHeight="1">
      <c r="A55" t="inlineStr">
        <is>
          <t>A 28104-2026</t>
        </is>
      </c>
      <c r="B55" t="inlineStr">
        <is>
          <t>avverkningsanmälan</t>
        </is>
      </c>
      <c r="C55" t="inlineStr">
        <is>
          <t>Föryngringsavverkning</t>
        </is>
      </c>
      <c r="D55" s="1" t="n">
        <v>46195</v>
      </c>
      <c r="E55" s="1" t="n">
        <v>46312</v>
      </c>
      <c r="F55" t="inlineStr">
        <is>
          <t>JÄMTLANDS LÄN</t>
        </is>
      </c>
      <c r="G55" t="inlineStr">
        <is>
          <t>ÖSTERSUND</t>
        </is>
      </c>
      <c r="I55" t="n">
        <v>7.8</v>
      </c>
      <c r="J55" t="n">
        <v>5</v>
      </c>
      <c r="K55" t="n">
        <v>0</v>
      </c>
      <c r="L55" t="n">
        <v>6</v>
      </c>
      <c r="M55" t="n">
        <v>2</v>
      </c>
      <c r="N55" t="n">
        <v>0</v>
      </c>
      <c r="O55" t="n">
        <v>0</v>
      </c>
      <c r="P55" t="n">
        <v>0</v>
      </c>
      <c r="Q55" t="n">
        <v>8</v>
      </c>
      <c r="R55" t="n">
        <v>2</v>
      </c>
      <c r="S55" t="n">
        <v>10</v>
      </c>
      <c r="T55" t="n">
        <v>36</v>
      </c>
      <c r="U55" t="n">
        <v>36</v>
      </c>
      <c r="V55" s="2" t="inlineStr">
        <is>
          <t>Garnlav
Knärot
Gammelgransskål
Harticka
Liten svartspik
Talltita
Tretåig hackspett
Vitgrynig nållav
Spillkråka
Fläcknycklar</t>
        </is>
      </c>
      <c r="W55">
        <f>HYPERLINK("https://klasma.github.io/Logging_2380/artfynd/A 28104-2026 artfynd.xlsx", "A 28104-2026")</f>
        <v/>
      </c>
      <c r="X55">
        <f>HYPERLINK("https://klasma.github.io/Logging_2380/kartor/A 28104-2026 karta.png", "A 28104-2026")</f>
        <v/>
      </c>
      <c r="Y55">
        <f>HYPERLINK("https://klasma.github.io/Logging_2380/kartor_geotiff/A 28104-2026 georefererad karta.tif", "A 28104-2026")</f>
        <v/>
      </c>
      <c r="Z55">
        <f>HYPERLINK("https://klasma.github.io/Logging_2380/knärot/A 28104-2026 karta knärot.png", "A 28104-2026")</f>
        <v/>
      </c>
      <c r="AA55">
        <f>HYPERLINK("https://klasma.github.io/Logging_2380/klagomål/A 28104-2026 FSC-klagomål.docx", "A 28104-2026")</f>
        <v/>
      </c>
      <c r="AB55">
        <f>HYPERLINK("https://klasma.github.io/Logging_2380/klagomålsmail/A 28104-2026 FSC-klagomål mail.docx", "A 28104-2026")</f>
        <v/>
      </c>
      <c r="AC55">
        <f>HYPERLINK("https://klasma.github.io/Logging_2380/tillsyn/A 28104-2026 tillsynsbegäran.docx", "A 28104-2026")</f>
        <v/>
      </c>
      <c r="AD55">
        <f>HYPERLINK("https://klasma.github.io/Logging_2380/tillsynsmail/A 28104-2026 tillsynsbegäran mail.docx", "A 28104-2026")</f>
        <v/>
      </c>
      <c r="AE55">
        <f>HYPERLINK("https://klasma.github.io/Logging_2380/fåglar/A 28104-2026 prioriterade fågelarter.docx", "A 28104-2026")</f>
        <v/>
      </c>
    </row>
    <row r="56" ht="15" customHeight="1">
      <c r="A56" t="inlineStr">
        <is>
          <t>A 47392-2022</t>
        </is>
      </c>
      <c r="B56" t="inlineStr">
        <is>
          <t>avverkningsanmälan</t>
        </is>
      </c>
      <c r="C56" t="inlineStr">
        <is>
          <t>Föryngringsavverkning</t>
        </is>
      </c>
      <c r="D56" s="1" t="n">
        <v>44851</v>
      </c>
      <c r="E56" s="1" t="n">
        <v>46312</v>
      </c>
      <c r="F56" t="inlineStr">
        <is>
          <t>JÄMTLANDS LÄN</t>
        </is>
      </c>
      <c r="G56" t="inlineStr">
        <is>
          <t>ÖSTERSUND</t>
        </is>
      </c>
      <c r="I56" t="n">
        <v>1.6</v>
      </c>
      <c r="J56" t="n">
        <v>6</v>
      </c>
      <c r="K56" t="n">
        <v>5</v>
      </c>
      <c r="L56" t="n">
        <v>2</v>
      </c>
      <c r="M56" t="n">
        <v>2</v>
      </c>
      <c r="N56" t="n">
        <v>0</v>
      </c>
      <c r="O56" t="n">
        <v>0</v>
      </c>
      <c r="P56" t="n">
        <v>0</v>
      </c>
      <c r="Q56" t="n">
        <v>4</v>
      </c>
      <c r="R56" t="n">
        <v>2</v>
      </c>
      <c r="S56" t="n">
        <v>10</v>
      </c>
      <c r="T56" t="n">
        <v>27</v>
      </c>
      <c r="U56" t="n">
        <v>10</v>
      </c>
      <c r="V56" s="2" t="inlineStr">
        <is>
          <t>Garnlav
Knärot
Lunglav
Tretåig hackspett
Blodticka
Guckusko
Plattlummer
Trådfräken
Tvåblad
Revlummer</t>
        </is>
      </c>
      <c r="W56">
        <f>HYPERLINK("https://klasma.github.io/Logging_2380/artfynd/A 47392-2022 artfynd.xlsx", "A 47392-2022")</f>
        <v/>
      </c>
      <c r="X56">
        <f>HYPERLINK("https://klasma.github.io/Logging_2380/kartor/A 47392-2022 karta.png", "A 47392-2022")</f>
        <v/>
      </c>
      <c r="Y56">
        <f>HYPERLINK("https://klasma.github.io/Logging_2380/kartor_geotiff/A 47392-2022 georefererad karta.tif", "A 47392-2022")</f>
        <v/>
      </c>
      <c r="Z56">
        <f>HYPERLINK("https://klasma.github.io/Logging_2380/knärot/A 47392-2022 karta knärot.png", "A 47392-2022")</f>
        <v/>
      </c>
      <c r="AA56">
        <f>HYPERLINK("https://klasma.github.io/Logging_2380/klagomål/A 47392-2022 FSC-klagomål.docx", "A 47392-2022")</f>
        <v/>
      </c>
      <c r="AB56">
        <f>HYPERLINK("https://klasma.github.io/Logging_2380/klagomålsmail/A 47392-2022 FSC-klagomål mail.docx", "A 47392-2022")</f>
        <v/>
      </c>
      <c r="AC56">
        <f>HYPERLINK("https://klasma.github.io/Logging_2380/tillsyn/A 47392-2022 tillsynsbegäran.docx", "A 47392-2022")</f>
        <v/>
      </c>
      <c r="AD56">
        <f>HYPERLINK("https://klasma.github.io/Logging_2380/tillsynsmail/A 47392-2022 tillsynsbegäran mail.docx", "A 47392-2022")</f>
        <v/>
      </c>
      <c r="AE56">
        <f>HYPERLINK("https://klasma.github.io/Logging_2380/fåglar/A 47392-2022 prioriterade fågelarter.docx", "A 47392-2022")</f>
        <v/>
      </c>
    </row>
    <row r="57" ht="15" customHeight="1">
      <c r="A57" t="inlineStr">
        <is>
          <t>A 48959-2025</t>
        </is>
      </c>
      <c r="B57" t="inlineStr">
        <is>
          <t>avverkningsanmälan</t>
        </is>
      </c>
      <c r="C57" t="inlineStr">
        <is>
          <t>Föryngringsavverkning</t>
        </is>
      </c>
      <c r="D57" s="1" t="n">
        <v>45937</v>
      </c>
      <c r="E57" s="1" t="n">
        <v>46312</v>
      </c>
      <c r="F57" t="inlineStr">
        <is>
          <t>JÄMTLANDS LÄN</t>
        </is>
      </c>
      <c r="G57" t="inlineStr">
        <is>
          <t>ÖSTERSUND</t>
        </is>
      </c>
      <c r="I57" t="n">
        <v>10.5</v>
      </c>
      <c r="J57" t="n">
        <v>6</v>
      </c>
      <c r="K57" t="n">
        <v>2</v>
      </c>
      <c r="L57" t="n">
        <v>4</v>
      </c>
      <c r="M57" t="n">
        <v>2</v>
      </c>
      <c r="N57" t="n">
        <v>0</v>
      </c>
      <c r="O57" t="n">
        <v>0</v>
      </c>
      <c r="P57" t="n">
        <v>0</v>
      </c>
      <c r="Q57" t="n">
        <v>6</v>
      </c>
      <c r="R57" t="n">
        <v>2</v>
      </c>
      <c r="S57" t="n">
        <v>10</v>
      </c>
      <c r="T57" t="n">
        <v>60</v>
      </c>
      <c r="U57" t="n">
        <v>60</v>
      </c>
      <c r="V57" s="2" t="inlineStr">
        <is>
          <t>Garnlav
Knärot
Harticka
Talltita
Tretåig hackspett
Ullticka
Korallrot
Trådticka
Spillkråka
Fläcknycklar</t>
        </is>
      </c>
      <c r="W57">
        <f>HYPERLINK("https://klasma.github.io/Logging_2380/artfynd/A 48959-2025 artfynd.xlsx", "A 48959-2025")</f>
        <v/>
      </c>
      <c r="X57">
        <f>HYPERLINK("https://klasma.github.io/Logging_2380/kartor/A 48959-2025 karta.png", "A 48959-2025")</f>
        <v/>
      </c>
      <c r="Y57">
        <f>HYPERLINK("https://klasma.github.io/Logging_2380/kartor_geotiff/A 48959-2025 georefererad karta.tif", "A 48959-2025")</f>
        <v/>
      </c>
      <c r="Z57">
        <f>HYPERLINK("https://klasma.github.io/Logging_2380/knärot/A 48959-2025 karta knärot.png", "A 48959-2025")</f>
        <v/>
      </c>
      <c r="AA57">
        <f>HYPERLINK("https://klasma.github.io/Logging_2380/klagomål/A 48959-2025 FSC-klagomål.docx", "A 48959-2025")</f>
        <v/>
      </c>
      <c r="AB57">
        <f>HYPERLINK("https://klasma.github.io/Logging_2380/klagomålsmail/A 48959-2025 FSC-klagomål mail.docx", "A 48959-2025")</f>
        <v/>
      </c>
      <c r="AC57">
        <f>HYPERLINK("https://klasma.github.io/Logging_2380/tillsyn/A 48959-2025 tillsynsbegäran.docx", "A 48959-2025")</f>
        <v/>
      </c>
      <c r="AD57">
        <f>HYPERLINK("https://klasma.github.io/Logging_2380/tillsynsmail/A 48959-2025 tillsynsbegäran mail.docx", "A 48959-2025")</f>
        <v/>
      </c>
      <c r="AE57">
        <f>HYPERLINK("https://klasma.github.io/Logging_2380/fåglar/A 48959-2025 prioriterade fågelarter.docx", "A 48959-2025")</f>
        <v/>
      </c>
    </row>
    <row r="58" ht="15" customHeight="1">
      <c r="A58" t="inlineStr">
        <is>
          <t>A 3512-2026</t>
        </is>
      </c>
      <c r="B58" t="inlineStr">
        <is>
          <t>avverkningsanmälan</t>
        </is>
      </c>
      <c r="C58" t="inlineStr">
        <is>
          <t>Föryngringsavverkning</t>
        </is>
      </c>
      <c r="D58" s="1" t="n">
        <v>46042</v>
      </c>
      <c r="E58" s="1" t="n">
        <v>46312</v>
      </c>
      <c r="F58" t="inlineStr">
        <is>
          <t>JÄMTLANDS LÄN</t>
        </is>
      </c>
      <c r="G58" t="inlineStr">
        <is>
          <t>ÖSTERSUND</t>
        </is>
      </c>
      <c r="I58" t="n">
        <v>5.7</v>
      </c>
      <c r="J58" t="n">
        <v>3</v>
      </c>
      <c r="K58" t="n">
        <v>1</v>
      </c>
      <c r="L58" t="n">
        <v>6</v>
      </c>
      <c r="M58" t="n">
        <v>2</v>
      </c>
      <c r="N58" t="n">
        <v>0</v>
      </c>
      <c r="O58" t="n">
        <v>0</v>
      </c>
      <c r="P58" t="n">
        <v>0</v>
      </c>
      <c r="Q58" t="n">
        <v>8</v>
      </c>
      <c r="R58" t="n">
        <v>2</v>
      </c>
      <c r="S58" t="n">
        <v>10</v>
      </c>
      <c r="T58" t="n">
        <v>20</v>
      </c>
      <c r="U58" t="n">
        <v>19</v>
      </c>
      <c r="V58" s="2" t="inlineStr">
        <is>
          <t>Garnlav
Violett guldvinge
Kolflarnlav
Slåtterfibbla
Talltagel
Talltita
Tretåig hackspett
Vitgrynig nållav
Skinnlav
Kattfot</t>
        </is>
      </c>
      <c r="W58">
        <f>HYPERLINK("https://klasma.github.io/Logging_2380/artfynd/A 3512-2026 artfynd.xlsx", "A 3512-2026")</f>
        <v/>
      </c>
      <c r="X58">
        <f>HYPERLINK("https://klasma.github.io/Logging_2380/kartor/A 3512-2026 karta.png", "A 3512-2026")</f>
        <v/>
      </c>
      <c r="Y58">
        <f>HYPERLINK("https://klasma.github.io/Logging_2380/kartor_geotiff/A 3512-2026 georefererad karta.tif", "A 3512-2026")</f>
        <v/>
      </c>
      <c r="AA58">
        <f>HYPERLINK("https://klasma.github.io/Logging_2380/klagomål/A 3512-2026 FSC-klagomål.docx", "A 3512-2026")</f>
        <v/>
      </c>
      <c r="AB58">
        <f>HYPERLINK("https://klasma.github.io/Logging_2380/klagomålsmail/A 3512-2026 FSC-klagomål mail.docx", "A 3512-2026")</f>
        <v/>
      </c>
      <c r="AC58">
        <f>HYPERLINK("https://klasma.github.io/Logging_2380/tillsyn/A 3512-2026 tillsynsbegäran.docx", "A 3512-2026")</f>
        <v/>
      </c>
      <c r="AD58">
        <f>HYPERLINK("https://klasma.github.io/Logging_2380/tillsynsmail/A 3512-2026 tillsynsbegäran mail.docx", "A 3512-2026")</f>
        <v/>
      </c>
      <c r="AE58">
        <f>HYPERLINK("https://klasma.github.io/Logging_2380/fåglar/A 3512-2026 prioriterade fågelarter.docx", "A 3512-2026")</f>
        <v/>
      </c>
    </row>
    <row r="59" ht="15" customHeight="1">
      <c r="A59" t="inlineStr">
        <is>
          <t>A 34816-2024</t>
        </is>
      </c>
      <c r="B59" t="inlineStr">
        <is>
          <t>avverkningsanmälan</t>
        </is>
      </c>
      <c r="C59" t="inlineStr">
        <is>
          <t>Föryngringsavverkning</t>
        </is>
      </c>
      <c r="D59" s="1" t="n">
        <v>45526</v>
      </c>
      <c r="E59" s="1" t="n">
        <v>46312</v>
      </c>
      <c r="F59" t="inlineStr">
        <is>
          <t>JÄMTLANDS LÄN</t>
        </is>
      </c>
      <c r="G59" t="inlineStr">
        <is>
          <t>ÖSTERSUND</t>
        </is>
      </c>
      <c r="H59" t="inlineStr">
        <is>
          <t>SCA</t>
        </is>
      </c>
      <c r="I59" t="n">
        <v>14.4</v>
      </c>
      <c r="J59" t="n">
        <v>0</v>
      </c>
      <c r="K59" t="n">
        <v>0</v>
      </c>
      <c r="L59" t="n">
        <v>8</v>
      </c>
      <c r="M59" t="n">
        <v>2</v>
      </c>
      <c r="N59" t="n">
        <v>0</v>
      </c>
      <c r="O59" t="n">
        <v>0</v>
      </c>
      <c r="P59" t="n">
        <v>0</v>
      </c>
      <c r="Q59" t="n">
        <v>10</v>
      </c>
      <c r="R59" t="n">
        <v>2</v>
      </c>
      <c r="S59" t="n">
        <v>10</v>
      </c>
      <c r="T59" t="n">
        <v>20</v>
      </c>
      <c r="U59" t="n">
        <v>19</v>
      </c>
      <c r="V59" s="2" t="inlineStr">
        <is>
          <t>Fläckporing
Skrovlig taggsvamp
Blå taggsvamp
Dvärgbägarlav
Lunglav
Mörk kolflarnlav
Orange taggsvamp
Reliktbock
Stiftgelélav
Vedskivlav</t>
        </is>
      </c>
      <c r="W59">
        <f>HYPERLINK("https://klasma.github.io/Logging_2380/artfynd/A 34816-2024 artfynd.xlsx", "A 34816-2024")</f>
        <v/>
      </c>
      <c r="X59">
        <f>HYPERLINK("https://klasma.github.io/Logging_2380/kartor/A 34816-2024 karta.png", "A 34816-2024")</f>
        <v/>
      </c>
      <c r="Y59">
        <f>HYPERLINK("https://klasma.github.io/Logging_2380/kartor_geotiff/A 34816-2024 georefererad karta.tif", "A 34816-2024")</f>
        <v/>
      </c>
      <c r="AA59">
        <f>HYPERLINK("https://klasma.github.io/Logging_2380/klagomål/A 34816-2024 FSC-klagomål.docx", "A 34816-2024")</f>
        <v/>
      </c>
      <c r="AB59">
        <f>HYPERLINK("https://klasma.github.io/Logging_2380/klagomålsmail/A 34816-2024 FSC-klagomål mail.docx", "A 34816-2024")</f>
        <v/>
      </c>
      <c r="AC59">
        <f>HYPERLINK("https://klasma.github.io/Logging_2380/tillsyn/A 34816-2024 tillsynsbegäran.docx", "A 34816-2024")</f>
        <v/>
      </c>
      <c r="AD59">
        <f>HYPERLINK("https://klasma.github.io/Logging_2380/tillsynsmail/A 34816-2024 tillsynsbegäran mail.docx", "A 34816-2024")</f>
        <v/>
      </c>
    </row>
    <row r="60" ht="15" customHeight="1">
      <c r="A60" t="inlineStr">
        <is>
          <t>A 55314-2024</t>
        </is>
      </c>
      <c r="B60" t="inlineStr">
        <is>
          <t>avverkningsanmälan</t>
        </is>
      </c>
      <c r="C60" t="inlineStr">
        <is>
          <t>Föryngringsavverkning</t>
        </is>
      </c>
      <c r="D60" s="1" t="n">
        <v>45621</v>
      </c>
      <c r="E60" s="1" t="n">
        <v>46312</v>
      </c>
      <c r="F60" t="inlineStr">
        <is>
          <t>JÄMTLANDS LÄN</t>
        </is>
      </c>
      <c r="G60" t="inlineStr">
        <is>
          <t>ÖSTERSUND</t>
        </is>
      </c>
      <c r="I60" t="n">
        <v>14.2</v>
      </c>
      <c r="J60" t="n">
        <v>4</v>
      </c>
      <c r="K60" t="n">
        <v>3</v>
      </c>
      <c r="L60" t="n">
        <v>4</v>
      </c>
      <c r="M60" t="n">
        <v>1</v>
      </c>
      <c r="N60" t="n">
        <v>0</v>
      </c>
      <c r="O60" t="n">
        <v>0</v>
      </c>
      <c r="P60" t="n">
        <v>0</v>
      </c>
      <c r="Q60" t="n">
        <v>5</v>
      </c>
      <c r="R60" t="n">
        <v>1</v>
      </c>
      <c r="S60" t="n">
        <v>10</v>
      </c>
      <c r="T60" t="n">
        <v>54</v>
      </c>
      <c r="U60" t="n">
        <v>54</v>
      </c>
      <c r="V60" s="2" t="inlineStr">
        <is>
          <t>Garnlav
Lunglav
Skrovellav
Talltita
Tretåig hackspett
Bårdlav
Luddlav
Stuplav
Spillkråka
Tjäder</t>
        </is>
      </c>
      <c r="W60">
        <f>HYPERLINK("https://klasma.github.io/Logging_2380/artfynd/A 55314-2024 artfynd.xlsx", "A 55314-2024")</f>
        <v/>
      </c>
      <c r="X60">
        <f>HYPERLINK("https://klasma.github.io/Logging_2380/kartor/A 55314-2024 karta.png", "A 55314-2024")</f>
        <v/>
      </c>
      <c r="Y60">
        <f>HYPERLINK("https://klasma.github.io/Logging_2380/kartor_geotiff/A 55314-2024 georefererad karta.tif", "A 55314-2024")</f>
        <v/>
      </c>
      <c r="AA60">
        <f>HYPERLINK("https://klasma.github.io/Logging_2380/klagomål/A 55314-2024 FSC-klagomål.docx", "A 55314-2024")</f>
        <v/>
      </c>
      <c r="AB60">
        <f>HYPERLINK("https://klasma.github.io/Logging_2380/klagomålsmail/A 55314-2024 FSC-klagomål mail.docx", "A 55314-2024")</f>
        <v/>
      </c>
      <c r="AC60">
        <f>HYPERLINK("https://klasma.github.io/Logging_2380/tillsyn/A 55314-2024 tillsynsbegäran.docx", "A 55314-2024")</f>
        <v/>
      </c>
      <c r="AD60">
        <f>HYPERLINK("https://klasma.github.io/Logging_2380/tillsynsmail/A 55314-2024 tillsynsbegäran mail.docx", "A 55314-2024")</f>
        <v/>
      </c>
      <c r="AE60">
        <f>HYPERLINK("https://klasma.github.io/Logging_2380/fåglar/A 55314-2024 prioriterade fågelarter.docx", "A 55314-2024")</f>
        <v/>
      </c>
    </row>
    <row r="61" ht="15" customHeight="1">
      <c r="A61" t="inlineStr">
        <is>
          <t>A 4223-2026</t>
        </is>
      </c>
      <c r="B61" t="inlineStr">
        <is>
          <t>avverkningsanmälan</t>
        </is>
      </c>
      <c r="C61" t="inlineStr">
        <is>
          <t>Föryngringsavverkning</t>
        </is>
      </c>
      <c r="D61" s="1" t="n">
        <v>46044</v>
      </c>
      <c r="E61" s="1" t="n">
        <v>46312</v>
      </c>
      <c r="F61" t="inlineStr">
        <is>
          <t>JÄMTLANDS LÄN</t>
        </is>
      </c>
      <c r="G61" t="inlineStr">
        <is>
          <t>ÖSTERSUND</t>
        </is>
      </c>
      <c r="I61" t="n">
        <v>3.5</v>
      </c>
      <c r="J61" t="n">
        <v>1</v>
      </c>
      <c r="K61" t="n">
        <v>3</v>
      </c>
      <c r="L61" t="n">
        <v>5</v>
      </c>
      <c r="M61" t="n">
        <v>2</v>
      </c>
      <c r="N61" t="n">
        <v>0</v>
      </c>
      <c r="O61" t="n">
        <v>0</v>
      </c>
      <c r="P61" t="n">
        <v>0</v>
      </c>
      <c r="Q61" t="n">
        <v>7</v>
      </c>
      <c r="R61" t="n">
        <v>2</v>
      </c>
      <c r="S61" t="n">
        <v>10</v>
      </c>
      <c r="T61" t="n">
        <v>17</v>
      </c>
      <c r="U61" t="n">
        <v>17</v>
      </c>
      <c r="V61" s="2" t="inlineStr">
        <is>
          <t>Garnlav
Taggfingersvamp
Fjällig taggsvamp s.str.
Gultoppig fingersvamp
Orange taggsvamp
Slåtterfibbla
Vårärt
Svart trolldruva
Tvåblad
Underviol</t>
        </is>
      </c>
      <c r="W61">
        <f>HYPERLINK("https://klasma.github.io/Logging_2380/artfynd/A 4223-2026 artfynd.xlsx", "A 4223-2026")</f>
        <v/>
      </c>
      <c r="X61">
        <f>HYPERLINK("https://klasma.github.io/Logging_2380/kartor/A 4223-2026 karta.png", "A 4223-2026")</f>
        <v/>
      </c>
      <c r="Y61">
        <f>HYPERLINK("https://klasma.github.io/Logging_2380/kartor_geotiff/A 4223-2026 georefererad karta.tif", "A 4223-2026")</f>
        <v/>
      </c>
      <c r="AA61">
        <f>HYPERLINK("https://klasma.github.io/Logging_2380/klagomål/A 4223-2026 FSC-klagomål.docx", "A 4223-2026")</f>
        <v/>
      </c>
      <c r="AB61">
        <f>HYPERLINK("https://klasma.github.io/Logging_2380/klagomålsmail/A 4223-2026 FSC-klagomål mail.docx", "A 4223-2026")</f>
        <v/>
      </c>
      <c r="AC61">
        <f>HYPERLINK("https://klasma.github.io/Logging_2380/tillsyn/A 4223-2026 tillsynsbegäran.docx", "A 4223-2026")</f>
        <v/>
      </c>
      <c r="AD61">
        <f>HYPERLINK("https://klasma.github.io/Logging_2380/tillsynsmail/A 4223-2026 tillsynsbegäran mail.docx", "A 4223-2026")</f>
        <v/>
      </c>
    </row>
    <row r="62" ht="15" customHeight="1">
      <c r="A62" t="inlineStr">
        <is>
          <t>S 3289-2025</t>
        </is>
      </c>
      <c r="B62" t="inlineStr">
        <is>
          <t>samrådsanmälan</t>
        </is>
      </c>
      <c r="C62" t="inlineStr">
        <is>
          <t>Annan skogsbruksåtgärd</t>
        </is>
      </c>
      <c r="D62" s="1" t="n">
        <v>45986</v>
      </c>
      <c r="E62" s="1" t="n">
        <v>46312</v>
      </c>
      <c r="F62" t="inlineStr">
        <is>
          <t>JÄMTLANDS LÄN</t>
        </is>
      </c>
      <c r="G62" t="inlineStr">
        <is>
          <t>ÖSTERSUND</t>
        </is>
      </c>
      <c r="I62" t="n">
        <v>5.6</v>
      </c>
      <c r="J62" t="n">
        <v>3</v>
      </c>
      <c r="K62" t="n">
        <v>1</v>
      </c>
      <c r="L62" t="n">
        <v>6</v>
      </c>
      <c r="M62" t="n">
        <v>2</v>
      </c>
      <c r="N62" t="n">
        <v>0</v>
      </c>
      <c r="O62" t="n">
        <v>0</v>
      </c>
      <c r="P62" t="n">
        <v>0</v>
      </c>
      <c r="Q62" t="n">
        <v>8</v>
      </c>
      <c r="R62" t="n">
        <v>2</v>
      </c>
      <c r="S62" t="n">
        <v>10</v>
      </c>
      <c r="T62" t="n">
        <v>20</v>
      </c>
      <c r="U62" t="n">
        <v>19</v>
      </c>
      <c r="V62" s="2" t="inlineStr">
        <is>
          <t>Garnlav
Violett guldvinge
Kolflarnlav
Slåtterfibbla
Talltagel
Talltita
Tretåig hackspett
Vitgrynig nållav
Skinnlav
Kattfot</t>
        </is>
      </c>
      <c r="W62">
        <f>HYPERLINK("https://klasma.github.io/Logging_2380/artfynd/S 3289-2025 artfynd.xlsx", "S 3289-2025")</f>
        <v/>
      </c>
      <c r="X62">
        <f>HYPERLINK("https://klasma.github.io/Logging_2380/kartor/S 3289-2025 karta.png", "S 3289-2025")</f>
        <v/>
      </c>
      <c r="Y62">
        <f>HYPERLINK("https://klasma.github.io/Logging_2380/kartor_geotiff/S 3289-2025 georefererad karta.tif", "S 3289-2025")</f>
        <v/>
      </c>
      <c r="AA62">
        <f>HYPERLINK("https://klasma.github.io/Logging_2380/klagomål/S 3289-2025 FSC-klagomål.docx", "S 3289-2025")</f>
        <v/>
      </c>
      <c r="AB62">
        <f>HYPERLINK("https://klasma.github.io/Logging_2380/klagomålsmail/S 3289-2025 FSC-klagomål mail.docx", "S 3289-2025")</f>
        <v/>
      </c>
      <c r="AC62">
        <f>HYPERLINK("https://klasma.github.io/Logging_2380/tillsyn/S 3289-2025 tillsynsbegäran.docx", "S 3289-2025")</f>
        <v/>
      </c>
      <c r="AD62">
        <f>HYPERLINK("https://klasma.github.io/Logging_2380/tillsynsmail/S 3289-2025 tillsynsbegäran mail.docx", "S 3289-2025")</f>
        <v/>
      </c>
      <c r="AE62">
        <f>HYPERLINK("https://klasma.github.io/Logging_2380/fåglar/S 3289-2025 prioriterade fågelarter.docx", "S 3289-2025")</f>
        <v/>
      </c>
    </row>
    <row r="63" ht="15" customHeight="1">
      <c r="A63" t="inlineStr">
        <is>
          <t>A 61766-2024</t>
        </is>
      </c>
      <c r="B63" t="inlineStr">
        <is>
          <t>avverkningsanmälan</t>
        </is>
      </c>
      <c r="C63" t="inlineStr">
        <is>
          <t>Föryngringsavverkning</t>
        </is>
      </c>
      <c r="D63" s="1" t="n">
        <v>45649</v>
      </c>
      <c r="E63" s="1" t="n">
        <v>46312</v>
      </c>
      <c r="F63" t="inlineStr">
        <is>
          <t>JÄMTLANDS LÄN</t>
        </is>
      </c>
      <c r="G63" t="inlineStr">
        <is>
          <t>ÖSTERSUND</t>
        </is>
      </c>
      <c r="I63" t="n">
        <v>14.9</v>
      </c>
      <c r="J63" t="n">
        <v>5</v>
      </c>
      <c r="K63" t="n">
        <v>1</v>
      </c>
      <c r="L63" t="n">
        <v>4</v>
      </c>
      <c r="M63" t="n">
        <v>1</v>
      </c>
      <c r="N63" t="n">
        <v>0</v>
      </c>
      <c r="O63" t="n">
        <v>0</v>
      </c>
      <c r="P63" t="n">
        <v>0</v>
      </c>
      <c r="Q63" t="n">
        <v>5</v>
      </c>
      <c r="R63" t="n">
        <v>1</v>
      </c>
      <c r="S63" t="n">
        <v>9</v>
      </c>
      <c r="T63" t="n">
        <v>69</v>
      </c>
      <c r="U63" t="n">
        <v>69</v>
      </c>
      <c r="V63" s="2" t="inlineStr">
        <is>
          <t>Garnlav
Gammelgransskål
Lunglav
Talltita
Tretåig hackspett
Luddlav
Järpe
Spillkråka
Revlummer</t>
        </is>
      </c>
      <c r="W63">
        <f>HYPERLINK("https://klasma.github.io/Logging_2380/artfynd/A 61766-2024 artfynd.xlsx", "A 61766-2024")</f>
        <v/>
      </c>
      <c r="X63">
        <f>HYPERLINK("https://klasma.github.io/Logging_2380/kartor/A 61766-2024 karta.png", "A 61766-2024")</f>
        <v/>
      </c>
      <c r="Y63">
        <f>HYPERLINK("https://klasma.github.io/Logging_2380/kartor_geotiff/A 61766-2024 georefererad karta.tif", "A 61766-2024")</f>
        <v/>
      </c>
      <c r="AA63">
        <f>HYPERLINK("https://klasma.github.io/Logging_2380/klagomål/A 61766-2024 FSC-klagomål.docx", "A 61766-2024")</f>
        <v/>
      </c>
      <c r="AB63">
        <f>HYPERLINK("https://klasma.github.io/Logging_2380/klagomålsmail/A 61766-2024 FSC-klagomål mail.docx", "A 61766-2024")</f>
        <v/>
      </c>
      <c r="AC63">
        <f>HYPERLINK("https://klasma.github.io/Logging_2380/tillsyn/A 61766-2024 tillsynsbegäran.docx", "A 61766-2024")</f>
        <v/>
      </c>
      <c r="AD63">
        <f>HYPERLINK("https://klasma.github.io/Logging_2380/tillsynsmail/A 61766-2024 tillsynsbegäran mail.docx", "A 61766-2024")</f>
        <v/>
      </c>
      <c r="AE63">
        <f>HYPERLINK("https://klasma.github.io/Logging_2380/fåglar/A 61766-2024 prioriterade fågelarter.docx", "A 61766-2024")</f>
        <v/>
      </c>
    </row>
    <row r="64" ht="15" customHeight="1">
      <c r="A64" t="inlineStr">
        <is>
          <t>A 12285-2022</t>
        </is>
      </c>
      <c r="B64" t="inlineStr">
        <is>
          <t>avverkningsanmälan</t>
        </is>
      </c>
      <c r="C64" t="inlineStr">
        <is>
          <t>Föryngringsavverkning</t>
        </is>
      </c>
      <c r="D64" s="1" t="n">
        <v>44637</v>
      </c>
      <c r="E64" s="1" t="n">
        <v>46312</v>
      </c>
      <c r="F64" t="inlineStr">
        <is>
          <t>JÄMTLANDS LÄN</t>
        </is>
      </c>
      <c r="G64" t="inlineStr">
        <is>
          <t>ÖSTERSUND</t>
        </is>
      </c>
      <c r="I64" t="n">
        <v>1.4</v>
      </c>
      <c r="J64" t="n">
        <v>7</v>
      </c>
      <c r="K64" t="n">
        <v>5</v>
      </c>
      <c r="L64" t="n">
        <v>0</v>
      </c>
      <c r="M64" t="n">
        <v>0</v>
      </c>
      <c r="N64" t="n">
        <v>0</v>
      </c>
      <c r="O64" t="n">
        <v>0</v>
      </c>
      <c r="P64" t="n">
        <v>0</v>
      </c>
      <c r="Q64" t="n">
        <v>0</v>
      </c>
      <c r="R64" t="n">
        <v>0</v>
      </c>
      <c r="S64" t="n">
        <v>9</v>
      </c>
      <c r="T64" t="n">
        <v>9</v>
      </c>
      <c r="U64" t="n">
        <v>0</v>
      </c>
      <c r="V64" s="2" t="inlineStr">
        <is>
          <t>Finbräken
Flugblomster
Gräsull
Grönkulla
Tvåblad
Brudsporre
Dubbelnycklar
Fläcknycklar
Vanliga ängsnycklar</t>
        </is>
      </c>
      <c r="W64">
        <f>HYPERLINK("https://klasma.github.io/Logging_2380/artfynd/A 12285-2022 artfynd.xlsx", "A 12285-2022")</f>
        <v/>
      </c>
      <c r="X64">
        <f>HYPERLINK("https://klasma.github.io/Logging_2380/kartor/A 12285-2022 karta.png", "A 12285-2022")</f>
        <v/>
      </c>
      <c r="Y64">
        <f>HYPERLINK("https://klasma.github.io/Logging_2380/kartor_geotiff/A 12285-2022 georefererad karta.tif", "A 12285-2022")</f>
        <v/>
      </c>
      <c r="AA64">
        <f>HYPERLINK("https://klasma.github.io/Logging_2380/klagomål/A 12285-2022 FSC-klagomål.docx", "A 12285-2022")</f>
        <v/>
      </c>
      <c r="AB64">
        <f>HYPERLINK("https://klasma.github.io/Logging_2380/klagomålsmail/A 12285-2022 FSC-klagomål mail.docx", "A 12285-2022")</f>
        <v/>
      </c>
      <c r="AC64">
        <f>HYPERLINK("https://klasma.github.io/Logging_2380/tillsyn/A 12285-2022 tillsynsbegäran.docx", "A 12285-2022")</f>
        <v/>
      </c>
      <c r="AD64">
        <f>HYPERLINK("https://klasma.github.io/Logging_2380/tillsynsmail/A 12285-2022 tillsynsbegäran mail.docx", "A 12285-2022")</f>
        <v/>
      </c>
    </row>
    <row r="65" ht="15" customHeight="1">
      <c r="A65" t="inlineStr">
        <is>
          <t>A 26796-2024</t>
        </is>
      </c>
      <c r="B65" t="inlineStr">
        <is>
          <t>avverkningsanmälan</t>
        </is>
      </c>
      <c r="C65" t="inlineStr">
        <is>
          <t>Föryngringsavverkning</t>
        </is>
      </c>
      <c r="D65" s="1" t="n">
        <v>45470</v>
      </c>
      <c r="E65" s="1" t="n">
        <v>46312</v>
      </c>
      <c r="F65" t="inlineStr">
        <is>
          <t>JÄMTLANDS LÄN</t>
        </is>
      </c>
      <c r="G65" t="inlineStr">
        <is>
          <t>ÖSTERSUND</t>
        </is>
      </c>
      <c r="I65" t="n">
        <v>13.5</v>
      </c>
      <c r="J65" t="n">
        <v>6</v>
      </c>
      <c r="K65" t="n">
        <v>1</v>
      </c>
      <c r="L65" t="n">
        <v>4</v>
      </c>
      <c r="M65" t="n">
        <v>2</v>
      </c>
      <c r="N65" t="n">
        <v>0</v>
      </c>
      <c r="O65" t="n">
        <v>0</v>
      </c>
      <c r="P65" t="n">
        <v>0</v>
      </c>
      <c r="Q65" t="n">
        <v>6</v>
      </c>
      <c r="R65" t="n">
        <v>2</v>
      </c>
      <c r="S65" t="n">
        <v>9</v>
      </c>
      <c r="T65" t="n">
        <v>59</v>
      </c>
      <c r="U65" t="n">
        <v>59</v>
      </c>
      <c r="V65" s="2" t="inlineStr">
        <is>
          <t>Garnlav
Knärot
Harticka
Talltita
Tretåig hackspett
Ullticka
Spindelblomster
Kungsfågel
Revlummer</t>
        </is>
      </c>
      <c r="W65">
        <f>HYPERLINK("https://klasma.github.io/Logging_2380/artfynd/A 26796-2024 artfynd.xlsx", "A 26796-2024")</f>
        <v/>
      </c>
      <c r="X65">
        <f>HYPERLINK("https://klasma.github.io/Logging_2380/kartor/A 26796-2024 karta.png", "A 26796-2024")</f>
        <v/>
      </c>
      <c r="Y65">
        <f>HYPERLINK("https://klasma.github.io/Logging_2380/kartor_geotiff/A 26796-2024 georefererad karta.tif", "A 26796-2024")</f>
        <v/>
      </c>
      <c r="Z65">
        <f>HYPERLINK("https://klasma.github.io/Logging_2380/knärot/A 26796-2024 karta knärot.png", "A 26796-2024")</f>
        <v/>
      </c>
      <c r="AA65">
        <f>HYPERLINK("https://klasma.github.io/Logging_2380/klagomål/A 26796-2024 FSC-klagomål.docx", "A 26796-2024")</f>
        <v/>
      </c>
      <c r="AB65">
        <f>HYPERLINK("https://klasma.github.io/Logging_2380/klagomålsmail/A 26796-2024 FSC-klagomål mail.docx", "A 26796-2024")</f>
        <v/>
      </c>
      <c r="AC65">
        <f>HYPERLINK("https://klasma.github.io/Logging_2380/tillsyn/A 26796-2024 tillsynsbegäran.docx", "A 26796-2024")</f>
        <v/>
      </c>
      <c r="AD65">
        <f>HYPERLINK("https://klasma.github.io/Logging_2380/tillsynsmail/A 26796-2024 tillsynsbegäran mail.docx", "A 26796-2024")</f>
        <v/>
      </c>
      <c r="AE65">
        <f>HYPERLINK("https://klasma.github.io/Logging_2380/fåglar/A 26796-2024 prioriterade fågelarter.docx", "A 26796-2024")</f>
        <v/>
      </c>
    </row>
    <row r="66" ht="15" customHeight="1">
      <c r="A66" t="inlineStr">
        <is>
          <t>A 49928-2025</t>
        </is>
      </c>
      <c r="B66" t="inlineStr">
        <is>
          <t>avverkningsanmälan</t>
        </is>
      </c>
      <c r="C66" t="inlineStr">
        <is>
          <t>Föryngringsavverkning</t>
        </is>
      </c>
      <c r="D66" s="1" t="n">
        <v>45940</v>
      </c>
      <c r="E66" s="1" t="n">
        <v>46312</v>
      </c>
      <c r="F66" t="inlineStr">
        <is>
          <t>JÄMTLANDS LÄN</t>
        </is>
      </c>
      <c r="G66" t="inlineStr">
        <is>
          <t>ÖSTERSUND</t>
        </is>
      </c>
      <c r="I66" t="n">
        <v>6.4</v>
      </c>
      <c r="J66" t="n">
        <v>3</v>
      </c>
      <c r="K66" t="n">
        <v>2</v>
      </c>
      <c r="L66" t="n">
        <v>4</v>
      </c>
      <c r="M66" t="n">
        <v>2</v>
      </c>
      <c r="N66" t="n">
        <v>0</v>
      </c>
      <c r="O66" t="n">
        <v>0</v>
      </c>
      <c r="P66" t="n">
        <v>0</v>
      </c>
      <c r="Q66" t="n">
        <v>6</v>
      </c>
      <c r="R66" t="n">
        <v>2</v>
      </c>
      <c r="S66" t="n">
        <v>9</v>
      </c>
      <c r="T66" t="n">
        <v>46</v>
      </c>
      <c r="U66" t="n">
        <v>46</v>
      </c>
      <c r="V66" s="2" t="inlineStr">
        <is>
          <t>Garnlav
Knärot
Doftskinn
Harticka
Tretåig hackspett
Ullticka
Rödgul trumpetsvamp
Trådticka
Revlummer</t>
        </is>
      </c>
      <c r="W66">
        <f>HYPERLINK("https://klasma.github.io/Logging_2380/artfynd/A 49928-2025 artfynd.xlsx", "A 49928-2025")</f>
        <v/>
      </c>
      <c r="X66">
        <f>HYPERLINK("https://klasma.github.io/Logging_2380/kartor/A 49928-2025 karta.png", "A 49928-2025")</f>
        <v/>
      </c>
      <c r="Y66">
        <f>HYPERLINK("https://klasma.github.io/Logging_2380/kartor_geotiff/A 49928-2025 georefererad karta.tif", "A 49928-2025")</f>
        <v/>
      </c>
      <c r="Z66">
        <f>HYPERLINK("https://klasma.github.io/Logging_2380/knärot/A 49928-2025 karta knärot.png", "A 49928-2025")</f>
        <v/>
      </c>
      <c r="AA66">
        <f>HYPERLINK("https://klasma.github.io/Logging_2380/klagomål/A 49928-2025 FSC-klagomål.docx", "A 49928-2025")</f>
        <v/>
      </c>
      <c r="AB66">
        <f>HYPERLINK("https://klasma.github.io/Logging_2380/klagomålsmail/A 49928-2025 FSC-klagomål mail.docx", "A 49928-2025")</f>
        <v/>
      </c>
      <c r="AC66">
        <f>HYPERLINK("https://klasma.github.io/Logging_2380/tillsyn/A 49928-2025 tillsynsbegäran.docx", "A 49928-2025")</f>
        <v/>
      </c>
      <c r="AD66">
        <f>HYPERLINK("https://klasma.github.io/Logging_2380/tillsynsmail/A 49928-2025 tillsynsbegäran mail.docx", "A 49928-2025")</f>
        <v/>
      </c>
      <c r="AE66">
        <f>HYPERLINK("https://klasma.github.io/Logging_2380/fåglar/A 49928-2025 prioriterade fågelarter.docx", "A 49928-2025")</f>
        <v/>
      </c>
    </row>
    <row r="67" ht="15" customHeight="1">
      <c r="A67" t="inlineStr">
        <is>
          <t>A 49056-2025</t>
        </is>
      </c>
      <c r="B67" t="inlineStr">
        <is>
          <t>avverkningsanmälan</t>
        </is>
      </c>
      <c r="C67" t="inlineStr">
        <is>
          <t>Föryngringsavverkning</t>
        </is>
      </c>
      <c r="D67" s="1" t="n">
        <v>45937</v>
      </c>
      <c r="E67" s="1" t="n">
        <v>46312</v>
      </c>
      <c r="F67" t="inlineStr">
        <is>
          <t>JÄMTLANDS LÄN</t>
        </is>
      </c>
      <c r="G67" t="inlineStr">
        <is>
          <t>ÖSTERSUND</t>
        </is>
      </c>
      <c r="I67" t="n">
        <v>6.1</v>
      </c>
      <c r="J67" t="n">
        <v>5</v>
      </c>
      <c r="K67" t="n">
        <v>3</v>
      </c>
      <c r="L67" t="n">
        <v>2</v>
      </c>
      <c r="M67" t="n">
        <v>2</v>
      </c>
      <c r="N67" t="n">
        <v>0</v>
      </c>
      <c r="O67" t="n">
        <v>0</v>
      </c>
      <c r="P67" t="n">
        <v>0</v>
      </c>
      <c r="Q67" t="n">
        <v>4</v>
      </c>
      <c r="R67" t="n">
        <v>2</v>
      </c>
      <c r="S67" t="n">
        <v>9</v>
      </c>
      <c r="T67" t="n">
        <v>31</v>
      </c>
      <c r="U67" t="n">
        <v>31</v>
      </c>
      <c r="V67" s="2" t="inlineStr">
        <is>
          <t>Garnlav
Knärot
Harticka
Tretåig hackspett
Grönkulla
Kransrams
Norrlandslav
Blåsippa
Spillkråka</t>
        </is>
      </c>
      <c r="W67">
        <f>HYPERLINK("https://klasma.github.io/Logging_2380/artfynd/A 49056-2025 artfynd.xlsx", "A 49056-2025")</f>
        <v/>
      </c>
      <c r="X67">
        <f>HYPERLINK("https://klasma.github.io/Logging_2380/kartor/A 49056-2025 karta.png", "A 49056-2025")</f>
        <v/>
      </c>
      <c r="Y67">
        <f>HYPERLINK("https://klasma.github.io/Logging_2380/kartor_geotiff/A 49056-2025 georefererad karta.tif", "A 49056-2025")</f>
        <v/>
      </c>
      <c r="Z67">
        <f>HYPERLINK("https://klasma.github.io/Logging_2380/knärot/A 49056-2025 karta knärot.png", "A 49056-2025")</f>
        <v/>
      </c>
      <c r="AA67">
        <f>HYPERLINK("https://klasma.github.io/Logging_2380/klagomål/A 49056-2025 FSC-klagomål.docx", "A 49056-2025")</f>
        <v/>
      </c>
      <c r="AB67">
        <f>HYPERLINK("https://klasma.github.io/Logging_2380/klagomålsmail/A 49056-2025 FSC-klagomål mail.docx", "A 49056-2025")</f>
        <v/>
      </c>
      <c r="AC67">
        <f>HYPERLINK("https://klasma.github.io/Logging_2380/tillsyn/A 49056-2025 tillsynsbegäran.docx", "A 49056-2025")</f>
        <v/>
      </c>
      <c r="AD67">
        <f>HYPERLINK("https://klasma.github.io/Logging_2380/tillsynsmail/A 49056-2025 tillsynsbegäran mail.docx", "A 49056-2025")</f>
        <v/>
      </c>
      <c r="AE67">
        <f>HYPERLINK("https://klasma.github.io/Logging_2380/fåglar/A 49056-2025 prioriterade fågelarter.docx", "A 49056-2025")</f>
        <v/>
      </c>
    </row>
    <row r="68" ht="15" customHeight="1">
      <c r="A68" t="inlineStr">
        <is>
          <t>A 19444-2026</t>
        </is>
      </c>
      <c r="B68" t="inlineStr">
        <is>
          <t>avverkningsanmälan</t>
        </is>
      </c>
      <c r="C68" t="inlineStr">
        <is>
          <t>Föryngringsavverkning</t>
        </is>
      </c>
      <c r="D68" s="1" t="n">
        <v>46133</v>
      </c>
      <c r="E68" s="1" t="n">
        <v>46312</v>
      </c>
      <c r="F68" t="inlineStr">
        <is>
          <t>JÄMTLANDS LÄN</t>
        </is>
      </c>
      <c r="G68" t="inlineStr">
        <is>
          <t>ÖSTERSUND</t>
        </is>
      </c>
      <c r="H68" t="inlineStr">
        <is>
          <t>SCA</t>
        </is>
      </c>
      <c r="I68" t="n">
        <v>1.2</v>
      </c>
      <c r="J68" t="n">
        <v>5</v>
      </c>
      <c r="K68" t="n">
        <v>5</v>
      </c>
      <c r="L68" t="n">
        <v>2</v>
      </c>
      <c r="M68" t="n">
        <v>1</v>
      </c>
      <c r="N68" t="n">
        <v>0</v>
      </c>
      <c r="O68" t="n">
        <v>0</v>
      </c>
      <c r="P68" t="n">
        <v>0</v>
      </c>
      <c r="Q68" t="n">
        <v>3</v>
      </c>
      <c r="R68" t="n">
        <v>1</v>
      </c>
      <c r="S68" t="n">
        <v>9</v>
      </c>
      <c r="T68" t="n">
        <v>10</v>
      </c>
      <c r="U68" t="n">
        <v>0</v>
      </c>
      <c r="V68" s="2" t="inlineStr">
        <is>
          <t>Garnlav
Brunpudrad nållav
Ullticka
Grönkulla
Korallrot
Spindelblomster
Trådfräken
Tvåblad
Fläcknycklar</t>
        </is>
      </c>
      <c r="W68">
        <f>HYPERLINK("https://klasma.github.io/Logging_2380/artfynd/A 19444-2026 artfynd.xlsx", "A 19444-2026")</f>
        <v/>
      </c>
      <c r="X68">
        <f>HYPERLINK("https://klasma.github.io/Logging_2380/kartor/A 19444-2026 karta.png", "A 19444-2026")</f>
        <v/>
      </c>
      <c r="Y68">
        <f>HYPERLINK("https://klasma.github.io/Logging_2380/kartor_geotiff/A 19444-2026 georefererad karta.tif", "A 19444-2026")</f>
        <v/>
      </c>
      <c r="AA68">
        <f>HYPERLINK("https://klasma.github.io/Logging_2380/klagomål/A 19444-2026 FSC-klagomål.docx", "A 19444-2026")</f>
        <v/>
      </c>
      <c r="AB68">
        <f>HYPERLINK("https://klasma.github.io/Logging_2380/klagomålsmail/A 19444-2026 FSC-klagomål mail.docx", "A 19444-2026")</f>
        <v/>
      </c>
      <c r="AC68">
        <f>HYPERLINK("https://klasma.github.io/Logging_2380/tillsyn/A 19444-2026 tillsynsbegäran.docx", "A 19444-2026")</f>
        <v/>
      </c>
      <c r="AD68">
        <f>HYPERLINK("https://klasma.github.io/Logging_2380/tillsynsmail/A 19444-2026 tillsynsbegäran mail.docx", "A 19444-2026")</f>
        <v/>
      </c>
    </row>
    <row r="69" ht="15" customHeight="1">
      <c r="A69" t="inlineStr">
        <is>
          <t>A 51908-2025</t>
        </is>
      </c>
      <c r="B69" t="inlineStr">
        <is>
          <t>avverkningsanmälan</t>
        </is>
      </c>
      <c r="C69" t="inlineStr">
        <is>
          <t>Föryngringsavverkning</t>
        </is>
      </c>
      <c r="D69" s="1" t="n">
        <v>45952</v>
      </c>
      <c r="E69" s="1" t="n">
        <v>46312</v>
      </c>
      <c r="F69" t="inlineStr">
        <is>
          <t>JÄMTLANDS LÄN</t>
        </is>
      </c>
      <c r="G69" t="inlineStr">
        <is>
          <t>ÖSTERSUND</t>
        </is>
      </c>
      <c r="I69" t="n">
        <v>14.4</v>
      </c>
      <c r="J69" t="n">
        <v>5</v>
      </c>
      <c r="K69" t="n">
        <v>1</v>
      </c>
      <c r="L69" t="n">
        <v>3</v>
      </c>
      <c r="M69" t="n">
        <v>2</v>
      </c>
      <c r="N69" t="n">
        <v>0</v>
      </c>
      <c r="O69" t="n">
        <v>0</v>
      </c>
      <c r="P69" t="n">
        <v>0</v>
      </c>
      <c r="Q69" t="n">
        <v>5</v>
      </c>
      <c r="R69" t="n">
        <v>2</v>
      </c>
      <c r="S69" t="n">
        <v>9</v>
      </c>
      <c r="T69" t="n">
        <v>56</v>
      </c>
      <c r="U69" t="n">
        <v>56</v>
      </c>
      <c r="V69" s="2" t="inlineStr">
        <is>
          <t>Garnlav
Knärot
Lunglav
Talltita
Ullticka
Stuplav
Blåsippa
Kungsfågel
Revlummer</t>
        </is>
      </c>
      <c r="W69">
        <f>HYPERLINK("https://klasma.github.io/Logging_2380/artfynd/A 51908-2025 artfynd.xlsx", "A 51908-2025")</f>
        <v/>
      </c>
      <c r="X69">
        <f>HYPERLINK("https://klasma.github.io/Logging_2380/kartor/A 51908-2025 karta.png", "A 51908-2025")</f>
        <v/>
      </c>
      <c r="Y69">
        <f>HYPERLINK("https://klasma.github.io/Logging_2380/kartor_geotiff/A 51908-2025 georefererad karta.tif", "A 51908-2025")</f>
        <v/>
      </c>
      <c r="Z69">
        <f>HYPERLINK("https://klasma.github.io/Logging_2380/knärot/A 51908-2025 karta knärot.png", "A 51908-2025")</f>
        <v/>
      </c>
      <c r="AA69">
        <f>HYPERLINK("https://klasma.github.io/Logging_2380/klagomål/A 51908-2025 FSC-klagomål.docx", "A 51908-2025")</f>
        <v/>
      </c>
      <c r="AB69">
        <f>HYPERLINK("https://klasma.github.io/Logging_2380/klagomålsmail/A 51908-2025 FSC-klagomål mail.docx", "A 51908-2025")</f>
        <v/>
      </c>
      <c r="AC69">
        <f>HYPERLINK("https://klasma.github.io/Logging_2380/tillsyn/A 51908-2025 tillsynsbegäran.docx", "A 51908-2025")</f>
        <v/>
      </c>
      <c r="AD69">
        <f>HYPERLINK("https://klasma.github.io/Logging_2380/tillsynsmail/A 51908-2025 tillsynsbegäran mail.docx", "A 51908-2025")</f>
        <v/>
      </c>
      <c r="AE69">
        <f>HYPERLINK("https://klasma.github.io/Logging_2380/fåglar/A 51908-2025 prioriterade fågelarter.docx", "A 51908-2025")</f>
        <v/>
      </c>
    </row>
    <row r="70" ht="15" customHeight="1">
      <c r="A70" t="inlineStr">
        <is>
          <t>A 10196-2026</t>
        </is>
      </c>
      <c r="B70" t="inlineStr">
        <is>
          <t>avverkningsanmälan</t>
        </is>
      </c>
      <c r="C70" t="inlineStr">
        <is>
          <t>Föryngringsavverkning</t>
        </is>
      </c>
      <c r="D70" s="1" t="n">
        <v>46076</v>
      </c>
      <c r="E70" s="1" t="n">
        <v>46312</v>
      </c>
      <c r="F70" t="inlineStr">
        <is>
          <t>JÄMTLANDS LÄN</t>
        </is>
      </c>
      <c r="G70" t="inlineStr">
        <is>
          <t>ÖSTERSUND</t>
        </is>
      </c>
      <c r="I70" t="n">
        <v>3.2</v>
      </c>
      <c r="J70" t="n">
        <v>4</v>
      </c>
      <c r="K70" t="n">
        <v>1</v>
      </c>
      <c r="L70" t="n">
        <v>4</v>
      </c>
      <c r="M70" t="n">
        <v>2</v>
      </c>
      <c r="N70" t="n">
        <v>0</v>
      </c>
      <c r="O70" t="n">
        <v>0</v>
      </c>
      <c r="P70" t="n">
        <v>0</v>
      </c>
      <c r="Q70" t="n">
        <v>6</v>
      </c>
      <c r="R70" t="n">
        <v>2</v>
      </c>
      <c r="S70" t="n">
        <v>8</v>
      </c>
      <c r="T70" t="n">
        <v>17</v>
      </c>
      <c r="U70" t="n">
        <v>17</v>
      </c>
      <c r="V70" s="2" t="inlineStr">
        <is>
          <t>Garnlav
Knärot
Liten svartspik
Talltita
Tretåig hackspett
Vitgrynig nållav
Vedticka
Järpe</t>
        </is>
      </c>
      <c r="W70">
        <f>HYPERLINK("https://klasma.github.io/Logging_2380/artfynd/A 10196-2026 artfynd.xlsx", "A 10196-2026")</f>
        <v/>
      </c>
      <c r="X70">
        <f>HYPERLINK("https://klasma.github.io/Logging_2380/kartor/A 10196-2026 karta.png", "A 10196-2026")</f>
        <v/>
      </c>
      <c r="Y70">
        <f>HYPERLINK("https://klasma.github.io/Logging_2380/kartor_geotiff/A 10196-2026 georefererad karta.tif", "A 10196-2026")</f>
        <v/>
      </c>
      <c r="Z70">
        <f>HYPERLINK("https://klasma.github.io/Logging_2380/knärot/A 10196-2026 karta knärot.png", "A 10196-2026")</f>
        <v/>
      </c>
      <c r="AA70">
        <f>HYPERLINK("https://klasma.github.io/Logging_2380/klagomål/A 10196-2026 FSC-klagomål.docx", "A 10196-2026")</f>
        <v/>
      </c>
      <c r="AB70">
        <f>HYPERLINK("https://klasma.github.io/Logging_2380/klagomålsmail/A 10196-2026 FSC-klagomål mail.docx", "A 10196-2026")</f>
        <v/>
      </c>
      <c r="AC70">
        <f>HYPERLINK("https://klasma.github.io/Logging_2380/tillsyn/A 10196-2026 tillsynsbegäran.docx", "A 10196-2026")</f>
        <v/>
      </c>
      <c r="AD70">
        <f>HYPERLINK("https://klasma.github.io/Logging_2380/tillsynsmail/A 10196-2026 tillsynsbegäran mail.docx", "A 10196-2026")</f>
        <v/>
      </c>
      <c r="AE70">
        <f>HYPERLINK("https://klasma.github.io/Logging_2380/fåglar/A 10196-2026 prioriterade fågelarter.docx", "A 10196-2026")</f>
        <v/>
      </c>
    </row>
    <row r="71" ht="15" customHeight="1">
      <c r="A71" t="inlineStr">
        <is>
          <t>A 40815-2025</t>
        </is>
      </c>
      <c r="B71" t="inlineStr">
        <is>
          <t>avverkningsanmälan</t>
        </is>
      </c>
      <c r="C71" t="inlineStr">
        <is>
          <t>Avverkning för annat ändamål</t>
        </is>
      </c>
      <c r="D71" s="1" t="n">
        <v>45897</v>
      </c>
      <c r="E71" s="1" t="n">
        <v>46312</v>
      </c>
      <c r="F71" t="inlineStr">
        <is>
          <t>JÄMTLANDS LÄN</t>
        </is>
      </c>
      <c r="G71" t="inlineStr">
        <is>
          <t>ÖSTERSUND</t>
        </is>
      </c>
      <c r="H71" t="inlineStr">
        <is>
          <t>Kommuner</t>
        </is>
      </c>
      <c r="I71" t="n">
        <v>0.8</v>
      </c>
      <c r="J71" t="n">
        <v>3</v>
      </c>
      <c r="K71" t="n">
        <v>4</v>
      </c>
      <c r="L71" t="n">
        <v>1</v>
      </c>
      <c r="M71" t="n">
        <v>1</v>
      </c>
      <c r="N71" t="n">
        <v>0</v>
      </c>
      <c r="O71" t="n">
        <v>0</v>
      </c>
      <c r="P71" t="n">
        <v>0</v>
      </c>
      <c r="Q71" t="n">
        <v>2</v>
      </c>
      <c r="R71" t="n">
        <v>1</v>
      </c>
      <c r="S71" t="n">
        <v>8</v>
      </c>
      <c r="T71" t="n">
        <v>26</v>
      </c>
      <c r="U71" t="n">
        <v>15</v>
      </c>
      <c r="V71" s="2" t="inlineStr">
        <is>
          <t>Blackticka
Lunglav
Kransrams
Spindelblomster
Svart trolldruva
Tibast
Blåsippa
Revlummer</t>
        </is>
      </c>
      <c r="W71">
        <f>HYPERLINK("https://klasma.github.io/Logging_2380/artfynd/A 40815-2025 artfynd.xlsx", "A 40815-2025")</f>
        <v/>
      </c>
      <c r="X71">
        <f>HYPERLINK("https://klasma.github.io/Logging_2380/kartor/A 40815-2025 karta.png", "A 40815-2025")</f>
        <v/>
      </c>
      <c r="Y71">
        <f>HYPERLINK("https://klasma.github.io/Logging_2380/kartor_geotiff/A 40815-2025 georefererad karta.tif", "A 40815-2025")</f>
        <v/>
      </c>
      <c r="AA71">
        <f>HYPERLINK("https://klasma.github.io/Logging_2380/klagomål/A 40815-2025 FSC-klagomål.docx", "A 40815-2025")</f>
        <v/>
      </c>
      <c r="AB71">
        <f>HYPERLINK("https://klasma.github.io/Logging_2380/klagomålsmail/A 40815-2025 FSC-klagomål mail.docx", "A 40815-2025")</f>
        <v/>
      </c>
      <c r="AC71">
        <f>HYPERLINK("https://klasma.github.io/Logging_2380/tillsyn/A 40815-2025 tillsynsbegäran.docx", "A 40815-2025")</f>
        <v/>
      </c>
      <c r="AD71">
        <f>HYPERLINK("https://klasma.github.io/Logging_2380/tillsynsmail/A 40815-2025 tillsynsbegäran mail.docx", "A 40815-2025")</f>
        <v/>
      </c>
    </row>
    <row r="72" ht="15" customHeight="1">
      <c r="A72" t="inlineStr">
        <is>
          <t>A 17230-2026</t>
        </is>
      </c>
      <c r="B72" t="inlineStr">
        <is>
          <t>avverkningsanmälan</t>
        </is>
      </c>
      <c r="C72" t="inlineStr">
        <is>
          <t>Föryngringsavverkning</t>
        </is>
      </c>
      <c r="D72" s="1" t="n">
        <v>46119</v>
      </c>
      <c r="E72" s="1" t="n">
        <v>46312</v>
      </c>
      <c r="F72" t="inlineStr">
        <is>
          <t>JÄMTLANDS LÄN</t>
        </is>
      </c>
      <c r="G72" t="inlineStr">
        <is>
          <t>ÖSTERSUND</t>
        </is>
      </c>
      <c r="I72" t="n">
        <v>3.4</v>
      </c>
      <c r="J72" t="n">
        <v>3</v>
      </c>
      <c r="K72" t="n">
        <v>1</v>
      </c>
      <c r="L72" t="n">
        <v>2</v>
      </c>
      <c r="M72" t="n">
        <v>1</v>
      </c>
      <c r="N72" t="n">
        <v>0</v>
      </c>
      <c r="O72" t="n">
        <v>0</v>
      </c>
      <c r="P72" t="n">
        <v>0</v>
      </c>
      <c r="Q72" t="n">
        <v>3</v>
      </c>
      <c r="R72" t="n">
        <v>1</v>
      </c>
      <c r="S72" t="n">
        <v>8</v>
      </c>
      <c r="T72" t="n">
        <v>73</v>
      </c>
      <c r="U72" t="n">
        <v>69</v>
      </c>
      <c r="V72" s="2" t="inlineStr">
        <is>
          <t>Garnlav
Harticka
Tretåig hackspett
Norrlandslav
Kransmossa
Linnea
Kungsfågel
Revlummer</t>
        </is>
      </c>
      <c r="W72">
        <f>HYPERLINK("https://klasma.github.io/Logging_2380/artfynd/A 17230-2026 artfynd.xlsx", "A 17230-2026")</f>
        <v/>
      </c>
      <c r="X72">
        <f>HYPERLINK("https://klasma.github.io/Logging_2380/kartor/A 17230-2026 karta.png", "A 17230-2026")</f>
        <v/>
      </c>
      <c r="Y72">
        <f>HYPERLINK("https://klasma.github.io/Logging_2380/kartor_geotiff/A 17230-2026 georefererad karta.tif", "A 17230-2026")</f>
        <v/>
      </c>
      <c r="AA72">
        <f>HYPERLINK("https://klasma.github.io/Logging_2380/klagomål/A 17230-2026 FSC-klagomål.docx", "A 17230-2026")</f>
        <v/>
      </c>
      <c r="AB72">
        <f>HYPERLINK("https://klasma.github.io/Logging_2380/klagomålsmail/A 17230-2026 FSC-klagomål mail.docx", "A 17230-2026")</f>
        <v/>
      </c>
      <c r="AC72">
        <f>HYPERLINK("https://klasma.github.io/Logging_2380/tillsyn/A 17230-2026 tillsynsbegäran.docx", "A 17230-2026")</f>
        <v/>
      </c>
      <c r="AD72">
        <f>HYPERLINK("https://klasma.github.io/Logging_2380/tillsynsmail/A 17230-2026 tillsynsbegäran mail.docx", "A 17230-2026")</f>
        <v/>
      </c>
      <c r="AE72">
        <f>HYPERLINK("https://klasma.github.io/Logging_2380/fåglar/A 17230-2026 prioriterade fågelarter.docx", "A 17230-2026")</f>
        <v/>
      </c>
    </row>
    <row r="73" ht="15" customHeight="1">
      <c r="A73" t="inlineStr">
        <is>
          <t>A 40777-2023</t>
        </is>
      </c>
      <c r="B73" t="inlineStr">
        <is>
          <t>avverkningsanmälan</t>
        </is>
      </c>
      <c r="C73" t="inlineStr">
        <is>
          <t>Avverkning för att bevara och utveckla /försöksver</t>
        </is>
      </c>
      <c r="D73" s="1" t="n">
        <v>45170</v>
      </c>
      <c r="E73" s="1" t="n">
        <v>46312</v>
      </c>
      <c r="F73" t="inlineStr">
        <is>
          <t>JÄMTLANDS LÄN</t>
        </is>
      </c>
      <c r="G73" t="inlineStr">
        <is>
          <t>ÖSTERSUND</t>
        </is>
      </c>
      <c r="H73" t="inlineStr">
        <is>
          <t>SCA</t>
        </is>
      </c>
      <c r="I73" t="n">
        <v>16.4</v>
      </c>
      <c r="J73" t="n">
        <v>3</v>
      </c>
      <c r="K73" t="n">
        <v>1</v>
      </c>
      <c r="L73" t="n">
        <v>5</v>
      </c>
      <c r="M73" t="n">
        <v>1</v>
      </c>
      <c r="N73" t="n">
        <v>0</v>
      </c>
      <c r="O73" t="n">
        <v>0</v>
      </c>
      <c r="P73" t="n">
        <v>0</v>
      </c>
      <c r="Q73" t="n">
        <v>6</v>
      </c>
      <c r="R73" t="n">
        <v>1</v>
      </c>
      <c r="S73" t="n">
        <v>8</v>
      </c>
      <c r="T73" t="n">
        <v>9</v>
      </c>
      <c r="U73" t="n">
        <v>1</v>
      </c>
      <c r="V73" s="2" t="inlineStr">
        <is>
          <t>Doftticka
Kungsörn
Lunglav
Stiftgelélav
Veckticka
Vedtrappmossa
Korallblylav
Blåsippa</t>
        </is>
      </c>
      <c r="W73">
        <f>HYPERLINK("https://klasma.github.io/Logging_2380/artfynd/A 40777-2023 artfynd.xlsx", "A 40777-2023")</f>
        <v/>
      </c>
      <c r="X73">
        <f>HYPERLINK("https://klasma.github.io/Logging_2380/kartor/A 40777-2023 karta.png", "A 40777-2023")</f>
        <v/>
      </c>
      <c r="Y73">
        <f>HYPERLINK("https://klasma.github.io/Logging_2380/kartor_geotiff/A 40777-2023 georefererad karta.tif", "A 40777-2023")</f>
        <v/>
      </c>
      <c r="AA73">
        <f>HYPERLINK("https://klasma.github.io/Logging_2380/klagomål/A 40777-2023 FSC-klagomål.docx", "A 40777-2023")</f>
        <v/>
      </c>
      <c r="AB73">
        <f>HYPERLINK("https://klasma.github.io/Logging_2380/klagomålsmail/A 40777-2023 FSC-klagomål mail.docx", "A 40777-2023")</f>
        <v/>
      </c>
      <c r="AC73">
        <f>HYPERLINK("https://klasma.github.io/Logging_2380/tillsyn/A 40777-2023 tillsynsbegäran.docx", "A 40777-2023")</f>
        <v/>
      </c>
      <c r="AD73">
        <f>HYPERLINK("https://klasma.github.io/Logging_2380/tillsynsmail/A 40777-2023 tillsynsbegäran mail.docx", "A 40777-2023")</f>
        <v/>
      </c>
      <c r="AE73">
        <f>HYPERLINK("https://klasma.github.io/Logging_2380/fåglar/A 40777-2023 prioriterade fågelarter.docx", "A 40777-2023")</f>
        <v/>
      </c>
    </row>
    <row r="74" ht="15" customHeight="1">
      <c r="A74" t="inlineStr">
        <is>
          <t>A 7710-2024</t>
        </is>
      </c>
      <c r="B74" t="inlineStr">
        <is>
          <t>avverkningsanmälan</t>
        </is>
      </c>
      <c r="C74" t="inlineStr">
        <is>
          <t>Föryngringsavverkning</t>
        </is>
      </c>
      <c r="D74" s="1" t="n">
        <v>45349</v>
      </c>
      <c r="E74" s="1" t="n">
        <v>46312</v>
      </c>
      <c r="F74" t="inlineStr">
        <is>
          <t>JÄMTLANDS LÄN</t>
        </is>
      </c>
      <c r="G74" t="inlineStr">
        <is>
          <t>ÖSTERSUND</t>
        </is>
      </c>
      <c r="H74" t="inlineStr">
        <is>
          <t>Övriga Aktiebolag</t>
        </is>
      </c>
      <c r="I74" t="n">
        <v>0.7</v>
      </c>
      <c r="J74" t="n">
        <v>7</v>
      </c>
      <c r="K74" t="n">
        <v>3</v>
      </c>
      <c r="L74" t="n">
        <v>1</v>
      </c>
      <c r="M74" t="n">
        <v>1</v>
      </c>
      <c r="N74" t="n">
        <v>0</v>
      </c>
      <c r="O74" t="n">
        <v>0</v>
      </c>
      <c r="P74" t="n">
        <v>0</v>
      </c>
      <c r="Q74" t="n">
        <v>2</v>
      </c>
      <c r="R74" t="n">
        <v>1</v>
      </c>
      <c r="S74" t="n">
        <v>8</v>
      </c>
      <c r="T74" t="n">
        <v>13</v>
      </c>
      <c r="U74" t="n">
        <v>13</v>
      </c>
      <c r="V74" s="2" t="inlineStr">
        <is>
          <t>Garnlav
Talltita
Guckusko
Spindelblomster
Tvåblad
Brudsporre
Fläcknycklar
Revlummer</t>
        </is>
      </c>
      <c r="W74">
        <f>HYPERLINK("https://klasma.github.io/Logging_2380/artfynd/A 7710-2024 artfynd.xlsx", "A 7710-2024")</f>
        <v/>
      </c>
      <c r="X74">
        <f>HYPERLINK("https://klasma.github.io/Logging_2380/kartor/A 7710-2024 karta.png", "A 7710-2024")</f>
        <v/>
      </c>
      <c r="Y74">
        <f>HYPERLINK("https://klasma.github.io/Logging_2380/kartor_geotiff/A 7710-2024 georefererad karta.tif", "A 7710-2024")</f>
        <v/>
      </c>
      <c r="AA74">
        <f>HYPERLINK("https://klasma.github.io/Logging_2380/klagomål/A 7710-2024 FSC-klagomål.docx", "A 7710-2024")</f>
        <v/>
      </c>
      <c r="AB74">
        <f>HYPERLINK("https://klasma.github.io/Logging_2380/klagomålsmail/A 7710-2024 FSC-klagomål mail.docx", "A 7710-2024")</f>
        <v/>
      </c>
      <c r="AC74">
        <f>HYPERLINK("https://klasma.github.io/Logging_2380/tillsyn/A 7710-2024 tillsynsbegäran.docx", "A 7710-2024")</f>
        <v/>
      </c>
      <c r="AD74">
        <f>HYPERLINK("https://klasma.github.io/Logging_2380/tillsynsmail/A 7710-2024 tillsynsbegäran mail.docx", "A 7710-2024")</f>
        <v/>
      </c>
      <c r="AE74">
        <f>HYPERLINK("https://klasma.github.io/Logging_2380/fåglar/A 7710-2024 prioriterade fågelarter.docx", "A 7710-2024")</f>
        <v/>
      </c>
    </row>
    <row r="75" ht="15" customHeight="1">
      <c r="A75" t="inlineStr">
        <is>
          <t>A 38334-2023</t>
        </is>
      </c>
      <c r="B75" t="inlineStr">
        <is>
          <t>avverkningsanmälan</t>
        </is>
      </c>
      <c r="C75" t="inlineStr">
        <is>
          <t>Föryngringsavverkning</t>
        </is>
      </c>
      <c r="D75" s="1" t="n">
        <v>45161</v>
      </c>
      <c r="E75" s="1" t="n">
        <v>46312</v>
      </c>
      <c r="F75" t="inlineStr">
        <is>
          <t>JÄMTLANDS LÄN</t>
        </is>
      </c>
      <c r="G75" t="inlineStr">
        <is>
          <t>ÖSTERSUND</t>
        </is>
      </c>
      <c r="I75" t="n">
        <v>10.5</v>
      </c>
      <c r="J75" t="n">
        <v>2</v>
      </c>
      <c r="K75" t="n">
        <v>0</v>
      </c>
      <c r="L75" t="n">
        <v>5</v>
      </c>
      <c r="M75" t="n">
        <v>3</v>
      </c>
      <c r="N75" t="n">
        <v>0</v>
      </c>
      <c r="O75" t="n">
        <v>0</v>
      </c>
      <c r="P75" t="n">
        <v>0</v>
      </c>
      <c r="Q75" t="n">
        <v>8</v>
      </c>
      <c r="R75" t="n">
        <v>3</v>
      </c>
      <c r="S75" t="n">
        <v>8</v>
      </c>
      <c r="T75" t="n">
        <v>8</v>
      </c>
      <c r="U75" t="n">
        <v>7</v>
      </c>
      <c r="V75" s="2" t="inlineStr">
        <is>
          <t>Garnlav
Knärot
Violett fingersvamp
Gammelgransskål
Harticka
Rynkskinn
Tretåig hackspett
Vitgrynig nållav</t>
        </is>
      </c>
      <c r="W75">
        <f>HYPERLINK("https://klasma.github.io/Logging_2380/artfynd/A 38334-2023 artfynd.xlsx", "A 38334-2023")</f>
        <v/>
      </c>
      <c r="X75">
        <f>HYPERLINK("https://klasma.github.io/Logging_2380/kartor/A 38334-2023 karta.png", "A 38334-2023")</f>
        <v/>
      </c>
      <c r="Y75">
        <f>HYPERLINK("https://klasma.github.io/Logging_2380/kartor_geotiff/A 38334-2023 georefererad karta.tif", "A 38334-2023")</f>
        <v/>
      </c>
      <c r="Z75">
        <f>HYPERLINK("https://klasma.github.io/Logging_2380/knärot/A 38334-2023 karta knärot.png", "A 38334-2023")</f>
        <v/>
      </c>
      <c r="AA75">
        <f>HYPERLINK("https://klasma.github.io/Logging_2380/klagomål/A 38334-2023 FSC-klagomål.docx", "A 38334-2023")</f>
        <v/>
      </c>
      <c r="AB75">
        <f>HYPERLINK("https://klasma.github.io/Logging_2380/klagomålsmail/A 38334-2023 FSC-klagomål mail.docx", "A 38334-2023")</f>
        <v/>
      </c>
      <c r="AC75">
        <f>HYPERLINK("https://klasma.github.io/Logging_2380/tillsyn/A 38334-2023 tillsynsbegäran.docx", "A 38334-2023")</f>
        <v/>
      </c>
      <c r="AD75">
        <f>HYPERLINK("https://klasma.github.io/Logging_2380/tillsynsmail/A 38334-2023 tillsynsbegäran mail.docx", "A 38334-2023")</f>
        <v/>
      </c>
      <c r="AE75">
        <f>HYPERLINK("https://klasma.github.io/Logging_2380/fåglar/A 38334-2023 prioriterade fågelarter.docx", "A 38334-2023")</f>
        <v/>
      </c>
    </row>
    <row r="76" ht="15" customHeight="1">
      <c r="A76" t="inlineStr">
        <is>
          <t>A 60614-2022</t>
        </is>
      </c>
      <c r="B76" t="inlineStr">
        <is>
          <t>avverkningsanmälan</t>
        </is>
      </c>
      <c r="C76" t="inlineStr">
        <is>
          <t>Föryngringsavverkning</t>
        </is>
      </c>
      <c r="D76" s="1" t="n">
        <v>44911</v>
      </c>
      <c r="E76" s="1" t="n">
        <v>46312</v>
      </c>
      <c r="F76" t="inlineStr">
        <is>
          <t>JÄMTLANDS LÄN</t>
        </is>
      </c>
      <c r="G76" t="inlineStr">
        <is>
          <t>ÖSTERSUND</t>
        </is>
      </c>
      <c r="I76" t="n">
        <v>17.6</v>
      </c>
      <c r="J76" t="n">
        <v>3</v>
      </c>
      <c r="K76" t="n">
        <v>0</v>
      </c>
      <c r="L76" t="n">
        <v>5</v>
      </c>
      <c r="M76" t="n">
        <v>2</v>
      </c>
      <c r="N76" t="n">
        <v>0</v>
      </c>
      <c r="O76" t="n">
        <v>0</v>
      </c>
      <c r="P76" t="n">
        <v>0</v>
      </c>
      <c r="Q76" t="n">
        <v>7</v>
      </c>
      <c r="R76" t="n">
        <v>2</v>
      </c>
      <c r="S76" t="n">
        <v>8</v>
      </c>
      <c r="T76" t="n">
        <v>29</v>
      </c>
      <c r="U76" t="n">
        <v>20</v>
      </c>
      <c r="V76" s="2" t="inlineStr">
        <is>
          <t>Garnlav
Violett guldvinge
Barrfagerspindling
Dropptaggsvamp
Kolflarnlav
Orange taggsvamp
Tretåig hackspett
Blåsippa</t>
        </is>
      </c>
      <c r="W76">
        <f>HYPERLINK("https://klasma.github.io/Logging_2380/artfynd/A 60614-2022 artfynd.xlsx", "A 60614-2022")</f>
        <v/>
      </c>
      <c r="X76">
        <f>HYPERLINK("https://klasma.github.io/Logging_2380/kartor/A 60614-2022 karta.png", "A 60614-2022")</f>
        <v/>
      </c>
      <c r="Y76">
        <f>HYPERLINK("https://klasma.github.io/Logging_2380/kartor_geotiff/A 60614-2022 georefererad karta.tif", "A 60614-2022")</f>
        <v/>
      </c>
      <c r="AA76">
        <f>HYPERLINK("https://klasma.github.io/Logging_2380/klagomål/A 60614-2022 FSC-klagomål.docx", "A 60614-2022")</f>
        <v/>
      </c>
      <c r="AB76">
        <f>HYPERLINK("https://klasma.github.io/Logging_2380/klagomålsmail/A 60614-2022 FSC-klagomål mail.docx", "A 60614-2022")</f>
        <v/>
      </c>
      <c r="AC76">
        <f>HYPERLINK("https://klasma.github.io/Logging_2380/tillsyn/A 60614-2022 tillsynsbegäran.docx", "A 60614-2022")</f>
        <v/>
      </c>
      <c r="AD76">
        <f>HYPERLINK("https://klasma.github.io/Logging_2380/tillsynsmail/A 60614-2022 tillsynsbegäran mail.docx", "A 60614-2022")</f>
        <v/>
      </c>
      <c r="AE76">
        <f>HYPERLINK("https://klasma.github.io/Logging_2380/fåglar/A 60614-2022 prioriterade fågelarter.docx", "A 60614-2022")</f>
        <v/>
      </c>
    </row>
    <row r="77" ht="15" customHeight="1">
      <c r="A77" t="inlineStr">
        <is>
          <t>A 3610-2024</t>
        </is>
      </c>
      <c r="B77" t="inlineStr">
        <is>
          <t>avverkningsanmälan</t>
        </is>
      </c>
      <c r="C77" t="inlineStr">
        <is>
          <t>Föryngringsavverkning</t>
        </is>
      </c>
      <c r="D77" s="1" t="n">
        <v>45320</v>
      </c>
      <c r="E77" s="1" t="n">
        <v>46312</v>
      </c>
      <c r="F77" t="inlineStr">
        <is>
          <t>JÄMTLANDS LÄN</t>
        </is>
      </c>
      <c r="G77" t="inlineStr">
        <is>
          <t>ÖSTERSUND</t>
        </is>
      </c>
      <c r="I77" t="n">
        <v>6.2</v>
      </c>
      <c r="J77" t="n">
        <v>4</v>
      </c>
      <c r="K77" t="n">
        <v>1</v>
      </c>
      <c r="L77" t="n">
        <v>1</v>
      </c>
      <c r="M77" t="n">
        <v>1</v>
      </c>
      <c r="N77" t="n">
        <v>0</v>
      </c>
      <c r="O77" t="n">
        <v>0</v>
      </c>
      <c r="P77" t="n">
        <v>0</v>
      </c>
      <c r="Q77" t="n">
        <v>2</v>
      </c>
      <c r="R77" t="n">
        <v>1</v>
      </c>
      <c r="S77" t="n">
        <v>8</v>
      </c>
      <c r="T77" t="n">
        <v>10</v>
      </c>
      <c r="U77" t="n">
        <v>10</v>
      </c>
      <c r="V77" s="2" t="inlineStr">
        <is>
          <t>Violett guldvinge
Brunklöver
Tvåblad
Humleblomster
Kattfot
Kärrfibbla
Brudsporre
Fläcknycklar</t>
        </is>
      </c>
      <c r="W77">
        <f>HYPERLINK("https://klasma.github.io/Logging_2380/artfynd/A 3610-2024 artfynd.xlsx", "A 3610-2024")</f>
        <v/>
      </c>
      <c r="X77">
        <f>HYPERLINK("https://klasma.github.io/Logging_2380/kartor/A 3610-2024 karta.png", "A 3610-2024")</f>
        <v/>
      </c>
      <c r="Y77">
        <f>HYPERLINK("https://klasma.github.io/Logging_2380/kartor_geotiff/A 3610-2024 georefererad karta.tif", "A 3610-2024")</f>
        <v/>
      </c>
      <c r="AA77">
        <f>HYPERLINK("https://klasma.github.io/Logging_2380/klagomål/A 3610-2024 FSC-klagomål.docx", "A 3610-2024")</f>
        <v/>
      </c>
      <c r="AB77">
        <f>HYPERLINK("https://klasma.github.io/Logging_2380/klagomålsmail/A 3610-2024 FSC-klagomål mail.docx", "A 3610-2024")</f>
        <v/>
      </c>
      <c r="AC77">
        <f>HYPERLINK("https://klasma.github.io/Logging_2380/tillsyn/A 3610-2024 tillsynsbegäran.docx", "A 3610-2024")</f>
        <v/>
      </c>
      <c r="AD77">
        <f>HYPERLINK("https://klasma.github.io/Logging_2380/tillsynsmail/A 3610-2024 tillsynsbegäran mail.docx", "A 3610-2024")</f>
        <v/>
      </c>
    </row>
    <row r="78" ht="15" customHeight="1">
      <c r="A78" t="inlineStr">
        <is>
          <t>A 45979-2023</t>
        </is>
      </c>
      <c r="B78" t="inlineStr">
        <is>
          <t>avverkningsanmälan</t>
        </is>
      </c>
      <c r="C78" t="inlineStr">
        <is>
          <t>Föryngringsavverkning</t>
        </is>
      </c>
      <c r="D78" s="1" t="n">
        <v>45189</v>
      </c>
      <c r="E78" s="1" t="n">
        <v>46312</v>
      </c>
      <c r="F78" t="inlineStr">
        <is>
          <t>JÄMTLANDS LÄN</t>
        </is>
      </c>
      <c r="G78" t="inlineStr">
        <is>
          <t>ÖSTERSUND</t>
        </is>
      </c>
      <c r="I78" t="n">
        <v>3.3</v>
      </c>
      <c r="J78" t="n">
        <v>5</v>
      </c>
      <c r="K78" t="n">
        <v>3</v>
      </c>
      <c r="L78" t="n">
        <v>0</v>
      </c>
      <c r="M78" t="n">
        <v>1</v>
      </c>
      <c r="N78" t="n">
        <v>1</v>
      </c>
      <c r="O78" t="n">
        <v>0</v>
      </c>
      <c r="P78" t="n">
        <v>0</v>
      </c>
      <c r="Q78" t="n">
        <v>2</v>
      </c>
      <c r="R78" t="n">
        <v>2</v>
      </c>
      <c r="S78" t="n">
        <v>7</v>
      </c>
      <c r="T78" t="n">
        <v>8</v>
      </c>
      <c r="U78" t="n">
        <v>5</v>
      </c>
      <c r="V78" s="2" t="inlineStr">
        <is>
          <t>Trolldruvemätare
Violett guldvinge
Flugblomster
Svart trolldruva
Tvåblad
Vanliga ängsnycklar
Ängsnycklar</t>
        </is>
      </c>
      <c r="W78">
        <f>HYPERLINK("https://klasma.github.io/Logging_2380/artfynd/A 45979-2023 artfynd.xlsx", "A 45979-2023")</f>
        <v/>
      </c>
      <c r="X78">
        <f>HYPERLINK("https://klasma.github.io/Logging_2380/kartor/A 45979-2023 karta.png", "A 45979-2023")</f>
        <v/>
      </c>
      <c r="Y78">
        <f>HYPERLINK("https://klasma.github.io/Logging_2380/kartor_geotiff/A 45979-2023 georefererad karta.tif", "A 45979-2023")</f>
        <v/>
      </c>
      <c r="AA78">
        <f>HYPERLINK("https://klasma.github.io/Logging_2380/klagomål/A 45979-2023 FSC-klagomål.docx", "A 45979-2023")</f>
        <v/>
      </c>
      <c r="AB78">
        <f>HYPERLINK("https://klasma.github.io/Logging_2380/klagomålsmail/A 45979-2023 FSC-klagomål mail.docx", "A 45979-2023")</f>
        <v/>
      </c>
      <c r="AC78">
        <f>HYPERLINK("https://klasma.github.io/Logging_2380/tillsyn/A 45979-2023 tillsynsbegäran.docx", "A 45979-2023")</f>
        <v/>
      </c>
      <c r="AD78">
        <f>HYPERLINK("https://klasma.github.io/Logging_2380/tillsynsmail/A 45979-2023 tillsynsbegäran mail.docx", "A 45979-2023")</f>
        <v/>
      </c>
    </row>
    <row r="79" ht="15" customHeight="1">
      <c r="A79" t="inlineStr">
        <is>
          <t>A 2962-2023</t>
        </is>
      </c>
      <c r="B79" t="inlineStr">
        <is>
          <t>avverkningsanmälan</t>
        </is>
      </c>
      <c r="C79" t="inlineStr">
        <is>
          <t>Föryngringsavverkning</t>
        </is>
      </c>
      <c r="D79" s="1" t="n">
        <v>44945</v>
      </c>
      <c r="E79" s="1" t="n">
        <v>46312</v>
      </c>
      <c r="F79" t="inlineStr">
        <is>
          <t>JÄMTLANDS LÄN</t>
        </is>
      </c>
      <c r="G79" t="inlineStr">
        <is>
          <t>ÖSTERSUND</t>
        </is>
      </c>
      <c r="H79" t="inlineStr">
        <is>
          <t>Övriga Aktiebolag</t>
        </is>
      </c>
      <c r="I79" t="n">
        <v>14.4</v>
      </c>
      <c r="J79" t="n">
        <v>3</v>
      </c>
      <c r="K79" t="n">
        <v>2</v>
      </c>
      <c r="L79" t="n">
        <v>2</v>
      </c>
      <c r="M79" t="n">
        <v>1</v>
      </c>
      <c r="N79" t="n">
        <v>0</v>
      </c>
      <c r="O79" t="n">
        <v>0</v>
      </c>
      <c r="P79" t="n">
        <v>0</v>
      </c>
      <c r="Q79" t="n">
        <v>3</v>
      </c>
      <c r="R79" t="n">
        <v>1</v>
      </c>
      <c r="S79" t="n">
        <v>7</v>
      </c>
      <c r="T79" t="n">
        <v>29</v>
      </c>
      <c r="U79" t="n">
        <v>29</v>
      </c>
      <c r="V79" s="2" t="inlineStr">
        <is>
          <t>Garnlav
Lunglav
Tretåig hackspett
Norrlandslav
Stuplav
Tjäder
Revlummer</t>
        </is>
      </c>
      <c r="W79">
        <f>HYPERLINK("https://klasma.github.io/Logging_2380/artfynd/A 2962-2023 artfynd.xlsx", "A 2962-2023")</f>
        <v/>
      </c>
      <c r="X79">
        <f>HYPERLINK("https://klasma.github.io/Logging_2380/kartor/A 2962-2023 karta.png", "A 2962-2023")</f>
        <v/>
      </c>
      <c r="Y79">
        <f>HYPERLINK("https://klasma.github.io/Logging_2380/kartor_geotiff/A 2962-2023 georefererad karta.tif", "A 2962-2023")</f>
        <v/>
      </c>
      <c r="AA79">
        <f>HYPERLINK("https://klasma.github.io/Logging_2380/klagomål/A 2962-2023 FSC-klagomål.docx", "A 2962-2023")</f>
        <v/>
      </c>
      <c r="AB79">
        <f>HYPERLINK("https://klasma.github.io/Logging_2380/klagomålsmail/A 2962-2023 FSC-klagomål mail.docx", "A 2962-2023")</f>
        <v/>
      </c>
      <c r="AC79">
        <f>HYPERLINK("https://klasma.github.io/Logging_2380/tillsyn/A 2962-2023 tillsynsbegäran.docx", "A 2962-2023")</f>
        <v/>
      </c>
      <c r="AD79">
        <f>HYPERLINK("https://klasma.github.io/Logging_2380/tillsynsmail/A 2962-2023 tillsynsbegäran mail.docx", "A 2962-2023")</f>
        <v/>
      </c>
      <c r="AE79">
        <f>HYPERLINK("https://klasma.github.io/Logging_2380/fåglar/A 2962-2023 prioriterade fågelarter.docx", "A 2962-2023")</f>
        <v/>
      </c>
    </row>
    <row r="80" ht="15" customHeight="1">
      <c r="A80" t="inlineStr">
        <is>
          <t>A 10058-2026</t>
        </is>
      </c>
      <c r="B80" t="inlineStr">
        <is>
          <t>avverkningsanmälan</t>
        </is>
      </c>
      <c r="C80" t="inlineStr">
        <is>
          <t>Föryngringsavverkning</t>
        </is>
      </c>
      <c r="D80" s="1" t="n">
        <v>46073</v>
      </c>
      <c r="E80" s="1" t="n">
        <v>46312</v>
      </c>
      <c r="F80" t="inlineStr">
        <is>
          <t>JÄMTLANDS LÄN</t>
        </is>
      </c>
      <c r="G80" t="inlineStr">
        <is>
          <t>ÖSTERSUND</t>
        </is>
      </c>
      <c r="I80" t="n">
        <v>3.2</v>
      </c>
      <c r="J80" t="n">
        <v>2</v>
      </c>
      <c r="K80" t="n">
        <v>0</v>
      </c>
      <c r="L80" t="n">
        <v>6</v>
      </c>
      <c r="M80" t="n">
        <v>1</v>
      </c>
      <c r="N80" t="n">
        <v>0</v>
      </c>
      <c r="O80" t="n">
        <v>0</v>
      </c>
      <c r="P80" t="n">
        <v>0</v>
      </c>
      <c r="Q80" t="n">
        <v>7</v>
      </c>
      <c r="R80" t="n">
        <v>1</v>
      </c>
      <c r="S80" t="n">
        <v>7</v>
      </c>
      <c r="T80" t="n">
        <v>19</v>
      </c>
      <c r="U80" t="n">
        <v>19</v>
      </c>
      <c r="V80" s="2" t="inlineStr">
        <is>
          <t>Knärot
Doftskinn
Harticka
Liten svartspik
Tretåig hackspett
Ullticka
Vitgrynig nållav</t>
        </is>
      </c>
      <c r="W80">
        <f>HYPERLINK("https://klasma.github.io/Logging_2380/artfynd/A 10058-2026 artfynd.xlsx", "A 10058-2026")</f>
        <v/>
      </c>
      <c r="X80">
        <f>HYPERLINK("https://klasma.github.io/Logging_2380/kartor/A 10058-2026 karta.png", "A 10058-2026")</f>
        <v/>
      </c>
      <c r="Y80">
        <f>HYPERLINK("https://klasma.github.io/Logging_2380/kartor_geotiff/A 10058-2026 georefererad karta.tif", "A 10058-2026")</f>
        <v/>
      </c>
      <c r="Z80">
        <f>HYPERLINK("https://klasma.github.io/Logging_2380/knärot/A 10058-2026 karta knärot.png", "A 10058-2026")</f>
        <v/>
      </c>
      <c r="AA80">
        <f>HYPERLINK("https://klasma.github.io/Logging_2380/klagomål/A 10058-2026 FSC-klagomål.docx", "A 10058-2026")</f>
        <v/>
      </c>
      <c r="AB80">
        <f>HYPERLINK("https://klasma.github.io/Logging_2380/klagomålsmail/A 10058-2026 FSC-klagomål mail.docx", "A 10058-2026")</f>
        <v/>
      </c>
      <c r="AC80">
        <f>HYPERLINK("https://klasma.github.io/Logging_2380/tillsyn/A 10058-2026 tillsynsbegäran.docx", "A 10058-2026")</f>
        <v/>
      </c>
      <c r="AD80">
        <f>HYPERLINK("https://klasma.github.io/Logging_2380/tillsynsmail/A 10058-2026 tillsynsbegäran mail.docx", "A 10058-2026")</f>
        <v/>
      </c>
      <c r="AE80">
        <f>HYPERLINK("https://klasma.github.io/Logging_2380/fåglar/A 10058-2026 prioriterade fågelarter.docx", "A 10058-2026")</f>
        <v/>
      </c>
    </row>
    <row r="81" ht="15" customHeight="1">
      <c r="A81" t="inlineStr">
        <is>
          <t>A 10048-2026</t>
        </is>
      </c>
      <c r="B81" t="inlineStr">
        <is>
          <t>avverkningsanmälan</t>
        </is>
      </c>
      <c r="C81" t="inlineStr">
        <is>
          <t>Föryngringsavverkning</t>
        </is>
      </c>
      <c r="D81" s="1" t="n">
        <v>46073</v>
      </c>
      <c r="E81" s="1" t="n">
        <v>46312</v>
      </c>
      <c r="F81" t="inlineStr">
        <is>
          <t>JÄMTLANDS LÄN</t>
        </is>
      </c>
      <c r="G81" t="inlineStr">
        <is>
          <t>ÖSTERSUND</t>
        </is>
      </c>
      <c r="I81" t="n">
        <v>5.7</v>
      </c>
      <c r="J81" t="n">
        <v>3</v>
      </c>
      <c r="K81" t="n">
        <v>1</v>
      </c>
      <c r="L81" t="n">
        <v>4</v>
      </c>
      <c r="M81" t="n">
        <v>2</v>
      </c>
      <c r="N81" t="n">
        <v>0</v>
      </c>
      <c r="O81" t="n">
        <v>0</v>
      </c>
      <c r="P81" t="n">
        <v>0</v>
      </c>
      <c r="Q81" t="n">
        <v>6</v>
      </c>
      <c r="R81" t="n">
        <v>2</v>
      </c>
      <c r="S81" t="n">
        <v>7</v>
      </c>
      <c r="T81" t="n">
        <v>14</v>
      </c>
      <c r="U81" t="n">
        <v>14</v>
      </c>
      <c r="V81" s="2" t="inlineStr">
        <is>
          <t>Garnlav
Knärot
Talltita
Tretåig hackspett
Ullticka
Vitgrynig nållav
Stuplav</t>
        </is>
      </c>
      <c r="W81">
        <f>HYPERLINK("https://klasma.github.io/Logging_2380/artfynd/A 10048-2026 artfynd.xlsx", "A 10048-2026")</f>
        <v/>
      </c>
      <c r="X81">
        <f>HYPERLINK("https://klasma.github.io/Logging_2380/kartor/A 10048-2026 karta.png", "A 10048-2026")</f>
        <v/>
      </c>
      <c r="Y81">
        <f>HYPERLINK("https://klasma.github.io/Logging_2380/kartor_geotiff/A 10048-2026 georefererad karta.tif", "A 10048-2026")</f>
        <v/>
      </c>
      <c r="Z81">
        <f>HYPERLINK("https://klasma.github.io/Logging_2380/knärot/A 10048-2026 karta knärot.png", "A 10048-2026")</f>
        <v/>
      </c>
      <c r="AA81">
        <f>HYPERLINK("https://klasma.github.io/Logging_2380/klagomål/A 10048-2026 FSC-klagomål.docx", "A 10048-2026")</f>
        <v/>
      </c>
      <c r="AB81">
        <f>HYPERLINK("https://klasma.github.io/Logging_2380/klagomålsmail/A 10048-2026 FSC-klagomål mail.docx", "A 10048-2026")</f>
        <v/>
      </c>
      <c r="AC81">
        <f>HYPERLINK("https://klasma.github.io/Logging_2380/tillsyn/A 10048-2026 tillsynsbegäran.docx", "A 10048-2026")</f>
        <v/>
      </c>
      <c r="AD81">
        <f>HYPERLINK("https://klasma.github.io/Logging_2380/tillsynsmail/A 10048-2026 tillsynsbegäran mail.docx", "A 10048-2026")</f>
        <v/>
      </c>
      <c r="AE81">
        <f>HYPERLINK("https://klasma.github.io/Logging_2380/fåglar/A 10048-2026 prioriterade fågelarter.docx", "A 10048-2026")</f>
        <v/>
      </c>
    </row>
    <row r="82" ht="15" customHeight="1">
      <c r="A82" t="inlineStr">
        <is>
          <t>A 46705-2023</t>
        </is>
      </c>
      <c r="B82" t="inlineStr">
        <is>
          <t>avverkningsanmälan</t>
        </is>
      </c>
      <c r="C82" t="inlineStr">
        <is>
          <t>Föryngringsavverkning</t>
        </is>
      </c>
      <c r="D82" s="1" t="n">
        <v>45198</v>
      </c>
      <c r="E82" s="1" t="n">
        <v>46312</v>
      </c>
      <c r="F82" t="inlineStr">
        <is>
          <t>JÄMTLANDS LÄN</t>
        </is>
      </c>
      <c r="G82" t="inlineStr">
        <is>
          <t>ÖSTERSUND</t>
        </is>
      </c>
      <c r="H82" t="inlineStr">
        <is>
          <t>Sveaskog</t>
        </is>
      </c>
      <c r="I82" t="n">
        <v>7.5</v>
      </c>
      <c r="J82" t="n">
        <v>5</v>
      </c>
      <c r="K82" t="n">
        <v>5</v>
      </c>
      <c r="L82" t="n">
        <v>0</v>
      </c>
      <c r="M82" t="n">
        <v>0</v>
      </c>
      <c r="N82" t="n">
        <v>0</v>
      </c>
      <c r="O82" t="n">
        <v>0</v>
      </c>
      <c r="P82" t="n">
        <v>0</v>
      </c>
      <c r="Q82" t="n">
        <v>0</v>
      </c>
      <c r="R82" t="n">
        <v>0</v>
      </c>
      <c r="S82" t="n">
        <v>7</v>
      </c>
      <c r="T82" t="n">
        <v>7</v>
      </c>
      <c r="U82" t="n">
        <v>4</v>
      </c>
      <c r="V82" s="2" t="inlineStr">
        <is>
          <t>Finbräken
Grönkulla
Guckusko
Tvåblad
Ögonpyrola
Brudsporre
Fläcknycklar</t>
        </is>
      </c>
      <c r="W82">
        <f>HYPERLINK("https://klasma.github.io/Logging_2380/artfynd/A 46705-2023 artfynd.xlsx", "A 46705-2023")</f>
        <v/>
      </c>
      <c r="X82">
        <f>HYPERLINK("https://klasma.github.io/Logging_2380/kartor/A 46705-2023 karta.png", "A 46705-2023")</f>
        <v/>
      </c>
      <c r="Y82">
        <f>HYPERLINK("https://klasma.github.io/Logging_2380/kartor_geotiff/A 46705-2023 georefererad karta.tif", "A 46705-2023")</f>
        <v/>
      </c>
      <c r="AA82">
        <f>HYPERLINK("https://klasma.github.io/Logging_2380/klagomål/A 46705-2023 FSC-klagomål.docx", "A 46705-2023")</f>
        <v/>
      </c>
      <c r="AB82">
        <f>HYPERLINK("https://klasma.github.io/Logging_2380/klagomålsmail/A 46705-2023 FSC-klagomål mail.docx", "A 46705-2023")</f>
        <v/>
      </c>
      <c r="AC82">
        <f>HYPERLINK("https://klasma.github.io/Logging_2380/tillsyn/A 46705-2023 tillsynsbegäran.docx", "A 46705-2023")</f>
        <v/>
      </c>
      <c r="AD82">
        <f>HYPERLINK("https://klasma.github.io/Logging_2380/tillsynsmail/A 46705-2023 tillsynsbegäran mail.docx", "A 46705-2023")</f>
        <v/>
      </c>
    </row>
    <row r="83" ht="15" customHeight="1">
      <c r="A83" t="inlineStr">
        <is>
          <t>A 16369-2023</t>
        </is>
      </c>
      <c r="B83" t="inlineStr">
        <is>
          <t>avverkningsanmälan</t>
        </is>
      </c>
      <c r="C83" t="inlineStr">
        <is>
          <t>Föryngringsavverkning</t>
        </is>
      </c>
      <c r="D83" s="1" t="n">
        <v>45028</v>
      </c>
      <c r="E83" s="1" t="n">
        <v>46312</v>
      </c>
      <c r="F83" t="inlineStr">
        <is>
          <t>JÄMTLANDS LÄN</t>
        </is>
      </c>
      <c r="G83" t="inlineStr">
        <is>
          <t>ÖSTERSUND</t>
        </is>
      </c>
      <c r="H83" t="inlineStr">
        <is>
          <t>SCA</t>
        </is>
      </c>
      <c r="I83" t="n">
        <v>4.6</v>
      </c>
      <c r="J83" t="n">
        <v>2</v>
      </c>
      <c r="K83" t="n">
        <v>1</v>
      </c>
      <c r="L83" t="n">
        <v>4</v>
      </c>
      <c r="M83" t="n">
        <v>1</v>
      </c>
      <c r="N83" t="n">
        <v>0</v>
      </c>
      <c r="O83" t="n">
        <v>0</v>
      </c>
      <c r="P83" t="n">
        <v>0</v>
      </c>
      <c r="Q83" t="n">
        <v>5</v>
      </c>
      <c r="R83" t="n">
        <v>1</v>
      </c>
      <c r="S83" t="n">
        <v>7</v>
      </c>
      <c r="T83" t="n">
        <v>7</v>
      </c>
      <c r="U83" t="n">
        <v>0</v>
      </c>
      <c r="V83" s="2" t="inlineStr">
        <is>
          <t>Gränsticka
Flattoppad klubbsvamp
Lavskrika
Rynkskinn
Ullticka
Rödgul trumpetsvamp
Blåsippa</t>
        </is>
      </c>
      <c r="W83">
        <f>HYPERLINK("https://klasma.github.io/Logging_2380/artfynd/A 16369-2023 artfynd.xlsx", "A 16369-2023")</f>
        <v/>
      </c>
      <c r="X83">
        <f>HYPERLINK("https://klasma.github.io/Logging_2380/kartor/A 16369-2023 karta.png", "A 16369-2023")</f>
        <v/>
      </c>
      <c r="Y83">
        <f>HYPERLINK("https://klasma.github.io/Logging_2380/kartor_geotiff/A 16369-2023 georefererad karta.tif", "A 16369-2023")</f>
        <v/>
      </c>
      <c r="AA83">
        <f>HYPERLINK("https://klasma.github.io/Logging_2380/klagomål/A 16369-2023 FSC-klagomål.docx", "A 16369-2023")</f>
        <v/>
      </c>
      <c r="AB83">
        <f>HYPERLINK("https://klasma.github.io/Logging_2380/klagomålsmail/A 16369-2023 FSC-klagomål mail.docx", "A 16369-2023")</f>
        <v/>
      </c>
      <c r="AC83">
        <f>HYPERLINK("https://klasma.github.io/Logging_2380/tillsyn/A 16369-2023 tillsynsbegäran.docx", "A 16369-2023")</f>
        <v/>
      </c>
      <c r="AD83">
        <f>HYPERLINK("https://klasma.github.io/Logging_2380/tillsynsmail/A 16369-2023 tillsynsbegäran mail.docx", "A 16369-2023")</f>
        <v/>
      </c>
      <c r="AE83">
        <f>HYPERLINK("https://klasma.github.io/Logging_2380/fåglar/A 16369-2023 prioriterade fågelarter.docx", "A 16369-2023")</f>
        <v/>
      </c>
    </row>
    <row r="84" ht="15" customHeight="1">
      <c r="A84" t="inlineStr">
        <is>
          <t>A 48736-2025</t>
        </is>
      </c>
      <c r="B84" t="inlineStr">
        <is>
          <t>avverkningsanmälan</t>
        </is>
      </c>
      <c r="C84" t="inlineStr">
        <is>
          <t>Föryngringsavverkning</t>
        </is>
      </c>
      <c r="D84" s="1" t="n">
        <v>45936</v>
      </c>
      <c r="E84" s="1" t="n">
        <v>46312</v>
      </c>
      <c r="F84" t="inlineStr">
        <is>
          <t>JÄMTLANDS LÄN</t>
        </is>
      </c>
      <c r="G84" t="inlineStr">
        <is>
          <t>ÖSTERSUND</t>
        </is>
      </c>
      <c r="I84" t="n">
        <v>2.8</v>
      </c>
      <c r="J84" t="n">
        <v>3</v>
      </c>
      <c r="K84" t="n">
        <v>3</v>
      </c>
      <c r="L84" t="n">
        <v>2</v>
      </c>
      <c r="M84" t="n">
        <v>1</v>
      </c>
      <c r="N84" t="n">
        <v>0</v>
      </c>
      <c r="O84" t="n">
        <v>0</v>
      </c>
      <c r="P84" t="n">
        <v>0</v>
      </c>
      <c r="Q84" t="n">
        <v>3</v>
      </c>
      <c r="R84" t="n">
        <v>1</v>
      </c>
      <c r="S84" t="n">
        <v>7</v>
      </c>
      <c r="T84" t="n">
        <v>22</v>
      </c>
      <c r="U84" t="n">
        <v>22</v>
      </c>
      <c r="V84" s="2" t="inlineStr">
        <is>
          <t>Knärot
Harticka
Tretåig hackspett
Rödgul trumpetsvamp
Trådticka
Vedticka
Revlummer</t>
        </is>
      </c>
      <c r="W84">
        <f>HYPERLINK("https://klasma.github.io/Logging_2380/artfynd/A 48736-2025 artfynd.xlsx", "A 48736-2025")</f>
        <v/>
      </c>
      <c r="X84">
        <f>HYPERLINK("https://klasma.github.io/Logging_2380/kartor/A 48736-2025 karta.png", "A 48736-2025")</f>
        <v/>
      </c>
      <c r="Y84">
        <f>HYPERLINK("https://klasma.github.io/Logging_2380/kartor_geotiff/A 48736-2025 georefererad karta.tif", "A 48736-2025")</f>
        <v/>
      </c>
      <c r="Z84">
        <f>HYPERLINK("https://klasma.github.io/Logging_2380/knärot/A 48736-2025 karta knärot.png", "A 48736-2025")</f>
        <v/>
      </c>
      <c r="AA84">
        <f>HYPERLINK("https://klasma.github.io/Logging_2380/klagomål/A 48736-2025 FSC-klagomål.docx", "A 48736-2025")</f>
        <v/>
      </c>
      <c r="AB84">
        <f>HYPERLINK("https://klasma.github.io/Logging_2380/klagomålsmail/A 48736-2025 FSC-klagomål mail.docx", "A 48736-2025")</f>
        <v/>
      </c>
      <c r="AC84">
        <f>HYPERLINK("https://klasma.github.io/Logging_2380/tillsyn/A 48736-2025 tillsynsbegäran.docx", "A 48736-2025")</f>
        <v/>
      </c>
      <c r="AD84">
        <f>HYPERLINK("https://klasma.github.io/Logging_2380/tillsynsmail/A 48736-2025 tillsynsbegäran mail.docx", "A 48736-2025")</f>
        <v/>
      </c>
      <c r="AE84">
        <f>HYPERLINK("https://klasma.github.io/Logging_2380/fåglar/A 48736-2025 prioriterade fågelarter.docx", "A 48736-2025")</f>
        <v/>
      </c>
    </row>
    <row r="85" ht="15" customHeight="1">
      <c r="A85" t="inlineStr">
        <is>
          <t>A 3894-2026</t>
        </is>
      </c>
      <c r="B85" t="inlineStr">
        <is>
          <t>avverkningsanmälan</t>
        </is>
      </c>
      <c r="C85" t="inlineStr">
        <is>
          <t>Föryngringsavverkning</t>
        </is>
      </c>
      <c r="D85" s="1" t="n">
        <v>46043</v>
      </c>
      <c r="E85" s="1" t="n">
        <v>46312</v>
      </c>
      <c r="F85" t="inlineStr">
        <is>
          <t>JÄMTLANDS LÄN</t>
        </is>
      </c>
      <c r="G85" t="inlineStr">
        <is>
          <t>ÖSTERSUND</t>
        </is>
      </c>
      <c r="I85" t="n">
        <v>3.5</v>
      </c>
      <c r="J85" t="n">
        <v>2</v>
      </c>
      <c r="K85" t="n">
        <v>1</v>
      </c>
      <c r="L85" t="n">
        <v>5</v>
      </c>
      <c r="M85" t="n">
        <v>1</v>
      </c>
      <c r="N85" t="n">
        <v>0</v>
      </c>
      <c r="O85" t="n">
        <v>0</v>
      </c>
      <c r="P85" t="n">
        <v>0</v>
      </c>
      <c r="Q85" t="n">
        <v>6</v>
      </c>
      <c r="R85" t="n">
        <v>1</v>
      </c>
      <c r="S85" t="n">
        <v>7</v>
      </c>
      <c r="T85" t="n">
        <v>28</v>
      </c>
      <c r="U85" t="n">
        <v>27</v>
      </c>
      <c r="V85" s="2" t="inlineStr">
        <is>
          <t>Garnlav
Lunglav
Rynkskinn
Talltita
Tretåig hackspett
Vitgrynig nållav
Trådticka</t>
        </is>
      </c>
      <c r="W85">
        <f>HYPERLINK("https://klasma.github.io/Logging_2380/artfynd/A 3894-2026 artfynd.xlsx", "A 3894-2026")</f>
        <v/>
      </c>
      <c r="X85">
        <f>HYPERLINK("https://klasma.github.io/Logging_2380/kartor/A 3894-2026 karta.png", "A 3894-2026")</f>
        <v/>
      </c>
      <c r="Y85">
        <f>HYPERLINK("https://klasma.github.io/Logging_2380/kartor_geotiff/A 3894-2026 georefererad karta.tif", "A 3894-2026")</f>
        <v/>
      </c>
      <c r="AA85">
        <f>HYPERLINK("https://klasma.github.io/Logging_2380/klagomål/A 3894-2026 FSC-klagomål.docx", "A 3894-2026")</f>
        <v/>
      </c>
      <c r="AB85">
        <f>HYPERLINK("https://klasma.github.io/Logging_2380/klagomålsmail/A 3894-2026 FSC-klagomål mail.docx", "A 3894-2026")</f>
        <v/>
      </c>
      <c r="AC85">
        <f>HYPERLINK("https://klasma.github.io/Logging_2380/tillsyn/A 3894-2026 tillsynsbegäran.docx", "A 3894-2026")</f>
        <v/>
      </c>
      <c r="AD85">
        <f>HYPERLINK("https://klasma.github.io/Logging_2380/tillsynsmail/A 3894-2026 tillsynsbegäran mail.docx", "A 3894-2026")</f>
        <v/>
      </c>
      <c r="AE85">
        <f>HYPERLINK("https://klasma.github.io/Logging_2380/fåglar/A 3894-2026 prioriterade fågelarter.docx", "A 3894-2026")</f>
        <v/>
      </c>
    </row>
    <row r="86" ht="15" customHeight="1">
      <c r="A86" t="inlineStr">
        <is>
          <t>A 15254-2026</t>
        </is>
      </c>
      <c r="B86" t="inlineStr">
        <is>
          <t>avverkningsanmälan</t>
        </is>
      </c>
      <c r="C86" t="inlineStr">
        <is>
          <t>Föryngringsavverkning</t>
        </is>
      </c>
      <c r="D86" s="1" t="n">
        <v>46105</v>
      </c>
      <c r="E86" s="1" t="n">
        <v>46312</v>
      </c>
      <c r="F86" t="inlineStr">
        <is>
          <t>JÄMTLANDS LÄN</t>
        </is>
      </c>
      <c r="G86" t="inlineStr">
        <is>
          <t>ÖSTERSUND</t>
        </is>
      </c>
      <c r="I86" t="n">
        <v>2.7</v>
      </c>
      <c r="J86" t="n">
        <v>1</v>
      </c>
      <c r="K86" t="n">
        <v>1</v>
      </c>
      <c r="L86" t="n">
        <v>2</v>
      </c>
      <c r="M86" t="n">
        <v>1</v>
      </c>
      <c r="N86" t="n">
        <v>0</v>
      </c>
      <c r="O86" t="n">
        <v>0</v>
      </c>
      <c r="P86" t="n">
        <v>0</v>
      </c>
      <c r="Q86" t="n">
        <v>3</v>
      </c>
      <c r="R86" t="n">
        <v>1</v>
      </c>
      <c r="S86" t="n">
        <v>7</v>
      </c>
      <c r="T86" t="n">
        <v>26</v>
      </c>
      <c r="U86" t="n">
        <v>26</v>
      </c>
      <c r="V86" s="2" t="inlineStr">
        <is>
          <t>Garnlav
Lunglav
Tretåig hackspett
Stuplav
Brudborste
Kransmossa
Linnea</t>
        </is>
      </c>
      <c r="W86">
        <f>HYPERLINK("https://klasma.github.io/Logging_2380/artfynd/A 15254-2026 artfynd.xlsx", "A 15254-2026")</f>
        <v/>
      </c>
      <c r="X86">
        <f>HYPERLINK("https://klasma.github.io/Logging_2380/kartor/A 15254-2026 karta.png", "A 15254-2026")</f>
        <v/>
      </c>
      <c r="Y86">
        <f>HYPERLINK("https://klasma.github.io/Logging_2380/kartor_geotiff/A 15254-2026 georefererad karta.tif", "A 15254-2026")</f>
        <v/>
      </c>
      <c r="AA86">
        <f>HYPERLINK("https://klasma.github.io/Logging_2380/klagomål/A 15254-2026 FSC-klagomål.docx", "A 15254-2026")</f>
        <v/>
      </c>
      <c r="AB86">
        <f>HYPERLINK("https://klasma.github.io/Logging_2380/klagomålsmail/A 15254-2026 FSC-klagomål mail.docx", "A 15254-2026")</f>
        <v/>
      </c>
      <c r="AC86">
        <f>HYPERLINK("https://klasma.github.io/Logging_2380/tillsyn/A 15254-2026 tillsynsbegäran.docx", "A 15254-2026")</f>
        <v/>
      </c>
      <c r="AD86">
        <f>HYPERLINK("https://klasma.github.io/Logging_2380/tillsynsmail/A 15254-2026 tillsynsbegäran mail.docx", "A 15254-2026")</f>
        <v/>
      </c>
      <c r="AE86">
        <f>HYPERLINK("https://klasma.github.io/Logging_2380/fåglar/A 15254-2026 prioriterade fågelarter.docx", "A 15254-2026")</f>
        <v/>
      </c>
    </row>
    <row r="87" ht="15" customHeight="1">
      <c r="A87" t="inlineStr">
        <is>
          <t>A 26372-2025</t>
        </is>
      </c>
      <c r="B87" t="inlineStr">
        <is>
          <t>avverkningsanmälan</t>
        </is>
      </c>
      <c r="C87" t="inlineStr">
        <is>
          <t>Föryngringsavverkning</t>
        </is>
      </c>
      <c r="D87" s="1" t="n">
        <v>45806</v>
      </c>
      <c r="E87" s="1" t="n">
        <v>46312</v>
      </c>
      <c r="F87" t="inlineStr">
        <is>
          <t>JÄMTLANDS LÄN</t>
        </is>
      </c>
      <c r="G87" t="inlineStr">
        <is>
          <t>ÖSTERSUND</t>
        </is>
      </c>
      <c r="I87" t="n">
        <v>4.3</v>
      </c>
      <c r="J87" t="n">
        <v>4</v>
      </c>
      <c r="K87" t="n">
        <v>2</v>
      </c>
      <c r="L87" t="n">
        <v>2</v>
      </c>
      <c r="M87" t="n">
        <v>2</v>
      </c>
      <c r="N87" t="n">
        <v>0</v>
      </c>
      <c r="O87" t="n">
        <v>0</v>
      </c>
      <c r="P87" t="n">
        <v>0</v>
      </c>
      <c r="Q87" t="n">
        <v>4</v>
      </c>
      <c r="R87" t="n">
        <v>2</v>
      </c>
      <c r="S87" t="n">
        <v>7</v>
      </c>
      <c r="T87" t="n">
        <v>37</v>
      </c>
      <c r="U87" t="n">
        <v>37</v>
      </c>
      <c r="V87" s="2" t="inlineStr">
        <is>
          <t>Garnlav
Knärot
Harticka
Tretåig hackspett
Luddlav
Spindelblomster
Kungsfågel</t>
        </is>
      </c>
      <c r="W87">
        <f>HYPERLINK("https://klasma.github.io/Logging_2380/artfynd/A 26372-2025 artfynd.xlsx", "A 26372-2025")</f>
        <v/>
      </c>
      <c r="X87">
        <f>HYPERLINK("https://klasma.github.io/Logging_2380/kartor/A 26372-2025 karta.png", "A 26372-2025")</f>
        <v/>
      </c>
      <c r="Y87">
        <f>HYPERLINK("https://klasma.github.io/Logging_2380/kartor_geotiff/A 26372-2025 georefererad karta.tif", "A 26372-2025")</f>
        <v/>
      </c>
      <c r="Z87">
        <f>HYPERLINK("https://klasma.github.io/Logging_2380/knärot/A 26372-2025 karta knärot.png", "A 26372-2025")</f>
        <v/>
      </c>
      <c r="AA87">
        <f>HYPERLINK("https://klasma.github.io/Logging_2380/klagomål/A 26372-2025 FSC-klagomål.docx", "A 26372-2025")</f>
        <v/>
      </c>
      <c r="AB87">
        <f>HYPERLINK("https://klasma.github.io/Logging_2380/klagomålsmail/A 26372-2025 FSC-klagomål mail.docx", "A 26372-2025")</f>
        <v/>
      </c>
      <c r="AC87">
        <f>HYPERLINK("https://klasma.github.io/Logging_2380/tillsyn/A 26372-2025 tillsynsbegäran.docx", "A 26372-2025")</f>
        <v/>
      </c>
      <c r="AD87">
        <f>HYPERLINK("https://klasma.github.io/Logging_2380/tillsynsmail/A 26372-2025 tillsynsbegäran mail.docx", "A 26372-2025")</f>
        <v/>
      </c>
      <c r="AE87">
        <f>HYPERLINK("https://klasma.github.io/Logging_2380/fåglar/A 26372-2025 prioriterade fågelarter.docx", "A 26372-2025")</f>
        <v/>
      </c>
    </row>
    <row r="88" ht="15" customHeight="1">
      <c r="A88" t="inlineStr">
        <is>
          <t>A 52297-2025</t>
        </is>
      </c>
      <c r="B88" t="inlineStr">
        <is>
          <t>avverkningsanmälan</t>
        </is>
      </c>
      <c r="C88" t="inlineStr">
        <is>
          <t>Föryngringsavverkning</t>
        </is>
      </c>
      <c r="D88" s="1" t="n">
        <v>45953</v>
      </c>
      <c r="E88" s="1" t="n">
        <v>46312</v>
      </c>
      <c r="F88" t="inlineStr">
        <is>
          <t>JÄMTLANDS LÄN</t>
        </is>
      </c>
      <c r="G88" t="inlineStr">
        <is>
          <t>ÖSTERSUND</t>
        </is>
      </c>
      <c r="I88" t="n">
        <v>2.3</v>
      </c>
      <c r="J88" t="n">
        <v>3</v>
      </c>
      <c r="K88" t="n">
        <v>1</v>
      </c>
      <c r="L88" t="n">
        <v>4</v>
      </c>
      <c r="M88" t="n">
        <v>2</v>
      </c>
      <c r="N88" t="n">
        <v>0</v>
      </c>
      <c r="O88" t="n">
        <v>0</v>
      </c>
      <c r="P88" t="n">
        <v>0</v>
      </c>
      <c r="Q88" t="n">
        <v>6</v>
      </c>
      <c r="R88" t="n">
        <v>2</v>
      </c>
      <c r="S88" t="n">
        <v>7</v>
      </c>
      <c r="T88" t="n">
        <v>17</v>
      </c>
      <c r="U88" t="n">
        <v>17</v>
      </c>
      <c r="V88" s="2" t="inlineStr">
        <is>
          <t>Garnlav
Knärot
Harticka
Rosenticka
Talltita
Tretåig hackspett
Gullgröppa</t>
        </is>
      </c>
      <c r="W88">
        <f>HYPERLINK("https://klasma.github.io/Logging_2380/artfynd/A 52297-2025 artfynd.xlsx", "A 52297-2025")</f>
        <v/>
      </c>
      <c r="X88">
        <f>HYPERLINK("https://klasma.github.io/Logging_2380/kartor/A 52297-2025 karta.png", "A 52297-2025")</f>
        <v/>
      </c>
      <c r="Y88">
        <f>HYPERLINK("https://klasma.github.io/Logging_2380/kartor_geotiff/A 52297-2025 georefererad karta.tif", "A 52297-2025")</f>
        <v/>
      </c>
      <c r="Z88">
        <f>HYPERLINK("https://klasma.github.io/Logging_2380/knärot/A 52297-2025 karta knärot.png", "A 52297-2025")</f>
        <v/>
      </c>
      <c r="AA88">
        <f>HYPERLINK("https://klasma.github.io/Logging_2380/klagomål/A 52297-2025 FSC-klagomål.docx", "A 52297-2025")</f>
        <v/>
      </c>
      <c r="AB88">
        <f>HYPERLINK("https://klasma.github.io/Logging_2380/klagomålsmail/A 52297-2025 FSC-klagomål mail.docx", "A 52297-2025")</f>
        <v/>
      </c>
      <c r="AC88">
        <f>HYPERLINK("https://klasma.github.io/Logging_2380/tillsyn/A 52297-2025 tillsynsbegäran.docx", "A 52297-2025")</f>
        <v/>
      </c>
      <c r="AD88">
        <f>HYPERLINK("https://klasma.github.io/Logging_2380/tillsynsmail/A 52297-2025 tillsynsbegäran mail.docx", "A 52297-2025")</f>
        <v/>
      </c>
      <c r="AE88">
        <f>HYPERLINK("https://klasma.github.io/Logging_2380/fåglar/A 52297-2025 prioriterade fågelarter.docx", "A 52297-2025")</f>
        <v/>
      </c>
    </row>
    <row r="89" ht="15" customHeight="1">
      <c r="A89" t="inlineStr">
        <is>
          <t>A 39586-2025</t>
        </is>
      </c>
      <c r="B89" t="inlineStr">
        <is>
          <t>avverkningsanmälan</t>
        </is>
      </c>
      <c r="C89" t="inlineStr">
        <is>
          <t>Föryngringsavverkning</t>
        </is>
      </c>
      <c r="D89" s="1" t="n">
        <v>45890</v>
      </c>
      <c r="E89" s="1" t="n">
        <v>46312</v>
      </c>
      <c r="F89" t="inlineStr">
        <is>
          <t>JÄMTLANDS LÄN</t>
        </is>
      </c>
      <c r="G89" t="inlineStr">
        <is>
          <t>ÖSTERSUND</t>
        </is>
      </c>
      <c r="I89" t="n">
        <v>4.6</v>
      </c>
      <c r="J89" t="n">
        <v>2</v>
      </c>
      <c r="K89" t="n">
        <v>0</v>
      </c>
      <c r="L89" t="n">
        <v>6</v>
      </c>
      <c r="M89" t="n">
        <v>1</v>
      </c>
      <c r="N89" t="n">
        <v>0</v>
      </c>
      <c r="O89" t="n">
        <v>0</v>
      </c>
      <c r="P89" t="n">
        <v>0</v>
      </c>
      <c r="Q89" t="n">
        <v>7</v>
      </c>
      <c r="R89" t="n">
        <v>1</v>
      </c>
      <c r="S89" t="n">
        <v>7</v>
      </c>
      <c r="T89" t="n">
        <v>23</v>
      </c>
      <c r="U89" t="n">
        <v>23</v>
      </c>
      <c r="V89" s="2" t="inlineStr">
        <is>
          <t>Garnlav
Gammelgransskål
Harticka
Talltita
Tretåig hackspett
Vitgrynig nållav
Äggvaxskivling</t>
        </is>
      </c>
      <c r="W89">
        <f>HYPERLINK("https://klasma.github.io/Logging_2380/artfynd/A 39586-2025 artfynd.xlsx", "A 39586-2025")</f>
        <v/>
      </c>
      <c r="X89">
        <f>HYPERLINK("https://klasma.github.io/Logging_2380/kartor/A 39586-2025 karta.png", "A 39586-2025")</f>
        <v/>
      </c>
      <c r="Y89">
        <f>HYPERLINK("https://klasma.github.io/Logging_2380/kartor_geotiff/A 39586-2025 georefererad karta.tif", "A 39586-2025")</f>
        <v/>
      </c>
      <c r="AA89">
        <f>HYPERLINK("https://klasma.github.io/Logging_2380/klagomål/A 39586-2025 FSC-klagomål.docx", "A 39586-2025")</f>
        <v/>
      </c>
      <c r="AB89">
        <f>HYPERLINK("https://klasma.github.io/Logging_2380/klagomålsmail/A 39586-2025 FSC-klagomål mail.docx", "A 39586-2025")</f>
        <v/>
      </c>
      <c r="AC89">
        <f>HYPERLINK("https://klasma.github.io/Logging_2380/tillsyn/A 39586-2025 tillsynsbegäran.docx", "A 39586-2025")</f>
        <v/>
      </c>
      <c r="AD89">
        <f>HYPERLINK("https://klasma.github.io/Logging_2380/tillsynsmail/A 39586-2025 tillsynsbegäran mail.docx", "A 39586-2025")</f>
        <v/>
      </c>
      <c r="AE89">
        <f>HYPERLINK("https://klasma.github.io/Logging_2380/fåglar/A 39586-2025 prioriterade fågelarter.docx", "A 39586-2025")</f>
        <v/>
      </c>
    </row>
    <row r="90" ht="15" customHeight="1">
      <c r="A90" t="inlineStr">
        <is>
          <t>A 56648-2025</t>
        </is>
      </c>
      <c r="B90" t="inlineStr">
        <is>
          <t>avverkningsanmälan</t>
        </is>
      </c>
      <c r="C90" t="inlineStr">
        <is>
          <t>Föryngringsavverkning</t>
        </is>
      </c>
      <c r="D90" s="1" t="n">
        <v>45975</v>
      </c>
      <c r="E90" s="1" t="n">
        <v>46312</v>
      </c>
      <c r="F90" t="inlineStr">
        <is>
          <t>JÄMTLANDS LÄN</t>
        </is>
      </c>
      <c r="G90" t="inlineStr">
        <is>
          <t>ÖSTERSUND</t>
        </is>
      </c>
      <c r="I90" t="n">
        <v>4.3</v>
      </c>
      <c r="J90" t="n">
        <v>4</v>
      </c>
      <c r="K90" t="n">
        <v>1</v>
      </c>
      <c r="L90" t="n">
        <v>3</v>
      </c>
      <c r="M90" t="n">
        <v>1</v>
      </c>
      <c r="N90" t="n">
        <v>0</v>
      </c>
      <c r="O90" t="n">
        <v>0</v>
      </c>
      <c r="P90" t="n">
        <v>0</v>
      </c>
      <c r="Q90" t="n">
        <v>4</v>
      </c>
      <c r="R90" t="n">
        <v>1</v>
      </c>
      <c r="S90" t="n">
        <v>7</v>
      </c>
      <c r="T90" t="n">
        <v>56</v>
      </c>
      <c r="U90" t="n">
        <v>56</v>
      </c>
      <c r="V90" s="2" t="inlineStr">
        <is>
          <t>Garnlav
Talltita
Tretåig hackspett
Ullticka
Stuplav
Spillkråka
Revlummer</t>
        </is>
      </c>
      <c r="W90">
        <f>HYPERLINK("https://klasma.github.io/Logging_2380/artfynd/A 56648-2025 artfynd.xlsx", "A 56648-2025")</f>
        <v/>
      </c>
      <c r="X90">
        <f>HYPERLINK("https://klasma.github.io/Logging_2380/kartor/A 56648-2025 karta.png", "A 56648-2025")</f>
        <v/>
      </c>
      <c r="Y90">
        <f>HYPERLINK("https://klasma.github.io/Logging_2380/kartor_geotiff/A 56648-2025 georefererad karta.tif", "A 56648-2025")</f>
        <v/>
      </c>
      <c r="AA90">
        <f>HYPERLINK("https://klasma.github.io/Logging_2380/klagomål/A 56648-2025 FSC-klagomål.docx", "A 56648-2025")</f>
        <v/>
      </c>
      <c r="AB90">
        <f>HYPERLINK("https://klasma.github.io/Logging_2380/klagomålsmail/A 56648-2025 FSC-klagomål mail.docx", "A 56648-2025")</f>
        <v/>
      </c>
      <c r="AC90">
        <f>HYPERLINK("https://klasma.github.io/Logging_2380/tillsyn/A 56648-2025 tillsynsbegäran.docx", "A 56648-2025")</f>
        <v/>
      </c>
      <c r="AD90">
        <f>HYPERLINK("https://klasma.github.io/Logging_2380/tillsynsmail/A 56648-2025 tillsynsbegäran mail.docx", "A 56648-2025")</f>
        <v/>
      </c>
      <c r="AE90">
        <f>HYPERLINK("https://klasma.github.io/Logging_2380/fåglar/A 56648-2025 prioriterade fågelarter.docx", "A 56648-2025")</f>
        <v/>
      </c>
    </row>
    <row r="91" ht="15" customHeight="1">
      <c r="A91" t="inlineStr">
        <is>
          <t>S 1113-2025</t>
        </is>
      </c>
      <c r="B91" t="inlineStr">
        <is>
          <t>samrådsanmälan</t>
        </is>
      </c>
      <c r="C91" t="inlineStr">
        <is>
          <t>Annan skogsbruksåtgärd</t>
        </is>
      </c>
      <c r="D91" s="1" t="n">
        <v>45751</v>
      </c>
      <c r="E91" s="1" t="n">
        <v>46312</v>
      </c>
      <c r="F91" t="inlineStr">
        <is>
          <t>JÄMTLANDS LÄN</t>
        </is>
      </c>
      <c r="G91" t="inlineStr">
        <is>
          <t>ÖSTERSUND</t>
        </is>
      </c>
      <c r="H91" t="inlineStr">
        <is>
          <t>SCA</t>
        </is>
      </c>
      <c r="I91" t="n">
        <v>12.2</v>
      </c>
      <c r="J91" t="n">
        <v>0</v>
      </c>
      <c r="K91" t="n">
        <v>0</v>
      </c>
      <c r="L91" t="n">
        <v>6</v>
      </c>
      <c r="M91" t="n">
        <v>1</v>
      </c>
      <c r="N91" t="n">
        <v>0</v>
      </c>
      <c r="O91" t="n">
        <v>0</v>
      </c>
      <c r="P91" t="n">
        <v>0</v>
      </c>
      <c r="Q91" t="n">
        <v>7</v>
      </c>
      <c r="R91" t="n">
        <v>1</v>
      </c>
      <c r="S91" t="n">
        <v>7</v>
      </c>
      <c r="T91" t="n">
        <v>21</v>
      </c>
      <c r="U91" t="n">
        <v>0</v>
      </c>
      <c r="V91" s="2" t="inlineStr">
        <is>
          <t>Skrovlig taggsvamp
Blå taggsvamp
Dropptaggsvamp
Dvärgbägarlav
Mörk kolflarnlav
Nordtagging
Reliktbock</t>
        </is>
      </c>
      <c r="W91">
        <f>HYPERLINK("https://klasma.github.io/Logging_2380/artfynd/S 1113-2025 artfynd.xlsx", "S 1113-2025")</f>
        <v/>
      </c>
      <c r="X91">
        <f>HYPERLINK("https://klasma.github.io/Logging_2380/kartor/S 1113-2025 karta.png", "S 1113-2025")</f>
        <v/>
      </c>
      <c r="Y91">
        <f>HYPERLINK("https://klasma.github.io/Logging_2380/kartor_geotiff/S 1113-2025 georefererad karta.tif", "S 1113-2025")</f>
        <v/>
      </c>
      <c r="AA91">
        <f>HYPERLINK("https://klasma.github.io/Logging_2380/klagomål/S 1113-2025 FSC-klagomål.docx", "S 1113-2025")</f>
        <v/>
      </c>
      <c r="AB91">
        <f>HYPERLINK("https://klasma.github.io/Logging_2380/klagomålsmail/S 1113-2025 FSC-klagomål mail.docx", "S 1113-2025")</f>
        <v/>
      </c>
      <c r="AC91">
        <f>HYPERLINK("https://klasma.github.io/Logging_2380/tillsyn/S 1113-2025 tillsynsbegäran.docx", "S 1113-2025")</f>
        <v/>
      </c>
      <c r="AD91">
        <f>HYPERLINK("https://klasma.github.io/Logging_2380/tillsynsmail/S 1113-2025 tillsynsbegäran mail.docx", "S 1113-2025")</f>
        <v/>
      </c>
    </row>
    <row r="92" ht="15" customHeight="1">
      <c r="A92" t="inlineStr">
        <is>
          <t>A 18338-2025</t>
        </is>
      </c>
      <c r="B92" t="inlineStr">
        <is>
          <t>avverkningsanmälan</t>
        </is>
      </c>
      <c r="C92" t="inlineStr">
        <is>
          <t>Föryngringsavverkning</t>
        </is>
      </c>
      <c r="D92" s="1" t="n">
        <v>45762</v>
      </c>
      <c r="E92" s="1" t="n">
        <v>46312</v>
      </c>
      <c r="F92" t="inlineStr">
        <is>
          <t>JÄMTLANDS LÄN</t>
        </is>
      </c>
      <c r="G92" t="inlineStr">
        <is>
          <t>ÖSTERSUND</t>
        </is>
      </c>
      <c r="H92" t="inlineStr">
        <is>
          <t>SCA</t>
        </is>
      </c>
      <c r="I92" t="n">
        <v>5.3</v>
      </c>
      <c r="J92" t="n">
        <v>1</v>
      </c>
      <c r="K92" t="n">
        <v>2</v>
      </c>
      <c r="L92" t="n">
        <v>3</v>
      </c>
      <c r="M92" t="n">
        <v>0</v>
      </c>
      <c r="N92" t="n">
        <v>0</v>
      </c>
      <c r="O92" t="n">
        <v>0</v>
      </c>
      <c r="P92" t="n">
        <v>0</v>
      </c>
      <c r="Q92" t="n">
        <v>3</v>
      </c>
      <c r="R92" t="n">
        <v>0</v>
      </c>
      <c r="S92" t="n">
        <v>6</v>
      </c>
      <c r="T92" t="n">
        <v>8</v>
      </c>
      <c r="U92" t="n">
        <v>0</v>
      </c>
      <c r="V92" s="2" t="inlineStr">
        <is>
          <t>Kolflarnlav
Oljetagging
Vedflamlav
Barkticka
Stor aspticka
Fläcknycklar</t>
        </is>
      </c>
      <c r="W92">
        <f>HYPERLINK("https://klasma.github.io/Logging_2380/artfynd/A 18338-2025 artfynd.xlsx", "A 18338-2025")</f>
        <v/>
      </c>
      <c r="X92">
        <f>HYPERLINK("https://klasma.github.io/Logging_2380/kartor/A 18338-2025 karta.png", "A 18338-2025")</f>
        <v/>
      </c>
      <c r="Y92">
        <f>HYPERLINK("https://klasma.github.io/Logging_2380/kartor_geotiff/A 18338-2025 georefererad karta.tif", "A 18338-2025")</f>
        <v/>
      </c>
      <c r="AA92">
        <f>HYPERLINK("https://klasma.github.io/Logging_2380/klagomål/A 18338-2025 FSC-klagomål.docx", "A 18338-2025")</f>
        <v/>
      </c>
      <c r="AB92">
        <f>HYPERLINK("https://klasma.github.io/Logging_2380/klagomålsmail/A 18338-2025 FSC-klagomål mail.docx", "A 18338-2025")</f>
        <v/>
      </c>
      <c r="AC92">
        <f>HYPERLINK("https://klasma.github.io/Logging_2380/tillsyn/A 18338-2025 tillsynsbegäran.docx", "A 18338-2025")</f>
        <v/>
      </c>
      <c r="AD92">
        <f>HYPERLINK("https://klasma.github.io/Logging_2380/tillsynsmail/A 18338-2025 tillsynsbegäran mail.docx", "A 18338-2025")</f>
        <v/>
      </c>
    </row>
    <row r="93" ht="15" customHeight="1">
      <c r="A93" t="inlineStr">
        <is>
          <t>A 376-2023</t>
        </is>
      </c>
      <c r="B93" t="inlineStr">
        <is>
          <t>avverkningsanmälan</t>
        </is>
      </c>
      <c r="C93" t="inlineStr">
        <is>
          <t>Föryngringsavverkning</t>
        </is>
      </c>
      <c r="D93" s="1" t="n">
        <v>44929</v>
      </c>
      <c r="E93" s="1" t="n">
        <v>46312</v>
      </c>
      <c r="F93" t="inlineStr">
        <is>
          <t>JÄMTLANDS LÄN</t>
        </is>
      </c>
      <c r="G93" t="inlineStr">
        <is>
          <t>ÖSTERSUND</t>
        </is>
      </c>
      <c r="I93" t="n">
        <v>11.5</v>
      </c>
      <c r="J93" t="n">
        <v>2</v>
      </c>
      <c r="K93" t="n">
        <v>1</v>
      </c>
      <c r="L93" t="n">
        <v>3</v>
      </c>
      <c r="M93" t="n">
        <v>1</v>
      </c>
      <c r="N93" t="n">
        <v>0</v>
      </c>
      <c r="O93" t="n">
        <v>0</v>
      </c>
      <c r="P93" t="n">
        <v>0</v>
      </c>
      <c r="Q93" t="n">
        <v>4</v>
      </c>
      <c r="R93" t="n">
        <v>1</v>
      </c>
      <c r="S93" t="n">
        <v>6</v>
      </c>
      <c r="T93" t="n">
        <v>37</v>
      </c>
      <c r="U93" t="n">
        <v>37</v>
      </c>
      <c r="V93" s="2" t="inlineStr">
        <is>
          <t>Garnlav
Lunglav
Skrovellav
Tretåig hackspett
Stuplav
Spillkråka</t>
        </is>
      </c>
      <c r="W93">
        <f>HYPERLINK("https://klasma.github.io/Logging_2380/artfynd/A 376-2023 artfynd.xlsx", "A 376-2023")</f>
        <v/>
      </c>
      <c r="X93">
        <f>HYPERLINK("https://klasma.github.io/Logging_2380/kartor/A 376-2023 karta.png", "A 376-2023")</f>
        <v/>
      </c>
      <c r="Y93">
        <f>HYPERLINK("https://klasma.github.io/Logging_2380/kartor_geotiff/A 376-2023 georefererad karta.tif", "A 376-2023")</f>
        <v/>
      </c>
      <c r="AA93">
        <f>HYPERLINK("https://klasma.github.io/Logging_2380/klagomål/A 376-2023 FSC-klagomål.docx", "A 376-2023")</f>
        <v/>
      </c>
      <c r="AB93">
        <f>HYPERLINK("https://klasma.github.io/Logging_2380/klagomålsmail/A 376-2023 FSC-klagomål mail.docx", "A 376-2023")</f>
        <v/>
      </c>
      <c r="AC93">
        <f>HYPERLINK("https://klasma.github.io/Logging_2380/tillsyn/A 376-2023 tillsynsbegäran.docx", "A 376-2023")</f>
        <v/>
      </c>
      <c r="AD93">
        <f>HYPERLINK("https://klasma.github.io/Logging_2380/tillsynsmail/A 376-2023 tillsynsbegäran mail.docx", "A 376-2023")</f>
        <v/>
      </c>
      <c r="AE93">
        <f>HYPERLINK("https://klasma.github.io/Logging_2380/fåglar/A 376-2023 prioriterade fågelarter.docx", "A 376-2023")</f>
        <v/>
      </c>
    </row>
    <row r="94" ht="15" customHeight="1">
      <c r="A94" t="inlineStr">
        <is>
          <t>A 54731-2024</t>
        </is>
      </c>
      <c r="B94" t="inlineStr">
        <is>
          <t>avverkningsanmälan</t>
        </is>
      </c>
      <c r="C94" t="inlineStr">
        <is>
          <t>Föryngringsavverkning</t>
        </is>
      </c>
      <c r="D94" s="1" t="n">
        <v>45618</v>
      </c>
      <c r="E94" s="1" t="n">
        <v>46312</v>
      </c>
      <c r="F94" t="inlineStr">
        <is>
          <t>JÄMTLANDS LÄN</t>
        </is>
      </c>
      <c r="G94" t="inlineStr">
        <is>
          <t>ÖSTERSUND</t>
        </is>
      </c>
      <c r="H94" t="inlineStr">
        <is>
          <t>SCA</t>
        </is>
      </c>
      <c r="I94" t="n">
        <v>16.8</v>
      </c>
      <c r="J94" t="n">
        <v>2</v>
      </c>
      <c r="K94" t="n">
        <v>2</v>
      </c>
      <c r="L94" t="n">
        <v>3</v>
      </c>
      <c r="M94" t="n">
        <v>1</v>
      </c>
      <c r="N94" t="n">
        <v>0</v>
      </c>
      <c r="O94" t="n">
        <v>0</v>
      </c>
      <c r="P94" t="n">
        <v>0</v>
      </c>
      <c r="Q94" t="n">
        <v>4</v>
      </c>
      <c r="R94" t="n">
        <v>1</v>
      </c>
      <c r="S94" t="n">
        <v>6</v>
      </c>
      <c r="T94" t="n">
        <v>13</v>
      </c>
      <c r="U94" t="n">
        <v>1</v>
      </c>
      <c r="V94" s="2" t="inlineStr">
        <is>
          <t>Garnlav
Lunglav
Rödvingetrast
Ullticka
Kransrams
Tvåblad</t>
        </is>
      </c>
      <c r="W94">
        <f>HYPERLINK("https://klasma.github.io/Logging_2380/artfynd/A 54731-2024 artfynd.xlsx", "A 54731-2024")</f>
        <v/>
      </c>
      <c r="X94">
        <f>HYPERLINK("https://klasma.github.io/Logging_2380/kartor/A 54731-2024 karta.png", "A 54731-2024")</f>
        <v/>
      </c>
      <c r="Y94">
        <f>HYPERLINK("https://klasma.github.io/Logging_2380/kartor_geotiff/A 54731-2024 georefererad karta.tif", "A 54731-2024")</f>
        <v/>
      </c>
      <c r="AA94">
        <f>HYPERLINK("https://klasma.github.io/Logging_2380/klagomål/A 54731-2024 FSC-klagomål.docx", "A 54731-2024")</f>
        <v/>
      </c>
      <c r="AB94">
        <f>HYPERLINK("https://klasma.github.io/Logging_2380/klagomålsmail/A 54731-2024 FSC-klagomål mail.docx", "A 54731-2024")</f>
        <v/>
      </c>
      <c r="AC94">
        <f>HYPERLINK("https://klasma.github.io/Logging_2380/tillsyn/A 54731-2024 tillsynsbegäran.docx", "A 54731-2024")</f>
        <v/>
      </c>
      <c r="AD94">
        <f>HYPERLINK("https://klasma.github.io/Logging_2380/tillsynsmail/A 54731-2024 tillsynsbegäran mail.docx", "A 54731-2024")</f>
        <v/>
      </c>
      <c r="AE94">
        <f>HYPERLINK("https://klasma.github.io/Logging_2380/fåglar/A 54731-2024 prioriterade fågelarter.docx", "A 54731-2024")</f>
        <v/>
      </c>
    </row>
    <row r="95" ht="15" customHeight="1">
      <c r="A95" t="inlineStr">
        <is>
          <t>A 45004-2022</t>
        </is>
      </c>
      <c r="B95" t="inlineStr">
        <is>
          <t>avverkningsanmälan</t>
        </is>
      </c>
      <c r="C95" t="inlineStr">
        <is>
          <t>Föryngringsavverkning</t>
        </is>
      </c>
      <c r="D95" s="1" t="n">
        <v>44840</v>
      </c>
      <c r="E95" s="1" t="n">
        <v>46312</v>
      </c>
      <c r="F95" t="inlineStr">
        <is>
          <t>JÄMTLANDS LÄN</t>
        </is>
      </c>
      <c r="G95" t="inlineStr">
        <is>
          <t>ÖSTERSUND</t>
        </is>
      </c>
      <c r="I95" t="n">
        <v>2.5</v>
      </c>
      <c r="J95" t="n">
        <v>3</v>
      </c>
      <c r="K95" t="n">
        <v>0</v>
      </c>
      <c r="L95" t="n">
        <v>0</v>
      </c>
      <c r="M95" t="n">
        <v>1</v>
      </c>
      <c r="N95" t="n">
        <v>0</v>
      </c>
      <c r="O95" t="n">
        <v>0</v>
      </c>
      <c r="P95" t="n">
        <v>0</v>
      </c>
      <c r="Q95" t="n">
        <v>1</v>
      </c>
      <c r="R95" t="n">
        <v>1</v>
      </c>
      <c r="S95" t="n">
        <v>6</v>
      </c>
      <c r="T95" t="n">
        <v>11</v>
      </c>
      <c r="U95" t="n">
        <v>11</v>
      </c>
      <c r="V95" s="2" t="inlineStr">
        <is>
          <t>Violett guldvinge
Brudborste
Kattfot
Nordisk stormhatt
Brudsporre
Fläcknycklar</t>
        </is>
      </c>
      <c r="W95">
        <f>HYPERLINK("https://klasma.github.io/Logging_2380/artfynd/A 45004-2022 artfynd.xlsx", "A 45004-2022")</f>
        <v/>
      </c>
      <c r="X95">
        <f>HYPERLINK("https://klasma.github.io/Logging_2380/kartor/A 45004-2022 karta.png", "A 45004-2022")</f>
        <v/>
      </c>
      <c r="Y95">
        <f>HYPERLINK("https://klasma.github.io/Logging_2380/kartor_geotiff/A 45004-2022 georefererad karta.tif", "A 45004-2022")</f>
        <v/>
      </c>
      <c r="AA95">
        <f>HYPERLINK("https://klasma.github.io/Logging_2380/klagomål/A 45004-2022 FSC-klagomål.docx", "A 45004-2022")</f>
        <v/>
      </c>
      <c r="AB95">
        <f>HYPERLINK("https://klasma.github.io/Logging_2380/klagomålsmail/A 45004-2022 FSC-klagomål mail.docx", "A 45004-2022")</f>
        <v/>
      </c>
      <c r="AC95">
        <f>HYPERLINK("https://klasma.github.io/Logging_2380/tillsyn/A 45004-2022 tillsynsbegäran.docx", "A 45004-2022")</f>
        <v/>
      </c>
      <c r="AD95">
        <f>HYPERLINK("https://klasma.github.io/Logging_2380/tillsynsmail/A 45004-2022 tillsynsbegäran mail.docx", "A 45004-2022")</f>
        <v/>
      </c>
    </row>
    <row r="96" ht="15" customHeight="1">
      <c r="A96" t="inlineStr">
        <is>
          <t>A 62060-2025</t>
        </is>
      </c>
      <c r="B96" t="inlineStr">
        <is>
          <t>avverkningsanmälan</t>
        </is>
      </c>
      <c r="C96" t="inlineStr">
        <is>
          <t>Föryngringsavverkning</t>
        </is>
      </c>
      <c r="D96" s="1" t="n">
        <v>46006</v>
      </c>
      <c r="E96" s="1" t="n">
        <v>46312</v>
      </c>
      <c r="F96" t="inlineStr">
        <is>
          <t>JÄMTLANDS LÄN</t>
        </is>
      </c>
      <c r="G96" t="inlineStr">
        <is>
          <t>ÖSTERSUND</t>
        </is>
      </c>
      <c r="H96" t="inlineStr">
        <is>
          <t>SCA</t>
        </is>
      </c>
      <c r="I96" t="n">
        <v>6</v>
      </c>
      <c r="J96" t="n">
        <v>1</v>
      </c>
      <c r="K96" t="n">
        <v>0</v>
      </c>
      <c r="L96" t="n">
        <v>4</v>
      </c>
      <c r="M96" t="n">
        <v>2</v>
      </c>
      <c r="N96" t="n">
        <v>0</v>
      </c>
      <c r="O96" t="n">
        <v>0</v>
      </c>
      <c r="P96" t="n">
        <v>0</v>
      </c>
      <c r="Q96" t="n">
        <v>6</v>
      </c>
      <c r="R96" t="n">
        <v>2</v>
      </c>
      <c r="S96" t="n">
        <v>6</v>
      </c>
      <c r="T96" t="n">
        <v>13</v>
      </c>
      <c r="U96" t="n">
        <v>0</v>
      </c>
      <c r="V96" s="2" t="inlineStr">
        <is>
          <t>Fläckporing
Skrovlig taggsvamp
Dropptaggsvamp
Fjällig taggsvamp s.str.
Skarp dropptaggsvamp
Tretåig hackspett</t>
        </is>
      </c>
      <c r="W96">
        <f>HYPERLINK("https://klasma.github.io/Logging_2380/artfynd/A 62060-2025 artfynd.xlsx", "A 62060-2025")</f>
        <v/>
      </c>
      <c r="X96">
        <f>HYPERLINK("https://klasma.github.io/Logging_2380/kartor/A 62060-2025 karta.png", "A 62060-2025")</f>
        <v/>
      </c>
      <c r="Y96">
        <f>HYPERLINK("https://klasma.github.io/Logging_2380/kartor_geotiff/A 62060-2025 georefererad karta.tif", "A 62060-2025")</f>
        <v/>
      </c>
      <c r="AA96">
        <f>HYPERLINK("https://klasma.github.io/Logging_2380/klagomål/A 62060-2025 FSC-klagomål.docx", "A 62060-2025")</f>
        <v/>
      </c>
      <c r="AB96">
        <f>HYPERLINK("https://klasma.github.io/Logging_2380/klagomålsmail/A 62060-2025 FSC-klagomål mail.docx", "A 62060-2025")</f>
        <v/>
      </c>
      <c r="AC96">
        <f>HYPERLINK("https://klasma.github.io/Logging_2380/tillsyn/A 62060-2025 tillsynsbegäran.docx", "A 62060-2025")</f>
        <v/>
      </c>
      <c r="AD96">
        <f>HYPERLINK("https://klasma.github.io/Logging_2380/tillsynsmail/A 62060-2025 tillsynsbegäran mail.docx", "A 62060-2025")</f>
        <v/>
      </c>
      <c r="AE96">
        <f>HYPERLINK("https://klasma.github.io/Logging_2380/fåglar/A 62060-2025 prioriterade fågelarter.docx", "A 62060-2025")</f>
        <v/>
      </c>
    </row>
    <row r="97" ht="15" customHeight="1">
      <c r="A97" t="inlineStr">
        <is>
          <t>A 13767-2026</t>
        </is>
      </c>
      <c r="B97" t="inlineStr">
        <is>
          <t>avverkningsanmälan</t>
        </is>
      </c>
      <c r="C97" t="inlineStr">
        <is>
          <t>Föryngringsavverkning</t>
        </is>
      </c>
      <c r="D97" s="1" t="n">
        <v>46097</v>
      </c>
      <c r="E97" s="1" t="n">
        <v>46312</v>
      </c>
      <c r="F97" t="inlineStr">
        <is>
          <t>JÄMTLANDS LÄN</t>
        </is>
      </c>
      <c r="G97" t="inlineStr">
        <is>
          <t>ÖSTERSUND</t>
        </is>
      </c>
      <c r="I97" t="n">
        <v>1.5</v>
      </c>
      <c r="J97" t="n">
        <v>1</v>
      </c>
      <c r="K97" t="n">
        <v>3</v>
      </c>
      <c r="L97" t="n">
        <v>0</v>
      </c>
      <c r="M97" t="n">
        <v>1</v>
      </c>
      <c r="N97" t="n">
        <v>1</v>
      </c>
      <c r="O97" t="n">
        <v>0</v>
      </c>
      <c r="P97" t="n">
        <v>0</v>
      </c>
      <c r="Q97" t="n">
        <v>2</v>
      </c>
      <c r="R97" t="n">
        <v>2</v>
      </c>
      <c r="S97" t="n">
        <v>6</v>
      </c>
      <c r="T97" t="n">
        <v>9</v>
      </c>
      <c r="U97" t="n">
        <v>9</v>
      </c>
      <c r="V97" s="2" t="inlineStr">
        <is>
          <t>Fjällfotad fingersvamp
Läderdoftande fingersvamp
Kransrams
Stuplav
Svavelriska
Blåsippa</t>
        </is>
      </c>
      <c r="W97">
        <f>HYPERLINK("https://klasma.github.io/Logging_2380/artfynd/A 13767-2026 artfynd.xlsx", "A 13767-2026")</f>
        <v/>
      </c>
      <c r="X97">
        <f>HYPERLINK("https://klasma.github.io/Logging_2380/kartor/A 13767-2026 karta.png", "A 13767-2026")</f>
        <v/>
      </c>
      <c r="Y97">
        <f>HYPERLINK("https://klasma.github.io/Logging_2380/kartor_geotiff/A 13767-2026 georefererad karta.tif", "A 13767-2026")</f>
        <v/>
      </c>
      <c r="AA97">
        <f>HYPERLINK("https://klasma.github.io/Logging_2380/klagomål/A 13767-2026 FSC-klagomål.docx", "A 13767-2026")</f>
        <v/>
      </c>
      <c r="AB97">
        <f>HYPERLINK("https://klasma.github.io/Logging_2380/klagomålsmail/A 13767-2026 FSC-klagomål mail.docx", "A 13767-2026")</f>
        <v/>
      </c>
      <c r="AC97">
        <f>HYPERLINK("https://klasma.github.io/Logging_2380/tillsyn/A 13767-2026 tillsynsbegäran.docx", "A 13767-2026")</f>
        <v/>
      </c>
      <c r="AD97">
        <f>HYPERLINK("https://klasma.github.io/Logging_2380/tillsynsmail/A 13767-2026 tillsynsbegäran mail.docx", "A 13767-2026")</f>
        <v/>
      </c>
    </row>
    <row r="98" ht="15" customHeight="1">
      <c r="A98" t="inlineStr">
        <is>
          <t>A 27985-2026</t>
        </is>
      </c>
      <c r="B98" t="inlineStr">
        <is>
          <t>avverkningsanmälan</t>
        </is>
      </c>
      <c r="C98" t="inlineStr">
        <is>
          <t>Föryngringsavverkning</t>
        </is>
      </c>
      <c r="D98" s="1" t="n">
        <v>46195</v>
      </c>
      <c r="E98" s="1" t="n">
        <v>46312</v>
      </c>
      <c r="F98" t="inlineStr">
        <is>
          <t>JÄMTLANDS LÄN</t>
        </is>
      </c>
      <c r="G98" t="inlineStr">
        <is>
          <t>ÖSTERSUND</t>
        </is>
      </c>
      <c r="I98" t="n">
        <v>2.9</v>
      </c>
      <c r="J98" t="n">
        <v>1</v>
      </c>
      <c r="K98" t="n">
        <v>2</v>
      </c>
      <c r="L98" t="n">
        <v>3</v>
      </c>
      <c r="M98" t="n">
        <v>0</v>
      </c>
      <c r="N98" t="n">
        <v>0</v>
      </c>
      <c r="O98" t="n">
        <v>0</v>
      </c>
      <c r="P98" t="n">
        <v>0</v>
      </c>
      <c r="Q98" t="n">
        <v>3</v>
      </c>
      <c r="R98" t="n">
        <v>0</v>
      </c>
      <c r="S98" t="n">
        <v>6</v>
      </c>
      <c r="T98" t="n">
        <v>45</v>
      </c>
      <c r="U98" t="n">
        <v>0</v>
      </c>
      <c r="V98" s="2" t="inlineStr">
        <is>
          <t>Kryddspindling
Vårärt
Äggvaxskivling
Svart trolldruva
Underviol
Blåsippa</t>
        </is>
      </c>
      <c r="W98">
        <f>HYPERLINK("https://klasma.github.io/Logging_2380/artfynd/A 27985-2026 artfynd.xlsx", "A 27985-2026")</f>
        <v/>
      </c>
      <c r="X98">
        <f>HYPERLINK("https://klasma.github.io/Logging_2380/kartor/A 27985-2026 karta.png", "A 27985-2026")</f>
        <v/>
      </c>
      <c r="Y98">
        <f>HYPERLINK("https://klasma.github.io/Logging_2380/kartor_geotiff/A 27985-2026 georefererad karta.tif", "A 27985-2026")</f>
        <v/>
      </c>
      <c r="AA98">
        <f>HYPERLINK("https://klasma.github.io/Logging_2380/klagomål/A 27985-2026 FSC-klagomål.docx", "A 27985-2026")</f>
        <v/>
      </c>
      <c r="AB98">
        <f>HYPERLINK("https://klasma.github.io/Logging_2380/klagomålsmail/A 27985-2026 FSC-klagomål mail.docx", "A 27985-2026")</f>
        <v/>
      </c>
      <c r="AC98">
        <f>HYPERLINK("https://klasma.github.io/Logging_2380/tillsyn/A 27985-2026 tillsynsbegäran.docx", "A 27985-2026")</f>
        <v/>
      </c>
      <c r="AD98">
        <f>HYPERLINK("https://klasma.github.io/Logging_2380/tillsynsmail/A 27985-2026 tillsynsbegäran mail.docx", "A 27985-2026")</f>
        <v/>
      </c>
    </row>
    <row r="99" ht="15" customHeight="1">
      <c r="A99" t="inlineStr">
        <is>
          <t>A 8610-2026</t>
        </is>
      </c>
      <c r="B99" t="inlineStr">
        <is>
          <t>avverkningsanmälan</t>
        </is>
      </c>
      <c r="C99" t="inlineStr">
        <is>
          <t>Föryngringsavverkning</t>
        </is>
      </c>
      <c r="D99" s="1" t="n">
        <v>46065</v>
      </c>
      <c r="E99" s="1" t="n">
        <v>46312</v>
      </c>
      <c r="F99" t="inlineStr">
        <is>
          <t>JÄMTLANDS LÄN</t>
        </is>
      </c>
      <c r="G99" t="inlineStr">
        <is>
          <t>ÖSTERSUND</t>
        </is>
      </c>
      <c r="I99" t="n">
        <v>2.1</v>
      </c>
      <c r="J99" t="n">
        <v>4</v>
      </c>
      <c r="K99" t="n">
        <v>0</v>
      </c>
      <c r="L99" t="n">
        <v>2</v>
      </c>
      <c r="M99" t="n">
        <v>0</v>
      </c>
      <c r="N99" t="n">
        <v>0</v>
      </c>
      <c r="O99" t="n">
        <v>0</v>
      </c>
      <c r="P99" t="n">
        <v>0</v>
      </c>
      <c r="Q99" t="n">
        <v>2</v>
      </c>
      <c r="R99" t="n">
        <v>0</v>
      </c>
      <c r="S99" t="n">
        <v>6</v>
      </c>
      <c r="T99" t="n">
        <v>8</v>
      </c>
      <c r="U99" t="n">
        <v>8</v>
      </c>
      <c r="V99" s="2" t="inlineStr">
        <is>
          <t>Björktrast
Rödvingetrast
Kransmossa
Ormbär
Kungsfågel
Svartvit flugsnappare</t>
        </is>
      </c>
      <c r="W99">
        <f>HYPERLINK("https://klasma.github.io/Logging_2380/artfynd/A 8610-2026 artfynd.xlsx", "A 8610-2026")</f>
        <v/>
      </c>
      <c r="X99">
        <f>HYPERLINK("https://klasma.github.io/Logging_2380/kartor/A 8610-2026 karta.png", "A 8610-2026")</f>
        <v/>
      </c>
      <c r="Y99">
        <f>HYPERLINK("https://klasma.github.io/Logging_2380/kartor_geotiff/A 8610-2026 georefererad karta.tif", "A 8610-2026")</f>
        <v/>
      </c>
      <c r="AA99">
        <f>HYPERLINK("https://klasma.github.io/Logging_2380/klagomål/A 8610-2026 FSC-klagomål.docx", "A 8610-2026")</f>
        <v/>
      </c>
      <c r="AB99">
        <f>HYPERLINK("https://klasma.github.io/Logging_2380/klagomålsmail/A 8610-2026 FSC-klagomål mail.docx", "A 8610-2026")</f>
        <v/>
      </c>
      <c r="AC99">
        <f>HYPERLINK("https://klasma.github.io/Logging_2380/tillsyn/A 8610-2026 tillsynsbegäran.docx", "A 8610-2026")</f>
        <v/>
      </c>
      <c r="AD99">
        <f>HYPERLINK("https://klasma.github.io/Logging_2380/tillsynsmail/A 8610-2026 tillsynsbegäran mail.docx", "A 8610-2026")</f>
        <v/>
      </c>
      <c r="AE99">
        <f>HYPERLINK("https://klasma.github.io/Logging_2380/fåglar/A 8610-2026 prioriterade fågelarter.docx", "A 8610-2026")</f>
        <v/>
      </c>
    </row>
    <row r="100" ht="15" customHeight="1">
      <c r="A100" t="inlineStr">
        <is>
          <t>A 62696-2025</t>
        </is>
      </c>
      <c r="B100" t="inlineStr">
        <is>
          <t>avverkningsanmälan</t>
        </is>
      </c>
      <c r="C100" t="inlineStr">
        <is>
          <t>Föryngringsavverkning</t>
        </is>
      </c>
      <c r="D100" s="1" t="n">
        <v>46008</v>
      </c>
      <c r="E100" s="1" t="n">
        <v>46312</v>
      </c>
      <c r="F100" t="inlineStr">
        <is>
          <t>JÄMTLANDS LÄN</t>
        </is>
      </c>
      <c r="G100" t="inlineStr">
        <is>
          <t>ÖSTERSUND</t>
        </is>
      </c>
      <c r="I100" t="n">
        <v>11.3</v>
      </c>
      <c r="J100" t="n">
        <v>3</v>
      </c>
      <c r="K100" t="n">
        <v>1</v>
      </c>
      <c r="L100" t="n">
        <v>2</v>
      </c>
      <c r="M100" t="n">
        <v>1</v>
      </c>
      <c r="N100" t="n">
        <v>0</v>
      </c>
      <c r="O100" t="n">
        <v>0</v>
      </c>
      <c r="P100" t="n">
        <v>0</v>
      </c>
      <c r="Q100" t="n">
        <v>3</v>
      </c>
      <c r="R100" t="n">
        <v>1</v>
      </c>
      <c r="S100" t="n">
        <v>6</v>
      </c>
      <c r="T100" t="n">
        <v>50</v>
      </c>
      <c r="U100" t="n">
        <v>50</v>
      </c>
      <c r="V100" s="2" t="inlineStr">
        <is>
          <t>Garnlav
Tretåig hackspett
Ullticka
Stuplav
Spillkråka
Revlummer</t>
        </is>
      </c>
      <c r="W100">
        <f>HYPERLINK("https://klasma.github.io/Logging_2380/artfynd/A 62696-2025 artfynd.xlsx", "A 62696-2025")</f>
        <v/>
      </c>
      <c r="X100">
        <f>HYPERLINK("https://klasma.github.io/Logging_2380/kartor/A 62696-2025 karta.png", "A 62696-2025")</f>
        <v/>
      </c>
      <c r="Y100">
        <f>HYPERLINK("https://klasma.github.io/Logging_2380/kartor_geotiff/A 62696-2025 georefererad karta.tif", "A 62696-2025")</f>
        <v/>
      </c>
      <c r="AA100">
        <f>HYPERLINK("https://klasma.github.io/Logging_2380/klagomål/A 62696-2025 FSC-klagomål.docx", "A 62696-2025")</f>
        <v/>
      </c>
      <c r="AB100">
        <f>HYPERLINK("https://klasma.github.io/Logging_2380/klagomålsmail/A 62696-2025 FSC-klagomål mail.docx", "A 62696-2025")</f>
        <v/>
      </c>
      <c r="AC100">
        <f>HYPERLINK("https://klasma.github.io/Logging_2380/tillsyn/A 62696-2025 tillsynsbegäran.docx", "A 62696-2025")</f>
        <v/>
      </c>
      <c r="AD100">
        <f>HYPERLINK("https://klasma.github.io/Logging_2380/tillsynsmail/A 62696-2025 tillsynsbegäran mail.docx", "A 62696-2025")</f>
        <v/>
      </c>
      <c r="AE100">
        <f>HYPERLINK("https://klasma.github.io/Logging_2380/fåglar/A 62696-2025 prioriterade fågelarter.docx", "A 62696-2025")</f>
        <v/>
      </c>
    </row>
    <row r="101" ht="15" customHeight="1">
      <c r="A101" t="inlineStr">
        <is>
          <t>A 54608-2023</t>
        </is>
      </c>
      <c r="B101" t="inlineStr">
        <is>
          <t>avverkningsanmälan</t>
        </is>
      </c>
      <c r="C101" t="inlineStr">
        <is>
          <t>Föryngringsavverkning</t>
        </is>
      </c>
      <c r="D101" s="1" t="n">
        <v>45233</v>
      </c>
      <c r="E101" s="1" t="n">
        <v>46312</v>
      </c>
      <c r="F101" t="inlineStr">
        <is>
          <t>JÄMTLANDS LÄN</t>
        </is>
      </c>
      <c r="G101" t="inlineStr">
        <is>
          <t>ÖSTERSUND</t>
        </is>
      </c>
      <c r="H101" t="inlineStr">
        <is>
          <t>SCA</t>
        </is>
      </c>
      <c r="I101" t="n">
        <v>4.3</v>
      </c>
      <c r="J101" t="n">
        <v>1</v>
      </c>
      <c r="K101" t="n">
        <v>5</v>
      </c>
      <c r="L101" t="n">
        <v>1</v>
      </c>
      <c r="M101" t="n">
        <v>0</v>
      </c>
      <c r="N101" t="n">
        <v>0</v>
      </c>
      <c r="O101" t="n">
        <v>0</v>
      </c>
      <c r="P101" t="n">
        <v>0</v>
      </c>
      <c r="Q101" t="n">
        <v>1</v>
      </c>
      <c r="R101" t="n">
        <v>0</v>
      </c>
      <c r="S101" t="n">
        <v>6</v>
      </c>
      <c r="T101" t="n">
        <v>10</v>
      </c>
      <c r="U101" t="n">
        <v>10</v>
      </c>
      <c r="V101" s="2" t="inlineStr">
        <is>
          <t>Ullticka
Guckusko
Svavelriska
Trådfräken
Trådticka
Underviol</t>
        </is>
      </c>
      <c r="W101">
        <f>HYPERLINK("https://klasma.github.io/Logging_2380/artfynd/A 54608-2023 artfynd.xlsx", "A 54608-2023")</f>
        <v/>
      </c>
      <c r="X101">
        <f>HYPERLINK("https://klasma.github.io/Logging_2380/kartor/A 54608-2023 karta.png", "A 54608-2023")</f>
        <v/>
      </c>
      <c r="Y101">
        <f>HYPERLINK("https://klasma.github.io/Logging_2380/kartor_geotiff/A 54608-2023 georefererad karta.tif", "A 54608-2023")</f>
        <v/>
      </c>
      <c r="AA101">
        <f>HYPERLINK("https://klasma.github.io/Logging_2380/klagomål/A 54608-2023 FSC-klagomål.docx", "A 54608-2023")</f>
        <v/>
      </c>
      <c r="AB101">
        <f>HYPERLINK("https://klasma.github.io/Logging_2380/klagomålsmail/A 54608-2023 FSC-klagomål mail.docx", "A 54608-2023")</f>
        <v/>
      </c>
      <c r="AC101">
        <f>HYPERLINK("https://klasma.github.io/Logging_2380/tillsyn/A 54608-2023 tillsynsbegäran.docx", "A 54608-2023")</f>
        <v/>
      </c>
      <c r="AD101">
        <f>HYPERLINK("https://klasma.github.io/Logging_2380/tillsynsmail/A 54608-2023 tillsynsbegäran mail.docx", "A 54608-2023")</f>
        <v/>
      </c>
    </row>
    <row r="102" ht="15" customHeight="1">
      <c r="A102" t="inlineStr">
        <is>
          <t>A 39941-2024</t>
        </is>
      </c>
      <c r="B102" t="inlineStr">
        <is>
          <t>avverkningsanmälan</t>
        </is>
      </c>
      <c r="C102" t="inlineStr">
        <is>
          <t>Föryngringsavverkning</t>
        </is>
      </c>
      <c r="D102" s="1" t="n">
        <v>45553</v>
      </c>
      <c r="E102" s="1" t="n">
        <v>46312</v>
      </c>
      <c r="F102" t="inlineStr">
        <is>
          <t>JÄMTLANDS LÄN</t>
        </is>
      </c>
      <c r="G102" t="inlineStr">
        <is>
          <t>ÖSTERSUND</t>
        </is>
      </c>
      <c r="I102" t="n">
        <v>6</v>
      </c>
      <c r="J102" t="n">
        <v>1</v>
      </c>
      <c r="K102" t="n">
        <v>2</v>
      </c>
      <c r="L102" t="n">
        <v>2</v>
      </c>
      <c r="M102" t="n">
        <v>1</v>
      </c>
      <c r="N102" t="n">
        <v>0</v>
      </c>
      <c r="O102" t="n">
        <v>0</v>
      </c>
      <c r="P102" t="n">
        <v>0</v>
      </c>
      <c r="Q102" t="n">
        <v>3</v>
      </c>
      <c r="R102" t="n">
        <v>1</v>
      </c>
      <c r="S102" t="n">
        <v>6</v>
      </c>
      <c r="T102" t="n">
        <v>21</v>
      </c>
      <c r="U102" t="n">
        <v>21</v>
      </c>
      <c r="V102" s="2" t="inlineStr">
        <is>
          <t>Garnlav
Lunglav
Skrovellav
Bårdlav
Luddlav
Fläcknycklar</t>
        </is>
      </c>
      <c r="W102">
        <f>HYPERLINK("https://klasma.github.io/Logging_2380/artfynd/A 39941-2024 artfynd.xlsx", "A 39941-2024")</f>
        <v/>
      </c>
      <c r="X102">
        <f>HYPERLINK("https://klasma.github.io/Logging_2380/kartor/A 39941-2024 karta.png", "A 39941-2024")</f>
        <v/>
      </c>
      <c r="Y102">
        <f>HYPERLINK("https://klasma.github.io/Logging_2380/kartor_geotiff/A 39941-2024 georefererad karta.tif", "A 39941-2024")</f>
        <v/>
      </c>
      <c r="AA102">
        <f>HYPERLINK("https://klasma.github.io/Logging_2380/klagomål/A 39941-2024 FSC-klagomål.docx", "A 39941-2024")</f>
        <v/>
      </c>
      <c r="AB102">
        <f>HYPERLINK("https://klasma.github.io/Logging_2380/klagomålsmail/A 39941-2024 FSC-klagomål mail.docx", "A 39941-2024")</f>
        <v/>
      </c>
      <c r="AC102">
        <f>HYPERLINK("https://klasma.github.io/Logging_2380/tillsyn/A 39941-2024 tillsynsbegäran.docx", "A 39941-2024")</f>
        <v/>
      </c>
      <c r="AD102">
        <f>HYPERLINK("https://klasma.github.io/Logging_2380/tillsynsmail/A 39941-2024 tillsynsbegäran mail.docx", "A 39941-2024")</f>
        <v/>
      </c>
    </row>
    <row r="103" ht="15" customHeight="1">
      <c r="A103" t="inlineStr">
        <is>
          <t>A 7439-2026</t>
        </is>
      </c>
      <c r="B103" t="inlineStr">
        <is>
          <t>avverkningsanmälan</t>
        </is>
      </c>
      <c r="C103" t="inlineStr">
        <is>
          <t>Föryngringsavverkning</t>
        </is>
      </c>
      <c r="D103" s="1" t="n">
        <v>46059</v>
      </c>
      <c r="E103" s="1" t="n">
        <v>46312</v>
      </c>
      <c r="F103" t="inlineStr">
        <is>
          <t>JÄMTLANDS LÄN</t>
        </is>
      </c>
      <c r="G103" t="inlineStr">
        <is>
          <t>ÖSTERSUND</t>
        </is>
      </c>
      <c r="I103" t="n">
        <v>4.7</v>
      </c>
      <c r="J103" t="n">
        <v>4</v>
      </c>
      <c r="K103" t="n">
        <v>0</v>
      </c>
      <c r="L103" t="n">
        <v>1</v>
      </c>
      <c r="M103" t="n">
        <v>4</v>
      </c>
      <c r="N103" t="n">
        <v>0</v>
      </c>
      <c r="O103" t="n">
        <v>0</v>
      </c>
      <c r="P103" t="n">
        <v>0</v>
      </c>
      <c r="Q103" t="n">
        <v>5</v>
      </c>
      <c r="R103" t="n">
        <v>4</v>
      </c>
      <c r="S103" t="n">
        <v>6</v>
      </c>
      <c r="T103" t="n">
        <v>9</v>
      </c>
      <c r="U103" t="n">
        <v>7</v>
      </c>
      <c r="V103" s="2" t="inlineStr">
        <is>
          <t>Garnlav
Knärot
Silverblåvinge
Violett guldvinge
Tretåig hackspett
Spillkråka</t>
        </is>
      </c>
      <c r="W103">
        <f>HYPERLINK("https://klasma.github.io/Logging_2380/artfynd/A 7439-2026 artfynd.xlsx", "A 7439-2026")</f>
        <v/>
      </c>
      <c r="X103">
        <f>HYPERLINK("https://klasma.github.io/Logging_2380/kartor/A 7439-2026 karta.png", "A 7439-2026")</f>
        <v/>
      </c>
      <c r="Y103">
        <f>HYPERLINK("https://klasma.github.io/Logging_2380/kartor_geotiff/A 7439-2026 georefererad karta.tif", "A 7439-2026")</f>
        <v/>
      </c>
      <c r="Z103">
        <f>HYPERLINK("https://klasma.github.io/Logging_2380/knärot/A 7439-2026 karta knärot.png", "A 7439-2026")</f>
        <v/>
      </c>
      <c r="AA103">
        <f>HYPERLINK("https://klasma.github.io/Logging_2380/klagomål/A 7439-2026 FSC-klagomål.docx", "A 7439-2026")</f>
        <v/>
      </c>
      <c r="AB103">
        <f>HYPERLINK("https://klasma.github.io/Logging_2380/klagomålsmail/A 7439-2026 FSC-klagomål mail.docx", "A 7439-2026")</f>
        <v/>
      </c>
      <c r="AC103">
        <f>HYPERLINK("https://klasma.github.io/Logging_2380/tillsyn/A 7439-2026 tillsynsbegäran.docx", "A 7439-2026")</f>
        <v/>
      </c>
      <c r="AD103">
        <f>HYPERLINK("https://klasma.github.io/Logging_2380/tillsynsmail/A 7439-2026 tillsynsbegäran mail.docx", "A 7439-2026")</f>
        <v/>
      </c>
      <c r="AE103">
        <f>HYPERLINK("https://klasma.github.io/Logging_2380/fåglar/A 7439-2026 prioriterade fågelarter.docx", "A 7439-2026")</f>
        <v/>
      </c>
    </row>
    <row r="104" ht="15" customHeight="1">
      <c r="A104" t="inlineStr">
        <is>
          <t>A 26605-2025</t>
        </is>
      </c>
      <c r="B104" t="inlineStr">
        <is>
          <t>avverkningsanmälan</t>
        </is>
      </c>
      <c r="C104" t="inlineStr">
        <is>
          <t>Avverkning för annat ändamål</t>
        </is>
      </c>
      <c r="D104" s="1" t="n">
        <v>45809</v>
      </c>
      <c r="E104" s="1" t="n">
        <v>46312</v>
      </c>
      <c r="F104" t="inlineStr">
        <is>
          <t>JÄMTLANDS LÄN</t>
        </is>
      </c>
      <c r="G104" t="inlineStr">
        <is>
          <t>ÖSTERSUND</t>
        </is>
      </c>
      <c r="I104" t="n">
        <v>1.3</v>
      </c>
      <c r="J104" t="n">
        <v>3</v>
      </c>
      <c r="K104" t="n">
        <v>0</v>
      </c>
      <c r="L104" t="n">
        <v>3</v>
      </c>
      <c r="M104" t="n">
        <v>1</v>
      </c>
      <c r="N104" t="n">
        <v>0</v>
      </c>
      <c r="O104" t="n">
        <v>0</v>
      </c>
      <c r="P104" t="n">
        <v>0</v>
      </c>
      <c r="Q104" t="n">
        <v>4</v>
      </c>
      <c r="R104" t="n">
        <v>1</v>
      </c>
      <c r="S104" t="n">
        <v>6</v>
      </c>
      <c r="T104" t="n">
        <v>11</v>
      </c>
      <c r="U104" t="n">
        <v>11</v>
      </c>
      <c r="V104" s="2" t="inlineStr">
        <is>
          <t>Garnlav
Harticka
Lavskrika
Vitgrynig nållav
Spillkråka
Revlummer</t>
        </is>
      </c>
      <c r="W104">
        <f>HYPERLINK("https://klasma.github.io/Logging_2380/artfynd/A 26605-2025 artfynd.xlsx", "A 26605-2025")</f>
        <v/>
      </c>
      <c r="X104">
        <f>HYPERLINK("https://klasma.github.io/Logging_2380/kartor/A 26605-2025 karta.png", "A 26605-2025")</f>
        <v/>
      </c>
      <c r="Y104">
        <f>HYPERLINK("https://klasma.github.io/Logging_2380/kartor_geotiff/A 26605-2025 georefererad karta.tif", "A 26605-2025")</f>
        <v/>
      </c>
      <c r="AA104">
        <f>HYPERLINK("https://klasma.github.io/Logging_2380/klagomål/A 26605-2025 FSC-klagomål.docx", "A 26605-2025")</f>
        <v/>
      </c>
      <c r="AB104">
        <f>HYPERLINK("https://klasma.github.io/Logging_2380/klagomålsmail/A 26605-2025 FSC-klagomål mail.docx", "A 26605-2025")</f>
        <v/>
      </c>
      <c r="AC104">
        <f>HYPERLINK("https://klasma.github.io/Logging_2380/tillsyn/A 26605-2025 tillsynsbegäran.docx", "A 26605-2025")</f>
        <v/>
      </c>
      <c r="AD104">
        <f>HYPERLINK("https://klasma.github.io/Logging_2380/tillsynsmail/A 26605-2025 tillsynsbegäran mail.docx", "A 26605-2025")</f>
        <v/>
      </c>
      <c r="AE104">
        <f>HYPERLINK("https://klasma.github.io/Logging_2380/fåglar/A 26605-2025 prioriterade fågelarter.docx", "A 26605-2025")</f>
        <v/>
      </c>
    </row>
    <row r="105" ht="15" customHeight="1">
      <c r="A105" t="inlineStr">
        <is>
          <t>A 10336-2022</t>
        </is>
      </c>
      <c r="B105" t="inlineStr">
        <is>
          <t>avverkningsanmälan</t>
        </is>
      </c>
      <c r="C105" t="inlineStr">
        <is>
          <t>Avverkning för annat ändamål</t>
        </is>
      </c>
      <c r="D105" s="1" t="n">
        <v>44623</v>
      </c>
      <c r="E105" s="1" t="n">
        <v>46312</v>
      </c>
      <c r="F105" t="inlineStr">
        <is>
          <t>JÄMTLANDS LÄN</t>
        </is>
      </c>
      <c r="G105" t="inlineStr">
        <is>
          <t>ÖSTERSUND</t>
        </is>
      </c>
      <c r="I105" t="n">
        <v>0.9</v>
      </c>
      <c r="J105" t="n">
        <v>1</v>
      </c>
      <c r="K105" t="n">
        <v>3</v>
      </c>
      <c r="L105" t="n">
        <v>0</v>
      </c>
      <c r="M105" t="n">
        <v>1</v>
      </c>
      <c r="N105" t="n">
        <v>0</v>
      </c>
      <c r="O105" t="n">
        <v>0</v>
      </c>
      <c r="P105" t="n">
        <v>0</v>
      </c>
      <c r="Q105" t="n">
        <v>1</v>
      </c>
      <c r="R105" t="n">
        <v>1</v>
      </c>
      <c r="S105" t="n">
        <v>5</v>
      </c>
      <c r="T105" t="n">
        <v>7</v>
      </c>
      <c r="U105" t="n">
        <v>7</v>
      </c>
      <c r="V105" s="2" t="inlineStr">
        <is>
          <t>Läderdoftande fingersvamp
Strimspindling
Svavelriska
Underviol
Blåsippa</t>
        </is>
      </c>
      <c r="W105">
        <f>HYPERLINK("https://klasma.github.io/Logging_2380/artfynd/A 10336-2022 artfynd.xlsx", "A 10336-2022")</f>
        <v/>
      </c>
      <c r="X105">
        <f>HYPERLINK("https://klasma.github.io/Logging_2380/kartor/A 10336-2022 karta.png", "A 10336-2022")</f>
        <v/>
      </c>
      <c r="Y105">
        <f>HYPERLINK("https://klasma.github.io/Logging_2380/kartor_geotiff/A 10336-2022 georefererad karta.tif", "A 10336-2022")</f>
        <v/>
      </c>
      <c r="AA105">
        <f>HYPERLINK("https://klasma.github.io/Logging_2380/klagomål/A 10336-2022 FSC-klagomål.docx", "A 10336-2022")</f>
        <v/>
      </c>
      <c r="AB105">
        <f>HYPERLINK("https://klasma.github.io/Logging_2380/klagomålsmail/A 10336-2022 FSC-klagomål mail.docx", "A 10336-2022")</f>
        <v/>
      </c>
      <c r="AC105">
        <f>HYPERLINK("https://klasma.github.io/Logging_2380/tillsyn/A 10336-2022 tillsynsbegäran.docx", "A 10336-2022")</f>
        <v/>
      </c>
      <c r="AD105">
        <f>HYPERLINK("https://klasma.github.io/Logging_2380/tillsynsmail/A 10336-2022 tillsynsbegäran mail.docx", "A 10336-2022")</f>
        <v/>
      </c>
    </row>
    <row r="106" ht="15" customHeight="1">
      <c r="A106" t="inlineStr">
        <is>
          <t>A 27577-2022</t>
        </is>
      </c>
      <c r="B106" t="inlineStr">
        <is>
          <t>avverkningsanmälan</t>
        </is>
      </c>
      <c r="C106" t="inlineStr">
        <is>
          <t>Föryngringsavverkning</t>
        </is>
      </c>
      <c r="D106" s="1" t="n">
        <v>44742</v>
      </c>
      <c r="E106" s="1" t="n">
        <v>46312</v>
      </c>
      <c r="F106" t="inlineStr">
        <is>
          <t>JÄMTLANDS LÄN</t>
        </is>
      </c>
      <c r="G106" t="inlineStr">
        <is>
          <t>ÖSTERSUND</t>
        </is>
      </c>
      <c r="H106" t="inlineStr">
        <is>
          <t>SCA</t>
        </is>
      </c>
      <c r="I106" t="n">
        <v>12</v>
      </c>
      <c r="J106" t="n">
        <v>3</v>
      </c>
      <c r="K106" t="n">
        <v>4</v>
      </c>
      <c r="L106" t="n">
        <v>0</v>
      </c>
      <c r="M106" t="n">
        <v>0</v>
      </c>
      <c r="N106" t="n">
        <v>0</v>
      </c>
      <c r="O106" t="n">
        <v>0</v>
      </c>
      <c r="P106" t="n">
        <v>0</v>
      </c>
      <c r="Q106" t="n">
        <v>0</v>
      </c>
      <c r="R106" t="n">
        <v>0</v>
      </c>
      <c r="S106" t="n">
        <v>5</v>
      </c>
      <c r="T106" t="n">
        <v>6</v>
      </c>
      <c r="U106" t="n">
        <v>1</v>
      </c>
      <c r="V106" s="2" t="inlineStr">
        <is>
          <t>Guckusko
Tibast
Tvåblad
Underviol
Blåsippa</t>
        </is>
      </c>
      <c r="W106">
        <f>HYPERLINK("https://klasma.github.io/Logging_2380/artfynd/A 27577-2022 artfynd.xlsx", "A 27577-2022")</f>
        <v/>
      </c>
      <c r="X106">
        <f>HYPERLINK("https://klasma.github.io/Logging_2380/kartor/A 27577-2022 karta.png", "A 27577-2022")</f>
        <v/>
      </c>
      <c r="Y106">
        <f>HYPERLINK("https://klasma.github.io/Logging_2380/kartor_geotiff/A 27577-2022 georefererad karta.tif", "A 27577-2022")</f>
        <v/>
      </c>
      <c r="AA106">
        <f>HYPERLINK("https://klasma.github.io/Logging_2380/klagomål/A 27577-2022 FSC-klagomål.docx", "A 27577-2022")</f>
        <v/>
      </c>
      <c r="AB106">
        <f>HYPERLINK("https://klasma.github.io/Logging_2380/klagomålsmail/A 27577-2022 FSC-klagomål mail.docx", "A 27577-2022")</f>
        <v/>
      </c>
      <c r="AC106">
        <f>HYPERLINK("https://klasma.github.io/Logging_2380/tillsyn/A 27577-2022 tillsynsbegäran.docx", "A 27577-2022")</f>
        <v/>
      </c>
      <c r="AD106">
        <f>HYPERLINK("https://klasma.github.io/Logging_2380/tillsynsmail/A 27577-2022 tillsynsbegäran mail.docx", "A 27577-2022")</f>
        <v/>
      </c>
    </row>
    <row r="107" ht="15" customHeight="1">
      <c r="A107" t="inlineStr">
        <is>
          <t>A 7698-2024</t>
        </is>
      </c>
      <c r="B107" t="inlineStr">
        <is>
          <t>avverkningsanmälan</t>
        </is>
      </c>
      <c r="C107" t="inlineStr">
        <is>
          <t>Föryngringsavverkning</t>
        </is>
      </c>
      <c r="D107" s="1" t="n">
        <v>45349</v>
      </c>
      <c r="E107" s="1" t="n">
        <v>46312</v>
      </c>
      <c r="F107" t="inlineStr">
        <is>
          <t>JÄMTLANDS LÄN</t>
        </is>
      </c>
      <c r="G107" t="inlineStr">
        <is>
          <t>ÖSTERSUND</t>
        </is>
      </c>
      <c r="H107" t="inlineStr">
        <is>
          <t>Övriga Aktiebolag</t>
        </is>
      </c>
      <c r="I107" t="n">
        <v>4.5</v>
      </c>
      <c r="J107" t="n">
        <v>2</v>
      </c>
      <c r="K107" t="n">
        <v>1</v>
      </c>
      <c r="L107" t="n">
        <v>3</v>
      </c>
      <c r="M107" t="n">
        <v>0</v>
      </c>
      <c r="N107" t="n">
        <v>0</v>
      </c>
      <c r="O107" t="n">
        <v>0</v>
      </c>
      <c r="P107" t="n">
        <v>0</v>
      </c>
      <c r="Q107" t="n">
        <v>3</v>
      </c>
      <c r="R107" t="n">
        <v>0</v>
      </c>
      <c r="S107" t="n">
        <v>5</v>
      </c>
      <c r="T107" t="n">
        <v>11</v>
      </c>
      <c r="U107" t="n">
        <v>11</v>
      </c>
      <c r="V107" s="2" t="inlineStr">
        <is>
          <t>Brunklöver
Månlåsbräken
Vitfläckig guldvinge
Tvåblad
Brudsporre</t>
        </is>
      </c>
      <c r="W107">
        <f>HYPERLINK("https://klasma.github.io/Logging_2380/artfynd/A 7698-2024 artfynd.xlsx", "A 7698-2024")</f>
        <v/>
      </c>
      <c r="X107">
        <f>HYPERLINK("https://klasma.github.io/Logging_2380/kartor/A 7698-2024 karta.png", "A 7698-2024")</f>
        <v/>
      </c>
      <c r="Y107">
        <f>HYPERLINK("https://klasma.github.io/Logging_2380/kartor_geotiff/A 7698-2024 georefererad karta.tif", "A 7698-2024")</f>
        <v/>
      </c>
      <c r="AA107">
        <f>HYPERLINK("https://klasma.github.io/Logging_2380/klagomål/A 7698-2024 FSC-klagomål.docx", "A 7698-2024")</f>
        <v/>
      </c>
      <c r="AB107">
        <f>HYPERLINK("https://klasma.github.io/Logging_2380/klagomålsmail/A 7698-2024 FSC-klagomål mail.docx", "A 7698-2024")</f>
        <v/>
      </c>
      <c r="AC107">
        <f>HYPERLINK("https://klasma.github.io/Logging_2380/tillsyn/A 7698-2024 tillsynsbegäran.docx", "A 7698-2024")</f>
        <v/>
      </c>
      <c r="AD107">
        <f>HYPERLINK("https://klasma.github.io/Logging_2380/tillsynsmail/A 7698-2024 tillsynsbegäran mail.docx", "A 7698-2024")</f>
        <v/>
      </c>
    </row>
    <row r="108" ht="15" customHeight="1">
      <c r="A108" t="inlineStr">
        <is>
          <t>A 41493-2025</t>
        </is>
      </c>
      <c r="B108" t="inlineStr">
        <is>
          <t>avverkningsanmälan</t>
        </is>
      </c>
      <c r="C108" t="inlineStr">
        <is>
          <t>Avverkning för annat ändamål</t>
        </is>
      </c>
      <c r="D108" s="1" t="n">
        <v>45901</v>
      </c>
      <c r="E108" s="1" t="n">
        <v>46312</v>
      </c>
      <c r="F108" t="inlineStr">
        <is>
          <t>JÄMTLANDS LÄN</t>
        </is>
      </c>
      <c r="G108" t="inlineStr">
        <is>
          <t>ÖSTERSUND</t>
        </is>
      </c>
      <c r="H108" t="inlineStr">
        <is>
          <t>Övriga Aktiebolag</t>
        </is>
      </c>
      <c r="I108" t="n">
        <v>0.8</v>
      </c>
      <c r="J108" t="n">
        <v>3</v>
      </c>
      <c r="K108" t="n">
        <v>1</v>
      </c>
      <c r="L108" t="n">
        <v>2</v>
      </c>
      <c r="M108" t="n">
        <v>0</v>
      </c>
      <c r="N108" t="n">
        <v>0</v>
      </c>
      <c r="O108" t="n">
        <v>0</v>
      </c>
      <c r="P108" t="n">
        <v>0</v>
      </c>
      <c r="Q108" t="n">
        <v>2</v>
      </c>
      <c r="R108" t="n">
        <v>0</v>
      </c>
      <c r="S108" t="n">
        <v>5</v>
      </c>
      <c r="T108" t="n">
        <v>25</v>
      </c>
      <c r="U108" t="n">
        <v>25</v>
      </c>
      <c r="V108" s="2" t="inlineStr">
        <is>
          <t>Harticka
Talltita
Trådticka
Järpe
Revlummer</t>
        </is>
      </c>
      <c r="W108">
        <f>HYPERLINK("https://klasma.github.io/Logging_2380/artfynd/A 41493-2025 artfynd.xlsx", "A 41493-2025")</f>
        <v/>
      </c>
      <c r="X108">
        <f>HYPERLINK("https://klasma.github.io/Logging_2380/kartor/A 41493-2025 karta.png", "A 41493-2025")</f>
        <v/>
      </c>
      <c r="Y108">
        <f>HYPERLINK("https://klasma.github.io/Logging_2380/kartor_geotiff/A 41493-2025 georefererad karta.tif", "A 41493-2025")</f>
        <v/>
      </c>
      <c r="AA108">
        <f>HYPERLINK("https://klasma.github.io/Logging_2380/klagomål/A 41493-2025 FSC-klagomål.docx", "A 41493-2025")</f>
        <v/>
      </c>
      <c r="AB108">
        <f>HYPERLINK("https://klasma.github.io/Logging_2380/klagomålsmail/A 41493-2025 FSC-klagomål mail.docx", "A 41493-2025")</f>
        <v/>
      </c>
      <c r="AC108">
        <f>HYPERLINK("https://klasma.github.io/Logging_2380/tillsyn/A 41493-2025 tillsynsbegäran.docx", "A 41493-2025")</f>
        <v/>
      </c>
      <c r="AD108">
        <f>HYPERLINK("https://klasma.github.io/Logging_2380/tillsynsmail/A 41493-2025 tillsynsbegäran mail.docx", "A 41493-2025")</f>
        <v/>
      </c>
      <c r="AE108">
        <f>HYPERLINK("https://klasma.github.io/Logging_2380/fåglar/A 41493-2025 prioriterade fågelarter.docx", "A 41493-2025")</f>
        <v/>
      </c>
    </row>
    <row r="109" ht="15" customHeight="1">
      <c r="A109" t="inlineStr">
        <is>
          <t>A 56499-2025</t>
        </is>
      </c>
      <c r="B109" t="inlineStr">
        <is>
          <t>avverkningsanmälan</t>
        </is>
      </c>
      <c r="C109" t="inlineStr">
        <is>
          <t>Föryngringsavverkning</t>
        </is>
      </c>
      <c r="D109" s="1" t="n">
        <v>45975</v>
      </c>
      <c r="E109" s="1" t="n">
        <v>46312</v>
      </c>
      <c r="F109" t="inlineStr">
        <is>
          <t>JÄMTLANDS LÄN</t>
        </is>
      </c>
      <c r="G109" t="inlineStr">
        <is>
          <t>ÖSTERSUND</t>
        </is>
      </c>
      <c r="I109" t="n">
        <v>7.4</v>
      </c>
      <c r="J109" t="n">
        <v>2</v>
      </c>
      <c r="K109" t="n">
        <v>1</v>
      </c>
      <c r="L109" t="n">
        <v>2</v>
      </c>
      <c r="M109" t="n">
        <v>1</v>
      </c>
      <c r="N109" t="n">
        <v>0</v>
      </c>
      <c r="O109" t="n">
        <v>0</v>
      </c>
      <c r="P109" t="n">
        <v>0</v>
      </c>
      <c r="Q109" t="n">
        <v>3</v>
      </c>
      <c r="R109" t="n">
        <v>1</v>
      </c>
      <c r="S109" t="n">
        <v>5</v>
      </c>
      <c r="T109" t="n">
        <v>31</v>
      </c>
      <c r="U109" t="n">
        <v>31</v>
      </c>
      <c r="V109" s="2" t="inlineStr">
        <is>
          <t>Garnlav
Lunglav
Tretåig hackspett
Luddlav
Revlummer</t>
        </is>
      </c>
      <c r="W109">
        <f>HYPERLINK("https://klasma.github.io/Logging_2380/artfynd/A 56499-2025 artfynd.xlsx", "A 56499-2025")</f>
        <v/>
      </c>
      <c r="X109">
        <f>HYPERLINK("https://klasma.github.io/Logging_2380/kartor/A 56499-2025 karta.png", "A 56499-2025")</f>
        <v/>
      </c>
      <c r="Y109">
        <f>HYPERLINK("https://klasma.github.io/Logging_2380/kartor_geotiff/A 56499-2025 georefererad karta.tif", "A 56499-2025")</f>
        <v/>
      </c>
      <c r="AA109">
        <f>HYPERLINK("https://klasma.github.io/Logging_2380/klagomål/A 56499-2025 FSC-klagomål.docx", "A 56499-2025")</f>
        <v/>
      </c>
      <c r="AB109">
        <f>HYPERLINK("https://klasma.github.io/Logging_2380/klagomålsmail/A 56499-2025 FSC-klagomål mail.docx", "A 56499-2025")</f>
        <v/>
      </c>
      <c r="AC109">
        <f>HYPERLINK("https://klasma.github.io/Logging_2380/tillsyn/A 56499-2025 tillsynsbegäran.docx", "A 56499-2025")</f>
        <v/>
      </c>
      <c r="AD109">
        <f>HYPERLINK("https://klasma.github.io/Logging_2380/tillsynsmail/A 56499-2025 tillsynsbegäran mail.docx", "A 56499-2025")</f>
        <v/>
      </c>
      <c r="AE109">
        <f>HYPERLINK("https://klasma.github.io/Logging_2380/fåglar/A 56499-2025 prioriterade fågelarter.docx", "A 56499-2025")</f>
        <v/>
      </c>
    </row>
    <row r="110" ht="15" customHeight="1">
      <c r="A110" t="inlineStr">
        <is>
          <t>A 40781-2025</t>
        </is>
      </c>
      <c r="B110" t="inlineStr">
        <is>
          <t>avverkningsanmälan</t>
        </is>
      </c>
      <c r="C110" t="inlineStr">
        <is>
          <t>Avverkning för annat ändamål</t>
        </is>
      </c>
      <c r="D110" s="1" t="n">
        <v>45897</v>
      </c>
      <c r="E110" s="1" t="n">
        <v>46312</v>
      </c>
      <c r="F110" t="inlineStr">
        <is>
          <t>JÄMTLANDS LÄN</t>
        </is>
      </c>
      <c r="G110" t="inlineStr">
        <is>
          <t>ÖSTERSUND</t>
        </is>
      </c>
      <c r="H110" t="inlineStr">
        <is>
          <t>Övriga Aktiebolag</t>
        </is>
      </c>
      <c r="I110" t="n">
        <v>2.2</v>
      </c>
      <c r="J110" t="n">
        <v>2</v>
      </c>
      <c r="K110" t="n">
        <v>1</v>
      </c>
      <c r="L110" t="n">
        <v>2</v>
      </c>
      <c r="M110" t="n">
        <v>0</v>
      </c>
      <c r="N110" t="n">
        <v>0</v>
      </c>
      <c r="O110" t="n">
        <v>0</v>
      </c>
      <c r="P110" t="n">
        <v>0</v>
      </c>
      <c r="Q110" t="n">
        <v>2</v>
      </c>
      <c r="R110" t="n">
        <v>0</v>
      </c>
      <c r="S110" t="n">
        <v>5</v>
      </c>
      <c r="T110" t="n">
        <v>8</v>
      </c>
      <c r="U110" t="n">
        <v>8</v>
      </c>
      <c r="V110" s="2" t="inlineStr">
        <is>
          <t>Harticka
Ullticka
Tibast
Blåsippa
Revlummer</t>
        </is>
      </c>
      <c r="W110">
        <f>HYPERLINK("https://klasma.github.io/Logging_2380/artfynd/A 40781-2025 artfynd.xlsx", "A 40781-2025")</f>
        <v/>
      </c>
      <c r="X110">
        <f>HYPERLINK("https://klasma.github.io/Logging_2380/kartor/A 40781-2025 karta.png", "A 40781-2025")</f>
        <v/>
      </c>
      <c r="Y110">
        <f>HYPERLINK("https://klasma.github.io/Logging_2380/kartor_geotiff/A 40781-2025 georefererad karta.tif", "A 40781-2025")</f>
        <v/>
      </c>
      <c r="AA110">
        <f>HYPERLINK("https://klasma.github.io/Logging_2380/klagomål/A 40781-2025 FSC-klagomål.docx", "A 40781-2025")</f>
        <v/>
      </c>
      <c r="AB110">
        <f>HYPERLINK("https://klasma.github.io/Logging_2380/klagomålsmail/A 40781-2025 FSC-klagomål mail.docx", "A 40781-2025")</f>
        <v/>
      </c>
      <c r="AC110">
        <f>HYPERLINK("https://klasma.github.io/Logging_2380/tillsyn/A 40781-2025 tillsynsbegäran.docx", "A 40781-2025")</f>
        <v/>
      </c>
      <c r="AD110">
        <f>HYPERLINK("https://klasma.github.io/Logging_2380/tillsynsmail/A 40781-2025 tillsynsbegäran mail.docx", "A 40781-2025")</f>
        <v/>
      </c>
    </row>
    <row r="111" ht="15" customHeight="1">
      <c r="A111" t="inlineStr">
        <is>
          <t>A 63930-2023</t>
        </is>
      </c>
      <c r="B111" t="inlineStr">
        <is>
          <t>avverkningsanmälan</t>
        </is>
      </c>
      <c r="C111" t="inlineStr">
        <is>
          <t>Föryngringsavverkning</t>
        </is>
      </c>
      <c r="D111" s="1" t="n">
        <v>45278</v>
      </c>
      <c r="E111" s="1" t="n">
        <v>46312</v>
      </c>
      <c r="F111" t="inlineStr">
        <is>
          <t>JÄMTLANDS LÄN</t>
        </is>
      </c>
      <c r="G111" t="inlineStr">
        <is>
          <t>ÖSTERSUND</t>
        </is>
      </c>
      <c r="I111" t="n">
        <v>2.1</v>
      </c>
      <c r="J111" t="n">
        <v>0</v>
      </c>
      <c r="K111" t="n">
        <v>3</v>
      </c>
      <c r="L111" t="n">
        <v>2</v>
      </c>
      <c r="M111" t="n">
        <v>0</v>
      </c>
      <c r="N111" t="n">
        <v>0</v>
      </c>
      <c r="O111" t="n">
        <v>0</v>
      </c>
      <c r="P111" t="n">
        <v>0</v>
      </c>
      <c r="Q111" t="n">
        <v>2</v>
      </c>
      <c r="R111" t="n">
        <v>0</v>
      </c>
      <c r="S111" t="n">
        <v>5</v>
      </c>
      <c r="T111" t="n">
        <v>5</v>
      </c>
      <c r="U111" t="n">
        <v>0</v>
      </c>
      <c r="V111" s="2" t="inlineStr">
        <is>
          <t>Gultoppig fingersvamp
Lunglav
Strimspindling
Svart trolldruva
Svavelriska</t>
        </is>
      </c>
      <c r="W111">
        <f>HYPERLINK("https://klasma.github.io/Logging_2380/artfynd/A 63930-2023 artfynd.xlsx", "A 63930-2023")</f>
        <v/>
      </c>
      <c r="X111">
        <f>HYPERLINK("https://klasma.github.io/Logging_2380/kartor/A 63930-2023 karta.png", "A 63930-2023")</f>
        <v/>
      </c>
      <c r="Y111">
        <f>HYPERLINK("https://klasma.github.io/Logging_2380/kartor_geotiff/A 63930-2023 georefererad karta.tif", "A 63930-2023")</f>
        <v/>
      </c>
      <c r="AA111">
        <f>HYPERLINK("https://klasma.github.io/Logging_2380/klagomål/A 63930-2023 FSC-klagomål.docx", "A 63930-2023")</f>
        <v/>
      </c>
      <c r="AB111">
        <f>HYPERLINK("https://klasma.github.io/Logging_2380/klagomålsmail/A 63930-2023 FSC-klagomål mail.docx", "A 63930-2023")</f>
        <v/>
      </c>
      <c r="AC111">
        <f>HYPERLINK("https://klasma.github.io/Logging_2380/tillsyn/A 63930-2023 tillsynsbegäran.docx", "A 63930-2023")</f>
        <v/>
      </c>
      <c r="AD111">
        <f>HYPERLINK("https://klasma.github.io/Logging_2380/tillsynsmail/A 63930-2023 tillsynsbegäran mail.docx", "A 63930-2023")</f>
        <v/>
      </c>
    </row>
    <row r="112" ht="15" customHeight="1">
      <c r="A112" t="inlineStr">
        <is>
          <t>A 7717-2024</t>
        </is>
      </c>
      <c r="B112" t="inlineStr">
        <is>
          <t>avverkningsanmälan</t>
        </is>
      </c>
      <c r="C112" t="inlineStr">
        <is>
          <t>Föryngringsavverkning</t>
        </is>
      </c>
      <c r="D112" s="1" t="n">
        <v>45349</v>
      </c>
      <c r="E112" s="1" t="n">
        <v>46312</v>
      </c>
      <c r="F112" t="inlineStr">
        <is>
          <t>JÄMTLANDS LÄN</t>
        </is>
      </c>
      <c r="G112" t="inlineStr">
        <is>
          <t>ÖSTERSUND</t>
        </is>
      </c>
      <c r="H112" t="inlineStr">
        <is>
          <t>Övriga Aktiebolag</t>
        </is>
      </c>
      <c r="I112" t="n">
        <v>2.5</v>
      </c>
      <c r="J112" t="n">
        <v>1</v>
      </c>
      <c r="K112" t="n">
        <v>1</v>
      </c>
      <c r="L112" t="n">
        <v>3</v>
      </c>
      <c r="M112" t="n">
        <v>1</v>
      </c>
      <c r="N112" t="n">
        <v>0</v>
      </c>
      <c r="O112" t="n">
        <v>0</v>
      </c>
      <c r="P112" t="n">
        <v>0</v>
      </c>
      <c r="Q112" t="n">
        <v>4</v>
      </c>
      <c r="R112" t="n">
        <v>1</v>
      </c>
      <c r="S112" t="n">
        <v>5</v>
      </c>
      <c r="T112" t="n">
        <v>17</v>
      </c>
      <c r="U112" t="n">
        <v>17</v>
      </c>
      <c r="V112" s="2" t="inlineStr">
        <is>
          <t>Garnlav
Lunglav
Skrovellav
Talltita
Stuplav</t>
        </is>
      </c>
      <c r="W112">
        <f>HYPERLINK("https://klasma.github.io/Logging_2380/artfynd/A 7717-2024 artfynd.xlsx", "A 7717-2024")</f>
        <v/>
      </c>
      <c r="X112">
        <f>HYPERLINK("https://klasma.github.io/Logging_2380/kartor/A 7717-2024 karta.png", "A 7717-2024")</f>
        <v/>
      </c>
      <c r="Y112">
        <f>HYPERLINK("https://klasma.github.io/Logging_2380/kartor_geotiff/A 7717-2024 georefererad karta.tif", "A 7717-2024")</f>
        <v/>
      </c>
      <c r="AA112">
        <f>HYPERLINK("https://klasma.github.io/Logging_2380/klagomål/A 7717-2024 FSC-klagomål.docx", "A 7717-2024")</f>
        <v/>
      </c>
      <c r="AB112">
        <f>HYPERLINK("https://klasma.github.io/Logging_2380/klagomålsmail/A 7717-2024 FSC-klagomål mail.docx", "A 7717-2024")</f>
        <v/>
      </c>
      <c r="AC112">
        <f>HYPERLINK("https://klasma.github.io/Logging_2380/tillsyn/A 7717-2024 tillsynsbegäran.docx", "A 7717-2024")</f>
        <v/>
      </c>
      <c r="AD112">
        <f>HYPERLINK("https://klasma.github.io/Logging_2380/tillsynsmail/A 7717-2024 tillsynsbegäran mail.docx", "A 7717-2024")</f>
        <v/>
      </c>
      <c r="AE112">
        <f>HYPERLINK("https://klasma.github.io/Logging_2380/fåglar/A 7717-2024 prioriterade fågelarter.docx", "A 7717-2024")</f>
        <v/>
      </c>
    </row>
    <row r="113" ht="15" customHeight="1">
      <c r="A113" t="inlineStr">
        <is>
          <t>A 61212-2025</t>
        </is>
      </c>
      <c r="B113" t="inlineStr">
        <is>
          <t>avverkningsanmälan</t>
        </is>
      </c>
      <c r="C113" t="inlineStr">
        <is>
          <t>Föryngringsavverkning</t>
        </is>
      </c>
      <c r="D113" s="1" t="n">
        <v>46000</v>
      </c>
      <c r="E113" s="1" t="n">
        <v>46312</v>
      </c>
      <c r="F113" t="inlineStr">
        <is>
          <t>JÄMTLANDS LÄN</t>
        </is>
      </c>
      <c r="G113" t="inlineStr">
        <is>
          <t>ÖSTERSUND</t>
        </is>
      </c>
      <c r="I113" t="n">
        <v>7.8</v>
      </c>
      <c r="J113" t="n">
        <v>3</v>
      </c>
      <c r="K113" t="n">
        <v>0</v>
      </c>
      <c r="L113" t="n">
        <v>3</v>
      </c>
      <c r="M113" t="n">
        <v>1</v>
      </c>
      <c r="N113" t="n">
        <v>0</v>
      </c>
      <c r="O113" t="n">
        <v>0</v>
      </c>
      <c r="P113" t="n">
        <v>0</v>
      </c>
      <c r="Q113" t="n">
        <v>4</v>
      </c>
      <c r="R113" t="n">
        <v>1</v>
      </c>
      <c r="S113" t="n">
        <v>5</v>
      </c>
      <c r="T113" t="n">
        <v>7</v>
      </c>
      <c r="U113" t="n">
        <v>1</v>
      </c>
      <c r="V113" s="2" t="inlineStr">
        <is>
          <t>Knärot
Harticka
Talltita
Ullticka
Spillkråka</t>
        </is>
      </c>
      <c r="W113">
        <f>HYPERLINK("https://klasma.github.io/Logging_2380/artfynd/A 61212-2025 artfynd.xlsx", "A 61212-2025")</f>
        <v/>
      </c>
      <c r="X113">
        <f>HYPERLINK("https://klasma.github.io/Logging_2380/kartor/A 61212-2025 karta.png", "A 61212-2025")</f>
        <v/>
      </c>
      <c r="Y113">
        <f>HYPERLINK("https://klasma.github.io/Logging_2380/kartor_geotiff/A 61212-2025 georefererad karta.tif", "A 61212-2025")</f>
        <v/>
      </c>
      <c r="Z113">
        <f>HYPERLINK("https://klasma.github.io/Logging_2380/knärot/A 61212-2025 karta knärot.png", "A 61212-2025")</f>
        <v/>
      </c>
      <c r="AA113">
        <f>HYPERLINK("https://klasma.github.io/Logging_2380/klagomål/A 61212-2025 FSC-klagomål.docx", "A 61212-2025")</f>
        <v/>
      </c>
      <c r="AB113">
        <f>HYPERLINK("https://klasma.github.io/Logging_2380/klagomålsmail/A 61212-2025 FSC-klagomål mail.docx", "A 61212-2025")</f>
        <v/>
      </c>
      <c r="AC113">
        <f>HYPERLINK("https://klasma.github.io/Logging_2380/tillsyn/A 61212-2025 tillsynsbegäran.docx", "A 61212-2025")</f>
        <v/>
      </c>
      <c r="AD113">
        <f>HYPERLINK("https://klasma.github.io/Logging_2380/tillsynsmail/A 61212-2025 tillsynsbegäran mail.docx", "A 61212-2025")</f>
        <v/>
      </c>
      <c r="AE113">
        <f>HYPERLINK("https://klasma.github.io/Logging_2380/fåglar/A 61212-2025 prioriterade fågelarter.docx", "A 61212-2025")</f>
        <v/>
      </c>
    </row>
    <row r="114" ht="15" customHeight="1">
      <c r="A114" t="inlineStr">
        <is>
          <t>A 58372-2025</t>
        </is>
      </c>
      <c r="B114" t="inlineStr">
        <is>
          <t>avverkningsanmälan</t>
        </is>
      </c>
      <c r="C114" t="inlineStr">
        <is>
          <t>Föryngringsavverkning</t>
        </is>
      </c>
      <c r="D114" s="1" t="n">
        <v>45985</v>
      </c>
      <c r="E114" s="1" t="n">
        <v>46312</v>
      </c>
      <c r="F114" t="inlineStr">
        <is>
          <t>JÄMTLANDS LÄN</t>
        </is>
      </c>
      <c r="G114" t="inlineStr">
        <is>
          <t>ÖSTERSUND</t>
        </is>
      </c>
      <c r="I114" t="n">
        <v>7.1</v>
      </c>
      <c r="J114" t="n">
        <v>1</v>
      </c>
      <c r="K114" t="n">
        <v>0</v>
      </c>
      <c r="L114" t="n">
        <v>4</v>
      </c>
      <c r="M114" t="n">
        <v>1</v>
      </c>
      <c r="N114" t="n">
        <v>0</v>
      </c>
      <c r="O114" t="n">
        <v>0</v>
      </c>
      <c r="P114" t="n">
        <v>0</v>
      </c>
      <c r="Q114" t="n">
        <v>5</v>
      </c>
      <c r="R114" t="n">
        <v>1</v>
      </c>
      <c r="S114" t="n">
        <v>5</v>
      </c>
      <c r="T114" t="n">
        <v>36</v>
      </c>
      <c r="U114" t="n">
        <v>34</v>
      </c>
      <c r="V114" s="2" t="inlineStr">
        <is>
          <t>Garnlav
Harticka
Lunglav
Tretåig hackspett
Ullticka</t>
        </is>
      </c>
      <c r="W114">
        <f>HYPERLINK("https://klasma.github.io/Logging_2380/artfynd/A 58372-2025 artfynd.xlsx", "A 58372-2025")</f>
        <v/>
      </c>
      <c r="X114">
        <f>HYPERLINK("https://klasma.github.io/Logging_2380/kartor/A 58372-2025 karta.png", "A 58372-2025")</f>
        <v/>
      </c>
      <c r="Y114">
        <f>HYPERLINK("https://klasma.github.io/Logging_2380/kartor_geotiff/A 58372-2025 georefererad karta.tif", "A 58372-2025")</f>
        <v/>
      </c>
      <c r="AA114">
        <f>HYPERLINK("https://klasma.github.io/Logging_2380/klagomål/A 58372-2025 FSC-klagomål.docx", "A 58372-2025")</f>
        <v/>
      </c>
      <c r="AB114">
        <f>HYPERLINK("https://klasma.github.io/Logging_2380/klagomålsmail/A 58372-2025 FSC-klagomål mail.docx", "A 58372-2025")</f>
        <v/>
      </c>
      <c r="AC114">
        <f>HYPERLINK("https://klasma.github.io/Logging_2380/tillsyn/A 58372-2025 tillsynsbegäran.docx", "A 58372-2025")</f>
        <v/>
      </c>
      <c r="AD114">
        <f>HYPERLINK("https://klasma.github.io/Logging_2380/tillsynsmail/A 58372-2025 tillsynsbegäran mail.docx", "A 58372-2025")</f>
        <v/>
      </c>
      <c r="AE114">
        <f>HYPERLINK("https://klasma.github.io/Logging_2380/fåglar/A 58372-2025 prioriterade fågelarter.docx", "A 58372-2025")</f>
        <v/>
      </c>
    </row>
    <row r="115" ht="15" customHeight="1">
      <c r="A115" t="inlineStr">
        <is>
          <t>A 19520-2023</t>
        </is>
      </c>
      <c r="B115" t="inlineStr">
        <is>
          <t>avverkningsanmälan</t>
        </is>
      </c>
      <c r="C115" t="inlineStr">
        <is>
          <t>Föryngringsavverkning</t>
        </is>
      </c>
      <c r="D115" s="1" t="n">
        <v>45049</v>
      </c>
      <c r="E115" s="1" t="n">
        <v>46312</v>
      </c>
      <c r="F115" t="inlineStr">
        <is>
          <t>JÄMTLANDS LÄN</t>
        </is>
      </c>
      <c r="G115" t="inlineStr">
        <is>
          <t>ÖSTERSUND</t>
        </is>
      </c>
      <c r="I115" t="n">
        <v>2</v>
      </c>
      <c r="J115" t="n">
        <v>0</v>
      </c>
      <c r="K115" t="n">
        <v>3</v>
      </c>
      <c r="L115" t="n">
        <v>1</v>
      </c>
      <c r="M115" t="n">
        <v>0</v>
      </c>
      <c r="N115" t="n">
        <v>1</v>
      </c>
      <c r="O115" t="n">
        <v>0</v>
      </c>
      <c r="P115" t="n">
        <v>0</v>
      </c>
      <c r="Q115" t="n">
        <v>2</v>
      </c>
      <c r="R115" t="n">
        <v>1</v>
      </c>
      <c r="S115" t="n">
        <v>5</v>
      </c>
      <c r="T115" t="n">
        <v>18</v>
      </c>
      <c r="U115" t="n">
        <v>11</v>
      </c>
      <c r="V115" s="2" t="inlineStr">
        <is>
          <t>Trolldruvemätare
Majviva
Kärrkammossa
Svart trolldruva
Svavelriska</t>
        </is>
      </c>
      <c r="W115">
        <f>HYPERLINK("https://klasma.github.io/Logging_2380/artfynd/A 19520-2023 artfynd.xlsx", "A 19520-2023")</f>
        <v/>
      </c>
      <c r="X115">
        <f>HYPERLINK("https://klasma.github.io/Logging_2380/kartor/A 19520-2023 karta.png", "A 19520-2023")</f>
        <v/>
      </c>
      <c r="Y115">
        <f>HYPERLINK("https://klasma.github.io/Logging_2380/kartor_geotiff/A 19520-2023 georefererad karta.tif", "A 19520-2023")</f>
        <v/>
      </c>
      <c r="AA115">
        <f>HYPERLINK("https://klasma.github.io/Logging_2380/klagomål/A 19520-2023 FSC-klagomål.docx", "A 19520-2023")</f>
        <v/>
      </c>
      <c r="AB115">
        <f>HYPERLINK("https://klasma.github.io/Logging_2380/klagomålsmail/A 19520-2023 FSC-klagomål mail.docx", "A 19520-2023")</f>
        <v/>
      </c>
      <c r="AC115">
        <f>HYPERLINK("https://klasma.github.io/Logging_2380/tillsyn/A 19520-2023 tillsynsbegäran.docx", "A 19520-2023")</f>
        <v/>
      </c>
      <c r="AD115">
        <f>HYPERLINK("https://klasma.github.io/Logging_2380/tillsynsmail/A 19520-2023 tillsynsbegäran mail.docx", "A 19520-2023")</f>
        <v/>
      </c>
    </row>
    <row r="116" ht="15" customHeight="1">
      <c r="A116" t="inlineStr">
        <is>
          <t>A 40292-2026</t>
        </is>
      </c>
      <c r="B116" t="inlineStr">
        <is>
          <t>avverkningsanmälan</t>
        </is>
      </c>
      <c r="C116" t="inlineStr">
        <is>
          <t>Föryngringsavverkning</t>
        </is>
      </c>
      <c r="D116" s="1" t="n">
        <v>46294</v>
      </c>
      <c r="E116" s="1" t="n">
        <v>46312</v>
      </c>
      <c r="F116" t="inlineStr">
        <is>
          <t>JÄMTLANDS LÄN</t>
        </is>
      </c>
      <c r="G116" t="inlineStr">
        <is>
          <t>ÖSTERSUND</t>
        </is>
      </c>
      <c r="H116" t="inlineStr">
        <is>
          <t>SCA</t>
        </is>
      </c>
      <c r="I116" t="n">
        <v>1.9</v>
      </c>
      <c r="J116" t="n">
        <v>2</v>
      </c>
      <c r="K116" t="n">
        <v>0</v>
      </c>
      <c r="L116" t="n">
        <v>3</v>
      </c>
      <c r="M116" t="n">
        <v>0</v>
      </c>
      <c r="N116" t="n">
        <v>0</v>
      </c>
      <c r="O116" t="n">
        <v>0</v>
      </c>
      <c r="P116" t="n">
        <v>0</v>
      </c>
      <c r="Q116" t="n">
        <v>3</v>
      </c>
      <c r="R116" t="n">
        <v>0</v>
      </c>
      <c r="S116" t="n">
        <v>5</v>
      </c>
      <c r="T116" t="n">
        <v>5</v>
      </c>
      <c r="U116" t="n">
        <v>0</v>
      </c>
      <c r="V116" s="2" t="inlineStr">
        <is>
          <t>Kolflarnlav
Motaggsvamp
Rosenticka
Järpe
Fläcknycklar</t>
        </is>
      </c>
      <c r="W116">
        <f>HYPERLINK("https://klasma.github.io/Logging_2380/artfynd/A 40292-2026 artfynd.xlsx", "A 40292-2026")</f>
        <v/>
      </c>
      <c r="X116">
        <f>HYPERLINK("https://klasma.github.io/Logging_2380/kartor/A 40292-2026 karta.png", "A 40292-2026")</f>
        <v/>
      </c>
      <c r="Y116">
        <f>HYPERLINK("https://klasma.github.io/Logging_2380/kartor_geotiff/A 40292-2026 georefererad karta.tif", "A 40292-2026")</f>
        <v/>
      </c>
      <c r="AA116">
        <f>HYPERLINK("https://klasma.github.io/Logging_2380/klagomål/A 40292-2026 FSC-klagomål.docx", "A 40292-2026")</f>
        <v/>
      </c>
      <c r="AB116">
        <f>HYPERLINK("https://klasma.github.io/Logging_2380/klagomålsmail/A 40292-2026 FSC-klagomål mail.docx", "A 40292-2026")</f>
        <v/>
      </c>
      <c r="AC116">
        <f>HYPERLINK("https://klasma.github.io/Logging_2380/tillsyn/A 40292-2026 tillsynsbegäran.docx", "A 40292-2026")</f>
        <v/>
      </c>
      <c r="AD116">
        <f>HYPERLINK("https://klasma.github.io/Logging_2380/tillsynsmail/A 40292-2026 tillsynsbegäran mail.docx", "A 40292-2026")</f>
        <v/>
      </c>
      <c r="AE116">
        <f>HYPERLINK("https://klasma.github.io/Logging_2380/fåglar/A 40292-2026 prioriterade fågelarter.docx", "A 40292-2026")</f>
        <v/>
      </c>
    </row>
    <row r="117" ht="15" customHeight="1">
      <c r="A117" t="inlineStr">
        <is>
          <t>A 1026-2026</t>
        </is>
      </c>
      <c r="B117" t="inlineStr">
        <is>
          <t>avverkningsanmälan</t>
        </is>
      </c>
      <c r="C117" t="inlineStr">
        <is>
          <t>Föryngringsavverkning</t>
        </is>
      </c>
      <c r="D117" s="1" t="n">
        <v>46030</v>
      </c>
      <c r="E117" s="1" t="n">
        <v>46312</v>
      </c>
      <c r="F117" t="inlineStr">
        <is>
          <t>JÄMTLANDS LÄN</t>
        </is>
      </c>
      <c r="G117" t="inlineStr">
        <is>
          <t>ÖSTERSUND</t>
        </is>
      </c>
      <c r="I117" t="n">
        <v>6.6</v>
      </c>
      <c r="J117" t="n">
        <v>3</v>
      </c>
      <c r="K117" t="n">
        <v>0</v>
      </c>
      <c r="L117" t="n">
        <v>3</v>
      </c>
      <c r="M117" t="n">
        <v>1</v>
      </c>
      <c r="N117" t="n">
        <v>0</v>
      </c>
      <c r="O117" t="n">
        <v>0</v>
      </c>
      <c r="P117" t="n">
        <v>0</v>
      </c>
      <c r="Q117" t="n">
        <v>4</v>
      </c>
      <c r="R117" t="n">
        <v>1</v>
      </c>
      <c r="S117" t="n">
        <v>5</v>
      </c>
      <c r="T117" t="n">
        <v>13</v>
      </c>
      <c r="U117" t="n">
        <v>13</v>
      </c>
      <c r="V117" s="2" t="inlineStr">
        <is>
          <t>Garnlav
Lunglav
Talltita
Tretåig hackspett
Järpe</t>
        </is>
      </c>
      <c r="W117">
        <f>HYPERLINK("https://klasma.github.io/Logging_2380/artfynd/A 1026-2026 artfynd.xlsx", "A 1026-2026")</f>
        <v/>
      </c>
      <c r="X117">
        <f>HYPERLINK("https://klasma.github.io/Logging_2380/kartor/A 1026-2026 karta.png", "A 1026-2026")</f>
        <v/>
      </c>
      <c r="Y117">
        <f>HYPERLINK("https://klasma.github.io/Logging_2380/kartor_geotiff/A 1026-2026 georefererad karta.tif", "A 1026-2026")</f>
        <v/>
      </c>
      <c r="AA117">
        <f>HYPERLINK("https://klasma.github.io/Logging_2380/klagomål/A 1026-2026 FSC-klagomål.docx", "A 1026-2026")</f>
        <v/>
      </c>
      <c r="AB117">
        <f>HYPERLINK("https://klasma.github.io/Logging_2380/klagomålsmail/A 1026-2026 FSC-klagomål mail.docx", "A 1026-2026")</f>
        <v/>
      </c>
      <c r="AC117">
        <f>HYPERLINK("https://klasma.github.io/Logging_2380/tillsyn/A 1026-2026 tillsynsbegäran.docx", "A 1026-2026")</f>
        <v/>
      </c>
      <c r="AD117">
        <f>HYPERLINK("https://klasma.github.io/Logging_2380/tillsynsmail/A 1026-2026 tillsynsbegäran mail.docx", "A 1026-2026")</f>
        <v/>
      </c>
      <c r="AE117">
        <f>HYPERLINK("https://klasma.github.io/Logging_2380/fåglar/A 1026-2026 prioriterade fågelarter.docx", "A 1026-2026")</f>
        <v/>
      </c>
    </row>
    <row r="118" ht="15" customHeight="1">
      <c r="A118" t="inlineStr">
        <is>
          <t>A 55344-2023</t>
        </is>
      </c>
      <c r="B118" t="inlineStr">
        <is>
          <t>avverkningsanmälan</t>
        </is>
      </c>
      <c r="C118" t="inlineStr">
        <is>
          <t>Föryngringsavverkning</t>
        </is>
      </c>
      <c r="D118" s="1" t="n">
        <v>45237</v>
      </c>
      <c r="E118" s="1" t="n">
        <v>46312</v>
      </c>
      <c r="F118" t="inlineStr">
        <is>
          <t>JÄMTLANDS LÄN</t>
        </is>
      </c>
      <c r="G118" t="inlineStr">
        <is>
          <t>ÖSTERSUND</t>
        </is>
      </c>
      <c r="H118" t="inlineStr">
        <is>
          <t>SCA</t>
        </is>
      </c>
      <c r="I118" t="n">
        <v>1.5</v>
      </c>
      <c r="J118" t="n">
        <v>1</v>
      </c>
      <c r="K118" t="n">
        <v>1</v>
      </c>
      <c r="L118" t="n">
        <v>1</v>
      </c>
      <c r="M118" t="n">
        <v>2</v>
      </c>
      <c r="N118" t="n">
        <v>0</v>
      </c>
      <c r="O118" t="n">
        <v>0</v>
      </c>
      <c r="P118" t="n">
        <v>0</v>
      </c>
      <c r="Q118" t="n">
        <v>3</v>
      </c>
      <c r="R118" t="n">
        <v>2</v>
      </c>
      <c r="S118" t="n">
        <v>4</v>
      </c>
      <c r="T118" t="n">
        <v>5</v>
      </c>
      <c r="U118" t="n">
        <v>0</v>
      </c>
      <c r="V118" s="2" t="inlineStr">
        <is>
          <t>Garnlav
Lappuggla
Lunglav
Stuplav</t>
        </is>
      </c>
      <c r="W118">
        <f>HYPERLINK("https://klasma.github.io/Logging_2380/artfynd/A 55344-2023 artfynd.xlsx", "A 55344-2023")</f>
        <v/>
      </c>
      <c r="X118">
        <f>HYPERLINK("https://klasma.github.io/Logging_2380/kartor/A 55344-2023 karta.png", "A 55344-2023")</f>
        <v/>
      </c>
      <c r="Y118">
        <f>HYPERLINK("https://klasma.github.io/Logging_2380/kartor_geotiff/A 55344-2023 georefererad karta.tif", "A 55344-2023")</f>
        <v/>
      </c>
      <c r="AA118">
        <f>HYPERLINK("https://klasma.github.io/Logging_2380/klagomål/A 55344-2023 FSC-klagomål.docx", "A 55344-2023")</f>
        <v/>
      </c>
      <c r="AB118">
        <f>HYPERLINK("https://klasma.github.io/Logging_2380/klagomålsmail/A 55344-2023 FSC-klagomål mail.docx", "A 55344-2023")</f>
        <v/>
      </c>
      <c r="AC118">
        <f>HYPERLINK("https://klasma.github.io/Logging_2380/tillsyn/A 55344-2023 tillsynsbegäran.docx", "A 55344-2023")</f>
        <v/>
      </c>
      <c r="AD118">
        <f>HYPERLINK("https://klasma.github.io/Logging_2380/tillsynsmail/A 55344-2023 tillsynsbegäran mail.docx", "A 55344-2023")</f>
        <v/>
      </c>
      <c r="AE118">
        <f>HYPERLINK("https://klasma.github.io/Logging_2380/fåglar/A 55344-2023 prioriterade fågelarter.docx", "A 55344-2023")</f>
        <v/>
      </c>
    </row>
    <row r="119" ht="15" customHeight="1">
      <c r="A119" t="inlineStr">
        <is>
          <t>A 15700-2025</t>
        </is>
      </c>
      <c r="B119" t="inlineStr">
        <is>
          <t>avverkningsanmälan</t>
        </is>
      </c>
      <c r="C119" t="inlineStr">
        <is>
          <t>Föryngringsavverkning</t>
        </is>
      </c>
      <c r="D119" s="1" t="n">
        <v>45748</v>
      </c>
      <c r="E119" s="1" t="n">
        <v>46312</v>
      </c>
      <c r="F119" t="inlineStr">
        <is>
          <t>JÄMTLANDS LÄN</t>
        </is>
      </c>
      <c r="G119" t="inlineStr">
        <is>
          <t>ÖSTERSUND</t>
        </is>
      </c>
      <c r="I119" t="n">
        <v>0.9</v>
      </c>
      <c r="J119" t="n">
        <v>0</v>
      </c>
      <c r="K119" t="n">
        <v>3</v>
      </c>
      <c r="L119" t="n">
        <v>1</v>
      </c>
      <c r="M119" t="n">
        <v>0</v>
      </c>
      <c r="N119" t="n">
        <v>0</v>
      </c>
      <c r="O119" t="n">
        <v>0</v>
      </c>
      <c r="P119" t="n">
        <v>0</v>
      </c>
      <c r="Q119" t="n">
        <v>1</v>
      </c>
      <c r="R119" t="n">
        <v>0</v>
      </c>
      <c r="S119" t="n">
        <v>4</v>
      </c>
      <c r="T119" t="n">
        <v>4</v>
      </c>
      <c r="U119" t="n">
        <v>0</v>
      </c>
      <c r="V119" s="2" t="inlineStr">
        <is>
          <t>Gultoppig fingersvamp
Brun klibbskivling
Droppklibbskivling
Zontaggsvamp</t>
        </is>
      </c>
      <c r="W119">
        <f>HYPERLINK("https://klasma.github.io/Logging_2380/artfynd/A 15700-2025 artfynd.xlsx", "A 15700-2025")</f>
        <v/>
      </c>
      <c r="X119">
        <f>HYPERLINK("https://klasma.github.io/Logging_2380/kartor/A 15700-2025 karta.png", "A 15700-2025")</f>
        <v/>
      </c>
      <c r="Y119">
        <f>HYPERLINK("https://klasma.github.io/Logging_2380/kartor_geotiff/A 15700-2025 georefererad karta.tif", "A 15700-2025")</f>
        <v/>
      </c>
      <c r="AA119">
        <f>HYPERLINK("https://klasma.github.io/Logging_2380/klagomål/A 15700-2025 FSC-klagomål.docx", "A 15700-2025")</f>
        <v/>
      </c>
      <c r="AB119">
        <f>HYPERLINK("https://klasma.github.io/Logging_2380/klagomålsmail/A 15700-2025 FSC-klagomål mail.docx", "A 15700-2025")</f>
        <v/>
      </c>
      <c r="AC119">
        <f>HYPERLINK("https://klasma.github.io/Logging_2380/tillsyn/A 15700-2025 tillsynsbegäran.docx", "A 15700-2025")</f>
        <v/>
      </c>
      <c r="AD119">
        <f>HYPERLINK("https://klasma.github.io/Logging_2380/tillsynsmail/A 15700-2025 tillsynsbegäran mail.docx", "A 15700-2025")</f>
        <v/>
      </c>
    </row>
    <row r="120" ht="15" customHeight="1">
      <c r="A120" t="inlineStr">
        <is>
          <t>A 13898-2026</t>
        </is>
      </c>
      <c r="B120" t="inlineStr">
        <is>
          <t>avverkningsanmälan</t>
        </is>
      </c>
      <c r="C120" t="inlineStr">
        <is>
          <t>Föryngringsavverkning</t>
        </is>
      </c>
      <c r="D120" s="1" t="n">
        <v>46098</v>
      </c>
      <c r="E120" s="1" t="n">
        <v>46312</v>
      </c>
      <c r="F120" t="inlineStr">
        <is>
          <t>JÄMTLANDS LÄN</t>
        </is>
      </c>
      <c r="G120" t="inlineStr">
        <is>
          <t>ÖSTERSUND</t>
        </is>
      </c>
      <c r="I120" t="n">
        <v>3.4</v>
      </c>
      <c r="J120" t="n">
        <v>2</v>
      </c>
      <c r="K120" t="n">
        <v>0</v>
      </c>
      <c r="L120" t="n">
        <v>2</v>
      </c>
      <c r="M120" t="n">
        <v>1</v>
      </c>
      <c r="N120" t="n">
        <v>0</v>
      </c>
      <c r="O120" t="n">
        <v>0</v>
      </c>
      <c r="P120" t="n">
        <v>0</v>
      </c>
      <c r="Q120" t="n">
        <v>3</v>
      </c>
      <c r="R120" t="n">
        <v>1</v>
      </c>
      <c r="S120" t="n">
        <v>4</v>
      </c>
      <c r="T120" t="n">
        <v>29</v>
      </c>
      <c r="U120" t="n">
        <v>26</v>
      </c>
      <c r="V120" s="2" t="inlineStr">
        <is>
          <t>Violett guldvinge
Jämtlandsmaskros
Slåtterfibbla
Kattfot</t>
        </is>
      </c>
      <c r="W120">
        <f>HYPERLINK("https://klasma.github.io/Logging_2380/artfynd/A 13898-2026 artfynd.xlsx", "A 13898-2026")</f>
        <v/>
      </c>
      <c r="X120">
        <f>HYPERLINK("https://klasma.github.io/Logging_2380/kartor/A 13898-2026 karta.png", "A 13898-2026")</f>
        <v/>
      </c>
      <c r="Y120">
        <f>HYPERLINK("https://klasma.github.io/Logging_2380/kartor_geotiff/A 13898-2026 georefererad karta.tif", "A 13898-2026")</f>
        <v/>
      </c>
      <c r="AA120">
        <f>HYPERLINK("https://klasma.github.io/Logging_2380/klagomål/A 13898-2026 FSC-klagomål.docx", "A 13898-2026")</f>
        <v/>
      </c>
      <c r="AB120">
        <f>HYPERLINK("https://klasma.github.io/Logging_2380/klagomålsmail/A 13898-2026 FSC-klagomål mail.docx", "A 13898-2026")</f>
        <v/>
      </c>
      <c r="AC120">
        <f>HYPERLINK("https://klasma.github.io/Logging_2380/tillsyn/A 13898-2026 tillsynsbegäran.docx", "A 13898-2026")</f>
        <v/>
      </c>
      <c r="AD120">
        <f>HYPERLINK("https://klasma.github.io/Logging_2380/tillsynsmail/A 13898-2026 tillsynsbegäran mail.docx", "A 13898-2026")</f>
        <v/>
      </c>
    </row>
    <row r="121" ht="15" customHeight="1">
      <c r="A121" t="inlineStr">
        <is>
          <t>A 22965-2026</t>
        </is>
      </c>
      <c r="B121" t="inlineStr">
        <is>
          <t>avverkningsanmälan</t>
        </is>
      </c>
      <c r="C121" t="inlineStr">
        <is>
          <t>Avverkning för annat ändamål</t>
        </is>
      </c>
      <c r="D121" s="1" t="n">
        <v>46160</v>
      </c>
      <c r="E121" s="1" t="n">
        <v>46312</v>
      </c>
      <c r="F121" t="inlineStr">
        <is>
          <t>JÄMTLANDS LÄN</t>
        </is>
      </c>
      <c r="G121" t="inlineStr">
        <is>
          <t>ÖSTERSUND</t>
        </is>
      </c>
      <c r="I121" t="n">
        <v>2.4</v>
      </c>
      <c r="J121" t="n">
        <v>3</v>
      </c>
      <c r="K121" t="n">
        <v>1</v>
      </c>
      <c r="L121" t="n">
        <v>0</v>
      </c>
      <c r="M121" t="n">
        <v>1</v>
      </c>
      <c r="N121" t="n">
        <v>0</v>
      </c>
      <c r="O121" t="n">
        <v>0</v>
      </c>
      <c r="P121" t="n">
        <v>0</v>
      </c>
      <c r="Q121" t="n">
        <v>1</v>
      </c>
      <c r="R121" t="n">
        <v>1</v>
      </c>
      <c r="S121" t="n">
        <v>4</v>
      </c>
      <c r="T121" t="n">
        <v>5</v>
      </c>
      <c r="U121" t="n">
        <v>5</v>
      </c>
      <c r="V121" s="2" t="inlineStr">
        <is>
          <t>Knärot
Norrlandslav
Tjäder
Tofsmes</t>
        </is>
      </c>
      <c r="W121">
        <f>HYPERLINK("https://klasma.github.io/Logging_2380/artfynd/A 22965-2026 artfynd.xlsx", "A 22965-2026")</f>
        <v/>
      </c>
      <c r="X121">
        <f>HYPERLINK("https://klasma.github.io/Logging_2380/kartor/A 22965-2026 karta.png", "A 22965-2026")</f>
        <v/>
      </c>
      <c r="Y121">
        <f>HYPERLINK("https://klasma.github.io/Logging_2380/kartor_geotiff/A 22965-2026 georefererad karta.tif", "A 22965-2026")</f>
        <v/>
      </c>
      <c r="Z121">
        <f>HYPERLINK("https://klasma.github.io/Logging_2380/knärot/A 22965-2026 karta knärot.png", "A 22965-2026")</f>
        <v/>
      </c>
      <c r="AA121">
        <f>HYPERLINK("https://klasma.github.io/Logging_2380/klagomål/A 22965-2026 FSC-klagomål.docx", "A 22965-2026")</f>
        <v/>
      </c>
      <c r="AB121">
        <f>HYPERLINK("https://klasma.github.io/Logging_2380/klagomålsmail/A 22965-2026 FSC-klagomål mail.docx", "A 22965-2026")</f>
        <v/>
      </c>
      <c r="AC121">
        <f>HYPERLINK("https://klasma.github.io/Logging_2380/tillsyn/A 22965-2026 tillsynsbegäran.docx", "A 22965-2026")</f>
        <v/>
      </c>
      <c r="AD121">
        <f>HYPERLINK("https://klasma.github.io/Logging_2380/tillsynsmail/A 22965-2026 tillsynsbegäran mail.docx", "A 22965-2026")</f>
        <v/>
      </c>
      <c r="AE121">
        <f>HYPERLINK("https://klasma.github.io/Logging_2380/fåglar/A 22965-2026 prioriterade fågelarter.docx", "A 22965-2026")</f>
        <v/>
      </c>
    </row>
    <row r="122" ht="15" customHeight="1">
      <c r="A122" t="inlineStr">
        <is>
          <t>A 59291-2022</t>
        </is>
      </c>
      <c r="B122" t="inlineStr">
        <is>
          <t>avverkningsanmälan</t>
        </is>
      </c>
      <c r="C122" t="inlineStr">
        <is>
          <t>Föryngringsavverkning</t>
        </is>
      </c>
      <c r="D122" s="1" t="n">
        <v>44904</v>
      </c>
      <c r="E122" s="1" t="n">
        <v>46312</v>
      </c>
      <c r="F122" t="inlineStr">
        <is>
          <t>JÄMTLANDS LÄN</t>
        </is>
      </c>
      <c r="G122" t="inlineStr">
        <is>
          <t>ÖSTERSUND</t>
        </is>
      </c>
      <c r="I122" t="n">
        <v>9.199999999999999</v>
      </c>
      <c r="J122" t="n">
        <v>1</v>
      </c>
      <c r="K122" t="n">
        <v>0</v>
      </c>
      <c r="L122" t="n">
        <v>2</v>
      </c>
      <c r="M122" t="n">
        <v>1</v>
      </c>
      <c r="N122" t="n">
        <v>0</v>
      </c>
      <c r="O122" t="n">
        <v>0</v>
      </c>
      <c r="P122" t="n">
        <v>0</v>
      </c>
      <c r="Q122" t="n">
        <v>3</v>
      </c>
      <c r="R122" t="n">
        <v>1</v>
      </c>
      <c r="S122" t="n">
        <v>4</v>
      </c>
      <c r="T122" t="n">
        <v>8</v>
      </c>
      <c r="U122" t="n">
        <v>8</v>
      </c>
      <c r="V122" s="2" t="inlineStr">
        <is>
          <t>Garnlav
Lunglav
Skrovellav
Revlummer</t>
        </is>
      </c>
      <c r="W122">
        <f>HYPERLINK("https://klasma.github.io/Logging_2380/artfynd/A 59291-2022 artfynd.xlsx", "A 59291-2022")</f>
        <v/>
      </c>
      <c r="X122">
        <f>HYPERLINK("https://klasma.github.io/Logging_2380/kartor/A 59291-2022 karta.png", "A 59291-2022")</f>
        <v/>
      </c>
      <c r="Y122">
        <f>HYPERLINK("https://klasma.github.io/Logging_2380/kartor_geotiff/A 59291-2022 georefererad karta.tif", "A 59291-2022")</f>
        <v/>
      </c>
      <c r="AA122">
        <f>HYPERLINK("https://klasma.github.io/Logging_2380/klagomål/A 59291-2022 FSC-klagomål.docx", "A 59291-2022")</f>
        <v/>
      </c>
      <c r="AB122">
        <f>HYPERLINK("https://klasma.github.io/Logging_2380/klagomålsmail/A 59291-2022 FSC-klagomål mail.docx", "A 59291-2022")</f>
        <v/>
      </c>
      <c r="AC122">
        <f>HYPERLINK("https://klasma.github.io/Logging_2380/tillsyn/A 59291-2022 tillsynsbegäran.docx", "A 59291-2022")</f>
        <v/>
      </c>
      <c r="AD122">
        <f>HYPERLINK("https://klasma.github.io/Logging_2380/tillsynsmail/A 59291-2022 tillsynsbegäran mail.docx", "A 59291-2022")</f>
        <v/>
      </c>
    </row>
    <row r="123" ht="15" customHeight="1">
      <c r="A123" t="inlineStr">
        <is>
          <t>A 8423-2023</t>
        </is>
      </c>
      <c r="B123" t="inlineStr">
        <is>
          <t>avverkningsanmälan</t>
        </is>
      </c>
      <c r="C123" t="inlineStr">
        <is>
          <t>Avverkning för annat ändamål</t>
        </is>
      </c>
      <c r="D123" s="1" t="n">
        <v>44977</v>
      </c>
      <c r="E123" s="1" t="n">
        <v>46312</v>
      </c>
      <c r="F123" t="inlineStr">
        <is>
          <t>JÄMTLANDS LÄN</t>
        </is>
      </c>
      <c r="G123" t="inlineStr">
        <is>
          <t>ÖSTERSUND</t>
        </is>
      </c>
      <c r="H123" t="inlineStr">
        <is>
          <t>Övriga Aktiebolag</t>
        </is>
      </c>
      <c r="I123" t="n">
        <v>53.1</v>
      </c>
      <c r="J123" t="n">
        <v>1</v>
      </c>
      <c r="K123" t="n">
        <v>1</v>
      </c>
      <c r="L123" t="n">
        <v>1</v>
      </c>
      <c r="M123" t="n">
        <v>1</v>
      </c>
      <c r="N123" t="n">
        <v>0</v>
      </c>
      <c r="O123" t="n">
        <v>0</v>
      </c>
      <c r="P123" t="n">
        <v>0</v>
      </c>
      <c r="Q123" t="n">
        <v>2</v>
      </c>
      <c r="R123" t="n">
        <v>1</v>
      </c>
      <c r="S123" t="n">
        <v>4</v>
      </c>
      <c r="T123" t="n">
        <v>4</v>
      </c>
      <c r="U123" t="n">
        <v>4</v>
      </c>
      <c r="V123" s="2" t="inlineStr">
        <is>
          <t>Garnlav
Dvärgbägarlav
Stor aspticka
Nattviol</t>
        </is>
      </c>
      <c r="W123">
        <f>HYPERLINK("https://klasma.github.io/Logging_2380/artfynd/A 8423-2023 artfynd.xlsx", "A 8423-2023")</f>
        <v/>
      </c>
      <c r="X123">
        <f>HYPERLINK("https://klasma.github.io/Logging_2380/kartor/A 8423-2023 karta.png", "A 8423-2023")</f>
        <v/>
      </c>
      <c r="Y123">
        <f>HYPERLINK("https://klasma.github.io/Logging_2380/kartor_geotiff/A 8423-2023 georefererad karta.tif", "A 8423-2023")</f>
        <v/>
      </c>
      <c r="AA123">
        <f>HYPERLINK("https://klasma.github.io/Logging_2380/klagomål/A 8423-2023 FSC-klagomål.docx", "A 8423-2023")</f>
        <v/>
      </c>
      <c r="AB123">
        <f>HYPERLINK("https://klasma.github.io/Logging_2380/klagomålsmail/A 8423-2023 FSC-klagomål mail.docx", "A 8423-2023")</f>
        <v/>
      </c>
      <c r="AC123">
        <f>HYPERLINK("https://klasma.github.io/Logging_2380/tillsyn/A 8423-2023 tillsynsbegäran.docx", "A 8423-2023")</f>
        <v/>
      </c>
      <c r="AD123">
        <f>HYPERLINK("https://klasma.github.io/Logging_2380/tillsynsmail/A 8423-2023 tillsynsbegäran mail.docx", "A 8423-2023")</f>
        <v/>
      </c>
    </row>
    <row r="124" ht="15" customHeight="1">
      <c r="A124" t="inlineStr">
        <is>
          <t>A 59793-2022</t>
        </is>
      </c>
      <c r="B124" t="inlineStr">
        <is>
          <t>avverkningsanmälan</t>
        </is>
      </c>
      <c r="C124" t="inlineStr">
        <is>
          <t>Föryngringsavverkning</t>
        </is>
      </c>
      <c r="D124" s="1" t="n">
        <v>44908</v>
      </c>
      <c r="E124" s="1" t="n">
        <v>46312</v>
      </c>
      <c r="F124" t="inlineStr">
        <is>
          <t>JÄMTLANDS LÄN</t>
        </is>
      </c>
      <c r="G124" t="inlineStr">
        <is>
          <t>ÖSTERSUND</t>
        </is>
      </c>
      <c r="I124" t="n">
        <v>23.3</v>
      </c>
      <c r="J124" t="n">
        <v>3</v>
      </c>
      <c r="K124" t="n">
        <v>2</v>
      </c>
      <c r="L124" t="n">
        <v>1</v>
      </c>
      <c r="M124" t="n">
        <v>0</v>
      </c>
      <c r="N124" t="n">
        <v>0</v>
      </c>
      <c r="O124" t="n">
        <v>0</v>
      </c>
      <c r="P124" t="n">
        <v>0</v>
      </c>
      <c r="Q124" t="n">
        <v>1</v>
      </c>
      <c r="R124" t="n">
        <v>0</v>
      </c>
      <c r="S124" t="n">
        <v>4</v>
      </c>
      <c r="T124" t="n">
        <v>6</v>
      </c>
      <c r="U124" t="n">
        <v>5</v>
      </c>
      <c r="V124" s="2" t="inlineStr">
        <is>
          <t>Majviva
Spindelblomster
Tvåblad
Fläcknycklar</t>
        </is>
      </c>
      <c r="W124">
        <f>HYPERLINK("https://klasma.github.io/Logging_2380/artfynd/A 59793-2022 artfynd.xlsx", "A 59793-2022")</f>
        <v/>
      </c>
      <c r="X124">
        <f>HYPERLINK("https://klasma.github.io/Logging_2380/kartor/A 59793-2022 karta.png", "A 59793-2022")</f>
        <v/>
      </c>
      <c r="Y124">
        <f>HYPERLINK("https://klasma.github.io/Logging_2380/kartor_geotiff/A 59793-2022 georefererad karta.tif", "A 59793-2022")</f>
        <v/>
      </c>
      <c r="AA124">
        <f>HYPERLINK("https://klasma.github.io/Logging_2380/klagomål/A 59793-2022 FSC-klagomål.docx", "A 59793-2022")</f>
        <v/>
      </c>
      <c r="AB124">
        <f>HYPERLINK("https://klasma.github.io/Logging_2380/klagomålsmail/A 59793-2022 FSC-klagomål mail.docx", "A 59793-2022")</f>
        <v/>
      </c>
      <c r="AC124">
        <f>HYPERLINK("https://klasma.github.io/Logging_2380/tillsyn/A 59793-2022 tillsynsbegäran.docx", "A 59793-2022")</f>
        <v/>
      </c>
      <c r="AD124">
        <f>HYPERLINK("https://klasma.github.io/Logging_2380/tillsynsmail/A 59793-2022 tillsynsbegäran mail.docx", "A 59793-2022")</f>
        <v/>
      </c>
    </row>
    <row r="125" ht="15" customHeight="1">
      <c r="A125" t="inlineStr">
        <is>
          <t>A 29135-2022</t>
        </is>
      </c>
      <c r="B125" t="inlineStr">
        <is>
          <t>avverkningsanmälan</t>
        </is>
      </c>
      <c r="C125" t="inlineStr">
        <is>
          <t>Föryngringsavverkning</t>
        </is>
      </c>
      <c r="D125" s="1" t="n">
        <v>44750</v>
      </c>
      <c r="E125" s="1" t="n">
        <v>46312</v>
      </c>
      <c r="F125" t="inlineStr">
        <is>
          <t>JÄMTLANDS LÄN</t>
        </is>
      </c>
      <c r="G125" t="inlineStr">
        <is>
          <t>ÖSTERSUND</t>
        </is>
      </c>
      <c r="I125" t="n">
        <v>2.3</v>
      </c>
      <c r="J125" t="n">
        <v>3</v>
      </c>
      <c r="K125" t="n">
        <v>2</v>
      </c>
      <c r="L125" t="n">
        <v>0</v>
      </c>
      <c r="M125" t="n">
        <v>0</v>
      </c>
      <c r="N125" t="n">
        <v>0</v>
      </c>
      <c r="O125" t="n">
        <v>0</v>
      </c>
      <c r="P125" t="n">
        <v>0</v>
      </c>
      <c r="Q125" t="n">
        <v>0</v>
      </c>
      <c r="R125" t="n">
        <v>0</v>
      </c>
      <c r="S125" t="n">
        <v>4</v>
      </c>
      <c r="T125" t="n">
        <v>6</v>
      </c>
      <c r="U125" t="n">
        <v>0</v>
      </c>
      <c r="V125" s="2" t="inlineStr">
        <is>
          <t>Finbräken
Grönkulla
Blåsippa
Fläcknycklar</t>
        </is>
      </c>
      <c r="W125">
        <f>HYPERLINK("https://klasma.github.io/Logging_2380/artfynd/A 29135-2022 artfynd.xlsx", "A 29135-2022")</f>
        <v/>
      </c>
      <c r="X125">
        <f>HYPERLINK("https://klasma.github.io/Logging_2380/kartor/A 29135-2022 karta.png", "A 29135-2022")</f>
        <v/>
      </c>
      <c r="Y125">
        <f>HYPERLINK("https://klasma.github.io/Logging_2380/kartor_geotiff/A 29135-2022 georefererad karta.tif", "A 29135-2022")</f>
        <v/>
      </c>
      <c r="AA125">
        <f>HYPERLINK("https://klasma.github.io/Logging_2380/klagomål/A 29135-2022 FSC-klagomål.docx", "A 29135-2022")</f>
        <v/>
      </c>
      <c r="AB125">
        <f>HYPERLINK("https://klasma.github.io/Logging_2380/klagomålsmail/A 29135-2022 FSC-klagomål mail.docx", "A 29135-2022")</f>
        <v/>
      </c>
      <c r="AC125">
        <f>HYPERLINK("https://klasma.github.io/Logging_2380/tillsyn/A 29135-2022 tillsynsbegäran.docx", "A 29135-2022")</f>
        <v/>
      </c>
      <c r="AD125">
        <f>HYPERLINK("https://klasma.github.io/Logging_2380/tillsynsmail/A 29135-2022 tillsynsbegäran mail.docx", "A 29135-2022")</f>
        <v/>
      </c>
    </row>
    <row r="126" ht="15" customHeight="1">
      <c r="A126" t="inlineStr">
        <is>
          <t>A 47385-2022</t>
        </is>
      </c>
      <c r="B126" t="inlineStr">
        <is>
          <t>avverkningsanmälan</t>
        </is>
      </c>
      <c r="C126" t="inlineStr">
        <is>
          <t>Föryngringsavverkning</t>
        </is>
      </c>
      <c r="D126" s="1" t="n">
        <v>44853</v>
      </c>
      <c r="E126" s="1" t="n">
        <v>46312</v>
      </c>
      <c r="F126" t="inlineStr">
        <is>
          <t>JÄMTLANDS LÄN</t>
        </is>
      </c>
      <c r="G126" t="inlineStr">
        <is>
          <t>ÖSTERSUND</t>
        </is>
      </c>
      <c r="I126" t="n">
        <v>0.9</v>
      </c>
      <c r="J126" t="n">
        <v>1</v>
      </c>
      <c r="K126" t="n">
        <v>0</v>
      </c>
      <c r="L126" t="n">
        <v>2</v>
      </c>
      <c r="M126" t="n">
        <v>2</v>
      </c>
      <c r="N126" t="n">
        <v>0</v>
      </c>
      <c r="O126" t="n">
        <v>0</v>
      </c>
      <c r="P126" t="n">
        <v>0</v>
      </c>
      <c r="Q126" t="n">
        <v>4</v>
      </c>
      <c r="R126" t="n">
        <v>2</v>
      </c>
      <c r="S126" t="n">
        <v>4</v>
      </c>
      <c r="T126" t="n">
        <v>7</v>
      </c>
      <c r="U126" t="n">
        <v>0</v>
      </c>
      <c r="V126" s="2" t="inlineStr">
        <is>
          <t>Garnlav
Knärot
Ullticka
Vitgrynig nållav</t>
        </is>
      </c>
      <c r="W126">
        <f>HYPERLINK("https://klasma.github.io/Logging_2380/artfynd/A 47385-2022 artfynd.xlsx", "A 47385-2022")</f>
        <v/>
      </c>
      <c r="X126">
        <f>HYPERLINK("https://klasma.github.io/Logging_2380/kartor/A 47385-2022 karta.png", "A 47385-2022")</f>
        <v/>
      </c>
      <c r="Y126">
        <f>HYPERLINK("https://klasma.github.io/Logging_2380/kartor_geotiff/A 47385-2022 georefererad karta.tif", "A 47385-2022")</f>
        <v/>
      </c>
      <c r="Z126">
        <f>HYPERLINK("https://klasma.github.io/Logging_2380/knärot/A 47385-2022 karta knärot.png", "A 47385-2022")</f>
        <v/>
      </c>
      <c r="AA126">
        <f>HYPERLINK("https://klasma.github.io/Logging_2380/klagomål/A 47385-2022 FSC-klagomål.docx", "A 47385-2022")</f>
        <v/>
      </c>
      <c r="AB126">
        <f>HYPERLINK("https://klasma.github.io/Logging_2380/klagomålsmail/A 47385-2022 FSC-klagomål mail.docx", "A 47385-2022")</f>
        <v/>
      </c>
      <c r="AC126">
        <f>HYPERLINK("https://klasma.github.io/Logging_2380/tillsyn/A 47385-2022 tillsynsbegäran.docx", "A 47385-2022")</f>
        <v/>
      </c>
      <c r="AD126">
        <f>HYPERLINK("https://klasma.github.io/Logging_2380/tillsynsmail/A 47385-2022 tillsynsbegäran mail.docx", "A 47385-2022")</f>
        <v/>
      </c>
    </row>
    <row r="127" ht="15" customHeight="1">
      <c r="A127" t="inlineStr">
        <is>
          <t>A 10529-2025</t>
        </is>
      </c>
      <c r="B127" t="inlineStr">
        <is>
          <t>avverkningsanmälan</t>
        </is>
      </c>
      <c r="C127" t="inlineStr">
        <is>
          <t>Föryngringsavverkning</t>
        </is>
      </c>
      <c r="D127" s="1" t="n">
        <v>45721</v>
      </c>
      <c r="E127" s="1" t="n">
        <v>46312</v>
      </c>
      <c r="F127" t="inlineStr">
        <is>
          <t>JÄMTLANDS LÄN</t>
        </is>
      </c>
      <c r="G127" t="inlineStr">
        <is>
          <t>ÖSTERSUND</t>
        </is>
      </c>
      <c r="H127" t="inlineStr">
        <is>
          <t>SCA</t>
        </is>
      </c>
      <c r="I127" t="n">
        <v>1.4</v>
      </c>
      <c r="J127" t="n">
        <v>1</v>
      </c>
      <c r="K127" t="n">
        <v>2</v>
      </c>
      <c r="L127" t="n">
        <v>0</v>
      </c>
      <c r="M127" t="n">
        <v>1</v>
      </c>
      <c r="N127" t="n">
        <v>0</v>
      </c>
      <c r="O127" t="n">
        <v>0</v>
      </c>
      <c r="P127" t="n">
        <v>0</v>
      </c>
      <c r="Q127" t="n">
        <v>1</v>
      </c>
      <c r="R127" t="n">
        <v>1</v>
      </c>
      <c r="S127" t="n">
        <v>4</v>
      </c>
      <c r="T127" t="n">
        <v>4</v>
      </c>
      <c r="U127" t="n">
        <v>0</v>
      </c>
      <c r="V127" s="2" t="inlineStr">
        <is>
          <t>Myrstarr
Gräsull
Ögonpyrola
Ängsnycklar</t>
        </is>
      </c>
      <c r="W127">
        <f>HYPERLINK("https://klasma.github.io/Logging_2380/artfynd/A 10529-2025 artfynd.xlsx", "A 10529-2025")</f>
        <v/>
      </c>
      <c r="X127">
        <f>HYPERLINK("https://klasma.github.io/Logging_2380/kartor/A 10529-2025 karta.png", "A 10529-2025")</f>
        <v/>
      </c>
      <c r="Y127">
        <f>HYPERLINK("https://klasma.github.io/Logging_2380/kartor_geotiff/A 10529-2025 georefererad karta.tif", "A 10529-2025")</f>
        <v/>
      </c>
      <c r="AA127">
        <f>HYPERLINK("https://klasma.github.io/Logging_2380/klagomål/A 10529-2025 FSC-klagomål.docx", "A 10529-2025")</f>
        <v/>
      </c>
      <c r="AB127">
        <f>HYPERLINK("https://klasma.github.io/Logging_2380/klagomålsmail/A 10529-2025 FSC-klagomål mail.docx", "A 10529-2025")</f>
        <v/>
      </c>
      <c r="AC127">
        <f>HYPERLINK("https://klasma.github.io/Logging_2380/tillsyn/A 10529-2025 tillsynsbegäran.docx", "A 10529-2025")</f>
        <v/>
      </c>
      <c r="AD127">
        <f>HYPERLINK("https://klasma.github.io/Logging_2380/tillsynsmail/A 10529-2025 tillsynsbegäran mail.docx", "A 10529-2025")</f>
        <v/>
      </c>
    </row>
    <row r="128" ht="15" customHeight="1">
      <c r="A128" t="inlineStr">
        <is>
          <t>A 37855-2026</t>
        </is>
      </c>
      <c r="B128" t="inlineStr">
        <is>
          <t>avverkningsanmälan</t>
        </is>
      </c>
      <c r="C128" t="inlineStr">
        <is>
          <t>Föryngringsavverkning</t>
        </is>
      </c>
      <c r="D128" s="1" t="n">
        <v>46279</v>
      </c>
      <c r="E128" s="1" t="n">
        <v>46312</v>
      </c>
      <c r="F128" t="inlineStr">
        <is>
          <t>JÄMTLANDS LÄN</t>
        </is>
      </c>
      <c r="G128" t="inlineStr">
        <is>
          <t>ÖSTERSUND</t>
        </is>
      </c>
      <c r="H128" t="inlineStr">
        <is>
          <t>SCA</t>
        </is>
      </c>
      <c r="I128" t="n">
        <v>9.199999999999999</v>
      </c>
      <c r="J128" t="n">
        <v>0</v>
      </c>
      <c r="K128" t="n">
        <v>0</v>
      </c>
      <c r="L128" t="n">
        <v>3</v>
      </c>
      <c r="M128" t="n">
        <v>1</v>
      </c>
      <c r="N128" t="n">
        <v>0</v>
      </c>
      <c r="O128" t="n">
        <v>0</v>
      </c>
      <c r="P128" t="n">
        <v>0</v>
      </c>
      <c r="Q128" t="n">
        <v>4</v>
      </c>
      <c r="R128" t="n">
        <v>1</v>
      </c>
      <c r="S128" t="n">
        <v>4</v>
      </c>
      <c r="T128" t="n">
        <v>4</v>
      </c>
      <c r="U128" t="n">
        <v>0</v>
      </c>
      <c r="V128" s="2" t="inlineStr">
        <is>
          <t>Gräddporing
Dvärgbägarlav
Lunglav
Reliktbock</t>
        </is>
      </c>
      <c r="W128">
        <f>HYPERLINK("https://klasma.github.io/Logging_2380/artfynd/A 37855-2026 artfynd.xlsx", "A 37855-2026")</f>
        <v/>
      </c>
      <c r="X128">
        <f>HYPERLINK("https://klasma.github.io/Logging_2380/kartor/A 37855-2026 karta.png", "A 37855-2026")</f>
        <v/>
      </c>
      <c r="Y128">
        <f>HYPERLINK("https://klasma.github.io/Logging_2380/kartor_geotiff/A 37855-2026 georefererad karta.tif", "A 37855-2026")</f>
        <v/>
      </c>
      <c r="AA128">
        <f>HYPERLINK("https://klasma.github.io/Logging_2380/klagomål/A 37855-2026 FSC-klagomål.docx", "A 37855-2026")</f>
        <v/>
      </c>
      <c r="AB128">
        <f>HYPERLINK("https://klasma.github.io/Logging_2380/klagomålsmail/A 37855-2026 FSC-klagomål mail.docx", "A 37855-2026")</f>
        <v/>
      </c>
      <c r="AC128">
        <f>HYPERLINK("https://klasma.github.io/Logging_2380/tillsyn/A 37855-2026 tillsynsbegäran.docx", "A 37855-2026")</f>
        <v/>
      </c>
      <c r="AD128">
        <f>HYPERLINK("https://klasma.github.io/Logging_2380/tillsynsmail/A 37855-2026 tillsynsbegäran mail.docx", "A 37855-2026")</f>
        <v/>
      </c>
    </row>
    <row r="129" ht="15" customHeight="1">
      <c r="A129" t="inlineStr">
        <is>
          <t>A 39968-2024</t>
        </is>
      </c>
      <c r="B129" t="inlineStr">
        <is>
          <t>avverkningsanmälan</t>
        </is>
      </c>
      <c r="C129" t="inlineStr">
        <is>
          <t>Föryngringsavverkning</t>
        </is>
      </c>
      <c r="D129" s="1" t="n">
        <v>45553</v>
      </c>
      <c r="E129" s="1" t="n">
        <v>46312</v>
      </c>
      <c r="F129" t="inlineStr">
        <is>
          <t>JÄMTLANDS LÄN</t>
        </is>
      </c>
      <c r="G129" t="inlineStr">
        <is>
          <t>ÖSTERSUND</t>
        </is>
      </c>
      <c r="I129" t="n">
        <v>1.8</v>
      </c>
      <c r="J129" t="n">
        <v>2</v>
      </c>
      <c r="K129" t="n">
        <v>1</v>
      </c>
      <c r="L129" t="n">
        <v>1</v>
      </c>
      <c r="M129" t="n">
        <v>2</v>
      </c>
      <c r="N129" t="n">
        <v>0</v>
      </c>
      <c r="O129" t="n">
        <v>0</v>
      </c>
      <c r="P129" t="n">
        <v>0</v>
      </c>
      <c r="Q129" t="n">
        <v>3</v>
      </c>
      <c r="R129" t="n">
        <v>2</v>
      </c>
      <c r="S129" t="n">
        <v>4</v>
      </c>
      <c r="T129" t="n">
        <v>5</v>
      </c>
      <c r="U129" t="n">
        <v>2</v>
      </c>
      <c r="V129" s="2" t="inlineStr">
        <is>
          <t>Garnlav
Knärot
Violettgrå tagellav
Spindelblomster</t>
        </is>
      </c>
      <c r="W129">
        <f>HYPERLINK("https://klasma.github.io/Logging_2380/artfynd/A 39968-2024 artfynd.xlsx", "A 39968-2024")</f>
        <v/>
      </c>
      <c r="X129">
        <f>HYPERLINK("https://klasma.github.io/Logging_2380/kartor/A 39968-2024 karta.png", "A 39968-2024")</f>
        <v/>
      </c>
      <c r="Y129">
        <f>HYPERLINK("https://klasma.github.io/Logging_2380/kartor_geotiff/A 39968-2024 georefererad karta.tif", "A 39968-2024")</f>
        <v/>
      </c>
      <c r="Z129">
        <f>HYPERLINK("https://klasma.github.io/Logging_2380/knärot/A 39968-2024 karta knärot.png", "A 39968-2024")</f>
        <v/>
      </c>
      <c r="AA129">
        <f>HYPERLINK("https://klasma.github.io/Logging_2380/klagomål/A 39968-2024 FSC-klagomål.docx", "A 39968-2024")</f>
        <v/>
      </c>
      <c r="AB129">
        <f>HYPERLINK("https://klasma.github.io/Logging_2380/klagomålsmail/A 39968-2024 FSC-klagomål mail.docx", "A 39968-2024")</f>
        <v/>
      </c>
      <c r="AC129">
        <f>HYPERLINK("https://klasma.github.io/Logging_2380/tillsyn/A 39968-2024 tillsynsbegäran.docx", "A 39968-2024")</f>
        <v/>
      </c>
      <c r="AD129">
        <f>HYPERLINK("https://klasma.github.io/Logging_2380/tillsynsmail/A 39968-2024 tillsynsbegäran mail.docx", "A 39968-2024")</f>
        <v/>
      </c>
    </row>
    <row r="130" ht="15" customHeight="1">
      <c r="A130" t="inlineStr">
        <is>
          <t>A 43883-2024</t>
        </is>
      </c>
      <c r="B130" t="inlineStr">
        <is>
          <t>avverkningsanmälan</t>
        </is>
      </c>
      <c r="C130" t="inlineStr">
        <is>
          <t>Avverkning för annat ändamål</t>
        </is>
      </c>
      <c r="D130" s="1" t="n">
        <v>45570</v>
      </c>
      <c r="E130" s="1" t="n">
        <v>46312</v>
      </c>
      <c r="F130" t="inlineStr">
        <is>
          <t>JÄMTLANDS LÄN</t>
        </is>
      </c>
      <c r="G130" t="inlineStr">
        <is>
          <t>ÖSTERSUND</t>
        </is>
      </c>
      <c r="I130" t="n">
        <v>3.8</v>
      </c>
      <c r="J130" t="n">
        <v>1</v>
      </c>
      <c r="K130" t="n">
        <v>1</v>
      </c>
      <c r="L130" t="n">
        <v>1</v>
      </c>
      <c r="M130" t="n">
        <v>1</v>
      </c>
      <c r="N130" t="n">
        <v>0</v>
      </c>
      <c r="O130" t="n">
        <v>0</v>
      </c>
      <c r="P130" t="n">
        <v>0</v>
      </c>
      <c r="Q130" t="n">
        <v>2</v>
      </c>
      <c r="R130" t="n">
        <v>1</v>
      </c>
      <c r="S130" t="n">
        <v>4</v>
      </c>
      <c r="T130" t="n">
        <v>8</v>
      </c>
      <c r="U130" t="n">
        <v>5</v>
      </c>
      <c r="V130" s="2" t="inlineStr">
        <is>
          <t>Frösöstarr
Ladlav
Svart trolldruva
Blåsippa</t>
        </is>
      </c>
      <c r="W130">
        <f>HYPERLINK("https://klasma.github.io/Logging_2380/artfynd/A 43883-2024 artfynd.xlsx", "A 43883-2024")</f>
        <v/>
      </c>
      <c r="X130">
        <f>HYPERLINK("https://klasma.github.io/Logging_2380/kartor/A 43883-2024 karta.png", "A 43883-2024")</f>
        <v/>
      </c>
      <c r="Y130">
        <f>HYPERLINK("https://klasma.github.io/Logging_2380/kartor_geotiff/A 43883-2024 georefererad karta.tif", "A 43883-2024")</f>
        <v/>
      </c>
      <c r="AA130">
        <f>HYPERLINK("https://klasma.github.io/Logging_2380/klagomål/A 43883-2024 FSC-klagomål.docx", "A 43883-2024")</f>
        <v/>
      </c>
      <c r="AB130">
        <f>HYPERLINK("https://klasma.github.io/Logging_2380/klagomålsmail/A 43883-2024 FSC-klagomål mail.docx", "A 43883-2024")</f>
        <v/>
      </c>
      <c r="AC130">
        <f>HYPERLINK("https://klasma.github.io/Logging_2380/tillsyn/A 43883-2024 tillsynsbegäran.docx", "A 43883-2024")</f>
        <v/>
      </c>
      <c r="AD130">
        <f>HYPERLINK("https://klasma.github.io/Logging_2380/tillsynsmail/A 43883-2024 tillsynsbegäran mail.docx", "A 43883-2024")</f>
        <v/>
      </c>
    </row>
    <row r="131" ht="15" customHeight="1">
      <c r="A131" t="inlineStr">
        <is>
          <t>A 56934-2025</t>
        </is>
      </c>
      <c r="B131" t="inlineStr">
        <is>
          <t>avverkningsanmälan</t>
        </is>
      </c>
      <c r="C131" t="inlineStr">
        <is>
          <t>Föryngringsavverkning</t>
        </is>
      </c>
      <c r="D131" s="1" t="n">
        <v>45978</v>
      </c>
      <c r="E131" s="1" t="n">
        <v>46312</v>
      </c>
      <c r="F131" t="inlineStr">
        <is>
          <t>JÄMTLANDS LÄN</t>
        </is>
      </c>
      <c r="G131" t="inlineStr">
        <is>
          <t>ÖSTERSUND</t>
        </is>
      </c>
      <c r="I131" t="n">
        <v>4.3</v>
      </c>
      <c r="J131" t="n">
        <v>2</v>
      </c>
      <c r="K131" t="n">
        <v>0</v>
      </c>
      <c r="L131" t="n">
        <v>2</v>
      </c>
      <c r="M131" t="n">
        <v>1</v>
      </c>
      <c r="N131" t="n">
        <v>0</v>
      </c>
      <c r="O131" t="n">
        <v>0</v>
      </c>
      <c r="P131" t="n">
        <v>0</v>
      </c>
      <c r="Q131" t="n">
        <v>3</v>
      </c>
      <c r="R131" t="n">
        <v>1</v>
      </c>
      <c r="S131" t="n">
        <v>4</v>
      </c>
      <c r="T131" t="n">
        <v>20</v>
      </c>
      <c r="U131" t="n">
        <v>20</v>
      </c>
      <c r="V131" s="2" t="inlineStr">
        <is>
          <t>Garnlav
Harticka
Talltita
Revlummer</t>
        </is>
      </c>
      <c r="W131">
        <f>HYPERLINK("https://klasma.github.io/Logging_2380/artfynd/A 56934-2025 artfynd.xlsx", "A 56934-2025")</f>
        <v/>
      </c>
      <c r="X131">
        <f>HYPERLINK("https://klasma.github.io/Logging_2380/kartor/A 56934-2025 karta.png", "A 56934-2025")</f>
        <v/>
      </c>
      <c r="Y131">
        <f>HYPERLINK("https://klasma.github.io/Logging_2380/kartor_geotiff/A 56934-2025 georefererad karta.tif", "A 56934-2025")</f>
        <v/>
      </c>
      <c r="AA131">
        <f>HYPERLINK("https://klasma.github.io/Logging_2380/klagomål/A 56934-2025 FSC-klagomål.docx", "A 56934-2025")</f>
        <v/>
      </c>
      <c r="AB131">
        <f>HYPERLINK("https://klasma.github.io/Logging_2380/klagomålsmail/A 56934-2025 FSC-klagomål mail.docx", "A 56934-2025")</f>
        <v/>
      </c>
      <c r="AC131">
        <f>HYPERLINK("https://klasma.github.io/Logging_2380/tillsyn/A 56934-2025 tillsynsbegäran.docx", "A 56934-2025")</f>
        <v/>
      </c>
      <c r="AD131">
        <f>HYPERLINK("https://klasma.github.io/Logging_2380/tillsynsmail/A 56934-2025 tillsynsbegäran mail.docx", "A 56934-2025")</f>
        <v/>
      </c>
      <c r="AE131">
        <f>HYPERLINK("https://klasma.github.io/Logging_2380/fåglar/A 56934-2025 prioriterade fågelarter.docx", "A 56934-2025")</f>
        <v/>
      </c>
    </row>
    <row r="132" ht="15" customHeight="1">
      <c r="A132" t="inlineStr">
        <is>
          <t>A 25369-2024</t>
        </is>
      </c>
      <c r="B132" t="inlineStr">
        <is>
          <t>avverkningsanmälan</t>
        </is>
      </c>
      <c r="C132" t="inlineStr">
        <is>
          <t>Föryngringsavverkning</t>
        </is>
      </c>
      <c r="D132" s="1" t="n">
        <v>45462</v>
      </c>
      <c r="E132" s="1" t="n">
        <v>46312</v>
      </c>
      <c r="F132" t="inlineStr">
        <is>
          <t>JÄMTLANDS LÄN</t>
        </is>
      </c>
      <c r="G132" t="inlineStr">
        <is>
          <t>ÖSTERSUND</t>
        </is>
      </c>
      <c r="I132" t="n">
        <v>14.7</v>
      </c>
      <c r="J132" t="n">
        <v>1</v>
      </c>
      <c r="K132" t="n">
        <v>2</v>
      </c>
      <c r="L132" t="n">
        <v>1</v>
      </c>
      <c r="M132" t="n">
        <v>0</v>
      </c>
      <c r="N132" t="n">
        <v>0</v>
      </c>
      <c r="O132" t="n">
        <v>0</v>
      </c>
      <c r="P132" t="n">
        <v>0</v>
      </c>
      <c r="Q132" t="n">
        <v>1</v>
      </c>
      <c r="R132" t="n">
        <v>0</v>
      </c>
      <c r="S132" t="n">
        <v>4</v>
      </c>
      <c r="T132" t="n">
        <v>7</v>
      </c>
      <c r="U132" t="n">
        <v>0</v>
      </c>
      <c r="V132" s="2" t="inlineStr">
        <is>
          <t>Ullticka
Kransrams
Underviol
Blåsippa</t>
        </is>
      </c>
      <c r="W132">
        <f>HYPERLINK("https://klasma.github.io/Logging_2380/artfynd/A 25369-2024 artfynd.xlsx", "A 25369-2024")</f>
        <v/>
      </c>
      <c r="X132">
        <f>HYPERLINK("https://klasma.github.io/Logging_2380/kartor/A 25369-2024 karta.png", "A 25369-2024")</f>
        <v/>
      </c>
      <c r="Y132">
        <f>HYPERLINK("https://klasma.github.io/Logging_2380/kartor_geotiff/A 25369-2024 georefererad karta.tif", "A 25369-2024")</f>
        <v/>
      </c>
      <c r="AA132">
        <f>HYPERLINK("https://klasma.github.io/Logging_2380/klagomål/A 25369-2024 FSC-klagomål.docx", "A 25369-2024")</f>
        <v/>
      </c>
      <c r="AB132">
        <f>HYPERLINK("https://klasma.github.io/Logging_2380/klagomålsmail/A 25369-2024 FSC-klagomål mail.docx", "A 25369-2024")</f>
        <v/>
      </c>
      <c r="AC132">
        <f>HYPERLINK("https://klasma.github.io/Logging_2380/tillsyn/A 25369-2024 tillsynsbegäran.docx", "A 25369-2024")</f>
        <v/>
      </c>
      <c r="AD132">
        <f>HYPERLINK("https://klasma.github.io/Logging_2380/tillsynsmail/A 25369-2024 tillsynsbegäran mail.docx", "A 25369-2024")</f>
        <v/>
      </c>
    </row>
    <row r="133" ht="15" customHeight="1">
      <c r="A133" t="inlineStr">
        <is>
          <t>S 1458-2025</t>
        </is>
      </c>
      <c r="B133" t="inlineStr">
        <is>
          <t>samrådsanmälan</t>
        </is>
      </c>
      <c r="C133" t="inlineStr">
        <is>
          <t>Annan skogsbruksåtgärd</t>
        </is>
      </c>
      <c r="D133" s="1" t="n">
        <v>45785</v>
      </c>
      <c r="E133" s="1" t="n">
        <v>46312</v>
      </c>
      <c r="F133" t="inlineStr">
        <is>
          <t>JÄMTLANDS LÄN</t>
        </is>
      </c>
      <c r="G133" t="inlineStr">
        <is>
          <t>ÖSTERSUND</t>
        </is>
      </c>
      <c r="H133" t="inlineStr">
        <is>
          <t>Övriga Aktiebolag</t>
        </is>
      </c>
      <c r="I133" t="n">
        <v>2.5</v>
      </c>
      <c r="J133" t="n">
        <v>0</v>
      </c>
      <c r="K133" t="n">
        <v>2</v>
      </c>
      <c r="L133" t="n">
        <v>2</v>
      </c>
      <c r="M133" t="n">
        <v>0</v>
      </c>
      <c r="N133" t="n">
        <v>0</v>
      </c>
      <c r="O133" t="n">
        <v>0</v>
      </c>
      <c r="P133" t="n">
        <v>0</v>
      </c>
      <c r="Q133" t="n">
        <v>2</v>
      </c>
      <c r="R133" t="n">
        <v>0</v>
      </c>
      <c r="S133" t="n">
        <v>4</v>
      </c>
      <c r="T133" t="n">
        <v>4</v>
      </c>
      <c r="U133" t="n">
        <v>0</v>
      </c>
      <c r="V133" s="2" t="inlineStr">
        <is>
          <t>Fjällig taggsvamp s.str.
Kryddspindling
Diskvaxskivling
Kransrams</t>
        </is>
      </c>
      <c r="W133">
        <f>HYPERLINK("https://klasma.github.io/Logging_2380/artfynd/S 1458-2025 artfynd.xlsx", "S 1458-2025")</f>
        <v/>
      </c>
      <c r="X133">
        <f>HYPERLINK("https://klasma.github.io/Logging_2380/kartor/S 1458-2025 karta.png", "S 1458-2025")</f>
        <v/>
      </c>
      <c r="Y133">
        <f>HYPERLINK("https://klasma.github.io/Logging_2380/kartor_geotiff/S 1458-2025 georefererad karta.tif", "S 1458-2025")</f>
        <v/>
      </c>
      <c r="AA133">
        <f>HYPERLINK("https://klasma.github.io/Logging_2380/klagomål/S 1458-2025 FSC-klagomål.docx", "S 1458-2025")</f>
        <v/>
      </c>
      <c r="AB133">
        <f>HYPERLINK("https://klasma.github.io/Logging_2380/klagomålsmail/S 1458-2025 FSC-klagomål mail.docx", "S 1458-2025")</f>
        <v/>
      </c>
      <c r="AC133">
        <f>HYPERLINK("https://klasma.github.io/Logging_2380/tillsyn/S 1458-2025 tillsynsbegäran.docx", "S 1458-2025")</f>
        <v/>
      </c>
      <c r="AD133">
        <f>HYPERLINK("https://klasma.github.io/Logging_2380/tillsynsmail/S 1458-2025 tillsynsbegäran mail.docx", "S 1458-2025")</f>
        <v/>
      </c>
    </row>
    <row r="134" ht="15" customHeight="1">
      <c r="A134" t="inlineStr">
        <is>
          <t>A 43981-2023</t>
        </is>
      </c>
      <c r="B134" t="inlineStr">
        <is>
          <t>avverkningsanmälan</t>
        </is>
      </c>
      <c r="C134" t="inlineStr">
        <is>
          <t>Avverkning för att bevara och utveckla /försöksver</t>
        </is>
      </c>
      <c r="D134" s="1" t="n">
        <v>45187</v>
      </c>
      <c r="E134" s="1" t="n">
        <v>46312</v>
      </c>
      <c r="F134" t="inlineStr">
        <is>
          <t>JÄMTLANDS LÄN</t>
        </is>
      </c>
      <c r="G134" t="inlineStr">
        <is>
          <t>ÖSTERSUND</t>
        </is>
      </c>
      <c r="H134" t="inlineStr">
        <is>
          <t>SCA</t>
        </is>
      </c>
      <c r="I134" t="n">
        <v>7.5</v>
      </c>
      <c r="J134" t="n">
        <v>1</v>
      </c>
      <c r="K134" t="n">
        <v>0</v>
      </c>
      <c r="L134" t="n">
        <v>2</v>
      </c>
      <c r="M134" t="n">
        <v>1</v>
      </c>
      <c r="N134" t="n">
        <v>0</v>
      </c>
      <c r="O134" t="n">
        <v>0</v>
      </c>
      <c r="P134" t="n">
        <v>0</v>
      </c>
      <c r="Q134" t="n">
        <v>3</v>
      </c>
      <c r="R134" t="n">
        <v>1</v>
      </c>
      <c r="S134" t="n">
        <v>3</v>
      </c>
      <c r="T134" t="n">
        <v>3</v>
      </c>
      <c r="U134" t="n">
        <v>0</v>
      </c>
      <c r="V134" s="2" t="inlineStr">
        <is>
          <t>Knärot
Lunglav
Ullticka</t>
        </is>
      </c>
      <c r="W134">
        <f>HYPERLINK("https://klasma.github.io/Logging_2380/artfynd/A 43981-2023 artfynd.xlsx", "A 43981-2023")</f>
        <v/>
      </c>
      <c r="X134">
        <f>HYPERLINK("https://klasma.github.io/Logging_2380/kartor/A 43981-2023 karta.png", "A 43981-2023")</f>
        <v/>
      </c>
      <c r="Y134">
        <f>HYPERLINK("https://klasma.github.io/Logging_2380/kartor_geotiff/A 43981-2023 georefererad karta.tif", "A 43981-2023")</f>
        <v/>
      </c>
      <c r="Z134">
        <f>HYPERLINK("https://klasma.github.io/Logging_2380/knärot/A 43981-2023 karta knärot.png", "A 43981-2023")</f>
        <v/>
      </c>
      <c r="AA134">
        <f>HYPERLINK("https://klasma.github.io/Logging_2380/klagomål/A 43981-2023 FSC-klagomål.docx", "A 43981-2023")</f>
        <v/>
      </c>
      <c r="AB134">
        <f>HYPERLINK("https://klasma.github.io/Logging_2380/klagomålsmail/A 43981-2023 FSC-klagomål mail.docx", "A 43981-2023")</f>
        <v/>
      </c>
      <c r="AC134">
        <f>HYPERLINK("https://klasma.github.io/Logging_2380/tillsyn/A 43981-2023 tillsynsbegäran.docx", "A 43981-2023")</f>
        <v/>
      </c>
      <c r="AD134">
        <f>HYPERLINK("https://klasma.github.io/Logging_2380/tillsynsmail/A 43981-2023 tillsynsbegäran mail.docx", "A 43981-2023")</f>
        <v/>
      </c>
    </row>
    <row r="135" ht="15" customHeight="1">
      <c r="A135" t="inlineStr">
        <is>
          <t>A 57398-2023</t>
        </is>
      </c>
      <c r="B135" t="inlineStr">
        <is>
          <t>avverkningsanmälan</t>
        </is>
      </c>
      <c r="C135" t="inlineStr">
        <is>
          <t>Avverkning för att bevara och utveckla /försöksver</t>
        </is>
      </c>
      <c r="D135" s="1" t="n">
        <v>45245</v>
      </c>
      <c r="E135" s="1" t="n">
        <v>46312</v>
      </c>
      <c r="F135" t="inlineStr">
        <is>
          <t>JÄMTLANDS LÄN</t>
        </is>
      </c>
      <c r="G135" t="inlineStr">
        <is>
          <t>ÖSTERSUND</t>
        </is>
      </c>
      <c r="H135" t="inlineStr">
        <is>
          <t>SCA</t>
        </is>
      </c>
      <c r="I135" t="n">
        <v>1.7</v>
      </c>
      <c r="J135" t="n">
        <v>2</v>
      </c>
      <c r="K135" t="n">
        <v>0</v>
      </c>
      <c r="L135" t="n">
        <v>1</v>
      </c>
      <c r="M135" t="n">
        <v>0</v>
      </c>
      <c r="N135" t="n">
        <v>0</v>
      </c>
      <c r="O135" t="n">
        <v>0</v>
      </c>
      <c r="P135" t="n">
        <v>0</v>
      </c>
      <c r="Q135" t="n">
        <v>1</v>
      </c>
      <c r="R135" t="n">
        <v>0</v>
      </c>
      <c r="S135" t="n">
        <v>3</v>
      </c>
      <c r="T135" t="n">
        <v>4</v>
      </c>
      <c r="U135" t="n">
        <v>4</v>
      </c>
      <c r="V135" s="2" t="inlineStr">
        <is>
          <t>Lunglav
Vanlig groda
Fläcknycklar</t>
        </is>
      </c>
      <c r="W135">
        <f>HYPERLINK("https://klasma.github.io/Logging_2380/artfynd/A 57398-2023 artfynd.xlsx", "A 57398-2023")</f>
        <v/>
      </c>
      <c r="X135">
        <f>HYPERLINK("https://klasma.github.io/Logging_2380/kartor/A 57398-2023 karta.png", "A 57398-2023")</f>
        <v/>
      </c>
      <c r="Y135">
        <f>HYPERLINK("https://klasma.github.io/Logging_2380/kartor_geotiff/A 57398-2023 georefererad karta.tif", "A 57398-2023")</f>
        <v/>
      </c>
      <c r="AA135">
        <f>HYPERLINK("https://klasma.github.io/Logging_2380/klagomål/A 57398-2023 FSC-klagomål.docx", "A 57398-2023")</f>
        <v/>
      </c>
      <c r="AB135">
        <f>HYPERLINK("https://klasma.github.io/Logging_2380/klagomålsmail/A 57398-2023 FSC-klagomål mail.docx", "A 57398-2023")</f>
        <v/>
      </c>
      <c r="AC135">
        <f>HYPERLINK("https://klasma.github.io/Logging_2380/tillsyn/A 57398-2023 tillsynsbegäran.docx", "A 57398-2023")</f>
        <v/>
      </c>
      <c r="AD135">
        <f>HYPERLINK("https://klasma.github.io/Logging_2380/tillsynsmail/A 57398-2023 tillsynsbegäran mail.docx", "A 57398-2023")</f>
        <v/>
      </c>
    </row>
    <row r="136" ht="15" customHeight="1">
      <c r="A136" t="inlineStr">
        <is>
          <t>A 20145-2026</t>
        </is>
      </c>
      <c r="B136" t="inlineStr">
        <is>
          <t>avverkningsanmälan</t>
        </is>
      </c>
      <c r="C136" t="inlineStr">
        <is>
          <t>Föryngringsavverkning</t>
        </is>
      </c>
      <c r="D136" s="1" t="n">
        <v>46137</v>
      </c>
      <c r="E136" s="1" t="n">
        <v>46312</v>
      </c>
      <c r="F136" t="inlineStr">
        <is>
          <t>JÄMTLANDS LÄN</t>
        </is>
      </c>
      <c r="G136" t="inlineStr">
        <is>
          <t>ÖSTERSUND</t>
        </is>
      </c>
      <c r="I136" t="n">
        <v>11.1</v>
      </c>
      <c r="J136" t="n">
        <v>2</v>
      </c>
      <c r="K136" t="n">
        <v>2</v>
      </c>
      <c r="L136" t="n">
        <v>0</v>
      </c>
      <c r="M136" t="n">
        <v>0</v>
      </c>
      <c r="N136" t="n">
        <v>0</v>
      </c>
      <c r="O136" t="n">
        <v>0</v>
      </c>
      <c r="P136" t="n">
        <v>0</v>
      </c>
      <c r="Q136" t="n">
        <v>0</v>
      </c>
      <c r="R136" t="n">
        <v>0</v>
      </c>
      <c r="S136" t="n">
        <v>3</v>
      </c>
      <c r="T136" t="n">
        <v>11</v>
      </c>
      <c r="U136" t="n">
        <v>0</v>
      </c>
      <c r="V136" s="2" t="inlineStr">
        <is>
          <t>Gräsull
Tvåblad
Brudsporre</t>
        </is>
      </c>
      <c r="W136">
        <f>HYPERLINK("https://klasma.github.io/Logging_2380/artfynd/A 20145-2026 artfynd.xlsx", "A 20145-2026")</f>
        <v/>
      </c>
      <c r="X136">
        <f>HYPERLINK("https://klasma.github.io/Logging_2380/kartor/A 20145-2026 karta.png", "A 20145-2026")</f>
        <v/>
      </c>
      <c r="Y136">
        <f>HYPERLINK("https://klasma.github.io/Logging_2380/kartor_geotiff/A 20145-2026 georefererad karta.tif", "A 20145-2026")</f>
        <v/>
      </c>
      <c r="AA136">
        <f>HYPERLINK("https://klasma.github.io/Logging_2380/klagomål/A 20145-2026 FSC-klagomål.docx", "A 20145-2026")</f>
        <v/>
      </c>
      <c r="AB136">
        <f>HYPERLINK("https://klasma.github.io/Logging_2380/klagomålsmail/A 20145-2026 FSC-klagomål mail.docx", "A 20145-2026")</f>
        <v/>
      </c>
      <c r="AC136">
        <f>HYPERLINK("https://klasma.github.io/Logging_2380/tillsyn/A 20145-2026 tillsynsbegäran.docx", "A 20145-2026")</f>
        <v/>
      </c>
      <c r="AD136">
        <f>HYPERLINK("https://klasma.github.io/Logging_2380/tillsynsmail/A 20145-2026 tillsynsbegäran mail.docx", "A 20145-2026")</f>
        <v/>
      </c>
    </row>
    <row r="137" ht="15" customHeight="1">
      <c r="A137" t="inlineStr">
        <is>
          <t>A 60565-2022</t>
        </is>
      </c>
      <c r="B137" t="inlineStr">
        <is>
          <t>avverkningsanmälan</t>
        </is>
      </c>
      <c r="C137" t="inlineStr">
        <is>
          <t>Föryngringsavverkning</t>
        </is>
      </c>
      <c r="D137" s="1" t="n">
        <v>44904</v>
      </c>
      <c r="E137" s="1" t="n">
        <v>46312</v>
      </c>
      <c r="F137" t="inlineStr">
        <is>
          <t>JÄMTLANDS LÄN</t>
        </is>
      </c>
      <c r="G137" t="inlineStr">
        <is>
          <t>ÖSTERSUND</t>
        </is>
      </c>
      <c r="I137" t="n">
        <v>2.5</v>
      </c>
      <c r="J137" t="n">
        <v>2</v>
      </c>
      <c r="K137" t="n">
        <v>0</v>
      </c>
      <c r="L137" t="n">
        <v>1</v>
      </c>
      <c r="M137" t="n">
        <v>1</v>
      </c>
      <c r="N137" t="n">
        <v>0</v>
      </c>
      <c r="O137" t="n">
        <v>0</v>
      </c>
      <c r="P137" t="n">
        <v>0</v>
      </c>
      <c r="Q137" t="n">
        <v>2</v>
      </c>
      <c r="R137" t="n">
        <v>1</v>
      </c>
      <c r="S137" t="n">
        <v>3</v>
      </c>
      <c r="T137" t="n">
        <v>16</v>
      </c>
      <c r="U137" t="n">
        <v>16</v>
      </c>
      <c r="V137" s="2" t="inlineStr">
        <is>
          <t>Garnlav
Talltita
Revlummer</t>
        </is>
      </c>
      <c r="W137">
        <f>HYPERLINK("https://klasma.github.io/Logging_2380/artfynd/A 60565-2022 artfynd.xlsx", "A 60565-2022")</f>
        <v/>
      </c>
      <c r="X137">
        <f>HYPERLINK("https://klasma.github.io/Logging_2380/kartor/A 60565-2022 karta.png", "A 60565-2022")</f>
        <v/>
      </c>
      <c r="Y137">
        <f>HYPERLINK("https://klasma.github.io/Logging_2380/kartor_geotiff/A 60565-2022 georefererad karta.tif", "A 60565-2022")</f>
        <v/>
      </c>
      <c r="AA137">
        <f>HYPERLINK("https://klasma.github.io/Logging_2380/klagomål/A 60565-2022 FSC-klagomål.docx", "A 60565-2022")</f>
        <v/>
      </c>
      <c r="AB137">
        <f>HYPERLINK("https://klasma.github.io/Logging_2380/klagomålsmail/A 60565-2022 FSC-klagomål mail.docx", "A 60565-2022")</f>
        <v/>
      </c>
      <c r="AC137">
        <f>HYPERLINK("https://klasma.github.io/Logging_2380/tillsyn/A 60565-2022 tillsynsbegäran.docx", "A 60565-2022")</f>
        <v/>
      </c>
      <c r="AD137">
        <f>HYPERLINK("https://klasma.github.io/Logging_2380/tillsynsmail/A 60565-2022 tillsynsbegäran mail.docx", "A 60565-2022")</f>
        <v/>
      </c>
      <c r="AE137">
        <f>HYPERLINK("https://klasma.github.io/Logging_2380/fåglar/A 60565-2022 prioriterade fågelarter.docx", "A 60565-2022")</f>
        <v/>
      </c>
    </row>
    <row r="138" ht="15" customHeight="1">
      <c r="A138" t="inlineStr">
        <is>
          <t>A 45237-2025</t>
        </is>
      </c>
      <c r="B138" t="inlineStr">
        <is>
          <t>avverkningsanmälan</t>
        </is>
      </c>
      <c r="C138" t="inlineStr">
        <is>
          <t>Föryngringsavverkning</t>
        </is>
      </c>
      <c r="D138" s="1" t="n">
        <v>45919</v>
      </c>
      <c r="E138" s="1" t="n">
        <v>46312</v>
      </c>
      <c r="F138" t="inlineStr">
        <is>
          <t>JÄMTLANDS LÄN</t>
        </is>
      </c>
      <c r="G138" t="inlineStr">
        <is>
          <t>ÖSTERSUND</t>
        </is>
      </c>
      <c r="H138" t="inlineStr">
        <is>
          <t>SCA</t>
        </is>
      </c>
      <c r="I138" t="n">
        <v>1.5</v>
      </c>
      <c r="J138" t="n">
        <v>0</v>
      </c>
      <c r="K138" t="n">
        <v>0</v>
      </c>
      <c r="L138" t="n">
        <v>3</v>
      </c>
      <c r="M138" t="n">
        <v>0</v>
      </c>
      <c r="N138" t="n">
        <v>0</v>
      </c>
      <c r="O138" t="n">
        <v>0</v>
      </c>
      <c r="P138" t="n">
        <v>0</v>
      </c>
      <c r="Q138" t="n">
        <v>3</v>
      </c>
      <c r="R138" t="n">
        <v>0</v>
      </c>
      <c r="S138" t="n">
        <v>3</v>
      </c>
      <c r="T138" t="n">
        <v>3</v>
      </c>
      <c r="U138" t="n">
        <v>0</v>
      </c>
      <c r="V138" s="2" t="inlineStr">
        <is>
          <t>Blågrå svartspik
Dvärgbägarlav
Mörk kolflarnlav</t>
        </is>
      </c>
      <c r="W138">
        <f>HYPERLINK("https://klasma.github.io/Logging_2380/artfynd/A 45237-2025 artfynd.xlsx", "A 45237-2025")</f>
        <v/>
      </c>
      <c r="X138">
        <f>HYPERLINK("https://klasma.github.io/Logging_2380/kartor/A 45237-2025 karta.png", "A 45237-2025")</f>
        <v/>
      </c>
      <c r="Y138">
        <f>HYPERLINK("https://klasma.github.io/Logging_2380/kartor_geotiff/A 45237-2025 georefererad karta.tif", "A 45237-2025")</f>
        <v/>
      </c>
      <c r="AA138">
        <f>HYPERLINK("https://klasma.github.io/Logging_2380/klagomål/A 45237-2025 FSC-klagomål.docx", "A 45237-2025")</f>
        <v/>
      </c>
      <c r="AB138">
        <f>HYPERLINK("https://klasma.github.io/Logging_2380/klagomålsmail/A 45237-2025 FSC-klagomål mail.docx", "A 45237-2025")</f>
        <v/>
      </c>
      <c r="AC138">
        <f>HYPERLINK("https://klasma.github.io/Logging_2380/tillsyn/A 45237-2025 tillsynsbegäran.docx", "A 45237-2025")</f>
        <v/>
      </c>
      <c r="AD138">
        <f>HYPERLINK("https://klasma.github.io/Logging_2380/tillsynsmail/A 45237-2025 tillsynsbegäran mail.docx", "A 45237-2025")</f>
        <v/>
      </c>
    </row>
    <row r="139" ht="15" customHeight="1">
      <c r="A139" t="inlineStr">
        <is>
          <t>A 60565-2022</t>
        </is>
      </c>
      <c r="B139" t="inlineStr">
        <is>
          <t>avverkningsanmälan</t>
        </is>
      </c>
      <c r="C139" t="inlineStr">
        <is>
          <t>Föryngringsavverkning</t>
        </is>
      </c>
      <c r="D139" s="1" t="n">
        <v>44904</v>
      </c>
      <c r="E139" s="1" t="n">
        <v>46312</v>
      </c>
      <c r="F139" t="inlineStr">
        <is>
          <t>JÄMTLANDS LÄN</t>
        </is>
      </c>
      <c r="G139" t="inlineStr">
        <is>
          <t>ÖSTERSUND</t>
        </is>
      </c>
      <c r="I139" t="n">
        <v>2.5</v>
      </c>
      <c r="J139" t="n">
        <v>2</v>
      </c>
      <c r="K139" t="n">
        <v>0</v>
      </c>
      <c r="L139" t="n">
        <v>1</v>
      </c>
      <c r="M139" t="n">
        <v>1</v>
      </c>
      <c r="N139" t="n">
        <v>0</v>
      </c>
      <c r="O139" t="n">
        <v>0</v>
      </c>
      <c r="P139" t="n">
        <v>0</v>
      </c>
      <c r="Q139" t="n">
        <v>2</v>
      </c>
      <c r="R139" t="n">
        <v>1</v>
      </c>
      <c r="S139" t="n">
        <v>3</v>
      </c>
      <c r="T139" t="n">
        <v>16</v>
      </c>
      <c r="U139" t="n">
        <v>16</v>
      </c>
      <c r="V139" s="2" t="inlineStr">
        <is>
          <t>Garnlav
Talltita
Revlummer</t>
        </is>
      </c>
      <c r="W139">
        <f>HYPERLINK("https://klasma.github.io/Logging_2380/artfynd/A 60565-2022 artfynd.xlsx", "A 60565-2022")</f>
        <v/>
      </c>
      <c r="X139">
        <f>HYPERLINK("https://klasma.github.io/Logging_2380/kartor/A 60565-2022 karta.png", "A 60565-2022")</f>
        <v/>
      </c>
      <c r="Y139">
        <f>HYPERLINK("https://klasma.github.io/Logging_2380/kartor_geotiff/A 60565-2022 georefererad karta.tif", "A 60565-2022")</f>
        <v/>
      </c>
      <c r="AA139">
        <f>HYPERLINK("https://klasma.github.io/Logging_2380/klagomål/A 60565-2022 FSC-klagomål.docx", "A 60565-2022")</f>
        <v/>
      </c>
      <c r="AB139">
        <f>HYPERLINK("https://klasma.github.io/Logging_2380/klagomålsmail/A 60565-2022 FSC-klagomål mail.docx", "A 60565-2022")</f>
        <v/>
      </c>
      <c r="AC139">
        <f>HYPERLINK("https://klasma.github.io/Logging_2380/tillsyn/A 60565-2022 tillsynsbegäran.docx", "A 60565-2022")</f>
        <v/>
      </c>
      <c r="AD139">
        <f>HYPERLINK("https://klasma.github.io/Logging_2380/tillsynsmail/A 60565-2022 tillsynsbegäran mail.docx", "A 60565-2022")</f>
        <v/>
      </c>
      <c r="AE139">
        <f>HYPERLINK("https://klasma.github.io/Logging_2380/fåglar/A 60565-2022 prioriterade fågelarter.docx", "A 60565-2022")</f>
        <v/>
      </c>
    </row>
    <row r="140" ht="15" customHeight="1">
      <c r="A140" t="inlineStr">
        <is>
          <t>A 60580-2024</t>
        </is>
      </c>
      <c r="B140" t="inlineStr">
        <is>
          <t>avverkningsanmälan</t>
        </is>
      </c>
      <c r="C140" t="inlineStr">
        <is>
          <t>Föryngringsavverkning</t>
        </is>
      </c>
      <c r="D140" s="1" t="n">
        <v>45644</v>
      </c>
      <c r="E140" s="1" t="n">
        <v>46312</v>
      </c>
      <c r="F140" t="inlineStr">
        <is>
          <t>JÄMTLANDS LÄN</t>
        </is>
      </c>
      <c r="G140" t="inlineStr">
        <is>
          <t>ÖSTERSUND</t>
        </is>
      </c>
      <c r="I140" t="n">
        <v>13.5</v>
      </c>
      <c r="J140" t="n">
        <v>2</v>
      </c>
      <c r="K140" t="n">
        <v>0</v>
      </c>
      <c r="L140" t="n">
        <v>2</v>
      </c>
      <c r="M140" t="n">
        <v>0</v>
      </c>
      <c r="N140" t="n">
        <v>0</v>
      </c>
      <c r="O140" t="n">
        <v>0</v>
      </c>
      <c r="P140" t="n">
        <v>0</v>
      </c>
      <c r="Q140" t="n">
        <v>2</v>
      </c>
      <c r="R140" t="n">
        <v>0</v>
      </c>
      <c r="S140" t="n">
        <v>3</v>
      </c>
      <c r="T140" t="n">
        <v>14</v>
      </c>
      <c r="U140" t="n">
        <v>14</v>
      </c>
      <c r="V140" s="2" t="inlineStr">
        <is>
          <t>Lunglav
Tretåig hackspett
Spillkråka</t>
        </is>
      </c>
      <c r="W140">
        <f>HYPERLINK("https://klasma.github.io/Logging_2380/artfynd/A 60580-2024 artfynd.xlsx", "A 60580-2024")</f>
        <v/>
      </c>
      <c r="X140">
        <f>HYPERLINK("https://klasma.github.io/Logging_2380/kartor/A 60580-2024 karta.png", "A 60580-2024")</f>
        <v/>
      </c>
      <c r="Y140">
        <f>HYPERLINK("https://klasma.github.io/Logging_2380/kartor_geotiff/A 60580-2024 georefererad karta.tif", "A 60580-2024")</f>
        <v/>
      </c>
      <c r="AA140">
        <f>HYPERLINK("https://klasma.github.io/Logging_2380/klagomål/A 60580-2024 FSC-klagomål.docx", "A 60580-2024")</f>
        <v/>
      </c>
      <c r="AB140">
        <f>HYPERLINK("https://klasma.github.io/Logging_2380/klagomålsmail/A 60580-2024 FSC-klagomål mail.docx", "A 60580-2024")</f>
        <v/>
      </c>
      <c r="AC140">
        <f>HYPERLINK("https://klasma.github.io/Logging_2380/tillsyn/A 60580-2024 tillsynsbegäran.docx", "A 60580-2024")</f>
        <v/>
      </c>
      <c r="AD140">
        <f>HYPERLINK("https://klasma.github.io/Logging_2380/tillsynsmail/A 60580-2024 tillsynsbegäran mail.docx", "A 60580-2024")</f>
        <v/>
      </c>
      <c r="AE140">
        <f>HYPERLINK("https://klasma.github.io/Logging_2380/fåglar/A 60580-2024 prioriterade fågelarter.docx", "A 60580-2024")</f>
        <v/>
      </c>
    </row>
    <row r="141" ht="15" customHeight="1">
      <c r="A141" t="inlineStr">
        <is>
          <t>A 25604-2026</t>
        </is>
      </c>
      <c r="B141" t="inlineStr">
        <is>
          <t>avverkningsanmälan</t>
        </is>
      </c>
      <c r="C141" t="inlineStr">
        <is>
          <t>Avverkning för annat ändamål</t>
        </is>
      </c>
      <c r="D141" s="1" t="n">
        <v>46177</v>
      </c>
      <c r="E141" s="1" t="n">
        <v>46312</v>
      </c>
      <c r="F141" t="inlineStr">
        <is>
          <t>JÄMTLANDS LÄN</t>
        </is>
      </c>
      <c r="G141" t="inlineStr">
        <is>
          <t>ÖSTERSUND</t>
        </is>
      </c>
      <c r="I141" t="n">
        <v>2.2</v>
      </c>
      <c r="J141" t="n">
        <v>3</v>
      </c>
      <c r="K141" t="n">
        <v>0</v>
      </c>
      <c r="L141" t="n">
        <v>0</v>
      </c>
      <c r="M141" t="n">
        <v>1</v>
      </c>
      <c r="N141" t="n">
        <v>0</v>
      </c>
      <c r="O141" t="n">
        <v>0</v>
      </c>
      <c r="P141" t="n">
        <v>0</v>
      </c>
      <c r="Q141" t="n">
        <v>1</v>
      </c>
      <c r="R141" t="n">
        <v>1</v>
      </c>
      <c r="S141" t="n">
        <v>3</v>
      </c>
      <c r="T141" t="n">
        <v>4</v>
      </c>
      <c r="U141" t="n">
        <v>0</v>
      </c>
      <c r="V141" s="2" t="inlineStr">
        <is>
          <t>Bredgentiana
Blåsippa
Brudsporre</t>
        </is>
      </c>
      <c r="W141">
        <f>HYPERLINK("https://klasma.github.io/Logging_2380/artfynd/A 25604-2026 artfynd.xlsx", "A 25604-2026")</f>
        <v/>
      </c>
      <c r="X141">
        <f>HYPERLINK("https://klasma.github.io/Logging_2380/kartor/A 25604-2026 karta.png", "A 25604-2026")</f>
        <v/>
      </c>
      <c r="Y141">
        <f>HYPERLINK("https://klasma.github.io/Logging_2380/kartor_geotiff/A 25604-2026 georefererad karta.tif", "A 25604-2026")</f>
        <v/>
      </c>
      <c r="AA141">
        <f>HYPERLINK("https://klasma.github.io/Logging_2380/klagomål/A 25604-2026 FSC-klagomål.docx", "A 25604-2026")</f>
        <v/>
      </c>
      <c r="AB141">
        <f>HYPERLINK("https://klasma.github.io/Logging_2380/klagomålsmail/A 25604-2026 FSC-klagomål mail.docx", "A 25604-2026")</f>
        <v/>
      </c>
      <c r="AC141">
        <f>HYPERLINK("https://klasma.github.io/Logging_2380/tillsyn/A 25604-2026 tillsynsbegäran.docx", "A 25604-2026")</f>
        <v/>
      </c>
      <c r="AD141">
        <f>HYPERLINK("https://klasma.github.io/Logging_2380/tillsynsmail/A 25604-2026 tillsynsbegäran mail.docx", "A 25604-2026")</f>
        <v/>
      </c>
    </row>
    <row r="142" ht="15" customHeight="1">
      <c r="A142" t="inlineStr">
        <is>
          <t>A 41279-2024</t>
        </is>
      </c>
      <c r="B142" t="inlineStr">
        <is>
          <t>avverkningsanmälan</t>
        </is>
      </c>
      <c r="C142" t="inlineStr">
        <is>
          <t>Föryngringsavverkning</t>
        </is>
      </c>
      <c r="D142" s="1" t="n">
        <v>45559</v>
      </c>
      <c r="E142" s="1" t="n">
        <v>46312</v>
      </c>
      <c r="F142" t="inlineStr">
        <is>
          <t>JÄMTLANDS LÄN</t>
        </is>
      </c>
      <c r="G142" t="inlineStr">
        <is>
          <t>ÖSTERSUND</t>
        </is>
      </c>
      <c r="H142" t="inlineStr">
        <is>
          <t>SCA</t>
        </is>
      </c>
      <c r="I142" t="n">
        <v>1.6</v>
      </c>
      <c r="J142" t="n">
        <v>0</v>
      </c>
      <c r="K142" t="n">
        <v>0</v>
      </c>
      <c r="L142" t="n">
        <v>3</v>
      </c>
      <c r="M142" t="n">
        <v>0</v>
      </c>
      <c r="N142" t="n">
        <v>0</v>
      </c>
      <c r="O142" t="n">
        <v>0</v>
      </c>
      <c r="P142" t="n">
        <v>0</v>
      </c>
      <c r="Q142" t="n">
        <v>3</v>
      </c>
      <c r="R142" t="n">
        <v>0</v>
      </c>
      <c r="S142" t="n">
        <v>3</v>
      </c>
      <c r="T142" t="n">
        <v>4</v>
      </c>
      <c r="U142" t="n">
        <v>3</v>
      </c>
      <c r="V142" s="2" t="inlineStr">
        <is>
          <t>Dropptaggsvamp
Dvärgbägarlav
Mörk kolflarnlav</t>
        </is>
      </c>
      <c r="W142">
        <f>HYPERLINK("https://klasma.github.io/Logging_2380/artfynd/A 41279-2024 artfynd.xlsx", "A 41279-2024")</f>
        <v/>
      </c>
      <c r="X142">
        <f>HYPERLINK("https://klasma.github.io/Logging_2380/kartor/A 41279-2024 karta.png", "A 41279-2024")</f>
        <v/>
      </c>
      <c r="Y142">
        <f>HYPERLINK("https://klasma.github.io/Logging_2380/kartor_geotiff/A 41279-2024 georefererad karta.tif", "A 41279-2024")</f>
        <v/>
      </c>
      <c r="AA142">
        <f>HYPERLINK("https://klasma.github.io/Logging_2380/klagomål/A 41279-2024 FSC-klagomål.docx", "A 41279-2024")</f>
        <v/>
      </c>
      <c r="AB142">
        <f>HYPERLINK("https://klasma.github.io/Logging_2380/klagomålsmail/A 41279-2024 FSC-klagomål mail.docx", "A 41279-2024")</f>
        <v/>
      </c>
      <c r="AC142">
        <f>HYPERLINK("https://klasma.github.io/Logging_2380/tillsyn/A 41279-2024 tillsynsbegäran.docx", "A 41279-2024")</f>
        <v/>
      </c>
      <c r="AD142">
        <f>HYPERLINK("https://klasma.github.io/Logging_2380/tillsynsmail/A 41279-2024 tillsynsbegäran mail.docx", "A 41279-2024")</f>
        <v/>
      </c>
    </row>
    <row r="143" ht="15" customHeight="1">
      <c r="A143" t="inlineStr">
        <is>
          <t>A 41770-2024</t>
        </is>
      </c>
      <c r="B143" t="inlineStr">
        <is>
          <t>avverkningsanmälan</t>
        </is>
      </c>
      <c r="C143" t="inlineStr">
        <is>
          <t>Avverkning för att bevara och utveckla /försöksver</t>
        </is>
      </c>
      <c r="D143" s="1" t="n">
        <v>45561</v>
      </c>
      <c r="E143" s="1" t="n">
        <v>46312</v>
      </c>
      <c r="F143" t="inlineStr">
        <is>
          <t>JÄMTLANDS LÄN</t>
        </is>
      </c>
      <c r="G143" t="inlineStr">
        <is>
          <t>ÖSTERSUND</t>
        </is>
      </c>
      <c r="H143" t="inlineStr">
        <is>
          <t>SCA</t>
        </is>
      </c>
      <c r="I143" t="n">
        <v>4.4</v>
      </c>
      <c r="J143" t="n">
        <v>0</v>
      </c>
      <c r="K143" t="n">
        <v>1</v>
      </c>
      <c r="L143" t="n">
        <v>2</v>
      </c>
      <c r="M143" t="n">
        <v>0</v>
      </c>
      <c r="N143" t="n">
        <v>0</v>
      </c>
      <c r="O143" t="n">
        <v>0</v>
      </c>
      <c r="P143" t="n">
        <v>0</v>
      </c>
      <c r="Q143" t="n">
        <v>2</v>
      </c>
      <c r="R143" t="n">
        <v>0</v>
      </c>
      <c r="S143" t="n">
        <v>3</v>
      </c>
      <c r="T143" t="n">
        <v>4</v>
      </c>
      <c r="U143" t="n">
        <v>0</v>
      </c>
      <c r="V143" s="2" t="inlineStr">
        <is>
          <t>Dvärgbägarlav
Nordtagging
Vedticka</t>
        </is>
      </c>
      <c r="W143">
        <f>HYPERLINK("https://klasma.github.io/Logging_2380/artfynd/A 41770-2024 artfynd.xlsx", "A 41770-2024")</f>
        <v/>
      </c>
      <c r="X143">
        <f>HYPERLINK("https://klasma.github.io/Logging_2380/kartor/A 41770-2024 karta.png", "A 41770-2024")</f>
        <v/>
      </c>
      <c r="Y143">
        <f>HYPERLINK("https://klasma.github.io/Logging_2380/kartor_geotiff/A 41770-2024 georefererad karta.tif", "A 41770-2024")</f>
        <v/>
      </c>
      <c r="AA143">
        <f>HYPERLINK("https://klasma.github.io/Logging_2380/klagomål/A 41770-2024 FSC-klagomål.docx", "A 41770-2024")</f>
        <v/>
      </c>
      <c r="AB143">
        <f>HYPERLINK("https://klasma.github.io/Logging_2380/klagomålsmail/A 41770-2024 FSC-klagomål mail.docx", "A 41770-2024")</f>
        <v/>
      </c>
      <c r="AC143">
        <f>HYPERLINK("https://klasma.github.io/Logging_2380/tillsyn/A 41770-2024 tillsynsbegäran.docx", "A 41770-2024")</f>
        <v/>
      </c>
      <c r="AD143">
        <f>HYPERLINK("https://klasma.github.io/Logging_2380/tillsynsmail/A 41770-2024 tillsynsbegäran mail.docx", "A 41770-2024")</f>
        <v/>
      </c>
    </row>
    <row r="144" ht="15" customHeight="1">
      <c r="A144" t="inlineStr">
        <is>
          <t>A 52129-2023</t>
        </is>
      </c>
      <c r="B144" t="inlineStr">
        <is>
          <t>avverkningsanmälan</t>
        </is>
      </c>
      <c r="C144" t="inlineStr">
        <is>
          <t>Avverkning för att bevara och utveckla /försöksver</t>
        </is>
      </c>
      <c r="D144" s="1" t="n">
        <v>45223</v>
      </c>
      <c r="E144" s="1" t="n">
        <v>46312</v>
      </c>
      <c r="F144" t="inlineStr">
        <is>
          <t>JÄMTLANDS LÄN</t>
        </is>
      </c>
      <c r="G144" t="inlineStr">
        <is>
          <t>ÖSTERSUND</t>
        </is>
      </c>
      <c r="H144" t="inlineStr">
        <is>
          <t>SCA</t>
        </is>
      </c>
      <c r="I144" t="n">
        <v>2</v>
      </c>
      <c r="J144" t="n">
        <v>0</v>
      </c>
      <c r="K144" t="n">
        <v>0</v>
      </c>
      <c r="L144" t="n">
        <v>3</v>
      </c>
      <c r="M144" t="n">
        <v>0</v>
      </c>
      <c r="N144" t="n">
        <v>0</v>
      </c>
      <c r="O144" t="n">
        <v>0</v>
      </c>
      <c r="P144" t="n">
        <v>0</v>
      </c>
      <c r="Q144" t="n">
        <v>3</v>
      </c>
      <c r="R144" t="n">
        <v>0</v>
      </c>
      <c r="S144" t="n">
        <v>3</v>
      </c>
      <c r="T144" t="n">
        <v>5</v>
      </c>
      <c r="U144" t="n">
        <v>3</v>
      </c>
      <c r="V144" s="2" t="inlineStr">
        <is>
          <t>Dvärgbägarlav
Kolflarnlav
Lunglav</t>
        </is>
      </c>
      <c r="W144">
        <f>HYPERLINK("https://klasma.github.io/Logging_2380/artfynd/A 52129-2023 artfynd.xlsx", "A 52129-2023")</f>
        <v/>
      </c>
      <c r="X144">
        <f>HYPERLINK("https://klasma.github.io/Logging_2380/kartor/A 52129-2023 karta.png", "A 52129-2023")</f>
        <v/>
      </c>
      <c r="Y144">
        <f>HYPERLINK("https://klasma.github.io/Logging_2380/kartor_geotiff/A 52129-2023 georefererad karta.tif", "A 52129-2023")</f>
        <v/>
      </c>
      <c r="AA144">
        <f>HYPERLINK("https://klasma.github.io/Logging_2380/klagomål/A 52129-2023 FSC-klagomål.docx", "A 52129-2023")</f>
        <v/>
      </c>
      <c r="AB144">
        <f>HYPERLINK("https://klasma.github.io/Logging_2380/klagomålsmail/A 52129-2023 FSC-klagomål mail.docx", "A 52129-2023")</f>
        <v/>
      </c>
      <c r="AC144">
        <f>HYPERLINK("https://klasma.github.io/Logging_2380/tillsyn/A 52129-2023 tillsynsbegäran.docx", "A 52129-2023")</f>
        <v/>
      </c>
      <c r="AD144">
        <f>HYPERLINK("https://klasma.github.io/Logging_2380/tillsynsmail/A 52129-2023 tillsynsbegäran mail.docx", "A 52129-2023")</f>
        <v/>
      </c>
    </row>
    <row r="145" ht="15" customHeight="1">
      <c r="A145" t="inlineStr">
        <is>
          <t>A 31444-2026</t>
        </is>
      </c>
      <c r="B145" t="inlineStr">
        <is>
          <t>avverkningsanmälan</t>
        </is>
      </c>
      <c r="C145" t="inlineStr">
        <is>
          <t>Föryngringsavverkning</t>
        </is>
      </c>
      <c r="D145" s="1" t="n">
        <v>46217</v>
      </c>
      <c r="E145" s="1" t="n">
        <v>46312</v>
      </c>
      <c r="F145" t="inlineStr">
        <is>
          <t>JÄMTLANDS LÄN</t>
        </is>
      </c>
      <c r="G145" t="inlineStr">
        <is>
          <t>ÖSTERSUND</t>
        </is>
      </c>
      <c r="H145" t="inlineStr">
        <is>
          <t>Övriga Aktiebolag</t>
        </is>
      </c>
      <c r="I145" t="n">
        <v>38.1</v>
      </c>
      <c r="J145" t="n">
        <v>2</v>
      </c>
      <c r="K145" t="n">
        <v>1</v>
      </c>
      <c r="L145" t="n">
        <v>1</v>
      </c>
      <c r="M145" t="n">
        <v>0</v>
      </c>
      <c r="N145" t="n">
        <v>0</v>
      </c>
      <c r="O145" t="n">
        <v>0</v>
      </c>
      <c r="P145" t="n">
        <v>0</v>
      </c>
      <c r="Q145" t="n">
        <v>1</v>
      </c>
      <c r="R145" t="n">
        <v>0</v>
      </c>
      <c r="S145" t="n">
        <v>3</v>
      </c>
      <c r="T145" t="n">
        <v>12</v>
      </c>
      <c r="U145" t="n">
        <v>6</v>
      </c>
      <c r="V145" s="2" t="inlineStr">
        <is>
          <t>Månlåsbräken
Tvåblad
Brudsporre</t>
        </is>
      </c>
      <c r="W145">
        <f>HYPERLINK("https://klasma.github.io/Logging_2380/artfynd/A 31444-2026 artfynd.xlsx", "A 31444-2026")</f>
        <v/>
      </c>
      <c r="X145">
        <f>HYPERLINK("https://klasma.github.io/Logging_2380/kartor/A 31444-2026 karta.png", "A 31444-2026")</f>
        <v/>
      </c>
      <c r="Y145">
        <f>HYPERLINK("https://klasma.github.io/Logging_2380/kartor_geotiff/A 31444-2026 georefererad karta.tif", "A 31444-2026")</f>
        <v/>
      </c>
      <c r="AA145">
        <f>HYPERLINK("https://klasma.github.io/Logging_2380/klagomål/A 31444-2026 FSC-klagomål.docx", "A 31444-2026")</f>
        <v/>
      </c>
      <c r="AB145">
        <f>HYPERLINK("https://klasma.github.io/Logging_2380/klagomålsmail/A 31444-2026 FSC-klagomål mail.docx", "A 31444-2026")</f>
        <v/>
      </c>
      <c r="AC145">
        <f>HYPERLINK("https://klasma.github.io/Logging_2380/tillsyn/A 31444-2026 tillsynsbegäran.docx", "A 31444-2026")</f>
        <v/>
      </c>
      <c r="AD145">
        <f>HYPERLINK("https://klasma.github.io/Logging_2380/tillsynsmail/A 31444-2026 tillsynsbegäran mail.docx", "A 31444-2026")</f>
        <v/>
      </c>
    </row>
    <row r="146" ht="15" customHeight="1">
      <c r="A146" t="inlineStr">
        <is>
          <t>A 31629-2026</t>
        </is>
      </c>
      <c r="B146" t="inlineStr">
        <is>
          <t>avverkningsanmälan</t>
        </is>
      </c>
      <c r="C146" t="inlineStr">
        <is>
          <t>Föryngringsavverkning</t>
        </is>
      </c>
      <c r="D146" s="1" t="n">
        <v>46225</v>
      </c>
      <c r="E146" s="1" t="n">
        <v>46312</v>
      </c>
      <c r="F146" t="inlineStr">
        <is>
          <t>JÄMTLANDS LÄN</t>
        </is>
      </c>
      <c r="G146" t="inlineStr">
        <is>
          <t>ÖSTERSUND</t>
        </is>
      </c>
      <c r="H146" t="inlineStr">
        <is>
          <t>SCA</t>
        </is>
      </c>
      <c r="I146" t="n">
        <v>4.2</v>
      </c>
      <c r="J146" t="n">
        <v>1</v>
      </c>
      <c r="K146" t="n">
        <v>2</v>
      </c>
      <c r="L146" t="n">
        <v>0</v>
      </c>
      <c r="M146" t="n">
        <v>1</v>
      </c>
      <c r="N146" t="n">
        <v>0</v>
      </c>
      <c r="O146" t="n">
        <v>0</v>
      </c>
      <c r="P146" t="n">
        <v>0</v>
      </c>
      <c r="Q146" t="n">
        <v>1</v>
      </c>
      <c r="R146" t="n">
        <v>1</v>
      </c>
      <c r="S146" t="n">
        <v>3</v>
      </c>
      <c r="T146" t="n">
        <v>3</v>
      </c>
      <c r="U146" t="n">
        <v>0</v>
      </c>
      <c r="V146" s="2" t="inlineStr">
        <is>
          <t>Knärot
Stuplav
Trådticka</t>
        </is>
      </c>
      <c r="W146">
        <f>HYPERLINK("https://klasma.github.io/Logging_2380/artfynd/A 31629-2026 artfynd.xlsx", "A 31629-2026")</f>
        <v/>
      </c>
      <c r="X146">
        <f>HYPERLINK("https://klasma.github.io/Logging_2380/kartor/A 31629-2026 karta.png", "A 31629-2026")</f>
        <v/>
      </c>
      <c r="Y146">
        <f>HYPERLINK("https://klasma.github.io/Logging_2380/kartor_geotiff/A 31629-2026 georefererad karta.tif", "A 31629-2026")</f>
        <v/>
      </c>
      <c r="Z146">
        <f>HYPERLINK("https://klasma.github.io/Logging_2380/knärot/A 31629-2026 karta knärot.png", "A 31629-2026")</f>
        <v/>
      </c>
      <c r="AA146">
        <f>HYPERLINK("https://klasma.github.io/Logging_2380/klagomål/A 31629-2026 FSC-klagomål.docx", "A 31629-2026")</f>
        <v/>
      </c>
      <c r="AB146">
        <f>HYPERLINK("https://klasma.github.io/Logging_2380/klagomålsmail/A 31629-2026 FSC-klagomål mail.docx", "A 31629-2026")</f>
        <v/>
      </c>
      <c r="AC146">
        <f>HYPERLINK("https://klasma.github.io/Logging_2380/tillsyn/A 31629-2026 tillsynsbegäran.docx", "A 31629-2026")</f>
        <v/>
      </c>
      <c r="AD146">
        <f>HYPERLINK("https://klasma.github.io/Logging_2380/tillsynsmail/A 31629-2026 tillsynsbegäran mail.docx", "A 31629-2026")</f>
        <v/>
      </c>
    </row>
    <row r="147" ht="15" customHeight="1">
      <c r="A147" t="inlineStr">
        <is>
          <t>A 37346-2026</t>
        </is>
      </c>
      <c r="B147" t="inlineStr">
        <is>
          <t>avverkningsanmälan</t>
        </is>
      </c>
      <c r="C147" t="inlineStr">
        <is>
          <t>Föryngringsavverkning</t>
        </is>
      </c>
      <c r="D147" s="1" t="n">
        <v>46275</v>
      </c>
      <c r="E147" s="1" t="n">
        <v>46312</v>
      </c>
      <c r="F147" t="inlineStr">
        <is>
          <t>JÄMTLANDS LÄN</t>
        </is>
      </c>
      <c r="G147" t="inlineStr">
        <is>
          <t>ÖSTERSUND</t>
        </is>
      </c>
      <c r="H147" t="inlineStr">
        <is>
          <t>SCA</t>
        </is>
      </c>
      <c r="I147" t="n">
        <v>5.8</v>
      </c>
      <c r="J147" t="n">
        <v>2</v>
      </c>
      <c r="K147" t="n">
        <v>0</v>
      </c>
      <c r="L147" t="n">
        <v>1</v>
      </c>
      <c r="M147" t="n">
        <v>1</v>
      </c>
      <c r="N147" t="n">
        <v>0</v>
      </c>
      <c r="O147" t="n">
        <v>0</v>
      </c>
      <c r="P147" t="n">
        <v>0</v>
      </c>
      <c r="Q147" t="n">
        <v>2</v>
      </c>
      <c r="R147" t="n">
        <v>1</v>
      </c>
      <c r="S147" t="n">
        <v>3</v>
      </c>
      <c r="T147" t="n">
        <v>3</v>
      </c>
      <c r="U147" t="n">
        <v>0</v>
      </c>
      <c r="V147" s="2" t="inlineStr">
        <is>
          <t>Doftticka
Lunglav
Mindre vattensalamander</t>
        </is>
      </c>
      <c r="W147">
        <f>HYPERLINK("https://klasma.github.io/Logging_2380/artfynd/A 37346-2026 artfynd.xlsx", "A 37346-2026")</f>
        <v/>
      </c>
      <c r="X147">
        <f>HYPERLINK("https://klasma.github.io/Logging_2380/kartor/A 37346-2026 karta.png", "A 37346-2026")</f>
        <v/>
      </c>
      <c r="Y147">
        <f>HYPERLINK("https://klasma.github.io/Logging_2380/kartor_geotiff/A 37346-2026 georefererad karta.tif", "A 37346-2026")</f>
        <v/>
      </c>
      <c r="AA147">
        <f>HYPERLINK("https://klasma.github.io/Logging_2380/klagomål/A 37346-2026 FSC-klagomål.docx", "A 37346-2026")</f>
        <v/>
      </c>
      <c r="AB147">
        <f>HYPERLINK("https://klasma.github.io/Logging_2380/klagomålsmail/A 37346-2026 FSC-klagomål mail.docx", "A 37346-2026")</f>
        <v/>
      </c>
      <c r="AC147">
        <f>HYPERLINK("https://klasma.github.io/Logging_2380/tillsyn/A 37346-2026 tillsynsbegäran.docx", "A 37346-2026")</f>
        <v/>
      </c>
      <c r="AD147">
        <f>HYPERLINK("https://klasma.github.io/Logging_2380/tillsynsmail/A 37346-2026 tillsynsbegäran mail.docx", "A 37346-2026")</f>
        <v/>
      </c>
    </row>
    <row r="148" ht="15" customHeight="1">
      <c r="A148" t="inlineStr">
        <is>
          <t>A 5100-2023</t>
        </is>
      </c>
      <c r="B148" t="inlineStr">
        <is>
          <t>avverkningsanmälan</t>
        </is>
      </c>
      <c r="C148" t="inlineStr">
        <is>
          <t>Föryngringsavverkning</t>
        </is>
      </c>
      <c r="D148" s="1" t="n">
        <v>44956</v>
      </c>
      <c r="E148" s="1" t="n">
        <v>46312</v>
      </c>
      <c r="F148" t="inlineStr">
        <is>
          <t>JÄMTLANDS LÄN</t>
        </is>
      </c>
      <c r="G148" t="inlineStr">
        <is>
          <t>ÖSTERSUND</t>
        </is>
      </c>
      <c r="I148" t="n">
        <v>2.6</v>
      </c>
      <c r="J148" t="n">
        <v>0</v>
      </c>
      <c r="K148" t="n">
        <v>2</v>
      </c>
      <c r="L148" t="n">
        <v>0</v>
      </c>
      <c r="M148" t="n">
        <v>0</v>
      </c>
      <c r="N148" t="n">
        <v>1</v>
      </c>
      <c r="O148" t="n">
        <v>0</v>
      </c>
      <c r="P148" t="n">
        <v>0</v>
      </c>
      <c r="Q148" t="n">
        <v>1</v>
      </c>
      <c r="R148" t="n">
        <v>1</v>
      </c>
      <c r="S148" t="n">
        <v>3</v>
      </c>
      <c r="T148" t="n">
        <v>27</v>
      </c>
      <c r="U148" t="n">
        <v>18</v>
      </c>
      <c r="V148" s="2" t="inlineStr">
        <is>
          <t>Trolldruvemätare
Svart trolldruva
Tibast</t>
        </is>
      </c>
      <c r="W148">
        <f>HYPERLINK("https://klasma.github.io/Logging_2380/artfynd/A 5100-2023 artfynd.xlsx", "A 5100-2023")</f>
        <v/>
      </c>
      <c r="X148">
        <f>HYPERLINK("https://klasma.github.io/Logging_2380/kartor/A 5100-2023 karta.png", "A 5100-2023")</f>
        <v/>
      </c>
      <c r="Y148">
        <f>HYPERLINK("https://klasma.github.io/Logging_2380/kartor_geotiff/A 5100-2023 georefererad karta.tif", "A 5100-2023")</f>
        <v/>
      </c>
      <c r="AA148">
        <f>HYPERLINK("https://klasma.github.io/Logging_2380/klagomål/A 5100-2023 FSC-klagomål.docx", "A 5100-2023")</f>
        <v/>
      </c>
      <c r="AB148">
        <f>HYPERLINK("https://klasma.github.io/Logging_2380/klagomålsmail/A 5100-2023 FSC-klagomål mail.docx", "A 5100-2023")</f>
        <v/>
      </c>
      <c r="AC148">
        <f>HYPERLINK("https://klasma.github.io/Logging_2380/tillsyn/A 5100-2023 tillsynsbegäran.docx", "A 5100-2023")</f>
        <v/>
      </c>
      <c r="AD148">
        <f>HYPERLINK("https://klasma.github.io/Logging_2380/tillsynsmail/A 5100-2023 tillsynsbegäran mail.docx", "A 5100-2023")</f>
        <v/>
      </c>
    </row>
    <row r="149" ht="15" customHeight="1">
      <c r="A149" t="inlineStr">
        <is>
          <t>A 22491-2026</t>
        </is>
      </c>
      <c r="B149" t="inlineStr">
        <is>
          <t>avverkningsanmälan</t>
        </is>
      </c>
      <c r="C149" t="inlineStr">
        <is>
          <t>Föryngringsavverkning</t>
        </is>
      </c>
      <c r="D149" s="1" t="n">
        <v>46155</v>
      </c>
      <c r="E149" s="1" t="n">
        <v>46312</v>
      </c>
      <c r="F149" t="inlineStr">
        <is>
          <t>JÄMTLANDS LÄN</t>
        </is>
      </c>
      <c r="G149" t="inlineStr">
        <is>
          <t>ÖSTERSUND</t>
        </is>
      </c>
      <c r="I149" t="n">
        <v>6.5</v>
      </c>
      <c r="J149" t="n">
        <v>2</v>
      </c>
      <c r="K149" t="n">
        <v>2</v>
      </c>
      <c r="L149" t="n">
        <v>0</v>
      </c>
      <c r="M149" t="n">
        <v>0</v>
      </c>
      <c r="N149" t="n">
        <v>0</v>
      </c>
      <c r="O149" t="n">
        <v>0</v>
      </c>
      <c r="P149" t="n">
        <v>0</v>
      </c>
      <c r="Q149" t="n">
        <v>0</v>
      </c>
      <c r="R149" t="n">
        <v>0</v>
      </c>
      <c r="S149" t="n">
        <v>3</v>
      </c>
      <c r="T149" t="n">
        <v>8</v>
      </c>
      <c r="U149" t="n">
        <v>0</v>
      </c>
      <c r="V149" s="2" t="inlineStr">
        <is>
          <t>Finbräken
Tvåblad
Blåsippa</t>
        </is>
      </c>
      <c r="W149">
        <f>HYPERLINK("https://klasma.github.io/Logging_2380/artfynd/A 22491-2026 artfynd.xlsx", "A 22491-2026")</f>
        <v/>
      </c>
      <c r="X149">
        <f>HYPERLINK("https://klasma.github.io/Logging_2380/kartor/A 22491-2026 karta.png", "A 22491-2026")</f>
        <v/>
      </c>
      <c r="Y149">
        <f>HYPERLINK("https://klasma.github.io/Logging_2380/kartor_geotiff/A 22491-2026 georefererad karta.tif", "A 22491-2026")</f>
        <v/>
      </c>
      <c r="AA149">
        <f>HYPERLINK("https://klasma.github.io/Logging_2380/klagomål/A 22491-2026 FSC-klagomål.docx", "A 22491-2026")</f>
        <v/>
      </c>
      <c r="AB149">
        <f>HYPERLINK("https://klasma.github.io/Logging_2380/klagomålsmail/A 22491-2026 FSC-klagomål mail.docx", "A 22491-2026")</f>
        <v/>
      </c>
      <c r="AC149">
        <f>HYPERLINK("https://klasma.github.io/Logging_2380/tillsyn/A 22491-2026 tillsynsbegäran.docx", "A 22491-2026")</f>
        <v/>
      </c>
      <c r="AD149">
        <f>HYPERLINK("https://klasma.github.io/Logging_2380/tillsynsmail/A 22491-2026 tillsynsbegäran mail.docx", "A 22491-2026")</f>
        <v/>
      </c>
    </row>
    <row r="150" ht="15" customHeight="1">
      <c r="A150" t="inlineStr">
        <is>
          <t>A 39434-2026</t>
        </is>
      </c>
      <c r="B150" t="inlineStr">
        <is>
          <t>avverkningsanmälan</t>
        </is>
      </c>
      <c r="C150" t="inlineStr">
        <is>
          <t>Föryngringsavverkning</t>
        </is>
      </c>
      <c r="D150" s="1" t="n">
        <v>46288</v>
      </c>
      <c r="E150" s="1" t="n">
        <v>46312</v>
      </c>
      <c r="F150" t="inlineStr">
        <is>
          <t>JÄMTLANDS LÄN</t>
        </is>
      </c>
      <c r="G150" t="inlineStr">
        <is>
          <t>ÖSTERSUND</t>
        </is>
      </c>
      <c r="H150" t="inlineStr">
        <is>
          <t>Övriga Aktiebolag</t>
        </is>
      </c>
      <c r="I150" t="n">
        <v>3.3</v>
      </c>
      <c r="J150" t="n">
        <v>2</v>
      </c>
      <c r="K150" t="n">
        <v>1</v>
      </c>
      <c r="L150" t="n">
        <v>0</v>
      </c>
      <c r="M150" t="n">
        <v>2</v>
      </c>
      <c r="N150" t="n">
        <v>0</v>
      </c>
      <c r="O150" t="n">
        <v>0</v>
      </c>
      <c r="P150" t="n">
        <v>0</v>
      </c>
      <c r="Q150" t="n">
        <v>2</v>
      </c>
      <c r="R150" t="n">
        <v>2</v>
      </c>
      <c r="S150" t="n">
        <v>3</v>
      </c>
      <c r="T150" t="n">
        <v>6</v>
      </c>
      <c r="U150" t="n">
        <v>0</v>
      </c>
      <c r="V150" s="2" t="inlineStr">
        <is>
          <t>Garnlav
Knärot
Grönkulla</t>
        </is>
      </c>
      <c r="W150">
        <f>HYPERLINK("https://klasma.github.io/Logging_2380/artfynd/A 39434-2026 artfynd.xlsx", "A 39434-2026")</f>
        <v/>
      </c>
      <c r="X150">
        <f>HYPERLINK("https://klasma.github.io/Logging_2380/kartor/A 39434-2026 karta.png", "A 39434-2026")</f>
        <v/>
      </c>
      <c r="Y150">
        <f>HYPERLINK("https://klasma.github.io/Logging_2380/kartor_geotiff/A 39434-2026 georefererad karta.tif", "A 39434-2026")</f>
        <v/>
      </c>
      <c r="Z150">
        <f>HYPERLINK("https://klasma.github.io/Logging_2380/knärot/A 39434-2026 karta knärot.png", "A 39434-2026")</f>
        <v/>
      </c>
      <c r="AA150">
        <f>HYPERLINK("https://klasma.github.io/Logging_2380/klagomål/A 39434-2026 FSC-klagomål.docx", "A 39434-2026")</f>
        <v/>
      </c>
      <c r="AB150">
        <f>HYPERLINK("https://klasma.github.io/Logging_2380/klagomålsmail/A 39434-2026 FSC-klagomål mail.docx", "A 39434-2026")</f>
        <v/>
      </c>
      <c r="AC150">
        <f>HYPERLINK("https://klasma.github.io/Logging_2380/tillsyn/A 39434-2026 tillsynsbegäran.docx", "A 39434-2026")</f>
        <v/>
      </c>
      <c r="AD150">
        <f>HYPERLINK("https://klasma.github.io/Logging_2380/tillsynsmail/A 39434-2026 tillsynsbegäran mail.docx", "A 39434-2026")</f>
        <v/>
      </c>
    </row>
    <row r="151" ht="15" customHeight="1">
      <c r="A151" t="inlineStr">
        <is>
          <t>A 56006-2023</t>
        </is>
      </c>
      <c r="B151" t="inlineStr">
        <is>
          <t>avverkningsanmälan</t>
        </is>
      </c>
      <c r="C151" t="inlineStr">
        <is>
          <t>Föryngringsavverkning</t>
        </is>
      </c>
      <c r="D151" s="1" t="n">
        <v>45233</v>
      </c>
      <c r="E151" s="1" t="n">
        <v>46312</v>
      </c>
      <c r="F151" t="inlineStr">
        <is>
          <t>JÄMTLANDS LÄN</t>
        </is>
      </c>
      <c r="G151" t="inlineStr">
        <is>
          <t>ÖSTERSUND</t>
        </is>
      </c>
      <c r="I151" t="n">
        <v>2.3</v>
      </c>
      <c r="J151" t="n">
        <v>0</v>
      </c>
      <c r="K151" t="n">
        <v>3</v>
      </c>
      <c r="L151" t="n">
        <v>0</v>
      </c>
      <c r="M151" t="n">
        <v>0</v>
      </c>
      <c r="N151" t="n">
        <v>0</v>
      </c>
      <c r="O151" t="n">
        <v>0</v>
      </c>
      <c r="P151" t="n">
        <v>0</v>
      </c>
      <c r="Q151" t="n">
        <v>0</v>
      </c>
      <c r="R151" t="n">
        <v>0</v>
      </c>
      <c r="S151" t="n">
        <v>3</v>
      </c>
      <c r="T151" t="n">
        <v>3</v>
      </c>
      <c r="U151" t="n">
        <v>0</v>
      </c>
      <c r="V151" s="2" t="inlineStr">
        <is>
          <t>Korallblylav
Skinnlav
Stuplav</t>
        </is>
      </c>
      <c r="W151">
        <f>HYPERLINK("https://klasma.github.io/Logging_2380/artfynd/A 56006-2023 artfynd.xlsx", "A 56006-2023")</f>
        <v/>
      </c>
      <c r="X151">
        <f>HYPERLINK("https://klasma.github.io/Logging_2380/kartor/A 56006-2023 karta.png", "A 56006-2023")</f>
        <v/>
      </c>
      <c r="Y151">
        <f>HYPERLINK("https://klasma.github.io/Logging_2380/kartor_geotiff/A 56006-2023 georefererad karta.tif", "A 56006-2023")</f>
        <v/>
      </c>
      <c r="AA151">
        <f>HYPERLINK("https://klasma.github.io/Logging_2380/klagomål/A 56006-2023 FSC-klagomål.docx", "A 56006-2023")</f>
        <v/>
      </c>
      <c r="AB151">
        <f>HYPERLINK("https://klasma.github.io/Logging_2380/klagomålsmail/A 56006-2023 FSC-klagomål mail.docx", "A 56006-2023")</f>
        <v/>
      </c>
      <c r="AC151">
        <f>HYPERLINK("https://klasma.github.io/Logging_2380/tillsyn/A 56006-2023 tillsynsbegäran.docx", "A 56006-2023")</f>
        <v/>
      </c>
      <c r="AD151">
        <f>HYPERLINK("https://klasma.github.io/Logging_2380/tillsynsmail/A 56006-2023 tillsynsbegäran mail.docx", "A 56006-2023")</f>
        <v/>
      </c>
    </row>
    <row r="152" ht="15" customHeight="1">
      <c r="A152" t="inlineStr">
        <is>
          <t>A 53652-2024</t>
        </is>
      </c>
      <c r="B152" t="inlineStr">
        <is>
          <t>avverkningsanmälan</t>
        </is>
      </c>
      <c r="C152" t="inlineStr">
        <is>
          <t>Föryngringsavverkning</t>
        </is>
      </c>
      <c r="D152" s="1" t="n">
        <v>45615</v>
      </c>
      <c r="E152" s="1" t="n">
        <v>46312</v>
      </c>
      <c r="F152" t="inlineStr">
        <is>
          <t>JÄMTLANDS LÄN</t>
        </is>
      </c>
      <c r="G152" t="inlineStr">
        <is>
          <t>ÖSTERSUND</t>
        </is>
      </c>
      <c r="I152" t="n">
        <v>4.2</v>
      </c>
      <c r="J152" t="n">
        <v>1</v>
      </c>
      <c r="K152" t="n">
        <v>1</v>
      </c>
      <c r="L152" t="n">
        <v>1</v>
      </c>
      <c r="M152" t="n">
        <v>0</v>
      </c>
      <c r="N152" t="n">
        <v>0</v>
      </c>
      <c r="O152" t="n">
        <v>0</v>
      </c>
      <c r="P152" t="n">
        <v>0</v>
      </c>
      <c r="Q152" t="n">
        <v>1</v>
      </c>
      <c r="R152" t="n">
        <v>0</v>
      </c>
      <c r="S152" t="n">
        <v>3</v>
      </c>
      <c r="T152" t="n">
        <v>6</v>
      </c>
      <c r="U152" t="n">
        <v>0</v>
      </c>
      <c r="V152" s="2" t="inlineStr">
        <is>
          <t>Flattoppad klubbsvamp
Kransrams
Revlummer</t>
        </is>
      </c>
      <c r="W152">
        <f>HYPERLINK("https://klasma.github.io/Logging_2380/artfynd/A 53652-2024 artfynd.xlsx", "A 53652-2024")</f>
        <v/>
      </c>
      <c r="X152">
        <f>HYPERLINK("https://klasma.github.io/Logging_2380/kartor/A 53652-2024 karta.png", "A 53652-2024")</f>
        <v/>
      </c>
      <c r="Y152">
        <f>HYPERLINK("https://klasma.github.io/Logging_2380/kartor_geotiff/A 53652-2024 georefererad karta.tif", "A 53652-2024")</f>
        <v/>
      </c>
      <c r="AA152">
        <f>HYPERLINK("https://klasma.github.io/Logging_2380/klagomål/A 53652-2024 FSC-klagomål.docx", "A 53652-2024")</f>
        <v/>
      </c>
      <c r="AB152">
        <f>HYPERLINK("https://klasma.github.io/Logging_2380/klagomålsmail/A 53652-2024 FSC-klagomål mail.docx", "A 53652-2024")</f>
        <v/>
      </c>
      <c r="AC152">
        <f>HYPERLINK("https://klasma.github.io/Logging_2380/tillsyn/A 53652-2024 tillsynsbegäran.docx", "A 53652-2024")</f>
        <v/>
      </c>
      <c r="AD152">
        <f>HYPERLINK("https://klasma.github.io/Logging_2380/tillsynsmail/A 53652-2024 tillsynsbegäran mail.docx", "A 53652-2024")</f>
        <v/>
      </c>
    </row>
    <row r="153" ht="15" customHeight="1">
      <c r="A153" t="inlineStr">
        <is>
          <t>A 13795-2025</t>
        </is>
      </c>
      <c r="B153" t="inlineStr">
        <is>
          <t>avverkningsanmälan</t>
        </is>
      </c>
      <c r="C153" t="inlineStr">
        <is>
          <t>Föryngringsavverkning</t>
        </is>
      </c>
      <c r="D153" s="1" t="n">
        <v>45737</v>
      </c>
      <c r="E153" s="1" t="n">
        <v>46312</v>
      </c>
      <c r="F153" t="inlineStr">
        <is>
          <t>JÄMTLANDS LÄN</t>
        </is>
      </c>
      <c r="G153" t="inlineStr">
        <is>
          <t>ÖSTERSUND</t>
        </is>
      </c>
      <c r="I153" t="n">
        <v>13.4</v>
      </c>
      <c r="J153" t="n">
        <v>2</v>
      </c>
      <c r="K153" t="n">
        <v>0</v>
      </c>
      <c r="L153" t="n">
        <v>2</v>
      </c>
      <c r="M153" t="n">
        <v>1</v>
      </c>
      <c r="N153" t="n">
        <v>0</v>
      </c>
      <c r="O153" t="n">
        <v>0</v>
      </c>
      <c r="P153" t="n">
        <v>0</v>
      </c>
      <c r="Q153" t="n">
        <v>3</v>
      </c>
      <c r="R153" t="n">
        <v>1</v>
      </c>
      <c r="S153" t="n">
        <v>3</v>
      </c>
      <c r="T153" t="n">
        <v>4</v>
      </c>
      <c r="U153" t="n">
        <v>4</v>
      </c>
      <c r="V153" s="2" t="inlineStr">
        <is>
          <t>Knärot
Enkelbeckasin
Lunglav</t>
        </is>
      </c>
      <c r="W153">
        <f>HYPERLINK("https://klasma.github.io/Logging_2380/artfynd/A 13795-2025 artfynd.xlsx", "A 13795-2025")</f>
        <v/>
      </c>
      <c r="X153">
        <f>HYPERLINK("https://klasma.github.io/Logging_2380/kartor/A 13795-2025 karta.png", "A 13795-2025")</f>
        <v/>
      </c>
      <c r="Y153">
        <f>HYPERLINK("https://klasma.github.io/Logging_2380/kartor_geotiff/A 13795-2025 georefererad karta.tif", "A 13795-2025")</f>
        <v/>
      </c>
      <c r="Z153">
        <f>HYPERLINK("https://klasma.github.io/Logging_2380/knärot/A 13795-2025 karta knärot.png", "A 13795-2025")</f>
        <v/>
      </c>
      <c r="AA153">
        <f>HYPERLINK("https://klasma.github.io/Logging_2380/klagomål/A 13795-2025 FSC-klagomål.docx", "A 13795-2025")</f>
        <v/>
      </c>
      <c r="AB153">
        <f>HYPERLINK("https://klasma.github.io/Logging_2380/klagomålsmail/A 13795-2025 FSC-klagomål mail.docx", "A 13795-2025")</f>
        <v/>
      </c>
      <c r="AC153">
        <f>HYPERLINK("https://klasma.github.io/Logging_2380/tillsyn/A 13795-2025 tillsynsbegäran.docx", "A 13795-2025")</f>
        <v/>
      </c>
      <c r="AD153">
        <f>HYPERLINK("https://klasma.github.io/Logging_2380/tillsynsmail/A 13795-2025 tillsynsbegäran mail.docx", "A 13795-2025")</f>
        <v/>
      </c>
      <c r="AE153">
        <f>HYPERLINK("https://klasma.github.io/Logging_2380/fåglar/A 13795-2025 prioriterade fågelarter.docx", "A 13795-2025")</f>
        <v/>
      </c>
    </row>
    <row r="154" ht="15" customHeight="1">
      <c r="A154" t="inlineStr">
        <is>
          <t>A 60534-2022</t>
        </is>
      </c>
      <c r="B154" t="inlineStr">
        <is>
          <t>avverkningsanmälan</t>
        </is>
      </c>
      <c r="C154" t="inlineStr">
        <is>
          <t>Föryngringsavverkning</t>
        </is>
      </c>
      <c r="D154" s="1" t="n">
        <v>44904</v>
      </c>
      <c r="E154" s="1" t="n">
        <v>46312</v>
      </c>
      <c r="F154" t="inlineStr">
        <is>
          <t>JÄMTLANDS LÄN</t>
        </is>
      </c>
      <c r="G154" t="inlineStr">
        <is>
          <t>ÖSTERSUND</t>
        </is>
      </c>
      <c r="I154" t="n">
        <v>9.9</v>
      </c>
      <c r="J154" t="n">
        <v>1</v>
      </c>
      <c r="K154" t="n">
        <v>1</v>
      </c>
      <c r="L154" t="n">
        <v>2</v>
      </c>
      <c r="M154" t="n">
        <v>0</v>
      </c>
      <c r="N154" t="n">
        <v>0</v>
      </c>
      <c r="O154" t="n">
        <v>0</v>
      </c>
      <c r="P154" t="n">
        <v>0</v>
      </c>
      <c r="Q154" t="n">
        <v>2</v>
      </c>
      <c r="R154" t="n">
        <v>0</v>
      </c>
      <c r="S154" t="n">
        <v>3</v>
      </c>
      <c r="T154" t="n">
        <v>5</v>
      </c>
      <c r="U154" t="n">
        <v>0</v>
      </c>
      <c r="V154" s="2" t="inlineStr">
        <is>
          <t>Rosenticka
Ullticka
Spindelblomster</t>
        </is>
      </c>
      <c r="W154">
        <f>HYPERLINK("https://klasma.github.io/Logging_2380/artfynd/A 60534-2022 artfynd.xlsx", "A 60534-2022")</f>
        <v/>
      </c>
      <c r="X154">
        <f>HYPERLINK("https://klasma.github.io/Logging_2380/kartor/A 60534-2022 karta.png", "A 60534-2022")</f>
        <v/>
      </c>
      <c r="Y154">
        <f>HYPERLINK("https://klasma.github.io/Logging_2380/kartor_geotiff/A 60534-2022 georefererad karta.tif", "A 60534-2022")</f>
        <v/>
      </c>
      <c r="AA154">
        <f>HYPERLINK("https://klasma.github.io/Logging_2380/klagomål/A 60534-2022 FSC-klagomål.docx", "A 60534-2022")</f>
        <v/>
      </c>
      <c r="AB154">
        <f>HYPERLINK("https://klasma.github.io/Logging_2380/klagomålsmail/A 60534-2022 FSC-klagomål mail.docx", "A 60534-2022")</f>
        <v/>
      </c>
      <c r="AC154">
        <f>HYPERLINK("https://klasma.github.io/Logging_2380/tillsyn/A 60534-2022 tillsynsbegäran.docx", "A 60534-2022")</f>
        <v/>
      </c>
      <c r="AD154">
        <f>HYPERLINK("https://klasma.github.io/Logging_2380/tillsynsmail/A 60534-2022 tillsynsbegäran mail.docx", "A 60534-2022")</f>
        <v/>
      </c>
    </row>
    <row r="155" ht="15" customHeight="1">
      <c r="A155" t="inlineStr">
        <is>
          <t>S 1402-2024</t>
        </is>
      </c>
      <c r="B155" t="inlineStr">
        <is>
          <t>samrådsanmälan</t>
        </is>
      </c>
      <c r="C155" t="inlineStr">
        <is>
          <t>Skogsgödsling</t>
        </is>
      </c>
      <c r="D155" s="1" t="n">
        <v>45412</v>
      </c>
      <c r="E155" s="1" t="n">
        <v>46312</v>
      </c>
      <c r="F155" t="inlineStr">
        <is>
          <t>JÄMTLANDS LÄN</t>
        </is>
      </c>
      <c r="G155" t="inlineStr">
        <is>
          <t>ÖSTERSUND</t>
        </is>
      </c>
      <c r="I155" t="n">
        <v>27.9</v>
      </c>
      <c r="J155" t="n">
        <v>2</v>
      </c>
      <c r="K155" t="n">
        <v>1</v>
      </c>
      <c r="L155" t="n">
        <v>1</v>
      </c>
      <c r="M155" t="n">
        <v>0</v>
      </c>
      <c r="N155" t="n">
        <v>0</v>
      </c>
      <c r="O155" t="n">
        <v>0</v>
      </c>
      <c r="P155" t="n">
        <v>0</v>
      </c>
      <c r="Q155" t="n">
        <v>1</v>
      </c>
      <c r="R155" t="n">
        <v>0</v>
      </c>
      <c r="S155" t="n">
        <v>3</v>
      </c>
      <c r="T155" t="n">
        <v>8</v>
      </c>
      <c r="U155" t="n">
        <v>8</v>
      </c>
      <c r="V155" s="2" t="inlineStr">
        <is>
          <t>Slåtterfibbla
Grönkulla
Blåsippa</t>
        </is>
      </c>
      <c r="W155">
        <f>HYPERLINK("https://klasma.github.io/Logging_2380/artfynd/S 1402-2024 artfynd.xlsx", "S 1402-2024")</f>
        <v/>
      </c>
      <c r="X155">
        <f>HYPERLINK("https://klasma.github.io/Logging_2380/kartor/S 1402-2024 karta.png", "S 1402-2024")</f>
        <v/>
      </c>
      <c r="Y155">
        <f>HYPERLINK("https://klasma.github.io/Logging_2380/kartor_geotiff/S 1402-2024 georefererad karta.tif", "S 1402-2024")</f>
        <v/>
      </c>
      <c r="AA155">
        <f>HYPERLINK("https://klasma.github.io/Logging_2380/klagomål/S 1402-2024 FSC-klagomål.docx", "S 1402-2024")</f>
        <v/>
      </c>
      <c r="AB155">
        <f>HYPERLINK("https://klasma.github.io/Logging_2380/klagomålsmail/S 1402-2024 FSC-klagomål mail.docx", "S 1402-2024")</f>
        <v/>
      </c>
      <c r="AC155">
        <f>HYPERLINK("https://klasma.github.io/Logging_2380/tillsyn/S 1402-2024 tillsynsbegäran.docx", "S 1402-2024")</f>
        <v/>
      </c>
      <c r="AD155">
        <f>HYPERLINK("https://klasma.github.io/Logging_2380/tillsynsmail/S 1402-2024 tillsynsbegäran mail.docx", "S 1402-2024")</f>
        <v/>
      </c>
    </row>
    <row r="156" ht="15" customHeight="1">
      <c r="A156" t="inlineStr">
        <is>
          <t>A 71956-2021</t>
        </is>
      </c>
      <c r="B156" t="inlineStr">
        <is>
          <t>avverkningsanmälan</t>
        </is>
      </c>
      <c r="C156" t="inlineStr">
        <is>
          <t>Avverkning för annat ändamål</t>
        </is>
      </c>
      <c r="D156" s="1" t="n">
        <v>44544</v>
      </c>
      <c r="E156" s="1" t="n">
        <v>46312</v>
      </c>
      <c r="F156" t="inlineStr">
        <is>
          <t>JÄMTLANDS LÄN</t>
        </is>
      </c>
      <c r="G156" t="inlineStr">
        <is>
          <t>ÖSTERSUND</t>
        </is>
      </c>
      <c r="I156" t="n">
        <v>0.8</v>
      </c>
      <c r="J156" t="n">
        <v>2</v>
      </c>
      <c r="K156" t="n">
        <v>0</v>
      </c>
      <c r="L156" t="n">
        <v>1</v>
      </c>
      <c r="M156" t="n">
        <v>0</v>
      </c>
      <c r="N156" t="n">
        <v>0</v>
      </c>
      <c r="O156" t="n">
        <v>0</v>
      </c>
      <c r="P156" t="n">
        <v>0</v>
      </c>
      <c r="Q156" t="n">
        <v>1</v>
      </c>
      <c r="R156" t="n">
        <v>0</v>
      </c>
      <c r="S156" t="n">
        <v>2</v>
      </c>
      <c r="T156" t="n">
        <v>6</v>
      </c>
      <c r="U156" t="n">
        <v>6</v>
      </c>
      <c r="V156" s="2" t="inlineStr">
        <is>
          <t>Tretåig hackspett
Brudsporre</t>
        </is>
      </c>
      <c r="W156">
        <f>HYPERLINK("https://klasma.github.io/Logging_2380/artfynd/A 71956-2021 artfynd.xlsx", "A 71956-2021")</f>
        <v/>
      </c>
      <c r="X156">
        <f>HYPERLINK("https://klasma.github.io/Logging_2380/kartor/A 71956-2021 karta.png", "A 71956-2021")</f>
        <v/>
      </c>
      <c r="Y156">
        <f>HYPERLINK("https://klasma.github.io/Logging_2380/kartor_geotiff/A 71956-2021 georefererad karta.tif", "A 71956-2021")</f>
        <v/>
      </c>
      <c r="AA156">
        <f>HYPERLINK("https://klasma.github.io/Logging_2380/klagomål/A 71956-2021 FSC-klagomål.docx", "A 71956-2021")</f>
        <v/>
      </c>
      <c r="AB156">
        <f>HYPERLINK("https://klasma.github.io/Logging_2380/klagomålsmail/A 71956-2021 FSC-klagomål mail.docx", "A 71956-2021")</f>
        <v/>
      </c>
      <c r="AC156">
        <f>HYPERLINK("https://klasma.github.io/Logging_2380/tillsyn/A 71956-2021 tillsynsbegäran.docx", "A 71956-2021")</f>
        <v/>
      </c>
      <c r="AD156">
        <f>HYPERLINK("https://klasma.github.io/Logging_2380/tillsynsmail/A 71956-2021 tillsynsbegäran mail.docx", "A 71956-2021")</f>
        <v/>
      </c>
      <c r="AE156">
        <f>HYPERLINK("https://klasma.github.io/Logging_2380/fåglar/A 71956-2021 prioriterade fågelarter.docx", "A 71956-2021")</f>
        <v/>
      </c>
    </row>
    <row r="157" ht="15" customHeight="1">
      <c r="A157" t="inlineStr">
        <is>
          <t>A 4872-2023</t>
        </is>
      </c>
      <c r="B157" t="inlineStr">
        <is>
          <t>avverkningsanmälan</t>
        </is>
      </c>
      <c r="C157" t="inlineStr">
        <is>
          <t>Föryngringsavverkning</t>
        </is>
      </c>
      <c r="D157" s="1" t="n">
        <v>44957</v>
      </c>
      <c r="E157" s="1" t="n">
        <v>46312</v>
      </c>
      <c r="F157" t="inlineStr">
        <is>
          <t>JÄMTLANDS LÄN</t>
        </is>
      </c>
      <c r="G157" t="inlineStr">
        <is>
          <t>ÖSTERSUND</t>
        </is>
      </c>
      <c r="I157" t="n">
        <v>10.7</v>
      </c>
      <c r="J157" t="n">
        <v>1</v>
      </c>
      <c r="K157" t="n">
        <v>0</v>
      </c>
      <c r="L157" t="n">
        <v>0</v>
      </c>
      <c r="M157" t="n">
        <v>1</v>
      </c>
      <c r="N157" t="n">
        <v>0</v>
      </c>
      <c r="O157" t="n">
        <v>0</v>
      </c>
      <c r="P157" t="n">
        <v>0</v>
      </c>
      <c r="Q157" t="n">
        <v>1</v>
      </c>
      <c r="R157" t="n">
        <v>1</v>
      </c>
      <c r="S157" t="n">
        <v>2</v>
      </c>
      <c r="T157" t="n">
        <v>4</v>
      </c>
      <c r="U157" t="n">
        <v>0</v>
      </c>
      <c r="V157" s="2" t="inlineStr">
        <is>
          <t>Garnlav
Revlummer</t>
        </is>
      </c>
      <c r="W157">
        <f>HYPERLINK("https://klasma.github.io/Logging_2380/artfynd/A 4872-2023 artfynd.xlsx", "A 4872-2023")</f>
        <v/>
      </c>
      <c r="X157">
        <f>HYPERLINK("https://klasma.github.io/Logging_2380/kartor/A 4872-2023 karta.png", "A 4872-2023")</f>
        <v/>
      </c>
      <c r="Y157">
        <f>HYPERLINK("https://klasma.github.io/Logging_2380/kartor_geotiff/A 4872-2023 georefererad karta.tif", "A 4872-2023")</f>
        <v/>
      </c>
      <c r="AA157">
        <f>HYPERLINK("https://klasma.github.io/Logging_2380/klagomål/A 4872-2023 FSC-klagomål.docx", "A 4872-2023")</f>
        <v/>
      </c>
      <c r="AB157">
        <f>HYPERLINK("https://klasma.github.io/Logging_2380/klagomålsmail/A 4872-2023 FSC-klagomål mail.docx", "A 4872-2023")</f>
        <v/>
      </c>
      <c r="AC157">
        <f>HYPERLINK("https://klasma.github.io/Logging_2380/tillsyn/A 4872-2023 tillsynsbegäran.docx", "A 4872-2023")</f>
        <v/>
      </c>
      <c r="AD157">
        <f>HYPERLINK("https://klasma.github.io/Logging_2380/tillsynsmail/A 4872-2023 tillsynsbegäran mail.docx", "A 4872-2023")</f>
        <v/>
      </c>
    </row>
    <row r="158" ht="15" customHeight="1">
      <c r="A158" t="inlineStr">
        <is>
          <t>A 60446-2024</t>
        </is>
      </c>
      <c r="B158" t="inlineStr">
        <is>
          <t>avverkningsanmälan</t>
        </is>
      </c>
      <c r="C158" t="inlineStr">
        <is>
          <t>Föryngringsavverkning</t>
        </is>
      </c>
      <c r="D158" s="1" t="n">
        <v>45643</v>
      </c>
      <c r="E158" s="1" t="n">
        <v>46312</v>
      </c>
      <c r="F158" t="inlineStr">
        <is>
          <t>JÄMTLANDS LÄN</t>
        </is>
      </c>
      <c r="G158" t="inlineStr">
        <is>
          <t>ÖSTERSUND</t>
        </is>
      </c>
      <c r="H158" t="inlineStr">
        <is>
          <t>SCA</t>
        </is>
      </c>
      <c r="I158" t="n">
        <v>3.6</v>
      </c>
      <c r="J158" t="n">
        <v>0</v>
      </c>
      <c r="K158" t="n">
        <v>1</v>
      </c>
      <c r="L158" t="n">
        <v>1</v>
      </c>
      <c r="M158" t="n">
        <v>0</v>
      </c>
      <c r="N158" t="n">
        <v>0</v>
      </c>
      <c r="O158" t="n">
        <v>0</v>
      </c>
      <c r="P158" t="n">
        <v>0</v>
      </c>
      <c r="Q158" t="n">
        <v>1</v>
      </c>
      <c r="R158" t="n">
        <v>0</v>
      </c>
      <c r="S158" t="n">
        <v>2</v>
      </c>
      <c r="T158" t="n">
        <v>2</v>
      </c>
      <c r="U158" t="n">
        <v>0</v>
      </c>
      <c r="V158" s="2" t="inlineStr">
        <is>
          <t>Ullticka
Vedticka</t>
        </is>
      </c>
      <c r="W158">
        <f>HYPERLINK("https://klasma.github.io/Logging_2380/artfynd/A 60446-2024 artfynd.xlsx", "A 60446-2024")</f>
        <v/>
      </c>
      <c r="X158">
        <f>HYPERLINK("https://klasma.github.io/Logging_2380/kartor/A 60446-2024 karta.png", "A 60446-2024")</f>
        <v/>
      </c>
      <c r="Y158">
        <f>HYPERLINK("https://klasma.github.io/Logging_2380/kartor_geotiff/A 60446-2024 georefererad karta.tif", "A 60446-2024")</f>
        <v/>
      </c>
      <c r="AA158">
        <f>HYPERLINK("https://klasma.github.io/Logging_2380/klagomål/A 60446-2024 FSC-klagomål.docx", "A 60446-2024")</f>
        <v/>
      </c>
      <c r="AB158">
        <f>HYPERLINK("https://klasma.github.io/Logging_2380/klagomålsmail/A 60446-2024 FSC-klagomål mail.docx", "A 60446-2024")</f>
        <v/>
      </c>
      <c r="AC158">
        <f>HYPERLINK("https://klasma.github.io/Logging_2380/tillsyn/A 60446-2024 tillsynsbegäran.docx", "A 60446-2024")</f>
        <v/>
      </c>
      <c r="AD158">
        <f>HYPERLINK("https://klasma.github.io/Logging_2380/tillsynsmail/A 60446-2024 tillsynsbegäran mail.docx", "A 60446-2024")</f>
        <v/>
      </c>
    </row>
    <row r="159" ht="15" customHeight="1">
      <c r="A159" t="inlineStr">
        <is>
          <t>A 3846-2024</t>
        </is>
      </c>
      <c r="B159" t="inlineStr">
        <is>
          <t>avverkningsanmälan</t>
        </is>
      </c>
      <c r="C159" t="inlineStr">
        <is>
          <t>Föryngringsavverkning</t>
        </is>
      </c>
      <c r="D159" s="1" t="n">
        <v>45321</v>
      </c>
      <c r="E159" s="1" t="n">
        <v>46312</v>
      </c>
      <c r="F159" t="inlineStr">
        <is>
          <t>JÄMTLANDS LÄN</t>
        </is>
      </c>
      <c r="G159" t="inlineStr">
        <is>
          <t>ÖSTERSUND</t>
        </is>
      </c>
      <c r="I159" t="n">
        <v>2.2</v>
      </c>
      <c r="J159" t="n">
        <v>0</v>
      </c>
      <c r="K159" t="n">
        <v>2</v>
      </c>
      <c r="L159" t="n">
        <v>0</v>
      </c>
      <c r="M159" t="n">
        <v>0</v>
      </c>
      <c r="N159" t="n">
        <v>0</v>
      </c>
      <c r="O159" t="n">
        <v>0</v>
      </c>
      <c r="P159" t="n">
        <v>0</v>
      </c>
      <c r="Q159" t="n">
        <v>0</v>
      </c>
      <c r="R159" t="n">
        <v>0</v>
      </c>
      <c r="S159" t="n">
        <v>2</v>
      </c>
      <c r="T159" t="n">
        <v>2</v>
      </c>
      <c r="U159" t="n">
        <v>0</v>
      </c>
      <c r="V159" s="2" t="inlineStr">
        <is>
          <t>Olivspindling
Svavelriska</t>
        </is>
      </c>
      <c r="W159">
        <f>HYPERLINK("https://klasma.github.io/Logging_2380/artfynd/A 3846-2024 artfynd.xlsx", "A 3846-2024")</f>
        <v/>
      </c>
      <c r="X159">
        <f>HYPERLINK("https://klasma.github.io/Logging_2380/kartor/A 3846-2024 karta.png", "A 3846-2024")</f>
        <v/>
      </c>
      <c r="Y159">
        <f>HYPERLINK("https://klasma.github.io/Logging_2380/kartor_geotiff/A 3846-2024 georefererad karta.tif", "A 3846-2024")</f>
        <v/>
      </c>
      <c r="AA159">
        <f>HYPERLINK("https://klasma.github.io/Logging_2380/klagomål/A 3846-2024 FSC-klagomål.docx", "A 3846-2024")</f>
        <v/>
      </c>
      <c r="AB159">
        <f>HYPERLINK("https://klasma.github.io/Logging_2380/klagomålsmail/A 3846-2024 FSC-klagomål mail.docx", "A 3846-2024")</f>
        <v/>
      </c>
      <c r="AC159">
        <f>HYPERLINK("https://klasma.github.io/Logging_2380/tillsyn/A 3846-2024 tillsynsbegäran.docx", "A 3846-2024")</f>
        <v/>
      </c>
      <c r="AD159">
        <f>HYPERLINK("https://klasma.github.io/Logging_2380/tillsynsmail/A 3846-2024 tillsynsbegäran mail.docx", "A 3846-2024")</f>
        <v/>
      </c>
    </row>
    <row r="160" ht="15" customHeight="1">
      <c r="A160" t="inlineStr">
        <is>
          <t>A 52003-2025</t>
        </is>
      </c>
      <c r="B160" t="inlineStr">
        <is>
          <t>avverkningsanmälan</t>
        </is>
      </c>
      <c r="C160" t="inlineStr">
        <is>
          <t>Föryngringsavverkning</t>
        </is>
      </c>
      <c r="D160" s="1" t="n">
        <v>45952</v>
      </c>
      <c r="E160" s="1" t="n">
        <v>46312</v>
      </c>
      <c r="F160" t="inlineStr">
        <is>
          <t>JÄMTLANDS LÄN</t>
        </is>
      </c>
      <c r="G160" t="inlineStr">
        <is>
          <t>ÖSTERSUND</t>
        </is>
      </c>
      <c r="I160" t="n">
        <v>5.7</v>
      </c>
      <c r="J160" t="n">
        <v>1</v>
      </c>
      <c r="K160" t="n">
        <v>0</v>
      </c>
      <c r="L160" t="n">
        <v>1</v>
      </c>
      <c r="M160" t="n">
        <v>0</v>
      </c>
      <c r="N160" t="n">
        <v>0</v>
      </c>
      <c r="O160" t="n">
        <v>0</v>
      </c>
      <c r="P160" t="n">
        <v>0</v>
      </c>
      <c r="Q160" t="n">
        <v>1</v>
      </c>
      <c r="R160" t="n">
        <v>0</v>
      </c>
      <c r="S160" t="n">
        <v>2</v>
      </c>
      <c r="T160" t="n">
        <v>2</v>
      </c>
      <c r="U160" t="n">
        <v>0</v>
      </c>
      <c r="V160" s="2" t="inlineStr">
        <is>
          <t>Vårärt
Blåsippa</t>
        </is>
      </c>
      <c r="W160">
        <f>HYPERLINK("https://klasma.github.io/Logging_2380/artfynd/A 52003-2025 artfynd.xlsx", "A 52003-2025")</f>
        <v/>
      </c>
      <c r="X160">
        <f>HYPERLINK("https://klasma.github.io/Logging_2380/kartor/A 52003-2025 karta.png", "A 52003-2025")</f>
        <v/>
      </c>
      <c r="Y160">
        <f>HYPERLINK("https://klasma.github.io/Logging_2380/kartor_geotiff/A 52003-2025 georefererad karta.tif", "A 52003-2025")</f>
        <v/>
      </c>
      <c r="AA160">
        <f>HYPERLINK("https://klasma.github.io/Logging_2380/klagomål/A 52003-2025 FSC-klagomål.docx", "A 52003-2025")</f>
        <v/>
      </c>
      <c r="AB160">
        <f>HYPERLINK("https://klasma.github.io/Logging_2380/klagomålsmail/A 52003-2025 FSC-klagomål mail.docx", "A 52003-2025")</f>
        <v/>
      </c>
      <c r="AC160">
        <f>HYPERLINK("https://klasma.github.io/Logging_2380/tillsyn/A 52003-2025 tillsynsbegäran.docx", "A 52003-2025")</f>
        <v/>
      </c>
      <c r="AD160">
        <f>HYPERLINK("https://klasma.github.io/Logging_2380/tillsynsmail/A 52003-2025 tillsynsbegäran mail.docx", "A 52003-2025")</f>
        <v/>
      </c>
    </row>
    <row r="161" ht="15" customHeight="1">
      <c r="A161" t="inlineStr">
        <is>
          <t>A 9739-2022</t>
        </is>
      </c>
      <c r="B161" t="inlineStr">
        <is>
          <t>avverkningsanmälan</t>
        </is>
      </c>
      <c r="C161" t="inlineStr">
        <is>
          <t>Föryngringsavverkning</t>
        </is>
      </c>
      <c r="D161" s="1" t="n">
        <v>44617</v>
      </c>
      <c r="E161" s="1" t="n">
        <v>46312</v>
      </c>
      <c r="F161" t="inlineStr">
        <is>
          <t>JÄMTLANDS LÄN</t>
        </is>
      </c>
      <c r="G161" t="inlineStr">
        <is>
          <t>ÖSTERSUND</t>
        </is>
      </c>
      <c r="H161" t="inlineStr">
        <is>
          <t>SCA</t>
        </is>
      </c>
      <c r="I161" t="n">
        <v>13.5</v>
      </c>
      <c r="J161" t="n">
        <v>1</v>
      </c>
      <c r="K161" t="n">
        <v>0</v>
      </c>
      <c r="L161" t="n">
        <v>1</v>
      </c>
      <c r="M161" t="n">
        <v>1</v>
      </c>
      <c r="N161" t="n">
        <v>0</v>
      </c>
      <c r="O161" t="n">
        <v>0</v>
      </c>
      <c r="P161" t="n">
        <v>0</v>
      </c>
      <c r="Q161" t="n">
        <v>2</v>
      </c>
      <c r="R161" t="n">
        <v>1</v>
      </c>
      <c r="S161" t="n">
        <v>2</v>
      </c>
      <c r="T161" t="n">
        <v>2</v>
      </c>
      <c r="U161" t="n">
        <v>0</v>
      </c>
      <c r="V161" s="2" t="inlineStr">
        <is>
          <t>Doftticka
Dvärgbägarlav</t>
        </is>
      </c>
      <c r="W161">
        <f>HYPERLINK("https://klasma.github.io/Logging_2380/artfynd/A 9739-2022 artfynd.xlsx", "A 9739-2022")</f>
        <v/>
      </c>
      <c r="X161">
        <f>HYPERLINK("https://klasma.github.io/Logging_2380/kartor/A 9739-2022 karta.png", "A 9739-2022")</f>
        <v/>
      </c>
      <c r="Y161">
        <f>HYPERLINK("https://klasma.github.io/Logging_2380/kartor_geotiff/A 9739-2022 georefererad karta.tif", "A 9739-2022")</f>
        <v/>
      </c>
      <c r="AA161">
        <f>HYPERLINK("https://klasma.github.io/Logging_2380/klagomål/A 9739-2022 FSC-klagomål.docx", "A 9739-2022")</f>
        <v/>
      </c>
      <c r="AB161">
        <f>HYPERLINK("https://klasma.github.io/Logging_2380/klagomålsmail/A 9739-2022 FSC-klagomål mail.docx", "A 9739-2022")</f>
        <v/>
      </c>
      <c r="AC161">
        <f>HYPERLINK("https://klasma.github.io/Logging_2380/tillsyn/A 9739-2022 tillsynsbegäran.docx", "A 9739-2022")</f>
        <v/>
      </c>
      <c r="AD161">
        <f>HYPERLINK("https://klasma.github.io/Logging_2380/tillsynsmail/A 9739-2022 tillsynsbegäran mail.docx", "A 9739-2022")</f>
        <v/>
      </c>
    </row>
    <row r="162" ht="15" customHeight="1">
      <c r="A162" t="inlineStr">
        <is>
          <t>A 12-2023</t>
        </is>
      </c>
      <c r="B162" t="inlineStr">
        <is>
          <t>avverkningsanmälan</t>
        </is>
      </c>
      <c r="C162" t="inlineStr">
        <is>
          <t>Föryngringsavverkning</t>
        </is>
      </c>
      <c r="D162" s="1" t="n">
        <v>44927</v>
      </c>
      <c r="E162" s="1" t="n">
        <v>46312</v>
      </c>
      <c r="F162" t="inlineStr">
        <is>
          <t>JÄMTLANDS LÄN</t>
        </is>
      </c>
      <c r="G162" t="inlineStr">
        <is>
          <t>ÖSTERSUND</t>
        </is>
      </c>
      <c r="I162" t="n">
        <v>4.7</v>
      </c>
      <c r="J162" t="n">
        <v>1</v>
      </c>
      <c r="K162" t="n">
        <v>0</v>
      </c>
      <c r="L162" t="n">
        <v>1</v>
      </c>
      <c r="M162" t="n">
        <v>1</v>
      </c>
      <c r="N162" t="n">
        <v>0</v>
      </c>
      <c r="O162" t="n">
        <v>0</v>
      </c>
      <c r="P162" t="n">
        <v>0</v>
      </c>
      <c r="Q162" t="n">
        <v>2</v>
      </c>
      <c r="R162" t="n">
        <v>1</v>
      </c>
      <c r="S162" t="n">
        <v>2</v>
      </c>
      <c r="T162" t="n">
        <v>16</v>
      </c>
      <c r="U162" t="n">
        <v>16</v>
      </c>
      <c r="V162" s="2" t="inlineStr">
        <is>
          <t>Garnlav
Tretåig hackspett</t>
        </is>
      </c>
      <c r="W162">
        <f>HYPERLINK("https://klasma.github.io/Logging_2380/artfynd/A 12-2023 artfynd.xlsx", "A 12-2023")</f>
        <v/>
      </c>
      <c r="X162">
        <f>HYPERLINK("https://klasma.github.io/Logging_2380/kartor/A 12-2023 karta.png", "A 12-2023")</f>
        <v/>
      </c>
      <c r="Y162">
        <f>HYPERLINK("https://klasma.github.io/Logging_2380/kartor_geotiff/A 12-2023 georefererad karta.tif", "A 12-2023")</f>
        <v/>
      </c>
      <c r="AA162">
        <f>HYPERLINK("https://klasma.github.io/Logging_2380/klagomål/A 12-2023 FSC-klagomål.docx", "A 12-2023")</f>
        <v/>
      </c>
      <c r="AB162">
        <f>HYPERLINK("https://klasma.github.io/Logging_2380/klagomålsmail/A 12-2023 FSC-klagomål mail.docx", "A 12-2023")</f>
        <v/>
      </c>
      <c r="AC162">
        <f>HYPERLINK("https://klasma.github.io/Logging_2380/tillsyn/A 12-2023 tillsynsbegäran.docx", "A 12-2023")</f>
        <v/>
      </c>
      <c r="AD162">
        <f>HYPERLINK("https://klasma.github.io/Logging_2380/tillsynsmail/A 12-2023 tillsynsbegäran mail.docx", "A 12-2023")</f>
        <v/>
      </c>
      <c r="AE162">
        <f>HYPERLINK("https://klasma.github.io/Logging_2380/fåglar/A 12-2023 prioriterade fågelarter.docx", "A 12-2023")</f>
        <v/>
      </c>
    </row>
    <row r="163" ht="15" customHeight="1">
      <c r="A163" t="inlineStr">
        <is>
          <t>A 16336-2025</t>
        </is>
      </c>
      <c r="B163" t="inlineStr">
        <is>
          <t>avverkningsanmälan</t>
        </is>
      </c>
      <c r="C163" t="inlineStr">
        <is>
          <t>Föryngringsavverkning</t>
        </is>
      </c>
      <c r="D163" s="1" t="n">
        <v>45751</v>
      </c>
      <c r="E163" s="1" t="n">
        <v>46312</v>
      </c>
      <c r="F163" t="inlineStr">
        <is>
          <t>JÄMTLANDS LÄN</t>
        </is>
      </c>
      <c r="G163" t="inlineStr">
        <is>
          <t>ÖSTERSUND</t>
        </is>
      </c>
      <c r="I163" t="n">
        <v>0.9</v>
      </c>
      <c r="J163" t="n">
        <v>2</v>
      </c>
      <c r="K163" t="n">
        <v>0</v>
      </c>
      <c r="L163" t="n">
        <v>0</v>
      </c>
      <c r="M163" t="n">
        <v>1</v>
      </c>
      <c r="N163" t="n">
        <v>0</v>
      </c>
      <c r="O163" t="n">
        <v>0</v>
      </c>
      <c r="P163" t="n">
        <v>0</v>
      </c>
      <c r="Q163" t="n">
        <v>1</v>
      </c>
      <c r="R163" t="n">
        <v>1</v>
      </c>
      <c r="S163" t="n">
        <v>2</v>
      </c>
      <c r="T163" t="n">
        <v>4</v>
      </c>
      <c r="U163" t="n">
        <v>4</v>
      </c>
      <c r="V163" s="2" t="inlineStr">
        <is>
          <t>Violett guldvinge
Brudsporre</t>
        </is>
      </c>
      <c r="W163">
        <f>HYPERLINK("https://klasma.github.io/Logging_2380/artfynd/A 16336-2025 artfynd.xlsx", "A 16336-2025")</f>
        <v/>
      </c>
      <c r="X163">
        <f>HYPERLINK("https://klasma.github.io/Logging_2380/kartor/A 16336-2025 karta.png", "A 16336-2025")</f>
        <v/>
      </c>
      <c r="Y163">
        <f>HYPERLINK("https://klasma.github.io/Logging_2380/kartor_geotiff/A 16336-2025 georefererad karta.tif", "A 16336-2025")</f>
        <v/>
      </c>
      <c r="AA163">
        <f>HYPERLINK("https://klasma.github.io/Logging_2380/klagomål/A 16336-2025 FSC-klagomål.docx", "A 16336-2025")</f>
        <v/>
      </c>
      <c r="AB163">
        <f>HYPERLINK("https://klasma.github.io/Logging_2380/klagomålsmail/A 16336-2025 FSC-klagomål mail.docx", "A 16336-2025")</f>
        <v/>
      </c>
      <c r="AC163">
        <f>HYPERLINK("https://klasma.github.io/Logging_2380/tillsyn/A 16336-2025 tillsynsbegäran.docx", "A 16336-2025")</f>
        <v/>
      </c>
      <c r="AD163">
        <f>HYPERLINK("https://klasma.github.io/Logging_2380/tillsynsmail/A 16336-2025 tillsynsbegäran mail.docx", "A 16336-2025")</f>
        <v/>
      </c>
    </row>
    <row r="164" ht="15" customHeight="1">
      <c r="A164" t="inlineStr">
        <is>
          <t>A 58931-2025</t>
        </is>
      </c>
      <c r="B164" t="inlineStr">
        <is>
          <t>avverkningsanmälan</t>
        </is>
      </c>
      <c r="C164" t="inlineStr">
        <is>
          <t>Föryngringsavverkning</t>
        </is>
      </c>
      <c r="D164" s="1" t="n">
        <v>45987</v>
      </c>
      <c r="E164" s="1" t="n">
        <v>46312</v>
      </c>
      <c r="F164" t="inlineStr">
        <is>
          <t>JÄMTLANDS LÄN</t>
        </is>
      </c>
      <c r="G164" t="inlineStr">
        <is>
          <t>ÖSTERSUND</t>
        </is>
      </c>
      <c r="I164" t="n">
        <v>3.9</v>
      </c>
      <c r="J164" t="n">
        <v>2</v>
      </c>
      <c r="K164" t="n">
        <v>0</v>
      </c>
      <c r="L164" t="n">
        <v>0</v>
      </c>
      <c r="M164" t="n">
        <v>0</v>
      </c>
      <c r="N164" t="n">
        <v>0</v>
      </c>
      <c r="O164" t="n">
        <v>0</v>
      </c>
      <c r="P164" t="n">
        <v>0</v>
      </c>
      <c r="Q164" t="n">
        <v>0</v>
      </c>
      <c r="R164" t="n">
        <v>0</v>
      </c>
      <c r="S164" t="n">
        <v>2</v>
      </c>
      <c r="T164" t="n">
        <v>3</v>
      </c>
      <c r="U164" t="n">
        <v>3</v>
      </c>
      <c r="V164" s="2" t="inlineStr">
        <is>
          <t>Blåsippa
Revlummer</t>
        </is>
      </c>
      <c r="W164">
        <f>HYPERLINK("https://klasma.github.io/Logging_2380/artfynd/A 58931-2025 artfynd.xlsx", "A 58931-2025")</f>
        <v/>
      </c>
      <c r="X164">
        <f>HYPERLINK("https://klasma.github.io/Logging_2380/kartor/A 58931-2025 karta.png", "A 58931-2025")</f>
        <v/>
      </c>
      <c r="Y164">
        <f>HYPERLINK("https://klasma.github.io/Logging_2380/kartor_geotiff/A 58931-2025 georefererad karta.tif", "A 58931-2025")</f>
        <v/>
      </c>
      <c r="AA164">
        <f>HYPERLINK("https://klasma.github.io/Logging_2380/klagomål/A 58931-2025 FSC-klagomål.docx", "A 58931-2025")</f>
        <v/>
      </c>
      <c r="AB164">
        <f>HYPERLINK("https://klasma.github.io/Logging_2380/klagomålsmail/A 58931-2025 FSC-klagomål mail.docx", "A 58931-2025")</f>
        <v/>
      </c>
      <c r="AC164">
        <f>HYPERLINK("https://klasma.github.io/Logging_2380/tillsyn/A 58931-2025 tillsynsbegäran.docx", "A 58931-2025")</f>
        <v/>
      </c>
      <c r="AD164">
        <f>HYPERLINK("https://klasma.github.io/Logging_2380/tillsynsmail/A 58931-2025 tillsynsbegäran mail.docx", "A 58931-2025")</f>
        <v/>
      </c>
    </row>
    <row r="165" ht="15" customHeight="1">
      <c r="A165" t="inlineStr">
        <is>
          <t>A 56750-2025</t>
        </is>
      </c>
      <c r="B165" t="inlineStr">
        <is>
          <t>avverkningsanmälan</t>
        </is>
      </c>
      <c r="C165" t="inlineStr">
        <is>
          <t>Föryngringsavverkning</t>
        </is>
      </c>
      <c r="D165" s="1" t="n">
        <v>45975</v>
      </c>
      <c r="E165" s="1" t="n">
        <v>46312</v>
      </c>
      <c r="F165" t="inlineStr">
        <is>
          <t>JÄMTLANDS LÄN</t>
        </is>
      </c>
      <c r="G165" t="inlineStr">
        <is>
          <t>ÖSTERSUND</t>
        </is>
      </c>
      <c r="I165" t="n">
        <v>5.1</v>
      </c>
      <c r="J165" t="n">
        <v>1</v>
      </c>
      <c r="K165" t="n">
        <v>0</v>
      </c>
      <c r="L165" t="n">
        <v>0</v>
      </c>
      <c r="M165" t="n">
        <v>1</v>
      </c>
      <c r="N165" t="n">
        <v>0</v>
      </c>
      <c r="O165" t="n">
        <v>0</v>
      </c>
      <c r="P165" t="n">
        <v>0</v>
      </c>
      <c r="Q165" t="n">
        <v>1</v>
      </c>
      <c r="R165" t="n">
        <v>1</v>
      </c>
      <c r="S165" t="n">
        <v>2</v>
      </c>
      <c r="T165" t="n">
        <v>6</v>
      </c>
      <c r="U165" t="n">
        <v>6</v>
      </c>
      <c r="V165" s="2" t="inlineStr">
        <is>
          <t>Garnlav
Revlummer</t>
        </is>
      </c>
      <c r="W165">
        <f>HYPERLINK("https://klasma.github.io/Logging_2380/artfynd/A 56750-2025 artfynd.xlsx", "A 56750-2025")</f>
        <v/>
      </c>
      <c r="X165">
        <f>HYPERLINK("https://klasma.github.io/Logging_2380/kartor/A 56750-2025 karta.png", "A 56750-2025")</f>
        <v/>
      </c>
      <c r="Y165">
        <f>HYPERLINK("https://klasma.github.io/Logging_2380/kartor_geotiff/A 56750-2025 georefererad karta.tif", "A 56750-2025")</f>
        <v/>
      </c>
      <c r="AA165">
        <f>HYPERLINK("https://klasma.github.io/Logging_2380/klagomål/A 56750-2025 FSC-klagomål.docx", "A 56750-2025")</f>
        <v/>
      </c>
      <c r="AB165">
        <f>HYPERLINK("https://klasma.github.io/Logging_2380/klagomålsmail/A 56750-2025 FSC-klagomål mail.docx", "A 56750-2025")</f>
        <v/>
      </c>
      <c r="AC165">
        <f>HYPERLINK("https://klasma.github.io/Logging_2380/tillsyn/A 56750-2025 tillsynsbegäran.docx", "A 56750-2025")</f>
        <v/>
      </c>
      <c r="AD165">
        <f>HYPERLINK("https://klasma.github.io/Logging_2380/tillsynsmail/A 56750-2025 tillsynsbegäran mail.docx", "A 56750-2025")</f>
        <v/>
      </c>
    </row>
    <row r="166" ht="15" customHeight="1">
      <c r="A166" t="inlineStr">
        <is>
          <t>A 40692-2024</t>
        </is>
      </c>
      <c r="B166" t="inlineStr">
        <is>
          <t>avverkningsanmälan</t>
        </is>
      </c>
      <c r="C166" t="inlineStr">
        <is>
          <t>Avverkning för att bevara och utveckla /försöksver</t>
        </is>
      </c>
      <c r="D166" s="1" t="n">
        <v>45558</v>
      </c>
      <c r="E166" s="1" t="n">
        <v>46312</v>
      </c>
      <c r="F166" t="inlineStr">
        <is>
          <t>JÄMTLANDS LÄN</t>
        </is>
      </c>
      <c r="G166" t="inlineStr">
        <is>
          <t>ÖSTERSUND</t>
        </is>
      </c>
      <c r="H166" t="inlineStr">
        <is>
          <t>SCA</t>
        </is>
      </c>
      <c r="I166" t="n">
        <v>0.9</v>
      </c>
      <c r="J166" t="n">
        <v>0</v>
      </c>
      <c r="K166" t="n">
        <v>0</v>
      </c>
      <c r="L166" t="n">
        <v>2</v>
      </c>
      <c r="M166" t="n">
        <v>0</v>
      </c>
      <c r="N166" t="n">
        <v>0</v>
      </c>
      <c r="O166" t="n">
        <v>0</v>
      </c>
      <c r="P166" t="n">
        <v>0</v>
      </c>
      <c r="Q166" t="n">
        <v>2</v>
      </c>
      <c r="R166" t="n">
        <v>0</v>
      </c>
      <c r="S166" t="n">
        <v>2</v>
      </c>
      <c r="T166" t="n">
        <v>3</v>
      </c>
      <c r="U166" t="n">
        <v>0</v>
      </c>
      <c r="V166" s="2" t="inlineStr">
        <is>
          <t>Dvärgbägarlav
Lunglav</t>
        </is>
      </c>
      <c r="W166">
        <f>HYPERLINK("https://klasma.github.io/Logging_2380/artfynd/A 40692-2024 artfynd.xlsx", "A 40692-2024")</f>
        <v/>
      </c>
      <c r="X166">
        <f>HYPERLINK("https://klasma.github.io/Logging_2380/kartor/A 40692-2024 karta.png", "A 40692-2024")</f>
        <v/>
      </c>
      <c r="Y166">
        <f>HYPERLINK("https://klasma.github.io/Logging_2380/kartor_geotiff/A 40692-2024 georefererad karta.tif", "A 40692-2024")</f>
        <v/>
      </c>
      <c r="AA166">
        <f>HYPERLINK("https://klasma.github.io/Logging_2380/klagomål/A 40692-2024 FSC-klagomål.docx", "A 40692-2024")</f>
        <v/>
      </c>
      <c r="AB166">
        <f>HYPERLINK("https://klasma.github.io/Logging_2380/klagomålsmail/A 40692-2024 FSC-klagomål mail.docx", "A 40692-2024")</f>
        <v/>
      </c>
      <c r="AC166">
        <f>HYPERLINK("https://klasma.github.io/Logging_2380/tillsyn/A 40692-2024 tillsynsbegäran.docx", "A 40692-2024")</f>
        <v/>
      </c>
      <c r="AD166">
        <f>HYPERLINK("https://klasma.github.io/Logging_2380/tillsynsmail/A 40692-2024 tillsynsbegäran mail.docx", "A 40692-2024")</f>
        <v/>
      </c>
    </row>
    <row r="167" ht="15" customHeight="1">
      <c r="A167" t="inlineStr">
        <is>
          <t>A 28780-2026</t>
        </is>
      </c>
      <c r="B167" t="inlineStr">
        <is>
          <t>avverkningsanmälan</t>
        </is>
      </c>
      <c r="C167" t="inlineStr">
        <is>
          <t>Föryngringsavverkning</t>
        </is>
      </c>
      <c r="D167" s="1" t="n">
        <v>46198</v>
      </c>
      <c r="E167" s="1" t="n">
        <v>46312</v>
      </c>
      <c r="F167" t="inlineStr">
        <is>
          <t>JÄMTLANDS LÄN</t>
        </is>
      </c>
      <c r="G167" t="inlineStr">
        <is>
          <t>ÖSTERSUND</t>
        </is>
      </c>
      <c r="I167" t="n">
        <v>2.8</v>
      </c>
      <c r="J167" t="n">
        <v>1</v>
      </c>
      <c r="K167" t="n">
        <v>2</v>
      </c>
      <c r="L167" t="n">
        <v>0</v>
      </c>
      <c r="M167" t="n">
        <v>0</v>
      </c>
      <c r="N167" t="n">
        <v>0</v>
      </c>
      <c r="O167" t="n">
        <v>0</v>
      </c>
      <c r="P167" t="n">
        <v>0</v>
      </c>
      <c r="Q167" t="n">
        <v>0</v>
      </c>
      <c r="R167" t="n">
        <v>0</v>
      </c>
      <c r="S167" t="n">
        <v>2</v>
      </c>
      <c r="T167" t="n">
        <v>2</v>
      </c>
      <c r="U167" t="n">
        <v>0</v>
      </c>
      <c r="V167" s="2" t="inlineStr">
        <is>
          <t>Grönpyrola
Plattlummer</t>
        </is>
      </c>
      <c r="W167">
        <f>HYPERLINK("https://klasma.github.io/Logging_2380/artfynd/A 28780-2026 artfynd.xlsx", "A 28780-2026")</f>
        <v/>
      </c>
      <c r="X167">
        <f>HYPERLINK("https://klasma.github.io/Logging_2380/kartor/A 28780-2026 karta.png", "A 28780-2026")</f>
        <v/>
      </c>
      <c r="Y167">
        <f>HYPERLINK("https://klasma.github.io/Logging_2380/kartor_geotiff/A 28780-2026 georefererad karta.tif", "A 28780-2026")</f>
        <v/>
      </c>
      <c r="AA167">
        <f>HYPERLINK("https://klasma.github.io/Logging_2380/klagomål/A 28780-2026 FSC-klagomål.docx", "A 28780-2026")</f>
        <v/>
      </c>
      <c r="AB167">
        <f>HYPERLINK("https://klasma.github.io/Logging_2380/klagomålsmail/A 28780-2026 FSC-klagomål mail.docx", "A 28780-2026")</f>
        <v/>
      </c>
      <c r="AC167">
        <f>HYPERLINK("https://klasma.github.io/Logging_2380/tillsyn/A 28780-2026 tillsynsbegäran.docx", "A 28780-2026")</f>
        <v/>
      </c>
      <c r="AD167">
        <f>HYPERLINK("https://klasma.github.io/Logging_2380/tillsynsmail/A 28780-2026 tillsynsbegäran mail.docx", "A 28780-2026")</f>
        <v/>
      </c>
    </row>
    <row r="168" ht="15" customHeight="1">
      <c r="A168" t="inlineStr">
        <is>
          <t>A 61653-2022</t>
        </is>
      </c>
      <c r="B168" t="inlineStr">
        <is>
          <t>avverkningsanmälan</t>
        </is>
      </c>
      <c r="C168" t="inlineStr">
        <is>
          <t>Föryngringsavverkning</t>
        </is>
      </c>
      <c r="D168" s="1" t="n">
        <v>44916</v>
      </c>
      <c r="E168" s="1" t="n">
        <v>46312</v>
      </c>
      <c r="F168" t="inlineStr">
        <is>
          <t>JÄMTLANDS LÄN</t>
        </is>
      </c>
      <c r="G168" t="inlineStr">
        <is>
          <t>ÖSTERSUND</t>
        </is>
      </c>
      <c r="I168" t="n">
        <v>7.6</v>
      </c>
      <c r="J168" t="n">
        <v>0</v>
      </c>
      <c r="K168" t="n">
        <v>0</v>
      </c>
      <c r="L168" t="n">
        <v>0</v>
      </c>
      <c r="M168" t="n">
        <v>0</v>
      </c>
      <c r="N168" t="n">
        <v>0</v>
      </c>
      <c r="O168" t="n">
        <v>0</v>
      </c>
      <c r="P168" t="n">
        <v>0</v>
      </c>
      <c r="Q168" t="n">
        <v>0</v>
      </c>
      <c r="R168" t="n">
        <v>0</v>
      </c>
      <c r="S168" t="n">
        <v>2</v>
      </c>
      <c r="T168" t="n">
        <v>2</v>
      </c>
      <c r="U168" t="n">
        <v>2</v>
      </c>
      <c r="V168" s="2" t="inlineStr">
        <is>
          <t>Hultbräken
Liljekonvalj</t>
        </is>
      </c>
      <c r="W168">
        <f>HYPERLINK("https://klasma.github.io/Logging_2380/artfynd/A 61653-2022 artfynd.xlsx", "A 61653-2022")</f>
        <v/>
      </c>
      <c r="X168">
        <f>HYPERLINK("https://klasma.github.io/Logging_2380/kartor/A 61653-2022 karta.png", "A 61653-2022")</f>
        <v/>
      </c>
      <c r="Y168">
        <f>HYPERLINK("https://klasma.github.io/Logging_2380/kartor_geotiff/A 61653-2022 georefererad karta.tif", "A 61653-2022")</f>
        <v/>
      </c>
      <c r="AA168">
        <f>HYPERLINK("https://klasma.github.io/Logging_2380/klagomål/A 61653-2022 FSC-klagomål.docx", "A 61653-2022")</f>
        <v/>
      </c>
      <c r="AB168">
        <f>HYPERLINK("https://klasma.github.io/Logging_2380/klagomålsmail/A 61653-2022 FSC-klagomål mail.docx", "A 61653-2022")</f>
        <v/>
      </c>
      <c r="AC168">
        <f>HYPERLINK("https://klasma.github.io/Logging_2380/tillsyn/A 61653-2022 tillsynsbegäran.docx", "A 61653-2022")</f>
        <v/>
      </c>
      <c r="AD168">
        <f>HYPERLINK("https://klasma.github.io/Logging_2380/tillsynsmail/A 61653-2022 tillsynsbegäran mail.docx", "A 61653-2022")</f>
        <v/>
      </c>
    </row>
    <row r="169" ht="15" customHeight="1">
      <c r="A169" t="inlineStr">
        <is>
          <t>A 4916-2023</t>
        </is>
      </c>
      <c r="B169" t="inlineStr">
        <is>
          <t>avverkningsanmälan</t>
        </is>
      </c>
      <c r="C169" t="inlineStr">
        <is>
          <t>Föryngringsavverkning</t>
        </is>
      </c>
      <c r="D169" s="1" t="n">
        <v>44956</v>
      </c>
      <c r="E169" s="1" t="n">
        <v>46312</v>
      </c>
      <c r="F169" t="inlineStr">
        <is>
          <t>JÄMTLANDS LÄN</t>
        </is>
      </c>
      <c r="G169" t="inlineStr">
        <is>
          <t>ÖSTERSUND</t>
        </is>
      </c>
      <c r="I169" t="n">
        <v>1.2</v>
      </c>
      <c r="J169" t="n">
        <v>0</v>
      </c>
      <c r="K169" t="n">
        <v>1</v>
      </c>
      <c r="L169" t="n">
        <v>0</v>
      </c>
      <c r="M169" t="n">
        <v>0</v>
      </c>
      <c r="N169" t="n">
        <v>1</v>
      </c>
      <c r="O169" t="n">
        <v>0</v>
      </c>
      <c r="P169" t="n">
        <v>0</v>
      </c>
      <c r="Q169" t="n">
        <v>1</v>
      </c>
      <c r="R169" t="n">
        <v>1</v>
      </c>
      <c r="S169" t="n">
        <v>2</v>
      </c>
      <c r="T169" t="n">
        <v>4</v>
      </c>
      <c r="U169" t="n">
        <v>4</v>
      </c>
      <c r="V169" s="2" t="inlineStr">
        <is>
          <t>Trolldruvemätare
Svart trolldruva</t>
        </is>
      </c>
      <c r="W169">
        <f>HYPERLINK("https://klasma.github.io/Logging_2380/artfynd/A 4916-2023 artfynd.xlsx", "A 4916-2023")</f>
        <v/>
      </c>
      <c r="X169">
        <f>HYPERLINK("https://klasma.github.io/Logging_2380/kartor/A 4916-2023 karta.png", "A 4916-2023")</f>
        <v/>
      </c>
      <c r="Y169">
        <f>HYPERLINK("https://klasma.github.io/Logging_2380/kartor_geotiff/A 4916-2023 georefererad karta.tif", "A 4916-2023")</f>
        <v/>
      </c>
      <c r="AA169">
        <f>HYPERLINK("https://klasma.github.io/Logging_2380/klagomål/A 4916-2023 FSC-klagomål.docx", "A 4916-2023")</f>
        <v/>
      </c>
      <c r="AB169">
        <f>HYPERLINK("https://klasma.github.io/Logging_2380/klagomålsmail/A 4916-2023 FSC-klagomål mail.docx", "A 4916-2023")</f>
        <v/>
      </c>
      <c r="AC169">
        <f>HYPERLINK("https://klasma.github.io/Logging_2380/tillsyn/A 4916-2023 tillsynsbegäran.docx", "A 4916-2023")</f>
        <v/>
      </c>
      <c r="AD169">
        <f>HYPERLINK("https://klasma.github.io/Logging_2380/tillsynsmail/A 4916-2023 tillsynsbegäran mail.docx", "A 4916-2023")</f>
        <v/>
      </c>
    </row>
    <row r="170" ht="15" customHeight="1">
      <c r="A170" t="inlineStr">
        <is>
          <t>A 21615-2024</t>
        </is>
      </c>
      <c r="B170" t="inlineStr">
        <is>
          <t>avverkningsanmälan</t>
        </is>
      </c>
      <c r="C170" t="inlineStr">
        <is>
          <t>Föryngringsavverkning</t>
        </is>
      </c>
      <c r="D170" s="1" t="n">
        <v>45441</v>
      </c>
      <c r="E170" s="1" t="n">
        <v>46312</v>
      </c>
      <c r="F170" t="inlineStr">
        <is>
          <t>JÄMTLANDS LÄN</t>
        </is>
      </c>
      <c r="G170" t="inlineStr">
        <is>
          <t>ÖSTERSUND</t>
        </is>
      </c>
      <c r="H170" t="inlineStr">
        <is>
          <t>SCA</t>
        </is>
      </c>
      <c r="I170" t="n">
        <v>4.9</v>
      </c>
      <c r="J170" t="n">
        <v>2</v>
      </c>
      <c r="K170" t="n">
        <v>0</v>
      </c>
      <c r="L170" t="n">
        <v>0</v>
      </c>
      <c r="M170" t="n">
        <v>1</v>
      </c>
      <c r="N170" t="n">
        <v>0</v>
      </c>
      <c r="O170" t="n">
        <v>0</v>
      </c>
      <c r="P170" t="n">
        <v>0</v>
      </c>
      <c r="Q170" t="n">
        <v>1</v>
      </c>
      <c r="R170" t="n">
        <v>1</v>
      </c>
      <c r="S170" t="n">
        <v>2</v>
      </c>
      <c r="T170" t="n">
        <v>3</v>
      </c>
      <c r="U170" t="n">
        <v>1</v>
      </c>
      <c r="V170" s="2" t="inlineStr">
        <is>
          <t>Lappuggla
Blåsippa</t>
        </is>
      </c>
      <c r="W170">
        <f>HYPERLINK("https://klasma.github.io/Logging_2380/artfynd/A 21615-2024 artfynd.xlsx", "A 21615-2024")</f>
        <v/>
      </c>
      <c r="X170">
        <f>HYPERLINK("https://klasma.github.io/Logging_2380/kartor/A 21615-2024 karta.png", "A 21615-2024")</f>
        <v/>
      </c>
      <c r="Y170">
        <f>HYPERLINK("https://klasma.github.io/Logging_2380/kartor_geotiff/A 21615-2024 georefererad karta.tif", "A 21615-2024")</f>
        <v/>
      </c>
      <c r="AA170">
        <f>HYPERLINK("https://klasma.github.io/Logging_2380/klagomål/A 21615-2024 FSC-klagomål.docx", "A 21615-2024")</f>
        <v/>
      </c>
      <c r="AB170">
        <f>HYPERLINK("https://klasma.github.io/Logging_2380/klagomålsmail/A 21615-2024 FSC-klagomål mail.docx", "A 21615-2024")</f>
        <v/>
      </c>
      <c r="AC170">
        <f>HYPERLINK("https://klasma.github.io/Logging_2380/tillsyn/A 21615-2024 tillsynsbegäran.docx", "A 21615-2024")</f>
        <v/>
      </c>
      <c r="AD170">
        <f>HYPERLINK("https://klasma.github.io/Logging_2380/tillsynsmail/A 21615-2024 tillsynsbegäran mail.docx", "A 21615-2024")</f>
        <v/>
      </c>
      <c r="AE170">
        <f>HYPERLINK("https://klasma.github.io/Logging_2380/fåglar/A 21615-2024 prioriterade fågelarter.docx", "A 21615-2024")</f>
        <v/>
      </c>
    </row>
    <row r="171" ht="15" customHeight="1">
      <c r="A171" t="inlineStr">
        <is>
          <t>A 38958-2026</t>
        </is>
      </c>
      <c r="B171" t="inlineStr">
        <is>
          <t>avverkningsanmälan</t>
        </is>
      </c>
      <c r="C171" t="inlineStr">
        <is>
          <t>Föryngringsavverkning</t>
        </is>
      </c>
      <c r="D171" s="1" t="n">
        <v>46282</v>
      </c>
      <c r="E171" s="1" t="n">
        <v>46312</v>
      </c>
      <c r="F171" t="inlineStr">
        <is>
          <t>JÄMTLANDS LÄN</t>
        </is>
      </c>
      <c r="G171" t="inlineStr">
        <is>
          <t>ÖSTERSUND</t>
        </is>
      </c>
      <c r="I171" t="n">
        <v>3.3</v>
      </c>
      <c r="J171" t="n">
        <v>2</v>
      </c>
      <c r="K171" t="n">
        <v>0</v>
      </c>
      <c r="L171" t="n">
        <v>0</v>
      </c>
      <c r="M171" t="n">
        <v>0</v>
      </c>
      <c r="N171" t="n">
        <v>0</v>
      </c>
      <c r="O171" t="n">
        <v>0</v>
      </c>
      <c r="P171" t="n">
        <v>0</v>
      </c>
      <c r="Q171" t="n">
        <v>0</v>
      </c>
      <c r="R171" t="n">
        <v>0</v>
      </c>
      <c r="S171" t="n">
        <v>2</v>
      </c>
      <c r="T171" t="n">
        <v>2</v>
      </c>
      <c r="U171" t="n">
        <v>0</v>
      </c>
      <c r="V171" s="2" t="inlineStr">
        <is>
          <t>Brudsporre
Fläcknycklar</t>
        </is>
      </c>
      <c r="W171">
        <f>HYPERLINK("https://klasma.github.io/Logging_2380/artfynd/A 38958-2026 artfynd.xlsx", "A 38958-2026")</f>
        <v/>
      </c>
      <c r="X171">
        <f>HYPERLINK("https://klasma.github.io/Logging_2380/kartor/A 38958-2026 karta.png", "A 38958-2026")</f>
        <v/>
      </c>
      <c r="Y171">
        <f>HYPERLINK("https://klasma.github.io/Logging_2380/kartor_geotiff/A 38958-2026 georefererad karta.tif", "A 38958-2026")</f>
        <v/>
      </c>
      <c r="AA171">
        <f>HYPERLINK("https://klasma.github.io/Logging_2380/klagomål/A 38958-2026 FSC-klagomål.docx", "A 38958-2026")</f>
        <v/>
      </c>
      <c r="AB171">
        <f>HYPERLINK("https://klasma.github.io/Logging_2380/klagomålsmail/A 38958-2026 FSC-klagomål mail.docx", "A 38958-2026")</f>
        <v/>
      </c>
      <c r="AC171">
        <f>HYPERLINK("https://klasma.github.io/Logging_2380/tillsyn/A 38958-2026 tillsynsbegäran.docx", "A 38958-2026")</f>
        <v/>
      </c>
      <c r="AD171">
        <f>HYPERLINK("https://klasma.github.io/Logging_2380/tillsynsmail/A 38958-2026 tillsynsbegäran mail.docx", "A 38958-2026")</f>
        <v/>
      </c>
    </row>
    <row r="172" ht="15" customHeight="1">
      <c r="A172" t="inlineStr">
        <is>
          <t>A 9552-2025</t>
        </is>
      </c>
      <c r="B172" t="inlineStr">
        <is>
          <t>avverkningsanmälan</t>
        </is>
      </c>
      <c r="C172" t="inlineStr">
        <is>
          <t>Avverkning för annat ändamål</t>
        </is>
      </c>
      <c r="D172" s="1" t="n">
        <v>45715</v>
      </c>
      <c r="E172" s="1" t="n">
        <v>46312</v>
      </c>
      <c r="F172" t="inlineStr">
        <is>
          <t>JÄMTLANDS LÄN</t>
        </is>
      </c>
      <c r="G172" t="inlineStr">
        <is>
          <t>ÖSTERSUND</t>
        </is>
      </c>
      <c r="I172" t="n">
        <v>1.6</v>
      </c>
      <c r="J172" t="n">
        <v>1</v>
      </c>
      <c r="K172" t="n">
        <v>0</v>
      </c>
      <c r="L172" t="n">
        <v>0</v>
      </c>
      <c r="M172" t="n">
        <v>0</v>
      </c>
      <c r="N172" t="n">
        <v>0</v>
      </c>
      <c r="O172" t="n">
        <v>0</v>
      </c>
      <c r="P172" t="n">
        <v>0</v>
      </c>
      <c r="Q172" t="n">
        <v>0</v>
      </c>
      <c r="R172" t="n">
        <v>0</v>
      </c>
      <c r="S172" t="n">
        <v>2</v>
      </c>
      <c r="T172" t="n">
        <v>5</v>
      </c>
      <c r="U172" t="n">
        <v>5</v>
      </c>
      <c r="V172" s="2" t="inlineStr">
        <is>
          <t>Humleblomster
Brudsporre</t>
        </is>
      </c>
      <c r="W172">
        <f>HYPERLINK("https://klasma.github.io/Logging_2380/artfynd/A 9552-2025 artfynd.xlsx", "A 9552-2025")</f>
        <v/>
      </c>
      <c r="X172">
        <f>HYPERLINK("https://klasma.github.io/Logging_2380/kartor/A 9552-2025 karta.png", "A 9552-2025")</f>
        <v/>
      </c>
      <c r="Y172">
        <f>HYPERLINK("https://klasma.github.io/Logging_2380/kartor_geotiff/A 9552-2025 georefererad karta.tif", "A 9552-2025")</f>
        <v/>
      </c>
      <c r="AA172">
        <f>HYPERLINK("https://klasma.github.io/Logging_2380/klagomål/A 9552-2025 FSC-klagomål.docx", "A 9552-2025")</f>
        <v/>
      </c>
      <c r="AB172">
        <f>HYPERLINK("https://klasma.github.io/Logging_2380/klagomålsmail/A 9552-2025 FSC-klagomål mail.docx", "A 9552-2025")</f>
        <v/>
      </c>
      <c r="AC172">
        <f>HYPERLINK("https://klasma.github.io/Logging_2380/tillsyn/A 9552-2025 tillsynsbegäran.docx", "A 9552-2025")</f>
        <v/>
      </c>
      <c r="AD172">
        <f>HYPERLINK("https://klasma.github.io/Logging_2380/tillsynsmail/A 9552-2025 tillsynsbegäran mail.docx", "A 9552-2025")</f>
        <v/>
      </c>
    </row>
    <row r="173" ht="15" customHeight="1">
      <c r="A173" t="inlineStr">
        <is>
          <t>A 13024-2022</t>
        </is>
      </c>
      <c r="B173" t="inlineStr">
        <is>
          <t>avverkningsanmälan</t>
        </is>
      </c>
      <c r="C173" t="inlineStr">
        <is>
          <t>Avverkning för att bevara och utveckla /försöksver</t>
        </is>
      </c>
      <c r="D173" s="1" t="n">
        <v>44643</v>
      </c>
      <c r="E173" s="1" t="n">
        <v>46312</v>
      </c>
      <c r="F173" t="inlineStr">
        <is>
          <t>JÄMTLANDS LÄN</t>
        </is>
      </c>
      <c r="G173" t="inlineStr">
        <is>
          <t>ÖSTERSUND</t>
        </is>
      </c>
      <c r="I173" t="n">
        <v>0.9</v>
      </c>
      <c r="J173" t="n">
        <v>1</v>
      </c>
      <c r="K173" t="n">
        <v>0</v>
      </c>
      <c r="L173" t="n">
        <v>0</v>
      </c>
      <c r="M173" t="n">
        <v>1</v>
      </c>
      <c r="N173" t="n">
        <v>0</v>
      </c>
      <c r="O173" t="n">
        <v>0</v>
      </c>
      <c r="P173" t="n">
        <v>0</v>
      </c>
      <c r="Q173" t="n">
        <v>1</v>
      </c>
      <c r="R173" t="n">
        <v>1</v>
      </c>
      <c r="S173" t="n">
        <v>2</v>
      </c>
      <c r="T173" t="n">
        <v>2</v>
      </c>
      <c r="U173" t="n">
        <v>2</v>
      </c>
      <c r="V173" s="2" t="inlineStr">
        <is>
          <t>Garnlav
Kungsfågel</t>
        </is>
      </c>
      <c r="W173">
        <f>HYPERLINK("https://klasma.github.io/Logging_2380/artfynd/A 13024-2022 artfynd.xlsx", "A 13024-2022")</f>
        <v/>
      </c>
      <c r="X173">
        <f>HYPERLINK("https://klasma.github.io/Logging_2380/kartor/A 13024-2022 karta.png", "A 13024-2022")</f>
        <v/>
      </c>
      <c r="Y173">
        <f>HYPERLINK("https://klasma.github.io/Logging_2380/kartor_geotiff/A 13024-2022 georefererad karta.tif", "A 13024-2022")</f>
        <v/>
      </c>
      <c r="AA173">
        <f>HYPERLINK("https://klasma.github.io/Logging_2380/klagomål/A 13024-2022 FSC-klagomål.docx", "A 13024-2022")</f>
        <v/>
      </c>
      <c r="AB173">
        <f>HYPERLINK("https://klasma.github.io/Logging_2380/klagomålsmail/A 13024-2022 FSC-klagomål mail.docx", "A 13024-2022")</f>
        <v/>
      </c>
      <c r="AC173">
        <f>HYPERLINK("https://klasma.github.io/Logging_2380/tillsyn/A 13024-2022 tillsynsbegäran.docx", "A 13024-2022")</f>
        <v/>
      </c>
      <c r="AD173">
        <f>HYPERLINK("https://klasma.github.io/Logging_2380/tillsynsmail/A 13024-2022 tillsynsbegäran mail.docx", "A 13024-2022")</f>
        <v/>
      </c>
    </row>
    <row r="174" ht="15" customHeight="1">
      <c r="A174" t="inlineStr">
        <is>
          <t>A 35977-2024</t>
        </is>
      </c>
      <c r="B174" t="inlineStr">
        <is>
          <t>avverkningsanmälan</t>
        </is>
      </c>
      <c r="C174" t="inlineStr">
        <is>
          <t>Föryngringsavverkning</t>
        </is>
      </c>
      <c r="D174" s="1" t="n">
        <v>45533</v>
      </c>
      <c r="E174" s="1" t="n">
        <v>46312</v>
      </c>
      <c r="F174" t="inlineStr">
        <is>
          <t>JÄMTLANDS LÄN</t>
        </is>
      </c>
      <c r="G174" t="inlineStr">
        <is>
          <t>ÖSTERSUND</t>
        </is>
      </c>
      <c r="I174" t="n">
        <v>0.7</v>
      </c>
      <c r="J174" t="n">
        <v>0</v>
      </c>
      <c r="K174" t="n">
        <v>2</v>
      </c>
      <c r="L174" t="n">
        <v>0</v>
      </c>
      <c r="M174" t="n">
        <v>0</v>
      </c>
      <c r="N174" t="n">
        <v>0</v>
      </c>
      <c r="O174" t="n">
        <v>0</v>
      </c>
      <c r="P174" t="n">
        <v>0</v>
      </c>
      <c r="Q174" t="n">
        <v>0</v>
      </c>
      <c r="R174" t="n">
        <v>0</v>
      </c>
      <c r="S174" t="n">
        <v>2</v>
      </c>
      <c r="T174" t="n">
        <v>2</v>
      </c>
      <c r="U174" t="n">
        <v>0</v>
      </c>
      <c r="V174" s="2" t="inlineStr">
        <is>
          <t>Tibast
Trådticka</t>
        </is>
      </c>
      <c r="W174">
        <f>HYPERLINK("https://klasma.github.io/Logging_2380/artfynd/A 35977-2024 artfynd.xlsx", "A 35977-2024")</f>
        <v/>
      </c>
      <c r="X174">
        <f>HYPERLINK("https://klasma.github.io/Logging_2380/kartor/A 35977-2024 karta.png", "A 35977-2024")</f>
        <v/>
      </c>
      <c r="Y174">
        <f>HYPERLINK("https://klasma.github.io/Logging_2380/kartor_geotiff/A 35977-2024 georefererad karta.tif", "A 35977-2024")</f>
        <v/>
      </c>
      <c r="AA174">
        <f>HYPERLINK("https://klasma.github.io/Logging_2380/klagomål/A 35977-2024 FSC-klagomål.docx", "A 35977-2024")</f>
        <v/>
      </c>
      <c r="AB174">
        <f>HYPERLINK("https://klasma.github.io/Logging_2380/klagomålsmail/A 35977-2024 FSC-klagomål mail.docx", "A 35977-2024")</f>
        <v/>
      </c>
      <c r="AC174">
        <f>HYPERLINK("https://klasma.github.io/Logging_2380/tillsyn/A 35977-2024 tillsynsbegäran.docx", "A 35977-2024")</f>
        <v/>
      </c>
      <c r="AD174">
        <f>HYPERLINK("https://klasma.github.io/Logging_2380/tillsynsmail/A 35977-2024 tillsynsbegäran mail.docx", "A 35977-2024")</f>
        <v/>
      </c>
    </row>
    <row r="175" ht="15" customHeight="1">
      <c r="A175" t="inlineStr">
        <is>
          <t>A 36742-2024</t>
        </is>
      </c>
      <c r="B175" t="inlineStr">
        <is>
          <t>avverkningsanmälan</t>
        </is>
      </c>
      <c r="C175" t="inlineStr">
        <is>
          <t>Föryngringsavverkning</t>
        </is>
      </c>
      <c r="D175" s="1" t="n">
        <v>45538</v>
      </c>
      <c r="E175" s="1" t="n">
        <v>46312</v>
      </c>
      <c r="F175" t="inlineStr">
        <is>
          <t>JÄMTLANDS LÄN</t>
        </is>
      </c>
      <c r="G175" t="inlineStr">
        <is>
          <t>ÖSTERSUND</t>
        </is>
      </c>
      <c r="I175" t="n">
        <v>13.6</v>
      </c>
      <c r="J175" t="n">
        <v>0</v>
      </c>
      <c r="K175" t="n">
        <v>2</v>
      </c>
      <c r="L175" t="n">
        <v>0</v>
      </c>
      <c r="M175" t="n">
        <v>0</v>
      </c>
      <c r="N175" t="n">
        <v>0</v>
      </c>
      <c r="O175" t="n">
        <v>0</v>
      </c>
      <c r="P175" t="n">
        <v>0</v>
      </c>
      <c r="Q175" t="n">
        <v>0</v>
      </c>
      <c r="R175" t="n">
        <v>0</v>
      </c>
      <c r="S175" t="n">
        <v>2</v>
      </c>
      <c r="T175" t="n">
        <v>3</v>
      </c>
      <c r="U175" t="n">
        <v>0</v>
      </c>
      <c r="V175" s="2" t="inlineStr">
        <is>
          <t>Skinnlav
Vedticka</t>
        </is>
      </c>
      <c r="W175">
        <f>HYPERLINK("https://klasma.github.io/Logging_2380/artfynd/A 36742-2024 artfynd.xlsx", "A 36742-2024")</f>
        <v/>
      </c>
      <c r="X175">
        <f>HYPERLINK("https://klasma.github.io/Logging_2380/kartor/A 36742-2024 karta.png", "A 36742-2024")</f>
        <v/>
      </c>
      <c r="Y175">
        <f>HYPERLINK("https://klasma.github.io/Logging_2380/kartor_geotiff/A 36742-2024 georefererad karta.tif", "A 36742-2024")</f>
        <v/>
      </c>
      <c r="AA175">
        <f>HYPERLINK("https://klasma.github.io/Logging_2380/klagomål/A 36742-2024 FSC-klagomål.docx", "A 36742-2024")</f>
        <v/>
      </c>
      <c r="AB175">
        <f>HYPERLINK("https://klasma.github.io/Logging_2380/klagomålsmail/A 36742-2024 FSC-klagomål mail.docx", "A 36742-2024")</f>
        <v/>
      </c>
      <c r="AC175">
        <f>HYPERLINK("https://klasma.github.io/Logging_2380/tillsyn/A 36742-2024 tillsynsbegäran.docx", "A 36742-2024")</f>
        <v/>
      </c>
      <c r="AD175">
        <f>HYPERLINK("https://klasma.github.io/Logging_2380/tillsynsmail/A 36742-2024 tillsynsbegäran mail.docx", "A 36742-2024")</f>
        <v/>
      </c>
    </row>
    <row r="176" ht="15" customHeight="1">
      <c r="A176" t="inlineStr">
        <is>
          <t>A 19798-2022</t>
        </is>
      </c>
      <c r="B176" t="inlineStr">
        <is>
          <t>avverkningsanmälan</t>
        </is>
      </c>
      <c r="C176" t="inlineStr">
        <is>
          <t>Föryngringsavverkning</t>
        </is>
      </c>
      <c r="D176" s="1" t="n">
        <v>44694</v>
      </c>
      <c r="E176" s="1" t="n">
        <v>46312</v>
      </c>
      <c r="F176" t="inlineStr">
        <is>
          <t>JÄMTLANDS LÄN</t>
        </is>
      </c>
      <c r="G176" t="inlineStr">
        <is>
          <t>ÖSTERSUND</t>
        </is>
      </c>
      <c r="H176" t="inlineStr">
        <is>
          <t>SCA</t>
        </is>
      </c>
      <c r="I176" t="n">
        <v>1</v>
      </c>
      <c r="J176" t="n">
        <v>1</v>
      </c>
      <c r="K176" t="n">
        <v>1</v>
      </c>
      <c r="L176" t="n">
        <v>0</v>
      </c>
      <c r="M176" t="n">
        <v>0</v>
      </c>
      <c r="N176" t="n">
        <v>0</v>
      </c>
      <c r="O176" t="n">
        <v>0</v>
      </c>
      <c r="P176" t="n">
        <v>0</v>
      </c>
      <c r="Q176" t="n">
        <v>0</v>
      </c>
      <c r="R176" t="n">
        <v>0</v>
      </c>
      <c r="S176" t="n">
        <v>1</v>
      </c>
      <c r="T176" t="n">
        <v>1</v>
      </c>
      <c r="U176" t="n">
        <v>1</v>
      </c>
      <c r="V176" s="2" t="inlineStr">
        <is>
          <t>Guckusko</t>
        </is>
      </c>
      <c r="W176">
        <f>HYPERLINK("https://klasma.github.io/Logging_2380/artfynd/A 19798-2022 artfynd.xlsx", "A 19798-2022")</f>
        <v/>
      </c>
      <c r="X176">
        <f>HYPERLINK("https://klasma.github.io/Logging_2380/kartor/A 19798-2022 karta.png", "A 19798-2022")</f>
        <v/>
      </c>
      <c r="Y176">
        <f>HYPERLINK("https://klasma.github.io/Logging_2380/kartor_geotiff/A 19798-2022 georefererad karta.tif", "A 19798-2022")</f>
        <v/>
      </c>
      <c r="AA176">
        <f>HYPERLINK("https://klasma.github.io/Logging_2380/klagomål/A 19798-2022 FSC-klagomål.docx", "A 19798-2022")</f>
        <v/>
      </c>
      <c r="AB176">
        <f>HYPERLINK("https://klasma.github.io/Logging_2380/klagomålsmail/A 19798-2022 FSC-klagomål mail.docx", "A 19798-2022")</f>
        <v/>
      </c>
      <c r="AC176">
        <f>HYPERLINK("https://klasma.github.io/Logging_2380/tillsyn/A 19798-2022 tillsynsbegäran.docx", "A 19798-2022")</f>
        <v/>
      </c>
      <c r="AD176">
        <f>HYPERLINK("https://klasma.github.io/Logging_2380/tillsynsmail/A 19798-2022 tillsynsbegäran mail.docx", "A 19798-2022")</f>
        <v/>
      </c>
    </row>
    <row r="177" ht="15" customHeight="1">
      <c r="A177" t="inlineStr">
        <is>
          <t>A 65428-2021</t>
        </is>
      </c>
      <c r="B177" t="inlineStr">
        <is>
          <t>avverkningsanmälan</t>
        </is>
      </c>
      <c r="C177" t="inlineStr">
        <is>
          <t>Föryngringsavverkning</t>
        </is>
      </c>
      <c r="D177" s="1" t="n">
        <v>44515</v>
      </c>
      <c r="E177" s="1" t="n">
        <v>46312</v>
      </c>
      <c r="F177" t="inlineStr">
        <is>
          <t>JÄMTLANDS LÄN</t>
        </is>
      </c>
      <c r="G177" t="inlineStr">
        <is>
          <t>ÖSTERSUND</t>
        </is>
      </c>
      <c r="H177" t="inlineStr">
        <is>
          <t>SCA</t>
        </is>
      </c>
      <c r="I177" t="n">
        <v>8.800000000000001</v>
      </c>
      <c r="J177" t="n">
        <v>0</v>
      </c>
      <c r="K177" t="n">
        <v>0</v>
      </c>
      <c r="L177" t="n">
        <v>0</v>
      </c>
      <c r="M177" t="n">
        <v>1</v>
      </c>
      <c r="N177" t="n">
        <v>0</v>
      </c>
      <c r="O177" t="n">
        <v>0</v>
      </c>
      <c r="P177" t="n">
        <v>0</v>
      </c>
      <c r="Q177" t="n">
        <v>1</v>
      </c>
      <c r="R177" t="n">
        <v>1</v>
      </c>
      <c r="S177" t="n">
        <v>1</v>
      </c>
      <c r="T177" t="n">
        <v>1</v>
      </c>
      <c r="U177" t="n">
        <v>1</v>
      </c>
      <c r="V177" s="2" t="inlineStr">
        <is>
          <t>Garnlav</t>
        </is>
      </c>
      <c r="W177">
        <f>HYPERLINK("https://klasma.github.io/Logging_2380/artfynd/A 65428-2021 artfynd.xlsx", "A 65428-2021")</f>
        <v/>
      </c>
      <c r="X177">
        <f>HYPERLINK("https://klasma.github.io/Logging_2380/kartor/A 65428-2021 karta.png", "A 65428-2021")</f>
        <v/>
      </c>
      <c r="Y177">
        <f>HYPERLINK("https://klasma.github.io/Logging_2380/kartor_geotiff/A 65428-2021 georefererad karta.tif", "A 65428-2021")</f>
        <v/>
      </c>
      <c r="AA177">
        <f>HYPERLINK("https://klasma.github.io/Logging_2380/klagomål/A 65428-2021 FSC-klagomål.docx", "A 65428-2021")</f>
        <v/>
      </c>
      <c r="AB177">
        <f>HYPERLINK("https://klasma.github.io/Logging_2380/klagomålsmail/A 65428-2021 FSC-klagomål mail.docx", "A 65428-2021")</f>
        <v/>
      </c>
      <c r="AC177">
        <f>HYPERLINK("https://klasma.github.io/Logging_2380/tillsyn/A 65428-2021 tillsynsbegäran.docx", "A 65428-2021")</f>
        <v/>
      </c>
      <c r="AD177">
        <f>HYPERLINK("https://klasma.github.io/Logging_2380/tillsynsmail/A 65428-2021 tillsynsbegäran mail.docx", "A 65428-2021")</f>
        <v/>
      </c>
    </row>
    <row r="178" ht="15" customHeight="1">
      <c r="A178" t="inlineStr">
        <is>
          <t>A 27575-2022</t>
        </is>
      </c>
      <c r="B178" t="inlineStr">
        <is>
          <t>avverkningsanmälan</t>
        </is>
      </c>
      <c r="C178" t="inlineStr">
        <is>
          <t>Föryngringsavverkning</t>
        </is>
      </c>
      <c r="D178" s="1" t="n">
        <v>44742</v>
      </c>
      <c r="E178" s="1" t="n">
        <v>46312</v>
      </c>
      <c r="F178" t="inlineStr">
        <is>
          <t>JÄMTLANDS LÄN</t>
        </is>
      </c>
      <c r="G178" t="inlineStr">
        <is>
          <t>ÖSTERSUND</t>
        </is>
      </c>
      <c r="H178" t="inlineStr">
        <is>
          <t>SCA</t>
        </is>
      </c>
      <c r="I178" t="n">
        <v>2.4</v>
      </c>
      <c r="J178" t="n">
        <v>1</v>
      </c>
      <c r="K178" t="n">
        <v>0</v>
      </c>
      <c r="L178" t="n">
        <v>0</v>
      </c>
      <c r="M178" t="n">
        <v>1</v>
      </c>
      <c r="N178" t="n">
        <v>0</v>
      </c>
      <c r="O178" t="n">
        <v>0</v>
      </c>
      <c r="P178" t="n">
        <v>0</v>
      </c>
      <c r="Q178" t="n">
        <v>1</v>
      </c>
      <c r="R178" t="n">
        <v>1</v>
      </c>
      <c r="S178" t="n">
        <v>1</v>
      </c>
      <c r="T178" t="n">
        <v>1</v>
      </c>
      <c r="U178" t="n">
        <v>0</v>
      </c>
      <c r="V178" s="2" t="inlineStr">
        <is>
          <t>Knärot</t>
        </is>
      </c>
      <c r="W178">
        <f>HYPERLINK("https://klasma.github.io/Logging_2380/artfynd/A 27575-2022 artfynd.xlsx", "A 27575-2022")</f>
        <v/>
      </c>
      <c r="X178">
        <f>HYPERLINK("https://klasma.github.io/Logging_2380/kartor/A 27575-2022 karta.png", "A 27575-2022")</f>
        <v/>
      </c>
      <c r="Y178">
        <f>HYPERLINK("https://klasma.github.io/Logging_2380/kartor_geotiff/A 27575-2022 georefererad karta.tif", "A 27575-2022")</f>
        <v/>
      </c>
      <c r="Z178">
        <f>HYPERLINK("https://klasma.github.io/Logging_2380/knärot/A 27575-2022 karta knärot.png", "A 27575-2022")</f>
        <v/>
      </c>
      <c r="AA178">
        <f>HYPERLINK("https://klasma.github.io/Logging_2380/klagomål/A 27575-2022 FSC-klagomål.docx", "A 27575-2022")</f>
        <v/>
      </c>
      <c r="AB178">
        <f>HYPERLINK("https://klasma.github.io/Logging_2380/klagomålsmail/A 27575-2022 FSC-klagomål mail.docx", "A 27575-2022")</f>
        <v/>
      </c>
      <c r="AC178">
        <f>HYPERLINK("https://klasma.github.io/Logging_2380/tillsyn/A 27575-2022 tillsynsbegäran.docx", "A 27575-2022")</f>
        <v/>
      </c>
      <c r="AD178">
        <f>HYPERLINK("https://klasma.github.io/Logging_2380/tillsynsmail/A 27575-2022 tillsynsbegäran mail.docx", "A 27575-2022")</f>
        <v/>
      </c>
    </row>
    <row r="179" ht="15" customHeight="1">
      <c r="A179" t="inlineStr">
        <is>
          <t>A 2627-2024</t>
        </is>
      </c>
      <c r="B179" t="inlineStr">
        <is>
          <t>avverkningsanmälan</t>
        </is>
      </c>
      <c r="C179" t="inlineStr">
        <is>
          <t>Föryngringsavverkning</t>
        </is>
      </c>
      <c r="D179" s="1" t="n">
        <v>45313</v>
      </c>
      <c r="E179" s="1" t="n">
        <v>46312</v>
      </c>
      <c r="F179" t="inlineStr">
        <is>
          <t>JÄMTLANDS LÄN</t>
        </is>
      </c>
      <c r="G179" t="inlineStr">
        <is>
          <t>ÖSTERSUND</t>
        </is>
      </c>
      <c r="H179" t="inlineStr">
        <is>
          <t>SCA</t>
        </is>
      </c>
      <c r="I179" t="n">
        <v>2.3</v>
      </c>
      <c r="J179" t="n">
        <v>0</v>
      </c>
      <c r="K179" t="n">
        <v>0</v>
      </c>
      <c r="L179" t="n">
        <v>1</v>
      </c>
      <c r="M179" t="n">
        <v>0</v>
      </c>
      <c r="N179" t="n">
        <v>0</v>
      </c>
      <c r="O179" t="n">
        <v>0</v>
      </c>
      <c r="P179" t="n">
        <v>0</v>
      </c>
      <c r="Q179" t="n">
        <v>1</v>
      </c>
      <c r="R179" t="n">
        <v>0</v>
      </c>
      <c r="S179" t="n">
        <v>1</v>
      </c>
      <c r="T179" t="n">
        <v>1</v>
      </c>
      <c r="U179" t="n">
        <v>1</v>
      </c>
      <c r="V179" s="2" t="inlineStr">
        <is>
          <t>Lunglav</t>
        </is>
      </c>
      <c r="W179">
        <f>HYPERLINK("https://klasma.github.io/Logging_2380/artfynd/A 2627-2024 artfynd.xlsx", "A 2627-2024")</f>
        <v/>
      </c>
      <c r="X179">
        <f>HYPERLINK("https://klasma.github.io/Logging_2380/kartor/A 2627-2024 karta.png", "A 2627-2024")</f>
        <v/>
      </c>
      <c r="Y179">
        <f>HYPERLINK("https://klasma.github.io/Logging_2380/kartor_geotiff/A 2627-2024 georefererad karta.tif", "A 2627-2024")</f>
        <v/>
      </c>
      <c r="AA179">
        <f>HYPERLINK("https://klasma.github.io/Logging_2380/klagomål/A 2627-2024 FSC-klagomål.docx", "A 2627-2024")</f>
        <v/>
      </c>
      <c r="AB179">
        <f>HYPERLINK("https://klasma.github.io/Logging_2380/klagomålsmail/A 2627-2024 FSC-klagomål mail.docx", "A 2627-2024")</f>
        <v/>
      </c>
      <c r="AC179">
        <f>HYPERLINK("https://klasma.github.io/Logging_2380/tillsyn/A 2627-2024 tillsynsbegäran.docx", "A 2627-2024")</f>
        <v/>
      </c>
      <c r="AD179">
        <f>HYPERLINK("https://klasma.github.io/Logging_2380/tillsynsmail/A 2627-2024 tillsynsbegäran mail.docx", "A 2627-2024")</f>
        <v/>
      </c>
    </row>
    <row r="180" ht="15" customHeight="1">
      <c r="A180" t="inlineStr">
        <is>
          <t>A 5145-2022</t>
        </is>
      </c>
      <c r="B180" t="inlineStr">
        <is>
          <t>avverkningsanmälan</t>
        </is>
      </c>
      <c r="C180" t="inlineStr">
        <is>
          <t>Föryngringsavverkning</t>
        </is>
      </c>
      <c r="D180" s="1" t="n">
        <v>44594</v>
      </c>
      <c r="E180" s="1" t="n">
        <v>46312</v>
      </c>
      <c r="F180" t="inlineStr">
        <is>
          <t>JÄMTLANDS LÄN</t>
        </is>
      </c>
      <c r="G180" t="inlineStr">
        <is>
          <t>ÖSTERSUND</t>
        </is>
      </c>
      <c r="I180" t="n">
        <v>2.6</v>
      </c>
      <c r="J180" t="n">
        <v>1</v>
      </c>
      <c r="K180" t="n">
        <v>1</v>
      </c>
      <c r="L180" t="n">
        <v>0</v>
      </c>
      <c r="M180" t="n">
        <v>0</v>
      </c>
      <c r="N180" t="n">
        <v>0</v>
      </c>
      <c r="O180" t="n">
        <v>0</v>
      </c>
      <c r="P180" t="n">
        <v>0</v>
      </c>
      <c r="Q180" t="n">
        <v>0</v>
      </c>
      <c r="R180" t="n">
        <v>0</v>
      </c>
      <c r="S180" t="n">
        <v>1</v>
      </c>
      <c r="T180" t="n">
        <v>1</v>
      </c>
      <c r="U180" t="n">
        <v>1</v>
      </c>
      <c r="V180" s="2" t="inlineStr">
        <is>
          <t>Tvåblad</t>
        </is>
      </c>
      <c r="W180">
        <f>HYPERLINK("https://klasma.github.io/Logging_2380/artfynd/A 5145-2022 artfynd.xlsx", "A 5145-2022")</f>
        <v/>
      </c>
      <c r="X180">
        <f>HYPERLINK("https://klasma.github.io/Logging_2380/kartor/A 5145-2022 karta.png", "A 5145-2022")</f>
        <v/>
      </c>
      <c r="Y180">
        <f>HYPERLINK("https://klasma.github.io/Logging_2380/kartor_geotiff/A 5145-2022 georefererad karta.tif", "A 5145-2022")</f>
        <v/>
      </c>
      <c r="AA180">
        <f>HYPERLINK("https://klasma.github.io/Logging_2380/klagomål/A 5145-2022 FSC-klagomål.docx", "A 5145-2022")</f>
        <v/>
      </c>
      <c r="AB180">
        <f>HYPERLINK("https://klasma.github.io/Logging_2380/klagomålsmail/A 5145-2022 FSC-klagomål mail.docx", "A 5145-2022")</f>
        <v/>
      </c>
      <c r="AC180">
        <f>HYPERLINK("https://klasma.github.io/Logging_2380/tillsyn/A 5145-2022 tillsynsbegäran.docx", "A 5145-2022")</f>
        <v/>
      </c>
      <c r="AD180">
        <f>HYPERLINK("https://klasma.github.io/Logging_2380/tillsynsmail/A 5145-2022 tillsynsbegäran mail.docx", "A 5145-2022")</f>
        <v/>
      </c>
    </row>
    <row r="181" ht="15" customHeight="1">
      <c r="A181" t="inlineStr">
        <is>
          <t>A 12946-2022</t>
        </is>
      </c>
      <c r="B181" t="inlineStr">
        <is>
          <t>avverkningsanmälan</t>
        </is>
      </c>
      <c r="C181" t="inlineStr">
        <is>
          <t>Avverkning för att bevara och utveckla /försöksver</t>
        </is>
      </c>
      <c r="D181" s="1" t="n">
        <v>44642</v>
      </c>
      <c r="E181" s="1" t="n">
        <v>46312</v>
      </c>
      <c r="F181" t="inlineStr">
        <is>
          <t>JÄMTLANDS LÄN</t>
        </is>
      </c>
      <c r="G181" t="inlineStr">
        <is>
          <t>ÖSTERSUND</t>
        </is>
      </c>
      <c r="H181" t="inlineStr">
        <is>
          <t>SCA</t>
        </is>
      </c>
      <c r="I181" t="n">
        <v>0.9</v>
      </c>
      <c r="J181" t="n">
        <v>0</v>
      </c>
      <c r="K181" t="n">
        <v>1</v>
      </c>
      <c r="L181" t="n">
        <v>0</v>
      </c>
      <c r="M181" t="n">
        <v>0</v>
      </c>
      <c r="N181" t="n">
        <v>0</v>
      </c>
      <c r="O181" t="n">
        <v>0</v>
      </c>
      <c r="P181" t="n">
        <v>0</v>
      </c>
      <c r="Q181" t="n">
        <v>0</v>
      </c>
      <c r="R181" t="n">
        <v>0</v>
      </c>
      <c r="S181" t="n">
        <v>1</v>
      </c>
      <c r="T181" t="n">
        <v>1</v>
      </c>
      <c r="U181" t="n">
        <v>1</v>
      </c>
      <c r="V181" s="2" t="inlineStr">
        <is>
          <t>Svart trolldruva</t>
        </is>
      </c>
      <c r="W181">
        <f>HYPERLINK("https://klasma.github.io/Logging_2380/artfynd/A 12946-2022 artfynd.xlsx", "A 12946-2022")</f>
        <v/>
      </c>
      <c r="X181">
        <f>HYPERLINK("https://klasma.github.io/Logging_2380/kartor/A 12946-2022 karta.png", "A 12946-2022")</f>
        <v/>
      </c>
      <c r="Y181">
        <f>HYPERLINK("https://klasma.github.io/Logging_2380/kartor_geotiff/A 12946-2022 georefererad karta.tif", "A 12946-2022")</f>
        <v/>
      </c>
      <c r="AA181">
        <f>HYPERLINK("https://klasma.github.io/Logging_2380/klagomål/A 12946-2022 FSC-klagomål.docx", "A 12946-2022")</f>
        <v/>
      </c>
      <c r="AB181">
        <f>HYPERLINK("https://klasma.github.io/Logging_2380/klagomålsmail/A 12946-2022 FSC-klagomål mail.docx", "A 12946-2022")</f>
        <v/>
      </c>
      <c r="AC181">
        <f>HYPERLINK("https://klasma.github.io/Logging_2380/tillsyn/A 12946-2022 tillsynsbegäran.docx", "A 12946-2022")</f>
        <v/>
      </c>
      <c r="AD181">
        <f>HYPERLINK("https://klasma.github.io/Logging_2380/tillsynsmail/A 12946-2022 tillsynsbegäran mail.docx", "A 12946-2022")</f>
        <v/>
      </c>
    </row>
    <row r="182" ht="15" customHeight="1">
      <c r="A182" t="inlineStr">
        <is>
          <t>A 27578-2022</t>
        </is>
      </c>
      <c r="B182" t="inlineStr">
        <is>
          <t>avverkningsanmälan</t>
        </is>
      </c>
      <c r="C182" t="inlineStr">
        <is>
          <t>Föryngringsavverkning</t>
        </is>
      </c>
      <c r="D182" s="1" t="n">
        <v>44742</v>
      </c>
      <c r="E182" s="1" t="n">
        <v>46312</v>
      </c>
      <c r="F182" t="inlineStr">
        <is>
          <t>JÄMTLANDS LÄN</t>
        </is>
      </c>
      <c r="G182" t="inlineStr">
        <is>
          <t>ÖSTERSUND</t>
        </is>
      </c>
      <c r="H182" t="inlineStr">
        <is>
          <t>SCA</t>
        </is>
      </c>
      <c r="I182" t="n">
        <v>2</v>
      </c>
      <c r="J182" t="n">
        <v>1</v>
      </c>
      <c r="K182" t="n">
        <v>0</v>
      </c>
      <c r="L182" t="n">
        <v>0</v>
      </c>
      <c r="M182" t="n">
        <v>0</v>
      </c>
      <c r="N182" t="n">
        <v>0</v>
      </c>
      <c r="O182" t="n">
        <v>0</v>
      </c>
      <c r="P182" t="n">
        <v>0</v>
      </c>
      <c r="Q182" t="n">
        <v>0</v>
      </c>
      <c r="R182" t="n">
        <v>0</v>
      </c>
      <c r="S182" t="n">
        <v>1</v>
      </c>
      <c r="T182" t="n">
        <v>2</v>
      </c>
      <c r="U182" t="n">
        <v>0</v>
      </c>
      <c r="V182" s="2" t="inlineStr">
        <is>
          <t>Blåsippa</t>
        </is>
      </c>
      <c r="W182">
        <f>HYPERLINK("https://klasma.github.io/Logging_2380/artfynd/A 27578-2022 artfynd.xlsx", "A 27578-2022")</f>
        <v/>
      </c>
      <c r="X182">
        <f>HYPERLINK("https://klasma.github.io/Logging_2380/kartor/A 27578-2022 karta.png", "A 27578-2022")</f>
        <v/>
      </c>
      <c r="Y182">
        <f>HYPERLINK("https://klasma.github.io/Logging_2380/kartor_geotiff/A 27578-2022 georefererad karta.tif", "A 27578-2022")</f>
        <v/>
      </c>
      <c r="AA182">
        <f>HYPERLINK("https://klasma.github.io/Logging_2380/klagomål/A 27578-2022 FSC-klagomål.docx", "A 27578-2022")</f>
        <v/>
      </c>
      <c r="AB182">
        <f>HYPERLINK("https://klasma.github.io/Logging_2380/klagomålsmail/A 27578-2022 FSC-klagomål mail.docx", "A 27578-2022")</f>
        <v/>
      </c>
      <c r="AC182">
        <f>HYPERLINK("https://klasma.github.io/Logging_2380/tillsyn/A 27578-2022 tillsynsbegäran.docx", "A 27578-2022")</f>
        <v/>
      </c>
      <c r="AD182">
        <f>HYPERLINK("https://klasma.github.io/Logging_2380/tillsynsmail/A 27578-2022 tillsynsbegäran mail.docx", "A 27578-2022")</f>
        <v/>
      </c>
    </row>
    <row r="183" ht="15" customHeight="1">
      <c r="A183" t="inlineStr">
        <is>
          <t>A 55666-2023</t>
        </is>
      </c>
      <c r="B183" t="inlineStr">
        <is>
          <t>avverkningsanmälan</t>
        </is>
      </c>
      <c r="C183" t="inlineStr">
        <is>
          <t>Avverkning för att bevara och utveckla /försöksver</t>
        </is>
      </c>
      <c r="D183" s="1" t="n">
        <v>45238</v>
      </c>
      <c r="E183" s="1" t="n">
        <v>46312</v>
      </c>
      <c r="F183" t="inlineStr">
        <is>
          <t>JÄMTLANDS LÄN</t>
        </is>
      </c>
      <c r="G183" t="inlineStr">
        <is>
          <t>ÖSTERSUND</t>
        </is>
      </c>
      <c r="H183" t="inlineStr">
        <is>
          <t>SCA</t>
        </is>
      </c>
      <c r="I183" t="n">
        <v>2.5</v>
      </c>
      <c r="J183" t="n">
        <v>1</v>
      </c>
      <c r="K183" t="n">
        <v>0</v>
      </c>
      <c r="L183" t="n">
        <v>0</v>
      </c>
      <c r="M183" t="n">
        <v>0</v>
      </c>
      <c r="N183" t="n">
        <v>0</v>
      </c>
      <c r="O183" t="n">
        <v>0</v>
      </c>
      <c r="P183" t="n">
        <v>0</v>
      </c>
      <c r="Q183" t="n">
        <v>0</v>
      </c>
      <c r="R183" t="n">
        <v>0</v>
      </c>
      <c r="S183" t="n">
        <v>1</v>
      </c>
      <c r="T183" t="n">
        <v>1</v>
      </c>
      <c r="U183" t="n">
        <v>1</v>
      </c>
      <c r="V183" s="2" t="inlineStr">
        <is>
          <t>Fläcknycklar</t>
        </is>
      </c>
      <c r="W183">
        <f>HYPERLINK("https://klasma.github.io/Logging_2380/artfynd/A 55666-2023 artfynd.xlsx", "A 55666-2023")</f>
        <v/>
      </c>
      <c r="X183">
        <f>HYPERLINK("https://klasma.github.io/Logging_2380/kartor/A 55666-2023 karta.png", "A 55666-2023")</f>
        <v/>
      </c>
      <c r="Y183">
        <f>HYPERLINK("https://klasma.github.io/Logging_2380/kartor_geotiff/A 55666-2023 georefererad karta.tif", "A 55666-2023")</f>
        <v/>
      </c>
      <c r="AA183">
        <f>HYPERLINK("https://klasma.github.io/Logging_2380/klagomål/A 55666-2023 FSC-klagomål.docx", "A 55666-2023")</f>
        <v/>
      </c>
      <c r="AB183">
        <f>HYPERLINK("https://klasma.github.io/Logging_2380/klagomålsmail/A 55666-2023 FSC-klagomål mail.docx", "A 55666-2023")</f>
        <v/>
      </c>
      <c r="AC183">
        <f>HYPERLINK("https://klasma.github.io/Logging_2380/tillsyn/A 55666-2023 tillsynsbegäran.docx", "A 55666-2023")</f>
        <v/>
      </c>
      <c r="AD183">
        <f>HYPERLINK("https://klasma.github.io/Logging_2380/tillsynsmail/A 55666-2023 tillsynsbegäran mail.docx", "A 55666-2023")</f>
        <v/>
      </c>
    </row>
    <row r="184" ht="15" customHeight="1">
      <c r="A184" t="inlineStr">
        <is>
          <t>A 59108-2024</t>
        </is>
      </c>
      <c r="B184" t="inlineStr">
        <is>
          <t>avverkningsanmälan</t>
        </is>
      </c>
      <c r="C184" t="inlineStr">
        <is>
          <t>Föryngringsavverkning</t>
        </is>
      </c>
      <c r="D184" s="1" t="n">
        <v>45637</v>
      </c>
      <c r="E184" s="1" t="n">
        <v>46312</v>
      </c>
      <c r="F184" t="inlineStr">
        <is>
          <t>JÄMTLANDS LÄN</t>
        </is>
      </c>
      <c r="G184" t="inlineStr">
        <is>
          <t>ÖSTERSUND</t>
        </is>
      </c>
      <c r="H184" t="inlineStr">
        <is>
          <t>SCA</t>
        </is>
      </c>
      <c r="I184" t="n">
        <v>10.6</v>
      </c>
      <c r="J184" t="n">
        <v>1</v>
      </c>
      <c r="K184" t="n">
        <v>0</v>
      </c>
      <c r="L184" t="n">
        <v>1</v>
      </c>
      <c r="M184" t="n">
        <v>0</v>
      </c>
      <c r="N184" t="n">
        <v>0</v>
      </c>
      <c r="O184" t="n">
        <v>0</v>
      </c>
      <c r="P184" t="n">
        <v>0</v>
      </c>
      <c r="Q184" t="n">
        <v>1</v>
      </c>
      <c r="R184" t="n">
        <v>0</v>
      </c>
      <c r="S184" t="n">
        <v>1</v>
      </c>
      <c r="T184" t="n">
        <v>1</v>
      </c>
      <c r="U184" t="n">
        <v>0</v>
      </c>
      <c r="V184" s="2" t="inlineStr">
        <is>
          <t>Tretåig hackspett</t>
        </is>
      </c>
      <c r="W184">
        <f>HYPERLINK("https://klasma.github.io/Logging_2380/artfynd/A 59108-2024 artfynd.xlsx", "A 59108-2024")</f>
        <v/>
      </c>
      <c r="X184">
        <f>HYPERLINK("https://klasma.github.io/Logging_2380/kartor/A 59108-2024 karta.png", "A 59108-2024")</f>
        <v/>
      </c>
      <c r="Y184">
        <f>HYPERLINK("https://klasma.github.io/Logging_2380/kartor_geotiff/A 59108-2024 georefererad karta.tif", "A 59108-2024")</f>
        <v/>
      </c>
      <c r="AA184">
        <f>HYPERLINK("https://klasma.github.io/Logging_2380/klagomål/A 59108-2024 FSC-klagomål.docx", "A 59108-2024")</f>
        <v/>
      </c>
      <c r="AB184">
        <f>HYPERLINK("https://klasma.github.io/Logging_2380/klagomålsmail/A 59108-2024 FSC-klagomål mail.docx", "A 59108-2024")</f>
        <v/>
      </c>
      <c r="AC184">
        <f>HYPERLINK("https://klasma.github.io/Logging_2380/tillsyn/A 59108-2024 tillsynsbegäran.docx", "A 59108-2024")</f>
        <v/>
      </c>
      <c r="AD184">
        <f>HYPERLINK("https://klasma.github.io/Logging_2380/tillsynsmail/A 59108-2024 tillsynsbegäran mail.docx", "A 59108-2024")</f>
        <v/>
      </c>
      <c r="AE184">
        <f>HYPERLINK("https://klasma.github.io/Logging_2380/fåglar/A 59108-2024 prioriterade fågelarter.docx", "A 59108-2024")</f>
        <v/>
      </c>
    </row>
    <row r="185" ht="15" customHeight="1">
      <c r="A185" t="inlineStr">
        <is>
          <t>A 4311-2025</t>
        </is>
      </c>
      <c r="B185" t="inlineStr">
        <is>
          <t>avverkningsanmälan</t>
        </is>
      </c>
      <c r="C185" t="inlineStr">
        <is>
          <t>Föryngringsavverkning</t>
        </is>
      </c>
      <c r="D185" s="1" t="n">
        <v>45685</v>
      </c>
      <c r="E185" s="1" t="n">
        <v>46312</v>
      </c>
      <c r="F185" t="inlineStr">
        <is>
          <t>JÄMTLANDS LÄN</t>
        </is>
      </c>
      <c r="G185" t="inlineStr">
        <is>
          <t>ÖSTERSUND</t>
        </is>
      </c>
      <c r="I185" t="n">
        <v>0.7</v>
      </c>
      <c r="J185" t="n">
        <v>0</v>
      </c>
      <c r="K185" t="n">
        <v>0</v>
      </c>
      <c r="L185" t="n">
        <v>1</v>
      </c>
      <c r="M185" t="n">
        <v>0</v>
      </c>
      <c r="N185" t="n">
        <v>0</v>
      </c>
      <c r="O185" t="n">
        <v>0</v>
      </c>
      <c r="P185" t="n">
        <v>0</v>
      </c>
      <c r="Q185" t="n">
        <v>1</v>
      </c>
      <c r="R185" t="n">
        <v>0</v>
      </c>
      <c r="S185" t="n">
        <v>1</v>
      </c>
      <c r="T185" t="n">
        <v>1</v>
      </c>
      <c r="U185" t="n">
        <v>0</v>
      </c>
      <c r="V185" s="2" t="inlineStr">
        <is>
          <t>Åsstarr</t>
        </is>
      </c>
      <c r="W185">
        <f>HYPERLINK("https://klasma.github.io/Logging_2380/artfynd/A 4311-2025 artfynd.xlsx", "A 4311-2025")</f>
        <v/>
      </c>
      <c r="X185">
        <f>HYPERLINK("https://klasma.github.io/Logging_2380/kartor/A 4311-2025 karta.png", "A 4311-2025")</f>
        <v/>
      </c>
      <c r="Y185">
        <f>HYPERLINK("https://klasma.github.io/Logging_2380/kartor_geotiff/A 4311-2025 georefererad karta.tif", "A 4311-2025")</f>
        <v/>
      </c>
      <c r="AA185">
        <f>HYPERLINK("https://klasma.github.io/Logging_2380/klagomål/A 4311-2025 FSC-klagomål.docx", "A 4311-2025")</f>
        <v/>
      </c>
      <c r="AB185">
        <f>HYPERLINK("https://klasma.github.io/Logging_2380/klagomålsmail/A 4311-2025 FSC-klagomål mail.docx", "A 4311-2025")</f>
        <v/>
      </c>
      <c r="AC185">
        <f>HYPERLINK("https://klasma.github.io/Logging_2380/tillsyn/A 4311-2025 tillsynsbegäran.docx", "A 4311-2025")</f>
        <v/>
      </c>
      <c r="AD185">
        <f>HYPERLINK("https://klasma.github.io/Logging_2380/tillsynsmail/A 4311-2025 tillsynsbegäran mail.docx", "A 4311-2025")</f>
        <v/>
      </c>
    </row>
    <row r="186" ht="15" customHeight="1">
      <c r="A186" t="inlineStr">
        <is>
          <t>A 2986-2026</t>
        </is>
      </c>
      <c r="B186" t="inlineStr">
        <is>
          <t>avverkningsanmälan</t>
        </is>
      </c>
      <c r="C186" t="inlineStr">
        <is>
          <t>Föryngringsavverkning</t>
        </is>
      </c>
      <c r="D186" s="1" t="n">
        <v>46038</v>
      </c>
      <c r="E186" s="1" t="n">
        <v>46312</v>
      </c>
      <c r="F186" t="inlineStr">
        <is>
          <t>JÄMTLANDS LÄN</t>
        </is>
      </c>
      <c r="G186" t="inlineStr">
        <is>
          <t>ÖSTERSUND</t>
        </is>
      </c>
      <c r="I186" t="n">
        <v>8.6</v>
      </c>
      <c r="J186" t="n">
        <v>1</v>
      </c>
      <c r="K186" t="n">
        <v>0</v>
      </c>
      <c r="L186" t="n">
        <v>0</v>
      </c>
      <c r="M186" t="n">
        <v>0</v>
      </c>
      <c r="N186" t="n">
        <v>0</v>
      </c>
      <c r="O186" t="n">
        <v>0</v>
      </c>
      <c r="P186" t="n">
        <v>0</v>
      </c>
      <c r="Q186" t="n">
        <v>0</v>
      </c>
      <c r="R186" t="n">
        <v>0</v>
      </c>
      <c r="S186" t="n">
        <v>1</v>
      </c>
      <c r="T186" t="n">
        <v>1</v>
      </c>
      <c r="U186" t="n">
        <v>0</v>
      </c>
      <c r="V186" s="2" t="inlineStr">
        <is>
          <t>Fläcknycklar</t>
        </is>
      </c>
      <c r="W186">
        <f>HYPERLINK("https://klasma.github.io/Logging_2380/artfynd/A 2986-2026 artfynd.xlsx", "A 2986-2026")</f>
        <v/>
      </c>
      <c r="X186">
        <f>HYPERLINK("https://klasma.github.io/Logging_2380/kartor/A 2986-2026 karta.png", "A 2986-2026")</f>
        <v/>
      </c>
      <c r="Y186">
        <f>HYPERLINK("https://klasma.github.io/Logging_2380/kartor_geotiff/A 2986-2026 georefererad karta.tif", "A 2986-2026")</f>
        <v/>
      </c>
      <c r="AA186">
        <f>HYPERLINK("https://klasma.github.io/Logging_2380/klagomål/A 2986-2026 FSC-klagomål.docx", "A 2986-2026")</f>
        <v/>
      </c>
      <c r="AB186">
        <f>HYPERLINK("https://klasma.github.io/Logging_2380/klagomålsmail/A 2986-2026 FSC-klagomål mail.docx", "A 2986-2026")</f>
        <v/>
      </c>
      <c r="AC186">
        <f>HYPERLINK("https://klasma.github.io/Logging_2380/tillsyn/A 2986-2026 tillsynsbegäran.docx", "A 2986-2026")</f>
        <v/>
      </c>
      <c r="AD186">
        <f>HYPERLINK("https://klasma.github.io/Logging_2380/tillsynsmail/A 2986-2026 tillsynsbegäran mail.docx", "A 2986-2026")</f>
        <v/>
      </c>
    </row>
    <row r="187" ht="15" customHeight="1">
      <c r="A187" t="inlineStr">
        <is>
          <t>A 32225-2024</t>
        </is>
      </c>
      <c r="B187" t="inlineStr">
        <is>
          <t>avverkningsanmälan</t>
        </is>
      </c>
      <c r="C187" t="inlineStr">
        <is>
          <t>Föryngringsavverkning</t>
        </is>
      </c>
      <c r="D187" s="1" t="n">
        <v>45511</v>
      </c>
      <c r="E187" s="1" t="n">
        <v>46312</v>
      </c>
      <c r="F187" t="inlineStr">
        <is>
          <t>JÄMTLANDS LÄN</t>
        </is>
      </c>
      <c r="G187" t="inlineStr">
        <is>
          <t>ÖSTERSUND</t>
        </is>
      </c>
      <c r="I187" t="n">
        <v>2</v>
      </c>
      <c r="J187" t="n">
        <v>1</v>
      </c>
      <c r="K187" t="n">
        <v>0</v>
      </c>
      <c r="L187" t="n">
        <v>0</v>
      </c>
      <c r="M187" t="n">
        <v>0</v>
      </c>
      <c r="N187" t="n">
        <v>0</v>
      </c>
      <c r="O187" t="n">
        <v>0</v>
      </c>
      <c r="P187" t="n">
        <v>0</v>
      </c>
      <c r="Q187" t="n">
        <v>0</v>
      </c>
      <c r="R187" t="n">
        <v>0</v>
      </c>
      <c r="S187" t="n">
        <v>1</v>
      </c>
      <c r="T187" t="n">
        <v>1</v>
      </c>
      <c r="U187" t="n">
        <v>1</v>
      </c>
      <c r="V187" s="2" t="inlineStr">
        <is>
          <t>Blåsippa</t>
        </is>
      </c>
      <c r="W187">
        <f>HYPERLINK("https://klasma.github.io/Logging_2380/artfynd/A 32225-2024 artfynd.xlsx", "A 32225-2024")</f>
        <v/>
      </c>
      <c r="X187">
        <f>HYPERLINK("https://klasma.github.io/Logging_2380/kartor/A 32225-2024 karta.png", "A 32225-2024")</f>
        <v/>
      </c>
      <c r="Y187">
        <f>HYPERLINK("https://klasma.github.io/Logging_2380/kartor_geotiff/A 32225-2024 georefererad karta.tif", "A 32225-2024")</f>
        <v/>
      </c>
      <c r="AA187">
        <f>HYPERLINK("https://klasma.github.io/Logging_2380/klagomål/A 32225-2024 FSC-klagomål.docx", "A 32225-2024")</f>
        <v/>
      </c>
      <c r="AB187">
        <f>HYPERLINK("https://klasma.github.io/Logging_2380/klagomålsmail/A 32225-2024 FSC-klagomål mail.docx", "A 32225-2024")</f>
        <v/>
      </c>
      <c r="AC187">
        <f>HYPERLINK("https://klasma.github.io/Logging_2380/tillsyn/A 32225-2024 tillsynsbegäran.docx", "A 32225-2024")</f>
        <v/>
      </c>
      <c r="AD187">
        <f>HYPERLINK("https://klasma.github.io/Logging_2380/tillsynsmail/A 32225-2024 tillsynsbegäran mail.docx", "A 32225-2024")</f>
        <v/>
      </c>
    </row>
    <row r="188" ht="15" customHeight="1">
      <c r="A188" t="inlineStr">
        <is>
          <t>A 64380-2023</t>
        </is>
      </c>
      <c r="B188" t="inlineStr">
        <is>
          <t>avverkningsanmälan</t>
        </is>
      </c>
      <c r="C188" t="inlineStr">
        <is>
          <t>Föryngringsavverkning</t>
        </is>
      </c>
      <c r="D188" s="1" t="n">
        <v>45280</v>
      </c>
      <c r="E188" s="1" t="n">
        <v>46312</v>
      </c>
      <c r="F188" t="inlineStr">
        <is>
          <t>JÄMTLANDS LÄN</t>
        </is>
      </c>
      <c r="G188" t="inlineStr">
        <is>
          <t>ÖSTERSUND</t>
        </is>
      </c>
      <c r="I188" t="n">
        <v>12.4</v>
      </c>
      <c r="J188" t="n">
        <v>0</v>
      </c>
      <c r="K188" t="n">
        <v>0</v>
      </c>
      <c r="L188" t="n">
        <v>1</v>
      </c>
      <c r="M188" t="n">
        <v>0</v>
      </c>
      <c r="N188" t="n">
        <v>0</v>
      </c>
      <c r="O188" t="n">
        <v>0</v>
      </c>
      <c r="P188" t="n">
        <v>0</v>
      </c>
      <c r="Q188" t="n">
        <v>1</v>
      </c>
      <c r="R188" t="n">
        <v>0</v>
      </c>
      <c r="S188" t="n">
        <v>1</v>
      </c>
      <c r="T188" t="n">
        <v>1</v>
      </c>
      <c r="U188" t="n">
        <v>0</v>
      </c>
      <c r="V188" s="2" t="inlineStr">
        <is>
          <t>Luddfingersvamp</t>
        </is>
      </c>
      <c r="W188">
        <f>HYPERLINK("https://klasma.github.io/Logging_2380/artfynd/A 64380-2023 artfynd.xlsx", "A 64380-2023")</f>
        <v/>
      </c>
      <c r="X188">
        <f>HYPERLINK("https://klasma.github.io/Logging_2380/kartor/A 64380-2023 karta.png", "A 64380-2023")</f>
        <v/>
      </c>
      <c r="Y188">
        <f>HYPERLINK("https://klasma.github.io/Logging_2380/kartor_geotiff/A 64380-2023 georefererad karta.tif", "A 64380-2023")</f>
        <v/>
      </c>
      <c r="AA188">
        <f>HYPERLINK("https://klasma.github.io/Logging_2380/klagomål/A 64380-2023 FSC-klagomål.docx", "A 64380-2023")</f>
        <v/>
      </c>
      <c r="AB188">
        <f>HYPERLINK("https://klasma.github.io/Logging_2380/klagomålsmail/A 64380-2023 FSC-klagomål mail.docx", "A 64380-2023")</f>
        <v/>
      </c>
      <c r="AC188">
        <f>HYPERLINK("https://klasma.github.io/Logging_2380/tillsyn/A 64380-2023 tillsynsbegäran.docx", "A 64380-2023")</f>
        <v/>
      </c>
      <c r="AD188">
        <f>HYPERLINK("https://klasma.github.io/Logging_2380/tillsynsmail/A 64380-2023 tillsynsbegäran mail.docx", "A 64380-2023")</f>
        <v/>
      </c>
    </row>
    <row r="189" ht="15" customHeight="1">
      <c r="A189" t="inlineStr">
        <is>
          <t>A 20860-2026</t>
        </is>
      </c>
      <c r="B189" t="inlineStr">
        <is>
          <t>avverkningsanmälan</t>
        </is>
      </c>
      <c r="C189" t="inlineStr">
        <is>
          <t>Avverkning för att bevara och utveckla /försöksver</t>
        </is>
      </c>
      <c r="D189" s="1" t="n">
        <v>46142</v>
      </c>
      <c r="E189" s="1" t="n">
        <v>46312</v>
      </c>
      <c r="F189" t="inlineStr">
        <is>
          <t>JÄMTLANDS LÄN</t>
        </is>
      </c>
      <c r="G189" t="inlineStr">
        <is>
          <t>ÖSTERSUND</t>
        </is>
      </c>
      <c r="H189" t="inlineStr">
        <is>
          <t>SCA</t>
        </is>
      </c>
      <c r="I189" t="n">
        <v>5.1</v>
      </c>
      <c r="J189" t="n">
        <v>0</v>
      </c>
      <c r="K189" t="n">
        <v>0</v>
      </c>
      <c r="L189" t="n">
        <v>1</v>
      </c>
      <c r="M189" t="n">
        <v>0</v>
      </c>
      <c r="N189" t="n">
        <v>0</v>
      </c>
      <c r="O189" t="n">
        <v>0</v>
      </c>
      <c r="P189" t="n">
        <v>0</v>
      </c>
      <c r="Q189" t="n">
        <v>1</v>
      </c>
      <c r="R189" t="n">
        <v>0</v>
      </c>
      <c r="S189" t="n">
        <v>1</v>
      </c>
      <c r="T189" t="n">
        <v>1</v>
      </c>
      <c r="U189" t="n">
        <v>0</v>
      </c>
      <c r="V189" s="2" t="inlineStr">
        <is>
          <t>Kolflarnlav</t>
        </is>
      </c>
      <c r="W189">
        <f>HYPERLINK("https://klasma.github.io/Logging_2380/artfynd/A 20860-2026 artfynd.xlsx", "A 20860-2026")</f>
        <v/>
      </c>
      <c r="X189">
        <f>HYPERLINK("https://klasma.github.io/Logging_2380/kartor/A 20860-2026 karta.png", "A 20860-2026")</f>
        <v/>
      </c>
      <c r="Y189">
        <f>HYPERLINK("https://klasma.github.io/Logging_2380/kartor_geotiff/A 20860-2026 georefererad karta.tif", "A 20860-2026")</f>
        <v/>
      </c>
      <c r="AA189">
        <f>HYPERLINK("https://klasma.github.io/Logging_2380/klagomål/A 20860-2026 FSC-klagomål.docx", "A 20860-2026")</f>
        <v/>
      </c>
      <c r="AB189">
        <f>HYPERLINK("https://klasma.github.io/Logging_2380/klagomålsmail/A 20860-2026 FSC-klagomål mail.docx", "A 20860-2026")</f>
        <v/>
      </c>
      <c r="AC189">
        <f>HYPERLINK("https://klasma.github.io/Logging_2380/tillsyn/A 20860-2026 tillsynsbegäran.docx", "A 20860-2026")</f>
        <v/>
      </c>
      <c r="AD189">
        <f>HYPERLINK("https://klasma.github.io/Logging_2380/tillsynsmail/A 20860-2026 tillsynsbegäran mail.docx", "A 20860-2026")</f>
        <v/>
      </c>
    </row>
    <row r="190" ht="15" customHeight="1">
      <c r="A190" t="inlineStr">
        <is>
          <t>A 3255-2025</t>
        </is>
      </c>
      <c r="B190" t="inlineStr">
        <is>
          <t>avverkningsanmälan</t>
        </is>
      </c>
      <c r="C190" t="inlineStr">
        <is>
          <t>Föryngringsavverkning</t>
        </is>
      </c>
      <c r="D190" s="1" t="n">
        <v>45679</v>
      </c>
      <c r="E190" s="1" t="n">
        <v>46312</v>
      </c>
      <c r="F190" t="inlineStr">
        <is>
          <t>JÄMTLANDS LÄN</t>
        </is>
      </c>
      <c r="G190" t="inlineStr">
        <is>
          <t>ÖSTERSUND</t>
        </is>
      </c>
      <c r="H190" t="inlineStr">
        <is>
          <t>SCA</t>
        </is>
      </c>
      <c r="I190" t="n">
        <v>16.7</v>
      </c>
      <c r="J190" t="n">
        <v>0</v>
      </c>
      <c r="K190" t="n">
        <v>0</v>
      </c>
      <c r="L190" t="n">
        <v>1</v>
      </c>
      <c r="M190" t="n">
        <v>0</v>
      </c>
      <c r="N190" t="n">
        <v>0</v>
      </c>
      <c r="O190" t="n">
        <v>0</v>
      </c>
      <c r="P190" t="n">
        <v>0</v>
      </c>
      <c r="Q190" t="n">
        <v>1</v>
      </c>
      <c r="R190" t="n">
        <v>0</v>
      </c>
      <c r="S190" t="n">
        <v>1</v>
      </c>
      <c r="T190" t="n">
        <v>1</v>
      </c>
      <c r="U190" t="n">
        <v>0</v>
      </c>
      <c r="V190" s="2" t="inlineStr">
        <is>
          <t>Harticka</t>
        </is>
      </c>
      <c r="W190">
        <f>HYPERLINK("https://klasma.github.io/Logging_2380/artfynd/A 3255-2025 artfynd.xlsx", "A 3255-2025")</f>
        <v/>
      </c>
      <c r="X190">
        <f>HYPERLINK("https://klasma.github.io/Logging_2380/kartor/A 3255-2025 karta.png", "A 3255-2025")</f>
        <v/>
      </c>
      <c r="Y190">
        <f>HYPERLINK("https://klasma.github.io/Logging_2380/kartor_geotiff/A 3255-2025 georefererad karta.tif", "A 3255-2025")</f>
        <v/>
      </c>
      <c r="AA190">
        <f>HYPERLINK("https://klasma.github.io/Logging_2380/klagomål/A 3255-2025 FSC-klagomål.docx", "A 3255-2025")</f>
        <v/>
      </c>
      <c r="AB190">
        <f>HYPERLINK("https://klasma.github.io/Logging_2380/klagomålsmail/A 3255-2025 FSC-klagomål mail.docx", "A 3255-2025")</f>
        <v/>
      </c>
      <c r="AC190">
        <f>HYPERLINK("https://klasma.github.io/Logging_2380/tillsyn/A 3255-2025 tillsynsbegäran.docx", "A 3255-2025")</f>
        <v/>
      </c>
      <c r="AD190">
        <f>HYPERLINK("https://klasma.github.io/Logging_2380/tillsynsmail/A 3255-2025 tillsynsbegäran mail.docx", "A 3255-2025")</f>
        <v/>
      </c>
    </row>
    <row r="191" ht="15" customHeight="1">
      <c r="A191" t="inlineStr">
        <is>
          <t>A 7233-2024</t>
        </is>
      </c>
      <c r="B191" t="inlineStr">
        <is>
          <t>avverkningsanmälan</t>
        </is>
      </c>
      <c r="C191" t="inlineStr">
        <is>
          <t>Föryngringsavverkning</t>
        </is>
      </c>
      <c r="D191" s="1" t="n">
        <v>45344</v>
      </c>
      <c r="E191" s="1" t="n">
        <v>46312</v>
      </c>
      <c r="F191" t="inlineStr">
        <is>
          <t>JÄMTLANDS LÄN</t>
        </is>
      </c>
      <c r="G191" t="inlineStr">
        <is>
          <t>ÖSTERSUND</t>
        </is>
      </c>
      <c r="I191" t="n">
        <v>1.2</v>
      </c>
      <c r="J191" t="n">
        <v>0</v>
      </c>
      <c r="K191" t="n">
        <v>0</v>
      </c>
      <c r="L191" t="n">
        <v>1</v>
      </c>
      <c r="M191" t="n">
        <v>0</v>
      </c>
      <c r="N191" t="n">
        <v>0</v>
      </c>
      <c r="O191" t="n">
        <v>0</v>
      </c>
      <c r="P191" t="n">
        <v>0</v>
      </c>
      <c r="Q191" t="n">
        <v>1</v>
      </c>
      <c r="R191" t="n">
        <v>0</v>
      </c>
      <c r="S191" t="n">
        <v>1</v>
      </c>
      <c r="T191" t="n">
        <v>1</v>
      </c>
      <c r="U191" t="n">
        <v>1</v>
      </c>
      <c r="V191" s="2" t="inlineStr">
        <is>
          <t>Slåtterfibbla</t>
        </is>
      </c>
      <c r="W191">
        <f>HYPERLINK("https://klasma.github.io/Logging_2380/artfynd/A 7233-2024 artfynd.xlsx", "A 7233-2024")</f>
        <v/>
      </c>
      <c r="X191">
        <f>HYPERLINK("https://klasma.github.io/Logging_2380/kartor/A 7233-2024 karta.png", "A 7233-2024")</f>
        <v/>
      </c>
      <c r="Y191">
        <f>HYPERLINK("https://klasma.github.io/Logging_2380/kartor_geotiff/A 7233-2024 georefererad karta.tif", "A 7233-2024")</f>
        <v/>
      </c>
      <c r="AA191">
        <f>HYPERLINK("https://klasma.github.io/Logging_2380/klagomål/A 7233-2024 FSC-klagomål.docx", "A 7233-2024")</f>
        <v/>
      </c>
      <c r="AB191">
        <f>HYPERLINK("https://klasma.github.io/Logging_2380/klagomålsmail/A 7233-2024 FSC-klagomål mail.docx", "A 7233-2024")</f>
        <v/>
      </c>
      <c r="AC191">
        <f>HYPERLINK("https://klasma.github.io/Logging_2380/tillsyn/A 7233-2024 tillsynsbegäran.docx", "A 7233-2024")</f>
        <v/>
      </c>
      <c r="AD191">
        <f>HYPERLINK("https://klasma.github.io/Logging_2380/tillsynsmail/A 7233-2024 tillsynsbegäran mail.docx", "A 7233-2024")</f>
        <v/>
      </c>
    </row>
    <row r="192" ht="15" customHeight="1">
      <c r="A192" t="inlineStr">
        <is>
          <t>A 54354-2024</t>
        </is>
      </c>
      <c r="B192" t="inlineStr">
        <is>
          <t>avverkningsanmälan</t>
        </is>
      </c>
      <c r="C192" t="inlineStr">
        <is>
          <t>Föryngringsavverkning</t>
        </is>
      </c>
      <c r="D192" s="1" t="n">
        <v>45617</v>
      </c>
      <c r="E192" s="1" t="n">
        <v>46312</v>
      </c>
      <c r="F192" t="inlineStr">
        <is>
          <t>JÄMTLANDS LÄN</t>
        </is>
      </c>
      <c r="G192" t="inlineStr">
        <is>
          <t>ÖSTERSUND</t>
        </is>
      </c>
      <c r="I192" t="n">
        <v>7</v>
      </c>
      <c r="J192" t="n">
        <v>1</v>
      </c>
      <c r="K192" t="n">
        <v>0</v>
      </c>
      <c r="L192" t="n">
        <v>1</v>
      </c>
      <c r="M192" t="n">
        <v>0</v>
      </c>
      <c r="N192" t="n">
        <v>0</v>
      </c>
      <c r="O192" t="n">
        <v>0</v>
      </c>
      <c r="P192" t="n">
        <v>0</v>
      </c>
      <c r="Q192" t="n">
        <v>1</v>
      </c>
      <c r="R192" t="n">
        <v>0</v>
      </c>
      <c r="S192" t="n">
        <v>1</v>
      </c>
      <c r="T192" t="n">
        <v>19</v>
      </c>
      <c r="U192" t="n">
        <v>19</v>
      </c>
      <c r="V192" s="2" t="inlineStr">
        <is>
          <t>Tretåig hackspett</t>
        </is>
      </c>
      <c r="W192">
        <f>HYPERLINK("https://klasma.github.io/Logging_2380/artfynd/A 54354-2024 artfynd.xlsx", "A 54354-2024")</f>
        <v/>
      </c>
      <c r="X192">
        <f>HYPERLINK("https://klasma.github.io/Logging_2380/kartor/A 54354-2024 karta.png", "A 54354-2024")</f>
        <v/>
      </c>
      <c r="Y192">
        <f>HYPERLINK("https://klasma.github.io/Logging_2380/kartor_geotiff/A 54354-2024 georefererad karta.tif", "A 54354-2024")</f>
        <v/>
      </c>
      <c r="AA192">
        <f>HYPERLINK("https://klasma.github.io/Logging_2380/klagomål/A 54354-2024 FSC-klagomål.docx", "A 54354-2024")</f>
        <v/>
      </c>
      <c r="AB192">
        <f>HYPERLINK("https://klasma.github.io/Logging_2380/klagomålsmail/A 54354-2024 FSC-klagomål mail.docx", "A 54354-2024")</f>
        <v/>
      </c>
      <c r="AC192">
        <f>HYPERLINK("https://klasma.github.io/Logging_2380/tillsyn/A 54354-2024 tillsynsbegäran.docx", "A 54354-2024")</f>
        <v/>
      </c>
      <c r="AD192">
        <f>HYPERLINK("https://klasma.github.io/Logging_2380/tillsynsmail/A 54354-2024 tillsynsbegäran mail.docx", "A 54354-2024")</f>
        <v/>
      </c>
      <c r="AE192">
        <f>HYPERLINK("https://klasma.github.io/Logging_2380/fåglar/A 54354-2024 prioriterade fågelarter.docx", "A 54354-2024")</f>
        <v/>
      </c>
    </row>
    <row r="193" ht="15" customHeight="1">
      <c r="A193" t="inlineStr">
        <is>
          <t>A 31883-2024</t>
        </is>
      </c>
      <c r="B193" t="inlineStr">
        <is>
          <t>avverkningsanmälan</t>
        </is>
      </c>
      <c r="C193" t="inlineStr">
        <is>
          <t>Föryngringsavverkning</t>
        </is>
      </c>
      <c r="D193" s="1" t="n">
        <v>45509</v>
      </c>
      <c r="E193" s="1" t="n">
        <v>46312</v>
      </c>
      <c r="F193" t="inlineStr">
        <is>
          <t>JÄMTLANDS LÄN</t>
        </is>
      </c>
      <c r="G193" t="inlineStr">
        <is>
          <t>ÖSTERSUND</t>
        </is>
      </c>
      <c r="H193" t="inlineStr">
        <is>
          <t>SCA</t>
        </is>
      </c>
      <c r="I193" t="n">
        <v>3.3</v>
      </c>
      <c r="J193" t="n">
        <v>1</v>
      </c>
      <c r="K193" t="n">
        <v>0</v>
      </c>
      <c r="L193" t="n">
        <v>0</v>
      </c>
      <c r="M193" t="n">
        <v>1</v>
      </c>
      <c r="N193" t="n">
        <v>0</v>
      </c>
      <c r="O193" t="n">
        <v>0</v>
      </c>
      <c r="P193" t="n">
        <v>0</v>
      </c>
      <c r="Q193" t="n">
        <v>1</v>
      </c>
      <c r="R193" t="n">
        <v>1</v>
      </c>
      <c r="S193" t="n">
        <v>1</v>
      </c>
      <c r="T193" t="n">
        <v>1</v>
      </c>
      <c r="U193" t="n">
        <v>0</v>
      </c>
      <c r="V193" s="2" t="inlineStr">
        <is>
          <t>Doftticka</t>
        </is>
      </c>
      <c r="W193">
        <f>HYPERLINK("https://klasma.github.io/Logging_2380/artfynd/A 31883-2024 artfynd.xlsx", "A 31883-2024")</f>
        <v/>
      </c>
      <c r="X193">
        <f>HYPERLINK("https://klasma.github.io/Logging_2380/kartor/A 31883-2024 karta.png", "A 31883-2024")</f>
        <v/>
      </c>
      <c r="Y193">
        <f>HYPERLINK("https://klasma.github.io/Logging_2380/kartor_geotiff/A 31883-2024 georefererad karta.tif", "A 31883-2024")</f>
        <v/>
      </c>
      <c r="AA193">
        <f>HYPERLINK("https://klasma.github.io/Logging_2380/klagomål/A 31883-2024 FSC-klagomål.docx", "A 31883-2024")</f>
        <v/>
      </c>
      <c r="AB193">
        <f>HYPERLINK("https://klasma.github.io/Logging_2380/klagomålsmail/A 31883-2024 FSC-klagomål mail.docx", "A 31883-2024")</f>
        <v/>
      </c>
      <c r="AC193">
        <f>HYPERLINK("https://klasma.github.io/Logging_2380/tillsyn/A 31883-2024 tillsynsbegäran.docx", "A 31883-2024")</f>
        <v/>
      </c>
      <c r="AD193">
        <f>HYPERLINK("https://klasma.github.io/Logging_2380/tillsynsmail/A 31883-2024 tillsynsbegäran mail.docx", "A 31883-2024")</f>
        <v/>
      </c>
    </row>
    <row r="194" ht="15" customHeight="1">
      <c r="A194" t="inlineStr">
        <is>
          <t>A 61451-2024</t>
        </is>
      </c>
      <c r="B194" t="inlineStr">
        <is>
          <t>avverkningsanmälan</t>
        </is>
      </c>
      <c r="C194" t="inlineStr">
        <is>
          <t>Avverkning för att bevara och utveckla /försöksver</t>
        </is>
      </c>
      <c r="D194" s="1" t="n">
        <v>45646</v>
      </c>
      <c r="E194" s="1" t="n">
        <v>46312</v>
      </c>
      <c r="F194" t="inlineStr">
        <is>
          <t>JÄMTLANDS LÄN</t>
        </is>
      </c>
      <c r="G194" t="inlineStr">
        <is>
          <t>ÖSTERSUND</t>
        </is>
      </c>
      <c r="H194" t="inlineStr">
        <is>
          <t>SCA</t>
        </is>
      </c>
      <c r="I194" t="n">
        <v>2.4</v>
      </c>
      <c r="J194" t="n">
        <v>1</v>
      </c>
      <c r="K194" t="n">
        <v>0</v>
      </c>
      <c r="L194" t="n">
        <v>1</v>
      </c>
      <c r="M194" t="n">
        <v>0</v>
      </c>
      <c r="N194" t="n">
        <v>0</v>
      </c>
      <c r="O194" t="n">
        <v>0</v>
      </c>
      <c r="P194" t="n">
        <v>0</v>
      </c>
      <c r="Q194" t="n">
        <v>1</v>
      </c>
      <c r="R194" t="n">
        <v>0</v>
      </c>
      <c r="S194" t="n">
        <v>1</v>
      </c>
      <c r="T194" t="n">
        <v>1</v>
      </c>
      <c r="U194" t="n">
        <v>1</v>
      </c>
      <c r="V194" s="2" t="inlineStr">
        <is>
          <t>Tretåig hackspett</t>
        </is>
      </c>
      <c r="W194">
        <f>HYPERLINK("https://klasma.github.io/Logging_2380/artfynd/A 61451-2024 artfynd.xlsx", "A 61451-2024")</f>
        <v/>
      </c>
      <c r="X194">
        <f>HYPERLINK("https://klasma.github.io/Logging_2380/kartor/A 61451-2024 karta.png", "A 61451-2024")</f>
        <v/>
      </c>
      <c r="Y194">
        <f>HYPERLINK("https://klasma.github.io/Logging_2380/kartor_geotiff/A 61451-2024 georefererad karta.tif", "A 61451-2024")</f>
        <v/>
      </c>
      <c r="AA194">
        <f>HYPERLINK("https://klasma.github.io/Logging_2380/klagomål/A 61451-2024 FSC-klagomål.docx", "A 61451-2024")</f>
        <v/>
      </c>
      <c r="AB194">
        <f>HYPERLINK("https://klasma.github.io/Logging_2380/klagomålsmail/A 61451-2024 FSC-klagomål mail.docx", "A 61451-2024")</f>
        <v/>
      </c>
      <c r="AC194">
        <f>HYPERLINK("https://klasma.github.io/Logging_2380/tillsyn/A 61451-2024 tillsynsbegäran.docx", "A 61451-2024")</f>
        <v/>
      </c>
      <c r="AD194">
        <f>HYPERLINK("https://klasma.github.io/Logging_2380/tillsynsmail/A 61451-2024 tillsynsbegäran mail.docx", "A 61451-2024")</f>
        <v/>
      </c>
      <c r="AE194">
        <f>HYPERLINK("https://klasma.github.io/Logging_2380/fåglar/A 61451-2024 prioriterade fågelarter.docx", "A 61451-2024")</f>
        <v/>
      </c>
    </row>
    <row r="195" ht="15" customHeight="1">
      <c r="A195" t="inlineStr">
        <is>
          <t>A 39975-2024</t>
        </is>
      </c>
      <c r="B195" t="inlineStr">
        <is>
          <t>avverkningsanmälan</t>
        </is>
      </c>
      <c r="C195" t="inlineStr">
        <is>
          <t>Föryngringsavverkning</t>
        </is>
      </c>
      <c r="D195" s="1" t="n">
        <v>45553</v>
      </c>
      <c r="E195" s="1" t="n">
        <v>46312</v>
      </c>
      <c r="F195" t="inlineStr">
        <is>
          <t>JÄMTLANDS LÄN</t>
        </is>
      </c>
      <c r="G195" t="inlineStr">
        <is>
          <t>ÖSTERSUND</t>
        </is>
      </c>
      <c r="I195" t="n">
        <v>3.8</v>
      </c>
      <c r="J195" t="n">
        <v>1</v>
      </c>
      <c r="K195" t="n">
        <v>0</v>
      </c>
      <c r="L195" t="n">
        <v>1</v>
      </c>
      <c r="M195" t="n">
        <v>0</v>
      </c>
      <c r="N195" t="n">
        <v>0</v>
      </c>
      <c r="O195" t="n">
        <v>0</v>
      </c>
      <c r="P195" t="n">
        <v>0</v>
      </c>
      <c r="Q195" t="n">
        <v>1</v>
      </c>
      <c r="R195" t="n">
        <v>0</v>
      </c>
      <c r="S195" t="n">
        <v>1</v>
      </c>
      <c r="T195" t="n">
        <v>1</v>
      </c>
      <c r="U195" t="n">
        <v>1</v>
      </c>
      <c r="V195" s="2" t="inlineStr">
        <is>
          <t>Lavskrika</t>
        </is>
      </c>
      <c r="W195">
        <f>HYPERLINK("https://klasma.github.io/Logging_2380/artfynd/A 39975-2024 artfynd.xlsx", "A 39975-2024")</f>
        <v/>
      </c>
      <c r="X195">
        <f>HYPERLINK("https://klasma.github.io/Logging_2380/kartor/A 39975-2024 karta.png", "A 39975-2024")</f>
        <v/>
      </c>
      <c r="Y195">
        <f>HYPERLINK("https://klasma.github.io/Logging_2380/kartor_geotiff/A 39975-2024 georefererad karta.tif", "A 39975-2024")</f>
        <v/>
      </c>
      <c r="AA195">
        <f>HYPERLINK("https://klasma.github.io/Logging_2380/klagomål/A 39975-2024 FSC-klagomål.docx", "A 39975-2024")</f>
        <v/>
      </c>
      <c r="AB195">
        <f>HYPERLINK("https://klasma.github.io/Logging_2380/klagomålsmail/A 39975-2024 FSC-klagomål mail.docx", "A 39975-2024")</f>
        <v/>
      </c>
      <c r="AC195">
        <f>HYPERLINK("https://klasma.github.io/Logging_2380/tillsyn/A 39975-2024 tillsynsbegäran.docx", "A 39975-2024")</f>
        <v/>
      </c>
      <c r="AD195">
        <f>HYPERLINK("https://klasma.github.io/Logging_2380/tillsynsmail/A 39975-2024 tillsynsbegäran mail.docx", "A 39975-2024")</f>
        <v/>
      </c>
      <c r="AE195">
        <f>HYPERLINK("https://klasma.github.io/Logging_2380/fåglar/A 39975-2024 prioriterade fågelarter.docx", "A 39975-2024")</f>
        <v/>
      </c>
    </row>
    <row r="196" ht="15" customHeight="1">
      <c r="A196" t="inlineStr">
        <is>
          <t>A 58181-2022</t>
        </is>
      </c>
      <c r="B196" t="inlineStr">
        <is>
          <t>avverkningsanmälan</t>
        </is>
      </c>
      <c r="C196" t="inlineStr">
        <is>
          <t>Föryngringsavverkning</t>
        </is>
      </c>
      <c r="D196" s="1" t="n">
        <v>44900</v>
      </c>
      <c r="E196" s="1" t="n">
        <v>46312</v>
      </c>
      <c r="F196" t="inlineStr">
        <is>
          <t>JÄMTLANDS LÄN</t>
        </is>
      </c>
      <c r="G196" t="inlineStr">
        <is>
          <t>ÖSTERSUND</t>
        </is>
      </c>
      <c r="I196" t="n">
        <v>14.8</v>
      </c>
      <c r="J196" t="n">
        <v>0</v>
      </c>
      <c r="K196" t="n">
        <v>1</v>
      </c>
      <c r="L196" t="n">
        <v>0</v>
      </c>
      <c r="M196" t="n">
        <v>0</v>
      </c>
      <c r="N196" t="n">
        <v>0</v>
      </c>
      <c r="O196" t="n">
        <v>0</v>
      </c>
      <c r="P196" t="n">
        <v>0</v>
      </c>
      <c r="Q196" t="n">
        <v>0</v>
      </c>
      <c r="R196" t="n">
        <v>0</v>
      </c>
      <c r="S196" t="n">
        <v>1</v>
      </c>
      <c r="T196" t="n">
        <v>1</v>
      </c>
      <c r="U196" t="n">
        <v>0</v>
      </c>
      <c r="V196" s="2" t="inlineStr">
        <is>
          <t>Finbräken</t>
        </is>
      </c>
      <c r="W196">
        <f>HYPERLINK("https://klasma.github.io/Logging_2380/artfynd/A 58181-2022 artfynd.xlsx", "A 58181-2022")</f>
        <v/>
      </c>
      <c r="X196">
        <f>HYPERLINK("https://klasma.github.io/Logging_2380/kartor/A 58181-2022 karta.png", "A 58181-2022")</f>
        <v/>
      </c>
      <c r="Y196">
        <f>HYPERLINK("https://klasma.github.io/Logging_2380/kartor_geotiff/A 58181-2022 georefererad karta.tif", "A 58181-2022")</f>
        <v/>
      </c>
      <c r="AA196">
        <f>HYPERLINK("https://klasma.github.io/Logging_2380/klagomål/A 58181-2022 FSC-klagomål.docx", "A 58181-2022")</f>
        <v/>
      </c>
      <c r="AB196">
        <f>HYPERLINK("https://klasma.github.io/Logging_2380/klagomålsmail/A 58181-2022 FSC-klagomål mail.docx", "A 58181-2022")</f>
        <v/>
      </c>
      <c r="AC196">
        <f>HYPERLINK("https://klasma.github.io/Logging_2380/tillsyn/A 58181-2022 tillsynsbegäran.docx", "A 58181-2022")</f>
        <v/>
      </c>
      <c r="AD196">
        <f>HYPERLINK("https://klasma.github.io/Logging_2380/tillsynsmail/A 58181-2022 tillsynsbegäran mail.docx", "A 58181-2022")</f>
        <v/>
      </c>
    </row>
    <row r="197" ht="15" customHeight="1">
      <c r="A197" t="inlineStr">
        <is>
          <t>A 55179-2025</t>
        </is>
      </c>
      <c r="B197" t="inlineStr">
        <is>
          <t>avverkningsanmälan</t>
        </is>
      </c>
      <c r="C197" t="inlineStr">
        <is>
          <t>Föryngringsavverkning</t>
        </is>
      </c>
      <c r="D197" s="1" t="n">
        <v>45968</v>
      </c>
      <c r="E197" s="1" t="n">
        <v>46312</v>
      </c>
      <c r="F197" t="inlineStr">
        <is>
          <t>JÄMTLANDS LÄN</t>
        </is>
      </c>
      <c r="G197" t="inlineStr">
        <is>
          <t>ÖSTERSUND</t>
        </is>
      </c>
      <c r="H197" t="inlineStr">
        <is>
          <t>SCA</t>
        </is>
      </c>
      <c r="I197" t="n">
        <v>2.2</v>
      </c>
      <c r="J197" t="n">
        <v>0</v>
      </c>
      <c r="K197" t="n">
        <v>0</v>
      </c>
      <c r="L197" t="n">
        <v>0</v>
      </c>
      <c r="M197" t="n">
        <v>1</v>
      </c>
      <c r="N197" t="n">
        <v>0</v>
      </c>
      <c r="O197" t="n">
        <v>0</v>
      </c>
      <c r="P197" t="n">
        <v>0</v>
      </c>
      <c r="Q197" t="n">
        <v>1</v>
      </c>
      <c r="R197" t="n">
        <v>1</v>
      </c>
      <c r="S197" t="n">
        <v>1</v>
      </c>
      <c r="T197" t="n">
        <v>1</v>
      </c>
      <c r="U197" t="n">
        <v>0</v>
      </c>
      <c r="V197" s="2" t="inlineStr">
        <is>
          <t>Gräddporing</t>
        </is>
      </c>
      <c r="W197">
        <f>HYPERLINK("https://klasma.github.io/Logging_2380/artfynd/A 55179-2025 artfynd.xlsx", "A 55179-2025")</f>
        <v/>
      </c>
      <c r="X197">
        <f>HYPERLINK("https://klasma.github.io/Logging_2380/kartor/A 55179-2025 karta.png", "A 55179-2025")</f>
        <v/>
      </c>
      <c r="Y197">
        <f>HYPERLINK("https://klasma.github.io/Logging_2380/kartor_geotiff/A 55179-2025 georefererad karta.tif", "A 55179-2025")</f>
        <v/>
      </c>
      <c r="AA197">
        <f>HYPERLINK("https://klasma.github.io/Logging_2380/klagomål/A 55179-2025 FSC-klagomål.docx", "A 55179-2025")</f>
        <v/>
      </c>
      <c r="AB197">
        <f>HYPERLINK("https://klasma.github.io/Logging_2380/klagomålsmail/A 55179-2025 FSC-klagomål mail.docx", "A 55179-2025")</f>
        <v/>
      </c>
      <c r="AC197">
        <f>HYPERLINK("https://klasma.github.io/Logging_2380/tillsyn/A 55179-2025 tillsynsbegäran.docx", "A 55179-2025")</f>
        <v/>
      </c>
      <c r="AD197">
        <f>HYPERLINK("https://klasma.github.io/Logging_2380/tillsynsmail/A 55179-2025 tillsynsbegäran mail.docx", "A 55179-2025")</f>
        <v/>
      </c>
    </row>
    <row r="198" ht="15" customHeight="1">
      <c r="A198" t="inlineStr">
        <is>
          <t>A 33267-2022</t>
        </is>
      </c>
      <c r="B198" t="inlineStr">
        <is>
          <t>avverkningsanmälan</t>
        </is>
      </c>
      <c r="C198" t="inlineStr">
        <is>
          <t>Föryngringsavverkning</t>
        </is>
      </c>
      <c r="D198" s="1" t="n">
        <v>44785</v>
      </c>
      <c r="E198" s="1" t="n">
        <v>46312</v>
      </c>
      <c r="F198" t="inlineStr">
        <is>
          <t>JÄMTLANDS LÄN</t>
        </is>
      </c>
      <c r="G198" t="inlineStr">
        <is>
          <t>ÖSTERSUND</t>
        </is>
      </c>
      <c r="I198" t="n">
        <v>0.9</v>
      </c>
      <c r="J198" t="n">
        <v>1</v>
      </c>
      <c r="K198" t="n">
        <v>0</v>
      </c>
      <c r="L198" t="n">
        <v>1</v>
      </c>
      <c r="M198" t="n">
        <v>0</v>
      </c>
      <c r="N198" t="n">
        <v>0</v>
      </c>
      <c r="O198" t="n">
        <v>0</v>
      </c>
      <c r="P198" t="n">
        <v>0</v>
      </c>
      <c r="Q198" t="n">
        <v>1</v>
      </c>
      <c r="R198" t="n">
        <v>0</v>
      </c>
      <c r="S198" t="n">
        <v>1</v>
      </c>
      <c r="T198" t="n">
        <v>1</v>
      </c>
      <c r="U198" t="n">
        <v>0</v>
      </c>
      <c r="V198" s="2" t="inlineStr">
        <is>
          <t>Talltita</t>
        </is>
      </c>
      <c r="W198">
        <f>HYPERLINK("https://klasma.github.io/Logging_2380/artfynd/A 33267-2022 artfynd.xlsx", "A 33267-2022")</f>
        <v/>
      </c>
      <c r="X198">
        <f>HYPERLINK("https://klasma.github.io/Logging_2380/kartor/A 33267-2022 karta.png", "A 33267-2022")</f>
        <v/>
      </c>
      <c r="Y198">
        <f>HYPERLINK("https://klasma.github.io/Logging_2380/kartor_geotiff/A 33267-2022 georefererad karta.tif", "A 33267-2022")</f>
        <v/>
      </c>
      <c r="AA198">
        <f>HYPERLINK("https://klasma.github.io/Logging_2380/klagomål/A 33267-2022 FSC-klagomål.docx", "A 33267-2022")</f>
        <v/>
      </c>
      <c r="AB198">
        <f>HYPERLINK("https://klasma.github.io/Logging_2380/klagomålsmail/A 33267-2022 FSC-klagomål mail.docx", "A 33267-2022")</f>
        <v/>
      </c>
      <c r="AC198">
        <f>HYPERLINK("https://klasma.github.io/Logging_2380/tillsyn/A 33267-2022 tillsynsbegäran.docx", "A 33267-2022")</f>
        <v/>
      </c>
      <c r="AD198">
        <f>HYPERLINK("https://klasma.github.io/Logging_2380/tillsynsmail/A 33267-2022 tillsynsbegäran mail.docx", "A 33267-2022")</f>
        <v/>
      </c>
      <c r="AE198">
        <f>HYPERLINK("https://klasma.github.io/Logging_2380/fåglar/A 33267-2022 prioriterade fågelarter.docx", "A 33267-2022")</f>
        <v/>
      </c>
    </row>
    <row r="199" ht="15" customHeight="1">
      <c r="A199" t="inlineStr">
        <is>
          <t>A 57065-2024</t>
        </is>
      </c>
      <c r="B199" t="inlineStr">
        <is>
          <t>avverkningsanmälan</t>
        </is>
      </c>
      <c r="C199" t="inlineStr">
        <is>
          <t>Föryngringsavverkning</t>
        </is>
      </c>
      <c r="D199" s="1" t="n">
        <v>45629</v>
      </c>
      <c r="E199" s="1" t="n">
        <v>46312</v>
      </c>
      <c r="F199" t="inlineStr">
        <is>
          <t>JÄMTLANDS LÄN</t>
        </is>
      </c>
      <c r="G199" t="inlineStr">
        <is>
          <t>ÖSTERSUND</t>
        </is>
      </c>
      <c r="H199" t="inlineStr">
        <is>
          <t>SCA</t>
        </is>
      </c>
      <c r="I199" t="n">
        <v>6.3</v>
      </c>
      <c r="J199" t="n">
        <v>1</v>
      </c>
      <c r="K199" t="n">
        <v>0</v>
      </c>
      <c r="L199" t="n">
        <v>1</v>
      </c>
      <c r="M199" t="n">
        <v>0</v>
      </c>
      <c r="N199" t="n">
        <v>0</v>
      </c>
      <c r="O199" t="n">
        <v>0</v>
      </c>
      <c r="P199" t="n">
        <v>0</v>
      </c>
      <c r="Q199" t="n">
        <v>1</v>
      </c>
      <c r="R199" t="n">
        <v>0</v>
      </c>
      <c r="S199" t="n">
        <v>1</v>
      </c>
      <c r="T199" t="n">
        <v>1</v>
      </c>
      <c r="U199" t="n">
        <v>0</v>
      </c>
      <c r="V199" s="2" t="inlineStr">
        <is>
          <t>Tretåig hackspett</t>
        </is>
      </c>
      <c r="W199">
        <f>HYPERLINK("https://klasma.github.io/Logging_2380/artfynd/A 57065-2024 artfynd.xlsx", "A 57065-2024")</f>
        <v/>
      </c>
      <c r="X199">
        <f>HYPERLINK("https://klasma.github.io/Logging_2380/kartor/A 57065-2024 karta.png", "A 57065-2024")</f>
        <v/>
      </c>
      <c r="Y199">
        <f>HYPERLINK("https://klasma.github.io/Logging_2380/kartor_geotiff/A 57065-2024 georefererad karta.tif", "A 57065-2024")</f>
        <v/>
      </c>
      <c r="AA199">
        <f>HYPERLINK("https://klasma.github.io/Logging_2380/klagomål/A 57065-2024 FSC-klagomål.docx", "A 57065-2024")</f>
        <v/>
      </c>
      <c r="AB199">
        <f>HYPERLINK("https://klasma.github.io/Logging_2380/klagomålsmail/A 57065-2024 FSC-klagomål mail.docx", "A 57065-2024")</f>
        <v/>
      </c>
      <c r="AC199">
        <f>HYPERLINK("https://klasma.github.io/Logging_2380/tillsyn/A 57065-2024 tillsynsbegäran.docx", "A 57065-2024")</f>
        <v/>
      </c>
      <c r="AD199">
        <f>HYPERLINK("https://klasma.github.io/Logging_2380/tillsynsmail/A 57065-2024 tillsynsbegäran mail.docx", "A 57065-2024")</f>
        <v/>
      </c>
      <c r="AE199">
        <f>HYPERLINK("https://klasma.github.io/Logging_2380/fåglar/A 57065-2024 prioriterade fågelarter.docx", "A 57065-2024")</f>
        <v/>
      </c>
    </row>
    <row r="200" ht="15" customHeight="1">
      <c r="A200" t="inlineStr">
        <is>
          <t>A 60966-2025</t>
        </is>
      </c>
      <c r="B200" t="inlineStr">
        <is>
          <t>avverkningsanmälan</t>
        </is>
      </c>
      <c r="C200" t="inlineStr">
        <is>
          <t>Föryngringsavverkning</t>
        </is>
      </c>
      <c r="D200" s="1" t="n">
        <v>45999</v>
      </c>
      <c r="E200" s="1" t="n">
        <v>46312</v>
      </c>
      <c r="F200" t="inlineStr">
        <is>
          <t>JÄMTLANDS LÄN</t>
        </is>
      </c>
      <c r="G200" t="inlineStr">
        <is>
          <t>ÖSTERSUND</t>
        </is>
      </c>
      <c r="H200" t="inlineStr">
        <is>
          <t>SCA</t>
        </is>
      </c>
      <c r="I200" t="n">
        <v>1.9</v>
      </c>
      <c r="J200" t="n">
        <v>1</v>
      </c>
      <c r="K200" t="n">
        <v>1</v>
      </c>
      <c r="L200" t="n">
        <v>0</v>
      </c>
      <c r="M200" t="n">
        <v>0</v>
      </c>
      <c r="N200" t="n">
        <v>0</v>
      </c>
      <c r="O200" t="n">
        <v>0</v>
      </c>
      <c r="P200" t="n">
        <v>0</v>
      </c>
      <c r="Q200" t="n">
        <v>0</v>
      </c>
      <c r="R200" t="n">
        <v>0</v>
      </c>
      <c r="S200" t="n">
        <v>1</v>
      </c>
      <c r="T200" t="n">
        <v>2</v>
      </c>
      <c r="U200" t="n">
        <v>0</v>
      </c>
      <c r="V200" s="2" t="inlineStr">
        <is>
          <t>Tvåblad</t>
        </is>
      </c>
      <c r="W200">
        <f>HYPERLINK("https://klasma.github.io/Logging_2380/artfynd/A 60966-2025 artfynd.xlsx", "A 60966-2025")</f>
        <v/>
      </c>
      <c r="X200">
        <f>HYPERLINK("https://klasma.github.io/Logging_2380/kartor/A 60966-2025 karta.png", "A 60966-2025")</f>
        <v/>
      </c>
      <c r="Y200">
        <f>HYPERLINK("https://klasma.github.io/Logging_2380/kartor_geotiff/A 60966-2025 georefererad karta.tif", "A 60966-2025")</f>
        <v/>
      </c>
      <c r="AA200">
        <f>HYPERLINK("https://klasma.github.io/Logging_2380/klagomål/A 60966-2025 FSC-klagomål.docx", "A 60966-2025")</f>
        <v/>
      </c>
      <c r="AB200">
        <f>HYPERLINK("https://klasma.github.io/Logging_2380/klagomålsmail/A 60966-2025 FSC-klagomål mail.docx", "A 60966-2025")</f>
        <v/>
      </c>
      <c r="AC200">
        <f>HYPERLINK("https://klasma.github.io/Logging_2380/tillsyn/A 60966-2025 tillsynsbegäran.docx", "A 60966-2025")</f>
        <v/>
      </c>
      <c r="AD200">
        <f>HYPERLINK("https://klasma.github.io/Logging_2380/tillsynsmail/A 60966-2025 tillsynsbegäran mail.docx", "A 60966-2025")</f>
        <v/>
      </c>
    </row>
    <row r="201" ht="15" customHeight="1">
      <c r="A201" t="inlineStr">
        <is>
          <t>A 3122-2025</t>
        </is>
      </c>
      <c r="B201" t="inlineStr">
        <is>
          <t>avverkningsanmälan</t>
        </is>
      </c>
      <c r="C201" t="inlineStr">
        <is>
          <t>Avverkning för annat ändamål</t>
        </is>
      </c>
      <c r="D201" s="1" t="n">
        <v>45678</v>
      </c>
      <c r="E201" s="1" t="n">
        <v>46312</v>
      </c>
      <c r="F201" t="inlineStr">
        <is>
          <t>JÄMTLANDS LÄN</t>
        </is>
      </c>
      <c r="G201" t="inlineStr">
        <is>
          <t>ÖSTERSUND</t>
        </is>
      </c>
      <c r="I201" t="n">
        <v>1.3</v>
      </c>
      <c r="J201" t="n">
        <v>0</v>
      </c>
      <c r="K201" t="n">
        <v>1</v>
      </c>
      <c r="L201" t="n">
        <v>0</v>
      </c>
      <c r="M201" t="n">
        <v>0</v>
      </c>
      <c r="N201" t="n">
        <v>0</v>
      </c>
      <c r="O201" t="n">
        <v>0</v>
      </c>
      <c r="P201" t="n">
        <v>0</v>
      </c>
      <c r="Q201" t="n">
        <v>0</v>
      </c>
      <c r="R201" t="n">
        <v>0</v>
      </c>
      <c r="S201" t="n">
        <v>1</v>
      </c>
      <c r="T201" t="n">
        <v>1</v>
      </c>
      <c r="U201" t="n">
        <v>1</v>
      </c>
      <c r="V201" s="2" t="inlineStr">
        <is>
          <t>Stor aspticka</t>
        </is>
      </c>
      <c r="W201">
        <f>HYPERLINK("https://klasma.github.io/Logging_2380/artfynd/A 3122-2025 artfynd.xlsx", "A 3122-2025")</f>
        <v/>
      </c>
      <c r="X201">
        <f>HYPERLINK("https://klasma.github.io/Logging_2380/kartor/A 3122-2025 karta.png", "A 3122-2025")</f>
        <v/>
      </c>
      <c r="Y201">
        <f>HYPERLINK("https://klasma.github.io/Logging_2380/kartor_geotiff/A 3122-2025 georefererad karta.tif", "A 3122-2025")</f>
        <v/>
      </c>
      <c r="AA201">
        <f>HYPERLINK("https://klasma.github.io/Logging_2380/klagomål/A 3122-2025 FSC-klagomål.docx", "A 3122-2025")</f>
        <v/>
      </c>
      <c r="AB201">
        <f>HYPERLINK("https://klasma.github.io/Logging_2380/klagomålsmail/A 3122-2025 FSC-klagomål mail.docx", "A 3122-2025")</f>
        <v/>
      </c>
      <c r="AC201">
        <f>HYPERLINK("https://klasma.github.io/Logging_2380/tillsyn/A 3122-2025 tillsynsbegäran.docx", "A 3122-2025")</f>
        <v/>
      </c>
      <c r="AD201">
        <f>HYPERLINK("https://klasma.github.io/Logging_2380/tillsynsmail/A 3122-2025 tillsynsbegäran mail.docx", "A 3122-2025")</f>
        <v/>
      </c>
    </row>
    <row r="202" ht="15" customHeight="1">
      <c r="A202" t="inlineStr">
        <is>
          <t>A 56201-2024</t>
        </is>
      </c>
      <c r="B202" t="inlineStr">
        <is>
          <t>avverkningsanmälan</t>
        </is>
      </c>
      <c r="C202" t="inlineStr">
        <is>
          <t>Avverkning för att bevara och utveckla /försöksver</t>
        </is>
      </c>
      <c r="D202" s="1" t="n">
        <v>45624</v>
      </c>
      <c r="E202" s="1" t="n">
        <v>46312</v>
      </c>
      <c r="F202" t="inlineStr">
        <is>
          <t>JÄMTLANDS LÄN</t>
        </is>
      </c>
      <c r="G202" t="inlineStr">
        <is>
          <t>ÖSTERSUND</t>
        </is>
      </c>
      <c r="H202" t="inlineStr">
        <is>
          <t>SCA</t>
        </is>
      </c>
      <c r="I202" t="n">
        <v>5.9</v>
      </c>
      <c r="J202" t="n">
        <v>1</v>
      </c>
      <c r="K202" t="n">
        <v>0</v>
      </c>
      <c r="L202" t="n">
        <v>0</v>
      </c>
      <c r="M202" t="n">
        <v>1</v>
      </c>
      <c r="N202" t="n">
        <v>0</v>
      </c>
      <c r="O202" t="n">
        <v>0</v>
      </c>
      <c r="P202" t="n">
        <v>0</v>
      </c>
      <c r="Q202" t="n">
        <v>1</v>
      </c>
      <c r="R202" t="n">
        <v>1</v>
      </c>
      <c r="S202" t="n">
        <v>1</v>
      </c>
      <c r="T202" t="n">
        <v>1</v>
      </c>
      <c r="U202" t="n">
        <v>0</v>
      </c>
      <c r="V202" s="2" t="inlineStr">
        <is>
          <t>Doftticka</t>
        </is>
      </c>
      <c r="W202">
        <f>HYPERLINK("https://klasma.github.io/Logging_2380/artfynd/A 56201-2024 artfynd.xlsx", "A 56201-2024")</f>
        <v/>
      </c>
      <c r="X202">
        <f>HYPERLINK("https://klasma.github.io/Logging_2380/kartor/A 56201-2024 karta.png", "A 56201-2024")</f>
        <v/>
      </c>
      <c r="Y202">
        <f>HYPERLINK("https://klasma.github.io/Logging_2380/kartor_geotiff/A 56201-2024 georefererad karta.tif", "A 56201-2024")</f>
        <v/>
      </c>
      <c r="AA202">
        <f>HYPERLINK("https://klasma.github.io/Logging_2380/klagomål/A 56201-2024 FSC-klagomål.docx", "A 56201-2024")</f>
        <v/>
      </c>
      <c r="AB202">
        <f>HYPERLINK("https://klasma.github.io/Logging_2380/klagomålsmail/A 56201-2024 FSC-klagomål mail.docx", "A 56201-2024")</f>
        <v/>
      </c>
      <c r="AC202">
        <f>HYPERLINK("https://klasma.github.io/Logging_2380/tillsyn/A 56201-2024 tillsynsbegäran.docx", "A 56201-2024")</f>
        <v/>
      </c>
      <c r="AD202">
        <f>HYPERLINK("https://klasma.github.io/Logging_2380/tillsynsmail/A 56201-2024 tillsynsbegäran mail.docx", "A 56201-2024")</f>
        <v/>
      </c>
    </row>
    <row r="203" ht="15" customHeight="1">
      <c r="A203" t="inlineStr">
        <is>
          <t>A 5684-2026</t>
        </is>
      </c>
      <c r="B203" t="inlineStr">
        <is>
          <t>avverkningsanmälan</t>
        </is>
      </c>
      <c r="C203" t="inlineStr">
        <is>
          <t>Avverkning för annat ändamål</t>
        </is>
      </c>
      <c r="D203" s="1" t="n">
        <v>46051</v>
      </c>
      <c r="E203" s="1" t="n">
        <v>46312</v>
      </c>
      <c r="F203" t="inlineStr">
        <is>
          <t>JÄMTLANDS LÄN</t>
        </is>
      </c>
      <c r="G203" t="inlineStr">
        <is>
          <t>ÖSTERSUND</t>
        </is>
      </c>
      <c r="I203" t="n">
        <v>1.6</v>
      </c>
      <c r="J203" t="n">
        <v>0</v>
      </c>
      <c r="K203" t="n">
        <v>0</v>
      </c>
      <c r="L203" t="n">
        <v>0</v>
      </c>
      <c r="M203" t="n">
        <v>0</v>
      </c>
      <c r="N203" t="n">
        <v>0</v>
      </c>
      <c r="O203" t="n">
        <v>0</v>
      </c>
      <c r="P203" t="n">
        <v>0</v>
      </c>
      <c r="Q203" t="n">
        <v>0</v>
      </c>
      <c r="R203" t="n">
        <v>0</v>
      </c>
      <c r="S203" t="n">
        <v>1</v>
      </c>
      <c r="T203" t="n">
        <v>1</v>
      </c>
      <c r="U203" t="n">
        <v>1</v>
      </c>
      <c r="V203" s="2" t="inlineStr">
        <is>
          <t>Humleblomster</t>
        </is>
      </c>
      <c r="W203">
        <f>HYPERLINK("https://klasma.github.io/Logging_2380/artfynd/A 5684-2026 artfynd.xlsx", "A 5684-2026")</f>
        <v/>
      </c>
      <c r="X203">
        <f>HYPERLINK("https://klasma.github.io/Logging_2380/kartor/A 5684-2026 karta.png", "A 5684-2026")</f>
        <v/>
      </c>
      <c r="Y203">
        <f>HYPERLINK("https://klasma.github.io/Logging_2380/kartor_geotiff/A 5684-2026 georefererad karta.tif", "A 5684-2026")</f>
        <v/>
      </c>
      <c r="AA203">
        <f>HYPERLINK("https://klasma.github.io/Logging_2380/klagomål/A 5684-2026 FSC-klagomål.docx", "A 5684-2026")</f>
        <v/>
      </c>
      <c r="AB203">
        <f>HYPERLINK("https://klasma.github.io/Logging_2380/klagomålsmail/A 5684-2026 FSC-klagomål mail.docx", "A 5684-2026")</f>
        <v/>
      </c>
      <c r="AC203">
        <f>HYPERLINK("https://klasma.github.io/Logging_2380/tillsyn/A 5684-2026 tillsynsbegäran.docx", "A 5684-2026")</f>
        <v/>
      </c>
      <c r="AD203">
        <f>HYPERLINK("https://klasma.github.io/Logging_2380/tillsynsmail/A 5684-2026 tillsynsbegäran mail.docx", "A 5684-2026")</f>
        <v/>
      </c>
    </row>
    <row r="204" ht="15" customHeight="1">
      <c r="A204" t="inlineStr">
        <is>
          <t>A 26782-2026</t>
        </is>
      </c>
      <c r="B204" t="inlineStr">
        <is>
          <t>avverkningsanmälan</t>
        </is>
      </c>
      <c r="C204" t="inlineStr">
        <is>
          <t>Föryngringsavverkning</t>
        </is>
      </c>
      <c r="D204" s="1" t="n">
        <v>46184</v>
      </c>
      <c r="E204" s="1" t="n">
        <v>46312</v>
      </c>
      <c r="F204" t="inlineStr">
        <is>
          <t>JÄMTLANDS LÄN</t>
        </is>
      </c>
      <c r="G204" t="inlineStr">
        <is>
          <t>ÖSTERSUND</t>
        </is>
      </c>
      <c r="I204" t="n">
        <v>1.6</v>
      </c>
      <c r="J204" t="n">
        <v>0</v>
      </c>
      <c r="K204" t="n">
        <v>0</v>
      </c>
      <c r="L204" t="n">
        <v>0</v>
      </c>
      <c r="M204" t="n">
        <v>0</v>
      </c>
      <c r="N204" t="n">
        <v>0</v>
      </c>
      <c r="O204" t="n">
        <v>0</v>
      </c>
      <c r="P204" t="n">
        <v>0</v>
      </c>
      <c r="Q204" t="n">
        <v>0</v>
      </c>
      <c r="R204" t="n">
        <v>0</v>
      </c>
      <c r="S204" t="n">
        <v>1</v>
      </c>
      <c r="T204" t="n">
        <v>1</v>
      </c>
      <c r="U204" t="n">
        <v>1</v>
      </c>
      <c r="V204" s="2" t="inlineStr">
        <is>
          <t>Lundarv</t>
        </is>
      </c>
      <c r="W204">
        <f>HYPERLINK("https://klasma.github.io/Logging_2380/artfynd/A 26782-2026 artfynd.xlsx", "A 26782-2026")</f>
        <v/>
      </c>
      <c r="X204">
        <f>HYPERLINK("https://klasma.github.io/Logging_2380/kartor/A 26782-2026 karta.png", "A 26782-2026")</f>
        <v/>
      </c>
      <c r="Y204">
        <f>HYPERLINK("https://klasma.github.io/Logging_2380/kartor_geotiff/A 26782-2026 georefererad karta.tif", "A 26782-2026")</f>
        <v/>
      </c>
      <c r="AA204">
        <f>HYPERLINK("https://klasma.github.io/Logging_2380/klagomål/A 26782-2026 FSC-klagomål.docx", "A 26782-2026")</f>
        <v/>
      </c>
      <c r="AB204">
        <f>HYPERLINK("https://klasma.github.io/Logging_2380/klagomålsmail/A 26782-2026 FSC-klagomål mail.docx", "A 26782-2026")</f>
        <v/>
      </c>
      <c r="AC204">
        <f>HYPERLINK("https://klasma.github.io/Logging_2380/tillsyn/A 26782-2026 tillsynsbegäran.docx", "A 26782-2026")</f>
        <v/>
      </c>
      <c r="AD204">
        <f>HYPERLINK("https://klasma.github.io/Logging_2380/tillsynsmail/A 26782-2026 tillsynsbegäran mail.docx", "A 26782-2026")</f>
        <v/>
      </c>
    </row>
    <row r="205" ht="15" customHeight="1">
      <c r="A205" t="inlineStr">
        <is>
          <t>A 9971-2025</t>
        </is>
      </c>
      <c r="B205" t="inlineStr">
        <is>
          <t>avverkningsanmälan</t>
        </is>
      </c>
      <c r="C205" t="inlineStr">
        <is>
          <t>Föryngringsavverkning</t>
        </is>
      </c>
      <c r="D205" s="1" t="n">
        <v>45719</v>
      </c>
      <c r="E205" s="1" t="n">
        <v>46312</v>
      </c>
      <c r="F205" t="inlineStr">
        <is>
          <t>JÄMTLANDS LÄN</t>
        </is>
      </c>
      <c r="G205" t="inlineStr">
        <is>
          <t>ÖSTERSUND</t>
        </is>
      </c>
      <c r="H205" t="inlineStr">
        <is>
          <t>SCA</t>
        </is>
      </c>
      <c r="I205" t="n">
        <v>1.2</v>
      </c>
      <c r="J205" t="n">
        <v>0</v>
      </c>
      <c r="K205" t="n">
        <v>0</v>
      </c>
      <c r="L205" t="n">
        <v>1</v>
      </c>
      <c r="M205" t="n">
        <v>0</v>
      </c>
      <c r="N205" t="n">
        <v>0</v>
      </c>
      <c r="O205" t="n">
        <v>0</v>
      </c>
      <c r="P205" t="n">
        <v>0</v>
      </c>
      <c r="Q205" t="n">
        <v>1</v>
      </c>
      <c r="R205" t="n">
        <v>0</v>
      </c>
      <c r="S205" t="n">
        <v>1</v>
      </c>
      <c r="T205" t="n">
        <v>1</v>
      </c>
      <c r="U205" t="n">
        <v>0</v>
      </c>
      <c r="V205" s="2" t="inlineStr">
        <is>
          <t>Dvärgbägarlav</t>
        </is>
      </c>
      <c r="W205">
        <f>HYPERLINK("https://klasma.github.io/Logging_2380/artfynd/A 9971-2025 artfynd.xlsx", "A 9971-2025")</f>
        <v/>
      </c>
      <c r="X205">
        <f>HYPERLINK("https://klasma.github.io/Logging_2380/kartor/A 9971-2025 karta.png", "A 9971-2025")</f>
        <v/>
      </c>
      <c r="Y205">
        <f>HYPERLINK("https://klasma.github.io/Logging_2380/kartor_geotiff/A 9971-2025 georefererad karta.tif", "A 9971-2025")</f>
        <v/>
      </c>
      <c r="AA205">
        <f>HYPERLINK("https://klasma.github.io/Logging_2380/klagomål/A 9971-2025 FSC-klagomål.docx", "A 9971-2025")</f>
        <v/>
      </c>
      <c r="AB205">
        <f>HYPERLINK("https://klasma.github.io/Logging_2380/klagomålsmail/A 9971-2025 FSC-klagomål mail.docx", "A 9971-2025")</f>
        <v/>
      </c>
      <c r="AC205">
        <f>HYPERLINK("https://klasma.github.io/Logging_2380/tillsyn/A 9971-2025 tillsynsbegäran.docx", "A 9971-2025")</f>
        <v/>
      </c>
      <c r="AD205">
        <f>HYPERLINK("https://klasma.github.io/Logging_2380/tillsynsmail/A 9971-2025 tillsynsbegäran mail.docx", "A 9971-2025")</f>
        <v/>
      </c>
    </row>
    <row r="206" ht="15" customHeight="1">
      <c r="A206" t="inlineStr">
        <is>
          <t>A 18578-2025</t>
        </is>
      </c>
      <c r="B206" t="inlineStr">
        <is>
          <t>avverkningsanmälan</t>
        </is>
      </c>
      <c r="C206" t="inlineStr">
        <is>
          <t>Avverkning för annat ändamål</t>
        </is>
      </c>
      <c r="D206" s="1" t="n">
        <v>45763</v>
      </c>
      <c r="E206" s="1" t="n">
        <v>46312</v>
      </c>
      <c r="F206" t="inlineStr">
        <is>
          <t>JÄMTLANDS LÄN</t>
        </is>
      </c>
      <c r="G206" t="inlineStr">
        <is>
          <t>ÖSTERSUND</t>
        </is>
      </c>
      <c r="I206" t="n">
        <v>0.8</v>
      </c>
      <c r="J206" t="n">
        <v>1</v>
      </c>
      <c r="K206" t="n">
        <v>1</v>
      </c>
      <c r="L206" t="n">
        <v>0</v>
      </c>
      <c r="M206" t="n">
        <v>0</v>
      </c>
      <c r="N206" t="n">
        <v>0</v>
      </c>
      <c r="O206" t="n">
        <v>0</v>
      </c>
      <c r="P206" t="n">
        <v>0</v>
      </c>
      <c r="Q206" t="n">
        <v>0</v>
      </c>
      <c r="R206" t="n">
        <v>0</v>
      </c>
      <c r="S206" t="n">
        <v>1</v>
      </c>
      <c r="T206" t="n">
        <v>1</v>
      </c>
      <c r="U206" t="n">
        <v>0</v>
      </c>
      <c r="V206" s="2" t="inlineStr">
        <is>
          <t>Korallrot</t>
        </is>
      </c>
      <c r="W206">
        <f>HYPERLINK("https://klasma.github.io/Logging_2380/artfynd/A 18578-2025 artfynd.xlsx", "A 18578-2025")</f>
        <v/>
      </c>
      <c r="X206">
        <f>HYPERLINK("https://klasma.github.io/Logging_2380/kartor/A 18578-2025 karta.png", "A 18578-2025")</f>
        <v/>
      </c>
      <c r="Y206">
        <f>HYPERLINK("https://klasma.github.io/Logging_2380/kartor_geotiff/A 18578-2025 georefererad karta.tif", "A 18578-2025")</f>
        <v/>
      </c>
      <c r="AA206">
        <f>HYPERLINK("https://klasma.github.io/Logging_2380/klagomål/A 18578-2025 FSC-klagomål.docx", "A 18578-2025")</f>
        <v/>
      </c>
      <c r="AB206">
        <f>HYPERLINK("https://klasma.github.io/Logging_2380/klagomålsmail/A 18578-2025 FSC-klagomål mail.docx", "A 18578-2025")</f>
        <v/>
      </c>
      <c r="AC206">
        <f>HYPERLINK("https://klasma.github.io/Logging_2380/tillsyn/A 18578-2025 tillsynsbegäran.docx", "A 18578-2025")</f>
        <v/>
      </c>
      <c r="AD206">
        <f>HYPERLINK("https://klasma.github.io/Logging_2380/tillsynsmail/A 18578-2025 tillsynsbegäran mail.docx", "A 18578-2025")</f>
        <v/>
      </c>
    </row>
    <row r="207" ht="15" customHeight="1">
      <c r="A207" t="inlineStr">
        <is>
          <t>A 27652-2026</t>
        </is>
      </c>
      <c r="B207" t="inlineStr">
        <is>
          <t>avverkningsanmälan</t>
        </is>
      </c>
      <c r="C207" t="inlineStr">
        <is>
          <t>Avverkning för att bevara och utveckla /försöksver</t>
        </is>
      </c>
      <c r="D207" s="1" t="n">
        <v>46190</v>
      </c>
      <c r="E207" s="1" t="n">
        <v>46312</v>
      </c>
      <c r="F207" t="inlineStr">
        <is>
          <t>JÄMTLANDS LÄN</t>
        </is>
      </c>
      <c r="G207" t="inlineStr">
        <is>
          <t>ÖSTERSUND</t>
        </is>
      </c>
      <c r="I207" t="n">
        <v>4.7</v>
      </c>
      <c r="J207" t="n">
        <v>0</v>
      </c>
      <c r="K207" t="n">
        <v>0</v>
      </c>
      <c r="L207" t="n">
        <v>1</v>
      </c>
      <c r="M207" t="n">
        <v>0</v>
      </c>
      <c r="N207" t="n">
        <v>0</v>
      </c>
      <c r="O207" t="n">
        <v>0</v>
      </c>
      <c r="P207" t="n">
        <v>0</v>
      </c>
      <c r="Q207" t="n">
        <v>1</v>
      </c>
      <c r="R207" t="n">
        <v>0</v>
      </c>
      <c r="S207" t="n">
        <v>1</v>
      </c>
      <c r="T207" t="n">
        <v>1</v>
      </c>
      <c r="U207" t="n">
        <v>0</v>
      </c>
      <c r="V207" s="2" t="inlineStr">
        <is>
          <t>Skrovellav</t>
        </is>
      </c>
      <c r="W207">
        <f>HYPERLINK("https://klasma.github.io/Logging_2380/artfynd/A 27652-2026 artfynd.xlsx", "A 27652-2026")</f>
        <v/>
      </c>
      <c r="X207">
        <f>HYPERLINK("https://klasma.github.io/Logging_2380/kartor/A 27652-2026 karta.png", "A 27652-2026")</f>
        <v/>
      </c>
      <c r="Y207">
        <f>HYPERLINK("https://klasma.github.io/Logging_2380/kartor_geotiff/A 27652-2026 georefererad karta.tif", "A 27652-2026")</f>
        <v/>
      </c>
      <c r="AA207">
        <f>HYPERLINK("https://klasma.github.io/Logging_2380/klagomål/A 27652-2026 FSC-klagomål.docx", "A 27652-2026")</f>
        <v/>
      </c>
      <c r="AB207">
        <f>HYPERLINK("https://klasma.github.io/Logging_2380/klagomålsmail/A 27652-2026 FSC-klagomål mail.docx", "A 27652-2026")</f>
        <v/>
      </c>
      <c r="AC207">
        <f>HYPERLINK("https://klasma.github.io/Logging_2380/tillsyn/A 27652-2026 tillsynsbegäran.docx", "A 27652-2026")</f>
        <v/>
      </c>
      <c r="AD207">
        <f>HYPERLINK("https://klasma.github.io/Logging_2380/tillsynsmail/A 27652-2026 tillsynsbegäran mail.docx", "A 27652-2026")</f>
        <v/>
      </c>
    </row>
    <row r="208" ht="15" customHeight="1">
      <c r="A208" t="inlineStr">
        <is>
          <t>A 52128-2023</t>
        </is>
      </c>
      <c r="B208" t="inlineStr">
        <is>
          <t>avverkningsanmälan</t>
        </is>
      </c>
      <c r="C208" t="inlineStr">
        <is>
          <t>Avverkning för att bevara och utveckla /försöksver</t>
        </is>
      </c>
      <c r="D208" s="1" t="n">
        <v>45223</v>
      </c>
      <c r="E208" s="1" t="n">
        <v>46312</v>
      </c>
      <c r="F208" t="inlineStr">
        <is>
          <t>JÄMTLANDS LÄN</t>
        </is>
      </c>
      <c r="G208" t="inlineStr">
        <is>
          <t>ÖSTERSUND</t>
        </is>
      </c>
      <c r="H208" t="inlineStr">
        <is>
          <t>SCA</t>
        </is>
      </c>
      <c r="I208" t="n">
        <v>11.9</v>
      </c>
      <c r="J208" t="n">
        <v>0</v>
      </c>
      <c r="K208" t="n">
        <v>0</v>
      </c>
      <c r="L208" t="n">
        <v>0</v>
      </c>
      <c r="M208" t="n">
        <v>1</v>
      </c>
      <c r="N208" t="n">
        <v>0</v>
      </c>
      <c r="O208" t="n">
        <v>0</v>
      </c>
      <c r="P208" t="n">
        <v>0</v>
      </c>
      <c r="Q208" t="n">
        <v>1</v>
      </c>
      <c r="R208" t="n">
        <v>1</v>
      </c>
      <c r="S208" t="n">
        <v>1</v>
      </c>
      <c r="T208" t="n">
        <v>1</v>
      </c>
      <c r="U208" t="n">
        <v>0</v>
      </c>
      <c r="V208" s="2" t="inlineStr">
        <is>
          <t>Fläckporing</t>
        </is>
      </c>
      <c r="W208">
        <f>HYPERLINK("https://klasma.github.io/Logging_2380/artfynd/A 52128-2023 artfynd.xlsx", "A 52128-2023")</f>
        <v/>
      </c>
      <c r="X208">
        <f>HYPERLINK("https://klasma.github.io/Logging_2380/kartor/A 52128-2023 karta.png", "A 52128-2023")</f>
        <v/>
      </c>
      <c r="Y208">
        <f>HYPERLINK("https://klasma.github.io/Logging_2380/kartor_geotiff/A 52128-2023 georefererad karta.tif", "A 52128-2023")</f>
        <v/>
      </c>
      <c r="AA208">
        <f>HYPERLINK("https://klasma.github.io/Logging_2380/klagomål/A 52128-2023 FSC-klagomål.docx", "A 52128-2023")</f>
        <v/>
      </c>
      <c r="AB208">
        <f>HYPERLINK("https://klasma.github.io/Logging_2380/klagomålsmail/A 52128-2023 FSC-klagomål mail.docx", "A 52128-2023")</f>
        <v/>
      </c>
      <c r="AC208">
        <f>HYPERLINK("https://klasma.github.io/Logging_2380/tillsyn/A 52128-2023 tillsynsbegäran.docx", "A 52128-2023")</f>
        <v/>
      </c>
      <c r="AD208">
        <f>HYPERLINK("https://klasma.github.io/Logging_2380/tillsynsmail/A 52128-2023 tillsynsbegäran mail.docx", "A 52128-2023")</f>
        <v/>
      </c>
    </row>
    <row r="209" ht="15" customHeight="1">
      <c r="A209" t="inlineStr">
        <is>
          <t>A 17455-2026</t>
        </is>
      </c>
      <c r="B209" t="inlineStr">
        <is>
          <t>avverkningsanmälan</t>
        </is>
      </c>
      <c r="C209" t="inlineStr">
        <is>
          <t>Föryngringsavverkning</t>
        </is>
      </c>
      <c r="D209" s="1" t="n">
        <v>46120</v>
      </c>
      <c r="E209" s="1" t="n">
        <v>46312</v>
      </c>
      <c r="F209" t="inlineStr">
        <is>
          <t>JÄMTLANDS LÄN</t>
        </is>
      </c>
      <c r="G209" t="inlineStr">
        <is>
          <t>ÖSTERSUND</t>
        </is>
      </c>
      <c r="I209" t="n">
        <v>4.5</v>
      </c>
      <c r="J209" t="n">
        <v>1</v>
      </c>
      <c r="K209" t="n">
        <v>0</v>
      </c>
      <c r="L209" t="n">
        <v>0</v>
      </c>
      <c r="M209" t="n">
        <v>1</v>
      </c>
      <c r="N209" t="n">
        <v>0</v>
      </c>
      <c r="O209" t="n">
        <v>0</v>
      </c>
      <c r="P209" t="n">
        <v>0</v>
      </c>
      <c r="Q209" t="n">
        <v>1</v>
      </c>
      <c r="R209" t="n">
        <v>1</v>
      </c>
      <c r="S209" t="n">
        <v>1</v>
      </c>
      <c r="T209" t="n">
        <v>2</v>
      </c>
      <c r="U209" t="n">
        <v>0</v>
      </c>
      <c r="V209" s="2" t="inlineStr">
        <is>
          <t>Violett guldvinge</t>
        </is>
      </c>
      <c r="W209">
        <f>HYPERLINK("https://klasma.github.io/Logging_2380/artfynd/A 17455-2026 artfynd.xlsx", "A 17455-2026")</f>
        <v/>
      </c>
      <c r="X209">
        <f>HYPERLINK("https://klasma.github.io/Logging_2380/kartor/A 17455-2026 karta.png", "A 17455-2026")</f>
        <v/>
      </c>
      <c r="Y209">
        <f>HYPERLINK("https://klasma.github.io/Logging_2380/kartor_geotiff/A 17455-2026 georefererad karta.tif", "A 17455-2026")</f>
        <v/>
      </c>
      <c r="AA209">
        <f>HYPERLINK("https://klasma.github.io/Logging_2380/klagomål/A 17455-2026 FSC-klagomål.docx", "A 17455-2026")</f>
        <v/>
      </c>
      <c r="AB209">
        <f>HYPERLINK("https://klasma.github.io/Logging_2380/klagomålsmail/A 17455-2026 FSC-klagomål mail.docx", "A 17455-2026")</f>
        <v/>
      </c>
      <c r="AC209">
        <f>HYPERLINK("https://klasma.github.io/Logging_2380/tillsyn/A 17455-2026 tillsynsbegäran.docx", "A 17455-2026")</f>
        <v/>
      </c>
      <c r="AD209">
        <f>HYPERLINK("https://klasma.github.io/Logging_2380/tillsynsmail/A 17455-2026 tillsynsbegäran mail.docx", "A 17455-2026")</f>
        <v/>
      </c>
    </row>
    <row r="210" ht="15" customHeight="1">
      <c r="A210" t="inlineStr">
        <is>
          <t>A 41280-2024</t>
        </is>
      </c>
      <c r="B210" t="inlineStr">
        <is>
          <t>avverkningsanmälan</t>
        </is>
      </c>
      <c r="C210" t="inlineStr">
        <is>
          <t>Föryngringsavverkning</t>
        </is>
      </c>
      <c r="D210" s="1" t="n">
        <v>45559</v>
      </c>
      <c r="E210" s="1" t="n">
        <v>46312</v>
      </c>
      <c r="F210" t="inlineStr">
        <is>
          <t>JÄMTLANDS LÄN</t>
        </is>
      </c>
      <c r="G210" t="inlineStr">
        <is>
          <t>ÖSTERSUND</t>
        </is>
      </c>
      <c r="H210" t="inlineStr">
        <is>
          <t>SCA</t>
        </is>
      </c>
      <c r="I210" t="n">
        <v>2.2</v>
      </c>
      <c r="J210" t="n">
        <v>0</v>
      </c>
      <c r="K210" t="n">
        <v>0</v>
      </c>
      <c r="L210" t="n">
        <v>1</v>
      </c>
      <c r="M210" t="n">
        <v>0</v>
      </c>
      <c r="N210" t="n">
        <v>0</v>
      </c>
      <c r="O210" t="n">
        <v>0</v>
      </c>
      <c r="P210" t="n">
        <v>0</v>
      </c>
      <c r="Q210" t="n">
        <v>1</v>
      </c>
      <c r="R210" t="n">
        <v>0</v>
      </c>
      <c r="S210" t="n">
        <v>1</v>
      </c>
      <c r="T210" t="n">
        <v>1</v>
      </c>
      <c r="U210" t="n">
        <v>0</v>
      </c>
      <c r="V210" s="2" t="inlineStr">
        <is>
          <t>Nordtagging</t>
        </is>
      </c>
      <c r="W210">
        <f>HYPERLINK("https://klasma.github.io/Logging_2380/artfynd/A 41280-2024 artfynd.xlsx", "A 41280-2024")</f>
        <v/>
      </c>
      <c r="X210">
        <f>HYPERLINK("https://klasma.github.io/Logging_2380/kartor/A 41280-2024 karta.png", "A 41280-2024")</f>
        <v/>
      </c>
      <c r="Y210">
        <f>HYPERLINK("https://klasma.github.io/Logging_2380/kartor_geotiff/A 41280-2024 georefererad karta.tif", "A 41280-2024")</f>
        <v/>
      </c>
      <c r="AA210">
        <f>HYPERLINK("https://klasma.github.io/Logging_2380/klagomål/A 41280-2024 FSC-klagomål.docx", "A 41280-2024")</f>
        <v/>
      </c>
      <c r="AB210">
        <f>HYPERLINK("https://klasma.github.io/Logging_2380/klagomålsmail/A 41280-2024 FSC-klagomål mail.docx", "A 41280-2024")</f>
        <v/>
      </c>
      <c r="AC210">
        <f>HYPERLINK("https://klasma.github.io/Logging_2380/tillsyn/A 41280-2024 tillsynsbegäran.docx", "A 41280-2024")</f>
        <v/>
      </c>
      <c r="AD210">
        <f>HYPERLINK("https://klasma.github.io/Logging_2380/tillsynsmail/A 41280-2024 tillsynsbegäran mail.docx", "A 41280-2024")</f>
        <v/>
      </c>
    </row>
    <row r="211" ht="15" customHeight="1">
      <c r="A211" t="inlineStr">
        <is>
          <t>A 59433-2021</t>
        </is>
      </c>
      <c r="B211" t="inlineStr">
        <is>
          <t>avverkningsanmälan</t>
        </is>
      </c>
      <c r="C211" t="inlineStr">
        <is>
          <t>Föryngringsavverkning</t>
        </is>
      </c>
      <c r="D211" s="1" t="n">
        <v>44491</v>
      </c>
      <c r="E211" s="1" t="n">
        <v>46312</v>
      </c>
      <c r="F211" t="inlineStr">
        <is>
          <t>JÄMTLANDS LÄN</t>
        </is>
      </c>
      <c r="G211" t="inlineStr">
        <is>
          <t>ÖSTERSUND</t>
        </is>
      </c>
      <c r="H211" t="inlineStr">
        <is>
          <t>Övriga statliga verk och myndigheter</t>
        </is>
      </c>
      <c r="I211" t="n">
        <v>1.6</v>
      </c>
      <c r="J211" t="n">
        <v>0</v>
      </c>
      <c r="K211" t="n">
        <v>0</v>
      </c>
      <c r="L211" t="n">
        <v>1</v>
      </c>
      <c r="M211" t="n">
        <v>0</v>
      </c>
      <c r="N211" t="n">
        <v>0</v>
      </c>
      <c r="O211" t="n">
        <v>0</v>
      </c>
      <c r="P211" t="n">
        <v>0</v>
      </c>
      <c r="Q211" t="n">
        <v>1</v>
      </c>
      <c r="R211" t="n">
        <v>0</v>
      </c>
      <c r="S211" t="n">
        <v>1</v>
      </c>
      <c r="T211" t="n">
        <v>1</v>
      </c>
      <c r="U211" t="n">
        <v>0</v>
      </c>
      <c r="V211" s="2" t="inlineStr">
        <is>
          <t>Brunpudrad nållav</t>
        </is>
      </c>
      <c r="W211">
        <f>HYPERLINK("https://klasma.github.io/Logging_2380/artfynd/A 59433-2021 artfynd.xlsx", "A 59433-2021")</f>
        <v/>
      </c>
      <c r="X211">
        <f>HYPERLINK("https://klasma.github.io/Logging_2380/kartor/A 59433-2021 karta.png", "A 59433-2021")</f>
        <v/>
      </c>
      <c r="Y211">
        <f>HYPERLINK("https://klasma.github.io/Logging_2380/kartor_geotiff/A 59433-2021 georefererad karta.tif", "A 59433-2021")</f>
        <v/>
      </c>
      <c r="AA211">
        <f>HYPERLINK("https://klasma.github.io/Logging_2380/klagomål/A 59433-2021 FSC-klagomål.docx", "A 59433-2021")</f>
        <v/>
      </c>
      <c r="AB211">
        <f>HYPERLINK("https://klasma.github.io/Logging_2380/klagomålsmail/A 59433-2021 FSC-klagomål mail.docx", "A 59433-2021")</f>
        <v/>
      </c>
      <c r="AC211">
        <f>HYPERLINK("https://klasma.github.io/Logging_2380/tillsyn/A 59433-2021 tillsynsbegäran.docx", "A 59433-2021")</f>
        <v/>
      </c>
      <c r="AD211">
        <f>HYPERLINK("https://klasma.github.io/Logging_2380/tillsynsmail/A 59433-2021 tillsynsbegäran mail.docx", "A 59433-2021")</f>
        <v/>
      </c>
    </row>
    <row r="212" ht="15" customHeight="1">
      <c r="A212" t="inlineStr">
        <is>
          <t>A 55-2023</t>
        </is>
      </c>
      <c r="B212" t="inlineStr">
        <is>
          <t>avverkningsanmälan</t>
        </is>
      </c>
      <c r="C212" t="inlineStr">
        <is>
          <t>Föryngringsavverkning</t>
        </is>
      </c>
      <c r="D212" s="1" t="n">
        <v>44928</v>
      </c>
      <c r="E212" s="1" t="n">
        <v>46312</v>
      </c>
      <c r="F212" t="inlineStr">
        <is>
          <t>JÄMTLANDS LÄN</t>
        </is>
      </c>
      <c r="G212" t="inlineStr">
        <is>
          <t>ÖSTERSUND</t>
        </is>
      </c>
      <c r="I212" t="n">
        <v>4</v>
      </c>
      <c r="J212" t="n">
        <v>1</v>
      </c>
      <c r="K212" t="n">
        <v>0</v>
      </c>
      <c r="L212" t="n">
        <v>0</v>
      </c>
      <c r="M212" t="n">
        <v>1</v>
      </c>
      <c r="N212" t="n">
        <v>0</v>
      </c>
      <c r="O212" t="n">
        <v>0</v>
      </c>
      <c r="P212" t="n">
        <v>0</v>
      </c>
      <c r="Q212" t="n">
        <v>1</v>
      </c>
      <c r="R212" t="n">
        <v>1</v>
      </c>
      <c r="S212" t="n">
        <v>1</v>
      </c>
      <c r="T212" t="n">
        <v>1</v>
      </c>
      <c r="U212" t="n">
        <v>1</v>
      </c>
      <c r="V212" s="2" t="inlineStr">
        <is>
          <t>Knärot</t>
        </is>
      </c>
      <c r="W212">
        <f>HYPERLINK("https://klasma.github.io/Logging_2380/artfynd/A 55-2023 artfynd.xlsx", "A 55-2023")</f>
        <v/>
      </c>
      <c r="X212">
        <f>HYPERLINK("https://klasma.github.io/Logging_2380/kartor/A 55-2023 karta.png", "A 55-2023")</f>
        <v/>
      </c>
      <c r="Y212">
        <f>HYPERLINK("https://klasma.github.io/Logging_2380/kartor_geotiff/A 55-2023 georefererad karta.tif", "A 55-2023")</f>
        <v/>
      </c>
      <c r="Z212">
        <f>HYPERLINK("https://klasma.github.io/Logging_2380/knärot/A 55-2023 karta knärot.png", "A 55-2023")</f>
        <v/>
      </c>
      <c r="AA212">
        <f>HYPERLINK("https://klasma.github.io/Logging_2380/klagomål/A 55-2023 FSC-klagomål.docx", "A 55-2023")</f>
        <v/>
      </c>
      <c r="AB212">
        <f>HYPERLINK("https://klasma.github.io/Logging_2380/klagomålsmail/A 55-2023 FSC-klagomål mail.docx", "A 55-2023")</f>
        <v/>
      </c>
      <c r="AC212">
        <f>HYPERLINK("https://klasma.github.io/Logging_2380/tillsyn/A 55-2023 tillsynsbegäran.docx", "A 55-2023")</f>
        <v/>
      </c>
      <c r="AD212">
        <f>HYPERLINK("https://klasma.github.io/Logging_2380/tillsynsmail/A 55-2023 tillsynsbegäran mail.docx", "A 55-2023")</f>
        <v/>
      </c>
    </row>
    <row r="213" ht="15" customHeight="1">
      <c r="A213" t="inlineStr">
        <is>
          <t>A 37594-2026</t>
        </is>
      </c>
      <c r="B213" t="inlineStr">
        <is>
          <t>avverkningsanmälan</t>
        </is>
      </c>
      <c r="C213" t="inlineStr">
        <is>
          <t>Föryngringsavverkning</t>
        </is>
      </c>
      <c r="D213" s="1" t="n">
        <v>46276</v>
      </c>
      <c r="E213" s="1" t="n">
        <v>46312</v>
      </c>
      <c r="F213" t="inlineStr">
        <is>
          <t>JÄMTLANDS LÄN</t>
        </is>
      </c>
      <c r="G213" t="inlineStr">
        <is>
          <t>ÖSTERSUND</t>
        </is>
      </c>
      <c r="I213" t="n">
        <v>7</v>
      </c>
      <c r="J213" t="n">
        <v>1</v>
      </c>
      <c r="K213" t="n">
        <v>1</v>
      </c>
      <c r="L213" t="n">
        <v>0</v>
      </c>
      <c r="M213" t="n">
        <v>0</v>
      </c>
      <c r="N213" t="n">
        <v>0</v>
      </c>
      <c r="O213" t="n">
        <v>0</v>
      </c>
      <c r="P213" t="n">
        <v>0</v>
      </c>
      <c r="Q213" t="n">
        <v>0</v>
      </c>
      <c r="R213" t="n">
        <v>0</v>
      </c>
      <c r="S213" t="n">
        <v>1</v>
      </c>
      <c r="T213" t="n">
        <v>1</v>
      </c>
      <c r="U213" t="n">
        <v>0</v>
      </c>
      <c r="V213" s="2" t="inlineStr">
        <is>
          <t>Tvåblad</t>
        </is>
      </c>
      <c r="W213">
        <f>HYPERLINK("https://klasma.github.io/Logging_2380/artfynd/A 37594-2026 artfynd.xlsx", "A 37594-2026")</f>
        <v/>
      </c>
      <c r="X213">
        <f>HYPERLINK("https://klasma.github.io/Logging_2380/kartor/A 37594-2026 karta.png", "A 37594-2026")</f>
        <v/>
      </c>
      <c r="Y213">
        <f>HYPERLINK("https://klasma.github.io/Logging_2380/kartor_geotiff/A 37594-2026 georefererad karta.tif", "A 37594-2026")</f>
        <v/>
      </c>
      <c r="AA213">
        <f>HYPERLINK("https://klasma.github.io/Logging_2380/klagomål/A 37594-2026 FSC-klagomål.docx", "A 37594-2026")</f>
        <v/>
      </c>
      <c r="AB213">
        <f>HYPERLINK("https://klasma.github.io/Logging_2380/klagomålsmail/A 37594-2026 FSC-klagomål mail.docx", "A 37594-2026")</f>
        <v/>
      </c>
      <c r="AC213">
        <f>HYPERLINK("https://klasma.github.io/Logging_2380/tillsyn/A 37594-2026 tillsynsbegäran.docx", "A 37594-2026")</f>
        <v/>
      </c>
      <c r="AD213">
        <f>HYPERLINK("https://klasma.github.io/Logging_2380/tillsynsmail/A 37594-2026 tillsynsbegäran mail.docx", "A 37594-2026")</f>
        <v/>
      </c>
    </row>
    <row r="214" ht="15" customHeight="1">
      <c r="A214" t="inlineStr">
        <is>
          <t>A 16682-2023</t>
        </is>
      </c>
      <c r="B214" t="inlineStr">
        <is>
          <t>avverkningsanmälan</t>
        </is>
      </c>
      <c r="C214" t="inlineStr">
        <is>
          <t>Föryngringsavverkning</t>
        </is>
      </c>
      <c r="D214" s="1" t="n">
        <v>45028</v>
      </c>
      <c r="E214" s="1" t="n">
        <v>46312</v>
      </c>
      <c r="F214" t="inlineStr">
        <is>
          <t>JÄMTLANDS LÄN</t>
        </is>
      </c>
      <c r="G214" t="inlineStr">
        <is>
          <t>ÖSTERSUND</t>
        </is>
      </c>
      <c r="I214" t="n">
        <v>7.9</v>
      </c>
      <c r="J214" t="n">
        <v>0</v>
      </c>
      <c r="K214" t="n">
        <v>0</v>
      </c>
      <c r="L214" t="n">
        <v>1</v>
      </c>
      <c r="M214" t="n">
        <v>0</v>
      </c>
      <c r="N214" t="n">
        <v>0</v>
      </c>
      <c r="O214" t="n">
        <v>0</v>
      </c>
      <c r="P214" t="n">
        <v>0</v>
      </c>
      <c r="Q214" t="n">
        <v>1</v>
      </c>
      <c r="R214" t="n">
        <v>0</v>
      </c>
      <c r="S214" t="n">
        <v>1</v>
      </c>
      <c r="T214" t="n">
        <v>1</v>
      </c>
      <c r="U214" t="n">
        <v>1</v>
      </c>
      <c r="V214" s="2" t="inlineStr">
        <is>
          <t>Ullticka</t>
        </is>
      </c>
      <c r="W214">
        <f>HYPERLINK("https://klasma.github.io/Logging_2380/artfynd/A 16682-2023 artfynd.xlsx", "A 16682-2023")</f>
        <v/>
      </c>
      <c r="X214">
        <f>HYPERLINK("https://klasma.github.io/Logging_2380/kartor/A 16682-2023 karta.png", "A 16682-2023")</f>
        <v/>
      </c>
      <c r="Y214">
        <f>HYPERLINK("https://klasma.github.io/Logging_2380/kartor_geotiff/A 16682-2023 georefererad karta.tif", "A 16682-2023")</f>
        <v/>
      </c>
      <c r="AA214">
        <f>HYPERLINK("https://klasma.github.io/Logging_2380/klagomål/A 16682-2023 FSC-klagomål.docx", "A 16682-2023")</f>
        <v/>
      </c>
      <c r="AB214">
        <f>HYPERLINK("https://klasma.github.io/Logging_2380/klagomålsmail/A 16682-2023 FSC-klagomål mail.docx", "A 16682-2023")</f>
        <v/>
      </c>
      <c r="AC214">
        <f>HYPERLINK("https://klasma.github.io/Logging_2380/tillsyn/A 16682-2023 tillsynsbegäran.docx", "A 16682-2023")</f>
        <v/>
      </c>
      <c r="AD214">
        <f>HYPERLINK("https://klasma.github.io/Logging_2380/tillsynsmail/A 16682-2023 tillsynsbegäran mail.docx", "A 16682-2023")</f>
        <v/>
      </c>
    </row>
    <row r="215" ht="15" customHeight="1">
      <c r="A215" t="inlineStr">
        <is>
          <t>A 40522-2026</t>
        </is>
      </c>
      <c r="B215" t="inlineStr">
        <is>
          <t>avverkningsanmälan</t>
        </is>
      </c>
      <c r="C215" t="inlineStr">
        <is>
          <t>Föryngringsavverkning</t>
        </is>
      </c>
      <c r="D215" s="1" t="n">
        <v>46295</v>
      </c>
      <c r="E215" s="1" t="n">
        <v>46312</v>
      </c>
      <c r="F215" t="inlineStr">
        <is>
          <t>JÄMTLANDS LÄN</t>
        </is>
      </c>
      <c r="G215" t="inlineStr">
        <is>
          <t>ÖSTERSUND</t>
        </is>
      </c>
      <c r="I215" t="n">
        <v>3.3</v>
      </c>
      <c r="J215" t="n">
        <v>0</v>
      </c>
      <c r="K215" t="n">
        <v>0</v>
      </c>
      <c r="L215" t="n">
        <v>1</v>
      </c>
      <c r="M215" t="n">
        <v>0</v>
      </c>
      <c r="N215" t="n">
        <v>0</v>
      </c>
      <c r="O215" t="n">
        <v>0</v>
      </c>
      <c r="P215" t="n">
        <v>0</v>
      </c>
      <c r="Q215" t="n">
        <v>1</v>
      </c>
      <c r="R215" t="n">
        <v>0</v>
      </c>
      <c r="S215" t="n">
        <v>1</v>
      </c>
      <c r="T215" t="n">
        <v>2</v>
      </c>
      <c r="U215" t="n">
        <v>1</v>
      </c>
      <c r="V215" s="2" t="inlineStr">
        <is>
          <t>Slåtterfibbla</t>
        </is>
      </c>
      <c r="W215">
        <f>HYPERLINK("https://klasma.github.io/Logging_2380/artfynd/A 40522-2026 artfynd.xlsx", "A 40522-2026")</f>
        <v/>
      </c>
      <c r="X215">
        <f>HYPERLINK("https://klasma.github.io/Logging_2380/kartor/A 40522-2026 karta.png", "A 40522-2026")</f>
        <v/>
      </c>
      <c r="Y215">
        <f>HYPERLINK("https://klasma.github.io/Logging_2380/kartor_geotiff/A 40522-2026 georefererad karta.tif", "A 40522-2026")</f>
        <v/>
      </c>
      <c r="AA215">
        <f>HYPERLINK("https://klasma.github.io/Logging_2380/klagomål/A 40522-2026 FSC-klagomål.docx", "A 40522-2026")</f>
        <v/>
      </c>
      <c r="AB215">
        <f>HYPERLINK("https://klasma.github.io/Logging_2380/klagomålsmail/A 40522-2026 FSC-klagomål mail.docx", "A 40522-2026")</f>
        <v/>
      </c>
      <c r="AC215">
        <f>HYPERLINK("https://klasma.github.io/Logging_2380/tillsyn/A 40522-2026 tillsynsbegäran.docx", "A 40522-2026")</f>
        <v/>
      </c>
      <c r="AD215">
        <f>HYPERLINK("https://klasma.github.io/Logging_2380/tillsynsmail/A 40522-2026 tillsynsbegäran mail.docx", "A 40522-2026")</f>
        <v/>
      </c>
    </row>
    <row r="216" ht="15" customHeight="1">
      <c r="A216" t="inlineStr">
        <is>
          <t>A 28980-2023</t>
        </is>
      </c>
      <c r="B216" t="inlineStr">
        <is>
          <t>avverkningsanmälan</t>
        </is>
      </c>
      <c r="C216" t="inlineStr">
        <is>
          <t>Föryngringsavverkning</t>
        </is>
      </c>
      <c r="D216" s="1" t="n">
        <v>45096</v>
      </c>
      <c r="E216" s="1" t="n">
        <v>46312</v>
      </c>
      <c r="F216" t="inlineStr">
        <is>
          <t>JÄMTLANDS LÄN</t>
        </is>
      </c>
      <c r="G216" t="inlineStr">
        <is>
          <t>ÖSTERSUND</t>
        </is>
      </c>
      <c r="I216" t="n">
        <v>2.7</v>
      </c>
      <c r="J216" t="n">
        <v>0</v>
      </c>
      <c r="K216" t="n">
        <v>1</v>
      </c>
      <c r="L216" t="n">
        <v>0</v>
      </c>
      <c r="M216" t="n">
        <v>0</v>
      </c>
      <c r="N216" t="n">
        <v>0</v>
      </c>
      <c r="O216" t="n">
        <v>0</v>
      </c>
      <c r="P216" t="n">
        <v>0</v>
      </c>
      <c r="Q216" t="n">
        <v>0</v>
      </c>
      <c r="R216" t="n">
        <v>0</v>
      </c>
      <c r="S216" t="n">
        <v>1</v>
      </c>
      <c r="T216" t="n">
        <v>1</v>
      </c>
      <c r="U216" t="n">
        <v>0</v>
      </c>
      <c r="V216" s="2" t="inlineStr">
        <is>
          <t>Finbräken</t>
        </is>
      </c>
      <c r="W216">
        <f>HYPERLINK("https://klasma.github.io/Logging_2380/artfynd/A 28980-2023 artfynd.xlsx", "A 28980-2023")</f>
        <v/>
      </c>
      <c r="X216">
        <f>HYPERLINK("https://klasma.github.io/Logging_2380/kartor/A 28980-2023 karta.png", "A 28980-2023")</f>
        <v/>
      </c>
      <c r="Y216">
        <f>HYPERLINK("https://klasma.github.io/Logging_2380/kartor_geotiff/A 28980-2023 georefererad karta.tif", "A 28980-2023")</f>
        <v/>
      </c>
      <c r="AA216">
        <f>HYPERLINK("https://klasma.github.io/Logging_2380/klagomål/A 28980-2023 FSC-klagomål.docx", "A 28980-2023")</f>
        <v/>
      </c>
      <c r="AB216">
        <f>HYPERLINK("https://klasma.github.io/Logging_2380/klagomålsmail/A 28980-2023 FSC-klagomål mail.docx", "A 28980-2023")</f>
        <v/>
      </c>
      <c r="AC216">
        <f>HYPERLINK("https://klasma.github.io/Logging_2380/tillsyn/A 28980-2023 tillsynsbegäran.docx", "A 28980-2023")</f>
        <v/>
      </c>
      <c r="AD216">
        <f>HYPERLINK("https://klasma.github.io/Logging_2380/tillsynsmail/A 28980-2023 tillsynsbegäran mail.docx", "A 28980-2023")</f>
        <v/>
      </c>
    </row>
    <row r="217" ht="15" customHeight="1">
      <c r="A217" t="inlineStr">
        <is>
          <t>A 33501-2023</t>
        </is>
      </c>
      <c r="B217" t="inlineStr">
        <is>
          <t>avverkningsanmälan</t>
        </is>
      </c>
      <c r="C217" t="inlineStr">
        <is>
          <t>Föryngringsavverkning</t>
        </is>
      </c>
      <c r="D217" s="1" t="n">
        <v>45118</v>
      </c>
      <c r="E217" s="1" t="n">
        <v>46312</v>
      </c>
      <c r="F217" t="inlineStr">
        <is>
          <t>JÄMTLANDS LÄN</t>
        </is>
      </c>
      <c r="G217" t="inlineStr">
        <is>
          <t>ÖSTERSUND</t>
        </is>
      </c>
      <c r="I217" t="n">
        <v>5.8</v>
      </c>
      <c r="J217" t="n">
        <v>1</v>
      </c>
      <c r="K217" t="n">
        <v>0</v>
      </c>
      <c r="L217" t="n">
        <v>1</v>
      </c>
      <c r="M217" t="n">
        <v>0</v>
      </c>
      <c r="N217" t="n">
        <v>0</v>
      </c>
      <c r="O217" t="n">
        <v>0</v>
      </c>
      <c r="P217" t="n">
        <v>0</v>
      </c>
      <c r="Q217" t="n">
        <v>1</v>
      </c>
      <c r="R217" t="n">
        <v>0</v>
      </c>
      <c r="S217" t="n">
        <v>1</v>
      </c>
      <c r="T217" t="n">
        <v>2</v>
      </c>
      <c r="U217" t="n">
        <v>0</v>
      </c>
      <c r="V217" s="2" t="inlineStr">
        <is>
          <t>Jämtlandsmaskros</t>
        </is>
      </c>
      <c r="W217">
        <f>HYPERLINK("https://klasma.github.io/Logging_2380/artfynd/A 33501-2023 artfynd.xlsx", "A 33501-2023")</f>
        <v/>
      </c>
      <c r="X217">
        <f>HYPERLINK("https://klasma.github.io/Logging_2380/kartor/A 33501-2023 karta.png", "A 33501-2023")</f>
        <v/>
      </c>
      <c r="Y217">
        <f>HYPERLINK("https://klasma.github.io/Logging_2380/kartor_geotiff/A 33501-2023 georefererad karta.tif", "A 33501-2023")</f>
        <v/>
      </c>
      <c r="AA217">
        <f>HYPERLINK("https://klasma.github.io/Logging_2380/klagomål/A 33501-2023 FSC-klagomål.docx", "A 33501-2023")</f>
        <v/>
      </c>
      <c r="AB217">
        <f>HYPERLINK("https://klasma.github.io/Logging_2380/klagomålsmail/A 33501-2023 FSC-klagomål mail.docx", "A 33501-2023")</f>
        <v/>
      </c>
      <c r="AC217">
        <f>HYPERLINK("https://klasma.github.io/Logging_2380/tillsyn/A 33501-2023 tillsynsbegäran.docx", "A 33501-2023")</f>
        <v/>
      </c>
      <c r="AD217">
        <f>HYPERLINK("https://klasma.github.io/Logging_2380/tillsynsmail/A 33501-2023 tillsynsbegäran mail.docx", "A 33501-2023")</f>
        <v/>
      </c>
    </row>
    <row r="218" ht="15" customHeight="1">
      <c r="A218" t="inlineStr">
        <is>
          <t>A 18162-2026</t>
        </is>
      </c>
      <c r="B218" t="inlineStr">
        <is>
          <t>avverkningsanmälan</t>
        </is>
      </c>
      <c r="C218" t="inlineStr">
        <is>
          <t>Föryngringsavverkning</t>
        </is>
      </c>
      <c r="D218" s="1" t="n">
        <v>46125</v>
      </c>
      <c r="E218" s="1" t="n">
        <v>46312</v>
      </c>
      <c r="F218" t="inlineStr">
        <is>
          <t>JÄMTLANDS LÄN</t>
        </is>
      </c>
      <c r="G218" t="inlineStr">
        <is>
          <t>ÖSTERSUND</t>
        </is>
      </c>
      <c r="I218" t="n">
        <v>17.6</v>
      </c>
      <c r="J218" t="n">
        <v>1</v>
      </c>
      <c r="K218" t="n">
        <v>1</v>
      </c>
      <c r="L218" t="n">
        <v>0</v>
      </c>
      <c r="M218" t="n">
        <v>0</v>
      </c>
      <c r="N218" t="n">
        <v>0</v>
      </c>
      <c r="O218" t="n">
        <v>0</v>
      </c>
      <c r="P218" t="n">
        <v>0</v>
      </c>
      <c r="Q218" t="n">
        <v>0</v>
      </c>
      <c r="R218" t="n">
        <v>0</v>
      </c>
      <c r="S218" t="n">
        <v>1</v>
      </c>
      <c r="T218" t="n">
        <v>1</v>
      </c>
      <c r="U218" t="n">
        <v>0</v>
      </c>
      <c r="V218" s="2" t="inlineStr">
        <is>
          <t>Tvåblad</t>
        </is>
      </c>
      <c r="W218">
        <f>HYPERLINK("https://klasma.github.io/Logging_2380/artfynd/A 18162-2026 artfynd.xlsx", "A 18162-2026")</f>
        <v/>
      </c>
      <c r="X218">
        <f>HYPERLINK("https://klasma.github.io/Logging_2380/kartor/A 18162-2026 karta.png", "A 18162-2026")</f>
        <v/>
      </c>
      <c r="Y218">
        <f>HYPERLINK("https://klasma.github.io/Logging_2380/kartor_geotiff/A 18162-2026 georefererad karta.tif", "A 18162-2026")</f>
        <v/>
      </c>
      <c r="AA218">
        <f>HYPERLINK("https://klasma.github.io/Logging_2380/klagomål/A 18162-2026 FSC-klagomål.docx", "A 18162-2026")</f>
        <v/>
      </c>
      <c r="AB218">
        <f>HYPERLINK("https://klasma.github.io/Logging_2380/klagomålsmail/A 18162-2026 FSC-klagomål mail.docx", "A 18162-2026")</f>
        <v/>
      </c>
      <c r="AC218">
        <f>HYPERLINK("https://klasma.github.io/Logging_2380/tillsyn/A 18162-2026 tillsynsbegäran.docx", "A 18162-2026")</f>
        <v/>
      </c>
      <c r="AD218">
        <f>HYPERLINK("https://klasma.github.io/Logging_2380/tillsynsmail/A 18162-2026 tillsynsbegäran mail.docx", "A 18162-2026")</f>
        <v/>
      </c>
    </row>
    <row r="219" ht="15" customHeight="1">
      <c r="A219" t="inlineStr">
        <is>
          <t>A 24403-2025</t>
        </is>
      </c>
      <c r="B219" t="inlineStr">
        <is>
          <t>avverkningsanmälan</t>
        </is>
      </c>
      <c r="C219" t="inlineStr">
        <is>
          <t>Föryngringsavverkning</t>
        </is>
      </c>
      <c r="D219" s="1" t="n">
        <v>45797</v>
      </c>
      <c r="E219" s="1" t="n">
        <v>46312</v>
      </c>
      <c r="F219" t="inlineStr">
        <is>
          <t>JÄMTLANDS LÄN</t>
        </is>
      </c>
      <c r="G219" t="inlineStr">
        <is>
          <t>ÖSTERSUND</t>
        </is>
      </c>
      <c r="I219" t="n">
        <v>1.3</v>
      </c>
      <c r="J219" t="n">
        <v>1</v>
      </c>
      <c r="K219" t="n">
        <v>0</v>
      </c>
      <c r="L219" t="n">
        <v>1</v>
      </c>
      <c r="M219" t="n">
        <v>0</v>
      </c>
      <c r="N219" t="n">
        <v>0</v>
      </c>
      <c r="O219" t="n">
        <v>0</v>
      </c>
      <c r="P219" t="n">
        <v>0</v>
      </c>
      <c r="Q219" t="n">
        <v>1</v>
      </c>
      <c r="R219" t="n">
        <v>0</v>
      </c>
      <c r="S219" t="n">
        <v>1</v>
      </c>
      <c r="T219" t="n">
        <v>1</v>
      </c>
      <c r="U219" t="n">
        <v>0</v>
      </c>
      <c r="V219" s="2" t="inlineStr">
        <is>
          <t>Vinterhämpling</t>
        </is>
      </c>
      <c r="W219">
        <f>HYPERLINK("https://klasma.github.io/Logging_2380/artfynd/A 24403-2025 artfynd.xlsx", "A 24403-2025")</f>
        <v/>
      </c>
      <c r="X219">
        <f>HYPERLINK("https://klasma.github.io/Logging_2380/kartor/A 24403-2025 karta.png", "A 24403-2025")</f>
        <v/>
      </c>
      <c r="Y219">
        <f>HYPERLINK("https://klasma.github.io/Logging_2380/kartor_geotiff/A 24403-2025 georefererad karta.tif", "A 24403-2025")</f>
        <v/>
      </c>
      <c r="AA219">
        <f>HYPERLINK("https://klasma.github.io/Logging_2380/klagomål/A 24403-2025 FSC-klagomål.docx", "A 24403-2025")</f>
        <v/>
      </c>
      <c r="AB219">
        <f>HYPERLINK("https://klasma.github.io/Logging_2380/klagomålsmail/A 24403-2025 FSC-klagomål mail.docx", "A 24403-2025")</f>
        <v/>
      </c>
      <c r="AC219">
        <f>HYPERLINK("https://klasma.github.io/Logging_2380/tillsyn/A 24403-2025 tillsynsbegäran.docx", "A 24403-2025")</f>
        <v/>
      </c>
      <c r="AD219">
        <f>HYPERLINK("https://klasma.github.io/Logging_2380/tillsynsmail/A 24403-2025 tillsynsbegäran mail.docx", "A 24403-2025")</f>
        <v/>
      </c>
    </row>
    <row r="220" ht="15" customHeight="1">
      <c r="A220" t="inlineStr">
        <is>
          <t>A 40694-2024</t>
        </is>
      </c>
      <c r="B220" t="inlineStr">
        <is>
          <t>avverkningsanmälan</t>
        </is>
      </c>
      <c r="C220" t="inlineStr">
        <is>
          <t>Föryngringsavverkning</t>
        </is>
      </c>
      <c r="D220" s="1" t="n">
        <v>45558</v>
      </c>
      <c r="E220" s="1" t="n">
        <v>46312</v>
      </c>
      <c r="F220" t="inlineStr">
        <is>
          <t>JÄMTLANDS LÄN</t>
        </is>
      </c>
      <c r="G220" t="inlineStr">
        <is>
          <t>ÖSTERSUND</t>
        </is>
      </c>
      <c r="H220" t="inlineStr">
        <is>
          <t>SCA</t>
        </is>
      </c>
      <c r="I220" t="n">
        <v>6.2</v>
      </c>
      <c r="J220" t="n">
        <v>0</v>
      </c>
      <c r="K220" t="n">
        <v>0</v>
      </c>
      <c r="L220" t="n">
        <v>1</v>
      </c>
      <c r="M220" t="n">
        <v>0</v>
      </c>
      <c r="N220" t="n">
        <v>0</v>
      </c>
      <c r="O220" t="n">
        <v>0</v>
      </c>
      <c r="P220" t="n">
        <v>0</v>
      </c>
      <c r="Q220" t="n">
        <v>1</v>
      </c>
      <c r="R220" t="n">
        <v>0</v>
      </c>
      <c r="S220" t="n">
        <v>1</v>
      </c>
      <c r="T220" t="n">
        <v>1</v>
      </c>
      <c r="U220" t="n">
        <v>0</v>
      </c>
      <c r="V220" s="2" t="inlineStr">
        <is>
          <t>Reliktbock</t>
        </is>
      </c>
      <c r="W220">
        <f>HYPERLINK("https://klasma.github.io/Logging_2380/artfynd/A 40694-2024 artfynd.xlsx", "A 40694-2024")</f>
        <v/>
      </c>
      <c r="X220">
        <f>HYPERLINK("https://klasma.github.io/Logging_2380/kartor/A 40694-2024 karta.png", "A 40694-2024")</f>
        <v/>
      </c>
      <c r="Y220">
        <f>HYPERLINK("https://klasma.github.io/Logging_2380/kartor_geotiff/A 40694-2024 georefererad karta.tif", "A 40694-2024")</f>
        <v/>
      </c>
      <c r="AA220">
        <f>HYPERLINK("https://klasma.github.io/Logging_2380/klagomål/A 40694-2024 FSC-klagomål.docx", "A 40694-2024")</f>
        <v/>
      </c>
      <c r="AB220">
        <f>HYPERLINK("https://klasma.github.io/Logging_2380/klagomålsmail/A 40694-2024 FSC-klagomål mail.docx", "A 40694-2024")</f>
        <v/>
      </c>
      <c r="AC220">
        <f>HYPERLINK("https://klasma.github.io/Logging_2380/tillsyn/A 40694-2024 tillsynsbegäran.docx", "A 40694-2024")</f>
        <v/>
      </c>
      <c r="AD220">
        <f>HYPERLINK("https://klasma.github.io/Logging_2380/tillsynsmail/A 40694-2024 tillsynsbegäran mail.docx", "A 40694-2024")</f>
        <v/>
      </c>
    </row>
    <row r="221" ht="15" customHeight="1">
      <c r="A221" t="inlineStr">
        <is>
          <t>A 33358-2025</t>
        </is>
      </c>
      <c r="B221" t="inlineStr">
        <is>
          <t>avverkningsanmälan</t>
        </is>
      </c>
      <c r="C221" t="inlineStr">
        <is>
          <t>Föryngringsavverkning</t>
        </is>
      </c>
      <c r="D221" s="1" t="n">
        <v>45841</v>
      </c>
      <c r="E221" s="1" t="n">
        <v>46312</v>
      </c>
      <c r="F221" t="inlineStr">
        <is>
          <t>JÄMTLANDS LÄN</t>
        </is>
      </c>
      <c r="G221" t="inlineStr">
        <is>
          <t>ÖSTERSUND</t>
        </is>
      </c>
      <c r="I221" t="n">
        <v>1</v>
      </c>
      <c r="J221" t="n">
        <v>0</v>
      </c>
      <c r="K221" t="n">
        <v>0</v>
      </c>
      <c r="L221" t="n">
        <v>0</v>
      </c>
      <c r="M221" t="n">
        <v>1</v>
      </c>
      <c r="N221" t="n">
        <v>0</v>
      </c>
      <c r="O221" t="n">
        <v>0</v>
      </c>
      <c r="P221" t="n">
        <v>0</v>
      </c>
      <c r="Q221" t="n">
        <v>1</v>
      </c>
      <c r="R221" t="n">
        <v>1</v>
      </c>
      <c r="S221" t="n">
        <v>1</v>
      </c>
      <c r="T221" t="n">
        <v>1</v>
      </c>
      <c r="U221" t="n">
        <v>1</v>
      </c>
      <c r="V221" s="2" t="inlineStr">
        <is>
          <t>Igelkott</t>
        </is>
      </c>
      <c r="W221">
        <f>HYPERLINK("https://klasma.github.io/Logging_2380/artfynd/A 33358-2025 artfynd.xlsx", "A 33358-2025")</f>
        <v/>
      </c>
      <c r="X221">
        <f>HYPERLINK("https://klasma.github.io/Logging_2380/kartor/A 33358-2025 karta.png", "A 33358-2025")</f>
        <v/>
      </c>
      <c r="Y221">
        <f>HYPERLINK("https://klasma.github.io/Logging_2380/kartor_geotiff/A 33358-2025 georefererad karta.tif", "A 33358-2025")</f>
        <v/>
      </c>
      <c r="AA221">
        <f>HYPERLINK("https://klasma.github.io/Logging_2380/klagomål/A 33358-2025 FSC-klagomål.docx", "A 33358-2025")</f>
        <v/>
      </c>
      <c r="AB221">
        <f>HYPERLINK("https://klasma.github.io/Logging_2380/klagomålsmail/A 33358-2025 FSC-klagomål mail.docx", "A 33358-2025")</f>
        <v/>
      </c>
      <c r="AC221">
        <f>HYPERLINK("https://klasma.github.io/Logging_2380/tillsyn/A 33358-2025 tillsynsbegäran.docx", "A 33358-2025")</f>
        <v/>
      </c>
      <c r="AD221">
        <f>HYPERLINK("https://klasma.github.io/Logging_2380/tillsynsmail/A 33358-2025 tillsynsbegäran mail.docx", "A 33358-2025")</f>
        <v/>
      </c>
    </row>
    <row r="222" ht="15" customHeight="1">
      <c r="A222" t="inlineStr">
        <is>
          <t>A 36225-2025</t>
        </is>
      </c>
      <c r="B222" t="inlineStr">
        <is>
          <t>avverkningsanmälan</t>
        </is>
      </c>
      <c r="C222" t="inlineStr">
        <is>
          <t>Föryngringsavverkning</t>
        </is>
      </c>
      <c r="D222" s="1" t="n">
        <v>45867</v>
      </c>
      <c r="E222" s="1" t="n">
        <v>46312</v>
      </c>
      <c r="F222" t="inlineStr">
        <is>
          <t>JÄMTLANDS LÄN</t>
        </is>
      </c>
      <c r="G222" t="inlineStr">
        <is>
          <t>ÖSTERSUND</t>
        </is>
      </c>
      <c r="H222" t="inlineStr">
        <is>
          <t>SCA</t>
        </is>
      </c>
      <c r="I222" t="n">
        <v>1.8</v>
      </c>
      <c r="J222" t="n">
        <v>0</v>
      </c>
      <c r="K222" t="n">
        <v>0</v>
      </c>
      <c r="L222" t="n">
        <v>1</v>
      </c>
      <c r="M222" t="n">
        <v>0</v>
      </c>
      <c r="N222" t="n">
        <v>0</v>
      </c>
      <c r="O222" t="n">
        <v>0</v>
      </c>
      <c r="P222" t="n">
        <v>0</v>
      </c>
      <c r="Q222" t="n">
        <v>1</v>
      </c>
      <c r="R222" t="n">
        <v>0</v>
      </c>
      <c r="S222" t="n">
        <v>1</v>
      </c>
      <c r="T222" t="n">
        <v>1</v>
      </c>
      <c r="U222" t="n">
        <v>0</v>
      </c>
      <c r="V222" s="2" t="inlineStr">
        <is>
          <t>Kolflarnlav</t>
        </is>
      </c>
      <c r="W222">
        <f>HYPERLINK("https://klasma.github.io/Logging_2380/artfynd/A 36225-2025 artfynd.xlsx", "A 36225-2025")</f>
        <v/>
      </c>
      <c r="X222">
        <f>HYPERLINK("https://klasma.github.io/Logging_2380/kartor/A 36225-2025 karta.png", "A 36225-2025")</f>
        <v/>
      </c>
      <c r="Y222">
        <f>HYPERLINK("https://klasma.github.io/Logging_2380/kartor_geotiff/A 36225-2025 georefererad karta.tif", "A 36225-2025")</f>
        <v/>
      </c>
      <c r="AA222">
        <f>HYPERLINK("https://klasma.github.io/Logging_2380/klagomål/A 36225-2025 FSC-klagomål.docx", "A 36225-2025")</f>
        <v/>
      </c>
      <c r="AB222">
        <f>HYPERLINK("https://klasma.github.io/Logging_2380/klagomålsmail/A 36225-2025 FSC-klagomål mail.docx", "A 36225-2025")</f>
        <v/>
      </c>
      <c r="AC222">
        <f>HYPERLINK("https://klasma.github.io/Logging_2380/tillsyn/A 36225-2025 tillsynsbegäran.docx", "A 36225-2025")</f>
        <v/>
      </c>
      <c r="AD222">
        <f>HYPERLINK("https://klasma.github.io/Logging_2380/tillsynsmail/A 36225-2025 tillsynsbegäran mail.docx", "A 36225-2025")</f>
        <v/>
      </c>
    </row>
    <row r="223" ht="15" customHeight="1">
      <c r="A223" t="inlineStr">
        <is>
          <t>A 36211-2025</t>
        </is>
      </c>
      <c r="B223" t="inlineStr">
        <is>
          <t>avverkningsanmälan</t>
        </is>
      </c>
      <c r="C223" t="inlineStr">
        <is>
          <t>Föryngringsavverkning</t>
        </is>
      </c>
      <c r="D223" s="1" t="n">
        <v>45867</v>
      </c>
      <c r="E223" s="1" t="n">
        <v>46312</v>
      </c>
      <c r="F223" t="inlineStr">
        <is>
          <t>JÄMTLANDS LÄN</t>
        </is>
      </c>
      <c r="G223" t="inlineStr">
        <is>
          <t>ÖSTERSUND</t>
        </is>
      </c>
      <c r="H223" t="inlineStr">
        <is>
          <t>SCA</t>
        </is>
      </c>
      <c r="I223" t="n">
        <v>3.8</v>
      </c>
      <c r="J223" t="n">
        <v>0</v>
      </c>
      <c r="K223" t="n">
        <v>0</v>
      </c>
      <c r="L223" t="n">
        <v>1</v>
      </c>
      <c r="M223" t="n">
        <v>0</v>
      </c>
      <c r="N223" t="n">
        <v>0</v>
      </c>
      <c r="O223" t="n">
        <v>0</v>
      </c>
      <c r="P223" t="n">
        <v>0</v>
      </c>
      <c r="Q223" t="n">
        <v>1</v>
      </c>
      <c r="R223" t="n">
        <v>0</v>
      </c>
      <c r="S223" t="n">
        <v>1</v>
      </c>
      <c r="T223" t="n">
        <v>1</v>
      </c>
      <c r="U223" t="n">
        <v>1</v>
      </c>
      <c r="V223" s="2" t="inlineStr">
        <is>
          <t>Fjällig taggsvamp s.str.</t>
        </is>
      </c>
      <c r="W223">
        <f>HYPERLINK("https://klasma.github.io/Logging_2380/artfynd/A 36211-2025 artfynd.xlsx", "A 36211-2025")</f>
        <v/>
      </c>
      <c r="X223">
        <f>HYPERLINK("https://klasma.github.io/Logging_2380/kartor/A 36211-2025 karta.png", "A 36211-2025")</f>
        <v/>
      </c>
      <c r="Y223">
        <f>HYPERLINK("https://klasma.github.io/Logging_2380/kartor_geotiff/A 36211-2025 georefererad karta.tif", "A 36211-2025")</f>
        <v/>
      </c>
      <c r="AA223">
        <f>HYPERLINK("https://klasma.github.io/Logging_2380/klagomål/A 36211-2025 FSC-klagomål.docx", "A 36211-2025")</f>
        <v/>
      </c>
      <c r="AB223">
        <f>HYPERLINK("https://klasma.github.io/Logging_2380/klagomålsmail/A 36211-2025 FSC-klagomål mail.docx", "A 36211-2025")</f>
        <v/>
      </c>
      <c r="AC223">
        <f>HYPERLINK("https://klasma.github.io/Logging_2380/tillsyn/A 36211-2025 tillsynsbegäran.docx", "A 36211-2025")</f>
        <v/>
      </c>
      <c r="AD223">
        <f>HYPERLINK("https://klasma.github.io/Logging_2380/tillsynsmail/A 36211-2025 tillsynsbegäran mail.docx", "A 36211-2025")</f>
        <v/>
      </c>
    </row>
    <row r="224" ht="15" customHeight="1">
      <c r="A224" t="inlineStr">
        <is>
          <t>S 3006-2025</t>
        </is>
      </c>
      <c r="B224" t="inlineStr">
        <is>
          <t>samrådsanmälan</t>
        </is>
      </c>
      <c r="C224" t="inlineStr">
        <is>
          <t>Annan skogsbruksåtgärd</t>
        </is>
      </c>
      <c r="D224" s="1" t="n">
        <v>45957</v>
      </c>
      <c r="E224" s="1" t="n">
        <v>46312</v>
      </c>
      <c r="F224" t="inlineStr">
        <is>
          <t>JÄMTLANDS LÄN</t>
        </is>
      </c>
      <c r="G224" t="inlineStr">
        <is>
          <t>ÖSTERSUND</t>
        </is>
      </c>
      <c r="H224" t="inlineStr">
        <is>
          <t>Övriga Aktiebolag</t>
        </is>
      </c>
      <c r="I224" t="n">
        <v>18.2</v>
      </c>
      <c r="J224" t="n">
        <v>1</v>
      </c>
      <c r="K224" t="n">
        <v>0</v>
      </c>
      <c r="L224" t="n">
        <v>1</v>
      </c>
      <c r="M224" t="n">
        <v>0</v>
      </c>
      <c r="N224" t="n">
        <v>0</v>
      </c>
      <c r="O224" t="n">
        <v>0</v>
      </c>
      <c r="P224" t="n">
        <v>0</v>
      </c>
      <c r="Q224" t="n">
        <v>1</v>
      </c>
      <c r="R224" t="n">
        <v>0</v>
      </c>
      <c r="S224" t="n">
        <v>1</v>
      </c>
      <c r="T224" t="n">
        <v>1</v>
      </c>
      <c r="U224" t="n">
        <v>1</v>
      </c>
      <c r="V224" s="2" t="inlineStr">
        <is>
          <t>Tretåig hackspett</t>
        </is>
      </c>
      <c r="W224">
        <f>HYPERLINK("https://klasma.github.io/Logging_2380/artfynd/S 3006-2025 artfynd.xlsx", "S 3006-2025")</f>
        <v/>
      </c>
      <c r="X224">
        <f>HYPERLINK("https://klasma.github.io/Logging_2380/kartor/S 3006-2025 karta.png", "S 3006-2025")</f>
        <v/>
      </c>
      <c r="Y224">
        <f>HYPERLINK("https://klasma.github.io/Logging_2380/kartor_geotiff/S 3006-2025 georefererad karta.tif", "S 3006-2025")</f>
        <v/>
      </c>
      <c r="AA224">
        <f>HYPERLINK("https://klasma.github.io/Logging_2380/klagomål/S 3006-2025 FSC-klagomål.docx", "S 3006-2025")</f>
        <v/>
      </c>
      <c r="AB224">
        <f>HYPERLINK("https://klasma.github.io/Logging_2380/klagomålsmail/S 3006-2025 FSC-klagomål mail.docx", "S 3006-2025")</f>
        <v/>
      </c>
      <c r="AC224">
        <f>HYPERLINK("https://klasma.github.io/Logging_2380/tillsyn/S 3006-2025 tillsynsbegäran.docx", "S 3006-2025")</f>
        <v/>
      </c>
      <c r="AD224">
        <f>HYPERLINK("https://klasma.github.io/Logging_2380/tillsynsmail/S 3006-2025 tillsynsbegäran mail.docx", "S 3006-2025")</f>
        <v/>
      </c>
      <c r="AE224">
        <f>HYPERLINK("https://klasma.github.io/Logging_2380/fåglar/S 3006-2025 prioriterade fågelarter.docx", "S 3006-2025")</f>
        <v/>
      </c>
    </row>
    <row r="225" ht="15" customHeight="1">
      <c r="A225" t="inlineStr">
        <is>
          <t>A 53453-2022</t>
        </is>
      </c>
      <c r="B225" t="inlineStr">
        <is>
          <t>avverkningsanmälan</t>
        </is>
      </c>
      <c r="C225" t="inlineStr">
        <is>
          <t>Föryngringsavverkning</t>
        </is>
      </c>
      <c r="D225" s="1" t="n">
        <v>44879</v>
      </c>
      <c r="E225" s="1" t="n">
        <v>46312</v>
      </c>
      <c r="F225" t="inlineStr">
        <is>
          <t>JÄMTLANDS LÄN</t>
        </is>
      </c>
      <c r="G225" t="inlineStr">
        <is>
          <t>ÖSTERSUND</t>
        </is>
      </c>
      <c r="I225" t="n">
        <v>22.2</v>
      </c>
      <c r="J225" t="n">
        <v>0</v>
      </c>
      <c r="K225" t="n">
        <v>0</v>
      </c>
      <c r="L225" t="n">
        <v>0</v>
      </c>
      <c r="M225" t="n">
        <v>0</v>
      </c>
      <c r="N225" t="n">
        <v>0</v>
      </c>
      <c r="O225" t="n">
        <v>0</v>
      </c>
      <c r="P225" t="n">
        <v>0</v>
      </c>
      <c r="Q225" t="n">
        <v>0</v>
      </c>
      <c r="R225" t="n">
        <v>0</v>
      </c>
      <c r="S225" t="n">
        <v>0</v>
      </c>
      <c r="T225" t="n">
        <v>0</v>
      </c>
      <c r="U225" t="n">
        <v>0</v>
      </c>
      <c r="V225" s="2" t="inlineStr"/>
    </row>
    <row r="226" ht="15" customHeight="1">
      <c r="A226" t="inlineStr">
        <is>
          <t>A 64092-2021</t>
        </is>
      </c>
      <c r="B226" t="inlineStr">
        <is>
          <t>avverkningsanmälan</t>
        </is>
      </c>
      <c r="C226" t="inlineStr">
        <is>
          <t>Föryngringsavverkning</t>
        </is>
      </c>
      <c r="D226" s="1" t="n">
        <v>44510</v>
      </c>
      <c r="E226" s="1" t="n">
        <v>46312</v>
      </c>
      <c r="F226" t="inlineStr">
        <is>
          <t>JÄMTLANDS LÄN</t>
        </is>
      </c>
      <c r="G226" t="inlineStr">
        <is>
          <t>ÖSTERSUND</t>
        </is>
      </c>
      <c r="I226" t="n">
        <v>5.6</v>
      </c>
      <c r="J226" t="n">
        <v>0</v>
      </c>
      <c r="K226" t="n">
        <v>0</v>
      </c>
      <c r="L226" t="n">
        <v>0</v>
      </c>
      <c r="M226" t="n">
        <v>0</v>
      </c>
      <c r="N226" t="n">
        <v>0</v>
      </c>
      <c r="O226" t="n">
        <v>0</v>
      </c>
      <c r="P226" t="n">
        <v>0</v>
      </c>
      <c r="Q226" t="n">
        <v>0</v>
      </c>
      <c r="R226" t="n">
        <v>0</v>
      </c>
      <c r="S226" t="n">
        <v>0</v>
      </c>
      <c r="T226" t="n">
        <v>0</v>
      </c>
      <c r="U226" t="n">
        <v>0</v>
      </c>
      <c r="V226" s="2" t="inlineStr"/>
    </row>
    <row r="227" ht="15" customHeight="1">
      <c r="A227" t="inlineStr">
        <is>
          <t>A 67695-2021</t>
        </is>
      </c>
      <c r="B227" t="inlineStr">
        <is>
          <t>avverkningsanmälan</t>
        </is>
      </c>
      <c r="C227" t="inlineStr">
        <is>
          <t>Föryngringsavverkning</t>
        </is>
      </c>
      <c r="D227" s="1" t="n">
        <v>44524</v>
      </c>
      <c r="E227" s="1" t="n">
        <v>46312</v>
      </c>
      <c r="F227" t="inlineStr">
        <is>
          <t>JÄMTLANDS LÄN</t>
        </is>
      </c>
      <c r="G227" t="inlineStr">
        <is>
          <t>ÖSTERSUND</t>
        </is>
      </c>
      <c r="H227" t="inlineStr">
        <is>
          <t>SCA</t>
        </is>
      </c>
      <c r="I227" t="n">
        <v>2.2</v>
      </c>
      <c r="J227" t="n">
        <v>0</v>
      </c>
      <c r="K227" t="n">
        <v>0</v>
      </c>
      <c r="L227" t="n">
        <v>0</v>
      </c>
      <c r="M227" t="n">
        <v>0</v>
      </c>
      <c r="N227" t="n">
        <v>0</v>
      </c>
      <c r="O227" t="n">
        <v>0</v>
      </c>
      <c r="P227" t="n">
        <v>0</v>
      </c>
      <c r="Q227" t="n">
        <v>0</v>
      </c>
      <c r="R227" t="n">
        <v>0</v>
      </c>
      <c r="S227" t="n">
        <v>0</v>
      </c>
      <c r="T227" t="n">
        <v>0</v>
      </c>
      <c r="U227" t="n">
        <v>0</v>
      </c>
      <c r="V227" s="2" t="inlineStr"/>
    </row>
    <row r="228" ht="15" customHeight="1">
      <c r="A228" t="inlineStr">
        <is>
          <t>A 43951-2022</t>
        </is>
      </c>
      <c r="B228" t="inlineStr">
        <is>
          <t>avverkningsanmälan</t>
        </is>
      </c>
      <c r="C228" t="inlineStr">
        <is>
          <t>Föryngringsavverkning</t>
        </is>
      </c>
      <c r="D228" s="1" t="n">
        <v>44838</v>
      </c>
      <c r="E228" s="1" t="n">
        <v>46312</v>
      </c>
      <c r="F228" t="inlineStr">
        <is>
          <t>JÄMTLANDS LÄN</t>
        </is>
      </c>
      <c r="G228" t="inlineStr">
        <is>
          <t>ÖSTERSUND</t>
        </is>
      </c>
      <c r="H228" t="inlineStr">
        <is>
          <t>Övriga Aktiebolag</t>
        </is>
      </c>
      <c r="I228" t="n">
        <v>2.9</v>
      </c>
      <c r="J228" t="n">
        <v>0</v>
      </c>
      <c r="K228" t="n">
        <v>0</v>
      </c>
      <c r="L228" t="n">
        <v>0</v>
      </c>
      <c r="M228" t="n">
        <v>0</v>
      </c>
      <c r="N228" t="n">
        <v>0</v>
      </c>
      <c r="O228" t="n">
        <v>0</v>
      </c>
      <c r="P228" t="n">
        <v>0</v>
      </c>
      <c r="Q228" t="n">
        <v>0</v>
      </c>
      <c r="R228" t="n">
        <v>0</v>
      </c>
      <c r="S228" t="n">
        <v>0</v>
      </c>
      <c r="T228" t="n">
        <v>0</v>
      </c>
      <c r="U228" t="n">
        <v>0</v>
      </c>
      <c r="V228" s="2" t="inlineStr"/>
    </row>
    <row r="229" ht="15" customHeight="1">
      <c r="A229" t="inlineStr">
        <is>
          <t>A 72089-2021</t>
        </is>
      </c>
      <c r="B229" t="inlineStr">
        <is>
          <t>avverkningsanmälan</t>
        </is>
      </c>
      <c r="C229" t="inlineStr">
        <is>
          <t>Föryngringsavverkning</t>
        </is>
      </c>
      <c r="D229" s="1" t="n">
        <v>44540</v>
      </c>
      <c r="E229" s="1" t="n">
        <v>46312</v>
      </c>
      <c r="F229" t="inlineStr">
        <is>
          <t>JÄMTLANDS LÄN</t>
        </is>
      </c>
      <c r="G229" t="inlineStr">
        <is>
          <t>ÖSTERSUND</t>
        </is>
      </c>
      <c r="I229" t="n">
        <v>0.9</v>
      </c>
      <c r="J229" t="n">
        <v>0</v>
      </c>
      <c r="K229" t="n">
        <v>0</v>
      </c>
      <c r="L229" t="n">
        <v>0</v>
      </c>
      <c r="M229" t="n">
        <v>0</v>
      </c>
      <c r="N229" t="n">
        <v>0</v>
      </c>
      <c r="O229" t="n">
        <v>0</v>
      </c>
      <c r="P229" t="n">
        <v>0</v>
      </c>
      <c r="Q229" t="n">
        <v>0</v>
      </c>
      <c r="R229" t="n">
        <v>0</v>
      </c>
      <c r="S229" t="n">
        <v>0</v>
      </c>
      <c r="T229" t="n">
        <v>0</v>
      </c>
      <c r="U229" t="n">
        <v>0</v>
      </c>
      <c r="V229" s="2" t="inlineStr"/>
    </row>
    <row r="230" ht="15" customHeight="1">
      <c r="A230" t="inlineStr">
        <is>
          <t>A 8647-2022</t>
        </is>
      </c>
      <c r="B230" t="inlineStr">
        <is>
          <t>avverkningsanmälan</t>
        </is>
      </c>
      <c r="C230" t="inlineStr">
        <is>
          <t>Föryngringsavverkning</t>
        </is>
      </c>
      <c r="D230" s="1" t="n">
        <v>44613</v>
      </c>
      <c r="E230" s="1" t="n">
        <v>46312</v>
      </c>
      <c r="F230" t="inlineStr">
        <is>
          <t>JÄMTLANDS LÄN</t>
        </is>
      </c>
      <c r="G230" t="inlineStr">
        <is>
          <t>ÖSTERSUND</t>
        </is>
      </c>
      <c r="I230" t="n">
        <v>1.1</v>
      </c>
      <c r="J230" t="n">
        <v>0</v>
      </c>
      <c r="K230" t="n">
        <v>0</v>
      </c>
      <c r="L230" t="n">
        <v>0</v>
      </c>
      <c r="M230" t="n">
        <v>0</v>
      </c>
      <c r="N230" t="n">
        <v>0</v>
      </c>
      <c r="O230" t="n">
        <v>0</v>
      </c>
      <c r="P230" t="n">
        <v>0</v>
      </c>
      <c r="Q230" t="n">
        <v>0</v>
      </c>
      <c r="R230" t="n">
        <v>0</v>
      </c>
      <c r="S230" t="n">
        <v>0</v>
      </c>
      <c r="T230" t="n">
        <v>0</v>
      </c>
      <c r="U230" t="n">
        <v>0</v>
      </c>
      <c r="V230" s="2" t="inlineStr"/>
    </row>
    <row r="231" ht="15" customHeight="1">
      <c r="A231" t="inlineStr">
        <is>
          <t>A 2880-2022</t>
        </is>
      </c>
      <c r="B231" t="inlineStr">
        <is>
          <t>avverkningsanmälan</t>
        </is>
      </c>
      <c r="C231" t="inlineStr">
        <is>
          <t>Föryngringsavverkning</t>
        </is>
      </c>
      <c r="D231" s="1" t="n">
        <v>44581</v>
      </c>
      <c r="E231" s="1" t="n">
        <v>46312</v>
      </c>
      <c r="F231" t="inlineStr">
        <is>
          <t>JÄMTLANDS LÄN</t>
        </is>
      </c>
      <c r="G231" t="inlineStr">
        <is>
          <t>ÖSTERSUND</t>
        </is>
      </c>
      <c r="I231" t="n">
        <v>0.5</v>
      </c>
      <c r="J231" t="n">
        <v>0</v>
      </c>
      <c r="K231" t="n">
        <v>0</v>
      </c>
      <c r="L231" t="n">
        <v>0</v>
      </c>
      <c r="M231" t="n">
        <v>0</v>
      </c>
      <c r="N231" t="n">
        <v>0</v>
      </c>
      <c r="O231" t="n">
        <v>0</v>
      </c>
      <c r="P231" t="n">
        <v>0</v>
      </c>
      <c r="Q231" t="n">
        <v>0</v>
      </c>
      <c r="R231" t="n">
        <v>0</v>
      </c>
      <c r="S231" t="n">
        <v>0</v>
      </c>
      <c r="T231" t="n">
        <v>0</v>
      </c>
      <c r="U231" t="n">
        <v>0</v>
      </c>
      <c r="V231" s="2" t="inlineStr"/>
    </row>
    <row r="232" ht="15" customHeight="1">
      <c r="A232" t="inlineStr">
        <is>
          <t>A 47295-2022</t>
        </is>
      </c>
      <c r="B232" t="inlineStr">
        <is>
          <t>avverkningsanmälan</t>
        </is>
      </c>
      <c r="C232" t="inlineStr">
        <is>
          <t>Föryngringsavverkning</t>
        </is>
      </c>
      <c r="D232" s="1" t="n">
        <v>44852</v>
      </c>
      <c r="E232" s="1" t="n">
        <v>46312</v>
      </c>
      <c r="F232" t="inlineStr">
        <is>
          <t>JÄMTLANDS LÄN</t>
        </is>
      </c>
      <c r="G232" t="inlineStr">
        <is>
          <t>ÖSTERSUND</t>
        </is>
      </c>
      <c r="I232" t="n">
        <v>1.1</v>
      </c>
      <c r="J232" t="n">
        <v>0</v>
      </c>
      <c r="K232" t="n">
        <v>0</v>
      </c>
      <c r="L232" t="n">
        <v>0</v>
      </c>
      <c r="M232" t="n">
        <v>0</v>
      </c>
      <c r="N232" t="n">
        <v>0</v>
      </c>
      <c r="O232" t="n">
        <v>0</v>
      </c>
      <c r="P232" t="n">
        <v>0</v>
      </c>
      <c r="Q232" t="n">
        <v>0</v>
      </c>
      <c r="R232" t="n">
        <v>0</v>
      </c>
      <c r="S232" t="n">
        <v>0</v>
      </c>
      <c r="T232" t="n">
        <v>0</v>
      </c>
      <c r="U232" t="n">
        <v>0</v>
      </c>
      <c r="V232" s="2" t="inlineStr"/>
    </row>
    <row r="233" ht="15" customHeight="1">
      <c r="A233" t="inlineStr">
        <is>
          <t>A 154-2022</t>
        </is>
      </c>
      <c r="B233" t="inlineStr">
        <is>
          <t>avverkningsanmälan</t>
        </is>
      </c>
      <c r="C233" t="inlineStr">
        <is>
          <t>Föryngringsavverkning</t>
        </is>
      </c>
      <c r="D233" s="1" t="n">
        <v>44561</v>
      </c>
      <c r="E233" s="1" t="n">
        <v>46312</v>
      </c>
      <c r="F233" t="inlineStr">
        <is>
          <t>JÄMTLANDS LÄN</t>
        </is>
      </c>
      <c r="G233" t="inlineStr">
        <is>
          <t>ÖSTERSUND</t>
        </is>
      </c>
      <c r="I233" t="n">
        <v>4.2</v>
      </c>
      <c r="J233" t="n">
        <v>0</v>
      </c>
      <c r="K233" t="n">
        <v>0</v>
      </c>
      <c r="L233" t="n">
        <v>0</v>
      </c>
      <c r="M233" t="n">
        <v>0</v>
      </c>
      <c r="N233" t="n">
        <v>0</v>
      </c>
      <c r="O233" t="n">
        <v>0</v>
      </c>
      <c r="P233" t="n">
        <v>0</v>
      </c>
      <c r="Q233" t="n">
        <v>0</v>
      </c>
      <c r="R233" t="n">
        <v>0</v>
      </c>
      <c r="S233" t="n">
        <v>0</v>
      </c>
      <c r="T233" t="n">
        <v>0</v>
      </c>
      <c r="U233" t="n">
        <v>0</v>
      </c>
      <c r="V233" s="2" t="inlineStr"/>
    </row>
    <row r="234" ht="15" customHeight="1">
      <c r="A234" t="inlineStr">
        <is>
          <t>A 695-2022</t>
        </is>
      </c>
      <c r="B234" t="inlineStr">
        <is>
          <t>avverkningsanmälan</t>
        </is>
      </c>
      <c r="C234" t="inlineStr">
        <is>
          <t>Föryngringsavverkning</t>
        </is>
      </c>
      <c r="D234" s="1" t="n">
        <v>44566</v>
      </c>
      <c r="E234" s="1" t="n">
        <v>46312</v>
      </c>
      <c r="F234" t="inlineStr">
        <is>
          <t>JÄMTLANDS LÄN</t>
        </is>
      </c>
      <c r="G234" t="inlineStr">
        <is>
          <t>ÖSTERSUND</t>
        </is>
      </c>
      <c r="I234" t="n">
        <v>14.9</v>
      </c>
      <c r="J234" t="n">
        <v>0</v>
      </c>
      <c r="K234" t="n">
        <v>0</v>
      </c>
      <c r="L234" t="n">
        <v>0</v>
      </c>
      <c r="M234" t="n">
        <v>0</v>
      </c>
      <c r="N234" t="n">
        <v>0</v>
      </c>
      <c r="O234" t="n">
        <v>0</v>
      </c>
      <c r="P234" t="n">
        <v>0</v>
      </c>
      <c r="Q234" t="n">
        <v>0</v>
      </c>
      <c r="R234" t="n">
        <v>0</v>
      </c>
      <c r="S234" t="n">
        <v>0</v>
      </c>
      <c r="T234" t="n">
        <v>0</v>
      </c>
      <c r="U234" t="n">
        <v>0</v>
      </c>
      <c r="V234" s="2" t="inlineStr"/>
    </row>
    <row r="235" ht="15" customHeight="1">
      <c r="A235" t="inlineStr">
        <is>
          <t>A 29828-2022</t>
        </is>
      </c>
      <c r="B235" t="inlineStr">
        <is>
          <t>avverkningsanmälan</t>
        </is>
      </c>
      <c r="C235" t="inlineStr">
        <is>
          <t>Avverkning för att bevara och utveckla /försöksver</t>
        </is>
      </c>
      <c r="D235" s="1" t="n">
        <v>44755</v>
      </c>
      <c r="E235" s="1" t="n">
        <v>46312</v>
      </c>
      <c r="F235" t="inlineStr">
        <is>
          <t>JÄMTLANDS LÄN</t>
        </is>
      </c>
      <c r="G235" t="inlineStr">
        <is>
          <t>ÖSTERSUND</t>
        </is>
      </c>
      <c r="H235" t="inlineStr">
        <is>
          <t>SCA</t>
        </is>
      </c>
      <c r="I235" t="n">
        <v>0.8</v>
      </c>
      <c r="J235" t="n">
        <v>0</v>
      </c>
      <c r="K235" t="n">
        <v>0</v>
      </c>
      <c r="L235" t="n">
        <v>0</v>
      </c>
      <c r="M235" t="n">
        <v>0</v>
      </c>
      <c r="N235" t="n">
        <v>0</v>
      </c>
      <c r="O235" t="n">
        <v>0</v>
      </c>
      <c r="P235" t="n">
        <v>0</v>
      </c>
      <c r="Q235" t="n">
        <v>0</v>
      </c>
      <c r="R235" t="n">
        <v>0</v>
      </c>
      <c r="S235" t="n">
        <v>0</v>
      </c>
      <c r="T235" t="n">
        <v>0</v>
      </c>
      <c r="U235" t="n">
        <v>0</v>
      </c>
      <c r="V235" s="2" t="inlineStr"/>
    </row>
    <row r="236" ht="15" customHeight="1">
      <c r="A236" t="inlineStr">
        <is>
          <t>A 47296-2022</t>
        </is>
      </c>
      <c r="B236" t="inlineStr">
        <is>
          <t>avverkningsanmälan</t>
        </is>
      </c>
      <c r="C236" t="inlineStr">
        <is>
          <t>Föryngringsavverkning</t>
        </is>
      </c>
      <c r="D236" s="1" t="n">
        <v>44852</v>
      </c>
      <c r="E236" s="1" t="n">
        <v>46312</v>
      </c>
      <c r="F236" t="inlineStr">
        <is>
          <t>JÄMTLANDS LÄN</t>
        </is>
      </c>
      <c r="G236" t="inlineStr">
        <is>
          <t>ÖSTERSUND</t>
        </is>
      </c>
      <c r="I236" t="n">
        <v>0.5</v>
      </c>
      <c r="J236" t="n">
        <v>0</v>
      </c>
      <c r="K236" t="n">
        <v>0</v>
      </c>
      <c r="L236" t="n">
        <v>0</v>
      </c>
      <c r="M236" t="n">
        <v>0</v>
      </c>
      <c r="N236" t="n">
        <v>0</v>
      </c>
      <c r="O236" t="n">
        <v>0</v>
      </c>
      <c r="P236" t="n">
        <v>0</v>
      </c>
      <c r="Q236" t="n">
        <v>0</v>
      </c>
      <c r="R236" t="n">
        <v>0</v>
      </c>
      <c r="S236" t="n">
        <v>0</v>
      </c>
      <c r="T236" t="n">
        <v>0</v>
      </c>
      <c r="U236" t="n">
        <v>0</v>
      </c>
      <c r="V236" s="2" t="inlineStr"/>
    </row>
    <row r="237" ht="15" customHeight="1">
      <c r="A237" t="inlineStr">
        <is>
          <t>A 72041-2021</t>
        </is>
      </c>
      <c r="B237" t="inlineStr">
        <is>
          <t>avverkningsanmälan</t>
        </is>
      </c>
      <c r="C237" t="inlineStr">
        <is>
          <t>Avverkning för annat ändamål</t>
        </is>
      </c>
      <c r="D237" s="1" t="n">
        <v>44540</v>
      </c>
      <c r="E237" s="1" t="n">
        <v>46312</v>
      </c>
      <c r="F237" t="inlineStr">
        <is>
          <t>JÄMTLANDS LÄN</t>
        </is>
      </c>
      <c r="G237" t="inlineStr">
        <is>
          <t>ÖSTERSUND</t>
        </is>
      </c>
      <c r="I237" t="n">
        <v>0.4</v>
      </c>
      <c r="J237" t="n">
        <v>0</v>
      </c>
      <c r="K237" t="n">
        <v>0</v>
      </c>
      <c r="L237" t="n">
        <v>0</v>
      </c>
      <c r="M237" t="n">
        <v>0</v>
      </c>
      <c r="N237" t="n">
        <v>0</v>
      </c>
      <c r="O237" t="n">
        <v>0</v>
      </c>
      <c r="P237" t="n">
        <v>0</v>
      </c>
      <c r="Q237" t="n">
        <v>0</v>
      </c>
      <c r="R237" t="n">
        <v>0</v>
      </c>
      <c r="S237" t="n">
        <v>0</v>
      </c>
      <c r="T237" t="n">
        <v>0</v>
      </c>
      <c r="U237" t="n">
        <v>0</v>
      </c>
      <c r="V237" s="2" t="inlineStr"/>
    </row>
    <row r="238" ht="15" customHeight="1">
      <c r="A238" t="inlineStr">
        <is>
          <t>A 70816-2021</t>
        </is>
      </c>
      <c r="B238" t="inlineStr">
        <is>
          <t>avverkningsanmälan</t>
        </is>
      </c>
      <c r="C238" t="inlineStr">
        <is>
          <t>Föryngringsavverkning</t>
        </is>
      </c>
      <c r="D238" s="1" t="n">
        <v>44537</v>
      </c>
      <c r="E238" s="1" t="n">
        <v>46312</v>
      </c>
      <c r="F238" t="inlineStr">
        <is>
          <t>JÄMTLANDS LÄN</t>
        </is>
      </c>
      <c r="G238" t="inlineStr">
        <is>
          <t>ÖSTERSUND</t>
        </is>
      </c>
      <c r="I238" t="n">
        <v>0.5</v>
      </c>
      <c r="J238" t="n">
        <v>0</v>
      </c>
      <c r="K238" t="n">
        <v>0</v>
      </c>
      <c r="L238" t="n">
        <v>0</v>
      </c>
      <c r="M238" t="n">
        <v>0</v>
      </c>
      <c r="N238" t="n">
        <v>0</v>
      </c>
      <c r="O238" t="n">
        <v>0</v>
      </c>
      <c r="P238" t="n">
        <v>0</v>
      </c>
      <c r="Q238" t="n">
        <v>0</v>
      </c>
      <c r="R238" t="n">
        <v>0</v>
      </c>
      <c r="S238" t="n">
        <v>0</v>
      </c>
      <c r="T238" t="n">
        <v>0</v>
      </c>
      <c r="U238" t="n">
        <v>0</v>
      </c>
      <c r="V238" s="2" t="inlineStr"/>
    </row>
    <row r="239" ht="15" customHeight="1">
      <c r="A239" t="inlineStr">
        <is>
          <t>A 8227-2022</t>
        </is>
      </c>
      <c r="B239" t="inlineStr">
        <is>
          <t>avverkningsanmälan</t>
        </is>
      </c>
      <c r="C239" t="inlineStr">
        <is>
          <t>Föryngringsavverkning</t>
        </is>
      </c>
      <c r="D239" s="1" t="n">
        <v>44609</v>
      </c>
      <c r="E239" s="1" t="n">
        <v>46312</v>
      </c>
      <c r="F239" t="inlineStr">
        <is>
          <t>JÄMTLANDS LÄN</t>
        </is>
      </c>
      <c r="G239" t="inlineStr">
        <is>
          <t>ÖSTERSUND</t>
        </is>
      </c>
      <c r="I239" t="n">
        <v>6.6</v>
      </c>
      <c r="J239" t="n">
        <v>0</v>
      </c>
      <c r="K239" t="n">
        <v>0</v>
      </c>
      <c r="L239" t="n">
        <v>0</v>
      </c>
      <c r="M239" t="n">
        <v>0</v>
      </c>
      <c r="N239" t="n">
        <v>0</v>
      </c>
      <c r="O239" t="n">
        <v>0</v>
      </c>
      <c r="P239" t="n">
        <v>0</v>
      </c>
      <c r="Q239" t="n">
        <v>0</v>
      </c>
      <c r="R239" t="n">
        <v>0</v>
      </c>
      <c r="S239" t="n">
        <v>0</v>
      </c>
      <c r="T239" t="n">
        <v>0</v>
      </c>
      <c r="U239" t="n">
        <v>0</v>
      </c>
      <c r="V239" s="2" t="inlineStr"/>
    </row>
    <row r="240" ht="15" customHeight="1">
      <c r="A240" t="inlineStr">
        <is>
          <t>A 56148-2022</t>
        </is>
      </c>
      <c r="B240" t="inlineStr">
        <is>
          <t>avverkningsanmälan</t>
        </is>
      </c>
      <c r="C240" t="inlineStr">
        <is>
          <t>Föryngringsavverkning</t>
        </is>
      </c>
      <c r="D240" s="1" t="n">
        <v>44889</v>
      </c>
      <c r="E240" s="1" t="n">
        <v>46312</v>
      </c>
      <c r="F240" t="inlineStr">
        <is>
          <t>JÄMTLANDS LÄN</t>
        </is>
      </c>
      <c r="G240" t="inlineStr">
        <is>
          <t>ÖSTERSUND</t>
        </is>
      </c>
      <c r="I240" t="n">
        <v>1.4</v>
      </c>
      <c r="J240" t="n">
        <v>0</v>
      </c>
      <c r="K240" t="n">
        <v>0</v>
      </c>
      <c r="L240" t="n">
        <v>0</v>
      </c>
      <c r="M240" t="n">
        <v>0</v>
      </c>
      <c r="N240" t="n">
        <v>0</v>
      </c>
      <c r="O240" t="n">
        <v>0</v>
      </c>
      <c r="P240" t="n">
        <v>0</v>
      </c>
      <c r="Q240" t="n">
        <v>0</v>
      </c>
      <c r="R240" t="n">
        <v>0</v>
      </c>
      <c r="S240" t="n">
        <v>0</v>
      </c>
      <c r="T240" t="n">
        <v>0</v>
      </c>
      <c r="U240" t="n">
        <v>0</v>
      </c>
      <c r="V240" s="2" t="inlineStr"/>
    </row>
    <row r="241" ht="15" customHeight="1">
      <c r="A241" t="inlineStr">
        <is>
          <t>A 65866-2021</t>
        </is>
      </c>
      <c r="B241" t="inlineStr">
        <is>
          <t>avverkningsanmälan</t>
        </is>
      </c>
      <c r="C241" t="inlineStr">
        <is>
          <t>Avverkning för annat ändamål</t>
        </is>
      </c>
      <c r="D241" s="1" t="n">
        <v>44516</v>
      </c>
      <c r="E241" s="1" t="n">
        <v>46312</v>
      </c>
      <c r="F241" t="inlineStr">
        <is>
          <t>JÄMTLANDS LÄN</t>
        </is>
      </c>
      <c r="G241" t="inlineStr">
        <is>
          <t>ÖSTERSUND</t>
        </is>
      </c>
      <c r="I241" t="n">
        <v>2.6</v>
      </c>
      <c r="J241" t="n">
        <v>0</v>
      </c>
      <c r="K241" t="n">
        <v>0</v>
      </c>
      <c r="L241" t="n">
        <v>0</v>
      </c>
      <c r="M241" t="n">
        <v>0</v>
      </c>
      <c r="N241" t="n">
        <v>0</v>
      </c>
      <c r="O241" t="n">
        <v>0</v>
      </c>
      <c r="P241" t="n">
        <v>0</v>
      </c>
      <c r="Q241" t="n">
        <v>0</v>
      </c>
      <c r="R241" t="n">
        <v>0</v>
      </c>
      <c r="S241" t="n">
        <v>0</v>
      </c>
      <c r="T241" t="n">
        <v>0</v>
      </c>
      <c r="U241" t="n">
        <v>0</v>
      </c>
      <c r="V241" s="2" t="inlineStr"/>
    </row>
    <row r="242" ht="15" customHeight="1">
      <c r="A242" t="inlineStr">
        <is>
          <t>A 52898-2022</t>
        </is>
      </c>
      <c r="B242" t="inlineStr">
        <is>
          <t>avverkningsanmälan</t>
        </is>
      </c>
      <c r="C242" t="inlineStr">
        <is>
          <t>Föryngringsavverkning</t>
        </is>
      </c>
      <c r="D242" s="1" t="n">
        <v>44875</v>
      </c>
      <c r="E242" s="1" t="n">
        <v>46312</v>
      </c>
      <c r="F242" t="inlineStr">
        <is>
          <t>JÄMTLANDS LÄN</t>
        </is>
      </c>
      <c r="G242" t="inlineStr">
        <is>
          <t>ÖSTERSUND</t>
        </is>
      </c>
      <c r="H242" t="inlineStr">
        <is>
          <t>Övriga Aktiebolag</t>
        </is>
      </c>
      <c r="I242" t="n">
        <v>12.1</v>
      </c>
      <c r="J242" t="n">
        <v>0</v>
      </c>
      <c r="K242" t="n">
        <v>0</v>
      </c>
      <c r="L242" t="n">
        <v>0</v>
      </c>
      <c r="M242" t="n">
        <v>0</v>
      </c>
      <c r="N242" t="n">
        <v>0</v>
      </c>
      <c r="O242" t="n">
        <v>0</v>
      </c>
      <c r="P242" t="n">
        <v>0</v>
      </c>
      <c r="Q242" t="n">
        <v>0</v>
      </c>
      <c r="R242" t="n">
        <v>0</v>
      </c>
      <c r="S242" t="n">
        <v>0</v>
      </c>
      <c r="T242" t="n">
        <v>0</v>
      </c>
      <c r="U242" t="n">
        <v>0</v>
      </c>
      <c r="V242" s="2" t="inlineStr"/>
    </row>
    <row r="243" ht="15" customHeight="1">
      <c r="A243" t="inlineStr">
        <is>
          <t>A 55105-2022</t>
        </is>
      </c>
      <c r="B243" t="inlineStr">
        <is>
          <t>avverkningsanmälan</t>
        </is>
      </c>
      <c r="C243" t="inlineStr">
        <is>
          <t>Föryngringsavverkning</t>
        </is>
      </c>
      <c r="D243" s="1" t="n">
        <v>44886</v>
      </c>
      <c r="E243" s="1" t="n">
        <v>46312</v>
      </c>
      <c r="F243" t="inlineStr">
        <is>
          <t>JÄMTLANDS LÄN</t>
        </is>
      </c>
      <c r="G243" t="inlineStr">
        <is>
          <t>ÖSTERSUND</t>
        </is>
      </c>
      <c r="H243" t="inlineStr">
        <is>
          <t>Övriga Aktiebolag</t>
        </is>
      </c>
      <c r="I243" t="n">
        <v>2.4</v>
      </c>
      <c r="J243" t="n">
        <v>0</v>
      </c>
      <c r="K243" t="n">
        <v>0</v>
      </c>
      <c r="L243" t="n">
        <v>0</v>
      </c>
      <c r="M243" t="n">
        <v>0</v>
      </c>
      <c r="N243" t="n">
        <v>0</v>
      </c>
      <c r="O243" t="n">
        <v>0</v>
      </c>
      <c r="P243" t="n">
        <v>0</v>
      </c>
      <c r="Q243" t="n">
        <v>0</v>
      </c>
      <c r="R243" t="n">
        <v>0</v>
      </c>
      <c r="S243" t="n">
        <v>0</v>
      </c>
      <c r="T243" t="n">
        <v>0</v>
      </c>
      <c r="U243" t="n">
        <v>0</v>
      </c>
      <c r="V243" s="2" t="inlineStr"/>
      <c r="Z243">
        <f>HYPERLINK("https://klasma.github.io/Logging_2380/knärot/A 55105-2022 karta knärot.png", "A 55105-2022")</f>
        <v/>
      </c>
      <c r="AA243">
        <f>HYPERLINK("https://klasma.github.io/Logging_2380/klagomål/A 55105-2022 FSC-klagomål.docx", "A 55105-2022")</f>
        <v/>
      </c>
      <c r="AB243">
        <f>HYPERLINK("https://klasma.github.io/Logging_2380/klagomålsmail/A 55105-2022 FSC-klagomål mail.docx", "A 55105-2022")</f>
        <v/>
      </c>
      <c r="AC243">
        <f>HYPERLINK("https://klasma.github.io/Logging_2380/tillsyn/A 55105-2022 tillsynsbegäran.docx", "A 55105-2022")</f>
        <v/>
      </c>
      <c r="AD243">
        <f>HYPERLINK("https://klasma.github.io/Logging_2380/tillsynsmail/A 55105-2022 tillsynsbegäran mail.docx", "A 55105-2022")</f>
        <v/>
      </c>
    </row>
    <row r="244" ht="15" customHeight="1">
      <c r="A244" t="inlineStr">
        <is>
          <t>A 29094-2022</t>
        </is>
      </c>
      <c r="B244" t="inlineStr">
        <is>
          <t>avverkningsanmälan</t>
        </is>
      </c>
      <c r="C244" t="inlineStr">
        <is>
          <t>Föryngringsavverkning</t>
        </is>
      </c>
      <c r="D244" s="1" t="n">
        <v>44750</v>
      </c>
      <c r="E244" s="1" t="n">
        <v>46312</v>
      </c>
      <c r="F244" t="inlineStr">
        <is>
          <t>JÄMTLANDS LÄN</t>
        </is>
      </c>
      <c r="G244" t="inlineStr">
        <is>
          <t>ÖSTERSUND</t>
        </is>
      </c>
      <c r="I244" t="n">
        <v>0.7</v>
      </c>
      <c r="J244" t="n">
        <v>0</v>
      </c>
      <c r="K244" t="n">
        <v>0</v>
      </c>
      <c r="L244" t="n">
        <v>0</v>
      </c>
      <c r="M244" t="n">
        <v>0</v>
      </c>
      <c r="N244" t="n">
        <v>0</v>
      </c>
      <c r="O244" t="n">
        <v>0</v>
      </c>
      <c r="P244" t="n">
        <v>0</v>
      </c>
      <c r="Q244" t="n">
        <v>0</v>
      </c>
      <c r="R244" t="n">
        <v>0</v>
      </c>
      <c r="S244" t="n">
        <v>0</v>
      </c>
      <c r="T244" t="n">
        <v>0</v>
      </c>
      <c r="U244" t="n">
        <v>0</v>
      </c>
      <c r="V244" s="2" t="inlineStr"/>
    </row>
    <row r="245" ht="15" customHeight="1">
      <c r="A245" t="inlineStr">
        <is>
          <t>A 65991-2021</t>
        </is>
      </c>
      <c r="B245" t="inlineStr">
        <is>
          <t>avverkningsanmälan</t>
        </is>
      </c>
      <c r="C245" t="inlineStr">
        <is>
          <t>Avverkning för att bevara och utveckla /försöksver</t>
        </is>
      </c>
      <c r="D245" s="1" t="n">
        <v>44517</v>
      </c>
      <c r="E245" s="1" t="n">
        <v>46312</v>
      </c>
      <c r="F245" t="inlineStr">
        <is>
          <t>JÄMTLANDS LÄN</t>
        </is>
      </c>
      <c r="G245" t="inlineStr">
        <is>
          <t>ÖSTERSUND</t>
        </is>
      </c>
      <c r="I245" t="n">
        <v>4.3</v>
      </c>
      <c r="J245" t="n">
        <v>0</v>
      </c>
      <c r="K245" t="n">
        <v>0</v>
      </c>
      <c r="L245" t="n">
        <v>0</v>
      </c>
      <c r="M245" t="n">
        <v>0</v>
      </c>
      <c r="N245" t="n">
        <v>0</v>
      </c>
      <c r="O245" t="n">
        <v>0</v>
      </c>
      <c r="P245" t="n">
        <v>0</v>
      </c>
      <c r="Q245" t="n">
        <v>0</v>
      </c>
      <c r="R245" t="n">
        <v>0</v>
      </c>
      <c r="S245" t="n">
        <v>0</v>
      </c>
      <c r="T245" t="n">
        <v>0</v>
      </c>
      <c r="U245" t="n">
        <v>0</v>
      </c>
      <c r="V245" s="2" t="inlineStr"/>
    </row>
    <row r="246" ht="15" customHeight="1">
      <c r="A246" t="inlineStr">
        <is>
          <t>A 6458-2022</t>
        </is>
      </c>
      <c r="B246" t="inlineStr">
        <is>
          <t>avverkningsanmälan</t>
        </is>
      </c>
      <c r="C246" t="inlineStr">
        <is>
          <t>Föryngringsavverkning</t>
        </is>
      </c>
      <c r="D246" s="1" t="n">
        <v>44601</v>
      </c>
      <c r="E246" s="1" t="n">
        <v>46312</v>
      </c>
      <c r="F246" t="inlineStr">
        <is>
          <t>JÄMTLANDS LÄN</t>
        </is>
      </c>
      <c r="G246" t="inlineStr">
        <is>
          <t>ÖSTERSUND</t>
        </is>
      </c>
      <c r="I246" t="n">
        <v>3.1</v>
      </c>
      <c r="J246" t="n">
        <v>0</v>
      </c>
      <c r="K246" t="n">
        <v>0</v>
      </c>
      <c r="L246" t="n">
        <v>0</v>
      </c>
      <c r="M246" t="n">
        <v>0</v>
      </c>
      <c r="N246" t="n">
        <v>0</v>
      </c>
      <c r="O246" t="n">
        <v>0</v>
      </c>
      <c r="P246" t="n">
        <v>0</v>
      </c>
      <c r="Q246" t="n">
        <v>0</v>
      </c>
      <c r="R246" t="n">
        <v>0</v>
      </c>
      <c r="S246" t="n">
        <v>0</v>
      </c>
      <c r="T246" t="n">
        <v>0</v>
      </c>
      <c r="U246" t="n">
        <v>0</v>
      </c>
      <c r="V246" s="2" t="inlineStr"/>
    </row>
    <row r="247" ht="15" customHeight="1">
      <c r="A247" t="inlineStr">
        <is>
          <t>A 23992-2022</t>
        </is>
      </c>
      <c r="B247" t="inlineStr">
        <is>
          <t>avverkningsanmälan</t>
        </is>
      </c>
      <c r="C247" t="inlineStr">
        <is>
          <t>Föryngringsavverkning</t>
        </is>
      </c>
      <c r="D247" s="1" t="n">
        <v>44722</v>
      </c>
      <c r="E247" s="1" t="n">
        <v>46312</v>
      </c>
      <c r="F247" t="inlineStr">
        <is>
          <t>JÄMTLANDS LÄN</t>
        </is>
      </c>
      <c r="G247" t="inlineStr">
        <is>
          <t>ÖSTERSUND</t>
        </is>
      </c>
      <c r="H247" t="inlineStr">
        <is>
          <t>SCA</t>
        </is>
      </c>
      <c r="I247" t="n">
        <v>1.9</v>
      </c>
      <c r="J247" t="n">
        <v>0</v>
      </c>
      <c r="K247" t="n">
        <v>0</v>
      </c>
      <c r="L247" t="n">
        <v>0</v>
      </c>
      <c r="M247" t="n">
        <v>0</v>
      </c>
      <c r="N247" t="n">
        <v>0</v>
      </c>
      <c r="O247" t="n">
        <v>0</v>
      </c>
      <c r="P247" t="n">
        <v>0</v>
      </c>
      <c r="Q247" t="n">
        <v>0</v>
      </c>
      <c r="R247" t="n">
        <v>0</v>
      </c>
      <c r="S247" t="n">
        <v>0</v>
      </c>
      <c r="T247" t="n">
        <v>0</v>
      </c>
      <c r="U247" t="n">
        <v>0</v>
      </c>
      <c r="V247" s="2" t="inlineStr"/>
    </row>
    <row r="248" ht="15" customHeight="1">
      <c r="A248" t="inlineStr">
        <is>
          <t>A 23993-2022</t>
        </is>
      </c>
      <c r="B248" t="inlineStr">
        <is>
          <t>avverkningsanmälan</t>
        </is>
      </c>
      <c r="C248" t="inlineStr">
        <is>
          <t>Föryngringsavverkning</t>
        </is>
      </c>
      <c r="D248" s="1" t="n">
        <v>44722</v>
      </c>
      <c r="E248" s="1" t="n">
        <v>46312</v>
      </c>
      <c r="F248" t="inlineStr">
        <is>
          <t>JÄMTLANDS LÄN</t>
        </is>
      </c>
      <c r="G248" t="inlineStr">
        <is>
          <t>ÖSTERSUND</t>
        </is>
      </c>
      <c r="H248" t="inlineStr">
        <is>
          <t>SCA</t>
        </is>
      </c>
      <c r="I248" t="n">
        <v>2.8</v>
      </c>
      <c r="J248" t="n">
        <v>0</v>
      </c>
      <c r="K248" t="n">
        <v>0</v>
      </c>
      <c r="L248" t="n">
        <v>0</v>
      </c>
      <c r="M248" t="n">
        <v>0</v>
      </c>
      <c r="N248" t="n">
        <v>0</v>
      </c>
      <c r="O248" t="n">
        <v>0</v>
      </c>
      <c r="P248" t="n">
        <v>0</v>
      </c>
      <c r="Q248" t="n">
        <v>0</v>
      </c>
      <c r="R248" t="n">
        <v>0</v>
      </c>
      <c r="S248" t="n">
        <v>0</v>
      </c>
      <c r="T248" t="n">
        <v>0</v>
      </c>
      <c r="U248" t="n">
        <v>0</v>
      </c>
      <c r="V248" s="2" t="inlineStr"/>
    </row>
    <row r="249" ht="15" customHeight="1">
      <c r="A249" t="inlineStr">
        <is>
          <t>A 23551-2022</t>
        </is>
      </c>
      <c r="B249" t="inlineStr">
        <is>
          <t>avverkningsanmälan</t>
        </is>
      </c>
      <c r="C249" t="inlineStr">
        <is>
          <t>Föryngringsavverkning</t>
        </is>
      </c>
      <c r="D249" s="1" t="n">
        <v>44721</v>
      </c>
      <c r="E249" s="1" t="n">
        <v>46312</v>
      </c>
      <c r="F249" t="inlineStr">
        <is>
          <t>JÄMTLANDS LÄN</t>
        </is>
      </c>
      <c r="G249" t="inlineStr">
        <is>
          <t>ÖSTERSUND</t>
        </is>
      </c>
      <c r="I249" t="n">
        <v>0.3</v>
      </c>
      <c r="J249" t="n">
        <v>0</v>
      </c>
      <c r="K249" t="n">
        <v>0</v>
      </c>
      <c r="L249" t="n">
        <v>0</v>
      </c>
      <c r="M249" t="n">
        <v>0</v>
      </c>
      <c r="N249" t="n">
        <v>0</v>
      </c>
      <c r="O249" t="n">
        <v>0</v>
      </c>
      <c r="P249" t="n">
        <v>0</v>
      </c>
      <c r="Q249" t="n">
        <v>0</v>
      </c>
      <c r="R249" t="n">
        <v>0</v>
      </c>
      <c r="S249" t="n">
        <v>0</v>
      </c>
      <c r="T249" t="n">
        <v>0</v>
      </c>
      <c r="U249" t="n">
        <v>0</v>
      </c>
      <c r="V249" s="2" t="inlineStr"/>
    </row>
    <row r="250" ht="15" customHeight="1">
      <c r="A250" t="inlineStr">
        <is>
          <t>A 45654-2022</t>
        </is>
      </c>
      <c r="B250" t="inlineStr">
        <is>
          <t>avverkningsanmälan</t>
        </is>
      </c>
      <c r="C250" t="inlineStr">
        <is>
          <t>Föryngringsavverkning</t>
        </is>
      </c>
      <c r="D250" s="1" t="n">
        <v>44845</v>
      </c>
      <c r="E250" s="1" t="n">
        <v>46312</v>
      </c>
      <c r="F250" t="inlineStr">
        <is>
          <t>JÄMTLANDS LÄN</t>
        </is>
      </c>
      <c r="G250" t="inlineStr">
        <is>
          <t>ÖSTERSUND</t>
        </is>
      </c>
      <c r="I250" t="n">
        <v>0.4</v>
      </c>
      <c r="J250" t="n">
        <v>0</v>
      </c>
      <c r="K250" t="n">
        <v>0</v>
      </c>
      <c r="L250" t="n">
        <v>0</v>
      </c>
      <c r="M250" t="n">
        <v>0</v>
      </c>
      <c r="N250" t="n">
        <v>0</v>
      </c>
      <c r="O250" t="n">
        <v>0</v>
      </c>
      <c r="P250" t="n">
        <v>0</v>
      </c>
      <c r="Q250" t="n">
        <v>0</v>
      </c>
      <c r="R250" t="n">
        <v>0</v>
      </c>
      <c r="S250" t="n">
        <v>0</v>
      </c>
      <c r="T250" t="n">
        <v>0</v>
      </c>
      <c r="U250" t="n">
        <v>0</v>
      </c>
      <c r="V250" s="2" t="inlineStr"/>
    </row>
    <row r="251" ht="15" customHeight="1">
      <c r="A251" t="inlineStr">
        <is>
          <t>A 72061-2021</t>
        </is>
      </c>
      <c r="B251" t="inlineStr">
        <is>
          <t>avverkningsanmälan</t>
        </is>
      </c>
      <c r="C251" t="inlineStr">
        <is>
          <t>Föryngringsavverkning</t>
        </is>
      </c>
      <c r="D251" s="1" t="n">
        <v>44540</v>
      </c>
      <c r="E251" s="1" t="n">
        <v>46312</v>
      </c>
      <c r="F251" t="inlineStr">
        <is>
          <t>JÄMTLANDS LÄN</t>
        </is>
      </c>
      <c r="G251" t="inlineStr">
        <is>
          <t>ÖSTERSUND</t>
        </is>
      </c>
      <c r="I251" t="n">
        <v>5.3</v>
      </c>
      <c r="J251" t="n">
        <v>0</v>
      </c>
      <c r="K251" t="n">
        <v>0</v>
      </c>
      <c r="L251" t="n">
        <v>0</v>
      </c>
      <c r="M251" t="n">
        <v>0</v>
      </c>
      <c r="N251" t="n">
        <v>0</v>
      </c>
      <c r="O251" t="n">
        <v>0</v>
      </c>
      <c r="P251" t="n">
        <v>0</v>
      </c>
      <c r="Q251" t="n">
        <v>0</v>
      </c>
      <c r="R251" t="n">
        <v>0</v>
      </c>
      <c r="S251" t="n">
        <v>0</v>
      </c>
      <c r="T251" t="n">
        <v>0</v>
      </c>
      <c r="U251" t="n">
        <v>0</v>
      </c>
      <c r="V251" s="2" t="inlineStr"/>
    </row>
    <row r="252" ht="15" customHeight="1">
      <c r="A252" t="inlineStr">
        <is>
          <t>A 14657-2022</t>
        </is>
      </c>
      <c r="B252" t="inlineStr">
        <is>
          <t>avverkningsanmälan</t>
        </is>
      </c>
      <c r="C252" t="inlineStr">
        <is>
          <t>Föryngringsavverkning</t>
        </is>
      </c>
      <c r="D252" s="1" t="n">
        <v>44655</v>
      </c>
      <c r="E252" s="1" t="n">
        <v>46312</v>
      </c>
      <c r="F252" t="inlineStr">
        <is>
          <t>JÄMTLANDS LÄN</t>
        </is>
      </c>
      <c r="G252" t="inlineStr">
        <is>
          <t>ÖSTERSUND</t>
        </is>
      </c>
      <c r="I252" t="n">
        <v>1.1</v>
      </c>
      <c r="J252" t="n">
        <v>0</v>
      </c>
      <c r="K252" t="n">
        <v>0</v>
      </c>
      <c r="L252" t="n">
        <v>0</v>
      </c>
      <c r="M252" t="n">
        <v>0</v>
      </c>
      <c r="N252" t="n">
        <v>0</v>
      </c>
      <c r="O252" t="n">
        <v>0</v>
      </c>
      <c r="P252" t="n">
        <v>0</v>
      </c>
      <c r="Q252" t="n">
        <v>0</v>
      </c>
      <c r="R252" t="n">
        <v>0</v>
      </c>
      <c r="S252" t="n">
        <v>0</v>
      </c>
      <c r="T252" t="n">
        <v>0</v>
      </c>
      <c r="U252" t="n">
        <v>0</v>
      </c>
      <c r="V252" s="2" t="inlineStr"/>
    </row>
    <row r="253" ht="15" customHeight="1">
      <c r="A253" t="inlineStr">
        <is>
          <t>A 21211-2022</t>
        </is>
      </c>
      <c r="B253" t="inlineStr">
        <is>
          <t>avverkningsanmälan</t>
        </is>
      </c>
      <c r="C253" t="inlineStr">
        <is>
          <t>Föryngringsavverkning</t>
        </is>
      </c>
      <c r="D253" s="1" t="n">
        <v>44704</v>
      </c>
      <c r="E253" s="1" t="n">
        <v>46312</v>
      </c>
      <c r="F253" t="inlineStr">
        <is>
          <t>JÄMTLANDS LÄN</t>
        </is>
      </c>
      <c r="G253" t="inlineStr">
        <is>
          <t>ÖSTERSUND</t>
        </is>
      </c>
      <c r="H253" t="inlineStr">
        <is>
          <t>SCA</t>
        </is>
      </c>
      <c r="I253" t="n">
        <v>3</v>
      </c>
      <c r="J253" t="n">
        <v>0</v>
      </c>
      <c r="K253" t="n">
        <v>0</v>
      </c>
      <c r="L253" t="n">
        <v>0</v>
      </c>
      <c r="M253" t="n">
        <v>0</v>
      </c>
      <c r="N253" t="n">
        <v>0</v>
      </c>
      <c r="O253" t="n">
        <v>0</v>
      </c>
      <c r="P253" t="n">
        <v>0</v>
      </c>
      <c r="Q253" t="n">
        <v>0</v>
      </c>
      <c r="R253" t="n">
        <v>0</v>
      </c>
      <c r="S253" t="n">
        <v>0</v>
      </c>
      <c r="T253" t="n">
        <v>0</v>
      </c>
      <c r="U253" t="n">
        <v>0</v>
      </c>
      <c r="V253" s="2" t="inlineStr"/>
    </row>
    <row r="254" ht="15" customHeight="1">
      <c r="A254" t="inlineStr">
        <is>
          <t>A 63099-2023</t>
        </is>
      </c>
      <c r="B254" t="inlineStr">
        <is>
          <t>avverkningsanmälan</t>
        </is>
      </c>
      <c r="C254" t="inlineStr">
        <is>
          <t>Avverkning för annat ändamål</t>
        </is>
      </c>
      <c r="D254" s="1" t="n">
        <v>45273</v>
      </c>
      <c r="E254" s="1" t="n">
        <v>46312</v>
      </c>
      <c r="F254" t="inlineStr">
        <is>
          <t>JÄMTLANDS LÄN</t>
        </is>
      </c>
      <c r="G254" t="inlineStr">
        <is>
          <t>ÖSTERSUND</t>
        </is>
      </c>
      <c r="I254" t="n">
        <v>1.5</v>
      </c>
      <c r="J254" t="n">
        <v>0</v>
      </c>
      <c r="K254" t="n">
        <v>0</v>
      </c>
      <c r="L254" t="n">
        <v>0</v>
      </c>
      <c r="M254" t="n">
        <v>0</v>
      </c>
      <c r="N254" t="n">
        <v>0</v>
      </c>
      <c r="O254" t="n">
        <v>0</v>
      </c>
      <c r="P254" t="n">
        <v>0</v>
      </c>
      <c r="Q254" t="n">
        <v>0</v>
      </c>
      <c r="R254" t="n">
        <v>0</v>
      </c>
      <c r="S254" t="n">
        <v>0</v>
      </c>
      <c r="T254" t="n">
        <v>0</v>
      </c>
      <c r="U254" t="n">
        <v>0</v>
      </c>
      <c r="V254" s="2" t="inlineStr"/>
    </row>
    <row r="255" ht="15" customHeight="1">
      <c r="A255" t="inlineStr">
        <is>
          <t>A 58407-2024</t>
        </is>
      </c>
      <c r="B255" t="inlineStr">
        <is>
          <t>avverkningsanmälan</t>
        </is>
      </c>
      <c r="C255" t="inlineStr">
        <is>
          <t>Föryngringsavverkning</t>
        </is>
      </c>
      <c r="D255" s="1" t="n">
        <v>45634</v>
      </c>
      <c r="E255" s="1" t="n">
        <v>46312</v>
      </c>
      <c r="F255" t="inlineStr">
        <is>
          <t>JÄMTLANDS LÄN</t>
        </is>
      </c>
      <c r="G255" t="inlineStr">
        <is>
          <t>ÖSTERSUND</t>
        </is>
      </c>
      <c r="I255" t="n">
        <v>2.8</v>
      </c>
      <c r="J255" t="n">
        <v>0</v>
      </c>
      <c r="K255" t="n">
        <v>0</v>
      </c>
      <c r="L255" t="n">
        <v>0</v>
      </c>
      <c r="M255" t="n">
        <v>0</v>
      </c>
      <c r="N255" t="n">
        <v>0</v>
      </c>
      <c r="O255" t="n">
        <v>0</v>
      </c>
      <c r="P255" t="n">
        <v>0</v>
      </c>
      <c r="Q255" t="n">
        <v>0</v>
      </c>
      <c r="R255" t="n">
        <v>0</v>
      </c>
      <c r="S255" t="n">
        <v>0</v>
      </c>
      <c r="T255" t="n">
        <v>0</v>
      </c>
      <c r="U255" t="n">
        <v>0</v>
      </c>
      <c r="V255" s="2" t="inlineStr"/>
    </row>
    <row r="256" ht="15" customHeight="1">
      <c r="A256" t="inlineStr">
        <is>
          <t>A 35556-2022</t>
        </is>
      </c>
      <c r="B256" t="inlineStr">
        <is>
          <t>avverkningsanmälan</t>
        </is>
      </c>
      <c r="C256" t="inlineStr">
        <is>
          <t>Föryngringsavverkning</t>
        </is>
      </c>
      <c r="D256" s="1" t="n">
        <v>44799</v>
      </c>
      <c r="E256" s="1" t="n">
        <v>46312</v>
      </c>
      <c r="F256" t="inlineStr">
        <is>
          <t>JÄMTLANDS LÄN</t>
        </is>
      </c>
      <c r="G256" t="inlineStr">
        <is>
          <t>ÖSTERSUND</t>
        </is>
      </c>
      <c r="I256" t="n">
        <v>3.6</v>
      </c>
      <c r="J256" t="n">
        <v>0</v>
      </c>
      <c r="K256" t="n">
        <v>0</v>
      </c>
      <c r="L256" t="n">
        <v>0</v>
      </c>
      <c r="M256" t="n">
        <v>0</v>
      </c>
      <c r="N256" t="n">
        <v>0</v>
      </c>
      <c r="O256" t="n">
        <v>0</v>
      </c>
      <c r="P256" t="n">
        <v>0</v>
      </c>
      <c r="Q256" t="n">
        <v>0</v>
      </c>
      <c r="R256" t="n">
        <v>0</v>
      </c>
      <c r="S256" t="n">
        <v>0</v>
      </c>
      <c r="T256" t="n">
        <v>0</v>
      </c>
      <c r="U256" t="n">
        <v>0</v>
      </c>
      <c r="V256" s="2" t="inlineStr"/>
    </row>
    <row r="257" ht="15" customHeight="1">
      <c r="A257" t="inlineStr">
        <is>
          <t>A 6013-2022</t>
        </is>
      </c>
      <c r="B257" t="inlineStr">
        <is>
          <t>avverkningsanmälan</t>
        </is>
      </c>
      <c r="C257" t="inlineStr">
        <is>
          <t>Föryngringsavverkning</t>
        </is>
      </c>
      <c r="D257" s="1" t="n">
        <v>44599</v>
      </c>
      <c r="E257" s="1" t="n">
        <v>46312</v>
      </c>
      <c r="F257" t="inlineStr">
        <is>
          <t>JÄMTLANDS LÄN</t>
        </is>
      </c>
      <c r="G257" t="inlineStr">
        <is>
          <t>ÖSTERSUND</t>
        </is>
      </c>
      <c r="I257" t="n">
        <v>2.5</v>
      </c>
      <c r="J257" t="n">
        <v>0</v>
      </c>
      <c r="K257" t="n">
        <v>0</v>
      </c>
      <c r="L257" t="n">
        <v>0</v>
      </c>
      <c r="M257" t="n">
        <v>0</v>
      </c>
      <c r="N257" t="n">
        <v>0</v>
      </c>
      <c r="O257" t="n">
        <v>0</v>
      </c>
      <c r="P257" t="n">
        <v>0</v>
      </c>
      <c r="Q257" t="n">
        <v>0</v>
      </c>
      <c r="R257" t="n">
        <v>0</v>
      </c>
      <c r="S257" t="n">
        <v>0</v>
      </c>
      <c r="T257" t="n">
        <v>0</v>
      </c>
      <c r="U257" t="n">
        <v>0</v>
      </c>
      <c r="V257" s="2" t="inlineStr"/>
    </row>
    <row r="258" ht="15" customHeight="1">
      <c r="A258" t="inlineStr">
        <is>
          <t>A 53802-2022</t>
        </is>
      </c>
      <c r="B258" t="inlineStr">
        <is>
          <t>avverkningsanmälan</t>
        </is>
      </c>
      <c r="C258" t="inlineStr">
        <is>
          <t>Avverkning för annat ändamål</t>
        </is>
      </c>
      <c r="D258" s="1" t="n">
        <v>44875</v>
      </c>
      <c r="E258" s="1" t="n">
        <v>46312</v>
      </c>
      <c r="F258" t="inlineStr">
        <is>
          <t>JÄMTLANDS LÄN</t>
        </is>
      </c>
      <c r="G258" t="inlineStr">
        <is>
          <t>ÖSTERSUND</t>
        </is>
      </c>
      <c r="I258" t="n">
        <v>0.2</v>
      </c>
      <c r="J258" t="n">
        <v>0</v>
      </c>
      <c r="K258" t="n">
        <v>0</v>
      </c>
      <c r="L258" t="n">
        <v>0</v>
      </c>
      <c r="M258" t="n">
        <v>0</v>
      </c>
      <c r="N258" t="n">
        <v>0</v>
      </c>
      <c r="O258" t="n">
        <v>0</v>
      </c>
      <c r="P258" t="n">
        <v>0</v>
      </c>
      <c r="Q258" t="n">
        <v>0</v>
      </c>
      <c r="R258" t="n">
        <v>0</v>
      </c>
      <c r="S258" t="n">
        <v>0</v>
      </c>
      <c r="T258" t="n">
        <v>0</v>
      </c>
      <c r="U258" t="n">
        <v>0</v>
      </c>
      <c r="V258" s="2" t="inlineStr"/>
    </row>
    <row r="259" ht="15" customHeight="1">
      <c r="A259" t="inlineStr">
        <is>
          <t>A 45980-2023</t>
        </is>
      </c>
      <c r="B259" t="inlineStr">
        <is>
          <t>avverkningsanmälan</t>
        </is>
      </c>
      <c r="C259" t="inlineStr">
        <is>
          <t>Föryngringsavverkning</t>
        </is>
      </c>
      <c r="D259" s="1" t="n">
        <v>45189</v>
      </c>
      <c r="E259" s="1" t="n">
        <v>46312</v>
      </c>
      <c r="F259" t="inlineStr">
        <is>
          <t>JÄMTLANDS LÄN</t>
        </is>
      </c>
      <c r="G259" t="inlineStr">
        <is>
          <t>ÖSTERSUND</t>
        </is>
      </c>
      <c r="I259" t="n">
        <v>0.5</v>
      </c>
      <c r="J259" t="n">
        <v>0</v>
      </c>
      <c r="K259" t="n">
        <v>0</v>
      </c>
      <c r="L259" t="n">
        <v>0</v>
      </c>
      <c r="M259" t="n">
        <v>0</v>
      </c>
      <c r="N259" t="n">
        <v>0</v>
      </c>
      <c r="O259" t="n">
        <v>0</v>
      </c>
      <c r="P259" t="n">
        <v>0</v>
      </c>
      <c r="Q259" t="n">
        <v>0</v>
      </c>
      <c r="R259" t="n">
        <v>0</v>
      </c>
      <c r="S259" t="n">
        <v>0</v>
      </c>
      <c r="T259" t="n">
        <v>0</v>
      </c>
      <c r="U259" t="n">
        <v>0</v>
      </c>
      <c r="V259" s="2" t="inlineStr"/>
    </row>
    <row r="260" ht="15" customHeight="1">
      <c r="A260" t="inlineStr">
        <is>
          <t>A 31464-2024</t>
        </is>
      </c>
      <c r="B260" t="inlineStr">
        <is>
          <t>avverkningsanmälan</t>
        </is>
      </c>
      <c r="C260" t="inlineStr">
        <is>
          <t>Avverkning för att bevara och utveckla /försöksver</t>
        </is>
      </c>
      <c r="D260" s="1" t="n">
        <v>45505</v>
      </c>
      <c r="E260" s="1" t="n">
        <v>46312</v>
      </c>
      <c r="F260" t="inlineStr">
        <is>
          <t>JÄMTLANDS LÄN</t>
        </is>
      </c>
      <c r="G260" t="inlineStr">
        <is>
          <t>ÖSTERSUND</t>
        </is>
      </c>
      <c r="H260" t="inlineStr">
        <is>
          <t>SCA</t>
        </is>
      </c>
      <c r="I260" t="n">
        <v>8.1</v>
      </c>
      <c r="J260" t="n">
        <v>0</v>
      </c>
      <c r="K260" t="n">
        <v>0</v>
      </c>
      <c r="L260" t="n">
        <v>0</v>
      </c>
      <c r="M260" t="n">
        <v>0</v>
      </c>
      <c r="N260" t="n">
        <v>0</v>
      </c>
      <c r="O260" t="n">
        <v>0</v>
      </c>
      <c r="P260" t="n">
        <v>0</v>
      </c>
      <c r="Q260" t="n">
        <v>0</v>
      </c>
      <c r="R260" t="n">
        <v>0</v>
      </c>
      <c r="S260" t="n">
        <v>0</v>
      </c>
      <c r="T260" t="n">
        <v>0</v>
      </c>
      <c r="U260" t="n">
        <v>0</v>
      </c>
      <c r="V260" s="2" t="inlineStr"/>
    </row>
    <row r="261" ht="15" customHeight="1">
      <c r="A261" t="inlineStr">
        <is>
          <t>A 7573-2022</t>
        </is>
      </c>
      <c r="B261" t="inlineStr">
        <is>
          <t>avverkningsanmälan</t>
        </is>
      </c>
      <c r="C261" t="inlineStr">
        <is>
          <t>Avverkning för annat ändamål</t>
        </is>
      </c>
      <c r="D261" s="1" t="n">
        <v>44607</v>
      </c>
      <c r="E261" s="1" t="n">
        <v>46312</v>
      </c>
      <c r="F261" t="inlineStr">
        <is>
          <t>JÄMTLANDS LÄN</t>
        </is>
      </c>
      <c r="G261" t="inlineStr">
        <is>
          <t>ÖSTERSUND</t>
        </is>
      </c>
      <c r="I261" t="n">
        <v>0.5</v>
      </c>
      <c r="J261" t="n">
        <v>0</v>
      </c>
      <c r="K261" t="n">
        <v>0</v>
      </c>
      <c r="L261" t="n">
        <v>0</v>
      </c>
      <c r="M261" t="n">
        <v>0</v>
      </c>
      <c r="N261" t="n">
        <v>0</v>
      </c>
      <c r="O261" t="n">
        <v>0</v>
      </c>
      <c r="P261" t="n">
        <v>0</v>
      </c>
      <c r="Q261" t="n">
        <v>0</v>
      </c>
      <c r="R261" t="n">
        <v>0</v>
      </c>
      <c r="S261" t="n">
        <v>0</v>
      </c>
      <c r="T261" t="n">
        <v>0</v>
      </c>
      <c r="U261" t="n">
        <v>0</v>
      </c>
      <c r="V261" s="2" t="inlineStr"/>
    </row>
    <row r="262" ht="15" customHeight="1">
      <c r="A262" t="inlineStr">
        <is>
          <t>A 60681-2022</t>
        </is>
      </c>
      <c r="B262" t="inlineStr">
        <is>
          <t>avverkningsanmälan</t>
        </is>
      </c>
      <c r="C262" t="inlineStr">
        <is>
          <t>Föryngringsavverkning</t>
        </is>
      </c>
      <c r="D262" s="1" t="n">
        <v>44911</v>
      </c>
      <c r="E262" s="1" t="n">
        <v>46312</v>
      </c>
      <c r="F262" t="inlineStr">
        <is>
          <t>JÄMTLANDS LÄN</t>
        </is>
      </c>
      <c r="G262" t="inlineStr">
        <is>
          <t>ÖSTERSUND</t>
        </is>
      </c>
      <c r="I262" t="n">
        <v>0.7</v>
      </c>
      <c r="J262" t="n">
        <v>0</v>
      </c>
      <c r="K262" t="n">
        <v>0</v>
      </c>
      <c r="L262" t="n">
        <v>0</v>
      </c>
      <c r="M262" t="n">
        <v>0</v>
      </c>
      <c r="N262" t="n">
        <v>0</v>
      </c>
      <c r="O262" t="n">
        <v>0</v>
      </c>
      <c r="P262" t="n">
        <v>0</v>
      </c>
      <c r="Q262" t="n">
        <v>0</v>
      </c>
      <c r="R262" t="n">
        <v>0</v>
      </c>
      <c r="S262" t="n">
        <v>0</v>
      </c>
      <c r="T262" t="n">
        <v>0</v>
      </c>
      <c r="U262" t="n">
        <v>0</v>
      </c>
      <c r="V262" s="2" t="inlineStr"/>
    </row>
    <row r="263" ht="15" customHeight="1">
      <c r="A263" t="inlineStr">
        <is>
          <t>A 21495-2022</t>
        </is>
      </c>
      <c r="B263" t="inlineStr">
        <is>
          <t>avverkningsanmälan</t>
        </is>
      </c>
      <c r="C263" t="inlineStr">
        <is>
          <t>Föryngringsavverkning</t>
        </is>
      </c>
      <c r="D263" s="1" t="n">
        <v>44706</v>
      </c>
      <c r="E263" s="1" t="n">
        <v>46312</v>
      </c>
      <c r="F263" t="inlineStr">
        <is>
          <t>JÄMTLANDS LÄN</t>
        </is>
      </c>
      <c r="G263" t="inlineStr">
        <is>
          <t>ÖSTERSUND</t>
        </is>
      </c>
      <c r="I263" t="n">
        <v>1.3</v>
      </c>
      <c r="J263" t="n">
        <v>0</v>
      </c>
      <c r="K263" t="n">
        <v>0</v>
      </c>
      <c r="L263" t="n">
        <v>0</v>
      </c>
      <c r="M263" t="n">
        <v>0</v>
      </c>
      <c r="N263" t="n">
        <v>0</v>
      </c>
      <c r="O263" t="n">
        <v>0</v>
      </c>
      <c r="P263" t="n">
        <v>0</v>
      </c>
      <c r="Q263" t="n">
        <v>0</v>
      </c>
      <c r="R263" t="n">
        <v>0</v>
      </c>
      <c r="S263" t="n">
        <v>0</v>
      </c>
      <c r="T263" t="n">
        <v>0</v>
      </c>
      <c r="U263" t="n">
        <v>0</v>
      </c>
      <c r="V263" s="2" t="inlineStr"/>
    </row>
    <row r="264" ht="15" customHeight="1">
      <c r="A264" t="inlineStr">
        <is>
          <t>A 10493-2025</t>
        </is>
      </c>
      <c r="B264" t="inlineStr">
        <is>
          <t>avverkningsanmälan</t>
        </is>
      </c>
      <c r="C264" t="inlineStr">
        <is>
          <t>Föryngringsavverkning</t>
        </is>
      </c>
      <c r="D264" s="1" t="n">
        <v>45721</v>
      </c>
      <c r="E264" s="1" t="n">
        <v>46312</v>
      </c>
      <c r="F264" t="inlineStr">
        <is>
          <t>JÄMTLANDS LÄN</t>
        </is>
      </c>
      <c r="G264" t="inlineStr">
        <is>
          <t>ÖSTERSUND</t>
        </is>
      </c>
      <c r="I264" t="n">
        <v>1.7</v>
      </c>
      <c r="J264" t="n">
        <v>0</v>
      </c>
      <c r="K264" t="n">
        <v>0</v>
      </c>
      <c r="L264" t="n">
        <v>0</v>
      </c>
      <c r="M264" t="n">
        <v>0</v>
      </c>
      <c r="N264" t="n">
        <v>0</v>
      </c>
      <c r="O264" t="n">
        <v>0</v>
      </c>
      <c r="P264" t="n">
        <v>0</v>
      </c>
      <c r="Q264" t="n">
        <v>0</v>
      </c>
      <c r="R264" t="n">
        <v>0</v>
      </c>
      <c r="S264" t="n">
        <v>0</v>
      </c>
      <c r="T264" t="n">
        <v>0</v>
      </c>
      <c r="U264" t="n">
        <v>0</v>
      </c>
      <c r="V264" s="2" t="inlineStr"/>
    </row>
    <row r="265" ht="15" customHeight="1">
      <c r="A265" t="inlineStr">
        <is>
          <t>A 1255-2025</t>
        </is>
      </c>
      <c r="B265" t="inlineStr">
        <is>
          <t>avverkningsanmälan</t>
        </is>
      </c>
      <c r="C265" t="inlineStr">
        <is>
          <t>Föryngringsavverkning</t>
        </is>
      </c>
      <c r="D265" s="1" t="n">
        <v>45667</v>
      </c>
      <c r="E265" s="1" t="n">
        <v>46312</v>
      </c>
      <c r="F265" t="inlineStr">
        <is>
          <t>JÄMTLANDS LÄN</t>
        </is>
      </c>
      <c r="G265" t="inlineStr">
        <is>
          <t>ÖSTERSUND</t>
        </is>
      </c>
      <c r="H265" t="inlineStr">
        <is>
          <t>SCA</t>
        </is>
      </c>
      <c r="I265" t="n">
        <v>8.300000000000001</v>
      </c>
      <c r="J265" t="n">
        <v>0</v>
      </c>
      <c r="K265" t="n">
        <v>0</v>
      </c>
      <c r="L265" t="n">
        <v>0</v>
      </c>
      <c r="M265" t="n">
        <v>0</v>
      </c>
      <c r="N265" t="n">
        <v>0</v>
      </c>
      <c r="O265" t="n">
        <v>0</v>
      </c>
      <c r="P265" t="n">
        <v>0</v>
      </c>
      <c r="Q265" t="n">
        <v>0</v>
      </c>
      <c r="R265" t="n">
        <v>0</v>
      </c>
      <c r="S265" t="n">
        <v>0</v>
      </c>
      <c r="T265" t="n">
        <v>0</v>
      </c>
      <c r="U265" t="n">
        <v>0</v>
      </c>
      <c r="V265" s="2" t="inlineStr"/>
    </row>
    <row r="266" ht="15" customHeight="1">
      <c r="A266" t="inlineStr">
        <is>
          <t>A 47627-2024</t>
        </is>
      </c>
      <c r="B266" t="inlineStr">
        <is>
          <t>avverkningsanmälan</t>
        </is>
      </c>
      <c r="C266" t="inlineStr">
        <is>
          <t>Föryngringsavverkning</t>
        </is>
      </c>
      <c r="D266" s="1" t="n">
        <v>45588</v>
      </c>
      <c r="E266" s="1" t="n">
        <v>46312</v>
      </c>
      <c r="F266" t="inlineStr">
        <is>
          <t>JÄMTLANDS LÄN</t>
        </is>
      </c>
      <c r="G266" t="inlineStr">
        <is>
          <t>ÖSTERSUND</t>
        </is>
      </c>
      <c r="I266" t="n">
        <v>0.8</v>
      </c>
      <c r="J266" t="n">
        <v>0</v>
      </c>
      <c r="K266" t="n">
        <v>0</v>
      </c>
      <c r="L266" t="n">
        <v>0</v>
      </c>
      <c r="M266" t="n">
        <v>0</v>
      </c>
      <c r="N266" t="n">
        <v>0</v>
      </c>
      <c r="O266" t="n">
        <v>0</v>
      </c>
      <c r="P266" t="n">
        <v>0</v>
      </c>
      <c r="Q266" t="n">
        <v>0</v>
      </c>
      <c r="R266" t="n">
        <v>0</v>
      </c>
      <c r="S266" t="n">
        <v>0</v>
      </c>
      <c r="T266" t="n">
        <v>0</v>
      </c>
      <c r="U266" t="n">
        <v>0</v>
      </c>
      <c r="V266" s="2" t="inlineStr"/>
    </row>
    <row r="267" ht="15" customHeight="1">
      <c r="A267" t="inlineStr">
        <is>
          <t>A 43557-2024</t>
        </is>
      </c>
      <c r="B267" t="inlineStr">
        <is>
          <t>avverkningsanmälan</t>
        </is>
      </c>
      <c r="C267" t="inlineStr">
        <is>
          <t>Föryngringsavverkning</t>
        </is>
      </c>
      <c r="D267" s="1" t="n">
        <v>45569</v>
      </c>
      <c r="E267" s="1" t="n">
        <v>46312</v>
      </c>
      <c r="F267" t="inlineStr">
        <is>
          <t>JÄMTLANDS LÄN</t>
        </is>
      </c>
      <c r="G267" t="inlineStr">
        <is>
          <t>ÖSTERSUND</t>
        </is>
      </c>
      <c r="I267" t="n">
        <v>3.6</v>
      </c>
      <c r="J267" t="n">
        <v>0</v>
      </c>
      <c r="K267" t="n">
        <v>0</v>
      </c>
      <c r="L267" t="n">
        <v>0</v>
      </c>
      <c r="M267" t="n">
        <v>0</v>
      </c>
      <c r="N267" t="n">
        <v>0</v>
      </c>
      <c r="O267" t="n">
        <v>0</v>
      </c>
      <c r="P267" t="n">
        <v>0</v>
      </c>
      <c r="Q267" t="n">
        <v>0</v>
      </c>
      <c r="R267" t="n">
        <v>0</v>
      </c>
      <c r="S267" t="n">
        <v>0</v>
      </c>
      <c r="T267" t="n">
        <v>0</v>
      </c>
      <c r="U267" t="n">
        <v>0</v>
      </c>
      <c r="V267" s="2" t="inlineStr"/>
    </row>
    <row r="268" ht="15" customHeight="1">
      <c r="A268" t="inlineStr">
        <is>
          <t>A 2984-2024</t>
        </is>
      </c>
      <c r="B268" t="inlineStr">
        <is>
          <t>avverkningsanmälan</t>
        </is>
      </c>
      <c r="C268" t="inlineStr">
        <is>
          <t>Föryngringsavverkning</t>
        </is>
      </c>
      <c r="D268" s="1" t="n">
        <v>45315</v>
      </c>
      <c r="E268" s="1" t="n">
        <v>46312</v>
      </c>
      <c r="F268" t="inlineStr">
        <is>
          <t>JÄMTLANDS LÄN</t>
        </is>
      </c>
      <c r="G268" t="inlineStr">
        <is>
          <t>ÖSTERSUND</t>
        </is>
      </c>
      <c r="I268" t="n">
        <v>0.7</v>
      </c>
      <c r="J268" t="n">
        <v>0</v>
      </c>
      <c r="K268" t="n">
        <v>0</v>
      </c>
      <c r="L268" t="n">
        <v>0</v>
      </c>
      <c r="M268" t="n">
        <v>0</v>
      </c>
      <c r="N268" t="n">
        <v>0</v>
      </c>
      <c r="O268" t="n">
        <v>0</v>
      </c>
      <c r="P268" t="n">
        <v>0</v>
      </c>
      <c r="Q268" t="n">
        <v>0</v>
      </c>
      <c r="R268" t="n">
        <v>0</v>
      </c>
      <c r="S268" t="n">
        <v>0</v>
      </c>
      <c r="T268" t="n">
        <v>0</v>
      </c>
      <c r="U268" t="n">
        <v>0</v>
      </c>
      <c r="V268" s="2" t="inlineStr"/>
    </row>
    <row r="269" ht="15" customHeight="1">
      <c r="A269" t="inlineStr">
        <is>
          <t>A 55002-2024</t>
        </is>
      </c>
      <c r="B269" t="inlineStr">
        <is>
          <t>avverkningsanmälan</t>
        </is>
      </c>
      <c r="C269" t="inlineStr">
        <is>
          <t>Avverkning för annat ändamål</t>
        </is>
      </c>
      <c r="D269" s="1" t="n">
        <v>45621</v>
      </c>
      <c r="E269" s="1" t="n">
        <v>46312</v>
      </c>
      <c r="F269" t="inlineStr">
        <is>
          <t>JÄMTLANDS LÄN</t>
        </is>
      </c>
      <c r="G269" t="inlineStr">
        <is>
          <t>ÖSTERSUND</t>
        </is>
      </c>
      <c r="H269" t="inlineStr">
        <is>
          <t>Övriga Aktiebolag</t>
        </is>
      </c>
      <c r="I269" t="n">
        <v>0.3</v>
      </c>
      <c r="J269" t="n">
        <v>0</v>
      </c>
      <c r="K269" t="n">
        <v>0</v>
      </c>
      <c r="L269" t="n">
        <v>0</v>
      </c>
      <c r="M269" t="n">
        <v>0</v>
      </c>
      <c r="N269" t="n">
        <v>0</v>
      </c>
      <c r="O269" t="n">
        <v>0</v>
      </c>
      <c r="P269" t="n">
        <v>0</v>
      </c>
      <c r="Q269" t="n">
        <v>0</v>
      </c>
      <c r="R269" t="n">
        <v>0</v>
      </c>
      <c r="S269" t="n">
        <v>0</v>
      </c>
      <c r="T269" t="n">
        <v>0</v>
      </c>
      <c r="U269" t="n">
        <v>0</v>
      </c>
      <c r="V269" s="2" t="inlineStr"/>
    </row>
    <row r="270" ht="15" customHeight="1">
      <c r="A270" t="inlineStr">
        <is>
          <t>A 24246-2024</t>
        </is>
      </c>
      <c r="B270" t="inlineStr">
        <is>
          <t>avverkningsanmälan</t>
        </is>
      </c>
      <c r="C270" t="inlineStr">
        <is>
          <t>Föryngringsavverkning</t>
        </is>
      </c>
      <c r="D270" s="1" t="n">
        <v>45457</v>
      </c>
      <c r="E270" s="1" t="n">
        <v>46312</v>
      </c>
      <c r="F270" t="inlineStr">
        <is>
          <t>JÄMTLANDS LÄN</t>
        </is>
      </c>
      <c r="G270" t="inlineStr">
        <is>
          <t>ÖSTERSUND</t>
        </is>
      </c>
      <c r="I270" t="n">
        <v>5.3</v>
      </c>
      <c r="J270" t="n">
        <v>0</v>
      </c>
      <c r="K270" t="n">
        <v>0</v>
      </c>
      <c r="L270" t="n">
        <v>0</v>
      </c>
      <c r="M270" t="n">
        <v>0</v>
      </c>
      <c r="N270" t="n">
        <v>0</v>
      </c>
      <c r="O270" t="n">
        <v>0</v>
      </c>
      <c r="P270" t="n">
        <v>0</v>
      </c>
      <c r="Q270" t="n">
        <v>0</v>
      </c>
      <c r="R270" t="n">
        <v>0</v>
      </c>
      <c r="S270" t="n">
        <v>0</v>
      </c>
      <c r="T270" t="n">
        <v>0</v>
      </c>
      <c r="U270" t="n">
        <v>0</v>
      </c>
      <c r="V270" s="2" t="inlineStr"/>
    </row>
    <row r="271" ht="15" customHeight="1">
      <c r="A271" t="inlineStr">
        <is>
          <t>A 11740-2022</t>
        </is>
      </c>
      <c r="B271" t="inlineStr">
        <is>
          <t>avverkningsanmälan</t>
        </is>
      </c>
      <c r="C271" t="inlineStr">
        <is>
          <t>Föryngringsavverkning</t>
        </is>
      </c>
      <c r="D271" s="1" t="n">
        <v>44634</v>
      </c>
      <c r="E271" s="1" t="n">
        <v>46312</v>
      </c>
      <c r="F271" t="inlineStr">
        <is>
          <t>JÄMTLANDS LÄN</t>
        </is>
      </c>
      <c r="G271" t="inlineStr">
        <is>
          <t>ÖSTERSUND</t>
        </is>
      </c>
      <c r="I271" t="n">
        <v>1.1</v>
      </c>
      <c r="J271" t="n">
        <v>0</v>
      </c>
      <c r="K271" t="n">
        <v>0</v>
      </c>
      <c r="L271" t="n">
        <v>0</v>
      </c>
      <c r="M271" t="n">
        <v>0</v>
      </c>
      <c r="N271" t="n">
        <v>0</v>
      </c>
      <c r="O271" t="n">
        <v>0</v>
      </c>
      <c r="P271" t="n">
        <v>0</v>
      </c>
      <c r="Q271" t="n">
        <v>0</v>
      </c>
      <c r="R271" t="n">
        <v>0</v>
      </c>
      <c r="S271" t="n">
        <v>0</v>
      </c>
      <c r="T271" t="n">
        <v>0</v>
      </c>
      <c r="U271" t="n">
        <v>0</v>
      </c>
      <c r="V271" s="2" t="inlineStr"/>
    </row>
    <row r="272" ht="15" customHeight="1">
      <c r="A272" t="inlineStr">
        <is>
          <t>A 50088-2024</t>
        </is>
      </c>
      <c r="B272" t="inlineStr">
        <is>
          <t>avverkningsanmälan</t>
        </is>
      </c>
      <c r="C272" t="inlineStr">
        <is>
          <t>Föryngringsavverkning</t>
        </is>
      </c>
      <c r="D272" s="1" t="n">
        <v>45600</v>
      </c>
      <c r="E272" s="1" t="n">
        <v>46312</v>
      </c>
      <c r="F272" t="inlineStr">
        <is>
          <t>JÄMTLANDS LÄN</t>
        </is>
      </c>
      <c r="G272" t="inlineStr">
        <is>
          <t>ÖSTERSUND</t>
        </is>
      </c>
      <c r="H272" t="inlineStr">
        <is>
          <t>SCA</t>
        </is>
      </c>
      <c r="I272" t="n">
        <v>1.2</v>
      </c>
      <c r="J272" t="n">
        <v>0</v>
      </c>
      <c r="K272" t="n">
        <v>0</v>
      </c>
      <c r="L272" t="n">
        <v>0</v>
      </c>
      <c r="M272" t="n">
        <v>0</v>
      </c>
      <c r="N272" t="n">
        <v>0</v>
      </c>
      <c r="O272" t="n">
        <v>0</v>
      </c>
      <c r="P272" t="n">
        <v>0</v>
      </c>
      <c r="Q272" t="n">
        <v>0</v>
      </c>
      <c r="R272" t="n">
        <v>0</v>
      </c>
      <c r="S272" t="n">
        <v>0</v>
      </c>
      <c r="T272" t="n">
        <v>0</v>
      </c>
      <c r="U272" t="n">
        <v>0</v>
      </c>
      <c r="V272" s="2" t="inlineStr"/>
    </row>
    <row r="273" ht="15" customHeight="1">
      <c r="A273" t="inlineStr">
        <is>
          <t>A 5140-2025</t>
        </is>
      </c>
      <c r="B273" t="inlineStr">
        <is>
          <t>avverkningsanmälan</t>
        </is>
      </c>
      <c r="C273" t="inlineStr">
        <is>
          <t>Föryngringsavverkning</t>
        </is>
      </c>
      <c r="D273" s="1" t="n">
        <v>45691</v>
      </c>
      <c r="E273" s="1" t="n">
        <v>46312</v>
      </c>
      <c r="F273" t="inlineStr">
        <is>
          <t>JÄMTLANDS LÄN</t>
        </is>
      </c>
      <c r="G273" t="inlineStr">
        <is>
          <t>ÖSTERSUND</t>
        </is>
      </c>
      <c r="H273" t="inlineStr">
        <is>
          <t>Övriga Aktiebolag</t>
        </is>
      </c>
      <c r="I273" t="n">
        <v>0.9</v>
      </c>
      <c r="J273" t="n">
        <v>0</v>
      </c>
      <c r="K273" t="n">
        <v>0</v>
      </c>
      <c r="L273" t="n">
        <v>0</v>
      </c>
      <c r="M273" t="n">
        <v>0</v>
      </c>
      <c r="N273" t="n">
        <v>0</v>
      </c>
      <c r="O273" t="n">
        <v>0</v>
      </c>
      <c r="P273" t="n">
        <v>0</v>
      </c>
      <c r="Q273" t="n">
        <v>0</v>
      </c>
      <c r="R273" t="n">
        <v>0</v>
      </c>
      <c r="S273" t="n">
        <v>0</v>
      </c>
      <c r="T273" t="n">
        <v>0</v>
      </c>
      <c r="U273" t="n">
        <v>0</v>
      </c>
      <c r="V273" s="2" t="inlineStr"/>
    </row>
    <row r="274" ht="15" customHeight="1">
      <c r="A274" t="inlineStr">
        <is>
          <t>A 60560-2022</t>
        </is>
      </c>
      <c r="B274" t="inlineStr">
        <is>
          <t>avverkningsanmälan</t>
        </is>
      </c>
      <c r="C274" t="inlineStr">
        <is>
          <t>Föryngringsavverkning</t>
        </is>
      </c>
      <c r="D274" s="1" t="n">
        <v>44911</v>
      </c>
      <c r="E274" s="1" t="n">
        <v>46312</v>
      </c>
      <c r="F274" t="inlineStr">
        <is>
          <t>JÄMTLANDS LÄN</t>
        </is>
      </c>
      <c r="G274" t="inlineStr">
        <is>
          <t>ÖSTERSUND</t>
        </is>
      </c>
      <c r="I274" t="n">
        <v>0.9</v>
      </c>
      <c r="J274" t="n">
        <v>0</v>
      </c>
      <c r="K274" t="n">
        <v>0</v>
      </c>
      <c r="L274" t="n">
        <v>0</v>
      </c>
      <c r="M274" t="n">
        <v>0</v>
      </c>
      <c r="N274" t="n">
        <v>0</v>
      </c>
      <c r="O274" t="n">
        <v>0</v>
      </c>
      <c r="P274" t="n">
        <v>0</v>
      </c>
      <c r="Q274" t="n">
        <v>0</v>
      </c>
      <c r="R274" t="n">
        <v>0</v>
      </c>
      <c r="S274" t="n">
        <v>0</v>
      </c>
      <c r="T274" t="n">
        <v>0</v>
      </c>
      <c r="U274" t="n">
        <v>0</v>
      </c>
      <c r="V274" s="2" t="inlineStr"/>
    </row>
    <row r="275" ht="15" customHeight="1">
      <c r="A275" t="inlineStr">
        <is>
          <t>A 51481-2023</t>
        </is>
      </c>
      <c r="B275" t="inlineStr">
        <is>
          <t>avverkningsanmälan</t>
        </is>
      </c>
      <c r="C275" t="inlineStr">
        <is>
          <t>Föryngringsavverkning</t>
        </is>
      </c>
      <c r="D275" s="1" t="n">
        <v>45221</v>
      </c>
      <c r="E275" s="1" t="n">
        <v>46312</v>
      </c>
      <c r="F275" t="inlineStr">
        <is>
          <t>JÄMTLANDS LÄN</t>
        </is>
      </c>
      <c r="G275" t="inlineStr">
        <is>
          <t>ÖSTERSUND</t>
        </is>
      </c>
      <c r="I275" t="n">
        <v>1.5</v>
      </c>
      <c r="J275" t="n">
        <v>0</v>
      </c>
      <c r="K275" t="n">
        <v>0</v>
      </c>
      <c r="L275" t="n">
        <v>0</v>
      </c>
      <c r="M275" t="n">
        <v>0</v>
      </c>
      <c r="N275" t="n">
        <v>0</v>
      </c>
      <c r="O275" t="n">
        <v>0</v>
      </c>
      <c r="P275" t="n">
        <v>0</v>
      </c>
      <c r="Q275" t="n">
        <v>0</v>
      </c>
      <c r="R275" t="n">
        <v>0</v>
      </c>
      <c r="S275" t="n">
        <v>0</v>
      </c>
      <c r="T275" t="n">
        <v>0</v>
      </c>
      <c r="U275" t="n">
        <v>0</v>
      </c>
      <c r="V275" s="2" t="inlineStr"/>
    </row>
    <row r="276" ht="15" customHeight="1">
      <c r="A276" t="inlineStr">
        <is>
          <t>A 43511-2022</t>
        </is>
      </c>
      <c r="B276" t="inlineStr">
        <is>
          <t>avverkningsanmälan</t>
        </is>
      </c>
      <c r="C276" t="inlineStr">
        <is>
          <t>Föryngringsavverkning</t>
        </is>
      </c>
      <c r="D276" s="1" t="n">
        <v>44837</v>
      </c>
      <c r="E276" s="1" t="n">
        <v>46312</v>
      </c>
      <c r="F276" t="inlineStr">
        <is>
          <t>JÄMTLANDS LÄN</t>
        </is>
      </c>
      <c r="G276" t="inlineStr">
        <is>
          <t>ÖSTERSUND</t>
        </is>
      </c>
      <c r="I276" t="n">
        <v>3.7</v>
      </c>
      <c r="J276" t="n">
        <v>0</v>
      </c>
      <c r="K276" t="n">
        <v>0</v>
      </c>
      <c r="L276" t="n">
        <v>0</v>
      </c>
      <c r="M276" t="n">
        <v>0</v>
      </c>
      <c r="N276" t="n">
        <v>0</v>
      </c>
      <c r="O276" t="n">
        <v>0</v>
      </c>
      <c r="P276" t="n">
        <v>0</v>
      </c>
      <c r="Q276" t="n">
        <v>0</v>
      </c>
      <c r="R276" t="n">
        <v>0</v>
      </c>
      <c r="S276" t="n">
        <v>0</v>
      </c>
      <c r="T276" t="n">
        <v>0</v>
      </c>
      <c r="U276" t="n">
        <v>0</v>
      </c>
      <c r="V276" s="2" t="inlineStr"/>
    </row>
    <row r="277" ht="15" customHeight="1">
      <c r="A277" t="inlineStr">
        <is>
          <t>A 60174-2022</t>
        </is>
      </c>
      <c r="B277" t="inlineStr">
        <is>
          <t>avverkningsanmälan</t>
        </is>
      </c>
      <c r="C277" t="inlineStr">
        <is>
          <t>Avverkning för att bevara och utveckla /försöksver</t>
        </is>
      </c>
      <c r="D277" s="1" t="n">
        <v>44909</v>
      </c>
      <c r="E277" s="1" t="n">
        <v>46312</v>
      </c>
      <c r="F277" t="inlineStr">
        <is>
          <t>JÄMTLANDS LÄN</t>
        </is>
      </c>
      <c r="G277" t="inlineStr">
        <is>
          <t>ÖSTERSUND</t>
        </is>
      </c>
      <c r="H277" t="inlineStr">
        <is>
          <t>SCA</t>
        </is>
      </c>
      <c r="I277" t="n">
        <v>0.5</v>
      </c>
      <c r="J277" t="n">
        <v>0</v>
      </c>
      <c r="K277" t="n">
        <v>0</v>
      </c>
      <c r="L277" t="n">
        <v>0</v>
      </c>
      <c r="M277" t="n">
        <v>0</v>
      </c>
      <c r="N277" t="n">
        <v>0</v>
      </c>
      <c r="O277" t="n">
        <v>0</v>
      </c>
      <c r="P277" t="n">
        <v>0</v>
      </c>
      <c r="Q277" t="n">
        <v>0</v>
      </c>
      <c r="R277" t="n">
        <v>0</v>
      </c>
      <c r="S277" t="n">
        <v>0</v>
      </c>
      <c r="T277" t="n">
        <v>0</v>
      </c>
      <c r="U277" t="n">
        <v>0</v>
      </c>
      <c r="V277" s="2" t="inlineStr"/>
    </row>
    <row r="278" ht="15" customHeight="1">
      <c r="A278" t="inlineStr">
        <is>
          <t>A 6048-2024</t>
        </is>
      </c>
      <c r="B278" t="inlineStr">
        <is>
          <t>avverkningsanmälan</t>
        </is>
      </c>
      <c r="C278" t="inlineStr">
        <is>
          <t>Föryngringsavverkning</t>
        </is>
      </c>
      <c r="D278" s="1" t="n">
        <v>45336</v>
      </c>
      <c r="E278" s="1" t="n">
        <v>46312</v>
      </c>
      <c r="F278" t="inlineStr">
        <is>
          <t>JÄMTLANDS LÄN</t>
        </is>
      </c>
      <c r="G278" t="inlineStr">
        <is>
          <t>ÖSTERSUND</t>
        </is>
      </c>
      <c r="I278" t="n">
        <v>0.7</v>
      </c>
      <c r="J278" t="n">
        <v>0</v>
      </c>
      <c r="K278" t="n">
        <v>0</v>
      </c>
      <c r="L278" t="n">
        <v>0</v>
      </c>
      <c r="M278" t="n">
        <v>0</v>
      </c>
      <c r="N278" t="n">
        <v>0</v>
      </c>
      <c r="O278" t="n">
        <v>0</v>
      </c>
      <c r="P278" t="n">
        <v>0</v>
      </c>
      <c r="Q278" t="n">
        <v>0</v>
      </c>
      <c r="R278" t="n">
        <v>0</v>
      </c>
      <c r="S278" t="n">
        <v>0</v>
      </c>
      <c r="T278" t="n">
        <v>0</v>
      </c>
      <c r="U278" t="n">
        <v>0</v>
      </c>
      <c r="V278" s="2" t="inlineStr"/>
    </row>
    <row r="279" ht="15" customHeight="1">
      <c r="A279" t="inlineStr">
        <is>
          <t>A 8675-2023</t>
        </is>
      </c>
      <c r="B279" t="inlineStr">
        <is>
          <t>avverkningsanmälan</t>
        </is>
      </c>
      <c r="C279" t="inlineStr">
        <is>
          <t>Föryngringsavverkning</t>
        </is>
      </c>
      <c r="D279" s="1" t="n">
        <v>44977</v>
      </c>
      <c r="E279" s="1" t="n">
        <v>46312</v>
      </c>
      <c r="F279" t="inlineStr">
        <is>
          <t>JÄMTLANDS LÄN</t>
        </is>
      </c>
      <c r="G279" t="inlineStr">
        <is>
          <t>ÖSTERSUND</t>
        </is>
      </c>
      <c r="H279" t="inlineStr">
        <is>
          <t>SCA</t>
        </is>
      </c>
      <c r="I279" t="n">
        <v>5.7</v>
      </c>
      <c r="J279" t="n">
        <v>0</v>
      </c>
      <c r="K279" t="n">
        <v>0</v>
      </c>
      <c r="L279" t="n">
        <v>0</v>
      </c>
      <c r="M279" t="n">
        <v>0</v>
      </c>
      <c r="N279" t="n">
        <v>0</v>
      </c>
      <c r="O279" t="n">
        <v>0</v>
      </c>
      <c r="P279" t="n">
        <v>0</v>
      </c>
      <c r="Q279" t="n">
        <v>0</v>
      </c>
      <c r="R279" t="n">
        <v>0</v>
      </c>
      <c r="S279" t="n">
        <v>0</v>
      </c>
      <c r="T279" t="n">
        <v>0</v>
      </c>
      <c r="U279" t="n">
        <v>0</v>
      </c>
      <c r="V279" s="2" t="inlineStr"/>
    </row>
    <row r="280" ht="15" customHeight="1">
      <c r="A280" t="inlineStr">
        <is>
          <t>A 22082-2022</t>
        </is>
      </c>
      <c r="B280" t="inlineStr">
        <is>
          <t>avverkningsanmälan</t>
        </is>
      </c>
      <c r="C280" t="inlineStr">
        <is>
          <t>Föryngringsavverkning</t>
        </is>
      </c>
      <c r="D280" s="1" t="n">
        <v>44711</v>
      </c>
      <c r="E280" s="1" t="n">
        <v>46312</v>
      </c>
      <c r="F280" t="inlineStr">
        <is>
          <t>JÄMTLANDS LÄN</t>
        </is>
      </c>
      <c r="G280" t="inlineStr">
        <is>
          <t>ÖSTERSUND</t>
        </is>
      </c>
      <c r="I280" t="n">
        <v>2.6</v>
      </c>
      <c r="J280" t="n">
        <v>0</v>
      </c>
      <c r="K280" t="n">
        <v>0</v>
      </c>
      <c r="L280" t="n">
        <v>0</v>
      </c>
      <c r="M280" t="n">
        <v>0</v>
      </c>
      <c r="N280" t="n">
        <v>0</v>
      </c>
      <c r="O280" t="n">
        <v>0</v>
      </c>
      <c r="P280" t="n">
        <v>0</v>
      </c>
      <c r="Q280" t="n">
        <v>0</v>
      </c>
      <c r="R280" t="n">
        <v>0</v>
      </c>
      <c r="S280" t="n">
        <v>0</v>
      </c>
      <c r="T280" t="n">
        <v>0</v>
      </c>
      <c r="U280" t="n">
        <v>0</v>
      </c>
      <c r="V280" s="2" t="inlineStr"/>
    </row>
    <row r="281" ht="15" customHeight="1">
      <c r="A281" t="inlineStr">
        <is>
          <t>A 69190-2021</t>
        </is>
      </c>
      <c r="B281" t="inlineStr">
        <is>
          <t>avverkningsanmälan</t>
        </is>
      </c>
      <c r="C281" t="inlineStr">
        <is>
          <t>Föryngringsavverkning</t>
        </is>
      </c>
      <c r="D281" s="1" t="n">
        <v>44529</v>
      </c>
      <c r="E281" s="1" t="n">
        <v>46312</v>
      </c>
      <c r="F281" t="inlineStr">
        <is>
          <t>JÄMTLANDS LÄN</t>
        </is>
      </c>
      <c r="G281" t="inlineStr">
        <is>
          <t>ÖSTERSUND</t>
        </is>
      </c>
      <c r="I281" t="n">
        <v>4.2</v>
      </c>
      <c r="J281" t="n">
        <v>0</v>
      </c>
      <c r="K281" t="n">
        <v>0</v>
      </c>
      <c r="L281" t="n">
        <v>0</v>
      </c>
      <c r="M281" t="n">
        <v>0</v>
      </c>
      <c r="N281" t="n">
        <v>0</v>
      </c>
      <c r="O281" t="n">
        <v>0</v>
      </c>
      <c r="P281" t="n">
        <v>0</v>
      </c>
      <c r="Q281" t="n">
        <v>0</v>
      </c>
      <c r="R281" t="n">
        <v>0</v>
      </c>
      <c r="S281" t="n">
        <v>0</v>
      </c>
      <c r="T281" t="n">
        <v>0</v>
      </c>
      <c r="U281" t="n">
        <v>0</v>
      </c>
      <c r="V281" s="2" t="inlineStr"/>
    </row>
    <row r="282" ht="15" customHeight="1">
      <c r="A282" t="inlineStr">
        <is>
          <t>A 14653-2022</t>
        </is>
      </c>
      <c r="B282" t="inlineStr">
        <is>
          <t>avverkningsanmälan</t>
        </is>
      </c>
      <c r="C282" t="inlineStr">
        <is>
          <t>Föryngringsavverkning</t>
        </is>
      </c>
      <c r="D282" s="1" t="n">
        <v>44655</v>
      </c>
      <c r="E282" s="1" t="n">
        <v>46312</v>
      </c>
      <c r="F282" t="inlineStr">
        <is>
          <t>JÄMTLANDS LÄN</t>
        </is>
      </c>
      <c r="G282" t="inlineStr">
        <is>
          <t>ÖSTERSUND</t>
        </is>
      </c>
      <c r="I282" t="n">
        <v>1.6</v>
      </c>
      <c r="J282" t="n">
        <v>0</v>
      </c>
      <c r="K282" t="n">
        <v>0</v>
      </c>
      <c r="L282" t="n">
        <v>0</v>
      </c>
      <c r="M282" t="n">
        <v>0</v>
      </c>
      <c r="N282" t="n">
        <v>0</v>
      </c>
      <c r="O282" t="n">
        <v>0</v>
      </c>
      <c r="P282" t="n">
        <v>0</v>
      </c>
      <c r="Q282" t="n">
        <v>0</v>
      </c>
      <c r="R282" t="n">
        <v>0</v>
      </c>
      <c r="S282" t="n">
        <v>0</v>
      </c>
      <c r="T282" t="n">
        <v>0</v>
      </c>
      <c r="U282" t="n">
        <v>0</v>
      </c>
      <c r="V282" s="2" t="inlineStr"/>
    </row>
    <row r="283" ht="15" customHeight="1">
      <c r="A283" t="inlineStr">
        <is>
          <t>A 3844-2024</t>
        </is>
      </c>
      <c r="B283" t="inlineStr">
        <is>
          <t>avverkningsanmälan</t>
        </is>
      </c>
      <c r="C283" t="inlineStr">
        <is>
          <t>Föryngringsavverkning</t>
        </is>
      </c>
      <c r="D283" s="1" t="n">
        <v>45321</v>
      </c>
      <c r="E283" s="1" t="n">
        <v>46312</v>
      </c>
      <c r="F283" t="inlineStr">
        <is>
          <t>JÄMTLANDS LÄN</t>
        </is>
      </c>
      <c r="G283" t="inlineStr">
        <is>
          <t>ÖSTERSUND</t>
        </is>
      </c>
      <c r="I283" t="n">
        <v>2.2</v>
      </c>
      <c r="J283" t="n">
        <v>0</v>
      </c>
      <c r="K283" t="n">
        <v>0</v>
      </c>
      <c r="L283" t="n">
        <v>0</v>
      </c>
      <c r="M283" t="n">
        <v>0</v>
      </c>
      <c r="N283" t="n">
        <v>0</v>
      </c>
      <c r="O283" t="n">
        <v>0</v>
      </c>
      <c r="P283" t="n">
        <v>0</v>
      </c>
      <c r="Q283" t="n">
        <v>0</v>
      </c>
      <c r="R283" t="n">
        <v>0</v>
      </c>
      <c r="S283" t="n">
        <v>0</v>
      </c>
      <c r="T283" t="n">
        <v>0</v>
      </c>
      <c r="U283" t="n">
        <v>0</v>
      </c>
      <c r="V283" s="2" t="inlineStr"/>
    </row>
    <row r="284" ht="15" customHeight="1">
      <c r="A284" t="inlineStr">
        <is>
          <t>A 7327-2023</t>
        </is>
      </c>
      <c r="B284" t="inlineStr">
        <is>
          <t>avverkningsanmälan</t>
        </is>
      </c>
      <c r="C284" t="inlineStr">
        <is>
          <t>Föryngringsavverkning</t>
        </is>
      </c>
      <c r="D284" s="1" t="n">
        <v>44970</v>
      </c>
      <c r="E284" s="1" t="n">
        <v>46312</v>
      </c>
      <c r="F284" t="inlineStr">
        <is>
          <t>JÄMTLANDS LÄN</t>
        </is>
      </c>
      <c r="G284" t="inlineStr">
        <is>
          <t>ÖSTERSUND</t>
        </is>
      </c>
      <c r="H284" t="inlineStr">
        <is>
          <t>SCA</t>
        </is>
      </c>
      <c r="I284" t="n">
        <v>4.6</v>
      </c>
      <c r="J284" t="n">
        <v>0</v>
      </c>
      <c r="K284" t="n">
        <v>0</v>
      </c>
      <c r="L284" t="n">
        <v>0</v>
      </c>
      <c r="M284" t="n">
        <v>0</v>
      </c>
      <c r="N284" t="n">
        <v>0</v>
      </c>
      <c r="O284" t="n">
        <v>0</v>
      </c>
      <c r="P284" t="n">
        <v>0</v>
      </c>
      <c r="Q284" t="n">
        <v>0</v>
      </c>
      <c r="R284" t="n">
        <v>0</v>
      </c>
      <c r="S284" t="n">
        <v>0</v>
      </c>
      <c r="T284" t="n">
        <v>0</v>
      </c>
      <c r="U284" t="n">
        <v>0</v>
      </c>
      <c r="V284" s="2" t="inlineStr"/>
    </row>
    <row r="285" ht="15" customHeight="1">
      <c r="A285" t="inlineStr">
        <is>
          <t>A 79-2025</t>
        </is>
      </c>
      <c r="B285" t="inlineStr">
        <is>
          <t>avverkningsanmälan</t>
        </is>
      </c>
      <c r="C285" t="inlineStr">
        <is>
          <t>Föryngringsavverkning</t>
        </is>
      </c>
      <c r="D285" s="1" t="n">
        <v>45659</v>
      </c>
      <c r="E285" s="1" t="n">
        <v>46312</v>
      </c>
      <c r="F285" t="inlineStr">
        <is>
          <t>JÄMTLANDS LÄN</t>
        </is>
      </c>
      <c r="G285" t="inlineStr">
        <is>
          <t>ÖSTERSUND</t>
        </is>
      </c>
      <c r="I285" t="n">
        <v>0.6</v>
      </c>
      <c r="J285" t="n">
        <v>0</v>
      </c>
      <c r="K285" t="n">
        <v>0</v>
      </c>
      <c r="L285" t="n">
        <v>0</v>
      </c>
      <c r="M285" t="n">
        <v>0</v>
      </c>
      <c r="N285" t="n">
        <v>0</v>
      </c>
      <c r="O285" t="n">
        <v>0</v>
      </c>
      <c r="P285" t="n">
        <v>0</v>
      </c>
      <c r="Q285" t="n">
        <v>0</v>
      </c>
      <c r="R285" t="n">
        <v>0</v>
      </c>
      <c r="S285" t="n">
        <v>0</v>
      </c>
      <c r="T285" t="n">
        <v>0</v>
      </c>
      <c r="U285" t="n">
        <v>0</v>
      </c>
      <c r="V285" s="2" t="inlineStr"/>
    </row>
    <row r="286" ht="15" customHeight="1">
      <c r="A286" t="inlineStr">
        <is>
          <t>A 44327-2023</t>
        </is>
      </c>
      <c r="B286" t="inlineStr">
        <is>
          <t>avverkningsanmälan</t>
        </is>
      </c>
      <c r="C286" t="inlineStr">
        <is>
          <t>Avverkning för annat ändamål</t>
        </is>
      </c>
      <c r="D286" s="1" t="n">
        <v>45188</v>
      </c>
      <c r="E286" s="1" t="n">
        <v>46312</v>
      </c>
      <c r="F286" t="inlineStr">
        <is>
          <t>JÄMTLANDS LÄN</t>
        </is>
      </c>
      <c r="G286" t="inlineStr">
        <is>
          <t>ÖSTERSUND</t>
        </is>
      </c>
      <c r="I286" t="n">
        <v>1.5</v>
      </c>
      <c r="J286" t="n">
        <v>0</v>
      </c>
      <c r="K286" t="n">
        <v>0</v>
      </c>
      <c r="L286" t="n">
        <v>0</v>
      </c>
      <c r="M286" t="n">
        <v>0</v>
      </c>
      <c r="N286" t="n">
        <v>0</v>
      </c>
      <c r="O286" t="n">
        <v>0</v>
      </c>
      <c r="P286" t="n">
        <v>0</v>
      </c>
      <c r="Q286" t="n">
        <v>0</v>
      </c>
      <c r="R286" t="n">
        <v>0</v>
      </c>
      <c r="S286" t="n">
        <v>0</v>
      </c>
      <c r="T286" t="n">
        <v>0</v>
      </c>
      <c r="U286" t="n">
        <v>0</v>
      </c>
      <c r="V286" s="2" t="inlineStr"/>
    </row>
    <row r="287" ht="15" customHeight="1">
      <c r="A287" t="inlineStr">
        <is>
          <t>A 13282-2023</t>
        </is>
      </c>
      <c r="B287" t="inlineStr">
        <is>
          <t>avverkningsanmälan</t>
        </is>
      </c>
      <c r="C287" t="inlineStr">
        <is>
          <t>Föryngringsavverkning</t>
        </is>
      </c>
      <c r="D287" s="1" t="n">
        <v>45004</v>
      </c>
      <c r="E287" s="1" t="n">
        <v>46312</v>
      </c>
      <c r="F287" t="inlineStr">
        <is>
          <t>JÄMTLANDS LÄN</t>
        </is>
      </c>
      <c r="G287" t="inlineStr">
        <is>
          <t>ÖSTERSUND</t>
        </is>
      </c>
      <c r="I287" t="n">
        <v>28.5</v>
      </c>
      <c r="J287" t="n">
        <v>0</v>
      </c>
      <c r="K287" t="n">
        <v>0</v>
      </c>
      <c r="L287" t="n">
        <v>0</v>
      </c>
      <c r="M287" t="n">
        <v>0</v>
      </c>
      <c r="N287" t="n">
        <v>0</v>
      </c>
      <c r="O287" t="n">
        <v>0</v>
      </c>
      <c r="P287" t="n">
        <v>0</v>
      </c>
      <c r="Q287" t="n">
        <v>0</v>
      </c>
      <c r="R287" t="n">
        <v>0</v>
      </c>
      <c r="S287" t="n">
        <v>0</v>
      </c>
      <c r="T287" t="n">
        <v>0</v>
      </c>
      <c r="U287" t="n">
        <v>0</v>
      </c>
      <c r="V287" s="2" t="inlineStr"/>
    </row>
    <row r="288" ht="15" customHeight="1">
      <c r="A288" t="inlineStr">
        <is>
          <t>A 27780-2022</t>
        </is>
      </c>
      <c r="B288" t="inlineStr">
        <is>
          <t>avverkningsanmälan</t>
        </is>
      </c>
      <c r="C288" t="inlineStr">
        <is>
          <t>Föryngringsavverkning</t>
        </is>
      </c>
      <c r="D288" s="1" t="n">
        <v>44743</v>
      </c>
      <c r="E288" s="1" t="n">
        <v>46312</v>
      </c>
      <c r="F288" t="inlineStr">
        <is>
          <t>JÄMTLANDS LÄN</t>
        </is>
      </c>
      <c r="G288" t="inlineStr">
        <is>
          <t>ÖSTERSUND</t>
        </is>
      </c>
      <c r="I288" t="n">
        <v>2.2</v>
      </c>
      <c r="J288" t="n">
        <v>0</v>
      </c>
      <c r="K288" t="n">
        <v>0</v>
      </c>
      <c r="L288" t="n">
        <v>0</v>
      </c>
      <c r="M288" t="n">
        <v>0</v>
      </c>
      <c r="N288" t="n">
        <v>0</v>
      </c>
      <c r="O288" t="n">
        <v>0</v>
      </c>
      <c r="P288" t="n">
        <v>0</v>
      </c>
      <c r="Q288" t="n">
        <v>0</v>
      </c>
      <c r="R288" t="n">
        <v>0</v>
      </c>
      <c r="S288" t="n">
        <v>0</v>
      </c>
      <c r="T288" t="n">
        <v>0</v>
      </c>
      <c r="U288" t="n">
        <v>0</v>
      </c>
      <c r="V288" s="2" t="inlineStr"/>
    </row>
    <row r="289" ht="15" customHeight="1">
      <c r="A289" t="inlineStr">
        <is>
          <t>A 2228-2024</t>
        </is>
      </c>
      <c r="B289" t="inlineStr">
        <is>
          <t>avverkningsanmälan</t>
        </is>
      </c>
      <c r="C289" t="inlineStr">
        <is>
          <t>Avverkning för annat ändamål</t>
        </is>
      </c>
      <c r="D289" s="1" t="n">
        <v>45309</v>
      </c>
      <c r="E289" s="1" t="n">
        <v>46312</v>
      </c>
      <c r="F289" t="inlineStr">
        <is>
          <t>JÄMTLANDS LÄN</t>
        </is>
      </c>
      <c r="G289" t="inlineStr">
        <is>
          <t>ÖSTERSUND</t>
        </is>
      </c>
      <c r="I289" t="n">
        <v>2.5</v>
      </c>
      <c r="J289" t="n">
        <v>0</v>
      </c>
      <c r="K289" t="n">
        <v>0</v>
      </c>
      <c r="L289" t="n">
        <v>0</v>
      </c>
      <c r="M289" t="n">
        <v>0</v>
      </c>
      <c r="N289" t="n">
        <v>0</v>
      </c>
      <c r="O289" t="n">
        <v>0</v>
      </c>
      <c r="P289" t="n">
        <v>0</v>
      </c>
      <c r="Q289" t="n">
        <v>0</v>
      </c>
      <c r="R289" t="n">
        <v>0</v>
      </c>
      <c r="S289" t="n">
        <v>0</v>
      </c>
      <c r="T289" t="n">
        <v>0</v>
      </c>
      <c r="U289" t="n">
        <v>0</v>
      </c>
      <c r="V289" s="2" t="inlineStr"/>
    </row>
    <row r="290" ht="15" customHeight="1">
      <c r="A290" t="inlineStr">
        <is>
          <t>A 29703-2023</t>
        </is>
      </c>
      <c r="B290" t="inlineStr">
        <is>
          <t>avverkningsanmälan</t>
        </is>
      </c>
      <c r="C290" t="inlineStr">
        <is>
          <t>Avverkning för annat ändamål</t>
        </is>
      </c>
      <c r="D290" s="1" t="n">
        <v>45107</v>
      </c>
      <c r="E290" s="1" t="n">
        <v>46312</v>
      </c>
      <c r="F290" t="inlineStr">
        <is>
          <t>JÄMTLANDS LÄN</t>
        </is>
      </c>
      <c r="G290" t="inlineStr">
        <is>
          <t>ÖSTERSUND</t>
        </is>
      </c>
      <c r="I290" t="n">
        <v>0.3</v>
      </c>
      <c r="J290" t="n">
        <v>0</v>
      </c>
      <c r="K290" t="n">
        <v>0</v>
      </c>
      <c r="L290" t="n">
        <v>0</v>
      </c>
      <c r="M290" t="n">
        <v>0</v>
      </c>
      <c r="N290" t="n">
        <v>0</v>
      </c>
      <c r="O290" t="n">
        <v>0</v>
      </c>
      <c r="P290" t="n">
        <v>0</v>
      </c>
      <c r="Q290" t="n">
        <v>0</v>
      </c>
      <c r="R290" t="n">
        <v>0</v>
      </c>
      <c r="S290" t="n">
        <v>0</v>
      </c>
      <c r="T290" t="n">
        <v>0</v>
      </c>
      <c r="U290" t="n">
        <v>0</v>
      </c>
      <c r="V290" s="2" t="inlineStr"/>
    </row>
    <row r="291" ht="15" customHeight="1">
      <c r="A291" t="inlineStr">
        <is>
          <t>A 61530-2023</t>
        </is>
      </c>
      <c r="B291" t="inlineStr">
        <is>
          <t>avverkningsanmälan</t>
        </is>
      </c>
      <c r="C291" t="inlineStr">
        <is>
          <t>Föryngringsavverkning</t>
        </is>
      </c>
      <c r="D291" s="1" t="n">
        <v>45261</v>
      </c>
      <c r="E291" s="1" t="n">
        <v>46312</v>
      </c>
      <c r="F291" t="inlineStr">
        <is>
          <t>JÄMTLANDS LÄN</t>
        </is>
      </c>
      <c r="G291" t="inlineStr">
        <is>
          <t>ÖSTERSUND</t>
        </is>
      </c>
      <c r="H291" t="inlineStr">
        <is>
          <t>Övriga statliga verk och myndigheter</t>
        </is>
      </c>
      <c r="I291" t="n">
        <v>1</v>
      </c>
      <c r="J291" t="n">
        <v>0</v>
      </c>
      <c r="K291" t="n">
        <v>0</v>
      </c>
      <c r="L291" t="n">
        <v>0</v>
      </c>
      <c r="M291" t="n">
        <v>0</v>
      </c>
      <c r="N291" t="n">
        <v>0</v>
      </c>
      <c r="O291" t="n">
        <v>0</v>
      </c>
      <c r="P291" t="n">
        <v>0</v>
      </c>
      <c r="Q291" t="n">
        <v>0</v>
      </c>
      <c r="R291" t="n">
        <v>0</v>
      </c>
      <c r="S291" t="n">
        <v>0</v>
      </c>
      <c r="T291" t="n">
        <v>0</v>
      </c>
      <c r="U291" t="n">
        <v>0</v>
      </c>
      <c r="V291" s="2" t="inlineStr"/>
    </row>
    <row r="292" ht="15" customHeight="1">
      <c r="A292" t="inlineStr">
        <is>
          <t>A 25535-2023</t>
        </is>
      </c>
      <c r="B292" t="inlineStr">
        <is>
          <t>avverkningsanmälan</t>
        </is>
      </c>
      <c r="C292" t="inlineStr">
        <is>
          <t>Föryngringsavverkning</t>
        </is>
      </c>
      <c r="D292" s="1" t="n">
        <v>45089</v>
      </c>
      <c r="E292" s="1" t="n">
        <v>46312</v>
      </c>
      <c r="F292" t="inlineStr">
        <is>
          <t>JÄMTLANDS LÄN</t>
        </is>
      </c>
      <c r="G292" t="inlineStr">
        <is>
          <t>ÖSTERSUND</t>
        </is>
      </c>
      <c r="I292" t="n">
        <v>1</v>
      </c>
      <c r="J292" t="n">
        <v>0</v>
      </c>
      <c r="K292" t="n">
        <v>0</v>
      </c>
      <c r="L292" t="n">
        <v>0</v>
      </c>
      <c r="M292" t="n">
        <v>0</v>
      </c>
      <c r="N292" t="n">
        <v>0</v>
      </c>
      <c r="O292" t="n">
        <v>0</v>
      </c>
      <c r="P292" t="n">
        <v>0</v>
      </c>
      <c r="Q292" t="n">
        <v>0</v>
      </c>
      <c r="R292" t="n">
        <v>0</v>
      </c>
      <c r="S292" t="n">
        <v>0</v>
      </c>
      <c r="T292" t="n">
        <v>0</v>
      </c>
      <c r="U292" t="n">
        <v>0</v>
      </c>
      <c r="V292" s="2" t="inlineStr"/>
    </row>
    <row r="293" ht="15" customHeight="1">
      <c r="A293" t="inlineStr">
        <is>
          <t>A 27343-2022</t>
        </is>
      </c>
      <c r="B293" t="inlineStr">
        <is>
          <t>avverkningsanmälan</t>
        </is>
      </c>
      <c r="C293" t="inlineStr">
        <is>
          <t>Föryngringsavverkning</t>
        </is>
      </c>
      <c r="D293" s="1" t="n">
        <v>44742</v>
      </c>
      <c r="E293" s="1" t="n">
        <v>46312</v>
      </c>
      <c r="F293" t="inlineStr">
        <is>
          <t>JÄMTLANDS LÄN</t>
        </is>
      </c>
      <c r="G293" t="inlineStr">
        <is>
          <t>ÖSTERSUND</t>
        </is>
      </c>
      <c r="I293" t="n">
        <v>1.5</v>
      </c>
      <c r="J293" t="n">
        <v>0</v>
      </c>
      <c r="K293" t="n">
        <v>0</v>
      </c>
      <c r="L293" t="n">
        <v>0</v>
      </c>
      <c r="M293" t="n">
        <v>0</v>
      </c>
      <c r="N293" t="n">
        <v>0</v>
      </c>
      <c r="O293" t="n">
        <v>0</v>
      </c>
      <c r="P293" t="n">
        <v>0</v>
      </c>
      <c r="Q293" t="n">
        <v>0</v>
      </c>
      <c r="R293" t="n">
        <v>0</v>
      </c>
      <c r="S293" t="n">
        <v>0</v>
      </c>
      <c r="T293" t="n">
        <v>0</v>
      </c>
      <c r="U293" t="n">
        <v>0</v>
      </c>
      <c r="V293" s="2" t="inlineStr"/>
    </row>
    <row r="294" ht="15" customHeight="1">
      <c r="A294" t="inlineStr">
        <is>
          <t>A 53378-2023</t>
        </is>
      </c>
      <c r="B294" t="inlineStr">
        <is>
          <t>avverkningsanmälan</t>
        </is>
      </c>
      <c r="C294" t="inlineStr">
        <is>
          <t>Föryngringsavverkning</t>
        </is>
      </c>
      <c r="D294" s="1" t="n">
        <v>45223</v>
      </c>
      <c r="E294" s="1" t="n">
        <v>46312</v>
      </c>
      <c r="F294" t="inlineStr">
        <is>
          <t>JÄMTLANDS LÄN</t>
        </is>
      </c>
      <c r="G294" t="inlineStr">
        <is>
          <t>ÖSTERSUND</t>
        </is>
      </c>
      <c r="I294" t="n">
        <v>1.5</v>
      </c>
      <c r="J294" t="n">
        <v>0</v>
      </c>
      <c r="K294" t="n">
        <v>0</v>
      </c>
      <c r="L294" t="n">
        <v>0</v>
      </c>
      <c r="M294" t="n">
        <v>0</v>
      </c>
      <c r="N294" t="n">
        <v>0</v>
      </c>
      <c r="O294" t="n">
        <v>0</v>
      </c>
      <c r="P294" t="n">
        <v>0</v>
      </c>
      <c r="Q294" t="n">
        <v>0</v>
      </c>
      <c r="R294" t="n">
        <v>0</v>
      </c>
      <c r="S294" t="n">
        <v>0</v>
      </c>
      <c r="T294" t="n">
        <v>0</v>
      </c>
      <c r="U294" t="n">
        <v>0</v>
      </c>
      <c r="V294" s="2" t="inlineStr"/>
    </row>
    <row r="295" ht="15" customHeight="1">
      <c r="A295" t="inlineStr">
        <is>
          <t>A 721-2026</t>
        </is>
      </c>
      <c r="B295" t="inlineStr">
        <is>
          <t>avverkningsanmälan</t>
        </is>
      </c>
      <c r="C295" t="inlineStr">
        <is>
          <t>Föryngringsavverkning</t>
        </is>
      </c>
      <c r="D295" s="1" t="n">
        <v>46029</v>
      </c>
      <c r="E295" s="1" t="n">
        <v>46312</v>
      </c>
      <c r="F295" t="inlineStr">
        <is>
          <t>JÄMTLANDS LÄN</t>
        </is>
      </c>
      <c r="G295" t="inlineStr">
        <is>
          <t>ÖSTERSUND</t>
        </is>
      </c>
      <c r="I295" t="n">
        <v>1.6</v>
      </c>
      <c r="J295" t="n">
        <v>0</v>
      </c>
      <c r="K295" t="n">
        <v>0</v>
      </c>
      <c r="L295" t="n">
        <v>0</v>
      </c>
      <c r="M295" t="n">
        <v>0</v>
      </c>
      <c r="N295" t="n">
        <v>0</v>
      </c>
      <c r="O295" t="n">
        <v>0</v>
      </c>
      <c r="P295" t="n">
        <v>0</v>
      </c>
      <c r="Q295" t="n">
        <v>0</v>
      </c>
      <c r="R295" t="n">
        <v>0</v>
      </c>
      <c r="S295" t="n">
        <v>0</v>
      </c>
      <c r="T295" t="n">
        <v>0</v>
      </c>
      <c r="U295" t="n">
        <v>0</v>
      </c>
      <c r="V295" s="2" t="inlineStr"/>
    </row>
    <row r="296" ht="15" customHeight="1">
      <c r="A296" t="inlineStr">
        <is>
          <t>A 55235-2023</t>
        </is>
      </c>
      <c r="B296" t="inlineStr">
        <is>
          <t>avverkningsanmälan</t>
        </is>
      </c>
      <c r="C296" t="inlineStr">
        <is>
          <t>Föryngringsavverkning</t>
        </is>
      </c>
      <c r="D296" s="1" t="n">
        <v>45231</v>
      </c>
      <c r="E296" s="1" t="n">
        <v>46312</v>
      </c>
      <c r="F296" t="inlineStr">
        <is>
          <t>JÄMTLANDS LÄN</t>
        </is>
      </c>
      <c r="G296" t="inlineStr">
        <is>
          <t>ÖSTERSUND</t>
        </is>
      </c>
      <c r="H296" t="inlineStr">
        <is>
          <t>SCA</t>
        </is>
      </c>
      <c r="I296" t="n">
        <v>0.4</v>
      </c>
      <c r="J296" t="n">
        <v>0</v>
      </c>
      <c r="K296" t="n">
        <v>0</v>
      </c>
      <c r="L296" t="n">
        <v>0</v>
      </c>
      <c r="M296" t="n">
        <v>0</v>
      </c>
      <c r="N296" t="n">
        <v>0</v>
      </c>
      <c r="O296" t="n">
        <v>0</v>
      </c>
      <c r="P296" t="n">
        <v>0</v>
      </c>
      <c r="Q296" t="n">
        <v>0</v>
      </c>
      <c r="R296" t="n">
        <v>0</v>
      </c>
      <c r="S296" t="n">
        <v>0</v>
      </c>
      <c r="T296" t="n">
        <v>0</v>
      </c>
      <c r="U296" t="n">
        <v>0</v>
      </c>
      <c r="V296" s="2" t="inlineStr"/>
    </row>
    <row r="297" ht="15" customHeight="1">
      <c r="A297" t="inlineStr">
        <is>
          <t>A 19914-2026</t>
        </is>
      </c>
      <c r="B297" t="inlineStr">
        <is>
          <t>avverkningsanmälan</t>
        </is>
      </c>
      <c r="C297" t="inlineStr">
        <is>
          <t>Föryngringsavverkning</t>
        </is>
      </c>
      <c r="D297" s="1" t="n">
        <v>46136</v>
      </c>
      <c r="E297" s="1" t="n">
        <v>46312</v>
      </c>
      <c r="F297" t="inlineStr">
        <is>
          <t>JÄMTLANDS LÄN</t>
        </is>
      </c>
      <c r="G297" t="inlineStr">
        <is>
          <t>ÖSTERSUND</t>
        </is>
      </c>
      <c r="H297" t="inlineStr">
        <is>
          <t>SCA</t>
        </is>
      </c>
      <c r="I297" t="n">
        <v>1.8</v>
      </c>
      <c r="J297" t="n">
        <v>0</v>
      </c>
      <c r="K297" t="n">
        <v>0</v>
      </c>
      <c r="L297" t="n">
        <v>0</v>
      </c>
      <c r="M297" t="n">
        <v>0</v>
      </c>
      <c r="N297" t="n">
        <v>0</v>
      </c>
      <c r="O297" t="n">
        <v>0</v>
      </c>
      <c r="P297" t="n">
        <v>0</v>
      </c>
      <c r="Q297" t="n">
        <v>0</v>
      </c>
      <c r="R297" t="n">
        <v>0</v>
      </c>
      <c r="S297" t="n">
        <v>0</v>
      </c>
      <c r="T297" t="n">
        <v>0</v>
      </c>
      <c r="U297" t="n">
        <v>0</v>
      </c>
      <c r="V297" s="2" t="inlineStr"/>
    </row>
    <row r="298" ht="15" customHeight="1">
      <c r="A298" t="inlineStr">
        <is>
          <t>A 33779-2024</t>
        </is>
      </c>
      <c r="B298" t="inlineStr">
        <is>
          <t>avverkningsanmälan</t>
        </is>
      </c>
      <c r="C298" t="inlineStr">
        <is>
          <t>Avverkning för annat ändamål</t>
        </is>
      </c>
      <c r="D298" s="1" t="n">
        <v>45520</v>
      </c>
      <c r="E298" s="1" t="n">
        <v>46312</v>
      </c>
      <c r="F298" t="inlineStr">
        <is>
          <t>JÄMTLANDS LÄN</t>
        </is>
      </c>
      <c r="G298" t="inlineStr">
        <is>
          <t>ÖSTERSUND</t>
        </is>
      </c>
      <c r="I298" t="n">
        <v>1.5</v>
      </c>
      <c r="J298" t="n">
        <v>0</v>
      </c>
      <c r="K298" t="n">
        <v>0</v>
      </c>
      <c r="L298" t="n">
        <v>0</v>
      </c>
      <c r="M298" t="n">
        <v>0</v>
      </c>
      <c r="N298" t="n">
        <v>0</v>
      </c>
      <c r="O298" t="n">
        <v>0</v>
      </c>
      <c r="P298" t="n">
        <v>0</v>
      </c>
      <c r="Q298" t="n">
        <v>0</v>
      </c>
      <c r="R298" t="n">
        <v>0</v>
      </c>
      <c r="S298" t="n">
        <v>0</v>
      </c>
      <c r="T298" t="n">
        <v>0</v>
      </c>
      <c r="U298" t="n">
        <v>0</v>
      </c>
      <c r="V298" s="2" t="inlineStr"/>
    </row>
    <row r="299" ht="15" customHeight="1">
      <c r="A299" t="inlineStr">
        <is>
          <t>A 7936-2025</t>
        </is>
      </c>
      <c r="B299" t="inlineStr">
        <is>
          <t>avverkningsanmälan</t>
        </is>
      </c>
      <c r="C299" t="inlineStr">
        <is>
          <t>Föryngringsavverkning</t>
        </is>
      </c>
      <c r="D299" s="1" t="n">
        <v>45707</v>
      </c>
      <c r="E299" s="1" t="n">
        <v>46312</v>
      </c>
      <c r="F299" t="inlineStr">
        <is>
          <t>JÄMTLANDS LÄN</t>
        </is>
      </c>
      <c r="G299" t="inlineStr">
        <is>
          <t>ÖSTERSUND</t>
        </is>
      </c>
      <c r="I299" t="n">
        <v>0.2</v>
      </c>
      <c r="J299" t="n">
        <v>0</v>
      </c>
      <c r="K299" t="n">
        <v>0</v>
      </c>
      <c r="L299" t="n">
        <v>0</v>
      </c>
      <c r="M299" t="n">
        <v>0</v>
      </c>
      <c r="N299" t="n">
        <v>0</v>
      </c>
      <c r="O299" t="n">
        <v>0</v>
      </c>
      <c r="P299" t="n">
        <v>0</v>
      </c>
      <c r="Q299" t="n">
        <v>0</v>
      </c>
      <c r="R299" t="n">
        <v>0</v>
      </c>
      <c r="S299" t="n">
        <v>0</v>
      </c>
      <c r="T299" t="n">
        <v>0</v>
      </c>
      <c r="U299" t="n">
        <v>0</v>
      </c>
      <c r="V299" s="2" t="inlineStr"/>
    </row>
    <row r="300" ht="15" customHeight="1">
      <c r="A300" t="inlineStr">
        <is>
          <t>A 5025-2025</t>
        </is>
      </c>
      <c r="B300" t="inlineStr">
        <is>
          <t>avverkningsanmälan</t>
        </is>
      </c>
      <c r="C300" t="inlineStr">
        <is>
          <t>Avverkning för annat ändamål</t>
        </is>
      </c>
      <c r="D300" s="1" t="n">
        <v>45691</v>
      </c>
      <c r="E300" s="1" t="n">
        <v>46312</v>
      </c>
      <c r="F300" t="inlineStr">
        <is>
          <t>JÄMTLANDS LÄN</t>
        </is>
      </c>
      <c r="G300" t="inlineStr">
        <is>
          <t>ÖSTERSUND</t>
        </is>
      </c>
      <c r="I300" t="n">
        <v>0.1</v>
      </c>
      <c r="J300" t="n">
        <v>0</v>
      </c>
      <c r="K300" t="n">
        <v>0</v>
      </c>
      <c r="L300" t="n">
        <v>0</v>
      </c>
      <c r="M300" t="n">
        <v>0</v>
      </c>
      <c r="N300" t="n">
        <v>0</v>
      </c>
      <c r="O300" t="n">
        <v>0</v>
      </c>
      <c r="P300" t="n">
        <v>0</v>
      </c>
      <c r="Q300" t="n">
        <v>0</v>
      </c>
      <c r="R300" t="n">
        <v>0</v>
      </c>
      <c r="S300" t="n">
        <v>0</v>
      </c>
      <c r="T300" t="n">
        <v>0</v>
      </c>
      <c r="U300" t="n">
        <v>0</v>
      </c>
      <c r="V300" s="2" t="inlineStr"/>
    </row>
    <row r="301" ht="15" customHeight="1">
      <c r="A301" t="inlineStr">
        <is>
          <t>A 56646-2024</t>
        </is>
      </c>
      <c r="B301" t="inlineStr">
        <is>
          <t>avverkningsanmälan</t>
        </is>
      </c>
      <c r="C301" t="inlineStr">
        <is>
          <t>Föryngringsavverkning</t>
        </is>
      </c>
      <c r="D301" s="1" t="n">
        <v>45625</v>
      </c>
      <c r="E301" s="1" t="n">
        <v>46312</v>
      </c>
      <c r="F301" t="inlineStr">
        <is>
          <t>JÄMTLANDS LÄN</t>
        </is>
      </c>
      <c r="G301" t="inlineStr">
        <is>
          <t>ÖSTERSUND</t>
        </is>
      </c>
      <c r="I301" t="n">
        <v>18.9</v>
      </c>
      <c r="J301" t="n">
        <v>0</v>
      </c>
      <c r="K301" t="n">
        <v>0</v>
      </c>
      <c r="L301" t="n">
        <v>0</v>
      </c>
      <c r="M301" t="n">
        <v>0</v>
      </c>
      <c r="N301" t="n">
        <v>0</v>
      </c>
      <c r="O301" t="n">
        <v>0</v>
      </c>
      <c r="P301" t="n">
        <v>0</v>
      </c>
      <c r="Q301" t="n">
        <v>0</v>
      </c>
      <c r="R301" t="n">
        <v>0</v>
      </c>
      <c r="S301" t="n">
        <v>0</v>
      </c>
      <c r="T301" t="n">
        <v>0</v>
      </c>
      <c r="U301" t="n">
        <v>0</v>
      </c>
      <c r="V301" s="2" t="inlineStr"/>
    </row>
    <row r="302" ht="15" customHeight="1">
      <c r="A302" t="inlineStr">
        <is>
          <t>A 20375-2026</t>
        </is>
      </c>
      <c r="B302" t="inlineStr">
        <is>
          <t>avverkningsanmälan</t>
        </is>
      </c>
      <c r="C302" t="inlineStr">
        <is>
          <t>Föryngringsavverkning</t>
        </is>
      </c>
      <c r="D302" s="1" t="n">
        <v>46139</v>
      </c>
      <c r="E302" s="1" t="n">
        <v>46312</v>
      </c>
      <c r="F302" t="inlineStr">
        <is>
          <t>JÄMTLANDS LÄN</t>
        </is>
      </c>
      <c r="G302" t="inlineStr">
        <is>
          <t>ÖSTERSUND</t>
        </is>
      </c>
      <c r="H302" t="inlineStr">
        <is>
          <t>SCA</t>
        </is>
      </c>
      <c r="I302" t="n">
        <v>1.7</v>
      </c>
      <c r="J302" t="n">
        <v>0</v>
      </c>
      <c r="K302" t="n">
        <v>0</v>
      </c>
      <c r="L302" t="n">
        <v>0</v>
      </c>
      <c r="M302" t="n">
        <v>0</v>
      </c>
      <c r="N302" t="n">
        <v>0</v>
      </c>
      <c r="O302" t="n">
        <v>0</v>
      </c>
      <c r="P302" t="n">
        <v>0</v>
      </c>
      <c r="Q302" t="n">
        <v>0</v>
      </c>
      <c r="R302" t="n">
        <v>0</v>
      </c>
      <c r="S302" t="n">
        <v>0</v>
      </c>
      <c r="T302" t="n">
        <v>0</v>
      </c>
      <c r="U302" t="n">
        <v>0</v>
      </c>
      <c r="V302" s="2" t="inlineStr"/>
    </row>
    <row r="303" ht="15" customHeight="1">
      <c r="A303" t="inlineStr">
        <is>
          <t>A 62623-2025</t>
        </is>
      </c>
      <c r="B303" t="inlineStr">
        <is>
          <t>avverkningsanmälan</t>
        </is>
      </c>
      <c r="C303" t="inlineStr">
        <is>
          <t>Föryngringsavverkning</t>
        </is>
      </c>
      <c r="D303" s="1" t="n">
        <v>46008</v>
      </c>
      <c r="E303" s="1" t="n">
        <v>46312</v>
      </c>
      <c r="F303" t="inlineStr">
        <is>
          <t>JÄMTLANDS LÄN</t>
        </is>
      </c>
      <c r="G303" t="inlineStr">
        <is>
          <t>ÖSTERSUND</t>
        </is>
      </c>
      <c r="I303" t="n">
        <v>7.9</v>
      </c>
      <c r="J303" t="n">
        <v>0</v>
      </c>
      <c r="K303" t="n">
        <v>0</v>
      </c>
      <c r="L303" t="n">
        <v>0</v>
      </c>
      <c r="M303" t="n">
        <v>0</v>
      </c>
      <c r="N303" t="n">
        <v>0</v>
      </c>
      <c r="O303" t="n">
        <v>0</v>
      </c>
      <c r="P303" t="n">
        <v>0</v>
      </c>
      <c r="Q303" t="n">
        <v>0</v>
      </c>
      <c r="R303" t="n">
        <v>0</v>
      </c>
      <c r="S303" t="n">
        <v>0</v>
      </c>
      <c r="T303" t="n">
        <v>0</v>
      </c>
      <c r="U303" t="n">
        <v>0</v>
      </c>
      <c r="V303" s="2" t="inlineStr"/>
    </row>
    <row r="304" ht="15" customHeight="1">
      <c r="A304" t="inlineStr">
        <is>
          <t>A 39103-2025</t>
        </is>
      </c>
      <c r="B304" t="inlineStr">
        <is>
          <t>avverkningsanmälan</t>
        </is>
      </c>
      <c r="C304" t="inlineStr">
        <is>
          <t>Föryngringsavverkning</t>
        </is>
      </c>
      <c r="D304" s="1" t="n">
        <v>45888</v>
      </c>
      <c r="E304" s="1" t="n">
        <v>46312</v>
      </c>
      <c r="F304" t="inlineStr">
        <is>
          <t>JÄMTLANDS LÄN</t>
        </is>
      </c>
      <c r="G304" t="inlineStr">
        <is>
          <t>ÖSTERSUND</t>
        </is>
      </c>
      <c r="I304" t="n">
        <v>23.9</v>
      </c>
      <c r="J304" t="n">
        <v>0</v>
      </c>
      <c r="K304" t="n">
        <v>0</v>
      </c>
      <c r="L304" t="n">
        <v>0</v>
      </c>
      <c r="M304" t="n">
        <v>0</v>
      </c>
      <c r="N304" t="n">
        <v>0</v>
      </c>
      <c r="O304" t="n">
        <v>0</v>
      </c>
      <c r="P304" t="n">
        <v>0</v>
      </c>
      <c r="Q304" t="n">
        <v>0</v>
      </c>
      <c r="R304" t="n">
        <v>0</v>
      </c>
      <c r="S304" t="n">
        <v>0</v>
      </c>
      <c r="T304" t="n">
        <v>0</v>
      </c>
      <c r="U304" t="n">
        <v>0</v>
      </c>
      <c r="V304" s="2" t="inlineStr"/>
    </row>
    <row r="305" ht="15" customHeight="1">
      <c r="A305" t="inlineStr">
        <is>
          <t>A 25221-2025</t>
        </is>
      </c>
      <c r="B305" t="inlineStr">
        <is>
          <t>avverkningsanmälan</t>
        </is>
      </c>
      <c r="C305" t="inlineStr">
        <is>
          <t>Föryngringsavverkning</t>
        </is>
      </c>
      <c r="D305" s="1" t="n">
        <v>45800</v>
      </c>
      <c r="E305" s="1" t="n">
        <v>46312</v>
      </c>
      <c r="F305" t="inlineStr">
        <is>
          <t>JÄMTLANDS LÄN</t>
        </is>
      </c>
      <c r="G305" t="inlineStr">
        <is>
          <t>ÖSTERSUND</t>
        </is>
      </c>
      <c r="I305" t="n">
        <v>1.1</v>
      </c>
      <c r="J305" t="n">
        <v>0</v>
      </c>
      <c r="K305" t="n">
        <v>0</v>
      </c>
      <c r="L305" t="n">
        <v>0</v>
      </c>
      <c r="M305" t="n">
        <v>0</v>
      </c>
      <c r="N305" t="n">
        <v>0</v>
      </c>
      <c r="O305" t="n">
        <v>0</v>
      </c>
      <c r="P305" t="n">
        <v>0</v>
      </c>
      <c r="Q305" t="n">
        <v>0</v>
      </c>
      <c r="R305" t="n">
        <v>0</v>
      </c>
      <c r="S305" t="n">
        <v>0</v>
      </c>
      <c r="T305" t="n">
        <v>0</v>
      </c>
      <c r="U305" t="n">
        <v>0</v>
      </c>
      <c r="V305" s="2" t="inlineStr"/>
    </row>
    <row r="306" ht="15" customHeight="1">
      <c r="A306" t="inlineStr">
        <is>
          <t>A 40325-2025</t>
        </is>
      </c>
      <c r="B306" t="inlineStr">
        <is>
          <t>avverkningsanmälan</t>
        </is>
      </c>
      <c r="C306" t="inlineStr">
        <is>
          <t>Föryngringsavverkning</t>
        </is>
      </c>
      <c r="D306" s="1" t="n">
        <v>45895</v>
      </c>
      <c r="E306" s="1" t="n">
        <v>46312</v>
      </c>
      <c r="F306" t="inlineStr">
        <is>
          <t>JÄMTLANDS LÄN</t>
        </is>
      </c>
      <c r="G306" t="inlineStr">
        <is>
          <t>ÖSTERSUND</t>
        </is>
      </c>
      <c r="I306" t="n">
        <v>1</v>
      </c>
      <c r="J306" t="n">
        <v>0</v>
      </c>
      <c r="K306" t="n">
        <v>0</v>
      </c>
      <c r="L306" t="n">
        <v>0</v>
      </c>
      <c r="M306" t="n">
        <v>0</v>
      </c>
      <c r="N306" t="n">
        <v>0</v>
      </c>
      <c r="O306" t="n">
        <v>0</v>
      </c>
      <c r="P306" t="n">
        <v>0</v>
      </c>
      <c r="Q306" t="n">
        <v>0</v>
      </c>
      <c r="R306" t="n">
        <v>0</v>
      </c>
      <c r="S306" t="n">
        <v>0</v>
      </c>
      <c r="T306" t="n">
        <v>0</v>
      </c>
      <c r="U306" t="n">
        <v>0</v>
      </c>
      <c r="V306" s="2" t="inlineStr"/>
    </row>
    <row r="307" ht="15" customHeight="1">
      <c r="A307" t="inlineStr">
        <is>
          <t>A 40326-2025</t>
        </is>
      </c>
      <c r="B307" t="inlineStr">
        <is>
          <t>avverkningsanmälan</t>
        </is>
      </c>
      <c r="C307" t="inlineStr">
        <is>
          <t>Föryngringsavverkning</t>
        </is>
      </c>
      <c r="D307" s="1" t="n">
        <v>45895</v>
      </c>
      <c r="E307" s="1" t="n">
        <v>46312</v>
      </c>
      <c r="F307" t="inlineStr">
        <is>
          <t>JÄMTLANDS LÄN</t>
        </is>
      </c>
      <c r="G307" t="inlineStr">
        <is>
          <t>ÖSTERSUND</t>
        </is>
      </c>
      <c r="I307" t="n">
        <v>1.6</v>
      </c>
      <c r="J307" t="n">
        <v>0</v>
      </c>
      <c r="K307" t="n">
        <v>0</v>
      </c>
      <c r="L307" t="n">
        <v>0</v>
      </c>
      <c r="M307" t="n">
        <v>0</v>
      </c>
      <c r="N307" t="n">
        <v>0</v>
      </c>
      <c r="O307" t="n">
        <v>0</v>
      </c>
      <c r="P307" t="n">
        <v>0</v>
      </c>
      <c r="Q307" t="n">
        <v>0</v>
      </c>
      <c r="R307" t="n">
        <v>0</v>
      </c>
      <c r="S307" t="n">
        <v>0</v>
      </c>
      <c r="T307" t="n">
        <v>0</v>
      </c>
      <c r="U307" t="n">
        <v>0</v>
      </c>
      <c r="V307" s="2" t="inlineStr"/>
    </row>
    <row r="308" ht="15" customHeight="1">
      <c r="A308" t="inlineStr">
        <is>
          <t>A 3615-2025</t>
        </is>
      </c>
      <c r="B308" t="inlineStr">
        <is>
          <t>avverkningsanmälan</t>
        </is>
      </c>
      <c r="C308" t="inlineStr">
        <is>
          <t>Föryngringsavverkning</t>
        </is>
      </c>
      <c r="D308" s="1" t="n">
        <v>45681</v>
      </c>
      <c r="E308" s="1" t="n">
        <v>46312</v>
      </c>
      <c r="F308" t="inlineStr">
        <is>
          <t>JÄMTLANDS LÄN</t>
        </is>
      </c>
      <c r="G308" t="inlineStr">
        <is>
          <t>ÖSTERSUND</t>
        </is>
      </c>
      <c r="H308" t="inlineStr">
        <is>
          <t>SCA</t>
        </is>
      </c>
      <c r="I308" t="n">
        <v>5</v>
      </c>
      <c r="J308" t="n">
        <v>0</v>
      </c>
      <c r="K308" t="n">
        <v>0</v>
      </c>
      <c r="L308" t="n">
        <v>0</v>
      </c>
      <c r="M308" t="n">
        <v>0</v>
      </c>
      <c r="N308" t="n">
        <v>0</v>
      </c>
      <c r="O308" t="n">
        <v>0</v>
      </c>
      <c r="P308" t="n">
        <v>0</v>
      </c>
      <c r="Q308" t="n">
        <v>0</v>
      </c>
      <c r="R308" t="n">
        <v>0</v>
      </c>
      <c r="S308" t="n">
        <v>0</v>
      </c>
      <c r="T308" t="n">
        <v>0</v>
      </c>
      <c r="U308" t="n">
        <v>0</v>
      </c>
      <c r="V308" s="2" t="inlineStr"/>
    </row>
    <row r="309" ht="15" customHeight="1">
      <c r="A309" t="inlineStr">
        <is>
          <t>A 3651-2025</t>
        </is>
      </c>
      <c r="B309" t="inlineStr">
        <is>
          <t>avverkningsanmälan</t>
        </is>
      </c>
      <c r="C309" t="inlineStr">
        <is>
          <t>Föryngringsavverkning</t>
        </is>
      </c>
      <c r="D309" s="1" t="n">
        <v>45681</v>
      </c>
      <c r="E309" s="1" t="n">
        <v>46312</v>
      </c>
      <c r="F309" t="inlineStr">
        <is>
          <t>JÄMTLANDS LÄN</t>
        </is>
      </c>
      <c r="G309" t="inlineStr">
        <is>
          <t>ÖSTERSUND</t>
        </is>
      </c>
      <c r="H309" t="inlineStr">
        <is>
          <t>SCA</t>
        </is>
      </c>
      <c r="I309" t="n">
        <v>9.6</v>
      </c>
      <c r="J309" t="n">
        <v>0</v>
      </c>
      <c r="K309" t="n">
        <v>0</v>
      </c>
      <c r="L309" t="n">
        <v>0</v>
      </c>
      <c r="M309" t="n">
        <v>0</v>
      </c>
      <c r="N309" t="n">
        <v>0</v>
      </c>
      <c r="O309" t="n">
        <v>0</v>
      </c>
      <c r="P309" t="n">
        <v>0</v>
      </c>
      <c r="Q309" t="n">
        <v>0</v>
      </c>
      <c r="R309" t="n">
        <v>0</v>
      </c>
      <c r="S309" t="n">
        <v>0</v>
      </c>
      <c r="T309" t="n">
        <v>0</v>
      </c>
      <c r="U309" t="n">
        <v>0</v>
      </c>
      <c r="V309" s="2" t="inlineStr"/>
    </row>
    <row r="310" ht="15" customHeight="1">
      <c r="A310" t="inlineStr">
        <is>
          <t>A 20369-2026</t>
        </is>
      </c>
      <c r="B310" t="inlineStr">
        <is>
          <t>avverkningsanmälan</t>
        </is>
      </c>
      <c r="C310" t="inlineStr">
        <is>
          <t>Föryngringsavverkning</t>
        </is>
      </c>
      <c r="D310" s="1" t="n">
        <v>46139</v>
      </c>
      <c r="E310" s="1" t="n">
        <v>46312</v>
      </c>
      <c r="F310" t="inlineStr">
        <is>
          <t>JÄMTLANDS LÄN</t>
        </is>
      </c>
      <c r="G310" t="inlineStr">
        <is>
          <t>ÖSTERSUND</t>
        </is>
      </c>
      <c r="H310" t="inlineStr">
        <is>
          <t>SCA</t>
        </is>
      </c>
      <c r="I310" t="n">
        <v>1.5</v>
      </c>
      <c r="J310" t="n">
        <v>0</v>
      </c>
      <c r="K310" t="n">
        <v>0</v>
      </c>
      <c r="L310" t="n">
        <v>0</v>
      </c>
      <c r="M310" t="n">
        <v>0</v>
      </c>
      <c r="N310" t="n">
        <v>0</v>
      </c>
      <c r="O310" t="n">
        <v>0</v>
      </c>
      <c r="P310" t="n">
        <v>0</v>
      </c>
      <c r="Q310" t="n">
        <v>0</v>
      </c>
      <c r="R310" t="n">
        <v>0</v>
      </c>
      <c r="S310" t="n">
        <v>0</v>
      </c>
      <c r="T310" t="n">
        <v>0</v>
      </c>
      <c r="U310" t="n">
        <v>0</v>
      </c>
      <c r="V310" s="2" t="inlineStr"/>
    </row>
    <row r="311" ht="15" customHeight="1">
      <c r="A311" t="inlineStr">
        <is>
          <t>A 20174-2026</t>
        </is>
      </c>
      <c r="B311" t="inlineStr">
        <is>
          <t>avverkningsanmälan</t>
        </is>
      </c>
      <c r="C311" t="inlineStr">
        <is>
          <t>Föryngringsavverkning</t>
        </is>
      </c>
      <c r="D311" s="1" t="n">
        <v>46139</v>
      </c>
      <c r="E311" s="1" t="n">
        <v>46312</v>
      </c>
      <c r="F311" t="inlineStr">
        <is>
          <t>JÄMTLANDS LÄN</t>
        </is>
      </c>
      <c r="G311" t="inlineStr">
        <is>
          <t>ÖSTERSUND</t>
        </is>
      </c>
      <c r="H311" t="inlineStr">
        <is>
          <t>SCA</t>
        </is>
      </c>
      <c r="I311" t="n">
        <v>0.8</v>
      </c>
      <c r="J311" t="n">
        <v>0</v>
      </c>
      <c r="K311" t="n">
        <v>0</v>
      </c>
      <c r="L311" t="n">
        <v>0</v>
      </c>
      <c r="M311" t="n">
        <v>0</v>
      </c>
      <c r="N311" t="n">
        <v>0</v>
      </c>
      <c r="O311" t="n">
        <v>0</v>
      </c>
      <c r="P311" t="n">
        <v>0</v>
      </c>
      <c r="Q311" t="n">
        <v>0</v>
      </c>
      <c r="R311" t="n">
        <v>0</v>
      </c>
      <c r="S311" t="n">
        <v>0</v>
      </c>
      <c r="T311" t="n">
        <v>0</v>
      </c>
      <c r="U311" t="n">
        <v>0</v>
      </c>
      <c r="V311" s="2" t="inlineStr"/>
    </row>
    <row r="312" ht="15" customHeight="1">
      <c r="A312" t="inlineStr">
        <is>
          <t>A 44798-2023</t>
        </is>
      </c>
      <c r="B312" t="inlineStr">
        <is>
          <t>avverkningsanmälan</t>
        </is>
      </c>
      <c r="C312" t="inlineStr">
        <is>
          <t>Avverkning för annat ändamål</t>
        </is>
      </c>
      <c r="D312" s="1" t="n">
        <v>45190</v>
      </c>
      <c r="E312" s="1" t="n">
        <v>46312</v>
      </c>
      <c r="F312" t="inlineStr">
        <is>
          <t>JÄMTLANDS LÄN</t>
        </is>
      </c>
      <c r="G312" t="inlineStr">
        <is>
          <t>ÖSTERSUND</t>
        </is>
      </c>
      <c r="I312" t="n">
        <v>1.1</v>
      </c>
      <c r="J312" t="n">
        <v>0</v>
      </c>
      <c r="K312" t="n">
        <v>0</v>
      </c>
      <c r="L312" t="n">
        <v>0</v>
      </c>
      <c r="M312" t="n">
        <v>0</v>
      </c>
      <c r="N312" t="n">
        <v>0</v>
      </c>
      <c r="O312" t="n">
        <v>0</v>
      </c>
      <c r="P312" t="n">
        <v>0</v>
      </c>
      <c r="Q312" t="n">
        <v>0</v>
      </c>
      <c r="R312" t="n">
        <v>0</v>
      </c>
      <c r="S312" t="n">
        <v>0</v>
      </c>
      <c r="T312" t="n">
        <v>0</v>
      </c>
      <c r="U312" t="n">
        <v>0</v>
      </c>
      <c r="V312" s="2" t="inlineStr"/>
    </row>
    <row r="313" ht="15" customHeight="1">
      <c r="A313" t="inlineStr">
        <is>
          <t>A 6067-2025</t>
        </is>
      </c>
      <c r="B313" t="inlineStr">
        <is>
          <t>avverkningsanmälan</t>
        </is>
      </c>
      <c r="C313" t="inlineStr">
        <is>
          <t>Föryngringsavverkning</t>
        </is>
      </c>
      <c r="D313" s="1" t="n">
        <v>45696</v>
      </c>
      <c r="E313" s="1" t="n">
        <v>46312</v>
      </c>
      <c r="F313" t="inlineStr">
        <is>
          <t>JÄMTLANDS LÄN</t>
        </is>
      </c>
      <c r="G313" t="inlineStr">
        <is>
          <t>ÖSTERSUND</t>
        </is>
      </c>
      <c r="I313" t="n">
        <v>2.1</v>
      </c>
      <c r="J313" t="n">
        <v>0</v>
      </c>
      <c r="K313" t="n">
        <v>0</v>
      </c>
      <c r="L313" t="n">
        <v>0</v>
      </c>
      <c r="M313" t="n">
        <v>0</v>
      </c>
      <c r="N313" t="n">
        <v>0</v>
      </c>
      <c r="O313" t="n">
        <v>0</v>
      </c>
      <c r="P313" t="n">
        <v>0</v>
      </c>
      <c r="Q313" t="n">
        <v>0</v>
      </c>
      <c r="R313" t="n">
        <v>0</v>
      </c>
      <c r="S313" t="n">
        <v>0</v>
      </c>
      <c r="T313" t="n">
        <v>0</v>
      </c>
      <c r="U313" t="n">
        <v>0</v>
      </c>
      <c r="V313" s="2" t="inlineStr"/>
    </row>
    <row r="314" ht="15" customHeight="1">
      <c r="A314" t="inlineStr">
        <is>
          <t>A 4936-2025</t>
        </is>
      </c>
      <c r="B314" t="inlineStr">
        <is>
          <t>avverkningsanmälan</t>
        </is>
      </c>
      <c r="C314" t="inlineStr">
        <is>
          <t>Föryngringsavverkning</t>
        </is>
      </c>
      <c r="D314" s="1" t="n">
        <v>45688</v>
      </c>
      <c r="E314" s="1" t="n">
        <v>46312</v>
      </c>
      <c r="F314" t="inlineStr">
        <is>
          <t>JÄMTLANDS LÄN</t>
        </is>
      </c>
      <c r="G314" t="inlineStr">
        <is>
          <t>ÖSTERSUND</t>
        </is>
      </c>
      <c r="I314" t="n">
        <v>8.1</v>
      </c>
      <c r="J314" t="n">
        <v>0</v>
      </c>
      <c r="K314" t="n">
        <v>0</v>
      </c>
      <c r="L314" t="n">
        <v>0</v>
      </c>
      <c r="M314" t="n">
        <v>0</v>
      </c>
      <c r="N314" t="n">
        <v>0</v>
      </c>
      <c r="O314" t="n">
        <v>0</v>
      </c>
      <c r="P314" t="n">
        <v>0</v>
      </c>
      <c r="Q314" t="n">
        <v>0</v>
      </c>
      <c r="R314" t="n">
        <v>0</v>
      </c>
      <c r="S314" t="n">
        <v>0</v>
      </c>
      <c r="T314" t="n">
        <v>0</v>
      </c>
      <c r="U314" t="n">
        <v>0</v>
      </c>
      <c r="V314" s="2" t="inlineStr"/>
    </row>
    <row r="315" ht="15" customHeight="1">
      <c r="A315" t="inlineStr">
        <is>
          <t>A 32368-2025</t>
        </is>
      </c>
      <c r="B315" t="inlineStr">
        <is>
          <t>avverkningsanmälan</t>
        </is>
      </c>
      <c r="C315" t="inlineStr">
        <is>
          <t>Föryngringsavverkning</t>
        </is>
      </c>
      <c r="D315" s="1" t="n">
        <v>45837</v>
      </c>
      <c r="E315" s="1" t="n">
        <v>46312</v>
      </c>
      <c r="F315" t="inlineStr">
        <is>
          <t>JÄMTLANDS LÄN</t>
        </is>
      </c>
      <c r="G315" t="inlineStr">
        <is>
          <t>ÖSTERSUND</t>
        </is>
      </c>
      <c r="H315" t="inlineStr">
        <is>
          <t>Övriga Aktiebolag</t>
        </is>
      </c>
      <c r="I315" t="n">
        <v>19.5</v>
      </c>
      <c r="J315" t="n">
        <v>0</v>
      </c>
      <c r="K315" t="n">
        <v>0</v>
      </c>
      <c r="L315" t="n">
        <v>0</v>
      </c>
      <c r="M315" t="n">
        <v>0</v>
      </c>
      <c r="N315" t="n">
        <v>0</v>
      </c>
      <c r="O315" t="n">
        <v>0</v>
      </c>
      <c r="P315" t="n">
        <v>0</v>
      </c>
      <c r="Q315" t="n">
        <v>0</v>
      </c>
      <c r="R315" t="n">
        <v>0</v>
      </c>
      <c r="S315" t="n">
        <v>0</v>
      </c>
      <c r="T315" t="n">
        <v>0</v>
      </c>
      <c r="U315" t="n">
        <v>0</v>
      </c>
      <c r="V315" s="2" t="inlineStr"/>
    </row>
    <row r="316" ht="15" customHeight="1">
      <c r="A316" t="inlineStr">
        <is>
          <t>A 41582-2025</t>
        </is>
      </c>
      <c r="B316" t="inlineStr">
        <is>
          <t>avverkningsanmälan</t>
        </is>
      </c>
      <c r="C316" t="inlineStr">
        <is>
          <t>Avverkning för annat ändamål</t>
        </is>
      </c>
      <c r="D316" s="1" t="n">
        <v>45901</v>
      </c>
      <c r="E316" s="1" t="n">
        <v>46312</v>
      </c>
      <c r="F316" t="inlineStr">
        <is>
          <t>JÄMTLANDS LÄN</t>
        </is>
      </c>
      <c r="G316" t="inlineStr">
        <is>
          <t>ÖSTERSUND</t>
        </is>
      </c>
      <c r="I316" t="n">
        <v>0.9</v>
      </c>
      <c r="J316" t="n">
        <v>0</v>
      </c>
      <c r="K316" t="n">
        <v>0</v>
      </c>
      <c r="L316" t="n">
        <v>0</v>
      </c>
      <c r="M316" t="n">
        <v>0</v>
      </c>
      <c r="N316" t="n">
        <v>0</v>
      </c>
      <c r="O316" t="n">
        <v>0</v>
      </c>
      <c r="P316" t="n">
        <v>0</v>
      </c>
      <c r="Q316" t="n">
        <v>0</v>
      </c>
      <c r="R316" t="n">
        <v>0</v>
      </c>
      <c r="S316" t="n">
        <v>0</v>
      </c>
      <c r="T316" t="n">
        <v>0</v>
      </c>
      <c r="U316" t="n">
        <v>0</v>
      </c>
      <c r="V316" s="2" t="inlineStr"/>
    </row>
    <row r="317" ht="15" customHeight="1">
      <c r="A317" t="inlineStr">
        <is>
          <t>A 33808-2022</t>
        </is>
      </c>
      <c r="B317" t="inlineStr">
        <is>
          <t>avverkningsanmälan</t>
        </is>
      </c>
      <c r="C317" t="inlineStr">
        <is>
          <t>Föryngringsavverkning</t>
        </is>
      </c>
      <c r="D317" s="1" t="n">
        <v>44790</v>
      </c>
      <c r="E317" s="1" t="n">
        <v>46312</v>
      </c>
      <c r="F317" t="inlineStr">
        <is>
          <t>JÄMTLANDS LÄN</t>
        </is>
      </c>
      <c r="G317" t="inlineStr">
        <is>
          <t>ÖSTERSUND</t>
        </is>
      </c>
      <c r="I317" t="n">
        <v>4.1</v>
      </c>
      <c r="J317" t="n">
        <v>0</v>
      </c>
      <c r="K317" t="n">
        <v>0</v>
      </c>
      <c r="L317" t="n">
        <v>0</v>
      </c>
      <c r="M317" t="n">
        <v>0</v>
      </c>
      <c r="N317" t="n">
        <v>0</v>
      </c>
      <c r="O317" t="n">
        <v>0</v>
      </c>
      <c r="P317" t="n">
        <v>0</v>
      </c>
      <c r="Q317" t="n">
        <v>0</v>
      </c>
      <c r="R317" t="n">
        <v>0</v>
      </c>
      <c r="S317" t="n">
        <v>0</v>
      </c>
      <c r="T317" t="n">
        <v>0</v>
      </c>
      <c r="U317" t="n">
        <v>0</v>
      </c>
      <c r="V317" s="2" t="inlineStr"/>
    </row>
    <row r="318" ht="15" customHeight="1">
      <c r="A318" t="inlineStr">
        <is>
          <t>A 6877-2024</t>
        </is>
      </c>
      <c r="B318" t="inlineStr">
        <is>
          <t>avverkningsanmälan</t>
        </is>
      </c>
      <c r="C318" t="inlineStr">
        <is>
          <t>Avverkning för annat ändamål</t>
        </is>
      </c>
      <c r="D318" s="1" t="n">
        <v>45342</v>
      </c>
      <c r="E318" s="1" t="n">
        <v>46312</v>
      </c>
      <c r="F318" t="inlineStr">
        <is>
          <t>JÄMTLANDS LÄN</t>
        </is>
      </c>
      <c r="G318" t="inlineStr">
        <is>
          <t>ÖSTERSUND</t>
        </is>
      </c>
      <c r="H318" t="inlineStr">
        <is>
          <t>Kyrkan</t>
        </is>
      </c>
      <c r="I318" t="n">
        <v>0.9</v>
      </c>
      <c r="J318" t="n">
        <v>0</v>
      </c>
      <c r="K318" t="n">
        <v>0</v>
      </c>
      <c r="L318" t="n">
        <v>0</v>
      </c>
      <c r="M318" t="n">
        <v>0</v>
      </c>
      <c r="N318" t="n">
        <v>0</v>
      </c>
      <c r="O318" t="n">
        <v>0</v>
      </c>
      <c r="P318" t="n">
        <v>0</v>
      </c>
      <c r="Q318" t="n">
        <v>0</v>
      </c>
      <c r="R318" t="n">
        <v>0</v>
      </c>
      <c r="S318" t="n">
        <v>0</v>
      </c>
      <c r="T318" t="n">
        <v>0</v>
      </c>
      <c r="U318" t="n">
        <v>0</v>
      </c>
      <c r="V318" s="2" t="inlineStr"/>
    </row>
    <row r="319" ht="15" customHeight="1">
      <c r="A319" t="inlineStr">
        <is>
          <t>A 41675-2025</t>
        </is>
      </c>
      <c r="B319" t="inlineStr">
        <is>
          <t>avverkningsanmälan</t>
        </is>
      </c>
      <c r="C319" t="inlineStr">
        <is>
          <t>Föryngringsavverkning</t>
        </is>
      </c>
      <c r="D319" s="1" t="n">
        <v>45902</v>
      </c>
      <c r="E319" s="1" t="n">
        <v>46312</v>
      </c>
      <c r="F319" t="inlineStr">
        <is>
          <t>JÄMTLANDS LÄN</t>
        </is>
      </c>
      <c r="G319" t="inlineStr">
        <is>
          <t>ÖSTERSUND</t>
        </is>
      </c>
      <c r="I319" t="n">
        <v>0.5</v>
      </c>
      <c r="J319" t="n">
        <v>0</v>
      </c>
      <c r="K319" t="n">
        <v>0</v>
      </c>
      <c r="L319" t="n">
        <v>0</v>
      </c>
      <c r="M319" t="n">
        <v>0</v>
      </c>
      <c r="N319" t="n">
        <v>0</v>
      </c>
      <c r="O319" t="n">
        <v>0</v>
      </c>
      <c r="P319" t="n">
        <v>0</v>
      </c>
      <c r="Q319" t="n">
        <v>0</v>
      </c>
      <c r="R319" t="n">
        <v>0</v>
      </c>
      <c r="S319" t="n">
        <v>0</v>
      </c>
      <c r="T319" t="n">
        <v>0</v>
      </c>
      <c r="U319" t="n">
        <v>0</v>
      </c>
      <c r="V319" s="2" t="inlineStr"/>
    </row>
    <row r="320" ht="15" customHeight="1">
      <c r="A320" t="inlineStr">
        <is>
          <t>A 41708-2025</t>
        </is>
      </c>
      <c r="B320" t="inlineStr">
        <is>
          <t>avverkningsanmälan</t>
        </is>
      </c>
      <c r="C320" t="inlineStr">
        <is>
          <t>Föryngringsavverkning</t>
        </is>
      </c>
      <c r="D320" s="1" t="n">
        <v>45902</v>
      </c>
      <c r="E320" s="1" t="n">
        <v>46312</v>
      </c>
      <c r="F320" t="inlineStr">
        <is>
          <t>JÄMTLANDS LÄN</t>
        </is>
      </c>
      <c r="G320" t="inlineStr">
        <is>
          <t>ÖSTERSUND</t>
        </is>
      </c>
      <c r="I320" t="n">
        <v>1.2</v>
      </c>
      <c r="J320" t="n">
        <v>0</v>
      </c>
      <c r="K320" t="n">
        <v>0</v>
      </c>
      <c r="L320" t="n">
        <v>0</v>
      </c>
      <c r="M320" t="n">
        <v>0</v>
      </c>
      <c r="N320" t="n">
        <v>0</v>
      </c>
      <c r="O320" t="n">
        <v>0</v>
      </c>
      <c r="P320" t="n">
        <v>0</v>
      </c>
      <c r="Q320" t="n">
        <v>0</v>
      </c>
      <c r="R320" t="n">
        <v>0</v>
      </c>
      <c r="S320" t="n">
        <v>0</v>
      </c>
      <c r="T320" t="n">
        <v>0</v>
      </c>
      <c r="U320" t="n">
        <v>0</v>
      </c>
      <c r="V320" s="2" t="inlineStr"/>
    </row>
    <row r="321" ht="15" customHeight="1">
      <c r="A321" t="inlineStr">
        <is>
          <t>A 42129-2025</t>
        </is>
      </c>
      <c r="B321" t="inlineStr">
        <is>
          <t>avverkningsanmälan</t>
        </is>
      </c>
      <c r="C321" t="inlineStr">
        <is>
          <t>Avverkning för annat ändamål</t>
        </is>
      </c>
      <c r="D321" s="1" t="n">
        <v>45904</v>
      </c>
      <c r="E321" s="1" t="n">
        <v>46312</v>
      </c>
      <c r="F321" t="inlineStr">
        <is>
          <t>JÄMTLANDS LÄN</t>
        </is>
      </c>
      <c r="G321" t="inlineStr">
        <is>
          <t>ÖSTERSUND</t>
        </is>
      </c>
      <c r="I321" t="n">
        <v>0.4</v>
      </c>
      <c r="J321" t="n">
        <v>0</v>
      </c>
      <c r="K321" t="n">
        <v>0</v>
      </c>
      <c r="L321" t="n">
        <v>0</v>
      </c>
      <c r="M321" t="n">
        <v>0</v>
      </c>
      <c r="N321" t="n">
        <v>0</v>
      </c>
      <c r="O321" t="n">
        <v>0</v>
      </c>
      <c r="P321" t="n">
        <v>0</v>
      </c>
      <c r="Q321" t="n">
        <v>0</v>
      </c>
      <c r="R321" t="n">
        <v>0</v>
      </c>
      <c r="S321" t="n">
        <v>0</v>
      </c>
      <c r="T321" t="n">
        <v>0</v>
      </c>
      <c r="U321" t="n">
        <v>0</v>
      </c>
      <c r="V321" s="2" t="inlineStr"/>
    </row>
    <row r="322" ht="15" customHeight="1">
      <c r="A322" t="inlineStr">
        <is>
          <t>A 42989-2025</t>
        </is>
      </c>
      <c r="B322" t="inlineStr">
        <is>
          <t>avverkningsanmälan</t>
        </is>
      </c>
      <c r="C322" t="inlineStr">
        <is>
          <t>Föryngringsavverkning</t>
        </is>
      </c>
      <c r="D322" s="1" t="n">
        <v>45909</v>
      </c>
      <c r="E322" s="1" t="n">
        <v>46312</v>
      </c>
      <c r="F322" t="inlineStr">
        <is>
          <t>JÄMTLANDS LÄN</t>
        </is>
      </c>
      <c r="G322" t="inlineStr">
        <is>
          <t>ÖSTERSUND</t>
        </is>
      </c>
      <c r="I322" t="n">
        <v>3</v>
      </c>
      <c r="J322" t="n">
        <v>0</v>
      </c>
      <c r="K322" t="n">
        <v>0</v>
      </c>
      <c r="L322" t="n">
        <v>0</v>
      </c>
      <c r="M322" t="n">
        <v>0</v>
      </c>
      <c r="N322" t="n">
        <v>0</v>
      </c>
      <c r="O322" t="n">
        <v>0</v>
      </c>
      <c r="P322" t="n">
        <v>0</v>
      </c>
      <c r="Q322" t="n">
        <v>0</v>
      </c>
      <c r="R322" t="n">
        <v>0</v>
      </c>
      <c r="S322" t="n">
        <v>0</v>
      </c>
      <c r="T322" t="n">
        <v>0</v>
      </c>
      <c r="U322" t="n">
        <v>0</v>
      </c>
      <c r="V322" s="2" t="inlineStr"/>
    </row>
    <row r="323" ht="15" customHeight="1">
      <c r="A323" t="inlineStr">
        <is>
          <t>A 6351-2024</t>
        </is>
      </c>
      <c r="B323" t="inlineStr">
        <is>
          <t>avverkningsanmälan</t>
        </is>
      </c>
      <c r="C323" t="inlineStr">
        <is>
          <t>Avverkning för annat ändamål</t>
        </is>
      </c>
      <c r="D323" s="1" t="n">
        <v>45338</v>
      </c>
      <c r="E323" s="1" t="n">
        <v>46312</v>
      </c>
      <c r="F323" t="inlineStr">
        <is>
          <t>JÄMTLANDS LÄN</t>
        </is>
      </c>
      <c r="G323" t="inlineStr">
        <is>
          <t>ÖSTERSUND</t>
        </is>
      </c>
      <c r="I323" t="n">
        <v>0.8</v>
      </c>
      <c r="J323" t="n">
        <v>0</v>
      </c>
      <c r="K323" t="n">
        <v>0</v>
      </c>
      <c r="L323" t="n">
        <v>0</v>
      </c>
      <c r="M323" t="n">
        <v>0</v>
      </c>
      <c r="N323" t="n">
        <v>0</v>
      </c>
      <c r="O323" t="n">
        <v>0</v>
      </c>
      <c r="P323" t="n">
        <v>0</v>
      </c>
      <c r="Q323" t="n">
        <v>0</v>
      </c>
      <c r="R323" t="n">
        <v>0</v>
      </c>
      <c r="S323" t="n">
        <v>0</v>
      </c>
      <c r="T323" t="n">
        <v>0</v>
      </c>
      <c r="U323" t="n">
        <v>0</v>
      </c>
      <c r="V323" s="2" t="inlineStr"/>
    </row>
    <row r="324" ht="15" customHeight="1">
      <c r="A324" t="inlineStr">
        <is>
          <t>A 43411-2025</t>
        </is>
      </c>
      <c r="B324" t="inlineStr">
        <is>
          <t>avverkningsanmälan</t>
        </is>
      </c>
      <c r="C324" t="inlineStr">
        <is>
          <t>Avverkning för annat ändamål</t>
        </is>
      </c>
      <c r="D324" s="1" t="n">
        <v>45911</v>
      </c>
      <c r="E324" s="1" t="n">
        <v>46312</v>
      </c>
      <c r="F324" t="inlineStr">
        <is>
          <t>JÄMTLANDS LÄN</t>
        </is>
      </c>
      <c r="G324" t="inlineStr">
        <is>
          <t>ÖSTERSUND</t>
        </is>
      </c>
      <c r="I324" t="n">
        <v>1.3</v>
      </c>
      <c r="J324" t="n">
        <v>0</v>
      </c>
      <c r="K324" t="n">
        <v>0</v>
      </c>
      <c r="L324" t="n">
        <v>0</v>
      </c>
      <c r="M324" t="n">
        <v>0</v>
      </c>
      <c r="N324" t="n">
        <v>0</v>
      </c>
      <c r="O324" t="n">
        <v>0</v>
      </c>
      <c r="P324" t="n">
        <v>0</v>
      </c>
      <c r="Q324" t="n">
        <v>0</v>
      </c>
      <c r="R324" t="n">
        <v>0</v>
      </c>
      <c r="S324" t="n">
        <v>0</v>
      </c>
      <c r="T324" t="n">
        <v>0</v>
      </c>
      <c r="U324" t="n">
        <v>0</v>
      </c>
      <c r="V324" s="2" t="inlineStr"/>
    </row>
    <row r="325" ht="15" customHeight="1">
      <c r="A325" t="inlineStr">
        <is>
          <t>A 20913-2026</t>
        </is>
      </c>
      <c r="B325" t="inlineStr">
        <is>
          <t>avverkningsanmälan</t>
        </is>
      </c>
      <c r="C325" t="inlineStr">
        <is>
          <t>Föryngringsavverkning</t>
        </is>
      </c>
      <c r="D325" s="1" t="n">
        <v>46142</v>
      </c>
      <c r="E325" s="1" t="n">
        <v>46312</v>
      </c>
      <c r="F325" t="inlineStr">
        <is>
          <t>JÄMTLANDS LÄN</t>
        </is>
      </c>
      <c r="G325" t="inlineStr">
        <is>
          <t>ÖSTERSUND</t>
        </is>
      </c>
      <c r="H325" t="inlineStr">
        <is>
          <t>SCA</t>
        </is>
      </c>
      <c r="I325" t="n">
        <v>5</v>
      </c>
      <c r="J325" t="n">
        <v>0</v>
      </c>
      <c r="K325" t="n">
        <v>0</v>
      </c>
      <c r="L325" t="n">
        <v>0</v>
      </c>
      <c r="M325" t="n">
        <v>0</v>
      </c>
      <c r="N325" t="n">
        <v>0</v>
      </c>
      <c r="O325" t="n">
        <v>0</v>
      </c>
      <c r="P325" t="n">
        <v>0</v>
      </c>
      <c r="Q325" t="n">
        <v>0</v>
      </c>
      <c r="R325" t="n">
        <v>0</v>
      </c>
      <c r="S325" t="n">
        <v>0</v>
      </c>
      <c r="T325" t="n">
        <v>0</v>
      </c>
      <c r="U325" t="n">
        <v>0</v>
      </c>
      <c r="V325" s="2" t="inlineStr"/>
    </row>
    <row r="326" ht="15" customHeight="1">
      <c r="A326" t="inlineStr">
        <is>
          <t>A 3749-2023</t>
        </is>
      </c>
      <c r="B326" t="inlineStr">
        <is>
          <t>avverkningsanmälan</t>
        </is>
      </c>
      <c r="C326" t="inlineStr">
        <is>
          <t>Föryngringsavverkning</t>
        </is>
      </c>
      <c r="D326" s="1" t="n">
        <v>44949</v>
      </c>
      <c r="E326" s="1" t="n">
        <v>46312</v>
      </c>
      <c r="F326" t="inlineStr">
        <is>
          <t>JÄMTLANDS LÄN</t>
        </is>
      </c>
      <c r="G326" t="inlineStr">
        <is>
          <t>ÖSTERSUND</t>
        </is>
      </c>
      <c r="I326" t="n">
        <v>0.2</v>
      </c>
      <c r="J326" t="n">
        <v>0</v>
      </c>
      <c r="K326" t="n">
        <v>0</v>
      </c>
      <c r="L326" t="n">
        <v>0</v>
      </c>
      <c r="M326" t="n">
        <v>0</v>
      </c>
      <c r="N326" t="n">
        <v>0</v>
      </c>
      <c r="O326" t="n">
        <v>0</v>
      </c>
      <c r="P326" t="n">
        <v>0</v>
      </c>
      <c r="Q326" t="n">
        <v>0</v>
      </c>
      <c r="R326" t="n">
        <v>0</v>
      </c>
      <c r="S326" t="n">
        <v>0</v>
      </c>
      <c r="T326" t="n">
        <v>0</v>
      </c>
      <c r="U326" t="n">
        <v>0</v>
      </c>
      <c r="V326" s="2" t="inlineStr"/>
    </row>
    <row r="327" ht="15" customHeight="1">
      <c r="A327" t="inlineStr">
        <is>
          <t>A 58364-2024</t>
        </is>
      </c>
      <c r="B327" t="inlineStr">
        <is>
          <t>avverkningsanmälan</t>
        </is>
      </c>
      <c r="C327" t="inlineStr">
        <is>
          <t>Föryngringsavverkning</t>
        </is>
      </c>
      <c r="D327" s="1" t="n">
        <v>45632</v>
      </c>
      <c r="E327" s="1" t="n">
        <v>46312</v>
      </c>
      <c r="F327" t="inlineStr">
        <is>
          <t>JÄMTLANDS LÄN</t>
        </is>
      </c>
      <c r="G327" t="inlineStr">
        <is>
          <t>ÖSTERSUND</t>
        </is>
      </c>
      <c r="I327" t="n">
        <v>5.5</v>
      </c>
      <c r="J327" t="n">
        <v>0</v>
      </c>
      <c r="K327" t="n">
        <v>0</v>
      </c>
      <c r="L327" t="n">
        <v>0</v>
      </c>
      <c r="M327" t="n">
        <v>0</v>
      </c>
      <c r="N327" t="n">
        <v>0</v>
      </c>
      <c r="O327" t="n">
        <v>0</v>
      </c>
      <c r="P327" t="n">
        <v>0</v>
      </c>
      <c r="Q327" t="n">
        <v>0</v>
      </c>
      <c r="R327" t="n">
        <v>0</v>
      </c>
      <c r="S327" t="n">
        <v>0</v>
      </c>
      <c r="T327" t="n">
        <v>0</v>
      </c>
      <c r="U327" t="n">
        <v>0</v>
      </c>
      <c r="V327" s="2" t="inlineStr"/>
    </row>
    <row r="328" ht="15" customHeight="1">
      <c r="A328" t="inlineStr">
        <is>
          <t>A 44446-2025</t>
        </is>
      </c>
      <c r="B328" t="inlineStr">
        <is>
          <t>avverkningsanmälan</t>
        </is>
      </c>
      <c r="C328" t="inlineStr">
        <is>
          <t>Föryngringsavverkning</t>
        </is>
      </c>
      <c r="D328" s="1" t="n">
        <v>45916</v>
      </c>
      <c r="E328" s="1" t="n">
        <v>46312</v>
      </c>
      <c r="F328" t="inlineStr">
        <is>
          <t>JÄMTLANDS LÄN</t>
        </is>
      </c>
      <c r="G328" t="inlineStr">
        <is>
          <t>ÖSTERSUND</t>
        </is>
      </c>
      <c r="I328" t="n">
        <v>1.9</v>
      </c>
      <c r="J328" t="n">
        <v>0</v>
      </c>
      <c r="K328" t="n">
        <v>0</v>
      </c>
      <c r="L328" t="n">
        <v>0</v>
      </c>
      <c r="M328" t="n">
        <v>0</v>
      </c>
      <c r="N328" t="n">
        <v>0</v>
      </c>
      <c r="O328" t="n">
        <v>0</v>
      </c>
      <c r="P328" t="n">
        <v>0</v>
      </c>
      <c r="Q328" t="n">
        <v>0</v>
      </c>
      <c r="R328" t="n">
        <v>0</v>
      </c>
      <c r="S328" t="n">
        <v>0</v>
      </c>
      <c r="T328" t="n">
        <v>0</v>
      </c>
      <c r="U328" t="n">
        <v>0</v>
      </c>
      <c r="V328" s="2" t="inlineStr"/>
    </row>
    <row r="329" ht="15" customHeight="1">
      <c r="A329" t="inlineStr">
        <is>
          <t>A 33801-2022</t>
        </is>
      </c>
      <c r="B329" t="inlineStr">
        <is>
          <t>avverkningsanmälan</t>
        </is>
      </c>
      <c r="C329" t="inlineStr">
        <is>
          <t>Föryngringsavverkning</t>
        </is>
      </c>
      <c r="D329" s="1" t="n">
        <v>44790</v>
      </c>
      <c r="E329" s="1" t="n">
        <v>46312</v>
      </c>
      <c r="F329" t="inlineStr">
        <is>
          <t>JÄMTLANDS LÄN</t>
        </is>
      </c>
      <c r="G329" t="inlineStr">
        <is>
          <t>ÖSTERSUND</t>
        </is>
      </c>
      <c r="I329" t="n">
        <v>7.6</v>
      </c>
      <c r="J329" t="n">
        <v>0</v>
      </c>
      <c r="K329" t="n">
        <v>0</v>
      </c>
      <c r="L329" t="n">
        <v>0</v>
      </c>
      <c r="M329" t="n">
        <v>0</v>
      </c>
      <c r="N329" t="n">
        <v>0</v>
      </c>
      <c r="O329" t="n">
        <v>0</v>
      </c>
      <c r="P329" t="n">
        <v>0</v>
      </c>
      <c r="Q329" t="n">
        <v>0</v>
      </c>
      <c r="R329" t="n">
        <v>0</v>
      </c>
      <c r="S329" t="n">
        <v>0</v>
      </c>
      <c r="T329" t="n">
        <v>0</v>
      </c>
      <c r="U329" t="n">
        <v>0</v>
      </c>
      <c r="V329" s="2" t="inlineStr"/>
    </row>
    <row r="330" ht="15" customHeight="1">
      <c r="A330" t="inlineStr">
        <is>
          <t>A 64645-2021</t>
        </is>
      </c>
      <c r="B330" t="inlineStr">
        <is>
          <t>avverkningsanmälan</t>
        </is>
      </c>
      <c r="C330" t="inlineStr">
        <is>
          <t>Föryngringsavverkning</t>
        </is>
      </c>
      <c r="D330" s="1" t="n">
        <v>44511</v>
      </c>
      <c r="E330" s="1" t="n">
        <v>46312</v>
      </c>
      <c r="F330" t="inlineStr">
        <is>
          <t>JÄMTLANDS LÄN</t>
        </is>
      </c>
      <c r="G330" t="inlineStr">
        <is>
          <t>ÖSTERSUND</t>
        </is>
      </c>
      <c r="I330" t="n">
        <v>3.2</v>
      </c>
      <c r="J330" t="n">
        <v>0</v>
      </c>
      <c r="K330" t="n">
        <v>0</v>
      </c>
      <c r="L330" t="n">
        <v>0</v>
      </c>
      <c r="M330" t="n">
        <v>0</v>
      </c>
      <c r="N330" t="n">
        <v>0</v>
      </c>
      <c r="O330" t="n">
        <v>0</v>
      </c>
      <c r="P330" t="n">
        <v>0</v>
      </c>
      <c r="Q330" t="n">
        <v>0</v>
      </c>
      <c r="R330" t="n">
        <v>0</v>
      </c>
      <c r="S330" t="n">
        <v>0</v>
      </c>
      <c r="T330" t="n">
        <v>0</v>
      </c>
      <c r="U330" t="n">
        <v>0</v>
      </c>
      <c r="V330" s="2" t="inlineStr"/>
    </row>
    <row r="331" ht="15" customHeight="1">
      <c r="A331" t="inlineStr">
        <is>
          <t>A 45389-2025</t>
        </is>
      </c>
      <c r="B331" t="inlineStr">
        <is>
          <t>avverkningsanmälan</t>
        </is>
      </c>
      <c r="C331" t="inlineStr">
        <is>
          <t>Föryngringsavverkning</t>
        </is>
      </c>
      <c r="D331" s="1" t="n">
        <v>45922</v>
      </c>
      <c r="E331" s="1" t="n">
        <v>46312</v>
      </c>
      <c r="F331" t="inlineStr">
        <is>
          <t>JÄMTLANDS LÄN</t>
        </is>
      </c>
      <c r="G331" t="inlineStr">
        <is>
          <t>ÖSTERSUND</t>
        </is>
      </c>
      <c r="H331" t="inlineStr">
        <is>
          <t>SCA</t>
        </is>
      </c>
      <c r="I331" t="n">
        <v>1.8</v>
      </c>
      <c r="J331" t="n">
        <v>0</v>
      </c>
      <c r="K331" t="n">
        <v>0</v>
      </c>
      <c r="L331" t="n">
        <v>0</v>
      </c>
      <c r="M331" t="n">
        <v>0</v>
      </c>
      <c r="N331" t="n">
        <v>0</v>
      </c>
      <c r="O331" t="n">
        <v>0</v>
      </c>
      <c r="P331" t="n">
        <v>0</v>
      </c>
      <c r="Q331" t="n">
        <v>0</v>
      </c>
      <c r="R331" t="n">
        <v>0</v>
      </c>
      <c r="S331" t="n">
        <v>0</v>
      </c>
      <c r="T331" t="n">
        <v>0</v>
      </c>
      <c r="U331" t="n">
        <v>0</v>
      </c>
      <c r="V331" s="2" t="inlineStr"/>
    </row>
    <row r="332" ht="15" customHeight="1">
      <c r="A332" t="inlineStr">
        <is>
          <t>A 45391-2025</t>
        </is>
      </c>
      <c r="B332" t="inlineStr">
        <is>
          <t>avverkningsanmälan</t>
        </is>
      </c>
      <c r="C332" t="inlineStr">
        <is>
          <t>Föryngringsavverkning</t>
        </is>
      </c>
      <c r="D332" s="1" t="n">
        <v>45922</v>
      </c>
      <c r="E332" s="1" t="n">
        <v>46312</v>
      </c>
      <c r="F332" t="inlineStr">
        <is>
          <t>JÄMTLANDS LÄN</t>
        </is>
      </c>
      <c r="G332" t="inlineStr">
        <is>
          <t>ÖSTERSUND</t>
        </is>
      </c>
      <c r="H332" t="inlineStr">
        <is>
          <t>SCA</t>
        </is>
      </c>
      <c r="I332" t="n">
        <v>5</v>
      </c>
      <c r="J332" t="n">
        <v>0</v>
      </c>
      <c r="K332" t="n">
        <v>0</v>
      </c>
      <c r="L332" t="n">
        <v>0</v>
      </c>
      <c r="M332" t="n">
        <v>0</v>
      </c>
      <c r="N332" t="n">
        <v>0</v>
      </c>
      <c r="O332" t="n">
        <v>0</v>
      </c>
      <c r="P332" t="n">
        <v>0</v>
      </c>
      <c r="Q332" t="n">
        <v>0</v>
      </c>
      <c r="R332" t="n">
        <v>0</v>
      </c>
      <c r="S332" t="n">
        <v>0</v>
      </c>
      <c r="T332" t="n">
        <v>0</v>
      </c>
      <c r="U332" t="n">
        <v>0</v>
      </c>
      <c r="V332" s="2" t="inlineStr"/>
    </row>
    <row r="333" ht="15" customHeight="1">
      <c r="A333" t="inlineStr">
        <is>
          <t>A 45385-2025</t>
        </is>
      </c>
      <c r="B333" t="inlineStr">
        <is>
          <t>avverkningsanmälan</t>
        </is>
      </c>
      <c r="C333" t="inlineStr">
        <is>
          <t>Föryngringsavverkning</t>
        </is>
      </c>
      <c r="D333" s="1" t="n">
        <v>45922</v>
      </c>
      <c r="E333" s="1" t="n">
        <v>46312</v>
      </c>
      <c r="F333" t="inlineStr">
        <is>
          <t>JÄMTLANDS LÄN</t>
        </is>
      </c>
      <c r="G333" t="inlineStr">
        <is>
          <t>ÖSTERSUND</t>
        </is>
      </c>
      <c r="H333" t="inlineStr">
        <is>
          <t>SCA</t>
        </is>
      </c>
      <c r="I333" t="n">
        <v>2.4</v>
      </c>
      <c r="J333" t="n">
        <v>0</v>
      </c>
      <c r="K333" t="n">
        <v>0</v>
      </c>
      <c r="L333" t="n">
        <v>0</v>
      </c>
      <c r="M333" t="n">
        <v>0</v>
      </c>
      <c r="N333" t="n">
        <v>0</v>
      </c>
      <c r="O333" t="n">
        <v>0</v>
      </c>
      <c r="P333" t="n">
        <v>0</v>
      </c>
      <c r="Q333" t="n">
        <v>0</v>
      </c>
      <c r="R333" t="n">
        <v>0</v>
      </c>
      <c r="S333" t="n">
        <v>0</v>
      </c>
      <c r="T333" t="n">
        <v>0</v>
      </c>
      <c r="U333" t="n">
        <v>0</v>
      </c>
      <c r="V333" s="2" t="inlineStr"/>
    </row>
    <row r="334" ht="15" customHeight="1">
      <c r="A334" t="inlineStr">
        <is>
          <t>A 846-2024</t>
        </is>
      </c>
      <c r="B334" t="inlineStr">
        <is>
          <t>avverkningsanmälan</t>
        </is>
      </c>
      <c r="C334" t="inlineStr">
        <is>
          <t>Avverkning för annat ändamål</t>
        </is>
      </c>
      <c r="D334" s="1" t="n">
        <v>45300</v>
      </c>
      <c r="E334" s="1" t="n">
        <v>46312</v>
      </c>
      <c r="F334" t="inlineStr">
        <is>
          <t>JÄMTLANDS LÄN</t>
        </is>
      </c>
      <c r="G334" t="inlineStr">
        <is>
          <t>ÖSTERSUND</t>
        </is>
      </c>
      <c r="I334" t="n">
        <v>2.8</v>
      </c>
      <c r="J334" t="n">
        <v>0</v>
      </c>
      <c r="K334" t="n">
        <v>0</v>
      </c>
      <c r="L334" t="n">
        <v>0</v>
      </c>
      <c r="M334" t="n">
        <v>0</v>
      </c>
      <c r="N334" t="n">
        <v>0</v>
      </c>
      <c r="O334" t="n">
        <v>0</v>
      </c>
      <c r="P334" t="n">
        <v>0</v>
      </c>
      <c r="Q334" t="n">
        <v>0</v>
      </c>
      <c r="R334" t="n">
        <v>0</v>
      </c>
      <c r="S334" t="n">
        <v>0</v>
      </c>
      <c r="T334" t="n">
        <v>0</v>
      </c>
      <c r="U334" t="n">
        <v>0</v>
      </c>
      <c r="V334" s="2" t="inlineStr"/>
    </row>
    <row r="335" ht="15" customHeight="1">
      <c r="A335" t="inlineStr">
        <is>
          <t>A 45386-2025</t>
        </is>
      </c>
      <c r="B335" t="inlineStr">
        <is>
          <t>avverkningsanmälan</t>
        </is>
      </c>
      <c r="C335" t="inlineStr">
        <is>
          <t>Föryngringsavverkning</t>
        </is>
      </c>
      <c r="D335" s="1" t="n">
        <v>45922</v>
      </c>
      <c r="E335" s="1" t="n">
        <v>46312</v>
      </c>
      <c r="F335" t="inlineStr">
        <is>
          <t>JÄMTLANDS LÄN</t>
        </is>
      </c>
      <c r="G335" t="inlineStr">
        <is>
          <t>ÖSTERSUND</t>
        </is>
      </c>
      <c r="H335" t="inlineStr">
        <is>
          <t>SCA</t>
        </is>
      </c>
      <c r="I335" t="n">
        <v>3.5</v>
      </c>
      <c r="J335" t="n">
        <v>0</v>
      </c>
      <c r="K335" t="n">
        <v>0</v>
      </c>
      <c r="L335" t="n">
        <v>0</v>
      </c>
      <c r="M335" t="n">
        <v>0</v>
      </c>
      <c r="N335" t="n">
        <v>0</v>
      </c>
      <c r="O335" t="n">
        <v>0</v>
      </c>
      <c r="P335" t="n">
        <v>0</v>
      </c>
      <c r="Q335" t="n">
        <v>0</v>
      </c>
      <c r="R335" t="n">
        <v>0</v>
      </c>
      <c r="S335" t="n">
        <v>0</v>
      </c>
      <c r="T335" t="n">
        <v>0</v>
      </c>
      <c r="U335" t="n">
        <v>0</v>
      </c>
      <c r="V335" s="2" t="inlineStr"/>
    </row>
    <row r="336" ht="15" customHeight="1">
      <c r="A336" t="inlineStr">
        <is>
          <t>A 45388-2025</t>
        </is>
      </c>
      <c r="B336" t="inlineStr">
        <is>
          <t>avverkningsanmälan</t>
        </is>
      </c>
      <c r="C336" t="inlineStr">
        <is>
          <t>Föryngringsavverkning</t>
        </is>
      </c>
      <c r="D336" s="1" t="n">
        <v>45922</v>
      </c>
      <c r="E336" s="1" t="n">
        <v>46312</v>
      </c>
      <c r="F336" t="inlineStr">
        <is>
          <t>JÄMTLANDS LÄN</t>
        </is>
      </c>
      <c r="G336" t="inlineStr">
        <is>
          <t>ÖSTERSUND</t>
        </is>
      </c>
      <c r="H336" t="inlineStr">
        <is>
          <t>SCA</t>
        </is>
      </c>
      <c r="I336" t="n">
        <v>0.8</v>
      </c>
      <c r="J336" t="n">
        <v>0</v>
      </c>
      <c r="K336" t="n">
        <v>0</v>
      </c>
      <c r="L336" t="n">
        <v>0</v>
      </c>
      <c r="M336" t="n">
        <v>0</v>
      </c>
      <c r="N336" t="n">
        <v>0</v>
      </c>
      <c r="O336" t="n">
        <v>0</v>
      </c>
      <c r="P336" t="n">
        <v>0</v>
      </c>
      <c r="Q336" t="n">
        <v>0</v>
      </c>
      <c r="R336" t="n">
        <v>0</v>
      </c>
      <c r="S336" t="n">
        <v>0</v>
      </c>
      <c r="T336" t="n">
        <v>0</v>
      </c>
      <c r="U336" t="n">
        <v>0</v>
      </c>
      <c r="V336" s="2" t="inlineStr"/>
    </row>
    <row r="337" ht="15" customHeight="1">
      <c r="A337" t="inlineStr">
        <is>
          <t>A 45481-2025</t>
        </is>
      </c>
      <c r="B337" t="inlineStr">
        <is>
          <t>avverkningsanmälan</t>
        </is>
      </c>
      <c r="C337" t="inlineStr">
        <is>
          <t>Föryngringsavverkning</t>
        </is>
      </c>
      <c r="D337" s="1" t="n">
        <v>45922</v>
      </c>
      <c r="E337" s="1" t="n">
        <v>46312</v>
      </c>
      <c r="F337" t="inlineStr">
        <is>
          <t>JÄMTLANDS LÄN</t>
        </is>
      </c>
      <c r="G337" t="inlineStr">
        <is>
          <t>ÖSTERSUND</t>
        </is>
      </c>
      <c r="I337" t="n">
        <v>3</v>
      </c>
      <c r="J337" t="n">
        <v>0</v>
      </c>
      <c r="K337" t="n">
        <v>0</v>
      </c>
      <c r="L337" t="n">
        <v>0</v>
      </c>
      <c r="M337" t="n">
        <v>0</v>
      </c>
      <c r="N337" t="n">
        <v>0</v>
      </c>
      <c r="O337" t="n">
        <v>0</v>
      </c>
      <c r="P337" t="n">
        <v>0</v>
      </c>
      <c r="Q337" t="n">
        <v>0</v>
      </c>
      <c r="R337" t="n">
        <v>0</v>
      </c>
      <c r="S337" t="n">
        <v>0</v>
      </c>
      <c r="T337" t="n">
        <v>0</v>
      </c>
      <c r="U337" t="n">
        <v>0</v>
      </c>
      <c r="V337" s="2" t="inlineStr"/>
    </row>
    <row r="338" ht="15" customHeight="1">
      <c r="A338" t="inlineStr">
        <is>
          <t>A 46132-2025</t>
        </is>
      </c>
      <c r="B338" t="inlineStr">
        <is>
          <t>avverkningsanmälan</t>
        </is>
      </c>
      <c r="C338" t="inlineStr">
        <is>
          <t>Föryngringsavverkning</t>
        </is>
      </c>
      <c r="D338" s="1" t="n">
        <v>45924</v>
      </c>
      <c r="E338" s="1" t="n">
        <v>46312</v>
      </c>
      <c r="F338" t="inlineStr">
        <is>
          <t>JÄMTLANDS LÄN</t>
        </is>
      </c>
      <c r="G338" t="inlineStr">
        <is>
          <t>ÖSTERSUND</t>
        </is>
      </c>
      <c r="H338" t="inlineStr">
        <is>
          <t>SCA</t>
        </is>
      </c>
      <c r="I338" t="n">
        <v>1.7</v>
      </c>
      <c r="J338" t="n">
        <v>0</v>
      </c>
      <c r="K338" t="n">
        <v>0</v>
      </c>
      <c r="L338" t="n">
        <v>0</v>
      </c>
      <c r="M338" t="n">
        <v>0</v>
      </c>
      <c r="N338" t="n">
        <v>0</v>
      </c>
      <c r="O338" t="n">
        <v>0</v>
      </c>
      <c r="P338" t="n">
        <v>0</v>
      </c>
      <c r="Q338" t="n">
        <v>0</v>
      </c>
      <c r="R338" t="n">
        <v>0</v>
      </c>
      <c r="S338" t="n">
        <v>0</v>
      </c>
      <c r="T338" t="n">
        <v>0</v>
      </c>
      <c r="U338" t="n">
        <v>0</v>
      </c>
      <c r="V338" s="2" t="inlineStr"/>
    </row>
    <row r="339" ht="15" customHeight="1">
      <c r="A339" t="inlineStr">
        <is>
          <t>A 46152-2025</t>
        </is>
      </c>
      <c r="B339" t="inlineStr">
        <is>
          <t>avverkningsanmälan</t>
        </is>
      </c>
      <c r="C339" t="inlineStr">
        <is>
          <t>Föryngringsavverkning</t>
        </is>
      </c>
      <c r="D339" s="1" t="n">
        <v>45924</v>
      </c>
      <c r="E339" s="1" t="n">
        <v>46312</v>
      </c>
      <c r="F339" t="inlineStr">
        <is>
          <t>JÄMTLANDS LÄN</t>
        </is>
      </c>
      <c r="G339" t="inlineStr">
        <is>
          <t>ÖSTERSUND</t>
        </is>
      </c>
      <c r="H339" t="inlineStr">
        <is>
          <t>SCA</t>
        </is>
      </c>
      <c r="I339" t="n">
        <v>0.7</v>
      </c>
      <c r="J339" t="n">
        <v>0</v>
      </c>
      <c r="K339" t="n">
        <v>0</v>
      </c>
      <c r="L339" t="n">
        <v>0</v>
      </c>
      <c r="M339" t="n">
        <v>0</v>
      </c>
      <c r="N339" t="n">
        <v>0</v>
      </c>
      <c r="O339" t="n">
        <v>0</v>
      </c>
      <c r="P339" t="n">
        <v>0</v>
      </c>
      <c r="Q339" t="n">
        <v>0</v>
      </c>
      <c r="R339" t="n">
        <v>0</v>
      </c>
      <c r="S339" t="n">
        <v>0</v>
      </c>
      <c r="T339" t="n">
        <v>0</v>
      </c>
      <c r="U339" t="n">
        <v>0</v>
      </c>
      <c r="V339" s="2" t="inlineStr"/>
    </row>
    <row r="340" ht="15" customHeight="1">
      <c r="A340" t="inlineStr">
        <is>
          <t>A 47805-2024</t>
        </is>
      </c>
      <c r="B340" t="inlineStr">
        <is>
          <t>avverkningsanmälan</t>
        </is>
      </c>
      <c r="C340" t="inlineStr">
        <is>
          <t>Föryngringsavverkning</t>
        </is>
      </c>
      <c r="D340" s="1" t="n">
        <v>45588</v>
      </c>
      <c r="E340" s="1" t="n">
        <v>46312</v>
      </c>
      <c r="F340" t="inlineStr">
        <is>
          <t>JÄMTLANDS LÄN</t>
        </is>
      </c>
      <c r="G340" t="inlineStr">
        <is>
          <t>ÖSTERSUND</t>
        </is>
      </c>
      <c r="I340" t="n">
        <v>7.4</v>
      </c>
      <c r="J340" t="n">
        <v>0</v>
      </c>
      <c r="K340" t="n">
        <v>0</v>
      </c>
      <c r="L340" t="n">
        <v>0</v>
      </c>
      <c r="M340" t="n">
        <v>0</v>
      </c>
      <c r="N340" t="n">
        <v>0</v>
      </c>
      <c r="O340" t="n">
        <v>0</v>
      </c>
      <c r="P340" t="n">
        <v>0</v>
      </c>
      <c r="Q340" t="n">
        <v>0</v>
      </c>
      <c r="R340" t="n">
        <v>0</v>
      </c>
      <c r="S340" t="n">
        <v>0</v>
      </c>
      <c r="T340" t="n">
        <v>0</v>
      </c>
      <c r="U340" t="n">
        <v>0</v>
      </c>
      <c r="V340" s="2" t="inlineStr"/>
    </row>
    <row r="341" ht="15" customHeight="1">
      <c r="A341" t="inlineStr">
        <is>
          <t>A 45338-2024</t>
        </is>
      </c>
      <c r="B341" t="inlineStr">
        <is>
          <t>avverkningsanmälan</t>
        </is>
      </c>
      <c r="C341" t="inlineStr">
        <is>
          <t>Föryngringsavverkning</t>
        </is>
      </c>
      <c r="D341" s="1" t="n">
        <v>45576</v>
      </c>
      <c r="E341" s="1" t="n">
        <v>46312</v>
      </c>
      <c r="F341" t="inlineStr">
        <is>
          <t>JÄMTLANDS LÄN</t>
        </is>
      </c>
      <c r="G341" t="inlineStr">
        <is>
          <t>ÖSTERSUND</t>
        </is>
      </c>
      <c r="I341" t="n">
        <v>1.4</v>
      </c>
      <c r="J341" t="n">
        <v>0</v>
      </c>
      <c r="K341" t="n">
        <v>0</v>
      </c>
      <c r="L341" t="n">
        <v>0</v>
      </c>
      <c r="M341" t="n">
        <v>0</v>
      </c>
      <c r="N341" t="n">
        <v>0</v>
      </c>
      <c r="O341" t="n">
        <v>0</v>
      </c>
      <c r="P341" t="n">
        <v>0</v>
      </c>
      <c r="Q341" t="n">
        <v>0</v>
      </c>
      <c r="R341" t="n">
        <v>0</v>
      </c>
      <c r="S341" t="n">
        <v>0</v>
      </c>
      <c r="T341" t="n">
        <v>0</v>
      </c>
      <c r="U341" t="n">
        <v>0</v>
      </c>
      <c r="V341" s="2" t="inlineStr"/>
    </row>
    <row r="342" ht="15" customHeight="1">
      <c r="A342" t="inlineStr">
        <is>
          <t>A 45895-2024</t>
        </is>
      </c>
      <c r="B342" t="inlineStr">
        <is>
          <t>avverkningsanmälan</t>
        </is>
      </c>
      <c r="C342" t="inlineStr">
        <is>
          <t>Föryngringsavverkning</t>
        </is>
      </c>
      <c r="D342" s="1" t="n">
        <v>45580</v>
      </c>
      <c r="E342" s="1" t="n">
        <v>46312</v>
      </c>
      <c r="F342" t="inlineStr">
        <is>
          <t>JÄMTLANDS LÄN</t>
        </is>
      </c>
      <c r="G342" t="inlineStr">
        <is>
          <t>ÖSTERSUND</t>
        </is>
      </c>
      <c r="I342" t="n">
        <v>1.2</v>
      </c>
      <c r="J342" t="n">
        <v>0</v>
      </c>
      <c r="K342" t="n">
        <v>0</v>
      </c>
      <c r="L342" t="n">
        <v>0</v>
      </c>
      <c r="M342" t="n">
        <v>0</v>
      </c>
      <c r="N342" t="n">
        <v>0</v>
      </c>
      <c r="O342" t="n">
        <v>0</v>
      </c>
      <c r="P342" t="n">
        <v>0</v>
      </c>
      <c r="Q342" t="n">
        <v>0</v>
      </c>
      <c r="R342" t="n">
        <v>0</v>
      </c>
      <c r="S342" t="n">
        <v>0</v>
      </c>
      <c r="T342" t="n">
        <v>0</v>
      </c>
      <c r="U342" t="n">
        <v>0</v>
      </c>
      <c r="V342" s="2" t="inlineStr"/>
    </row>
    <row r="343" ht="15" customHeight="1">
      <c r="A343" t="inlineStr">
        <is>
          <t>A 22108-2026</t>
        </is>
      </c>
      <c r="B343" t="inlineStr">
        <is>
          <t>avverkningsanmälan</t>
        </is>
      </c>
      <c r="C343" t="inlineStr">
        <is>
          <t>Föryngringsavverkning</t>
        </is>
      </c>
      <c r="D343" s="1" t="n">
        <v>46153</v>
      </c>
      <c r="E343" s="1" t="n">
        <v>46312</v>
      </c>
      <c r="F343" t="inlineStr">
        <is>
          <t>JÄMTLANDS LÄN</t>
        </is>
      </c>
      <c r="G343" t="inlineStr">
        <is>
          <t>ÖSTERSUND</t>
        </is>
      </c>
      <c r="I343" t="n">
        <v>1.8</v>
      </c>
      <c r="J343" t="n">
        <v>0</v>
      </c>
      <c r="K343" t="n">
        <v>0</v>
      </c>
      <c r="L343" t="n">
        <v>0</v>
      </c>
      <c r="M343" t="n">
        <v>0</v>
      </c>
      <c r="N343" t="n">
        <v>0</v>
      </c>
      <c r="O343" t="n">
        <v>0</v>
      </c>
      <c r="P343" t="n">
        <v>0</v>
      </c>
      <c r="Q343" t="n">
        <v>0</v>
      </c>
      <c r="R343" t="n">
        <v>0</v>
      </c>
      <c r="S343" t="n">
        <v>0</v>
      </c>
      <c r="T343" t="n">
        <v>0</v>
      </c>
      <c r="U343" t="n">
        <v>0</v>
      </c>
      <c r="V343" s="2" t="inlineStr"/>
    </row>
    <row r="344" ht="15" customHeight="1">
      <c r="A344" t="inlineStr">
        <is>
          <t>A 46732-2024</t>
        </is>
      </c>
      <c r="B344" t="inlineStr">
        <is>
          <t>avverkningsanmälan</t>
        </is>
      </c>
      <c r="C344" t="inlineStr">
        <is>
          <t>Föryngringsavverkning</t>
        </is>
      </c>
      <c r="D344" s="1" t="n">
        <v>45583</v>
      </c>
      <c r="E344" s="1" t="n">
        <v>46312</v>
      </c>
      <c r="F344" t="inlineStr">
        <is>
          <t>JÄMTLANDS LÄN</t>
        </is>
      </c>
      <c r="G344" t="inlineStr">
        <is>
          <t>ÖSTERSUND</t>
        </is>
      </c>
      <c r="I344" t="n">
        <v>3.3</v>
      </c>
      <c r="J344" t="n">
        <v>0</v>
      </c>
      <c r="K344" t="n">
        <v>0</v>
      </c>
      <c r="L344" t="n">
        <v>0</v>
      </c>
      <c r="M344" t="n">
        <v>0</v>
      </c>
      <c r="N344" t="n">
        <v>0</v>
      </c>
      <c r="O344" t="n">
        <v>0</v>
      </c>
      <c r="P344" t="n">
        <v>0</v>
      </c>
      <c r="Q344" t="n">
        <v>0</v>
      </c>
      <c r="R344" t="n">
        <v>0</v>
      </c>
      <c r="S344" t="n">
        <v>0</v>
      </c>
      <c r="T344" t="n">
        <v>0</v>
      </c>
      <c r="U344" t="n">
        <v>0</v>
      </c>
      <c r="V344" s="2" t="inlineStr"/>
    </row>
    <row r="345" ht="15" customHeight="1">
      <c r="A345" t="inlineStr">
        <is>
          <t>A 61791-2023</t>
        </is>
      </c>
      <c r="B345" t="inlineStr">
        <is>
          <t>avverkningsanmälan</t>
        </is>
      </c>
      <c r="C345" t="inlineStr">
        <is>
          <t>Avverkning för att bevara och utveckla /försöksver</t>
        </is>
      </c>
      <c r="D345" s="1" t="n">
        <v>45265</v>
      </c>
      <c r="E345" s="1" t="n">
        <v>46312</v>
      </c>
      <c r="F345" t="inlineStr">
        <is>
          <t>JÄMTLANDS LÄN</t>
        </is>
      </c>
      <c r="G345" t="inlineStr">
        <is>
          <t>ÖSTERSUND</t>
        </is>
      </c>
      <c r="H345" t="inlineStr">
        <is>
          <t>SCA</t>
        </is>
      </c>
      <c r="I345" t="n">
        <v>11.4</v>
      </c>
      <c r="J345" t="n">
        <v>0</v>
      </c>
      <c r="K345" t="n">
        <v>0</v>
      </c>
      <c r="L345" t="n">
        <v>0</v>
      </c>
      <c r="M345" t="n">
        <v>0</v>
      </c>
      <c r="N345" t="n">
        <v>0</v>
      </c>
      <c r="O345" t="n">
        <v>0</v>
      </c>
      <c r="P345" t="n">
        <v>0</v>
      </c>
      <c r="Q345" t="n">
        <v>0</v>
      </c>
      <c r="R345" t="n">
        <v>0</v>
      </c>
      <c r="S345" t="n">
        <v>0</v>
      </c>
      <c r="T345" t="n">
        <v>0</v>
      </c>
      <c r="U345" t="n">
        <v>0</v>
      </c>
      <c r="V345" s="2" t="inlineStr"/>
    </row>
    <row r="346" ht="15" customHeight="1">
      <c r="A346" t="inlineStr">
        <is>
          <t>A 21861-2026</t>
        </is>
      </c>
      <c r="B346" t="inlineStr">
        <is>
          <t>avverkningsanmälan</t>
        </is>
      </c>
      <c r="C346" t="inlineStr">
        <is>
          <t>Föryngringsavverkning</t>
        </is>
      </c>
      <c r="D346" s="1" t="n">
        <v>46150</v>
      </c>
      <c r="E346" s="1" t="n">
        <v>46312</v>
      </c>
      <c r="F346" t="inlineStr">
        <is>
          <t>JÄMTLANDS LÄN</t>
        </is>
      </c>
      <c r="G346" t="inlineStr">
        <is>
          <t>ÖSTERSUND</t>
        </is>
      </c>
      <c r="I346" t="n">
        <v>9.4</v>
      </c>
      <c r="J346" t="n">
        <v>0</v>
      </c>
      <c r="K346" t="n">
        <v>0</v>
      </c>
      <c r="L346" t="n">
        <v>0</v>
      </c>
      <c r="M346" t="n">
        <v>0</v>
      </c>
      <c r="N346" t="n">
        <v>0</v>
      </c>
      <c r="O346" t="n">
        <v>0</v>
      </c>
      <c r="P346" t="n">
        <v>0</v>
      </c>
      <c r="Q346" t="n">
        <v>0</v>
      </c>
      <c r="R346" t="n">
        <v>0</v>
      </c>
      <c r="S346" t="n">
        <v>0</v>
      </c>
      <c r="T346" t="n">
        <v>0</v>
      </c>
      <c r="U346" t="n">
        <v>0</v>
      </c>
      <c r="V346" s="2" t="inlineStr"/>
    </row>
    <row r="347" ht="15" customHeight="1">
      <c r="A347" t="inlineStr">
        <is>
          <t>A 48893-2025</t>
        </is>
      </c>
      <c r="B347" t="inlineStr">
        <is>
          <t>avverkningsanmälan</t>
        </is>
      </c>
      <c r="C347" t="inlineStr">
        <is>
          <t>Föryngringsavverkning</t>
        </is>
      </c>
      <c r="D347" s="1" t="n">
        <v>45937</v>
      </c>
      <c r="E347" s="1" t="n">
        <v>46312</v>
      </c>
      <c r="F347" t="inlineStr">
        <is>
          <t>JÄMTLANDS LÄN</t>
        </is>
      </c>
      <c r="G347" t="inlineStr">
        <is>
          <t>ÖSTERSUND</t>
        </is>
      </c>
      <c r="H347" t="inlineStr">
        <is>
          <t>Sveaskog</t>
        </is>
      </c>
      <c r="I347" t="n">
        <v>4.4</v>
      </c>
      <c r="J347" t="n">
        <v>0</v>
      </c>
      <c r="K347" t="n">
        <v>0</v>
      </c>
      <c r="L347" t="n">
        <v>0</v>
      </c>
      <c r="M347" t="n">
        <v>0</v>
      </c>
      <c r="N347" t="n">
        <v>0</v>
      </c>
      <c r="O347" t="n">
        <v>0</v>
      </c>
      <c r="P347" t="n">
        <v>0</v>
      </c>
      <c r="Q347" t="n">
        <v>0</v>
      </c>
      <c r="R347" t="n">
        <v>0</v>
      </c>
      <c r="S347" t="n">
        <v>0</v>
      </c>
      <c r="T347" t="n">
        <v>0</v>
      </c>
      <c r="U347" t="n">
        <v>0</v>
      </c>
      <c r="V347" s="2" t="inlineStr"/>
    </row>
    <row r="348" ht="15" customHeight="1">
      <c r="A348" t="inlineStr">
        <is>
          <t>A 47022-2024</t>
        </is>
      </c>
      <c r="B348" t="inlineStr">
        <is>
          <t>avverkningsanmälan</t>
        </is>
      </c>
      <c r="C348" t="inlineStr">
        <is>
          <t>Föryngringsavverkning</t>
        </is>
      </c>
      <c r="D348" s="1" t="n">
        <v>45586</v>
      </c>
      <c r="E348" s="1" t="n">
        <v>46312</v>
      </c>
      <c r="F348" t="inlineStr">
        <is>
          <t>JÄMTLANDS LÄN</t>
        </is>
      </c>
      <c r="G348" t="inlineStr">
        <is>
          <t>ÖSTERSUND</t>
        </is>
      </c>
      <c r="H348" t="inlineStr">
        <is>
          <t>SCA</t>
        </is>
      </c>
      <c r="I348" t="n">
        <v>2.4</v>
      </c>
      <c r="J348" t="n">
        <v>0</v>
      </c>
      <c r="K348" t="n">
        <v>0</v>
      </c>
      <c r="L348" t="n">
        <v>0</v>
      </c>
      <c r="M348" t="n">
        <v>0</v>
      </c>
      <c r="N348" t="n">
        <v>0</v>
      </c>
      <c r="O348" t="n">
        <v>0</v>
      </c>
      <c r="P348" t="n">
        <v>0</v>
      </c>
      <c r="Q348" t="n">
        <v>0</v>
      </c>
      <c r="R348" t="n">
        <v>0</v>
      </c>
      <c r="S348" t="n">
        <v>0</v>
      </c>
      <c r="T348" t="n">
        <v>0</v>
      </c>
      <c r="U348" t="n">
        <v>0</v>
      </c>
      <c r="V348" s="2" t="inlineStr"/>
    </row>
    <row r="349" ht="15" customHeight="1">
      <c r="A349" t="inlineStr">
        <is>
          <t>A 21854-2026</t>
        </is>
      </c>
      <c r="B349" t="inlineStr">
        <is>
          <t>avverkningsanmälan</t>
        </is>
      </c>
      <c r="C349" t="inlineStr">
        <is>
          <t>Föryngringsavverkning</t>
        </is>
      </c>
      <c r="D349" s="1" t="n">
        <v>46150</v>
      </c>
      <c r="E349" s="1" t="n">
        <v>46312</v>
      </c>
      <c r="F349" t="inlineStr">
        <is>
          <t>JÄMTLANDS LÄN</t>
        </is>
      </c>
      <c r="G349" t="inlineStr">
        <is>
          <t>ÖSTERSUND</t>
        </is>
      </c>
      <c r="I349" t="n">
        <v>6.4</v>
      </c>
      <c r="J349" t="n">
        <v>0</v>
      </c>
      <c r="K349" t="n">
        <v>0</v>
      </c>
      <c r="L349" t="n">
        <v>0</v>
      </c>
      <c r="M349" t="n">
        <v>0</v>
      </c>
      <c r="N349" t="n">
        <v>0</v>
      </c>
      <c r="O349" t="n">
        <v>0</v>
      </c>
      <c r="P349" t="n">
        <v>0</v>
      </c>
      <c r="Q349" t="n">
        <v>0</v>
      </c>
      <c r="R349" t="n">
        <v>0</v>
      </c>
      <c r="S349" t="n">
        <v>0</v>
      </c>
      <c r="T349" t="n">
        <v>0</v>
      </c>
      <c r="U349" t="n">
        <v>0</v>
      </c>
      <c r="V349" s="2" t="inlineStr"/>
    </row>
    <row r="350" ht="15" customHeight="1">
      <c r="A350" t="inlineStr">
        <is>
          <t>A 21866-2026</t>
        </is>
      </c>
      <c r="B350" t="inlineStr">
        <is>
          <t>avverkningsanmälan</t>
        </is>
      </c>
      <c r="C350" t="inlineStr">
        <is>
          <t>Föryngringsavverkning</t>
        </is>
      </c>
      <c r="D350" s="1" t="n">
        <v>46150</v>
      </c>
      <c r="E350" s="1" t="n">
        <v>46312</v>
      </c>
      <c r="F350" t="inlineStr">
        <is>
          <t>JÄMTLANDS LÄN</t>
        </is>
      </c>
      <c r="G350" t="inlineStr">
        <is>
          <t>ÖSTERSUND</t>
        </is>
      </c>
      <c r="I350" t="n">
        <v>3.1</v>
      </c>
      <c r="J350" t="n">
        <v>0</v>
      </c>
      <c r="K350" t="n">
        <v>0</v>
      </c>
      <c r="L350" t="n">
        <v>0</v>
      </c>
      <c r="M350" t="n">
        <v>0</v>
      </c>
      <c r="N350" t="n">
        <v>0</v>
      </c>
      <c r="O350" t="n">
        <v>0</v>
      </c>
      <c r="P350" t="n">
        <v>0</v>
      </c>
      <c r="Q350" t="n">
        <v>0</v>
      </c>
      <c r="R350" t="n">
        <v>0</v>
      </c>
      <c r="S350" t="n">
        <v>0</v>
      </c>
      <c r="T350" t="n">
        <v>0</v>
      </c>
      <c r="U350" t="n">
        <v>0</v>
      </c>
      <c r="V350" s="2" t="inlineStr"/>
    </row>
    <row r="351" ht="15" customHeight="1">
      <c r="A351" t="inlineStr">
        <is>
          <t>A 27124-2023</t>
        </is>
      </c>
      <c r="B351" t="inlineStr">
        <is>
          <t>avverkningsanmälan</t>
        </is>
      </c>
      <c r="C351" t="inlineStr">
        <is>
          <t>Föryngringsavverkning</t>
        </is>
      </c>
      <c r="D351" s="1" t="n">
        <v>45096</v>
      </c>
      <c r="E351" s="1" t="n">
        <v>46312</v>
      </c>
      <c r="F351" t="inlineStr">
        <is>
          <t>JÄMTLANDS LÄN</t>
        </is>
      </c>
      <c r="G351" t="inlineStr">
        <is>
          <t>ÖSTERSUND</t>
        </is>
      </c>
      <c r="I351" t="n">
        <v>1.9</v>
      </c>
      <c r="J351" t="n">
        <v>0</v>
      </c>
      <c r="K351" t="n">
        <v>0</v>
      </c>
      <c r="L351" t="n">
        <v>0</v>
      </c>
      <c r="M351" t="n">
        <v>0</v>
      </c>
      <c r="N351" t="n">
        <v>0</v>
      </c>
      <c r="O351" t="n">
        <v>0</v>
      </c>
      <c r="P351" t="n">
        <v>0</v>
      </c>
      <c r="Q351" t="n">
        <v>0</v>
      </c>
      <c r="R351" t="n">
        <v>0</v>
      </c>
      <c r="S351" t="n">
        <v>0</v>
      </c>
      <c r="T351" t="n">
        <v>0</v>
      </c>
      <c r="U351" t="n">
        <v>0</v>
      </c>
      <c r="V351" s="2" t="inlineStr"/>
    </row>
    <row r="352" ht="15" customHeight="1">
      <c r="A352" t="inlineStr">
        <is>
          <t>A 17066-2024</t>
        </is>
      </c>
      <c r="B352" t="inlineStr">
        <is>
          <t>avverkningsanmälan</t>
        </is>
      </c>
      <c r="C352" t="inlineStr">
        <is>
          <t>Föryngringsavverkning</t>
        </is>
      </c>
      <c r="D352" s="1" t="n">
        <v>45412</v>
      </c>
      <c r="E352" s="1" t="n">
        <v>46312</v>
      </c>
      <c r="F352" t="inlineStr">
        <is>
          <t>JÄMTLANDS LÄN</t>
        </is>
      </c>
      <c r="G352" t="inlineStr">
        <is>
          <t>ÖSTERSUND</t>
        </is>
      </c>
      <c r="I352" t="n">
        <v>4.2</v>
      </c>
      <c r="J352" t="n">
        <v>0</v>
      </c>
      <c r="K352" t="n">
        <v>0</v>
      </c>
      <c r="L352" t="n">
        <v>0</v>
      </c>
      <c r="M352" t="n">
        <v>0</v>
      </c>
      <c r="N352" t="n">
        <v>0</v>
      </c>
      <c r="O352" t="n">
        <v>0</v>
      </c>
      <c r="P352" t="n">
        <v>0</v>
      </c>
      <c r="Q352" t="n">
        <v>0</v>
      </c>
      <c r="R352" t="n">
        <v>0</v>
      </c>
      <c r="S352" t="n">
        <v>0</v>
      </c>
      <c r="T352" t="n">
        <v>0</v>
      </c>
      <c r="U352" t="n">
        <v>0</v>
      </c>
      <c r="V352" s="2" t="inlineStr"/>
    </row>
    <row r="353" ht="15" customHeight="1">
      <c r="A353" t="inlineStr">
        <is>
          <t>A 50428-2025</t>
        </is>
      </c>
      <c r="B353" t="inlineStr">
        <is>
          <t>avverkningsanmälan</t>
        </is>
      </c>
      <c r="C353" t="inlineStr">
        <is>
          <t>Föryngringsavverkning</t>
        </is>
      </c>
      <c r="D353" s="1" t="n">
        <v>45944</v>
      </c>
      <c r="E353" s="1" t="n">
        <v>46312</v>
      </c>
      <c r="F353" t="inlineStr">
        <is>
          <t>JÄMTLANDS LÄN</t>
        </is>
      </c>
      <c r="G353" t="inlineStr">
        <is>
          <t>ÖSTERSUND</t>
        </is>
      </c>
      <c r="H353" t="inlineStr">
        <is>
          <t>SCA</t>
        </is>
      </c>
      <c r="I353" t="n">
        <v>4.9</v>
      </c>
      <c r="J353" t="n">
        <v>0</v>
      </c>
      <c r="K353" t="n">
        <v>0</v>
      </c>
      <c r="L353" t="n">
        <v>0</v>
      </c>
      <c r="M353" t="n">
        <v>0</v>
      </c>
      <c r="N353" t="n">
        <v>0</v>
      </c>
      <c r="O353" t="n">
        <v>0</v>
      </c>
      <c r="P353" t="n">
        <v>0</v>
      </c>
      <c r="Q353" t="n">
        <v>0</v>
      </c>
      <c r="R353" t="n">
        <v>0</v>
      </c>
      <c r="S353" t="n">
        <v>0</v>
      </c>
      <c r="T353" t="n">
        <v>0</v>
      </c>
      <c r="U353" t="n">
        <v>0</v>
      </c>
      <c r="V353" s="2" t="inlineStr"/>
    </row>
    <row r="354" ht="15" customHeight="1">
      <c r="A354" t="inlineStr">
        <is>
          <t>A 61449-2024</t>
        </is>
      </c>
      <c r="B354" t="inlineStr">
        <is>
          <t>avverkningsanmälan</t>
        </is>
      </c>
      <c r="C354" t="inlineStr">
        <is>
          <t>Avverkning för att bevara och utveckla /försöksver</t>
        </is>
      </c>
      <c r="D354" s="1" t="n">
        <v>45646</v>
      </c>
      <c r="E354" s="1" t="n">
        <v>46312</v>
      </c>
      <c r="F354" t="inlineStr">
        <is>
          <t>JÄMTLANDS LÄN</t>
        </is>
      </c>
      <c r="G354" t="inlineStr">
        <is>
          <t>ÖSTERSUND</t>
        </is>
      </c>
      <c r="H354" t="inlineStr">
        <is>
          <t>SCA</t>
        </is>
      </c>
      <c r="I354" t="n">
        <v>2.7</v>
      </c>
      <c r="J354" t="n">
        <v>0</v>
      </c>
      <c r="K354" t="n">
        <v>0</v>
      </c>
      <c r="L354" t="n">
        <v>0</v>
      </c>
      <c r="M354" t="n">
        <v>0</v>
      </c>
      <c r="N354" t="n">
        <v>0</v>
      </c>
      <c r="O354" t="n">
        <v>0</v>
      </c>
      <c r="P354" t="n">
        <v>0</v>
      </c>
      <c r="Q354" t="n">
        <v>0</v>
      </c>
      <c r="R354" t="n">
        <v>0</v>
      </c>
      <c r="S354" t="n">
        <v>0</v>
      </c>
      <c r="T354" t="n">
        <v>0</v>
      </c>
      <c r="U354" t="n">
        <v>0</v>
      </c>
      <c r="V354" s="2" t="inlineStr"/>
    </row>
    <row r="355" ht="15" customHeight="1">
      <c r="A355" t="inlineStr">
        <is>
          <t>A 61450-2024</t>
        </is>
      </c>
      <c r="B355" t="inlineStr">
        <is>
          <t>avverkningsanmälan</t>
        </is>
      </c>
      <c r="C355" t="inlineStr">
        <is>
          <t>Avverkning för att bevara och utveckla /försöksver</t>
        </is>
      </c>
      <c r="D355" s="1" t="n">
        <v>45646</v>
      </c>
      <c r="E355" s="1" t="n">
        <v>46312</v>
      </c>
      <c r="F355" t="inlineStr">
        <is>
          <t>JÄMTLANDS LÄN</t>
        </is>
      </c>
      <c r="G355" t="inlineStr">
        <is>
          <t>ÖSTERSUND</t>
        </is>
      </c>
      <c r="H355" t="inlineStr">
        <is>
          <t>SCA</t>
        </is>
      </c>
      <c r="I355" t="n">
        <v>0.5</v>
      </c>
      <c r="J355" t="n">
        <v>0</v>
      </c>
      <c r="K355" t="n">
        <v>0</v>
      </c>
      <c r="L355" t="n">
        <v>0</v>
      </c>
      <c r="M355" t="n">
        <v>0</v>
      </c>
      <c r="N355" t="n">
        <v>0</v>
      </c>
      <c r="O355" t="n">
        <v>0</v>
      </c>
      <c r="P355" t="n">
        <v>0</v>
      </c>
      <c r="Q355" t="n">
        <v>0</v>
      </c>
      <c r="R355" t="n">
        <v>0</v>
      </c>
      <c r="S355" t="n">
        <v>0</v>
      </c>
      <c r="T355" t="n">
        <v>0</v>
      </c>
      <c r="U355" t="n">
        <v>0</v>
      </c>
      <c r="V355" s="2" t="inlineStr"/>
    </row>
    <row r="356" ht="15" customHeight="1">
      <c r="A356" t="inlineStr">
        <is>
          <t>A 8261-2025</t>
        </is>
      </c>
      <c r="B356" t="inlineStr">
        <is>
          <t>avverkningsanmälan</t>
        </is>
      </c>
      <c r="C356" t="inlineStr">
        <is>
          <t>Föryngringsavverkning</t>
        </is>
      </c>
      <c r="D356" s="1" t="n">
        <v>45708</v>
      </c>
      <c r="E356" s="1" t="n">
        <v>46312</v>
      </c>
      <c r="F356" t="inlineStr">
        <is>
          <t>JÄMTLANDS LÄN</t>
        </is>
      </c>
      <c r="G356" t="inlineStr">
        <is>
          <t>ÖSTERSUND</t>
        </is>
      </c>
      <c r="I356" t="n">
        <v>5.4</v>
      </c>
      <c r="J356" t="n">
        <v>0</v>
      </c>
      <c r="K356" t="n">
        <v>0</v>
      </c>
      <c r="L356" t="n">
        <v>0</v>
      </c>
      <c r="M356" t="n">
        <v>0</v>
      </c>
      <c r="N356" t="n">
        <v>0</v>
      </c>
      <c r="O356" t="n">
        <v>0</v>
      </c>
      <c r="P356" t="n">
        <v>0</v>
      </c>
      <c r="Q356" t="n">
        <v>0</v>
      </c>
      <c r="R356" t="n">
        <v>0</v>
      </c>
      <c r="S356" t="n">
        <v>0</v>
      </c>
      <c r="T356" t="n">
        <v>0</v>
      </c>
      <c r="U356" t="n">
        <v>0</v>
      </c>
      <c r="V356" s="2" t="inlineStr"/>
    </row>
    <row r="357" ht="15" customHeight="1">
      <c r="A357" t="inlineStr">
        <is>
          <t>A 5024-2025</t>
        </is>
      </c>
      <c r="B357" t="inlineStr">
        <is>
          <t>avverkningsanmälan</t>
        </is>
      </c>
      <c r="C357" t="inlineStr">
        <is>
          <t>Föryngringsavverkning</t>
        </is>
      </c>
      <c r="D357" s="1" t="n">
        <v>45691</v>
      </c>
      <c r="E357" s="1" t="n">
        <v>46312</v>
      </c>
      <c r="F357" t="inlineStr">
        <is>
          <t>JÄMTLANDS LÄN</t>
        </is>
      </c>
      <c r="G357" t="inlineStr">
        <is>
          <t>ÖSTERSUND</t>
        </is>
      </c>
      <c r="I357" t="n">
        <v>0.9</v>
      </c>
      <c r="J357" t="n">
        <v>0</v>
      </c>
      <c r="K357" t="n">
        <v>0</v>
      </c>
      <c r="L357" t="n">
        <v>0</v>
      </c>
      <c r="M357" t="n">
        <v>0</v>
      </c>
      <c r="N357" t="n">
        <v>0</v>
      </c>
      <c r="O357" t="n">
        <v>0</v>
      </c>
      <c r="P357" t="n">
        <v>0</v>
      </c>
      <c r="Q357" t="n">
        <v>0</v>
      </c>
      <c r="R357" t="n">
        <v>0</v>
      </c>
      <c r="S357" t="n">
        <v>0</v>
      </c>
      <c r="T357" t="n">
        <v>0</v>
      </c>
      <c r="U357" t="n">
        <v>0</v>
      </c>
      <c r="V357" s="2" t="inlineStr"/>
    </row>
    <row r="358" ht="15" customHeight="1">
      <c r="A358" t="inlineStr">
        <is>
          <t>A 7941-2025</t>
        </is>
      </c>
      <c r="B358" t="inlineStr">
        <is>
          <t>avverkningsanmälan</t>
        </is>
      </c>
      <c r="C358" t="inlineStr">
        <is>
          <t>Föryngringsavverkning</t>
        </is>
      </c>
      <c r="D358" s="1" t="n">
        <v>45707</v>
      </c>
      <c r="E358" s="1" t="n">
        <v>46312</v>
      </c>
      <c r="F358" t="inlineStr">
        <is>
          <t>JÄMTLANDS LÄN</t>
        </is>
      </c>
      <c r="G358" t="inlineStr">
        <is>
          <t>ÖSTERSUND</t>
        </is>
      </c>
      <c r="I358" t="n">
        <v>2</v>
      </c>
      <c r="J358" t="n">
        <v>0</v>
      </c>
      <c r="K358" t="n">
        <v>0</v>
      </c>
      <c r="L358" t="n">
        <v>0</v>
      </c>
      <c r="M358" t="n">
        <v>0</v>
      </c>
      <c r="N358" t="n">
        <v>0</v>
      </c>
      <c r="O358" t="n">
        <v>0</v>
      </c>
      <c r="P358" t="n">
        <v>0</v>
      </c>
      <c r="Q358" t="n">
        <v>0</v>
      </c>
      <c r="R358" t="n">
        <v>0</v>
      </c>
      <c r="S358" t="n">
        <v>0</v>
      </c>
      <c r="T358" t="n">
        <v>0</v>
      </c>
      <c r="U358" t="n">
        <v>0</v>
      </c>
      <c r="V358" s="2" t="inlineStr"/>
    </row>
    <row r="359" ht="15" customHeight="1">
      <c r="A359" t="inlineStr">
        <is>
          <t>A 5549-2025</t>
        </is>
      </c>
      <c r="B359" t="inlineStr">
        <is>
          <t>avverkningsanmälan</t>
        </is>
      </c>
      <c r="C359" t="inlineStr">
        <is>
          <t>Föryngringsavverkning</t>
        </is>
      </c>
      <c r="D359" s="1" t="n">
        <v>45693</v>
      </c>
      <c r="E359" s="1" t="n">
        <v>46312</v>
      </c>
      <c r="F359" t="inlineStr">
        <is>
          <t>JÄMTLANDS LÄN</t>
        </is>
      </c>
      <c r="G359" t="inlineStr">
        <is>
          <t>ÖSTERSUND</t>
        </is>
      </c>
      <c r="I359" t="n">
        <v>1.5</v>
      </c>
      <c r="J359" t="n">
        <v>0</v>
      </c>
      <c r="K359" t="n">
        <v>0</v>
      </c>
      <c r="L359" t="n">
        <v>0</v>
      </c>
      <c r="M359" t="n">
        <v>0</v>
      </c>
      <c r="N359" t="n">
        <v>0</v>
      </c>
      <c r="O359" t="n">
        <v>0</v>
      </c>
      <c r="P359" t="n">
        <v>0</v>
      </c>
      <c r="Q359" t="n">
        <v>0</v>
      </c>
      <c r="R359" t="n">
        <v>0</v>
      </c>
      <c r="S359" t="n">
        <v>0</v>
      </c>
      <c r="T359" t="n">
        <v>0</v>
      </c>
      <c r="U359" t="n">
        <v>0</v>
      </c>
      <c r="V359" s="2" t="inlineStr"/>
    </row>
    <row r="360" ht="15" customHeight="1">
      <c r="A360" t="inlineStr">
        <is>
          <t>A 61506-2023</t>
        </is>
      </c>
      <c r="B360" t="inlineStr">
        <is>
          <t>avverkningsanmälan</t>
        </is>
      </c>
      <c r="C360" t="inlineStr">
        <is>
          <t>Avverkning för annat ändamål</t>
        </is>
      </c>
      <c r="D360" s="1" t="n">
        <v>45264</v>
      </c>
      <c r="E360" s="1" t="n">
        <v>46312</v>
      </c>
      <c r="F360" t="inlineStr">
        <is>
          <t>JÄMTLANDS LÄN</t>
        </is>
      </c>
      <c r="G360" t="inlineStr">
        <is>
          <t>ÖSTERSUND</t>
        </is>
      </c>
      <c r="I360" t="n">
        <v>3</v>
      </c>
      <c r="J360" t="n">
        <v>0</v>
      </c>
      <c r="K360" t="n">
        <v>0</v>
      </c>
      <c r="L360" t="n">
        <v>0</v>
      </c>
      <c r="M360" t="n">
        <v>0</v>
      </c>
      <c r="N360" t="n">
        <v>0</v>
      </c>
      <c r="O360" t="n">
        <v>0</v>
      </c>
      <c r="P360" t="n">
        <v>0</v>
      </c>
      <c r="Q360" t="n">
        <v>0</v>
      </c>
      <c r="R360" t="n">
        <v>0</v>
      </c>
      <c r="S360" t="n">
        <v>0</v>
      </c>
      <c r="T360" t="n">
        <v>0</v>
      </c>
      <c r="U360" t="n">
        <v>0</v>
      </c>
      <c r="V360" s="2" t="inlineStr"/>
    </row>
    <row r="361" ht="15" customHeight="1">
      <c r="A361" t="inlineStr">
        <is>
          <t>A 22385-2026</t>
        </is>
      </c>
      <c r="B361" t="inlineStr">
        <is>
          <t>avverkningsanmälan</t>
        </is>
      </c>
      <c r="C361" t="inlineStr">
        <is>
          <t>Föryngringsavverkning</t>
        </is>
      </c>
      <c r="D361" s="1" t="n">
        <v>46154</v>
      </c>
      <c r="E361" s="1" t="n">
        <v>46312</v>
      </c>
      <c r="F361" t="inlineStr">
        <is>
          <t>JÄMTLANDS LÄN</t>
        </is>
      </c>
      <c r="G361" t="inlineStr">
        <is>
          <t>ÖSTERSUND</t>
        </is>
      </c>
      <c r="H361" t="inlineStr">
        <is>
          <t>SCA</t>
        </is>
      </c>
      <c r="I361" t="n">
        <v>6.6</v>
      </c>
      <c r="J361" t="n">
        <v>0</v>
      </c>
      <c r="K361" t="n">
        <v>0</v>
      </c>
      <c r="L361" t="n">
        <v>0</v>
      </c>
      <c r="M361" t="n">
        <v>0</v>
      </c>
      <c r="N361" t="n">
        <v>0</v>
      </c>
      <c r="O361" t="n">
        <v>0</v>
      </c>
      <c r="P361" t="n">
        <v>0</v>
      </c>
      <c r="Q361" t="n">
        <v>0</v>
      </c>
      <c r="R361" t="n">
        <v>0</v>
      </c>
      <c r="S361" t="n">
        <v>0</v>
      </c>
      <c r="T361" t="n">
        <v>0</v>
      </c>
      <c r="U361" t="n">
        <v>0</v>
      </c>
      <c r="V361" s="2" t="inlineStr"/>
    </row>
    <row r="362" ht="15" customHeight="1">
      <c r="A362" t="inlineStr">
        <is>
          <t>A 53054-2025</t>
        </is>
      </c>
      <c r="B362" t="inlineStr">
        <is>
          <t>avverkningsanmälan</t>
        </is>
      </c>
      <c r="C362" t="inlineStr">
        <is>
          <t>Föryngringsavverkning</t>
        </is>
      </c>
      <c r="D362" s="1" t="n">
        <v>45958</v>
      </c>
      <c r="E362" s="1" t="n">
        <v>46312</v>
      </c>
      <c r="F362" t="inlineStr">
        <is>
          <t>JÄMTLANDS LÄN</t>
        </is>
      </c>
      <c r="G362" t="inlineStr">
        <is>
          <t>ÖSTERSUND</t>
        </is>
      </c>
      <c r="H362" t="inlineStr">
        <is>
          <t>SCA</t>
        </is>
      </c>
      <c r="I362" t="n">
        <v>2.6</v>
      </c>
      <c r="J362" t="n">
        <v>0</v>
      </c>
      <c r="K362" t="n">
        <v>0</v>
      </c>
      <c r="L362" t="n">
        <v>0</v>
      </c>
      <c r="M362" t="n">
        <v>0</v>
      </c>
      <c r="N362" t="n">
        <v>0</v>
      </c>
      <c r="O362" t="n">
        <v>0</v>
      </c>
      <c r="P362" t="n">
        <v>0</v>
      </c>
      <c r="Q362" t="n">
        <v>0</v>
      </c>
      <c r="R362" t="n">
        <v>0</v>
      </c>
      <c r="S362" t="n">
        <v>0</v>
      </c>
      <c r="T362" t="n">
        <v>0</v>
      </c>
      <c r="U362" t="n">
        <v>0</v>
      </c>
      <c r="V362" s="2" t="inlineStr"/>
    </row>
    <row r="363" ht="15" customHeight="1">
      <c r="A363" t="inlineStr">
        <is>
          <t>A 56067-2022</t>
        </is>
      </c>
      <c r="B363" t="inlineStr">
        <is>
          <t>avverkningsanmälan</t>
        </is>
      </c>
      <c r="C363" t="inlineStr">
        <is>
          <t>Föryngringsavverkning</t>
        </is>
      </c>
      <c r="D363" s="1" t="n">
        <v>44889</v>
      </c>
      <c r="E363" s="1" t="n">
        <v>46312</v>
      </c>
      <c r="F363" t="inlineStr">
        <is>
          <t>JÄMTLANDS LÄN</t>
        </is>
      </c>
      <c r="G363" t="inlineStr">
        <is>
          <t>ÖSTERSUND</t>
        </is>
      </c>
      <c r="H363" t="inlineStr">
        <is>
          <t>Övriga Aktiebolag</t>
        </is>
      </c>
      <c r="I363" t="n">
        <v>1.5</v>
      </c>
      <c r="J363" t="n">
        <v>0</v>
      </c>
      <c r="K363" t="n">
        <v>0</v>
      </c>
      <c r="L363" t="n">
        <v>0</v>
      </c>
      <c r="M363" t="n">
        <v>0</v>
      </c>
      <c r="N363" t="n">
        <v>0</v>
      </c>
      <c r="O363" t="n">
        <v>0</v>
      </c>
      <c r="P363" t="n">
        <v>0</v>
      </c>
      <c r="Q363" t="n">
        <v>0</v>
      </c>
      <c r="R363" t="n">
        <v>0</v>
      </c>
      <c r="S363" t="n">
        <v>0</v>
      </c>
      <c r="T363" t="n">
        <v>0</v>
      </c>
      <c r="U363" t="n">
        <v>0</v>
      </c>
      <c r="V363" s="2" t="inlineStr"/>
    </row>
    <row r="364" ht="15" customHeight="1">
      <c r="A364" t="inlineStr">
        <is>
          <t>A 22677-2026</t>
        </is>
      </c>
      <c r="B364" t="inlineStr">
        <is>
          <t>avverkningsanmälan</t>
        </is>
      </c>
      <c r="C364" t="inlineStr">
        <is>
          <t>Föryngringsavverkning</t>
        </is>
      </c>
      <c r="D364" s="1" t="n">
        <v>46156</v>
      </c>
      <c r="E364" s="1" t="n">
        <v>46312</v>
      </c>
      <c r="F364" t="inlineStr">
        <is>
          <t>JÄMTLANDS LÄN</t>
        </is>
      </c>
      <c r="G364" t="inlineStr">
        <is>
          <t>ÖSTERSUND</t>
        </is>
      </c>
      <c r="H364" t="inlineStr">
        <is>
          <t>SCA</t>
        </is>
      </c>
      <c r="I364" t="n">
        <v>2.2</v>
      </c>
      <c r="J364" t="n">
        <v>0</v>
      </c>
      <c r="K364" t="n">
        <v>0</v>
      </c>
      <c r="L364" t="n">
        <v>0</v>
      </c>
      <c r="M364" t="n">
        <v>0</v>
      </c>
      <c r="N364" t="n">
        <v>0</v>
      </c>
      <c r="O364" t="n">
        <v>0</v>
      </c>
      <c r="P364" t="n">
        <v>0</v>
      </c>
      <c r="Q364" t="n">
        <v>0</v>
      </c>
      <c r="R364" t="n">
        <v>0</v>
      </c>
      <c r="S364" t="n">
        <v>0</v>
      </c>
      <c r="T364" t="n">
        <v>0</v>
      </c>
      <c r="U364" t="n">
        <v>0</v>
      </c>
      <c r="V364" s="2" t="inlineStr"/>
    </row>
    <row r="365" ht="15" customHeight="1">
      <c r="A365" t="inlineStr">
        <is>
          <t>A 38871-2025</t>
        </is>
      </c>
      <c r="B365" t="inlineStr">
        <is>
          <t>avverkningsanmälan</t>
        </is>
      </c>
      <c r="C365" t="inlineStr">
        <is>
          <t>Föryngringsavverkning</t>
        </is>
      </c>
      <c r="D365" s="1" t="n">
        <v>45887</v>
      </c>
      <c r="E365" s="1" t="n">
        <v>46312</v>
      </c>
      <c r="F365" t="inlineStr">
        <is>
          <t>JÄMTLANDS LÄN</t>
        </is>
      </c>
      <c r="G365" t="inlineStr">
        <is>
          <t>ÖSTERSUND</t>
        </is>
      </c>
      <c r="I365" t="n">
        <v>3</v>
      </c>
      <c r="J365" t="n">
        <v>0</v>
      </c>
      <c r="K365" t="n">
        <v>0</v>
      </c>
      <c r="L365" t="n">
        <v>0</v>
      </c>
      <c r="M365" t="n">
        <v>0</v>
      </c>
      <c r="N365" t="n">
        <v>0</v>
      </c>
      <c r="O365" t="n">
        <v>0</v>
      </c>
      <c r="P365" t="n">
        <v>0</v>
      </c>
      <c r="Q365" t="n">
        <v>0</v>
      </c>
      <c r="R365" t="n">
        <v>0</v>
      </c>
      <c r="S365" t="n">
        <v>0</v>
      </c>
      <c r="T365" t="n">
        <v>0</v>
      </c>
      <c r="U365" t="n">
        <v>0</v>
      </c>
      <c r="V365" s="2" t="inlineStr"/>
    </row>
    <row r="366" ht="15" customHeight="1">
      <c r="A366" t="inlineStr">
        <is>
          <t>A 17560-2026</t>
        </is>
      </c>
      <c r="B366" t="inlineStr">
        <is>
          <t>avverkningsanmälan</t>
        </is>
      </c>
      <c r="C366" t="inlineStr">
        <is>
          <t>Föryngringsavverkning</t>
        </is>
      </c>
      <c r="D366" s="1" t="n">
        <v>46120</v>
      </c>
      <c r="E366" s="1" t="n">
        <v>46312</v>
      </c>
      <c r="F366" t="inlineStr">
        <is>
          <t>JÄMTLANDS LÄN</t>
        </is>
      </c>
      <c r="G366" t="inlineStr">
        <is>
          <t>ÖSTERSUND</t>
        </is>
      </c>
      <c r="I366" t="n">
        <v>3.9</v>
      </c>
      <c r="J366" t="n">
        <v>0</v>
      </c>
      <c r="K366" t="n">
        <v>0</v>
      </c>
      <c r="L366" t="n">
        <v>0</v>
      </c>
      <c r="M366" t="n">
        <v>0</v>
      </c>
      <c r="N366" t="n">
        <v>0</v>
      </c>
      <c r="O366" t="n">
        <v>0</v>
      </c>
      <c r="P366" t="n">
        <v>0</v>
      </c>
      <c r="Q366" t="n">
        <v>0</v>
      </c>
      <c r="R366" t="n">
        <v>0</v>
      </c>
      <c r="S366" t="n">
        <v>0</v>
      </c>
      <c r="T366" t="n">
        <v>0</v>
      </c>
      <c r="U366" t="n">
        <v>0</v>
      </c>
      <c r="V366" s="2" t="inlineStr"/>
    </row>
    <row r="367" ht="15" customHeight="1">
      <c r="A367" t="inlineStr">
        <is>
          <t>A 4500-2025</t>
        </is>
      </c>
      <c r="B367" t="inlineStr">
        <is>
          <t>avverkningsanmälan</t>
        </is>
      </c>
      <c r="C367" t="inlineStr">
        <is>
          <t>Föryngringsavverkning</t>
        </is>
      </c>
      <c r="D367" s="1" t="n">
        <v>45686</v>
      </c>
      <c r="E367" s="1" t="n">
        <v>46312</v>
      </c>
      <c r="F367" t="inlineStr">
        <is>
          <t>JÄMTLANDS LÄN</t>
        </is>
      </c>
      <c r="G367" t="inlineStr">
        <is>
          <t>ÖSTERSUND</t>
        </is>
      </c>
      <c r="I367" t="n">
        <v>28.4</v>
      </c>
      <c r="J367" t="n">
        <v>0</v>
      </c>
      <c r="K367" t="n">
        <v>0</v>
      </c>
      <c r="L367" t="n">
        <v>0</v>
      </c>
      <c r="M367" t="n">
        <v>0</v>
      </c>
      <c r="N367" t="n">
        <v>0</v>
      </c>
      <c r="O367" t="n">
        <v>0</v>
      </c>
      <c r="P367" t="n">
        <v>0</v>
      </c>
      <c r="Q367" t="n">
        <v>0</v>
      </c>
      <c r="R367" t="n">
        <v>0</v>
      </c>
      <c r="S367" t="n">
        <v>0</v>
      </c>
      <c r="T367" t="n">
        <v>0</v>
      </c>
      <c r="U367" t="n">
        <v>0</v>
      </c>
      <c r="V367" s="2" t="inlineStr"/>
    </row>
    <row r="368" ht="15" customHeight="1">
      <c r="A368" t="inlineStr">
        <is>
          <t>A 14518-2023</t>
        </is>
      </c>
      <c r="B368" t="inlineStr">
        <is>
          <t>avverkningsanmälan</t>
        </is>
      </c>
      <c r="C368" t="inlineStr">
        <is>
          <t>Föryngringsavverkning</t>
        </is>
      </c>
      <c r="D368" s="1" t="n">
        <v>45012</v>
      </c>
      <c r="E368" s="1" t="n">
        <v>46312</v>
      </c>
      <c r="F368" t="inlineStr">
        <is>
          <t>JÄMTLANDS LÄN</t>
        </is>
      </c>
      <c r="G368" t="inlineStr">
        <is>
          <t>ÖSTERSUND</t>
        </is>
      </c>
      <c r="I368" t="n">
        <v>14.4</v>
      </c>
      <c r="J368" t="n">
        <v>0</v>
      </c>
      <c r="K368" t="n">
        <v>0</v>
      </c>
      <c r="L368" t="n">
        <v>0</v>
      </c>
      <c r="M368" t="n">
        <v>0</v>
      </c>
      <c r="N368" t="n">
        <v>0</v>
      </c>
      <c r="O368" t="n">
        <v>0</v>
      </c>
      <c r="P368" t="n">
        <v>0</v>
      </c>
      <c r="Q368" t="n">
        <v>0</v>
      </c>
      <c r="R368" t="n">
        <v>0</v>
      </c>
      <c r="S368" t="n">
        <v>0</v>
      </c>
      <c r="T368" t="n">
        <v>0</v>
      </c>
      <c r="U368" t="n">
        <v>0</v>
      </c>
      <c r="V368" s="2" t="inlineStr"/>
    </row>
    <row r="369" ht="15" customHeight="1">
      <c r="A369" t="inlineStr">
        <is>
          <t>A 54133-2025</t>
        </is>
      </c>
      <c r="B369" t="inlineStr">
        <is>
          <t>avverkningsanmälan</t>
        </is>
      </c>
      <c r="C369" t="inlineStr">
        <is>
          <t>Föryngringsavverkning</t>
        </is>
      </c>
      <c r="D369" s="1" t="n">
        <v>45964</v>
      </c>
      <c r="E369" s="1" t="n">
        <v>46312</v>
      </c>
      <c r="F369" t="inlineStr">
        <is>
          <t>JÄMTLANDS LÄN</t>
        </is>
      </c>
      <c r="G369" t="inlineStr">
        <is>
          <t>ÖSTERSUND</t>
        </is>
      </c>
      <c r="H369" t="inlineStr">
        <is>
          <t>SCA</t>
        </is>
      </c>
      <c r="I369" t="n">
        <v>1.1</v>
      </c>
      <c r="J369" t="n">
        <v>0</v>
      </c>
      <c r="K369" t="n">
        <v>0</v>
      </c>
      <c r="L369" t="n">
        <v>0</v>
      </c>
      <c r="M369" t="n">
        <v>0</v>
      </c>
      <c r="N369" t="n">
        <v>0</v>
      </c>
      <c r="O369" t="n">
        <v>0</v>
      </c>
      <c r="P369" t="n">
        <v>0</v>
      </c>
      <c r="Q369" t="n">
        <v>0</v>
      </c>
      <c r="R369" t="n">
        <v>0</v>
      </c>
      <c r="S369" t="n">
        <v>0</v>
      </c>
      <c r="T369" t="n">
        <v>0</v>
      </c>
      <c r="U369" t="n">
        <v>0</v>
      </c>
      <c r="V369" s="2" t="inlineStr"/>
    </row>
    <row r="370" ht="15" customHeight="1">
      <c r="A370" t="inlineStr">
        <is>
          <t>A 30602-2023</t>
        </is>
      </c>
      <c r="B370" t="inlineStr">
        <is>
          <t>avverkningsanmälan</t>
        </is>
      </c>
      <c r="C370" t="inlineStr">
        <is>
          <t>Föryngringsavverkning</t>
        </is>
      </c>
      <c r="D370" s="1" t="n">
        <v>45112</v>
      </c>
      <c r="E370" s="1" t="n">
        <v>46312</v>
      </c>
      <c r="F370" t="inlineStr">
        <is>
          <t>JÄMTLANDS LÄN</t>
        </is>
      </c>
      <c r="G370" t="inlineStr">
        <is>
          <t>ÖSTERSUND</t>
        </is>
      </c>
      <c r="I370" t="n">
        <v>0.5</v>
      </c>
      <c r="J370" t="n">
        <v>0</v>
      </c>
      <c r="K370" t="n">
        <v>0</v>
      </c>
      <c r="L370" t="n">
        <v>0</v>
      </c>
      <c r="M370" t="n">
        <v>0</v>
      </c>
      <c r="N370" t="n">
        <v>0</v>
      </c>
      <c r="O370" t="n">
        <v>0</v>
      </c>
      <c r="P370" t="n">
        <v>0</v>
      </c>
      <c r="Q370" t="n">
        <v>0</v>
      </c>
      <c r="R370" t="n">
        <v>0</v>
      </c>
      <c r="S370" t="n">
        <v>0</v>
      </c>
      <c r="T370" t="n">
        <v>0</v>
      </c>
      <c r="U370" t="n">
        <v>0</v>
      </c>
      <c r="V370" s="2" t="inlineStr"/>
    </row>
    <row r="371" ht="15" customHeight="1">
      <c r="A371" t="inlineStr">
        <is>
          <t>A 1211-2025</t>
        </is>
      </c>
      <c r="B371" t="inlineStr">
        <is>
          <t>avverkningsanmälan</t>
        </is>
      </c>
      <c r="C371" t="inlineStr">
        <is>
          <t>Föryngringsavverkning</t>
        </is>
      </c>
      <c r="D371" s="1" t="n">
        <v>45667</v>
      </c>
      <c r="E371" s="1" t="n">
        <v>46312</v>
      </c>
      <c r="F371" t="inlineStr">
        <is>
          <t>JÄMTLANDS LÄN</t>
        </is>
      </c>
      <c r="G371" t="inlineStr">
        <is>
          <t>ÖSTERSUND</t>
        </is>
      </c>
      <c r="H371" t="inlineStr">
        <is>
          <t>SCA</t>
        </is>
      </c>
      <c r="I371" t="n">
        <v>6.2</v>
      </c>
      <c r="J371" t="n">
        <v>0</v>
      </c>
      <c r="K371" t="n">
        <v>0</v>
      </c>
      <c r="L371" t="n">
        <v>0</v>
      </c>
      <c r="M371" t="n">
        <v>0</v>
      </c>
      <c r="N371" t="n">
        <v>0</v>
      </c>
      <c r="O371" t="n">
        <v>0</v>
      </c>
      <c r="P371" t="n">
        <v>0</v>
      </c>
      <c r="Q371" t="n">
        <v>0</v>
      </c>
      <c r="R371" t="n">
        <v>0</v>
      </c>
      <c r="S371" t="n">
        <v>0</v>
      </c>
      <c r="T371" t="n">
        <v>0</v>
      </c>
      <c r="U371" t="n">
        <v>0</v>
      </c>
      <c r="V371" s="2" t="inlineStr"/>
    </row>
    <row r="372" ht="15" customHeight="1">
      <c r="A372" t="inlineStr">
        <is>
          <t>A 27906-2024</t>
        </is>
      </c>
      <c r="B372" t="inlineStr">
        <is>
          <t>avverkningsanmälan</t>
        </is>
      </c>
      <c r="C372" t="inlineStr">
        <is>
          <t>Föryngringsavverkning</t>
        </is>
      </c>
      <c r="D372" s="1" t="n">
        <v>45475</v>
      </c>
      <c r="E372" s="1" t="n">
        <v>46312</v>
      </c>
      <c r="F372" t="inlineStr">
        <is>
          <t>JÄMTLANDS LÄN</t>
        </is>
      </c>
      <c r="G372" t="inlineStr">
        <is>
          <t>ÖSTERSUND</t>
        </is>
      </c>
      <c r="H372" t="inlineStr">
        <is>
          <t>SCA</t>
        </is>
      </c>
      <c r="I372" t="n">
        <v>0.6</v>
      </c>
      <c r="J372" t="n">
        <v>0</v>
      </c>
      <c r="K372" t="n">
        <v>0</v>
      </c>
      <c r="L372" t="n">
        <v>0</v>
      </c>
      <c r="M372" t="n">
        <v>0</v>
      </c>
      <c r="N372" t="n">
        <v>0</v>
      </c>
      <c r="O372" t="n">
        <v>0</v>
      </c>
      <c r="P372" t="n">
        <v>0</v>
      </c>
      <c r="Q372" t="n">
        <v>0</v>
      </c>
      <c r="R372" t="n">
        <v>0</v>
      </c>
      <c r="S372" t="n">
        <v>0</v>
      </c>
      <c r="T372" t="n">
        <v>0</v>
      </c>
      <c r="U372" t="n">
        <v>0</v>
      </c>
      <c r="V372" s="2" t="inlineStr"/>
    </row>
    <row r="373" ht="15" customHeight="1">
      <c r="A373" t="inlineStr">
        <is>
          <t>A 48696-2024</t>
        </is>
      </c>
      <c r="B373" t="inlineStr">
        <is>
          <t>avverkningsanmälan</t>
        </is>
      </c>
      <c r="C373" t="inlineStr">
        <is>
          <t>Föryngringsavverkning</t>
        </is>
      </c>
      <c r="D373" s="1" t="n">
        <v>45593</v>
      </c>
      <c r="E373" s="1" t="n">
        <v>46312</v>
      </c>
      <c r="F373" t="inlineStr">
        <is>
          <t>JÄMTLANDS LÄN</t>
        </is>
      </c>
      <c r="G373" t="inlineStr">
        <is>
          <t>ÖSTERSUND</t>
        </is>
      </c>
      <c r="H373" t="inlineStr">
        <is>
          <t>SCA</t>
        </is>
      </c>
      <c r="I373" t="n">
        <v>1.1</v>
      </c>
      <c r="J373" t="n">
        <v>0</v>
      </c>
      <c r="K373" t="n">
        <v>0</v>
      </c>
      <c r="L373" t="n">
        <v>0</v>
      </c>
      <c r="M373" t="n">
        <v>0</v>
      </c>
      <c r="N373" t="n">
        <v>0</v>
      </c>
      <c r="O373" t="n">
        <v>0</v>
      </c>
      <c r="P373" t="n">
        <v>0</v>
      </c>
      <c r="Q373" t="n">
        <v>0</v>
      </c>
      <c r="R373" t="n">
        <v>0</v>
      </c>
      <c r="S373" t="n">
        <v>0</v>
      </c>
      <c r="T373" t="n">
        <v>0</v>
      </c>
      <c r="U373" t="n">
        <v>0</v>
      </c>
      <c r="V373" s="2" t="inlineStr"/>
    </row>
    <row r="374" ht="15" customHeight="1">
      <c r="A374" t="inlineStr">
        <is>
          <t>A 48737-2024</t>
        </is>
      </c>
      <c r="B374" t="inlineStr">
        <is>
          <t>avverkningsanmälan</t>
        </is>
      </c>
      <c r="C374" t="inlineStr">
        <is>
          <t>Föryngringsavverkning</t>
        </is>
      </c>
      <c r="D374" s="1" t="n">
        <v>45593</v>
      </c>
      <c r="E374" s="1" t="n">
        <v>46312</v>
      </c>
      <c r="F374" t="inlineStr">
        <is>
          <t>JÄMTLANDS LÄN</t>
        </is>
      </c>
      <c r="G374" t="inlineStr">
        <is>
          <t>ÖSTERSUND</t>
        </is>
      </c>
      <c r="H374" t="inlineStr">
        <is>
          <t>SCA</t>
        </is>
      </c>
      <c r="I374" t="n">
        <v>2.3</v>
      </c>
      <c r="J374" t="n">
        <v>0</v>
      </c>
      <c r="K374" t="n">
        <v>0</v>
      </c>
      <c r="L374" t="n">
        <v>0</v>
      </c>
      <c r="M374" t="n">
        <v>0</v>
      </c>
      <c r="N374" t="n">
        <v>0</v>
      </c>
      <c r="O374" t="n">
        <v>0</v>
      </c>
      <c r="P374" t="n">
        <v>0</v>
      </c>
      <c r="Q374" t="n">
        <v>0</v>
      </c>
      <c r="R374" t="n">
        <v>0</v>
      </c>
      <c r="S374" t="n">
        <v>0</v>
      </c>
      <c r="T374" t="n">
        <v>0</v>
      </c>
      <c r="U374" t="n">
        <v>0</v>
      </c>
      <c r="V374" s="2" t="inlineStr"/>
    </row>
    <row r="375" ht="15" customHeight="1">
      <c r="A375" t="inlineStr">
        <is>
          <t>A 23610-2026</t>
        </is>
      </c>
      <c r="B375" t="inlineStr">
        <is>
          <t>avverkningsanmälan</t>
        </is>
      </c>
      <c r="C375" t="inlineStr">
        <is>
          <t>Föryngringsavverkning</t>
        </is>
      </c>
      <c r="D375" s="1" t="n">
        <v>46163</v>
      </c>
      <c r="E375" s="1" t="n">
        <v>46312</v>
      </c>
      <c r="F375" t="inlineStr">
        <is>
          <t>JÄMTLANDS LÄN</t>
        </is>
      </c>
      <c r="G375" t="inlineStr">
        <is>
          <t>ÖSTERSUND</t>
        </is>
      </c>
      <c r="I375" t="n">
        <v>7.8</v>
      </c>
      <c r="J375" t="n">
        <v>0</v>
      </c>
      <c r="K375" t="n">
        <v>0</v>
      </c>
      <c r="L375" t="n">
        <v>0</v>
      </c>
      <c r="M375" t="n">
        <v>0</v>
      </c>
      <c r="N375" t="n">
        <v>0</v>
      </c>
      <c r="O375" t="n">
        <v>0</v>
      </c>
      <c r="P375" t="n">
        <v>0</v>
      </c>
      <c r="Q375" t="n">
        <v>0</v>
      </c>
      <c r="R375" t="n">
        <v>0</v>
      </c>
      <c r="S375" t="n">
        <v>0</v>
      </c>
      <c r="T375" t="n">
        <v>0</v>
      </c>
      <c r="U375" t="n">
        <v>0</v>
      </c>
      <c r="V375" s="2" t="inlineStr"/>
    </row>
    <row r="376" ht="15" customHeight="1">
      <c r="A376" t="inlineStr">
        <is>
          <t>A 23484-2026</t>
        </is>
      </c>
      <c r="B376" t="inlineStr">
        <is>
          <t>avverkningsanmälan</t>
        </is>
      </c>
      <c r="C376" t="inlineStr">
        <is>
          <t>Föryngringsavverkning</t>
        </is>
      </c>
      <c r="D376" s="1" t="n">
        <v>46163</v>
      </c>
      <c r="E376" s="1" t="n">
        <v>46312</v>
      </c>
      <c r="F376" t="inlineStr">
        <is>
          <t>JÄMTLANDS LÄN</t>
        </is>
      </c>
      <c r="G376" t="inlineStr">
        <is>
          <t>ÖSTERSUND</t>
        </is>
      </c>
      <c r="I376" t="n">
        <v>6.8</v>
      </c>
      <c r="J376" t="n">
        <v>0</v>
      </c>
      <c r="K376" t="n">
        <v>0</v>
      </c>
      <c r="L376" t="n">
        <v>0</v>
      </c>
      <c r="M376" t="n">
        <v>0</v>
      </c>
      <c r="N376" t="n">
        <v>0</v>
      </c>
      <c r="O376" t="n">
        <v>0</v>
      </c>
      <c r="P376" t="n">
        <v>0</v>
      </c>
      <c r="Q376" t="n">
        <v>0</v>
      </c>
      <c r="R376" t="n">
        <v>0</v>
      </c>
      <c r="S376" t="n">
        <v>0</v>
      </c>
      <c r="T376" t="n">
        <v>0</v>
      </c>
      <c r="U376" t="n">
        <v>0</v>
      </c>
      <c r="V376" s="2" t="inlineStr"/>
    </row>
    <row r="377" ht="15" customHeight="1">
      <c r="A377" t="inlineStr">
        <is>
          <t>A 49788-2024</t>
        </is>
      </c>
      <c r="B377" t="inlineStr">
        <is>
          <t>avverkningsanmälan</t>
        </is>
      </c>
      <c r="C377" t="inlineStr">
        <is>
          <t>Föryngringsavverkning</t>
        </is>
      </c>
      <c r="D377" s="1" t="n">
        <v>45597</v>
      </c>
      <c r="E377" s="1" t="n">
        <v>46312</v>
      </c>
      <c r="F377" t="inlineStr">
        <is>
          <t>JÄMTLANDS LÄN</t>
        </is>
      </c>
      <c r="G377" t="inlineStr">
        <is>
          <t>ÖSTERSUND</t>
        </is>
      </c>
      <c r="H377" t="inlineStr">
        <is>
          <t>SCA</t>
        </is>
      </c>
      <c r="I377" t="n">
        <v>0.9</v>
      </c>
      <c r="J377" t="n">
        <v>0</v>
      </c>
      <c r="K377" t="n">
        <v>0</v>
      </c>
      <c r="L377" t="n">
        <v>0</v>
      </c>
      <c r="M377" t="n">
        <v>0</v>
      </c>
      <c r="N377" t="n">
        <v>0</v>
      </c>
      <c r="O377" t="n">
        <v>0</v>
      </c>
      <c r="P377" t="n">
        <v>0</v>
      </c>
      <c r="Q377" t="n">
        <v>0</v>
      </c>
      <c r="R377" t="n">
        <v>0</v>
      </c>
      <c r="S377" t="n">
        <v>0</v>
      </c>
      <c r="T377" t="n">
        <v>0</v>
      </c>
      <c r="U377" t="n">
        <v>0</v>
      </c>
      <c r="V377" s="2" t="inlineStr"/>
    </row>
    <row r="378" ht="15" customHeight="1">
      <c r="A378" t="inlineStr">
        <is>
          <t>A 4901-2025</t>
        </is>
      </c>
      <c r="B378" t="inlineStr">
        <is>
          <t>avverkningsanmälan</t>
        </is>
      </c>
      <c r="C378" t="inlineStr">
        <is>
          <t>Föryngringsavverkning</t>
        </is>
      </c>
      <c r="D378" s="1" t="n">
        <v>45688</v>
      </c>
      <c r="E378" s="1" t="n">
        <v>46312</v>
      </c>
      <c r="F378" t="inlineStr">
        <is>
          <t>JÄMTLANDS LÄN</t>
        </is>
      </c>
      <c r="G378" t="inlineStr">
        <is>
          <t>ÖSTERSUND</t>
        </is>
      </c>
      <c r="H378" t="inlineStr">
        <is>
          <t>SCA</t>
        </is>
      </c>
      <c r="I378" t="n">
        <v>2.6</v>
      </c>
      <c r="J378" t="n">
        <v>0</v>
      </c>
      <c r="K378" t="n">
        <v>0</v>
      </c>
      <c r="L378" t="n">
        <v>0</v>
      </c>
      <c r="M378" t="n">
        <v>0</v>
      </c>
      <c r="N378" t="n">
        <v>0</v>
      </c>
      <c r="O378" t="n">
        <v>0</v>
      </c>
      <c r="P378" t="n">
        <v>0</v>
      </c>
      <c r="Q378" t="n">
        <v>0</v>
      </c>
      <c r="R378" t="n">
        <v>0</v>
      </c>
      <c r="S378" t="n">
        <v>0</v>
      </c>
      <c r="T378" t="n">
        <v>0</v>
      </c>
      <c r="U378" t="n">
        <v>0</v>
      </c>
      <c r="V378" s="2" t="inlineStr"/>
    </row>
    <row r="379" ht="15" customHeight="1">
      <c r="A379" t="inlineStr">
        <is>
          <t>A 23460-2026</t>
        </is>
      </c>
      <c r="B379" t="inlineStr">
        <is>
          <t>avverkningsanmälan</t>
        </is>
      </c>
      <c r="C379" t="inlineStr">
        <is>
          <t>Föryngringsavverkning</t>
        </is>
      </c>
      <c r="D379" s="1" t="n">
        <v>46163</v>
      </c>
      <c r="E379" s="1" t="n">
        <v>46312</v>
      </c>
      <c r="F379" t="inlineStr">
        <is>
          <t>JÄMTLANDS LÄN</t>
        </is>
      </c>
      <c r="G379" t="inlineStr">
        <is>
          <t>ÖSTERSUND</t>
        </is>
      </c>
      <c r="I379" t="n">
        <v>4.7</v>
      </c>
      <c r="J379" t="n">
        <v>0</v>
      </c>
      <c r="K379" t="n">
        <v>0</v>
      </c>
      <c r="L379" t="n">
        <v>0</v>
      </c>
      <c r="M379" t="n">
        <v>0</v>
      </c>
      <c r="N379" t="n">
        <v>0</v>
      </c>
      <c r="O379" t="n">
        <v>0</v>
      </c>
      <c r="P379" t="n">
        <v>0</v>
      </c>
      <c r="Q379" t="n">
        <v>0</v>
      </c>
      <c r="R379" t="n">
        <v>0</v>
      </c>
      <c r="S379" t="n">
        <v>0</v>
      </c>
      <c r="T379" t="n">
        <v>0</v>
      </c>
      <c r="U379" t="n">
        <v>0</v>
      </c>
      <c r="V379" s="2" t="inlineStr"/>
    </row>
    <row r="380" ht="15" customHeight="1">
      <c r="A380" t="inlineStr">
        <is>
          <t>A 8733-2026</t>
        </is>
      </c>
      <c r="B380" t="inlineStr">
        <is>
          <t>avverkningsanmälan</t>
        </is>
      </c>
      <c r="C380" t="inlineStr">
        <is>
          <t>Föryngringsavverkning</t>
        </is>
      </c>
      <c r="D380" s="1" t="n">
        <v>46066</v>
      </c>
      <c r="E380" s="1" t="n">
        <v>46312</v>
      </c>
      <c r="F380" t="inlineStr">
        <is>
          <t>JÄMTLANDS LÄN</t>
        </is>
      </c>
      <c r="G380" t="inlineStr">
        <is>
          <t>ÖSTERSUND</t>
        </is>
      </c>
      <c r="I380" t="n">
        <v>2.3</v>
      </c>
      <c r="J380" t="n">
        <v>0</v>
      </c>
      <c r="K380" t="n">
        <v>0</v>
      </c>
      <c r="L380" t="n">
        <v>0</v>
      </c>
      <c r="M380" t="n">
        <v>0</v>
      </c>
      <c r="N380" t="n">
        <v>0</v>
      </c>
      <c r="O380" t="n">
        <v>0</v>
      </c>
      <c r="P380" t="n">
        <v>0</v>
      </c>
      <c r="Q380" t="n">
        <v>0</v>
      </c>
      <c r="R380" t="n">
        <v>0</v>
      </c>
      <c r="S380" t="n">
        <v>0</v>
      </c>
      <c r="T380" t="n">
        <v>0</v>
      </c>
      <c r="U380" t="n">
        <v>0</v>
      </c>
      <c r="V380" s="2" t="inlineStr"/>
    </row>
    <row r="381" ht="15" customHeight="1">
      <c r="A381" t="inlineStr">
        <is>
          <t>A 23761-2026</t>
        </is>
      </c>
      <c r="B381" t="inlineStr">
        <is>
          <t>avverkningsanmälan</t>
        </is>
      </c>
      <c r="C381" t="inlineStr">
        <is>
          <t>Föryngringsavverkning</t>
        </is>
      </c>
      <c r="D381" s="1" t="n">
        <v>46164</v>
      </c>
      <c r="E381" s="1" t="n">
        <v>46312</v>
      </c>
      <c r="F381" t="inlineStr">
        <is>
          <t>JÄMTLANDS LÄN</t>
        </is>
      </c>
      <c r="G381" t="inlineStr">
        <is>
          <t>ÖSTERSUND</t>
        </is>
      </c>
      <c r="H381" t="inlineStr">
        <is>
          <t>SCA</t>
        </is>
      </c>
      <c r="I381" t="n">
        <v>3.7</v>
      </c>
      <c r="J381" t="n">
        <v>0</v>
      </c>
      <c r="K381" t="n">
        <v>0</v>
      </c>
      <c r="L381" t="n">
        <v>0</v>
      </c>
      <c r="M381" t="n">
        <v>0</v>
      </c>
      <c r="N381" t="n">
        <v>0</v>
      </c>
      <c r="O381" t="n">
        <v>0</v>
      </c>
      <c r="P381" t="n">
        <v>0</v>
      </c>
      <c r="Q381" t="n">
        <v>0</v>
      </c>
      <c r="R381" t="n">
        <v>0</v>
      </c>
      <c r="S381" t="n">
        <v>0</v>
      </c>
      <c r="T381" t="n">
        <v>0</v>
      </c>
      <c r="U381" t="n">
        <v>0</v>
      </c>
      <c r="V381" s="2" t="inlineStr"/>
    </row>
    <row r="382" ht="15" customHeight="1">
      <c r="A382" t="inlineStr">
        <is>
          <t>A 58406-2024</t>
        </is>
      </c>
      <c r="B382" t="inlineStr">
        <is>
          <t>avverkningsanmälan</t>
        </is>
      </c>
      <c r="C382" t="inlineStr">
        <is>
          <t>Föryngringsavverkning</t>
        </is>
      </c>
      <c r="D382" s="1" t="n">
        <v>45634</v>
      </c>
      <c r="E382" s="1" t="n">
        <v>46312</v>
      </c>
      <c r="F382" t="inlineStr">
        <is>
          <t>JÄMTLANDS LÄN</t>
        </is>
      </c>
      <c r="G382" t="inlineStr">
        <is>
          <t>ÖSTERSUND</t>
        </is>
      </c>
      <c r="I382" t="n">
        <v>3.8</v>
      </c>
      <c r="J382" t="n">
        <v>0</v>
      </c>
      <c r="K382" t="n">
        <v>0</v>
      </c>
      <c r="L382" t="n">
        <v>0</v>
      </c>
      <c r="M382" t="n">
        <v>0</v>
      </c>
      <c r="N382" t="n">
        <v>0</v>
      </c>
      <c r="O382" t="n">
        <v>0</v>
      </c>
      <c r="P382" t="n">
        <v>0</v>
      </c>
      <c r="Q382" t="n">
        <v>0</v>
      </c>
      <c r="R382" t="n">
        <v>0</v>
      </c>
      <c r="S382" t="n">
        <v>0</v>
      </c>
      <c r="T382" t="n">
        <v>0</v>
      </c>
      <c r="U382" t="n">
        <v>0</v>
      </c>
      <c r="V382" s="2" t="inlineStr"/>
    </row>
    <row r="383" ht="15" customHeight="1">
      <c r="A383" t="inlineStr">
        <is>
          <t>A 23758-2026</t>
        </is>
      </c>
      <c r="B383" t="inlineStr">
        <is>
          <t>avverkningsanmälan</t>
        </is>
      </c>
      <c r="C383" t="inlineStr">
        <is>
          <t>Föryngringsavverkning</t>
        </is>
      </c>
      <c r="D383" s="1" t="n">
        <v>46164</v>
      </c>
      <c r="E383" s="1" t="n">
        <v>46312</v>
      </c>
      <c r="F383" t="inlineStr">
        <is>
          <t>JÄMTLANDS LÄN</t>
        </is>
      </c>
      <c r="G383" t="inlineStr">
        <is>
          <t>ÖSTERSUND</t>
        </is>
      </c>
      <c r="H383" t="inlineStr">
        <is>
          <t>SCA</t>
        </is>
      </c>
      <c r="I383" t="n">
        <v>10.8</v>
      </c>
      <c r="J383" t="n">
        <v>0</v>
      </c>
      <c r="K383" t="n">
        <v>0</v>
      </c>
      <c r="L383" t="n">
        <v>0</v>
      </c>
      <c r="M383" t="n">
        <v>0</v>
      </c>
      <c r="N383" t="n">
        <v>0</v>
      </c>
      <c r="O383" t="n">
        <v>0</v>
      </c>
      <c r="P383" t="n">
        <v>0</v>
      </c>
      <c r="Q383" t="n">
        <v>0</v>
      </c>
      <c r="R383" t="n">
        <v>0</v>
      </c>
      <c r="S383" t="n">
        <v>0</v>
      </c>
      <c r="T383" t="n">
        <v>0</v>
      </c>
      <c r="U383" t="n">
        <v>0</v>
      </c>
      <c r="V383" s="2" t="inlineStr"/>
    </row>
    <row r="384" ht="15" customHeight="1">
      <c r="A384" t="inlineStr">
        <is>
          <t>A 13166-2023</t>
        </is>
      </c>
      <c r="B384" t="inlineStr">
        <is>
          <t>avverkningsanmälan</t>
        </is>
      </c>
      <c r="C384" t="inlineStr">
        <is>
          <t>Föryngringsavverkning</t>
        </is>
      </c>
      <c r="D384" s="1" t="n">
        <v>45002</v>
      </c>
      <c r="E384" s="1" t="n">
        <v>46312</v>
      </c>
      <c r="F384" t="inlineStr">
        <is>
          <t>JÄMTLANDS LÄN</t>
        </is>
      </c>
      <c r="G384" t="inlineStr">
        <is>
          <t>ÖSTERSUND</t>
        </is>
      </c>
      <c r="H384" t="inlineStr">
        <is>
          <t>Övriga statliga verk och myndigheter</t>
        </is>
      </c>
      <c r="I384" t="n">
        <v>1</v>
      </c>
      <c r="J384" t="n">
        <v>0</v>
      </c>
      <c r="K384" t="n">
        <v>0</v>
      </c>
      <c r="L384" t="n">
        <v>0</v>
      </c>
      <c r="M384" t="n">
        <v>0</v>
      </c>
      <c r="N384" t="n">
        <v>0</v>
      </c>
      <c r="O384" t="n">
        <v>0</v>
      </c>
      <c r="P384" t="n">
        <v>0</v>
      </c>
      <c r="Q384" t="n">
        <v>0</v>
      </c>
      <c r="R384" t="n">
        <v>0</v>
      </c>
      <c r="S384" t="n">
        <v>0</v>
      </c>
      <c r="T384" t="n">
        <v>0</v>
      </c>
      <c r="U384" t="n">
        <v>0</v>
      </c>
      <c r="V384" s="2" t="inlineStr"/>
    </row>
    <row r="385" ht="15" customHeight="1">
      <c r="A385" t="inlineStr">
        <is>
          <t>A 23759-2026</t>
        </is>
      </c>
      <c r="B385" t="inlineStr">
        <is>
          <t>avverkningsanmälan</t>
        </is>
      </c>
      <c r="C385" t="inlineStr">
        <is>
          <t>Föryngringsavverkning</t>
        </is>
      </c>
      <c r="D385" s="1" t="n">
        <v>46164</v>
      </c>
      <c r="E385" s="1" t="n">
        <v>46312</v>
      </c>
      <c r="F385" t="inlineStr">
        <is>
          <t>JÄMTLANDS LÄN</t>
        </is>
      </c>
      <c r="G385" t="inlineStr">
        <is>
          <t>ÖSTERSUND</t>
        </is>
      </c>
      <c r="H385" t="inlineStr">
        <is>
          <t>SCA</t>
        </is>
      </c>
      <c r="I385" t="n">
        <v>19.1</v>
      </c>
      <c r="J385" t="n">
        <v>0</v>
      </c>
      <c r="K385" t="n">
        <v>0</v>
      </c>
      <c r="L385" t="n">
        <v>0</v>
      </c>
      <c r="M385" t="n">
        <v>0</v>
      </c>
      <c r="N385" t="n">
        <v>0</v>
      </c>
      <c r="O385" t="n">
        <v>0</v>
      </c>
      <c r="P385" t="n">
        <v>0</v>
      </c>
      <c r="Q385" t="n">
        <v>0</v>
      </c>
      <c r="R385" t="n">
        <v>0</v>
      </c>
      <c r="S385" t="n">
        <v>0</v>
      </c>
      <c r="T385" t="n">
        <v>0</v>
      </c>
      <c r="U385" t="n">
        <v>0</v>
      </c>
      <c r="V385" s="2" t="inlineStr"/>
    </row>
    <row r="386" ht="15" customHeight="1">
      <c r="A386" t="inlineStr">
        <is>
          <t>A 23638-2026</t>
        </is>
      </c>
      <c r="B386" t="inlineStr">
        <is>
          <t>avverkningsanmälan</t>
        </is>
      </c>
      <c r="C386" t="inlineStr">
        <is>
          <t>Föryngringsavverkning</t>
        </is>
      </c>
      <c r="D386" s="1" t="n">
        <v>46164</v>
      </c>
      <c r="E386" s="1" t="n">
        <v>46312</v>
      </c>
      <c r="F386" t="inlineStr">
        <is>
          <t>JÄMTLANDS LÄN</t>
        </is>
      </c>
      <c r="G386" t="inlineStr">
        <is>
          <t>ÖSTERSUND</t>
        </is>
      </c>
      <c r="I386" t="n">
        <v>4.4</v>
      </c>
      <c r="J386" t="n">
        <v>0</v>
      </c>
      <c r="K386" t="n">
        <v>0</v>
      </c>
      <c r="L386" t="n">
        <v>0</v>
      </c>
      <c r="M386" t="n">
        <v>0</v>
      </c>
      <c r="N386" t="n">
        <v>0</v>
      </c>
      <c r="O386" t="n">
        <v>0</v>
      </c>
      <c r="P386" t="n">
        <v>0</v>
      </c>
      <c r="Q386" t="n">
        <v>0</v>
      </c>
      <c r="R386" t="n">
        <v>0</v>
      </c>
      <c r="S386" t="n">
        <v>0</v>
      </c>
      <c r="T386" t="n">
        <v>0</v>
      </c>
      <c r="U386" t="n">
        <v>0</v>
      </c>
      <c r="V386" s="2" t="inlineStr"/>
    </row>
    <row r="387" ht="15" customHeight="1">
      <c r="A387" t="inlineStr">
        <is>
          <t>A 58440-2025</t>
        </is>
      </c>
      <c r="B387" t="inlineStr">
        <is>
          <t>avverkningsanmälan</t>
        </is>
      </c>
      <c r="C387" t="inlineStr">
        <is>
          <t>Föryngringsavverkning</t>
        </is>
      </c>
      <c r="D387" s="1" t="n">
        <v>45985</v>
      </c>
      <c r="E387" s="1" t="n">
        <v>46312</v>
      </c>
      <c r="F387" t="inlineStr">
        <is>
          <t>JÄMTLANDS LÄN</t>
        </is>
      </c>
      <c r="G387" t="inlineStr">
        <is>
          <t>ÖSTERSUND</t>
        </is>
      </c>
      <c r="I387" t="n">
        <v>1.3</v>
      </c>
      <c r="J387" t="n">
        <v>0</v>
      </c>
      <c r="K387" t="n">
        <v>0</v>
      </c>
      <c r="L387" t="n">
        <v>0</v>
      </c>
      <c r="M387" t="n">
        <v>0</v>
      </c>
      <c r="N387" t="n">
        <v>0</v>
      </c>
      <c r="O387" t="n">
        <v>0</v>
      </c>
      <c r="P387" t="n">
        <v>0</v>
      </c>
      <c r="Q387" t="n">
        <v>0</v>
      </c>
      <c r="R387" t="n">
        <v>0</v>
      </c>
      <c r="S387" t="n">
        <v>0</v>
      </c>
      <c r="T387" t="n">
        <v>0</v>
      </c>
      <c r="U387" t="n">
        <v>0</v>
      </c>
      <c r="V387" s="2" t="inlineStr"/>
    </row>
    <row r="388" ht="15" customHeight="1">
      <c r="A388" t="inlineStr">
        <is>
          <t>A 23760-2026</t>
        </is>
      </c>
      <c r="B388" t="inlineStr">
        <is>
          <t>avverkningsanmälan</t>
        </is>
      </c>
      <c r="C388" t="inlineStr">
        <is>
          <t>Föryngringsavverkning</t>
        </is>
      </c>
      <c r="D388" s="1" t="n">
        <v>46164</v>
      </c>
      <c r="E388" s="1" t="n">
        <v>46312</v>
      </c>
      <c r="F388" t="inlineStr">
        <is>
          <t>JÄMTLANDS LÄN</t>
        </is>
      </c>
      <c r="G388" t="inlineStr">
        <is>
          <t>ÖSTERSUND</t>
        </is>
      </c>
      <c r="H388" t="inlineStr">
        <is>
          <t>SCA</t>
        </is>
      </c>
      <c r="I388" t="n">
        <v>14.2</v>
      </c>
      <c r="J388" t="n">
        <v>0</v>
      </c>
      <c r="K388" t="n">
        <v>0</v>
      </c>
      <c r="L388" t="n">
        <v>0</v>
      </c>
      <c r="M388" t="n">
        <v>0</v>
      </c>
      <c r="N388" t="n">
        <v>0</v>
      </c>
      <c r="O388" t="n">
        <v>0</v>
      </c>
      <c r="P388" t="n">
        <v>0</v>
      </c>
      <c r="Q388" t="n">
        <v>0</v>
      </c>
      <c r="R388" t="n">
        <v>0</v>
      </c>
      <c r="S388" t="n">
        <v>0</v>
      </c>
      <c r="T388" t="n">
        <v>0</v>
      </c>
      <c r="U388" t="n">
        <v>0</v>
      </c>
      <c r="V388" s="2" t="inlineStr"/>
    </row>
    <row r="389" ht="15" customHeight="1">
      <c r="A389" t="inlineStr">
        <is>
          <t>A 23762-2026</t>
        </is>
      </c>
      <c r="B389" t="inlineStr">
        <is>
          <t>avverkningsanmälan</t>
        </is>
      </c>
      <c r="C389" t="inlineStr">
        <is>
          <t>Föryngringsavverkning</t>
        </is>
      </c>
      <c r="D389" s="1" t="n">
        <v>46164</v>
      </c>
      <c r="E389" s="1" t="n">
        <v>46312</v>
      </c>
      <c r="F389" t="inlineStr">
        <is>
          <t>JÄMTLANDS LÄN</t>
        </is>
      </c>
      <c r="G389" t="inlineStr">
        <is>
          <t>ÖSTERSUND</t>
        </is>
      </c>
      <c r="H389" t="inlineStr">
        <is>
          <t>SCA</t>
        </is>
      </c>
      <c r="I389" t="n">
        <v>3.6</v>
      </c>
      <c r="J389" t="n">
        <v>0</v>
      </c>
      <c r="K389" t="n">
        <v>0</v>
      </c>
      <c r="L389" t="n">
        <v>0</v>
      </c>
      <c r="M389" t="n">
        <v>0</v>
      </c>
      <c r="N389" t="n">
        <v>0</v>
      </c>
      <c r="O389" t="n">
        <v>0</v>
      </c>
      <c r="P389" t="n">
        <v>0</v>
      </c>
      <c r="Q389" t="n">
        <v>0</v>
      </c>
      <c r="R389" t="n">
        <v>0</v>
      </c>
      <c r="S389" t="n">
        <v>0</v>
      </c>
      <c r="T389" t="n">
        <v>0</v>
      </c>
      <c r="U389" t="n">
        <v>0</v>
      </c>
      <c r="V389" s="2" t="inlineStr"/>
    </row>
    <row r="390" ht="15" customHeight="1">
      <c r="A390" t="inlineStr">
        <is>
          <t>A 23750-2026</t>
        </is>
      </c>
      <c r="B390" t="inlineStr">
        <is>
          <t>avverkningsanmälan</t>
        </is>
      </c>
      <c r="C390" t="inlineStr">
        <is>
          <t>Föryngringsavverkning</t>
        </is>
      </c>
      <c r="D390" s="1" t="n">
        <v>46164</v>
      </c>
      <c r="E390" s="1" t="n">
        <v>46312</v>
      </c>
      <c r="F390" t="inlineStr">
        <is>
          <t>JÄMTLANDS LÄN</t>
        </is>
      </c>
      <c r="G390" t="inlineStr">
        <is>
          <t>ÖSTERSUND</t>
        </is>
      </c>
      <c r="H390" t="inlineStr">
        <is>
          <t>SCA</t>
        </is>
      </c>
      <c r="I390" t="n">
        <v>8.800000000000001</v>
      </c>
      <c r="J390" t="n">
        <v>0</v>
      </c>
      <c r="K390" t="n">
        <v>0</v>
      </c>
      <c r="L390" t="n">
        <v>0</v>
      </c>
      <c r="M390" t="n">
        <v>0</v>
      </c>
      <c r="N390" t="n">
        <v>0</v>
      </c>
      <c r="O390" t="n">
        <v>0</v>
      </c>
      <c r="P390" t="n">
        <v>0</v>
      </c>
      <c r="Q390" t="n">
        <v>0</v>
      </c>
      <c r="R390" t="n">
        <v>0</v>
      </c>
      <c r="S390" t="n">
        <v>0</v>
      </c>
      <c r="T390" t="n">
        <v>0</v>
      </c>
      <c r="U390" t="n">
        <v>0</v>
      </c>
      <c r="V390" s="2" t="inlineStr"/>
    </row>
    <row r="391" ht="15" customHeight="1">
      <c r="A391" t="inlineStr">
        <is>
          <t>A 23772-2026</t>
        </is>
      </c>
      <c r="B391" t="inlineStr">
        <is>
          <t>avverkningsanmälan</t>
        </is>
      </c>
      <c r="C391" t="inlineStr">
        <is>
          <t>Föryngringsavverkning</t>
        </is>
      </c>
      <c r="D391" s="1" t="n">
        <v>46164</v>
      </c>
      <c r="E391" s="1" t="n">
        <v>46312</v>
      </c>
      <c r="F391" t="inlineStr">
        <is>
          <t>JÄMTLANDS LÄN</t>
        </is>
      </c>
      <c r="G391" t="inlineStr">
        <is>
          <t>ÖSTERSUND</t>
        </is>
      </c>
      <c r="H391" t="inlineStr">
        <is>
          <t>SCA</t>
        </is>
      </c>
      <c r="I391" t="n">
        <v>24.4</v>
      </c>
      <c r="J391" t="n">
        <v>0</v>
      </c>
      <c r="K391" t="n">
        <v>0</v>
      </c>
      <c r="L391" t="n">
        <v>0</v>
      </c>
      <c r="M391" t="n">
        <v>0</v>
      </c>
      <c r="N391" t="n">
        <v>0</v>
      </c>
      <c r="O391" t="n">
        <v>0</v>
      </c>
      <c r="P391" t="n">
        <v>0</v>
      </c>
      <c r="Q391" t="n">
        <v>0</v>
      </c>
      <c r="R391" t="n">
        <v>0</v>
      </c>
      <c r="S391" t="n">
        <v>0</v>
      </c>
      <c r="T391" t="n">
        <v>0</v>
      </c>
      <c r="U391" t="n">
        <v>0</v>
      </c>
      <c r="V391" s="2" t="inlineStr"/>
    </row>
    <row r="392" ht="15" customHeight="1">
      <c r="A392" t="inlineStr">
        <is>
          <t>A 58373-2025</t>
        </is>
      </c>
      <c r="B392" t="inlineStr">
        <is>
          <t>avverkningsanmälan</t>
        </is>
      </c>
      <c r="C392" t="inlineStr">
        <is>
          <t>Föryngringsavverkning</t>
        </is>
      </c>
      <c r="D392" s="1" t="n">
        <v>45985</v>
      </c>
      <c r="E392" s="1" t="n">
        <v>46312</v>
      </c>
      <c r="F392" t="inlineStr">
        <is>
          <t>JÄMTLANDS LÄN</t>
        </is>
      </c>
      <c r="G392" t="inlineStr">
        <is>
          <t>ÖSTERSUND</t>
        </is>
      </c>
      <c r="I392" t="n">
        <v>1.1</v>
      </c>
      <c r="J392" t="n">
        <v>0</v>
      </c>
      <c r="K392" t="n">
        <v>0</v>
      </c>
      <c r="L392" t="n">
        <v>0</v>
      </c>
      <c r="M392" t="n">
        <v>0</v>
      </c>
      <c r="N392" t="n">
        <v>0</v>
      </c>
      <c r="O392" t="n">
        <v>0</v>
      </c>
      <c r="P392" t="n">
        <v>0</v>
      </c>
      <c r="Q392" t="n">
        <v>0</v>
      </c>
      <c r="R392" t="n">
        <v>0</v>
      </c>
      <c r="S392" t="n">
        <v>0</v>
      </c>
      <c r="T392" t="n">
        <v>0</v>
      </c>
      <c r="U392" t="n">
        <v>0</v>
      </c>
      <c r="V392" s="2" t="inlineStr"/>
    </row>
    <row r="393" ht="15" customHeight="1">
      <c r="A393" t="inlineStr">
        <is>
          <t>A 23798-2026</t>
        </is>
      </c>
      <c r="B393" t="inlineStr">
        <is>
          <t>avverkningsanmälan</t>
        </is>
      </c>
      <c r="C393" t="inlineStr">
        <is>
          <t>Föryngringsavverkning</t>
        </is>
      </c>
      <c r="D393" s="1" t="n">
        <v>46164</v>
      </c>
      <c r="E393" s="1" t="n">
        <v>46312</v>
      </c>
      <c r="F393" t="inlineStr">
        <is>
          <t>JÄMTLANDS LÄN</t>
        </is>
      </c>
      <c r="G393" t="inlineStr">
        <is>
          <t>ÖSTERSUND</t>
        </is>
      </c>
      <c r="H393" t="inlineStr">
        <is>
          <t>SCA</t>
        </is>
      </c>
      <c r="I393" t="n">
        <v>2</v>
      </c>
      <c r="J393" t="n">
        <v>0</v>
      </c>
      <c r="K393" t="n">
        <v>0</v>
      </c>
      <c r="L393" t="n">
        <v>0</v>
      </c>
      <c r="M393" t="n">
        <v>0</v>
      </c>
      <c r="N393" t="n">
        <v>0</v>
      </c>
      <c r="O393" t="n">
        <v>0</v>
      </c>
      <c r="P393" t="n">
        <v>0</v>
      </c>
      <c r="Q393" t="n">
        <v>0</v>
      </c>
      <c r="R393" t="n">
        <v>0</v>
      </c>
      <c r="S393" t="n">
        <v>0</v>
      </c>
      <c r="T393" t="n">
        <v>0</v>
      </c>
      <c r="U393" t="n">
        <v>0</v>
      </c>
      <c r="V393" s="2" t="inlineStr"/>
    </row>
    <row r="394" ht="15" customHeight="1">
      <c r="A394" t="inlineStr">
        <is>
          <t>A 58583-2025</t>
        </is>
      </c>
      <c r="B394" t="inlineStr">
        <is>
          <t>avverkningsanmälan</t>
        </is>
      </c>
      <c r="C394" t="inlineStr">
        <is>
          <t>Föryngringsavverkning</t>
        </is>
      </c>
      <c r="D394" s="1" t="n">
        <v>45986</v>
      </c>
      <c r="E394" s="1" t="n">
        <v>46312</v>
      </c>
      <c r="F394" t="inlineStr">
        <is>
          <t>JÄMTLANDS LÄN</t>
        </is>
      </c>
      <c r="G394" t="inlineStr">
        <is>
          <t>ÖSTERSUND</t>
        </is>
      </c>
      <c r="I394" t="n">
        <v>43.1</v>
      </c>
      <c r="J394" t="n">
        <v>0</v>
      </c>
      <c r="K394" t="n">
        <v>0</v>
      </c>
      <c r="L394" t="n">
        <v>0</v>
      </c>
      <c r="M394" t="n">
        <v>0</v>
      </c>
      <c r="N394" t="n">
        <v>0</v>
      </c>
      <c r="O394" t="n">
        <v>0</v>
      </c>
      <c r="P394" t="n">
        <v>0</v>
      </c>
      <c r="Q394" t="n">
        <v>0</v>
      </c>
      <c r="R394" t="n">
        <v>0</v>
      </c>
      <c r="S394" t="n">
        <v>0</v>
      </c>
      <c r="T394" t="n">
        <v>0</v>
      </c>
      <c r="U394" t="n">
        <v>0</v>
      </c>
      <c r="V394" s="2" t="inlineStr"/>
    </row>
    <row r="395" ht="15" customHeight="1">
      <c r="A395" t="inlineStr">
        <is>
          <t>A 23685-2026</t>
        </is>
      </c>
      <c r="B395" t="inlineStr">
        <is>
          <t>avverkningsanmälan</t>
        </is>
      </c>
      <c r="C395" t="inlineStr">
        <is>
          <t>Föryngringsavverkning</t>
        </is>
      </c>
      <c r="D395" s="1" t="n">
        <v>46164</v>
      </c>
      <c r="E395" s="1" t="n">
        <v>46312</v>
      </c>
      <c r="F395" t="inlineStr">
        <is>
          <t>JÄMTLANDS LÄN</t>
        </is>
      </c>
      <c r="G395" t="inlineStr">
        <is>
          <t>ÖSTERSUND</t>
        </is>
      </c>
      <c r="I395" t="n">
        <v>7.4</v>
      </c>
      <c r="J395" t="n">
        <v>0</v>
      </c>
      <c r="K395" t="n">
        <v>0</v>
      </c>
      <c r="L395" t="n">
        <v>0</v>
      </c>
      <c r="M395" t="n">
        <v>0</v>
      </c>
      <c r="N395" t="n">
        <v>0</v>
      </c>
      <c r="O395" t="n">
        <v>0</v>
      </c>
      <c r="P395" t="n">
        <v>0</v>
      </c>
      <c r="Q395" t="n">
        <v>0</v>
      </c>
      <c r="R395" t="n">
        <v>0</v>
      </c>
      <c r="S395" t="n">
        <v>0</v>
      </c>
      <c r="T395" t="n">
        <v>0</v>
      </c>
      <c r="U395" t="n">
        <v>0</v>
      </c>
      <c r="V395" s="2" t="inlineStr"/>
    </row>
    <row r="396" ht="15" customHeight="1">
      <c r="A396" t="inlineStr">
        <is>
          <t>A 59015-2025</t>
        </is>
      </c>
      <c r="B396" t="inlineStr">
        <is>
          <t>avverkningsanmälan</t>
        </is>
      </c>
      <c r="C396" t="inlineStr">
        <is>
          <t>Föryngringsavverkning</t>
        </is>
      </c>
      <c r="D396" s="1" t="n">
        <v>45987</v>
      </c>
      <c r="E396" s="1" t="n">
        <v>46312</v>
      </c>
      <c r="F396" t="inlineStr">
        <is>
          <t>JÄMTLANDS LÄN</t>
        </is>
      </c>
      <c r="G396" t="inlineStr">
        <is>
          <t>ÖSTERSUND</t>
        </is>
      </c>
      <c r="I396" t="n">
        <v>2.4</v>
      </c>
      <c r="J396" t="n">
        <v>0</v>
      </c>
      <c r="K396" t="n">
        <v>0</v>
      </c>
      <c r="L396" t="n">
        <v>0</v>
      </c>
      <c r="M396" t="n">
        <v>0</v>
      </c>
      <c r="N396" t="n">
        <v>0</v>
      </c>
      <c r="O396" t="n">
        <v>0</v>
      </c>
      <c r="P396" t="n">
        <v>0</v>
      </c>
      <c r="Q396" t="n">
        <v>0</v>
      </c>
      <c r="R396" t="n">
        <v>0</v>
      </c>
      <c r="S396" t="n">
        <v>0</v>
      </c>
      <c r="T396" t="n">
        <v>0</v>
      </c>
      <c r="U396" t="n">
        <v>0</v>
      </c>
      <c r="V396" s="2" t="inlineStr"/>
    </row>
    <row r="397" ht="15" customHeight="1">
      <c r="A397" t="inlineStr">
        <is>
          <t>A 4135-2023</t>
        </is>
      </c>
      <c r="B397" t="inlineStr">
        <is>
          <t>avverkningsanmälan</t>
        </is>
      </c>
      <c r="C397" t="inlineStr">
        <is>
          <t>Föryngringsavverkning</t>
        </is>
      </c>
      <c r="D397" s="1" t="n">
        <v>44952</v>
      </c>
      <c r="E397" s="1" t="n">
        <v>46312</v>
      </c>
      <c r="F397" t="inlineStr">
        <is>
          <t>JÄMTLANDS LÄN</t>
        </is>
      </c>
      <c r="G397" t="inlineStr">
        <is>
          <t>ÖSTERSUND</t>
        </is>
      </c>
      <c r="I397" t="n">
        <v>1.3</v>
      </c>
      <c r="J397" t="n">
        <v>0</v>
      </c>
      <c r="K397" t="n">
        <v>0</v>
      </c>
      <c r="L397" t="n">
        <v>0</v>
      </c>
      <c r="M397" t="n">
        <v>0</v>
      </c>
      <c r="N397" t="n">
        <v>0</v>
      </c>
      <c r="O397" t="n">
        <v>0</v>
      </c>
      <c r="P397" t="n">
        <v>0</v>
      </c>
      <c r="Q397" t="n">
        <v>0</v>
      </c>
      <c r="R397" t="n">
        <v>0</v>
      </c>
      <c r="S397" t="n">
        <v>0</v>
      </c>
      <c r="T397" t="n">
        <v>0</v>
      </c>
      <c r="U397" t="n">
        <v>0</v>
      </c>
      <c r="V397" s="2" t="inlineStr"/>
    </row>
    <row r="398" ht="15" customHeight="1">
      <c r="A398" t="inlineStr">
        <is>
          <t>A 59619-2025</t>
        </is>
      </c>
      <c r="B398" t="inlineStr">
        <is>
          <t>avverkningsanmälan</t>
        </is>
      </c>
      <c r="C398" t="inlineStr">
        <is>
          <t>Föryngringsavverkning</t>
        </is>
      </c>
      <c r="D398" s="1" t="n">
        <v>45992</v>
      </c>
      <c r="E398" s="1" t="n">
        <v>46312</v>
      </c>
      <c r="F398" t="inlineStr">
        <is>
          <t>JÄMTLANDS LÄN</t>
        </is>
      </c>
      <c r="G398" t="inlineStr">
        <is>
          <t>ÖSTERSUND</t>
        </is>
      </c>
      <c r="I398" t="n">
        <v>3.6</v>
      </c>
      <c r="J398" t="n">
        <v>0</v>
      </c>
      <c r="K398" t="n">
        <v>0</v>
      </c>
      <c r="L398" t="n">
        <v>0</v>
      </c>
      <c r="M398" t="n">
        <v>0</v>
      </c>
      <c r="N398" t="n">
        <v>0</v>
      </c>
      <c r="O398" t="n">
        <v>0</v>
      </c>
      <c r="P398" t="n">
        <v>0</v>
      </c>
      <c r="Q398" t="n">
        <v>0</v>
      </c>
      <c r="R398" t="n">
        <v>0</v>
      </c>
      <c r="S398" t="n">
        <v>0</v>
      </c>
      <c r="T398" t="n">
        <v>0</v>
      </c>
      <c r="U398" t="n">
        <v>0</v>
      </c>
      <c r="V398" s="2" t="inlineStr"/>
    </row>
    <row r="399" ht="15" customHeight="1">
      <c r="A399" t="inlineStr">
        <is>
          <t>A 59612-2025</t>
        </is>
      </c>
      <c r="B399" t="inlineStr">
        <is>
          <t>avverkningsanmälan</t>
        </is>
      </c>
      <c r="C399" t="inlineStr">
        <is>
          <t>Föryngringsavverkning</t>
        </is>
      </c>
      <c r="D399" s="1" t="n">
        <v>45992</v>
      </c>
      <c r="E399" s="1" t="n">
        <v>46312</v>
      </c>
      <c r="F399" t="inlineStr">
        <is>
          <t>JÄMTLANDS LÄN</t>
        </is>
      </c>
      <c r="G399" t="inlineStr">
        <is>
          <t>ÖSTERSUND</t>
        </is>
      </c>
      <c r="I399" t="n">
        <v>2.3</v>
      </c>
      <c r="J399" t="n">
        <v>0</v>
      </c>
      <c r="K399" t="n">
        <v>0</v>
      </c>
      <c r="L399" t="n">
        <v>0</v>
      </c>
      <c r="M399" t="n">
        <v>0</v>
      </c>
      <c r="N399" t="n">
        <v>0</v>
      </c>
      <c r="O399" t="n">
        <v>0</v>
      </c>
      <c r="P399" t="n">
        <v>0</v>
      </c>
      <c r="Q399" t="n">
        <v>0</v>
      </c>
      <c r="R399" t="n">
        <v>0</v>
      </c>
      <c r="S399" t="n">
        <v>0</v>
      </c>
      <c r="T399" t="n">
        <v>0</v>
      </c>
      <c r="U399" t="n">
        <v>0</v>
      </c>
      <c r="V399" s="2" t="inlineStr"/>
    </row>
    <row r="400" ht="15" customHeight="1">
      <c r="A400" t="inlineStr">
        <is>
          <t>A 59687-2025</t>
        </is>
      </c>
      <c r="B400" t="inlineStr">
        <is>
          <t>avverkningsanmälan</t>
        </is>
      </c>
      <c r="C400" t="inlineStr">
        <is>
          <t>Föryngringsavverkning</t>
        </is>
      </c>
      <c r="D400" s="1" t="n">
        <v>45992</v>
      </c>
      <c r="E400" s="1" t="n">
        <v>46312</v>
      </c>
      <c r="F400" t="inlineStr">
        <is>
          <t>JÄMTLANDS LÄN</t>
        </is>
      </c>
      <c r="G400" t="inlineStr">
        <is>
          <t>ÖSTERSUND</t>
        </is>
      </c>
      <c r="I400" t="n">
        <v>5</v>
      </c>
      <c r="J400" t="n">
        <v>0</v>
      </c>
      <c r="K400" t="n">
        <v>0</v>
      </c>
      <c r="L400" t="n">
        <v>0</v>
      </c>
      <c r="M400" t="n">
        <v>0</v>
      </c>
      <c r="N400" t="n">
        <v>0</v>
      </c>
      <c r="O400" t="n">
        <v>0</v>
      </c>
      <c r="P400" t="n">
        <v>0</v>
      </c>
      <c r="Q400" t="n">
        <v>0</v>
      </c>
      <c r="R400" t="n">
        <v>0</v>
      </c>
      <c r="S400" t="n">
        <v>0</v>
      </c>
      <c r="T400" t="n">
        <v>0</v>
      </c>
      <c r="U400" t="n">
        <v>0</v>
      </c>
      <c r="V400" s="2" t="inlineStr"/>
    </row>
    <row r="401" ht="15" customHeight="1">
      <c r="A401" t="inlineStr">
        <is>
          <t>A 42151-2023</t>
        </is>
      </c>
      <c r="B401" t="inlineStr">
        <is>
          <t>avverkningsanmälan</t>
        </is>
      </c>
      <c r="C401" t="inlineStr">
        <is>
          <t>Avverkning för att bevara och utveckla /försöksver</t>
        </is>
      </c>
      <c r="D401" s="1" t="n">
        <v>45177</v>
      </c>
      <c r="E401" s="1" t="n">
        <v>46312</v>
      </c>
      <c r="F401" t="inlineStr">
        <is>
          <t>JÄMTLANDS LÄN</t>
        </is>
      </c>
      <c r="G401" t="inlineStr">
        <is>
          <t>ÖSTERSUND</t>
        </is>
      </c>
      <c r="H401" t="inlineStr">
        <is>
          <t>SCA</t>
        </is>
      </c>
      <c r="I401" t="n">
        <v>2</v>
      </c>
      <c r="J401" t="n">
        <v>0</v>
      </c>
      <c r="K401" t="n">
        <v>0</v>
      </c>
      <c r="L401" t="n">
        <v>0</v>
      </c>
      <c r="M401" t="n">
        <v>0</v>
      </c>
      <c r="N401" t="n">
        <v>0</v>
      </c>
      <c r="O401" t="n">
        <v>0</v>
      </c>
      <c r="P401" t="n">
        <v>0</v>
      </c>
      <c r="Q401" t="n">
        <v>0</v>
      </c>
      <c r="R401" t="n">
        <v>0</v>
      </c>
      <c r="S401" t="n">
        <v>0</v>
      </c>
      <c r="T401" t="n">
        <v>0</v>
      </c>
      <c r="U401" t="n">
        <v>0</v>
      </c>
      <c r="V401" s="2" t="inlineStr"/>
    </row>
    <row r="402" ht="15" customHeight="1">
      <c r="A402" t="inlineStr">
        <is>
          <t>A 59648-2022</t>
        </is>
      </c>
      <c r="B402" t="inlineStr">
        <is>
          <t>avverkningsanmälan</t>
        </is>
      </c>
      <c r="C402" t="inlineStr">
        <is>
          <t>Föryngringsavverkning</t>
        </is>
      </c>
      <c r="D402" s="1" t="n">
        <v>44907</v>
      </c>
      <c r="E402" s="1" t="n">
        <v>46312</v>
      </c>
      <c r="F402" t="inlineStr">
        <is>
          <t>JÄMTLANDS LÄN</t>
        </is>
      </c>
      <c r="G402" t="inlineStr">
        <is>
          <t>ÖSTERSUND</t>
        </is>
      </c>
      <c r="H402" t="inlineStr">
        <is>
          <t>SCA</t>
        </is>
      </c>
      <c r="I402" t="n">
        <v>1.6</v>
      </c>
      <c r="J402" t="n">
        <v>0</v>
      </c>
      <c r="K402" t="n">
        <v>0</v>
      </c>
      <c r="L402" t="n">
        <v>0</v>
      </c>
      <c r="M402" t="n">
        <v>0</v>
      </c>
      <c r="N402" t="n">
        <v>0</v>
      </c>
      <c r="O402" t="n">
        <v>0</v>
      </c>
      <c r="P402" t="n">
        <v>0</v>
      </c>
      <c r="Q402" t="n">
        <v>0</v>
      </c>
      <c r="R402" t="n">
        <v>0</v>
      </c>
      <c r="S402" t="n">
        <v>0</v>
      </c>
      <c r="T402" t="n">
        <v>0</v>
      </c>
      <c r="U402" t="n">
        <v>0</v>
      </c>
      <c r="V402" s="2" t="inlineStr"/>
    </row>
    <row r="403" ht="15" customHeight="1">
      <c r="A403" t="inlineStr">
        <is>
          <t>A 29128-2022</t>
        </is>
      </c>
      <c r="B403" t="inlineStr">
        <is>
          <t>avverkningsanmälan</t>
        </is>
      </c>
      <c r="C403" t="inlineStr">
        <is>
          <t>Föryngringsavverkning</t>
        </is>
      </c>
      <c r="D403" s="1" t="n">
        <v>44750</v>
      </c>
      <c r="E403" s="1" t="n">
        <v>46312</v>
      </c>
      <c r="F403" t="inlineStr">
        <is>
          <t>JÄMTLANDS LÄN</t>
        </is>
      </c>
      <c r="G403" t="inlineStr">
        <is>
          <t>ÖSTERSUND</t>
        </is>
      </c>
      <c r="I403" t="n">
        <v>3</v>
      </c>
      <c r="J403" t="n">
        <v>0</v>
      </c>
      <c r="K403" t="n">
        <v>0</v>
      </c>
      <c r="L403" t="n">
        <v>0</v>
      </c>
      <c r="M403" t="n">
        <v>0</v>
      </c>
      <c r="N403" t="n">
        <v>0</v>
      </c>
      <c r="O403" t="n">
        <v>0</v>
      </c>
      <c r="P403" t="n">
        <v>0</v>
      </c>
      <c r="Q403" t="n">
        <v>0</v>
      </c>
      <c r="R403" t="n">
        <v>0</v>
      </c>
      <c r="S403" t="n">
        <v>0</v>
      </c>
      <c r="T403" t="n">
        <v>0</v>
      </c>
      <c r="U403" t="n">
        <v>0</v>
      </c>
      <c r="V403" s="2" t="inlineStr"/>
    </row>
    <row r="404" ht="15" customHeight="1">
      <c r="A404" t="inlineStr">
        <is>
          <t>A 60048-2025</t>
        </is>
      </c>
      <c r="B404" t="inlineStr">
        <is>
          <t>avverkningsanmälan</t>
        </is>
      </c>
      <c r="C404" t="inlineStr">
        <is>
          <t>Föryngringsavverkning</t>
        </is>
      </c>
      <c r="D404" s="1" t="n">
        <v>45993</v>
      </c>
      <c r="E404" s="1" t="n">
        <v>46312</v>
      </c>
      <c r="F404" t="inlineStr">
        <is>
          <t>JÄMTLANDS LÄN</t>
        </is>
      </c>
      <c r="G404" t="inlineStr">
        <is>
          <t>ÖSTERSUND</t>
        </is>
      </c>
      <c r="I404" t="n">
        <v>1.3</v>
      </c>
      <c r="J404" t="n">
        <v>0</v>
      </c>
      <c r="K404" t="n">
        <v>0</v>
      </c>
      <c r="L404" t="n">
        <v>0</v>
      </c>
      <c r="M404" t="n">
        <v>0</v>
      </c>
      <c r="N404" t="n">
        <v>0</v>
      </c>
      <c r="O404" t="n">
        <v>0</v>
      </c>
      <c r="P404" t="n">
        <v>0</v>
      </c>
      <c r="Q404" t="n">
        <v>0</v>
      </c>
      <c r="R404" t="n">
        <v>0</v>
      </c>
      <c r="S404" t="n">
        <v>0</v>
      </c>
      <c r="T404" t="n">
        <v>0</v>
      </c>
      <c r="U404" t="n">
        <v>0</v>
      </c>
      <c r="V404" s="2" t="inlineStr"/>
    </row>
    <row r="405" ht="15" customHeight="1">
      <c r="A405" t="inlineStr">
        <is>
          <t>A 61235-2025</t>
        </is>
      </c>
      <c r="B405" t="inlineStr">
        <is>
          <t>avverkningsanmälan</t>
        </is>
      </c>
      <c r="C405" t="inlineStr">
        <is>
          <t>Föryngringsavverkning</t>
        </is>
      </c>
      <c r="D405" s="1" t="n">
        <v>46000</v>
      </c>
      <c r="E405" s="1" t="n">
        <v>46312</v>
      </c>
      <c r="F405" t="inlineStr">
        <is>
          <t>JÄMTLANDS LÄN</t>
        </is>
      </c>
      <c r="G405" t="inlineStr">
        <is>
          <t>ÖSTERSUND</t>
        </is>
      </c>
      <c r="I405" t="n">
        <v>0.8</v>
      </c>
      <c r="J405" t="n">
        <v>0</v>
      </c>
      <c r="K405" t="n">
        <v>0</v>
      </c>
      <c r="L405" t="n">
        <v>0</v>
      </c>
      <c r="M405" t="n">
        <v>0</v>
      </c>
      <c r="N405" t="n">
        <v>0</v>
      </c>
      <c r="O405" t="n">
        <v>0</v>
      </c>
      <c r="P405" t="n">
        <v>0</v>
      </c>
      <c r="Q405" t="n">
        <v>0</v>
      </c>
      <c r="R405" t="n">
        <v>0</v>
      </c>
      <c r="S405" t="n">
        <v>0</v>
      </c>
      <c r="T405" t="n">
        <v>0</v>
      </c>
      <c r="U405" t="n">
        <v>0</v>
      </c>
      <c r="V405" s="2" t="inlineStr"/>
    </row>
    <row r="406" ht="15" customHeight="1">
      <c r="A406" t="inlineStr">
        <is>
          <t>A 61427-2025</t>
        </is>
      </c>
      <c r="B406" t="inlineStr">
        <is>
          <t>avverkningsanmälan</t>
        </is>
      </c>
      <c r="C406" t="inlineStr">
        <is>
          <t>Avverkning för annat ändamål</t>
        </is>
      </c>
      <c r="D406" s="1" t="n">
        <v>46000</v>
      </c>
      <c r="E406" s="1" t="n">
        <v>46312</v>
      </c>
      <c r="F406" t="inlineStr">
        <is>
          <t>JÄMTLANDS LÄN</t>
        </is>
      </c>
      <c r="G406" t="inlineStr">
        <is>
          <t>ÖSTERSUND</t>
        </is>
      </c>
      <c r="I406" t="n">
        <v>0.3</v>
      </c>
      <c r="J406" t="n">
        <v>0</v>
      </c>
      <c r="K406" t="n">
        <v>0</v>
      </c>
      <c r="L406" t="n">
        <v>0</v>
      </c>
      <c r="M406" t="n">
        <v>0</v>
      </c>
      <c r="N406" t="n">
        <v>0</v>
      </c>
      <c r="O406" t="n">
        <v>0</v>
      </c>
      <c r="P406" t="n">
        <v>0</v>
      </c>
      <c r="Q406" t="n">
        <v>0</v>
      </c>
      <c r="R406" t="n">
        <v>0</v>
      </c>
      <c r="S406" t="n">
        <v>0</v>
      </c>
      <c r="T406" t="n">
        <v>0</v>
      </c>
      <c r="U406" t="n">
        <v>0</v>
      </c>
      <c r="V406" s="2" t="inlineStr"/>
    </row>
    <row r="407" ht="15" customHeight="1">
      <c r="A407" t="inlineStr">
        <is>
          <t>A 61985-2025</t>
        </is>
      </c>
      <c r="B407" t="inlineStr">
        <is>
          <t>avverkningsanmälan</t>
        </is>
      </c>
      <c r="C407" t="inlineStr">
        <is>
          <t>Föryngringsavverkning</t>
        </is>
      </c>
      <c r="D407" s="1" t="n">
        <v>46003</v>
      </c>
      <c r="E407" s="1" t="n">
        <v>46312</v>
      </c>
      <c r="F407" t="inlineStr">
        <is>
          <t>JÄMTLANDS LÄN</t>
        </is>
      </c>
      <c r="G407" t="inlineStr">
        <is>
          <t>ÖSTERSUND</t>
        </is>
      </c>
      <c r="I407" t="n">
        <v>4.2</v>
      </c>
      <c r="J407" t="n">
        <v>0</v>
      </c>
      <c r="K407" t="n">
        <v>0</v>
      </c>
      <c r="L407" t="n">
        <v>0</v>
      </c>
      <c r="M407" t="n">
        <v>0</v>
      </c>
      <c r="N407" t="n">
        <v>0</v>
      </c>
      <c r="O407" t="n">
        <v>0</v>
      </c>
      <c r="P407" t="n">
        <v>0</v>
      </c>
      <c r="Q407" t="n">
        <v>0</v>
      </c>
      <c r="R407" t="n">
        <v>0</v>
      </c>
      <c r="S407" t="n">
        <v>0</v>
      </c>
      <c r="T407" t="n">
        <v>0</v>
      </c>
      <c r="U407" t="n">
        <v>0</v>
      </c>
      <c r="V407" s="2" t="inlineStr"/>
    </row>
    <row r="408" ht="15" customHeight="1">
      <c r="A408" t="inlineStr">
        <is>
          <t>A 61944-2025</t>
        </is>
      </c>
      <c r="B408" t="inlineStr">
        <is>
          <t>avverkningsanmälan</t>
        </is>
      </c>
      <c r="C408" t="inlineStr">
        <is>
          <t>Föryngringsavverkning</t>
        </is>
      </c>
      <c r="D408" s="1" t="n">
        <v>46003</v>
      </c>
      <c r="E408" s="1" t="n">
        <v>46312</v>
      </c>
      <c r="F408" t="inlineStr">
        <is>
          <t>JÄMTLANDS LÄN</t>
        </is>
      </c>
      <c r="G408" t="inlineStr">
        <is>
          <t>ÖSTERSUND</t>
        </is>
      </c>
      <c r="I408" t="n">
        <v>0.8</v>
      </c>
      <c r="J408" t="n">
        <v>0</v>
      </c>
      <c r="K408" t="n">
        <v>0</v>
      </c>
      <c r="L408" t="n">
        <v>0</v>
      </c>
      <c r="M408" t="n">
        <v>0</v>
      </c>
      <c r="N408" t="n">
        <v>0</v>
      </c>
      <c r="O408" t="n">
        <v>0</v>
      </c>
      <c r="P408" t="n">
        <v>0</v>
      </c>
      <c r="Q408" t="n">
        <v>0</v>
      </c>
      <c r="R408" t="n">
        <v>0</v>
      </c>
      <c r="S408" t="n">
        <v>0</v>
      </c>
      <c r="T408" t="n">
        <v>0</v>
      </c>
      <c r="U408" t="n">
        <v>0</v>
      </c>
      <c r="V408" s="2" t="inlineStr"/>
    </row>
    <row r="409" ht="15" customHeight="1">
      <c r="A409" t="inlineStr">
        <is>
          <t>A 61964-2025</t>
        </is>
      </c>
      <c r="B409" t="inlineStr">
        <is>
          <t>avverkningsanmälan</t>
        </is>
      </c>
      <c r="C409" t="inlineStr">
        <is>
          <t>Föryngringsavverkning</t>
        </is>
      </c>
      <c r="D409" s="1" t="n">
        <v>46003</v>
      </c>
      <c r="E409" s="1" t="n">
        <v>46312</v>
      </c>
      <c r="F409" t="inlineStr">
        <is>
          <t>JÄMTLANDS LÄN</t>
        </is>
      </c>
      <c r="G409" t="inlineStr">
        <is>
          <t>ÖSTERSUND</t>
        </is>
      </c>
      <c r="I409" t="n">
        <v>16.5</v>
      </c>
      <c r="J409" t="n">
        <v>0</v>
      </c>
      <c r="K409" t="n">
        <v>0</v>
      </c>
      <c r="L409" t="n">
        <v>0</v>
      </c>
      <c r="M409" t="n">
        <v>0</v>
      </c>
      <c r="N409" t="n">
        <v>0</v>
      </c>
      <c r="O409" t="n">
        <v>0</v>
      </c>
      <c r="P409" t="n">
        <v>0</v>
      </c>
      <c r="Q409" t="n">
        <v>0</v>
      </c>
      <c r="R409" t="n">
        <v>0</v>
      </c>
      <c r="S409" t="n">
        <v>0</v>
      </c>
      <c r="T409" t="n">
        <v>0</v>
      </c>
      <c r="U409" t="n">
        <v>0</v>
      </c>
      <c r="V409" s="2" t="inlineStr"/>
    </row>
    <row r="410" ht="15" customHeight="1">
      <c r="A410" t="inlineStr">
        <is>
          <t>A 61982-2025</t>
        </is>
      </c>
      <c r="B410" t="inlineStr">
        <is>
          <t>avverkningsanmälan</t>
        </is>
      </c>
      <c r="C410" t="inlineStr">
        <is>
          <t>Föryngringsavverkning</t>
        </is>
      </c>
      <c r="D410" s="1" t="n">
        <v>46003</v>
      </c>
      <c r="E410" s="1" t="n">
        <v>46312</v>
      </c>
      <c r="F410" t="inlineStr">
        <is>
          <t>JÄMTLANDS LÄN</t>
        </is>
      </c>
      <c r="G410" t="inlineStr">
        <is>
          <t>ÖSTERSUND</t>
        </is>
      </c>
      <c r="I410" t="n">
        <v>4.7</v>
      </c>
      <c r="J410" t="n">
        <v>0</v>
      </c>
      <c r="K410" t="n">
        <v>0</v>
      </c>
      <c r="L410" t="n">
        <v>0</v>
      </c>
      <c r="M410" t="n">
        <v>0</v>
      </c>
      <c r="N410" t="n">
        <v>0</v>
      </c>
      <c r="O410" t="n">
        <v>0</v>
      </c>
      <c r="P410" t="n">
        <v>0</v>
      </c>
      <c r="Q410" t="n">
        <v>0</v>
      </c>
      <c r="R410" t="n">
        <v>0</v>
      </c>
      <c r="S410" t="n">
        <v>0</v>
      </c>
      <c r="T410" t="n">
        <v>0</v>
      </c>
      <c r="U410" t="n">
        <v>0</v>
      </c>
      <c r="V410" s="2" t="inlineStr"/>
    </row>
    <row r="411" ht="15" customHeight="1">
      <c r="A411" t="inlineStr">
        <is>
          <t>A 61849-2025</t>
        </is>
      </c>
      <c r="B411" t="inlineStr">
        <is>
          <t>avverkningsanmälan</t>
        </is>
      </c>
      <c r="C411" t="inlineStr">
        <is>
          <t>Föryngringsavverkning</t>
        </is>
      </c>
      <c r="D411" s="1" t="n">
        <v>46003</v>
      </c>
      <c r="E411" s="1" t="n">
        <v>46312</v>
      </c>
      <c r="F411" t="inlineStr">
        <is>
          <t>JÄMTLANDS LÄN</t>
        </is>
      </c>
      <c r="G411" t="inlineStr">
        <is>
          <t>ÖSTERSUND</t>
        </is>
      </c>
      <c r="I411" t="n">
        <v>5.5</v>
      </c>
      <c r="J411" t="n">
        <v>0</v>
      </c>
      <c r="K411" t="n">
        <v>0</v>
      </c>
      <c r="L411" t="n">
        <v>0</v>
      </c>
      <c r="M411" t="n">
        <v>0</v>
      </c>
      <c r="N411" t="n">
        <v>0</v>
      </c>
      <c r="O411" t="n">
        <v>0</v>
      </c>
      <c r="P411" t="n">
        <v>0</v>
      </c>
      <c r="Q411" t="n">
        <v>0</v>
      </c>
      <c r="R411" t="n">
        <v>0</v>
      </c>
      <c r="S411" t="n">
        <v>0</v>
      </c>
      <c r="T411" t="n">
        <v>0</v>
      </c>
      <c r="U411" t="n">
        <v>0</v>
      </c>
      <c r="V411" s="2" t="inlineStr"/>
    </row>
    <row r="412" ht="15" customHeight="1">
      <c r="A412" t="inlineStr">
        <is>
          <t>A 62437-2025</t>
        </is>
      </c>
      <c r="B412" t="inlineStr">
        <is>
          <t>avverkningsanmälan</t>
        </is>
      </c>
      <c r="C412" t="inlineStr">
        <is>
          <t>Föryngringsavverkning</t>
        </is>
      </c>
      <c r="D412" s="1" t="n">
        <v>46007</v>
      </c>
      <c r="E412" s="1" t="n">
        <v>46312</v>
      </c>
      <c r="F412" t="inlineStr">
        <is>
          <t>JÄMTLANDS LÄN</t>
        </is>
      </c>
      <c r="G412" t="inlineStr">
        <is>
          <t>ÖSTERSUND</t>
        </is>
      </c>
      <c r="I412" t="n">
        <v>6.3</v>
      </c>
      <c r="J412" t="n">
        <v>0</v>
      </c>
      <c r="K412" t="n">
        <v>0</v>
      </c>
      <c r="L412" t="n">
        <v>0</v>
      </c>
      <c r="M412" t="n">
        <v>0</v>
      </c>
      <c r="N412" t="n">
        <v>0</v>
      </c>
      <c r="O412" t="n">
        <v>0</v>
      </c>
      <c r="P412" t="n">
        <v>0</v>
      </c>
      <c r="Q412" t="n">
        <v>0</v>
      </c>
      <c r="R412" t="n">
        <v>0</v>
      </c>
      <c r="S412" t="n">
        <v>0</v>
      </c>
      <c r="T412" t="n">
        <v>0</v>
      </c>
      <c r="U412" t="n">
        <v>0</v>
      </c>
      <c r="V412" s="2" t="inlineStr"/>
    </row>
    <row r="413" ht="15" customHeight="1">
      <c r="A413" t="inlineStr">
        <is>
          <t>A 62369-2025</t>
        </is>
      </c>
      <c r="B413" t="inlineStr">
        <is>
          <t>avverkningsanmälan</t>
        </is>
      </c>
      <c r="C413" t="inlineStr">
        <is>
          <t>Föryngringsavverkning</t>
        </is>
      </c>
      <c r="D413" s="1" t="n">
        <v>46007</v>
      </c>
      <c r="E413" s="1" t="n">
        <v>46312</v>
      </c>
      <c r="F413" t="inlineStr">
        <is>
          <t>JÄMTLANDS LÄN</t>
        </is>
      </c>
      <c r="G413" t="inlineStr">
        <is>
          <t>ÖSTERSUND</t>
        </is>
      </c>
      <c r="H413" t="inlineStr">
        <is>
          <t>Sveaskog</t>
        </is>
      </c>
      <c r="I413" t="n">
        <v>20.3</v>
      </c>
      <c r="J413" t="n">
        <v>0</v>
      </c>
      <c r="K413" t="n">
        <v>0</v>
      </c>
      <c r="L413" t="n">
        <v>0</v>
      </c>
      <c r="M413" t="n">
        <v>0</v>
      </c>
      <c r="N413" t="n">
        <v>0</v>
      </c>
      <c r="O413" t="n">
        <v>0</v>
      </c>
      <c r="P413" t="n">
        <v>0</v>
      </c>
      <c r="Q413" t="n">
        <v>0</v>
      </c>
      <c r="R413" t="n">
        <v>0</v>
      </c>
      <c r="S413" t="n">
        <v>0</v>
      </c>
      <c r="T413" t="n">
        <v>0</v>
      </c>
      <c r="U413" t="n">
        <v>0</v>
      </c>
      <c r="V413" s="2" t="inlineStr"/>
    </row>
    <row r="414" ht="15" customHeight="1">
      <c r="A414" t="inlineStr">
        <is>
          <t>A 14523-2023</t>
        </is>
      </c>
      <c r="B414" t="inlineStr">
        <is>
          <t>avverkningsanmälan</t>
        </is>
      </c>
      <c r="C414" t="inlineStr">
        <is>
          <t>Föryngringsavverkning</t>
        </is>
      </c>
      <c r="D414" s="1" t="n">
        <v>45012</v>
      </c>
      <c r="E414" s="1" t="n">
        <v>46312</v>
      </c>
      <c r="F414" t="inlineStr">
        <is>
          <t>JÄMTLANDS LÄN</t>
        </is>
      </c>
      <c r="G414" t="inlineStr">
        <is>
          <t>ÖSTERSUND</t>
        </is>
      </c>
      <c r="I414" t="n">
        <v>4.5</v>
      </c>
      <c r="J414" t="n">
        <v>0</v>
      </c>
      <c r="K414" t="n">
        <v>0</v>
      </c>
      <c r="L414" t="n">
        <v>0</v>
      </c>
      <c r="M414" t="n">
        <v>0</v>
      </c>
      <c r="N414" t="n">
        <v>0</v>
      </c>
      <c r="O414" t="n">
        <v>0</v>
      </c>
      <c r="P414" t="n">
        <v>0</v>
      </c>
      <c r="Q414" t="n">
        <v>0</v>
      </c>
      <c r="R414" t="n">
        <v>0</v>
      </c>
      <c r="S414" t="n">
        <v>0</v>
      </c>
      <c r="T414" t="n">
        <v>0</v>
      </c>
      <c r="U414" t="n">
        <v>0</v>
      </c>
      <c r="V414" s="2" t="inlineStr"/>
    </row>
    <row r="415" ht="15" customHeight="1">
      <c r="A415" t="inlineStr">
        <is>
          <t>A 63195-2025</t>
        </is>
      </c>
      <c r="B415" t="inlineStr">
        <is>
          <t>avverkningsanmälan</t>
        </is>
      </c>
      <c r="C415" t="inlineStr">
        <is>
          <t>Föryngringsavverkning</t>
        </is>
      </c>
      <c r="D415" s="1" t="n">
        <v>46010</v>
      </c>
      <c r="E415" s="1" t="n">
        <v>46312</v>
      </c>
      <c r="F415" t="inlineStr">
        <is>
          <t>JÄMTLANDS LÄN</t>
        </is>
      </c>
      <c r="G415" t="inlineStr">
        <is>
          <t>ÖSTERSUND</t>
        </is>
      </c>
      <c r="I415" t="n">
        <v>1.7</v>
      </c>
      <c r="J415" t="n">
        <v>0</v>
      </c>
      <c r="K415" t="n">
        <v>0</v>
      </c>
      <c r="L415" t="n">
        <v>0</v>
      </c>
      <c r="M415" t="n">
        <v>0</v>
      </c>
      <c r="N415" t="n">
        <v>0</v>
      </c>
      <c r="O415" t="n">
        <v>0</v>
      </c>
      <c r="P415" t="n">
        <v>0</v>
      </c>
      <c r="Q415" t="n">
        <v>0</v>
      </c>
      <c r="R415" t="n">
        <v>0</v>
      </c>
      <c r="S415" t="n">
        <v>0</v>
      </c>
      <c r="T415" t="n">
        <v>0</v>
      </c>
      <c r="U415" t="n">
        <v>0</v>
      </c>
      <c r="V415" s="2" t="inlineStr"/>
    </row>
    <row r="416" ht="15" customHeight="1">
      <c r="A416" t="inlineStr">
        <is>
          <t>A 63245-2025</t>
        </is>
      </c>
      <c r="B416" t="inlineStr">
        <is>
          <t>avverkningsanmälan</t>
        </is>
      </c>
      <c r="C416" t="inlineStr">
        <is>
          <t>Föryngringsavverkning</t>
        </is>
      </c>
      <c r="D416" s="1" t="n">
        <v>46010</v>
      </c>
      <c r="E416" s="1" t="n">
        <v>46312</v>
      </c>
      <c r="F416" t="inlineStr">
        <is>
          <t>JÄMTLANDS LÄN</t>
        </is>
      </c>
      <c r="G416" t="inlineStr">
        <is>
          <t>ÖSTERSUND</t>
        </is>
      </c>
      <c r="I416" t="n">
        <v>1.8</v>
      </c>
      <c r="J416" t="n">
        <v>0</v>
      </c>
      <c r="K416" t="n">
        <v>0</v>
      </c>
      <c r="L416" t="n">
        <v>0</v>
      </c>
      <c r="M416" t="n">
        <v>0</v>
      </c>
      <c r="N416" t="n">
        <v>0</v>
      </c>
      <c r="O416" t="n">
        <v>0</v>
      </c>
      <c r="P416" t="n">
        <v>0</v>
      </c>
      <c r="Q416" t="n">
        <v>0</v>
      </c>
      <c r="R416" t="n">
        <v>0</v>
      </c>
      <c r="S416" t="n">
        <v>0</v>
      </c>
      <c r="T416" t="n">
        <v>0</v>
      </c>
      <c r="U416" t="n">
        <v>0</v>
      </c>
      <c r="V416" s="2" t="inlineStr"/>
    </row>
    <row r="417" ht="15" customHeight="1">
      <c r="A417" t="inlineStr">
        <is>
          <t>A 63516-2025</t>
        </is>
      </c>
      <c r="B417" t="inlineStr">
        <is>
          <t>avverkningsanmälan</t>
        </is>
      </c>
      <c r="C417" t="inlineStr">
        <is>
          <t>Föryngringsavverkning</t>
        </is>
      </c>
      <c r="D417" s="1" t="n">
        <v>46013</v>
      </c>
      <c r="E417" s="1" t="n">
        <v>46312</v>
      </c>
      <c r="F417" t="inlineStr">
        <is>
          <t>JÄMTLANDS LÄN</t>
        </is>
      </c>
      <c r="G417" t="inlineStr">
        <is>
          <t>ÖSTERSUND</t>
        </is>
      </c>
      <c r="I417" t="n">
        <v>4.8</v>
      </c>
      <c r="J417" t="n">
        <v>0</v>
      </c>
      <c r="K417" t="n">
        <v>0</v>
      </c>
      <c r="L417" t="n">
        <v>0</v>
      </c>
      <c r="M417" t="n">
        <v>0</v>
      </c>
      <c r="N417" t="n">
        <v>0</v>
      </c>
      <c r="O417" t="n">
        <v>0</v>
      </c>
      <c r="P417" t="n">
        <v>0</v>
      </c>
      <c r="Q417" t="n">
        <v>0</v>
      </c>
      <c r="R417" t="n">
        <v>0</v>
      </c>
      <c r="S417" t="n">
        <v>0</v>
      </c>
      <c r="T417" t="n">
        <v>0</v>
      </c>
      <c r="U417" t="n">
        <v>0</v>
      </c>
      <c r="V417" s="2" t="inlineStr"/>
    </row>
    <row r="418" ht="15" customHeight="1">
      <c r="A418" t="inlineStr">
        <is>
          <t>A 1159-2024</t>
        </is>
      </c>
      <c r="B418" t="inlineStr">
        <is>
          <t>avverkningsanmälan</t>
        </is>
      </c>
      <c r="C418" t="inlineStr">
        <is>
          <t>Föryngringsavverkning</t>
        </is>
      </c>
      <c r="D418" s="1" t="n">
        <v>45302</v>
      </c>
      <c r="E418" s="1" t="n">
        <v>46312</v>
      </c>
      <c r="F418" t="inlineStr">
        <is>
          <t>JÄMTLANDS LÄN</t>
        </is>
      </c>
      <c r="G418" t="inlineStr">
        <is>
          <t>ÖSTERSUND</t>
        </is>
      </c>
      <c r="I418" t="n">
        <v>0.7</v>
      </c>
      <c r="J418" t="n">
        <v>0</v>
      </c>
      <c r="K418" t="n">
        <v>0</v>
      </c>
      <c r="L418" t="n">
        <v>0</v>
      </c>
      <c r="M418" t="n">
        <v>0</v>
      </c>
      <c r="N418" t="n">
        <v>0</v>
      </c>
      <c r="O418" t="n">
        <v>0</v>
      </c>
      <c r="P418" t="n">
        <v>0</v>
      </c>
      <c r="Q418" t="n">
        <v>0</v>
      </c>
      <c r="R418" t="n">
        <v>0</v>
      </c>
      <c r="S418" t="n">
        <v>0</v>
      </c>
      <c r="T418" t="n">
        <v>0</v>
      </c>
      <c r="U418" t="n">
        <v>0</v>
      </c>
      <c r="V418" s="2" t="inlineStr"/>
    </row>
    <row r="419" ht="15" customHeight="1">
      <c r="A419" t="inlineStr">
        <is>
          <t>A 63475-2025</t>
        </is>
      </c>
      <c r="B419" t="inlineStr">
        <is>
          <t>avverkningsanmälan</t>
        </is>
      </c>
      <c r="C419" t="inlineStr">
        <is>
          <t>Föryngringsavverkning</t>
        </is>
      </c>
      <c r="D419" s="1" t="n">
        <v>46013</v>
      </c>
      <c r="E419" s="1" t="n">
        <v>46312</v>
      </c>
      <c r="F419" t="inlineStr">
        <is>
          <t>JÄMTLANDS LÄN</t>
        </is>
      </c>
      <c r="G419" t="inlineStr">
        <is>
          <t>ÖSTERSUND</t>
        </is>
      </c>
      <c r="I419" t="n">
        <v>4.4</v>
      </c>
      <c r="J419" t="n">
        <v>0</v>
      </c>
      <c r="K419" t="n">
        <v>0</v>
      </c>
      <c r="L419" t="n">
        <v>0</v>
      </c>
      <c r="M419" t="n">
        <v>0</v>
      </c>
      <c r="N419" t="n">
        <v>0</v>
      </c>
      <c r="O419" t="n">
        <v>0</v>
      </c>
      <c r="P419" t="n">
        <v>0</v>
      </c>
      <c r="Q419" t="n">
        <v>0</v>
      </c>
      <c r="R419" t="n">
        <v>0</v>
      </c>
      <c r="S419" t="n">
        <v>0</v>
      </c>
      <c r="T419" t="n">
        <v>0</v>
      </c>
      <c r="U419" t="n">
        <v>0</v>
      </c>
      <c r="V419" s="2" t="inlineStr"/>
    </row>
    <row r="420" ht="15" customHeight="1">
      <c r="A420" t="inlineStr">
        <is>
          <t>A 63807-2025</t>
        </is>
      </c>
      <c r="B420" t="inlineStr">
        <is>
          <t>avverkningsanmälan</t>
        </is>
      </c>
      <c r="C420" t="inlineStr">
        <is>
          <t>Föryngringsavverkning</t>
        </is>
      </c>
      <c r="D420" s="1" t="n">
        <v>46019</v>
      </c>
      <c r="E420" s="1" t="n">
        <v>46312</v>
      </c>
      <c r="F420" t="inlineStr">
        <is>
          <t>JÄMTLANDS LÄN</t>
        </is>
      </c>
      <c r="G420" t="inlineStr">
        <is>
          <t>ÖSTERSUND</t>
        </is>
      </c>
      <c r="I420" t="n">
        <v>2.4</v>
      </c>
      <c r="J420" t="n">
        <v>0</v>
      </c>
      <c r="K420" t="n">
        <v>0</v>
      </c>
      <c r="L420" t="n">
        <v>0</v>
      </c>
      <c r="M420" t="n">
        <v>0</v>
      </c>
      <c r="N420" t="n">
        <v>0</v>
      </c>
      <c r="O420" t="n">
        <v>0</v>
      </c>
      <c r="P420" t="n">
        <v>0</v>
      </c>
      <c r="Q420" t="n">
        <v>0</v>
      </c>
      <c r="R420" t="n">
        <v>0</v>
      </c>
      <c r="S420" t="n">
        <v>0</v>
      </c>
      <c r="T420" t="n">
        <v>0</v>
      </c>
      <c r="U420" t="n">
        <v>0</v>
      </c>
      <c r="V420" s="2" t="inlineStr"/>
    </row>
    <row r="421" ht="15" customHeight="1">
      <c r="A421" t="inlineStr">
        <is>
          <t>A 60575-2022</t>
        </is>
      </c>
      <c r="B421" t="inlineStr">
        <is>
          <t>avverkningsanmälan</t>
        </is>
      </c>
      <c r="C421" t="inlineStr">
        <is>
          <t>Föryngringsavverkning</t>
        </is>
      </c>
      <c r="D421" s="1" t="n">
        <v>44911</v>
      </c>
      <c r="E421" s="1" t="n">
        <v>46312</v>
      </c>
      <c r="F421" t="inlineStr">
        <is>
          <t>JÄMTLANDS LÄN</t>
        </is>
      </c>
      <c r="G421" t="inlineStr">
        <is>
          <t>ÖSTERSUND</t>
        </is>
      </c>
      <c r="I421" t="n">
        <v>1</v>
      </c>
      <c r="J421" t="n">
        <v>0</v>
      </c>
      <c r="K421" t="n">
        <v>0</v>
      </c>
      <c r="L421" t="n">
        <v>0</v>
      </c>
      <c r="M421" t="n">
        <v>0</v>
      </c>
      <c r="N421" t="n">
        <v>0</v>
      </c>
      <c r="O421" t="n">
        <v>0</v>
      </c>
      <c r="P421" t="n">
        <v>0</v>
      </c>
      <c r="Q421" t="n">
        <v>0</v>
      </c>
      <c r="R421" t="n">
        <v>0</v>
      </c>
      <c r="S421" t="n">
        <v>0</v>
      </c>
      <c r="T421" t="n">
        <v>0</v>
      </c>
      <c r="U421" t="n">
        <v>0</v>
      </c>
      <c r="V421" s="2" t="inlineStr"/>
    </row>
    <row r="422" ht="15" customHeight="1">
      <c r="A422" t="inlineStr">
        <is>
          <t>A 623-2026</t>
        </is>
      </c>
      <c r="B422" t="inlineStr">
        <is>
          <t>avverkningsanmälan</t>
        </is>
      </c>
      <c r="C422" t="inlineStr">
        <is>
          <t>Föryngringsavverkning</t>
        </is>
      </c>
      <c r="D422" s="1" t="n">
        <v>46024</v>
      </c>
      <c r="E422" s="1" t="n">
        <v>46312</v>
      </c>
      <c r="F422" t="inlineStr">
        <is>
          <t>JÄMTLANDS LÄN</t>
        </is>
      </c>
      <c r="G422" t="inlineStr">
        <is>
          <t>ÖSTERSUND</t>
        </is>
      </c>
      <c r="I422" t="n">
        <v>1.1</v>
      </c>
      <c r="J422" t="n">
        <v>0</v>
      </c>
      <c r="K422" t="n">
        <v>0</v>
      </c>
      <c r="L422" t="n">
        <v>0</v>
      </c>
      <c r="M422" t="n">
        <v>0</v>
      </c>
      <c r="N422" t="n">
        <v>0</v>
      </c>
      <c r="O422" t="n">
        <v>0</v>
      </c>
      <c r="P422" t="n">
        <v>0</v>
      </c>
      <c r="Q422" t="n">
        <v>0</v>
      </c>
      <c r="R422" t="n">
        <v>0</v>
      </c>
      <c r="S422" t="n">
        <v>0</v>
      </c>
      <c r="T422" t="n">
        <v>0</v>
      </c>
      <c r="U422" t="n">
        <v>0</v>
      </c>
      <c r="V422" s="2" t="inlineStr"/>
    </row>
    <row r="423" ht="15" customHeight="1">
      <c r="A423" t="inlineStr">
        <is>
          <t>A 23555-2022</t>
        </is>
      </c>
      <c r="B423" t="inlineStr">
        <is>
          <t>avverkningsanmälan</t>
        </is>
      </c>
      <c r="C423" t="inlineStr">
        <is>
          <t>Föryngringsavverkning</t>
        </is>
      </c>
      <c r="D423" s="1" t="n">
        <v>44721</v>
      </c>
      <c r="E423" s="1" t="n">
        <v>46312</v>
      </c>
      <c r="F423" t="inlineStr">
        <is>
          <t>JÄMTLANDS LÄN</t>
        </is>
      </c>
      <c r="G423" t="inlineStr">
        <is>
          <t>ÖSTERSUND</t>
        </is>
      </c>
      <c r="I423" t="n">
        <v>1.2</v>
      </c>
      <c r="J423" t="n">
        <v>0</v>
      </c>
      <c r="K423" t="n">
        <v>0</v>
      </c>
      <c r="L423" t="n">
        <v>0</v>
      </c>
      <c r="M423" t="n">
        <v>0</v>
      </c>
      <c r="N423" t="n">
        <v>0</v>
      </c>
      <c r="O423" t="n">
        <v>0</v>
      </c>
      <c r="P423" t="n">
        <v>0</v>
      </c>
      <c r="Q423" t="n">
        <v>0</v>
      </c>
      <c r="R423" t="n">
        <v>0</v>
      </c>
      <c r="S423" t="n">
        <v>0</v>
      </c>
      <c r="T423" t="n">
        <v>0</v>
      </c>
      <c r="U423" t="n">
        <v>0</v>
      </c>
      <c r="V423" s="2" t="inlineStr"/>
    </row>
    <row r="424" ht="15" customHeight="1">
      <c r="A424" t="inlineStr">
        <is>
          <t>A 54237-2024</t>
        </is>
      </c>
      <c r="B424" t="inlineStr">
        <is>
          <t>avverkningsanmälan</t>
        </is>
      </c>
      <c r="C424" t="inlineStr">
        <is>
          <t>Föryngringsavverkning</t>
        </is>
      </c>
      <c r="D424" s="1" t="n">
        <v>45616</v>
      </c>
      <c r="E424" s="1" t="n">
        <v>46312</v>
      </c>
      <c r="F424" t="inlineStr">
        <is>
          <t>JÄMTLANDS LÄN</t>
        </is>
      </c>
      <c r="G424" t="inlineStr">
        <is>
          <t>ÖSTERSUND</t>
        </is>
      </c>
      <c r="H424" t="inlineStr">
        <is>
          <t>SCA</t>
        </is>
      </c>
      <c r="I424" t="n">
        <v>8.9</v>
      </c>
      <c r="J424" t="n">
        <v>0</v>
      </c>
      <c r="K424" t="n">
        <v>0</v>
      </c>
      <c r="L424" t="n">
        <v>0</v>
      </c>
      <c r="M424" t="n">
        <v>0</v>
      </c>
      <c r="N424" t="n">
        <v>0</v>
      </c>
      <c r="O424" t="n">
        <v>0</v>
      </c>
      <c r="P424" t="n">
        <v>0</v>
      </c>
      <c r="Q424" t="n">
        <v>0</v>
      </c>
      <c r="R424" t="n">
        <v>0</v>
      </c>
      <c r="S424" t="n">
        <v>0</v>
      </c>
      <c r="T424" t="n">
        <v>0</v>
      </c>
      <c r="U424" t="n">
        <v>0</v>
      </c>
      <c r="V424" s="2" t="inlineStr"/>
    </row>
    <row r="425" ht="15" customHeight="1">
      <c r="A425" t="inlineStr">
        <is>
          <t>A 485-2026</t>
        </is>
      </c>
      <c r="B425" t="inlineStr">
        <is>
          <t>avverkningsanmälan</t>
        </is>
      </c>
      <c r="C425" t="inlineStr">
        <is>
          <t>Föryngringsavverkning</t>
        </is>
      </c>
      <c r="D425" s="1" t="n">
        <v>46029</v>
      </c>
      <c r="E425" s="1" t="n">
        <v>46312</v>
      </c>
      <c r="F425" t="inlineStr">
        <is>
          <t>JÄMTLANDS LÄN</t>
        </is>
      </c>
      <c r="G425" t="inlineStr">
        <is>
          <t>ÖSTERSUND</t>
        </is>
      </c>
      <c r="I425" t="n">
        <v>1.6</v>
      </c>
      <c r="J425" t="n">
        <v>0</v>
      </c>
      <c r="K425" t="n">
        <v>0</v>
      </c>
      <c r="L425" t="n">
        <v>0</v>
      </c>
      <c r="M425" t="n">
        <v>0</v>
      </c>
      <c r="N425" t="n">
        <v>0</v>
      </c>
      <c r="O425" t="n">
        <v>0</v>
      </c>
      <c r="P425" t="n">
        <v>0</v>
      </c>
      <c r="Q425" t="n">
        <v>0</v>
      </c>
      <c r="R425" t="n">
        <v>0</v>
      </c>
      <c r="S425" t="n">
        <v>0</v>
      </c>
      <c r="T425" t="n">
        <v>0</v>
      </c>
      <c r="U425" t="n">
        <v>0</v>
      </c>
      <c r="V425" s="2" t="inlineStr"/>
    </row>
    <row r="426" ht="15" customHeight="1">
      <c r="A426" t="inlineStr">
        <is>
          <t>A 17732-2022</t>
        </is>
      </c>
      <c r="B426" t="inlineStr">
        <is>
          <t>avverkningsanmälan</t>
        </is>
      </c>
      <c r="C426" t="inlineStr">
        <is>
          <t>Föryngringsavverkning</t>
        </is>
      </c>
      <c r="D426" s="1" t="n">
        <v>44680</v>
      </c>
      <c r="E426" s="1" t="n">
        <v>46312</v>
      </c>
      <c r="F426" t="inlineStr">
        <is>
          <t>JÄMTLANDS LÄN</t>
        </is>
      </c>
      <c r="G426" t="inlineStr">
        <is>
          <t>ÖSTERSUND</t>
        </is>
      </c>
      <c r="I426" t="n">
        <v>5.4</v>
      </c>
      <c r="J426" t="n">
        <v>0</v>
      </c>
      <c r="K426" t="n">
        <v>0</v>
      </c>
      <c r="L426" t="n">
        <v>0</v>
      </c>
      <c r="M426" t="n">
        <v>0</v>
      </c>
      <c r="N426" t="n">
        <v>0</v>
      </c>
      <c r="O426" t="n">
        <v>0</v>
      </c>
      <c r="P426" t="n">
        <v>0</v>
      </c>
      <c r="Q426" t="n">
        <v>0</v>
      </c>
      <c r="R426" t="n">
        <v>0</v>
      </c>
      <c r="S426" t="n">
        <v>0</v>
      </c>
      <c r="T426" t="n">
        <v>0</v>
      </c>
      <c r="U426" t="n">
        <v>0</v>
      </c>
      <c r="V426" s="2" t="inlineStr"/>
    </row>
    <row r="427" ht="15" customHeight="1">
      <c r="A427" t="inlineStr">
        <is>
          <t>A 1552-2026</t>
        </is>
      </c>
      <c r="B427" t="inlineStr">
        <is>
          <t>avverkningsanmälan</t>
        </is>
      </c>
      <c r="C427" t="inlineStr">
        <is>
          <t>Föryngringsavverkning</t>
        </is>
      </c>
      <c r="D427" s="1" t="n">
        <v>46034</v>
      </c>
      <c r="E427" s="1" t="n">
        <v>46312</v>
      </c>
      <c r="F427" t="inlineStr">
        <is>
          <t>JÄMTLANDS LÄN</t>
        </is>
      </c>
      <c r="G427" t="inlineStr">
        <is>
          <t>ÖSTERSUND</t>
        </is>
      </c>
      <c r="I427" t="n">
        <v>1.1</v>
      </c>
      <c r="J427" t="n">
        <v>0</v>
      </c>
      <c r="K427" t="n">
        <v>0</v>
      </c>
      <c r="L427" t="n">
        <v>0</v>
      </c>
      <c r="M427" t="n">
        <v>0</v>
      </c>
      <c r="N427" t="n">
        <v>0</v>
      </c>
      <c r="O427" t="n">
        <v>0</v>
      </c>
      <c r="P427" t="n">
        <v>0</v>
      </c>
      <c r="Q427" t="n">
        <v>0</v>
      </c>
      <c r="R427" t="n">
        <v>0</v>
      </c>
      <c r="S427" t="n">
        <v>0</v>
      </c>
      <c r="T427" t="n">
        <v>0</v>
      </c>
      <c r="U427" t="n">
        <v>0</v>
      </c>
      <c r="V427" s="2" t="inlineStr"/>
    </row>
    <row r="428" ht="15" customHeight="1">
      <c r="A428" t="inlineStr">
        <is>
          <t>A 25242-2026</t>
        </is>
      </c>
      <c r="B428" t="inlineStr">
        <is>
          <t>avverkningsanmälan</t>
        </is>
      </c>
      <c r="C428" t="inlineStr">
        <is>
          <t>Föryngringsavverkning</t>
        </is>
      </c>
      <c r="D428" s="1" t="n">
        <v>46175</v>
      </c>
      <c r="E428" s="1" t="n">
        <v>46312</v>
      </c>
      <c r="F428" t="inlineStr">
        <is>
          <t>JÄMTLANDS LÄN</t>
        </is>
      </c>
      <c r="G428" t="inlineStr">
        <is>
          <t>ÖSTERSUND</t>
        </is>
      </c>
      <c r="H428" t="inlineStr">
        <is>
          <t>SCA</t>
        </is>
      </c>
      <c r="I428" t="n">
        <v>7.6</v>
      </c>
      <c r="J428" t="n">
        <v>0</v>
      </c>
      <c r="K428" t="n">
        <v>0</v>
      </c>
      <c r="L428" t="n">
        <v>0</v>
      </c>
      <c r="M428" t="n">
        <v>0</v>
      </c>
      <c r="N428" t="n">
        <v>0</v>
      </c>
      <c r="O428" t="n">
        <v>0</v>
      </c>
      <c r="P428" t="n">
        <v>0</v>
      </c>
      <c r="Q428" t="n">
        <v>0</v>
      </c>
      <c r="R428" t="n">
        <v>0</v>
      </c>
      <c r="S428" t="n">
        <v>0</v>
      </c>
      <c r="T428" t="n">
        <v>0</v>
      </c>
      <c r="U428" t="n">
        <v>0</v>
      </c>
      <c r="V428" s="2" t="inlineStr"/>
    </row>
    <row r="429" ht="15" customHeight="1">
      <c r="A429" t="inlineStr">
        <is>
          <t>A 2700-2026</t>
        </is>
      </c>
      <c r="B429" t="inlineStr">
        <is>
          <t>avverkningsanmälan</t>
        </is>
      </c>
      <c r="C429" t="inlineStr">
        <is>
          <t>Föryngringsavverkning</t>
        </is>
      </c>
      <c r="D429" s="1" t="n">
        <v>46037</v>
      </c>
      <c r="E429" s="1" t="n">
        <v>46312</v>
      </c>
      <c r="F429" t="inlineStr">
        <is>
          <t>JÄMTLANDS LÄN</t>
        </is>
      </c>
      <c r="G429" t="inlineStr">
        <is>
          <t>ÖSTERSUND</t>
        </is>
      </c>
      <c r="I429" t="n">
        <v>8.6</v>
      </c>
      <c r="J429" t="n">
        <v>0</v>
      </c>
      <c r="K429" t="n">
        <v>0</v>
      </c>
      <c r="L429" t="n">
        <v>0</v>
      </c>
      <c r="M429" t="n">
        <v>0</v>
      </c>
      <c r="N429" t="n">
        <v>0</v>
      </c>
      <c r="O429" t="n">
        <v>0</v>
      </c>
      <c r="P429" t="n">
        <v>0</v>
      </c>
      <c r="Q429" t="n">
        <v>0</v>
      </c>
      <c r="R429" t="n">
        <v>0</v>
      </c>
      <c r="S429" t="n">
        <v>0</v>
      </c>
      <c r="T429" t="n">
        <v>0</v>
      </c>
      <c r="U429" t="n">
        <v>0</v>
      </c>
      <c r="V429" s="2" t="inlineStr"/>
    </row>
    <row r="430" ht="15" customHeight="1">
      <c r="A430" t="inlineStr">
        <is>
          <t>A 1901-2026</t>
        </is>
      </c>
      <c r="B430" t="inlineStr">
        <is>
          <t>avverkningsanmälan</t>
        </is>
      </c>
      <c r="C430" t="inlineStr">
        <is>
          <t>Föryngringsavverkning</t>
        </is>
      </c>
      <c r="D430" s="1" t="n">
        <v>46032</v>
      </c>
      <c r="E430" s="1" t="n">
        <v>46312</v>
      </c>
      <c r="F430" t="inlineStr">
        <is>
          <t>JÄMTLANDS LÄN</t>
        </is>
      </c>
      <c r="G430" t="inlineStr">
        <is>
          <t>ÖSTERSUND</t>
        </is>
      </c>
      <c r="I430" t="n">
        <v>6.4</v>
      </c>
      <c r="J430" t="n">
        <v>0</v>
      </c>
      <c r="K430" t="n">
        <v>0</v>
      </c>
      <c r="L430" t="n">
        <v>0</v>
      </c>
      <c r="M430" t="n">
        <v>0</v>
      </c>
      <c r="N430" t="n">
        <v>0</v>
      </c>
      <c r="O430" t="n">
        <v>0</v>
      </c>
      <c r="P430" t="n">
        <v>0</v>
      </c>
      <c r="Q430" t="n">
        <v>0</v>
      </c>
      <c r="R430" t="n">
        <v>0</v>
      </c>
      <c r="S430" t="n">
        <v>0</v>
      </c>
      <c r="T430" t="n">
        <v>0</v>
      </c>
      <c r="U430" t="n">
        <v>0</v>
      </c>
      <c r="V430" s="2" t="inlineStr"/>
    </row>
    <row r="431" ht="15" customHeight="1">
      <c r="A431" t="inlineStr">
        <is>
          <t>A 7938-2025</t>
        </is>
      </c>
      <c r="B431" t="inlineStr">
        <is>
          <t>avverkningsanmälan</t>
        </is>
      </c>
      <c r="C431" t="inlineStr">
        <is>
          <t>Föryngringsavverkning</t>
        </is>
      </c>
      <c r="D431" s="1" t="n">
        <v>45707</v>
      </c>
      <c r="E431" s="1" t="n">
        <v>46312</v>
      </c>
      <c r="F431" t="inlineStr">
        <is>
          <t>JÄMTLANDS LÄN</t>
        </is>
      </c>
      <c r="G431" t="inlineStr">
        <is>
          <t>ÖSTERSUND</t>
        </is>
      </c>
      <c r="I431" t="n">
        <v>3</v>
      </c>
      <c r="J431" t="n">
        <v>0</v>
      </c>
      <c r="K431" t="n">
        <v>0</v>
      </c>
      <c r="L431" t="n">
        <v>0</v>
      </c>
      <c r="M431" t="n">
        <v>0</v>
      </c>
      <c r="N431" t="n">
        <v>0</v>
      </c>
      <c r="O431" t="n">
        <v>0</v>
      </c>
      <c r="P431" t="n">
        <v>0</v>
      </c>
      <c r="Q431" t="n">
        <v>0</v>
      </c>
      <c r="R431" t="n">
        <v>0</v>
      </c>
      <c r="S431" t="n">
        <v>0</v>
      </c>
      <c r="T431" t="n">
        <v>0</v>
      </c>
      <c r="U431" t="n">
        <v>0</v>
      </c>
      <c r="V431" s="2" t="inlineStr"/>
    </row>
    <row r="432" ht="15" customHeight="1">
      <c r="A432" t="inlineStr">
        <is>
          <t>A 2694-2026</t>
        </is>
      </c>
      <c r="B432" t="inlineStr">
        <is>
          <t>avverkningsanmälan</t>
        </is>
      </c>
      <c r="C432" t="inlineStr">
        <is>
          <t>Föryngringsavverkning</t>
        </is>
      </c>
      <c r="D432" s="1" t="n">
        <v>46037</v>
      </c>
      <c r="E432" s="1" t="n">
        <v>46312</v>
      </c>
      <c r="F432" t="inlineStr">
        <is>
          <t>JÄMTLANDS LÄN</t>
        </is>
      </c>
      <c r="G432" t="inlineStr">
        <is>
          <t>ÖSTERSUND</t>
        </is>
      </c>
      <c r="I432" t="n">
        <v>3</v>
      </c>
      <c r="J432" t="n">
        <v>0</v>
      </c>
      <c r="K432" t="n">
        <v>0</v>
      </c>
      <c r="L432" t="n">
        <v>0</v>
      </c>
      <c r="M432" t="n">
        <v>0</v>
      </c>
      <c r="N432" t="n">
        <v>0</v>
      </c>
      <c r="O432" t="n">
        <v>0</v>
      </c>
      <c r="P432" t="n">
        <v>0</v>
      </c>
      <c r="Q432" t="n">
        <v>0</v>
      </c>
      <c r="R432" t="n">
        <v>0</v>
      </c>
      <c r="S432" t="n">
        <v>0</v>
      </c>
      <c r="T432" t="n">
        <v>0</v>
      </c>
      <c r="U432" t="n">
        <v>0</v>
      </c>
      <c r="V432" s="2" t="inlineStr"/>
    </row>
    <row r="433" ht="15" customHeight="1">
      <c r="A433" t="inlineStr">
        <is>
          <t>A 15686-2025</t>
        </is>
      </c>
      <c r="B433" t="inlineStr">
        <is>
          <t>avverkningsanmälan</t>
        </is>
      </c>
      <c r="C433" t="inlineStr">
        <is>
          <t>Föryngringsavverkning</t>
        </is>
      </c>
      <c r="D433" s="1" t="n">
        <v>45748</v>
      </c>
      <c r="E433" s="1" t="n">
        <v>46312</v>
      </c>
      <c r="F433" t="inlineStr">
        <is>
          <t>JÄMTLANDS LÄN</t>
        </is>
      </c>
      <c r="G433" t="inlineStr">
        <is>
          <t>ÖSTERSUND</t>
        </is>
      </c>
      <c r="I433" t="n">
        <v>1.5</v>
      </c>
      <c r="J433" t="n">
        <v>0</v>
      </c>
      <c r="K433" t="n">
        <v>0</v>
      </c>
      <c r="L433" t="n">
        <v>0</v>
      </c>
      <c r="M433" t="n">
        <v>0</v>
      </c>
      <c r="N433" t="n">
        <v>0</v>
      </c>
      <c r="O433" t="n">
        <v>0</v>
      </c>
      <c r="P433" t="n">
        <v>0</v>
      </c>
      <c r="Q433" t="n">
        <v>0</v>
      </c>
      <c r="R433" t="n">
        <v>0</v>
      </c>
      <c r="S433" t="n">
        <v>0</v>
      </c>
      <c r="T433" t="n">
        <v>0</v>
      </c>
      <c r="U433" t="n">
        <v>0</v>
      </c>
      <c r="V433" s="2" t="inlineStr"/>
    </row>
    <row r="434" ht="15" customHeight="1">
      <c r="A434" t="inlineStr">
        <is>
          <t>A 2971-2026</t>
        </is>
      </c>
      <c r="B434" t="inlineStr">
        <is>
          <t>avverkningsanmälan</t>
        </is>
      </c>
      <c r="C434" t="inlineStr">
        <is>
          <t>Föryngringsavverkning</t>
        </is>
      </c>
      <c r="D434" s="1" t="n">
        <v>46038</v>
      </c>
      <c r="E434" s="1" t="n">
        <v>46312</v>
      </c>
      <c r="F434" t="inlineStr">
        <is>
          <t>JÄMTLANDS LÄN</t>
        </is>
      </c>
      <c r="G434" t="inlineStr">
        <is>
          <t>ÖSTERSUND</t>
        </is>
      </c>
      <c r="I434" t="n">
        <v>0.5</v>
      </c>
      <c r="J434" t="n">
        <v>0</v>
      </c>
      <c r="K434" t="n">
        <v>0</v>
      </c>
      <c r="L434" t="n">
        <v>0</v>
      </c>
      <c r="M434" t="n">
        <v>0</v>
      </c>
      <c r="N434" t="n">
        <v>0</v>
      </c>
      <c r="O434" t="n">
        <v>0</v>
      </c>
      <c r="P434" t="n">
        <v>0</v>
      </c>
      <c r="Q434" t="n">
        <v>0</v>
      </c>
      <c r="R434" t="n">
        <v>0</v>
      </c>
      <c r="S434" t="n">
        <v>0</v>
      </c>
      <c r="T434" t="n">
        <v>0</v>
      </c>
      <c r="U434" t="n">
        <v>0</v>
      </c>
      <c r="V434" s="2" t="inlineStr"/>
    </row>
    <row r="435" ht="15" customHeight="1">
      <c r="A435" t="inlineStr">
        <is>
          <t>A 3197-2026</t>
        </is>
      </c>
      <c r="B435" t="inlineStr">
        <is>
          <t>avverkningsanmälan</t>
        </is>
      </c>
      <c r="C435" t="inlineStr">
        <is>
          <t>Föryngringsavverkning</t>
        </is>
      </c>
      <c r="D435" s="1" t="n">
        <v>46041</v>
      </c>
      <c r="E435" s="1" t="n">
        <v>46312</v>
      </c>
      <c r="F435" t="inlineStr">
        <is>
          <t>JÄMTLANDS LÄN</t>
        </is>
      </c>
      <c r="G435" t="inlineStr">
        <is>
          <t>ÖSTERSUND</t>
        </is>
      </c>
      <c r="I435" t="n">
        <v>1</v>
      </c>
      <c r="J435" t="n">
        <v>0</v>
      </c>
      <c r="K435" t="n">
        <v>0</v>
      </c>
      <c r="L435" t="n">
        <v>0</v>
      </c>
      <c r="M435" t="n">
        <v>0</v>
      </c>
      <c r="N435" t="n">
        <v>0</v>
      </c>
      <c r="O435" t="n">
        <v>0</v>
      </c>
      <c r="P435" t="n">
        <v>0</v>
      </c>
      <c r="Q435" t="n">
        <v>0</v>
      </c>
      <c r="R435" t="n">
        <v>0</v>
      </c>
      <c r="S435" t="n">
        <v>0</v>
      </c>
      <c r="T435" t="n">
        <v>0</v>
      </c>
      <c r="U435" t="n">
        <v>0</v>
      </c>
      <c r="V435" s="2" t="inlineStr"/>
    </row>
    <row r="436" ht="15" customHeight="1">
      <c r="A436" t="inlineStr">
        <is>
          <t>A 55678-2023</t>
        </is>
      </c>
      <c r="B436" t="inlineStr">
        <is>
          <t>avverkningsanmälan</t>
        </is>
      </c>
      <c r="C436" t="inlineStr">
        <is>
          <t>Föryngringsavverkning</t>
        </is>
      </c>
      <c r="D436" s="1" t="n">
        <v>45239</v>
      </c>
      <c r="E436" s="1" t="n">
        <v>46312</v>
      </c>
      <c r="F436" t="inlineStr">
        <is>
          <t>JÄMTLANDS LÄN</t>
        </is>
      </c>
      <c r="G436" t="inlineStr">
        <is>
          <t>ÖSTERSUND</t>
        </is>
      </c>
      <c r="H436" t="inlineStr">
        <is>
          <t>Övriga Aktiebolag</t>
        </is>
      </c>
      <c r="I436" t="n">
        <v>0.6</v>
      </c>
      <c r="J436" t="n">
        <v>0</v>
      </c>
      <c r="K436" t="n">
        <v>0</v>
      </c>
      <c r="L436" t="n">
        <v>0</v>
      </c>
      <c r="M436" t="n">
        <v>0</v>
      </c>
      <c r="N436" t="n">
        <v>0</v>
      </c>
      <c r="O436" t="n">
        <v>0</v>
      </c>
      <c r="P436" t="n">
        <v>0</v>
      </c>
      <c r="Q436" t="n">
        <v>0</v>
      </c>
      <c r="R436" t="n">
        <v>0</v>
      </c>
      <c r="S436" t="n">
        <v>0</v>
      </c>
      <c r="T436" t="n">
        <v>0</v>
      </c>
      <c r="U436" t="n">
        <v>0</v>
      </c>
      <c r="V436" s="2" t="inlineStr"/>
    </row>
    <row r="437" ht="15" customHeight="1">
      <c r="A437" t="inlineStr">
        <is>
          <t>A 4406-2026</t>
        </is>
      </c>
      <c r="B437" t="inlineStr">
        <is>
          <t>avverkningsanmälan</t>
        </is>
      </c>
      <c r="C437" t="inlineStr">
        <is>
          <t>Föryngringsavverkning</t>
        </is>
      </c>
      <c r="D437" s="1" t="n">
        <v>46045</v>
      </c>
      <c r="E437" s="1" t="n">
        <v>46312</v>
      </c>
      <c r="F437" t="inlineStr">
        <is>
          <t>JÄMTLANDS LÄN</t>
        </is>
      </c>
      <c r="G437" t="inlineStr">
        <is>
          <t>ÖSTERSUND</t>
        </is>
      </c>
      <c r="H437" t="inlineStr">
        <is>
          <t>SCA</t>
        </is>
      </c>
      <c r="I437" t="n">
        <v>2.3</v>
      </c>
      <c r="J437" t="n">
        <v>0</v>
      </c>
      <c r="K437" t="n">
        <v>0</v>
      </c>
      <c r="L437" t="n">
        <v>0</v>
      </c>
      <c r="M437" t="n">
        <v>0</v>
      </c>
      <c r="N437" t="n">
        <v>0</v>
      </c>
      <c r="O437" t="n">
        <v>0</v>
      </c>
      <c r="P437" t="n">
        <v>0</v>
      </c>
      <c r="Q437" t="n">
        <v>0</v>
      </c>
      <c r="R437" t="n">
        <v>0</v>
      </c>
      <c r="S437" t="n">
        <v>0</v>
      </c>
      <c r="T437" t="n">
        <v>0</v>
      </c>
      <c r="U437" t="n">
        <v>0</v>
      </c>
      <c r="V437" s="2" t="inlineStr"/>
    </row>
    <row r="438" ht="15" customHeight="1">
      <c r="A438" t="inlineStr">
        <is>
          <t>A 4423-2026</t>
        </is>
      </c>
      <c r="B438" t="inlineStr">
        <is>
          <t>avverkningsanmälan</t>
        </is>
      </c>
      <c r="C438" t="inlineStr">
        <is>
          <t>Föryngringsavverkning</t>
        </is>
      </c>
      <c r="D438" s="1" t="n">
        <v>46045</v>
      </c>
      <c r="E438" s="1" t="n">
        <v>46312</v>
      </c>
      <c r="F438" t="inlineStr">
        <is>
          <t>JÄMTLANDS LÄN</t>
        </is>
      </c>
      <c r="G438" t="inlineStr">
        <is>
          <t>ÖSTERSUND</t>
        </is>
      </c>
      <c r="I438" t="n">
        <v>1.3</v>
      </c>
      <c r="J438" t="n">
        <v>0</v>
      </c>
      <c r="K438" t="n">
        <v>0</v>
      </c>
      <c r="L438" t="n">
        <v>0</v>
      </c>
      <c r="M438" t="n">
        <v>0</v>
      </c>
      <c r="N438" t="n">
        <v>0</v>
      </c>
      <c r="O438" t="n">
        <v>0</v>
      </c>
      <c r="P438" t="n">
        <v>0</v>
      </c>
      <c r="Q438" t="n">
        <v>0</v>
      </c>
      <c r="R438" t="n">
        <v>0</v>
      </c>
      <c r="S438" t="n">
        <v>0</v>
      </c>
      <c r="T438" t="n">
        <v>0</v>
      </c>
      <c r="U438" t="n">
        <v>0</v>
      </c>
      <c r="V438" s="2" t="inlineStr"/>
    </row>
    <row r="439" ht="15" customHeight="1">
      <c r="A439" t="inlineStr">
        <is>
          <t>A 5360-2026</t>
        </is>
      </c>
      <c r="B439" t="inlineStr">
        <is>
          <t>avverkningsanmälan</t>
        </is>
      </c>
      <c r="C439" t="inlineStr">
        <is>
          <t>Avverkning för annat ändamål</t>
        </is>
      </c>
      <c r="D439" s="1" t="n">
        <v>46050</v>
      </c>
      <c r="E439" s="1" t="n">
        <v>46312</v>
      </c>
      <c r="F439" t="inlineStr">
        <is>
          <t>JÄMTLANDS LÄN</t>
        </is>
      </c>
      <c r="G439" t="inlineStr">
        <is>
          <t>ÖSTERSUND</t>
        </is>
      </c>
      <c r="I439" t="n">
        <v>0.5</v>
      </c>
      <c r="J439" t="n">
        <v>0</v>
      </c>
      <c r="K439" t="n">
        <v>0</v>
      </c>
      <c r="L439" t="n">
        <v>0</v>
      </c>
      <c r="M439" t="n">
        <v>0</v>
      </c>
      <c r="N439" t="n">
        <v>0</v>
      </c>
      <c r="O439" t="n">
        <v>0</v>
      </c>
      <c r="P439" t="n">
        <v>0</v>
      </c>
      <c r="Q439" t="n">
        <v>0</v>
      </c>
      <c r="R439" t="n">
        <v>0</v>
      </c>
      <c r="S439" t="n">
        <v>0</v>
      </c>
      <c r="T439" t="n">
        <v>0</v>
      </c>
      <c r="U439" t="n">
        <v>0</v>
      </c>
      <c r="V439" s="2" t="inlineStr"/>
    </row>
    <row r="440" ht="15" customHeight="1">
      <c r="A440" t="inlineStr">
        <is>
          <t>A 56847-2024</t>
        </is>
      </c>
      <c r="B440" t="inlineStr">
        <is>
          <t>avverkningsanmälan</t>
        </is>
      </c>
      <c r="C440" t="inlineStr">
        <is>
          <t>Föryngringsavverkning</t>
        </is>
      </c>
      <c r="D440" s="1" t="n">
        <v>45628</v>
      </c>
      <c r="E440" s="1" t="n">
        <v>46312</v>
      </c>
      <c r="F440" t="inlineStr">
        <is>
          <t>JÄMTLANDS LÄN</t>
        </is>
      </c>
      <c r="G440" t="inlineStr">
        <is>
          <t>ÖSTERSUND</t>
        </is>
      </c>
      <c r="I440" t="n">
        <v>1.4</v>
      </c>
      <c r="J440" t="n">
        <v>0</v>
      </c>
      <c r="K440" t="n">
        <v>0</v>
      </c>
      <c r="L440" t="n">
        <v>0</v>
      </c>
      <c r="M440" t="n">
        <v>0</v>
      </c>
      <c r="N440" t="n">
        <v>0</v>
      </c>
      <c r="O440" t="n">
        <v>0</v>
      </c>
      <c r="P440" t="n">
        <v>0</v>
      </c>
      <c r="Q440" t="n">
        <v>0</v>
      </c>
      <c r="R440" t="n">
        <v>0</v>
      </c>
      <c r="S440" t="n">
        <v>0</v>
      </c>
      <c r="T440" t="n">
        <v>0</v>
      </c>
      <c r="U440" t="n">
        <v>0</v>
      </c>
      <c r="V440" s="2" t="inlineStr"/>
    </row>
    <row r="441" ht="15" customHeight="1">
      <c r="A441" t="inlineStr">
        <is>
          <t>A 6761-2026</t>
        </is>
      </c>
      <c r="B441" t="inlineStr">
        <is>
          <t>avverkningsanmälan</t>
        </is>
      </c>
      <c r="C441" t="inlineStr">
        <is>
          <t>Föryngringsavverkning</t>
        </is>
      </c>
      <c r="D441" s="1" t="n">
        <v>46056</v>
      </c>
      <c r="E441" s="1" t="n">
        <v>46312</v>
      </c>
      <c r="F441" t="inlineStr">
        <is>
          <t>JÄMTLANDS LÄN</t>
        </is>
      </c>
      <c r="G441" t="inlineStr">
        <is>
          <t>ÖSTERSUND</t>
        </is>
      </c>
      <c r="I441" t="n">
        <v>2.8</v>
      </c>
      <c r="J441" t="n">
        <v>0</v>
      </c>
      <c r="K441" t="n">
        <v>0</v>
      </c>
      <c r="L441" t="n">
        <v>0</v>
      </c>
      <c r="M441" t="n">
        <v>0</v>
      </c>
      <c r="N441" t="n">
        <v>0</v>
      </c>
      <c r="O441" t="n">
        <v>0</v>
      </c>
      <c r="P441" t="n">
        <v>0</v>
      </c>
      <c r="Q441" t="n">
        <v>0</v>
      </c>
      <c r="R441" t="n">
        <v>0</v>
      </c>
      <c r="S441" t="n">
        <v>0</v>
      </c>
      <c r="T441" t="n">
        <v>0</v>
      </c>
      <c r="U441" t="n">
        <v>0</v>
      </c>
      <c r="V441" s="2" t="inlineStr"/>
    </row>
    <row r="442" ht="15" customHeight="1">
      <c r="A442" t="inlineStr">
        <is>
          <t>A 19323-2024</t>
        </is>
      </c>
      <c r="B442" t="inlineStr">
        <is>
          <t>avverkningsanmälan</t>
        </is>
      </c>
      <c r="C442" t="inlineStr">
        <is>
          <t>Avverkning för annat ändamål</t>
        </is>
      </c>
      <c r="D442" s="1" t="n">
        <v>45428</v>
      </c>
      <c r="E442" s="1" t="n">
        <v>46312</v>
      </c>
      <c r="F442" t="inlineStr">
        <is>
          <t>JÄMTLANDS LÄN</t>
        </is>
      </c>
      <c r="G442" t="inlineStr">
        <is>
          <t>ÖSTERSUND</t>
        </is>
      </c>
      <c r="H442" t="inlineStr">
        <is>
          <t>Kommuner</t>
        </is>
      </c>
      <c r="I442" t="n">
        <v>0.2</v>
      </c>
      <c r="J442" t="n">
        <v>0</v>
      </c>
      <c r="K442" t="n">
        <v>0</v>
      </c>
      <c r="L442" t="n">
        <v>0</v>
      </c>
      <c r="M442" t="n">
        <v>0</v>
      </c>
      <c r="N442" t="n">
        <v>0</v>
      </c>
      <c r="O442" t="n">
        <v>0</v>
      </c>
      <c r="P442" t="n">
        <v>0</v>
      </c>
      <c r="Q442" t="n">
        <v>0</v>
      </c>
      <c r="R442" t="n">
        <v>0</v>
      </c>
      <c r="S442" t="n">
        <v>0</v>
      </c>
      <c r="T442" t="n">
        <v>0</v>
      </c>
      <c r="U442" t="n">
        <v>0</v>
      </c>
      <c r="V442" s="2" t="inlineStr"/>
    </row>
    <row r="443" ht="15" customHeight="1">
      <c r="A443" t="inlineStr">
        <is>
          <t>A 27269-2026</t>
        </is>
      </c>
      <c r="B443" t="inlineStr">
        <is>
          <t>avverkningsanmälan</t>
        </is>
      </c>
      <c r="C443" t="inlineStr">
        <is>
          <t>Föryngringsavverkning</t>
        </is>
      </c>
      <c r="D443" s="1" t="n">
        <v>46184</v>
      </c>
      <c r="E443" s="1" t="n">
        <v>46312</v>
      </c>
      <c r="F443" t="inlineStr">
        <is>
          <t>JÄMTLANDS LÄN</t>
        </is>
      </c>
      <c r="G443" t="inlineStr">
        <is>
          <t>ÖSTERSUND</t>
        </is>
      </c>
      <c r="I443" t="n">
        <v>2.5</v>
      </c>
      <c r="J443" t="n">
        <v>0</v>
      </c>
      <c r="K443" t="n">
        <v>0</v>
      </c>
      <c r="L443" t="n">
        <v>0</v>
      </c>
      <c r="M443" t="n">
        <v>0</v>
      </c>
      <c r="N443" t="n">
        <v>0</v>
      </c>
      <c r="O443" t="n">
        <v>0</v>
      </c>
      <c r="P443" t="n">
        <v>0</v>
      </c>
      <c r="Q443" t="n">
        <v>0</v>
      </c>
      <c r="R443" t="n">
        <v>0</v>
      </c>
      <c r="S443" t="n">
        <v>0</v>
      </c>
      <c r="T443" t="n">
        <v>0</v>
      </c>
      <c r="U443" t="n">
        <v>0</v>
      </c>
      <c r="V443" s="2" t="inlineStr"/>
    </row>
    <row r="444" ht="15" customHeight="1">
      <c r="A444" t="inlineStr">
        <is>
          <t>A 27294-2023</t>
        </is>
      </c>
      <c r="B444" t="inlineStr">
        <is>
          <t>avverkningsanmälan</t>
        </is>
      </c>
      <c r="C444" t="inlineStr">
        <is>
          <t>Föryngringsavverkning</t>
        </is>
      </c>
      <c r="D444" s="1" t="n">
        <v>45092</v>
      </c>
      <c r="E444" s="1" t="n">
        <v>46312</v>
      </c>
      <c r="F444" t="inlineStr">
        <is>
          <t>JÄMTLANDS LÄN</t>
        </is>
      </c>
      <c r="G444" t="inlineStr">
        <is>
          <t>ÖSTERSUND</t>
        </is>
      </c>
      <c r="I444" t="n">
        <v>2.8</v>
      </c>
      <c r="J444" t="n">
        <v>0</v>
      </c>
      <c r="K444" t="n">
        <v>0</v>
      </c>
      <c r="L444" t="n">
        <v>0</v>
      </c>
      <c r="M444" t="n">
        <v>0</v>
      </c>
      <c r="N444" t="n">
        <v>0</v>
      </c>
      <c r="O444" t="n">
        <v>0</v>
      </c>
      <c r="P444" t="n">
        <v>0</v>
      </c>
      <c r="Q444" t="n">
        <v>0</v>
      </c>
      <c r="R444" t="n">
        <v>0</v>
      </c>
      <c r="S444" t="n">
        <v>0</v>
      </c>
      <c r="T444" t="n">
        <v>0</v>
      </c>
      <c r="U444" t="n">
        <v>0</v>
      </c>
      <c r="V444" s="2" t="inlineStr"/>
    </row>
    <row r="445" ht="15" customHeight="1">
      <c r="A445" t="inlineStr">
        <is>
          <t>A 8389-2025</t>
        </is>
      </c>
      <c r="B445" t="inlineStr">
        <is>
          <t>avverkningsanmälan</t>
        </is>
      </c>
      <c r="C445" t="inlineStr">
        <is>
          <t>Föryngringsavverkning</t>
        </is>
      </c>
      <c r="D445" s="1" t="n">
        <v>45709</v>
      </c>
      <c r="E445" s="1" t="n">
        <v>46312</v>
      </c>
      <c r="F445" t="inlineStr">
        <is>
          <t>JÄMTLANDS LÄN</t>
        </is>
      </c>
      <c r="G445" t="inlineStr">
        <is>
          <t>ÖSTERSUND</t>
        </is>
      </c>
      <c r="H445" t="inlineStr">
        <is>
          <t>SCA</t>
        </is>
      </c>
      <c r="I445" t="n">
        <v>6.3</v>
      </c>
      <c r="J445" t="n">
        <v>0</v>
      </c>
      <c r="K445" t="n">
        <v>0</v>
      </c>
      <c r="L445" t="n">
        <v>0</v>
      </c>
      <c r="M445" t="n">
        <v>0</v>
      </c>
      <c r="N445" t="n">
        <v>0</v>
      </c>
      <c r="O445" t="n">
        <v>0</v>
      </c>
      <c r="P445" t="n">
        <v>0</v>
      </c>
      <c r="Q445" t="n">
        <v>0</v>
      </c>
      <c r="R445" t="n">
        <v>0</v>
      </c>
      <c r="S445" t="n">
        <v>0</v>
      </c>
      <c r="T445" t="n">
        <v>0</v>
      </c>
      <c r="U445" t="n">
        <v>0</v>
      </c>
      <c r="V445" s="2" t="inlineStr"/>
    </row>
    <row r="446" ht="15" customHeight="1">
      <c r="A446" t="inlineStr">
        <is>
          <t>A 26568-2026</t>
        </is>
      </c>
      <c r="B446" t="inlineStr">
        <is>
          <t>avverkningsanmälan</t>
        </is>
      </c>
      <c r="C446" t="inlineStr">
        <is>
          <t>Föryngringsavverkning</t>
        </is>
      </c>
      <c r="D446" s="1" t="n">
        <v>46183</v>
      </c>
      <c r="E446" s="1" t="n">
        <v>46312</v>
      </c>
      <c r="F446" t="inlineStr">
        <is>
          <t>JÄMTLANDS LÄN</t>
        </is>
      </c>
      <c r="G446" t="inlineStr">
        <is>
          <t>ÖSTERSUND</t>
        </is>
      </c>
      <c r="I446" t="n">
        <v>3.5</v>
      </c>
      <c r="J446" t="n">
        <v>0</v>
      </c>
      <c r="K446" t="n">
        <v>0</v>
      </c>
      <c r="L446" t="n">
        <v>0</v>
      </c>
      <c r="M446" t="n">
        <v>0</v>
      </c>
      <c r="N446" t="n">
        <v>0</v>
      </c>
      <c r="O446" t="n">
        <v>0</v>
      </c>
      <c r="P446" t="n">
        <v>0</v>
      </c>
      <c r="Q446" t="n">
        <v>0</v>
      </c>
      <c r="R446" t="n">
        <v>0</v>
      </c>
      <c r="S446" t="n">
        <v>0</v>
      </c>
      <c r="T446" t="n">
        <v>0</v>
      </c>
      <c r="U446" t="n">
        <v>0</v>
      </c>
      <c r="V446" s="2" t="inlineStr"/>
    </row>
    <row r="447" ht="15" customHeight="1">
      <c r="A447" t="inlineStr">
        <is>
          <t>A 8832-2026</t>
        </is>
      </c>
      <c r="B447" t="inlineStr">
        <is>
          <t>avverkningsanmälan</t>
        </is>
      </c>
      <c r="C447" t="inlineStr">
        <is>
          <t>Föryngringsavverkning</t>
        </is>
      </c>
      <c r="D447" s="1" t="n">
        <v>46066</v>
      </c>
      <c r="E447" s="1" t="n">
        <v>46312</v>
      </c>
      <c r="F447" t="inlineStr">
        <is>
          <t>JÄMTLANDS LÄN</t>
        </is>
      </c>
      <c r="G447" t="inlineStr">
        <is>
          <t>ÖSTERSUND</t>
        </is>
      </c>
      <c r="H447" t="inlineStr">
        <is>
          <t>SCA</t>
        </is>
      </c>
      <c r="I447" t="n">
        <v>0.5</v>
      </c>
      <c r="J447" t="n">
        <v>0</v>
      </c>
      <c r="K447" t="n">
        <v>0</v>
      </c>
      <c r="L447" t="n">
        <v>0</v>
      </c>
      <c r="M447" t="n">
        <v>0</v>
      </c>
      <c r="N447" t="n">
        <v>0</v>
      </c>
      <c r="O447" t="n">
        <v>0</v>
      </c>
      <c r="P447" t="n">
        <v>0</v>
      </c>
      <c r="Q447" t="n">
        <v>0</v>
      </c>
      <c r="R447" t="n">
        <v>0</v>
      </c>
      <c r="S447" t="n">
        <v>0</v>
      </c>
      <c r="T447" t="n">
        <v>0</v>
      </c>
      <c r="U447" t="n">
        <v>0</v>
      </c>
      <c r="V447" s="2" t="inlineStr"/>
    </row>
    <row r="448" ht="15" customHeight="1">
      <c r="A448" t="inlineStr">
        <is>
          <t>A 8833-2026</t>
        </is>
      </c>
      <c r="B448" t="inlineStr">
        <is>
          <t>avverkningsanmälan</t>
        </is>
      </c>
      <c r="C448" t="inlineStr">
        <is>
          <t>Föryngringsavverkning</t>
        </is>
      </c>
      <c r="D448" s="1" t="n">
        <v>46066</v>
      </c>
      <c r="E448" s="1" t="n">
        <v>46312</v>
      </c>
      <c r="F448" t="inlineStr">
        <is>
          <t>JÄMTLANDS LÄN</t>
        </is>
      </c>
      <c r="G448" t="inlineStr">
        <is>
          <t>ÖSTERSUND</t>
        </is>
      </c>
      <c r="H448" t="inlineStr">
        <is>
          <t>SCA</t>
        </is>
      </c>
      <c r="I448" t="n">
        <v>0.7</v>
      </c>
      <c r="J448" t="n">
        <v>0</v>
      </c>
      <c r="K448" t="n">
        <v>0</v>
      </c>
      <c r="L448" t="n">
        <v>0</v>
      </c>
      <c r="M448" t="n">
        <v>0</v>
      </c>
      <c r="N448" t="n">
        <v>0</v>
      </c>
      <c r="O448" t="n">
        <v>0</v>
      </c>
      <c r="P448" t="n">
        <v>0</v>
      </c>
      <c r="Q448" t="n">
        <v>0</v>
      </c>
      <c r="R448" t="n">
        <v>0</v>
      </c>
      <c r="S448" t="n">
        <v>0</v>
      </c>
      <c r="T448" t="n">
        <v>0</v>
      </c>
      <c r="U448" t="n">
        <v>0</v>
      </c>
      <c r="V448" s="2" t="inlineStr"/>
    </row>
    <row r="449" ht="15" customHeight="1">
      <c r="A449" t="inlineStr">
        <is>
          <t>A 9191-2026</t>
        </is>
      </c>
      <c r="B449" t="inlineStr">
        <is>
          <t>avverkningsanmälan</t>
        </is>
      </c>
      <c r="C449" t="inlineStr">
        <is>
          <t>Föryngringsavverkning</t>
        </is>
      </c>
      <c r="D449" s="1" t="n">
        <v>46070</v>
      </c>
      <c r="E449" s="1" t="n">
        <v>46312</v>
      </c>
      <c r="F449" t="inlineStr">
        <is>
          <t>JÄMTLANDS LÄN</t>
        </is>
      </c>
      <c r="G449" t="inlineStr">
        <is>
          <t>ÖSTERSUND</t>
        </is>
      </c>
      <c r="H449" t="inlineStr">
        <is>
          <t>Övriga Aktiebolag</t>
        </is>
      </c>
      <c r="I449" t="n">
        <v>1.8</v>
      </c>
      <c r="J449" t="n">
        <v>0</v>
      </c>
      <c r="K449" t="n">
        <v>0</v>
      </c>
      <c r="L449" t="n">
        <v>0</v>
      </c>
      <c r="M449" t="n">
        <v>0</v>
      </c>
      <c r="N449" t="n">
        <v>0</v>
      </c>
      <c r="O449" t="n">
        <v>0</v>
      </c>
      <c r="P449" t="n">
        <v>0</v>
      </c>
      <c r="Q449" t="n">
        <v>0</v>
      </c>
      <c r="R449" t="n">
        <v>0</v>
      </c>
      <c r="S449" t="n">
        <v>0</v>
      </c>
      <c r="T449" t="n">
        <v>0</v>
      </c>
      <c r="U449" t="n">
        <v>0</v>
      </c>
      <c r="V449" s="2" t="inlineStr"/>
    </row>
    <row r="450" ht="15" customHeight="1">
      <c r="A450" t="inlineStr">
        <is>
          <t>A 9958-2026</t>
        </is>
      </c>
      <c r="B450" t="inlineStr">
        <is>
          <t>avverkningsanmälan</t>
        </is>
      </c>
      <c r="C450" t="inlineStr">
        <is>
          <t>Föryngringsavverkning</t>
        </is>
      </c>
      <c r="D450" s="1" t="n">
        <v>46073</v>
      </c>
      <c r="E450" s="1" t="n">
        <v>46312</v>
      </c>
      <c r="F450" t="inlineStr">
        <is>
          <t>JÄMTLANDS LÄN</t>
        </is>
      </c>
      <c r="G450" t="inlineStr">
        <is>
          <t>ÖSTERSUND</t>
        </is>
      </c>
      <c r="I450" t="n">
        <v>3.2</v>
      </c>
      <c r="J450" t="n">
        <v>0</v>
      </c>
      <c r="K450" t="n">
        <v>0</v>
      </c>
      <c r="L450" t="n">
        <v>0</v>
      </c>
      <c r="M450" t="n">
        <v>0</v>
      </c>
      <c r="N450" t="n">
        <v>0</v>
      </c>
      <c r="O450" t="n">
        <v>0</v>
      </c>
      <c r="P450" t="n">
        <v>0</v>
      </c>
      <c r="Q450" t="n">
        <v>0</v>
      </c>
      <c r="R450" t="n">
        <v>0</v>
      </c>
      <c r="S450" t="n">
        <v>0</v>
      </c>
      <c r="T450" t="n">
        <v>0</v>
      </c>
      <c r="U450" t="n">
        <v>0</v>
      </c>
      <c r="V450" s="2" t="inlineStr"/>
    </row>
    <row r="451" ht="15" customHeight="1">
      <c r="A451" t="inlineStr">
        <is>
          <t>A 10779-2026</t>
        </is>
      </c>
      <c r="B451" t="inlineStr">
        <is>
          <t>avverkningsanmälan</t>
        </is>
      </c>
      <c r="C451" t="inlineStr">
        <is>
          <t>Föryngringsavverkning</t>
        </is>
      </c>
      <c r="D451" s="1" t="n">
        <v>46078</v>
      </c>
      <c r="E451" s="1" t="n">
        <v>46312</v>
      </c>
      <c r="F451" t="inlineStr">
        <is>
          <t>JÄMTLANDS LÄN</t>
        </is>
      </c>
      <c r="G451" t="inlineStr">
        <is>
          <t>ÖSTERSUND</t>
        </is>
      </c>
      <c r="I451" t="n">
        <v>1</v>
      </c>
      <c r="J451" t="n">
        <v>0</v>
      </c>
      <c r="K451" t="n">
        <v>0</v>
      </c>
      <c r="L451" t="n">
        <v>0</v>
      </c>
      <c r="M451" t="n">
        <v>0</v>
      </c>
      <c r="N451" t="n">
        <v>0</v>
      </c>
      <c r="O451" t="n">
        <v>0</v>
      </c>
      <c r="P451" t="n">
        <v>0</v>
      </c>
      <c r="Q451" t="n">
        <v>0</v>
      </c>
      <c r="R451" t="n">
        <v>0</v>
      </c>
      <c r="S451" t="n">
        <v>0</v>
      </c>
      <c r="T451" t="n">
        <v>0</v>
      </c>
      <c r="U451" t="n">
        <v>0</v>
      </c>
      <c r="V451" s="2" t="inlineStr"/>
    </row>
    <row r="452" ht="15" customHeight="1">
      <c r="A452" t="inlineStr">
        <is>
          <t>A 10714-2026</t>
        </is>
      </c>
      <c r="B452" t="inlineStr">
        <is>
          <t>avverkningsanmälan</t>
        </is>
      </c>
      <c r="C452" t="inlineStr">
        <is>
          <t>Avverkning för att bevara och utveckla /försöksver</t>
        </is>
      </c>
      <c r="D452" s="1" t="n">
        <v>46078</v>
      </c>
      <c r="E452" s="1" t="n">
        <v>46312</v>
      </c>
      <c r="F452" t="inlineStr">
        <is>
          <t>JÄMTLANDS LÄN</t>
        </is>
      </c>
      <c r="G452" t="inlineStr">
        <is>
          <t>ÖSTERSUND</t>
        </is>
      </c>
      <c r="I452" t="n">
        <v>4.3</v>
      </c>
      <c r="J452" t="n">
        <v>0</v>
      </c>
      <c r="K452" t="n">
        <v>0</v>
      </c>
      <c r="L452" t="n">
        <v>0</v>
      </c>
      <c r="M452" t="n">
        <v>0</v>
      </c>
      <c r="N452" t="n">
        <v>0</v>
      </c>
      <c r="O452" t="n">
        <v>0</v>
      </c>
      <c r="P452" t="n">
        <v>0</v>
      </c>
      <c r="Q452" t="n">
        <v>0</v>
      </c>
      <c r="R452" t="n">
        <v>0</v>
      </c>
      <c r="S452" t="n">
        <v>0</v>
      </c>
      <c r="T452" t="n">
        <v>0</v>
      </c>
      <c r="U452" t="n">
        <v>0</v>
      </c>
      <c r="V452" s="2" t="inlineStr"/>
    </row>
    <row r="453" ht="15" customHeight="1">
      <c r="A453" t="inlineStr">
        <is>
          <t>A 10319-2026</t>
        </is>
      </c>
      <c r="B453" t="inlineStr">
        <is>
          <t>avverkningsanmälan</t>
        </is>
      </c>
      <c r="C453" t="inlineStr">
        <is>
          <t>Föryngringsavverkning</t>
        </is>
      </c>
      <c r="D453" s="1" t="n">
        <v>46076</v>
      </c>
      <c r="E453" s="1" t="n">
        <v>46312</v>
      </c>
      <c r="F453" t="inlineStr">
        <is>
          <t>JÄMTLANDS LÄN</t>
        </is>
      </c>
      <c r="G453" t="inlineStr">
        <is>
          <t>ÖSTERSUND</t>
        </is>
      </c>
      <c r="H453" t="inlineStr">
        <is>
          <t>SCA</t>
        </is>
      </c>
      <c r="I453" t="n">
        <v>10.3</v>
      </c>
      <c r="J453" t="n">
        <v>0</v>
      </c>
      <c r="K453" t="n">
        <v>0</v>
      </c>
      <c r="L453" t="n">
        <v>0</v>
      </c>
      <c r="M453" t="n">
        <v>0</v>
      </c>
      <c r="N453" t="n">
        <v>0</v>
      </c>
      <c r="O453" t="n">
        <v>0</v>
      </c>
      <c r="P453" t="n">
        <v>0</v>
      </c>
      <c r="Q453" t="n">
        <v>0</v>
      </c>
      <c r="R453" t="n">
        <v>0</v>
      </c>
      <c r="S453" t="n">
        <v>0</v>
      </c>
      <c r="T453" t="n">
        <v>0</v>
      </c>
      <c r="U453" t="n">
        <v>0</v>
      </c>
      <c r="V453" s="2" t="inlineStr"/>
    </row>
    <row r="454" ht="15" customHeight="1">
      <c r="A454" t="inlineStr">
        <is>
          <t>A 10266-2025</t>
        </is>
      </c>
      <c r="B454" t="inlineStr">
        <is>
          <t>avverkningsanmälan</t>
        </is>
      </c>
      <c r="C454" t="inlineStr">
        <is>
          <t>Föryngringsavverkning</t>
        </is>
      </c>
      <c r="D454" s="1" t="n">
        <v>45720</v>
      </c>
      <c r="E454" s="1" t="n">
        <v>46312</v>
      </c>
      <c r="F454" t="inlineStr">
        <is>
          <t>JÄMTLANDS LÄN</t>
        </is>
      </c>
      <c r="G454" t="inlineStr">
        <is>
          <t>ÖSTERSUND</t>
        </is>
      </c>
      <c r="H454" t="inlineStr">
        <is>
          <t>SCA</t>
        </is>
      </c>
      <c r="I454" t="n">
        <v>3.7</v>
      </c>
      <c r="J454" t="n">
        <v>0</v>
      </c>
      <c r="K454" t="n">
        <v>0</v>
      </c>
      <c r="L454" t="n">
        <v>0</v>
      </c>
      <c r="M454" t="n">
        <v>0</v>
      </c>
      <c r="N454" t="n">
        <v>0</v>
      </c>
      <c r="O454" t="n">
        <v>0</v>
      </c>
      <c r="P454" t="n">
        <v>0</v>
      </c>
      <c r="Q454" t="n">
        <v>0</v>
      </c>
      <c r="R454" t="n">
        <v>0</v>
      </c>
      <c r="S454" t="n">
        <v>0</v>
      </c>
      <c r="T454" t="n">
        <v>0</v>
      </c>
      <c r="U454" t="n">
        <v>0</v>
      </c>
      <c r="V454" s="2" t="inlineStr"/>
    </row>
    <row r="455" ht="15" customHeight="1">
      <c r="A455" t="inlineStr">
        <is>
          <t>A 14947-2025</t>
        </is>
      </c>
      <c r="B455" t="inlineStr">
        <is>
          <t>avverkningsanmälan</t>
        </is>
      </c>
      <c r="C455" t="inlineStr">
        <is>
          <t>Föryngringsavverkning</t>
        </is>
      </c>
      <c r="D455" s="1" t="n">
        <v>45743</v>
      </c>
      <c r="E455" s="1" t="n">
        <v>46312</v>
      </c>
      <c r="F455" t="inlineStr">
        <is>
          <t>JÄMTLANDS LÄN</t>
        </is>
      </c>
      <c r="G455" t="inlineStr">
        <is>
          <t>ÖSTERSUND</t>
        </is>
      </c>
      <c r="I455" t="n">
        <v>0.5</v>
      </c>
      <c r="J455" t="n">
        <v>0</v>
      </c>
      <c r="K455" t="n">
        <v>0</v>
      </c>
      <c r="L455" t="n">
        <v>0</v>
      </c>
      <c r="M455" t="n">
        <v>0</v>
      </c>
      <c r="N455" t="n">
        <v>0</v>
      </c>
      <c r="O455" t="n">
        <v>0</v>
      </c>
      <c r="P455" t="n">
        <v>0</v>
      </c>
      <c r="Q455" t="n">
        <v>0</v>
      </c>
      <c r="R455" t="n">
        <v>0</v>
      </c>
      <c r="S455" t="n">
        <v>0</v>
      </c>
      <c r="T455" t="n">
        <v>0</v>
      </c>
      <c r="U455" t="n">
        <v>0</v>
      </c>
      <c r="V455" s="2" t="inlineStr"/>
    </row>
    <row r="456" ht="15" customHeight="1">
      <c r="A456" t="inlineStr">
        <is>
          <t>A 10756-2025</t>
        </is>
      </c>
      <c r="B456" t="inlineStr">
        <is>
          <t>avverkningsanmälan</t>
        </is>
      </c>
      <c r="C456" t="inlineStr">
        <is>
          <t>Föryngringsavverkning</t>
        </is>
      </c>
      <c r="D456" s="1" t="n">
        <v>45722</v>
      </c>
      <c r="E456" s="1" t="n">
        <v>46312</v>
      </c>
      <c r="F456" t="inlineStr">
        <is>
          <t>JÄMTLANDS LÄN</t>
        </is>
      </c>
      <c r="G456" t="inlineStr">
        <is>
          <t>ÖSTERSUND</t>
        </is>
      </c>
      <c r="H456" t="inlineStr">
        <is>
          <t>SCA</t>
        </is>
      </c>
      <c r="I456" t="n">
        <v>4.3</v>
      </c>
      <c r="J456" t="n">
        <v>0</v>
      </c>
      <c r="K456" t="n">
        <v>0</v>
      </c>
      <c r="L456" t="n">
        <v>0</v>
      </c>
      <c r="M456" t="n">
        <v>0</v>
      </c>
      <c r="N456" t="n">
        <v>0</v>
      </c>
      <c r="O456" t="n">
        <v>0</v>
      </c>
      <c r="P456" t="n">
        <v>0</v>
      </c>
      <c r="Q456" t="n">
        <v>0</v>
      </c>
      <c r="R456" t="n">
        <v>0</v>
      </c>
      <c r="S456" t="n">
        <v>0</v>
      </c>
      <c r="T456" t="n">
        <v>0</v>
      </c>
      <c r="U456" t="n">
        <v>0</v>
      </c>
      <c r="V456" s="2" t="inlineStr"/>
    </row>
    <row r="457" ht="15" customHeight="1">
      <c r="A457" t="inlineStr">
        <is>
          <t>A 56811-2025</t>
        </is>
      </c>
      <c r="B457" t="inlineStr">
        <is>
          <t>avverkningsanmälan</t>
        </is>
      </c>
      <c r="C457" t="inlineStr">
        <is>
          <t>Avverkning för annat ändamål</t>
        </is>
      </c>
      <c r="D457" s="1" t="n">
        <v>45978</v>
      </c>
      <c r="E457" s="1" t="n">
        <v>46312</v>
      </c>
      <c r="F457" t="inlineStr">
        <is>
          <t>JÄMTLANDS LÄN</t>
        </is>
      </c>
      <c r="G457" t="inlineStr">
        <is>
          <t>ÖSTERSUND</t>
        </is>
      </c>
      <c r="I457" t="n">
        <v>0.7</v>
      </c>
      <c r="J457" t="n">
        <v>0</v>
      </c>
      <c r="K457" t="n">
        <v>0</v>
      </c>
      <c r="L457" t="n">
        <v>0</v>
      </c>
      <c r="M457" t="n">
        <v>0</v>
      </c>
      <c r="N457" t="n">
        <v>0</v>
      </c>
      <c r="O457" t="n">
        <v>0</v>
      </c>
      <c r="P457" t="n">
        <v>0</v>
      </c>
      <c r="Q457" t="n">
        <v>0</v>
      </c>
      <c r="R457" t="n">
        <v>0</v>
      </c>
      <c r="S457" t="n">
        <v>0</v>
      </c>
      <c r="T457" t="n">
        <v>0</v>
      </c>
      <c r="U457" t="n">
        <v>0</v>
      </c>
      <c r="V457" s="2" t="inlineStr"/>
    </row>
    <row r="458" ht="15" customHeight="1">
      <c r="A458" t="inlineStr">
        <is>
          <t>A 13651-2025</t>
        </is>
      </c>
      <c r="B458" t="inlineStr">
        <is>
          <t>avverkningsanmälan</t>
        </is>
      </c>
      <c r="C458" t="inlineStr">
        <is>
          <t>Föryngringsavverkning</t>
        </is>
      </c>
      <c r="D458" s="1" t="n">
        <v>45736</v>
      </c>
      <c r="E458" s="1" t="n">
        <v>46312</v>
      </c>
      <c r="F458" t="inlineStr">
        <is>
          <t>JÄMTLANDS LÄN</t>
        </is>
      </c>
      <c r="G458" t="inlineStr">
        <is>
          <t>ÖSTERSUND</t>
        </is>
      </c>
      <c r="I458" t="n">
        <v>3.7</v>
      </c>
      <c r="J458" t="n">
        <v>0</v>
      </c>
      <c r="K458" t="n">
        <v>0</v>
      </c>
      <c r="L458" t="n">
        <v>0</v>
      </c>
      <c r="M458" t="n">
        <v>0</v>
      </c>
      <c r="N458" t="n">
        <v>0</v>
      </c>
      <c r="O458" t="n">
        <v>0</v>
      </c>
      <c r="P458" t="n">
        <v>0</v>
      </c>
      <c r="Q458" t="n">
        <v>0</v>
      </c>
      <c r="R458" t="n">
        <v>0</v>
      </c>
      <c r="S458" t="n">
        <v>0</v>
      </c>
      <c r="T458" t="n">
        <v>0</v>
      </c>
      <c r="U458" t="n">
        <v>0</v>
      </c>
      <c r="V458" s="2" t="inlineStr"/>
    </row>
    <row r="459" ht="15" customHeight="1">
      <c r="A459" t="inlineStr">
        <is>
          <t>A 14831-2025</t>
        </is>
      </c>
      <c r="B459" t="inlineStr">
        <is>
          <t>avverkningsanmälan</t>
        </is>
      </c>
      <c r="C459" t="inlineStr">
        <is>
          <t>Föryngringsavverkning</t>
        </is>
      </c>
      <c r="D459" s="1" t="n">
        <v>45743</v>
      </c>
      <c r="E459" s="1" t="n">
        <v>46312</v>
      </c>
      <c r="F459" t="inlineStr">
        <is>
          <t>JÄMTLANDS LÄN</t>
        </is>
      </c>
      <c r="G459" t="inlineStr">
        <is>
          <t>ÖSTERSUND</t>
        </is>
      </c>
      <c r="I459" t="n">
        <v>1.2</v>
      </c>
      <c r="J459" t="n">
        <v>0</v>
      </c>
      <c r="K459" t="n">
        <v>0</v>
      </c>
      <c r="L459" t="n">
        <v>0</v>
      </c>
      <c r="M459" t="n">
        <v>0</v>
      </c>
      <c r="N459" t="n">
        <v>0</v>
      </c>
      <c r="O459" t="n">
        <v>0</v>
      </c>
      <c r="P459" t="n">
        <v>0</v>
      </c>
      <c r="Q459" t="n">
        <v>0</v>
      </c>
      <c r="R459" t="n">
        <v>0</v>
      </c>
      <c r="S459" t="n">
        <v>0</v>
      </c>
      <c r="T459" t="n">
        <v>0</v>
      </c>
      <c r="U459" t="n">
        <v>0</v>
      </c>
      <c r="V459" s="2" t="inlineStr"/>
    </row>
    <row r="460" ht="15" customHeight="1">
      <c r="A460" t="inlineStr">
        <is>
          <t>A 10267-2025</t>
        </is>
      </c>
      <c r="B460" t="inlineStr">
        <is>
          <t>avverkningsanmälan</t>
        </is>
      </c>
      <c r="C460" t="inlineStr">
        <is>
          <t>Föryngringsavverkning</t>
        </is>
      </c>
      <c r="D460" s="1" t="n">
        <v>45720</v>
      </c>
      <c r="E460" s="1" t="n">
        <v>46312</v>
      </c>
      <c r="F460" t="inlineStr">
        <is>
          <t>JÄMTLANDS LÄN</t>
        </is>
      </c>
      <c r="G460" t="inlineStr">
        <is>
          <t>ÖSTERSUND</t>
        </is>
      </c>
      <c r="H460" t="inlineStr">
        <is>
          <t>SCA</t>
        </is>
      </c>
      <c r="I460" t="n">
        <v>2.8</v>
      </c>
      <c r="J460" t="n">
        <v>0</v>
      </c>
      <c r="K460" t="n">
        <v>0</v>
      </c>
      <c r="L460" t="n">
        <v>0</v>
      </c>
      <c r="M460" t="n">
        <v>0</v>
      </c>
      <c r="N460" t="n">
        <v>0</v>
      </c>
      <c r="O460" t="n">
        <v>0</v>
      </c>
      <c r="P460" t="n">
        <v>0</v>
      </c>
      <c r="Q460" t="n">
        <v>0</v>
      </c>
      <c r="R460" t="n">
        <v>0</v>
      </c>
      <c r="S460" t="n">
        <v>0</v>
      </c>
      <c r="T460" t="n">
        <v>0</v>
      </c>
      <c r="U460" t="n">
        <v>0</v>
      </c>
      <c r="V460" s="2" t="inlineStr"/>
    </row>
    <row r="461" ht="15" customHeight="1">
      <c r="A461" t="inlineStr">
        <is>
          <t>A 27625-2026</t>
        </is>
      </c>
      <c r="B461" t="inlineStr">
        <is>
          <t>avverkningsanmälan</t>
        </is>
      </c>
      <c r="C461" t="inlineStr">
        <is>
          <t>Föryngringsavverkning</t>
        </is>
      </c>
      <c r="D461" s="1" t="n">
        <v>46190</v>
      </c>
      <c r="E461" s="1" t="n">
        <v>46312</v>
      </c>
      <c r="F461" t="inlineStr">
        <is>
          <t>JÄMTLANDS LÄN</t>
        </is>
      </c>
      <c r="G461" t="inlineStr">
        <is>
          <t>ÖSTERSUND</t>
        </is>
      </c>
      <c r="I461" t="n">
        <v>1.3</v>
      </c>
      <c r="J461" t="n">
        <v>0</v>
      </c>
      <c r="K461" t="n">
        <v>0</v>
      </c>
      <c r="L461" t="n">
        <v>0</v>
      </c>
      <c r="M461" t="n">
        <v>0</v>
      </c>
      <c r="N461" t="n">
        <v>0</v>
      </c>
      <c r="O461" t="n">
        <v>0</v>
      </c>
      <c r="P461" t="n">
        <v>0</v>
      </c>
      <c r="Q461" t="n">
        <v>0</v>
      </c>
      <c r="R461" t="n">
        <v>0</v>
      </c>
      <c r="S461" t="n">
        <v>0</v>
      </c>
      <c r="T461" t="n">
        <v>0</v>
      </c>
      <c r="U461" t="n">
        <v>0</v>
      </c>
      <c r="V461" s="2" t="inlineStr"/>
    </row>
    <row r="462" ht="15" customHeight="1">
      <c r="A462" t="inlineStr">
        <is>
          <t>A 27636-2026</t>
        </is>
      </c>
      <c r="B462" t="inlineStr">
        <is>
          <t>avverkningsanmälan</t>
        </is>
      </c>
      <c r="C462" t="inlineStr">
        <is>
          <t>Föryngringsavverkning</t>
        </is>
      </c>
      <c r="D462" s="1" t="n">
        <v>46190</v>
      </c>
      <c r="E462" s="1" t="n">
        <v>46312</v>
      </c>
      <c r="F462" t="inlineStr">
        <is>
          <t>JÄMTLANDS LÄN</t>
        </is>
      </c>
      <c r="G462" t="inlineStr">
        <is>
          <t>ÖSTERSUND</t>
        </is>
      </c>
      <c r="I462" t="n">
        <v>2.4</v>
      </c>
      <c r="J462" t="n">
        <v>0</v>
      </c>
      <c r="K462" t="n">
        <v>0</v>
      </c>
      <c r="L462" t="n">
        <v>0</v>
      </c>
      <c r="M462" t="n">
        <v>0</v>
      </c>
      <c r="N462" t="n">
        <v>0</v>
      </c>
      <c r="O462" t="n">
        <v>0</v>
      </c>
      <c r="P462" t="n">
        <v>0</v>
      </c>
      <c r="Q462" t="n">
        <v>0</v>
      </c>
      <c r="R462" t="n">
        <v>0</v>
      </c>
      <c r="S462" t="n">
        <v>0</v>
      </c>
      <c r="T462" t="n">
        <v>0</v>
      </c>
      <c r="U462" t="n">
        <v>0</v>
      </c>
      <c r="V462" s="2" t="inlineStr"/>
    </row>
    <row r="463" ht="15" customHeight="1">
      <c r="A463" t="inlineStr">
        <is>
          <t>A 19581-2025</t>
        </is>
      </c>
      <c r="B463" t="inlineStr">
        <is>
          <t>avverkningsanmälan</t>
        </is>
      </c>
      <c r="C463" t="inlineStr">
        <is>
          <t>Föryngringsavverkning</t>
        </is>
      </c>
      <c r="D463" s="1" t="n">
        <v>45770</v>
      </c>
      <c r="E463" s="1" t="n">
        <v>46312</v>
      </c>
      <c r="F463" t="inlineStr">
        <is>
          <t>JÄMTLANDS LÄN</t>
        </is>
      </c>
      <c r="G463" t="inlineStr">
        <is>
          <t>ÖSTERSUND</t>
        </is>
      </c>
      <c r="I463" t="n">
        <v>17.2</v>
      </c>
      <c r="J463" t="n">
        <v>0</v>
      </c>
      <c r="K463" t="n">
        <v>0</v>
      </c>
      <c r="L463" t="n">
        <v>0</v>
      </c>
      <c r="M463" t="n">
        <v>0</v>
      </c>
      <c r="N463" t="n">
        <v>0</v>
      </c>
      <c r="O463" t="n">
        <v>0</v>
      </c>
      <c r="P463" t="n">
        <v>0</v>
      </c>
      <c r="Q463" t="n">
        <v>0</v>
      </c>
      <c r="R463" t="n">
        <v>0</v>
      </c>
      <c r="S463" t="n">
        <v>0</v>
      </c>
      <c r="T463" t="n">
        <v>0</v>
      </c>
      <c r="U463" t="n">
        <v>0</v>
      </c>
      <c r="V463" s="2" t="inlineStr"/>
    </row>
    <row r="464" ht="15" customHeight="1">
      <c r="A464" t="inlineStr">
        <is>
          <t>A 38926-2024</t>
        </is>
      </c>
      <c r="B464" t="inlineStr">
        <is>
          <t>avverkningsanmälan</t>
        </is>
      </c>
      <c r="C464" t="inlineStr">
        <is>
          <t>Föryngringsavverkning</t>
        </is>
      </c>
      <c r="D464" s="1" t="n">
        <v>45547</v>
      </c>
      <c r="E464" s="1" t="n">
        <v>46312</v>
      </c>
      <c r="F464" t="inlineStr">
        <is>
          <t>JÄMTLANDS LÄN</t>
        </is>
      </c>
      <c r="G464" t="inlineStr">
        <is>
          <t>ÖSTERSUND</t>
        </is>
      </c>
      <c r="I464" t="n">
        <v>0.4</v>
      </c>
      <c r="J464" t="n">
        <v>0</v>
      </c>
      <c r="K464" t="n">
        <v>0</v>
      </c>
      <c r="L464" t="n">
        <v>0</v>
      </c>
      <c r="M464" t="n">
        <v>0</v>
      </c>
      <c r="N464" t="n">
        <v>0</v>
      </c>
      <c r="O464" t="n">
        <v>0</v>
      </c>
      <c r="P464" t="n">
        <v>0</v>
      </c>
      <c r="Q464" t="n">
        <v>0</v>
      </c>
      <c r="R464" t="n">
        <v>0</v>
      </c>
      <c r="S464" t="n">
        <v>0</v>
      </c>
      <c r="T464" t="n">
        <v>0</v>
      </c>
      <c r="U464" t="n">
        <v>0</v>
      </c>
      <c r="V464" s="2" t="inlineStr"/>
    </row>
    <row r="465" ht="15" customHeight="1">
      <c r="A465" t="inlineStr">
        <is>
          <t>A 27653-2026</t>
        </is>
      </c>
      <c r="B465" t="inlineStr">
        <is>
          <t>avverkningsanmälan</t>
        </is>
      </c>
      <c r="C465" t="inlineStr">
        <is>
          <t>Avverkning för att bevara och utveckla /försöksver</t>
        </is>
      </c>
      <c r="D465" s="1" t="n">
        <v>46190</v>
      </c>
      <c r="E465" s="1" t="n">
        <v>46312</v>
      </c>
      <c r="F465" t="inlineStr">
        <is>
          <t>JÄMTLANDS LÄN</t>
        </is>
      </c>
      <c r="G465" t="inlineStr">
        <is>
          <t>ÖSTERSUND</t>
        </is>
      </c>
      <c r="I465" t="n">
        <v>4.2</v>
      </c>
      <c r="J465" t="n">
        <v>0</v>
      </c>
      <c r="K465" t="n">
        <v>0</v>
      </c>
      <c r="L465" t="n">
        <v>0</v>
      </c>
      <c r="M465" t="n">
        <v>0</v>
      </c>
      <c r="N465" t="n">
        <v>0</v>
      </c>
      <c r="O465" t="n">
        <v>0</v>
      </c>
      <c r="P465" t="n">
        <v>0</v>
      </c>
      <c r="Q465" t="n">
        <v>0</v>
      </c>
      <c r="R465" t="n">
        <v>0</v>
      </c>
      <c r="S465" t="n">
        <v>0</v>
      </c>
      <c r="T465" t="n">
        <v>0</v>
      </c>
      <c r="U465" t="n">
        <v>0</v>
      </c>
      <c r="V465" s="2" t="inlineStr"/>
    </row>
    <row r="466" ht="15" customHeight="1">
      <c r="A466" t="inlineStr">
        <is>
          <t>A 12726-2026</t>
        </is>
      </c>
      <c r="B466" t="inlineStr">
        <is>
          <t>avverkningsanmälan</t>
        </is>
      </c>
      <c r="C466" t="inlineStr">
        <is>
          <t>Föryngringsavverkning</t>
        </is>
      </c>
      <c r="D466" s="1" t="n">
        <v>46091</v>
      </c>
      <c r="E466" s="1" t="n">
        <v>46312</v>
      </c>
      <c r="F466" t="inlineStr">
        <is>
          <t>JÄMTLANDS LÄN</t>
        </is>
      </c>
      <c r="G466" t="inlineStr">
        <is>
          <t>ÖSTERSUND</t>
        </is>
      </c>
      <c r="I466" t="n">
        <v>1</v>
      </c>
      <c r="J466" t="n">
        <v>0</v>
      </c>
      <c r="K466" t="n">
        <v>0</v>
      </c>
      <c r="L466" t="n">
        <v>0</v>
      </c>
      <c r="M466" t="n">
        <v>0</v>
      </c>
      <c r="N466" t="n">
        <v>0</v>
      </c>
      <c r="O466" t="n">
        <v>0</v>
      </c>
      <c r="P466" t="n">
        <v>0</v>
      </c>
      <c r="Q466" t="n">
        <v>0</v>
      </c>
      <c r="R466" t="n">
        <v>0</v>
      </c>
      <c r="S466" t="n">
        <v>0</v>
      </c>
      <c r="T466" t="n">
        <v>0</v>
      </c>
      <c r="U466" t="n">
        <v>0</v>
      </c>
      <c r="V466" s="2" t="inlineStr"/>
    </row>
    <row r="467" ht="15" customHeight="1">
      <c r="A467" t="inlineStr">
        <is>
          <t>A 13994-2026</t>
        </is>
      </c>
      <c r="B467" t="inlineStr">
        <is>
          <t>avverkningsanmälan</t>
        </is>
      </c>
      <c r="C467" t="inlineStr">
        <is>
          <t>Avverkning för annat ändamål</t>
        </is>
      </c>
      <c r="D467" s="1" t="n">
        <v>46098</v>
      </c>
      <c r="E467" s="1" t="n">
        <v>46312</v>
      </c>
      <c r="F467" t="inlineStr">
        <is>
          <t>JÄMTLANDS LÄN</t>
        </is>
      </c>
      <c r="G467" t="inlineStr">
        <is>
          <t>ÖSTERSUND</t>
        </is>
      </c>
      <c r="I467" t="n">
        <v>0.4</v>
      </c>
      <c r="J467" t="n">
        <v>0</v>
      </c>
      <c r="K467" t="n">
        <v>0</v>
      </c>
      <c r="L467" t="n">
        <v>0</v>
      </c>
      <c r="M467" t="n">
        <v>0</v>
      </c>
      <c r="N467" t="n">
        <v>0</v>
      </c>
      <c r="O467" t="n">
        <v>0</v>
      </c>
      <c r="P467" t="n">
        <v>0</v>
      </c>
      <c r="Q467" t="n">
        <v>0</v>
      </c>
      <c r="R467" t="n">
        <v>0</v>
      </c>
      <c r="S467" t="n">
        <v>0</v>
      </c>
      <c r="T467" t="n">
        <v>0</v>
      </c>
      <c r="U467" t="n">
        <v>0</v>
      </c>
      <c r="V467" s="2" t="inlineStr"/>
    </row>
    <row r="468" ht="15" customHeight="1">
      <c r="A468" t="inlineStr">
        <is>
          <t>A 7224-2024</t>
        </is>
      </c>
      <c r="B468" t="inlineStr">
        <is>
          <t>avverkningsanmälan</t>
        </is>
      </c>
      <c r="C468" t="inlineStr">
        <is>
          <t>Föryngringsavverkning</t>
        </is>
      </c>
      <c r="D468" s="1" t="n">
        <v>45344</v>
      </c>
      <c r="E468" s="1" t="n">
        <v>46312</v>
      </c>
      <c r="F468" t="inlineStr">
        <is>
          <t>JÄMTLANDS LÄN</t>
        </is>
      </c>
      <c r="G468" t="inlineStr">
        <is>
          <t>ÖSTERSUND</t>
        </is>
      </c>
      <c r="I468" t="n">
        <v>2.9</v>
      </c>
      <c r="J468" t="n">
        <v>0</v>
      </c>
      <c r="K468" t="n">
        <v>0</v>
      </c>
      <c r="L468" t="n">
        <v>0</v>
      </c>
      <c r="M468" t="n">
        <v>0</v>
      </c>
      <c r="N468" t="n">
        <v>0</v>
      </c>
      <c r="O468" t="n">
        <v>0</v>
      </c>
      <c r="P468" t="n">
        <v>0</v>
      </c>
      <c r="Q468" t="n">
        <v>0</v>
      </c>
      <c r="R468" t="n">
        <v>0</v>
      </c>
      <c r="S468" t="n">
        <v>0</v>
      </c>
      <c r="T468" t="n">
        <v>0</v>
      </c>
      <c r="U468" t="n">
        <v>0</v>
      </c>
      <c r="V468" s="2" t="inlineStr"/>
    </row>
    <row r="469" ht="15" customHeight="1">
      <c r="A469" t="inlineStr">
        <is>
          <t>A 47804-2024</t>
        </is>
      </c>
      <c r="B469" t="inlineStr">
        <is>
          <t>avverkningsanmälan</t>
        </is>
      </c>
      <c r="C469" t="inlineStr">
        <is>
          <t>Föryngringsavverkning</t>
        </is>
      </c>
      <c r="D469" s="1" t="n">
        <v>45588</v>
      </c>
      <c r="E469" s="1" t="n">
        <v>46312</v>
      </c>
      <c r="F469" t="inlineStr">
        <is>
          <t>JÄMTLANDS LÄN</t>
        </is>
      </c>
      <c r="G469" t="inlineStr">
        <is>
          <t>ÖSTERSUND</t>
        </is>
      </c>
      <c r="H469" t="inlineStr">
        <is>
          <t>SCA</t>
        </is>
      </c>
      <c r="I469" t="n">
        <v>7.3</v>
      </c>
      <c r="J469" t="n">
        <v>0</v>
      </c>
      <c r="K469" t="n">
        <v>0</v>
      </c>
      <c r="L469" t="n">
        <v>0</v>
      </c>
      <c r="M469" t="n">
        <v>0</v>
      </c>
      <c r="N469" t="n">
        <v>0</v>
      </c>
      <c r="O469" t="n">
        <v>0</v>
      </c>
      <c r="P469" t="n">
        <v>0</v>
      </c>
      <c r="Q469" t="n">
        <v>0</v>
      </c>
      <c r="R469" t="n">
        <v>0</v>
      </c>
      <c r="S469" t="n">
        <v>0</v>
      </c>
      <c r="T469" t="n">
        <v>0</v>
      </c>
      <c r="U469" t="n">
        <v>0</v>
      </c>
      <c r="V469" s="2" t="inlineStr"/>
    </row>
    <row r="470" ht="15" customHeight="1">
      <c r="A470" t="inlineStr">
        <is>
          <t>A 50218-2024</t>
        </is>
      </c>
      <c r="B470" t="inlineStr">
        <is>
          <t>avverkningsanmälan</t>
        </is>
      </c>
      <c r="C470" t="inlineStr">
        <is>
          <t>Föryngringsavverkning</t>
        </is>
      </c>
      <c r="D470" s="1" t="n">
        <v>45600</v>
      </c>
      <c r="E470" s="1" t="n">
        <v>46312</v>
      </c>
      <c r="F470" t="inlineStr">
        <is>
          <t>JÄMTLANDS LÄN</t>
        </is>
      </c>
      <c r="G470" t="inlineStr">
        <is>
          <t>ÖSTERSUND</t>
        </is>
      </c>
      <c r="H470" t="inlineStr">
        <is>
          <t>SCA</t>
        </is>
      </c>
      <c r="I470" t="n">
        <v>1</v>
      </c>
      <c r="J470" t="n">
        <v>0</v>
      </c>
      <c r="K470" t="n">
        <v>0</v>
      </c>
      <c r="L470" t="n">
        <v>0</v>
      </c>
      <c r="M470" t="n">
        <v>0</v>
      </c>
      <c r="N470" t="n">
        <v>0</v>
      </c>
      <c r="O470" t="n">
        <v>0</v>
      </c>
      <c r="P470" t="n">
        <v>0</v>
      </c>
      <c r="Q470" t="n">
        <v>0</v>
      </c>
      <c r="R470" t="n">
        <v>0</v>
      </c>
      <c r="S470" t="n">
        <v>0</v>
      </c>
      <c r="T470" t="n">
        <v>0</v>
      </c>
      <c r="U470" t="n">
        <v>0</v>
      </c>
      <c r="V470" s="2" t="inlineStr"/>
    </row>
    <row r="471" ht="15" customHeight="1">
      <c r="A471" t="inlineStr">
        <is>
          <t>A 18577-2025</t>
        </is>
      </c>
      <c r="B471" t="inlineStr">
        <is>
          <t>avverkningsanmälan</t>
        </is>
      </c>
      <c r="C471" t="inlineStr">
        <is>
          <t>Avverkning för annat ändamål</t>
        </is>
      </c>
      <c r="D471" s="1" t="n">
        <v>45763</v>
      </c>
      <c r="E471" s="1" t="n">
        <v>46312</v>
      </c>
      <c r="F471" t="inlineStr">
        <is>
          <t>JÄMTLANDS LÄN</t>
        </is>
      </c>
      <c r="G471" t="inlineStr">
        <is>
          <t>ÖSTERSUND</t>
        </is>
      </c>
      <c r="I471" t="n">
        <v>3.5</v>
      </c>
      <c r="J471" t="n">
        <v>0</v>
      </c>
      <c r="K471" t="n">
        <v>0</v>
      </c>
      <c r="L471" t="n">
        <v>0</v>
      </c>
      <c r="M471" t="n">
        <v>0</v>
      </c>
      <c r="N471" t="n">
        <v>0</v>
      </c>
      <c r="O471" t="n">
        <v>0</v>
      </c>
      <c r="P471" t="n">
        <v>0</v>
      </c>
      <c r="Q471" t="n">
        <v>0</v>
      </c>
      <c r="R471" t="n">
        <v>0</v>
      </c>
      <c r="S471" t="n">
        <v>0</v>
      </c>
      <c r="T471" t="n">
        <v>0</v>
      </c>
      <c r="U471" t="n">
        <v>0</v>
      </c>
      <c r="V471" s="2" t="inlineStr"/>
    </row>
    <row r="472" ht="15" customHeight="1">
      <c r="A472" t="inlineStr">
        <is>
          <t>A 60780-2023</t>
        </is>
      </c>
      <c r="B472" t="inlineStr">
        <is>
          <t>avverkningsanmälan</t>
        </is>
      </c>
      <c r="C472" t="inlineStr">
        <is>
          <t>Föryngringsavverkning</t>
        </is>
      </c>
      <c r="D472" s="1" t="n">
        <v>45260</v>
      </c>
      <c r="E472" s="1" t="n">
        <v>46312</v>
      </c>
      <c r="F472" t="inlineStr">
        <is>
          <t>JÄMTLANDS LÄN</t>
        </is>
      </c>
      <c r="G472" t="inlineStr">
        <is>
          <t>ÖSTERSUND</t>
        </is>
      </c>
      <c r="I472" t="n">
        <v>3.7</v>
      </c>
      <c r="J472" t="n">
        <v>0</v>
      </c>
      <c r="K472" t="n">
        <v>0</v>
      </c>
      <c r="L472" t="n">
        <v>0</v>
      </c>
      <c r="M472" t="n">
        <v>0</v>
      </c>
      <c r="N472" t="n">
        <v>0</v>
      </c>
      <c r="O472" t="n">
        <v>0</v>
      </c>
      <c r="P472" t="n">
        <v>0</v>
      </c>
      <c r="Q472" t="n">
        <v>0</v>
      </c>
      <c r="R472" t="n">
        <v>0</v>
      </c>
      <c r="S472" t="n">
        <v>0</v>
      </c>
      <c r="T472" t="n">
        <v>0</v>
      </c>
      <c r="U472" t="n">
        <v>0</v>
      </c>
      <c r="V472" s="2" t="inlineStr"/>
    </row>
    <row r="473" ht="15" customHeight="1">
      <c r="A473" t="inlineStr">
        <is>
          <t>A 60794-2023</t>
        </is>
      </c>
      <c r="B473" t="inlineStr">
        <is>
          <t>avverkningsanmälan</t>
        </is>
      </c>
      <c r="C473" t="inlineStr">
        <is>
          <t>Föryngringsavverkning</t>
        </is>
      </c>
      <c r="D473" s="1" t="n">
        <v>45260</v>
      </c>
      <c r="E473" s="1" t="n">
        <v>46312</v>
      </c>
      <c r="F473" t="inlineStr">
        <is>
          <t>JÄMTLANDS LÄN</t>
        </is>
      </c>
      <c r="G473" t="inlineStr">
        <is>
          <t>ÖSTERSUND</t>
        </is>
      </c>
      <c r="I473" t="n">
        <v>3.6</v>
      </c>
      <c r="J473" t="n">
        <v>0</v>
      </c>
      <c r="K473" t="n">
        <v>0</v>
      </c>
      <c r="L473" t="n">
        <v>0</v>
      </c>
      <c r="M473" t="n">
        <v>0</v>
      </c>
      <c r="N473" t="n">
        <v>0</v>
      </c>
      <c r="O473" t="n">
        <v>0</v>
      </c>
      <c r="P473" t="n">
        <v>0</v>
      </c>
      <c r="Q473" t="n">
        <v>0</v>
      </c>
      <c r="R473" t="n">
        <v>0</v>
      </c>
      <c r="S473" t="n">
        <v>0</v>
      </c>
      <c r="T473" t="n">
        <v>0</v>
      </c>
      <c r="U473" t="n">
        <v>0</v>
      </c>
      <c r="V473" s="2" t="inlineStr"/>
    </row>
    <row r="474" ht="15" customHeight="1">
      <c r="A474" t="inlineStr">
        <is>
          <t>A 53714-2022</t>
        </is>
      </c>
      <c r="B474" t="inlineStr">
        <is>
          <t>avverkningsanmälan</t>
        </is>
      </c>
      <c r="C474" t="inlineStr">
        <is>
          <t>Föryngringsavverkning</t>
        </is>
      </c>
      <c r="D474" s="1" t="n">
        <v>44880</v>
      </c>
      <c r="E474" s="1" t="n">
        <v>46312</v>
      </c>
      <c r="F474" t="inlineStr">
        <is>
          <t>JÄMTLANDS LÄN</t>
        </is>
      </c>
      <c r="G474" t="inlineStr">
        <is>
          <t>ÖSTERSUND</t>
        </is>
      </c>
      <c r="I474" t="n">
        <v>1.3</v>
      </c>
      <c r="J474" t="n">
        <v>0</v>
      </c>
      <c r="K474" t="n">
        <v>0</v>
      </c>
      <c r="L474" t="n">
        <v>0</v>
      </c>
      <c r="M474" t="n">
        <v>0</v>
      </c>
      <c r="N474" t="n">
        <v>0</v>
      </c>
      <c r="O474" t="n">
        <v>0</v>
      </c>
      <c r="P474" t="n">
        <v>0</v>
      </c>
      <c r="Q474" t="n">
        <v>0</v>
      </c>
      <c r="R474" t="n">
        <v>0</v>
      </c>
      <c r="S474" t="n">
        <v>0</v>
      </c>
      <c r="T474" t="n">
        <v>0</v>
      </c>
      <c r="U474" t="n">
        <v>0</v>
      </c>
      <c r="V474" s="2" t="inlineStr"/>
    </row>
    <row r="475" ht="15" customHeight="1">
      <c r="A475" t="inlineStr">
        <is>
          <t>A 13674-2026</t>
        </is>
      </c>
      <c r="B475" t="inlineStr">
        <is>
          <t>avverkningsanmälan</t>
        </is>
      </c>
      <c r="C475" t="inlineStr">
        <is>
          <t>Föryngringsavverkning</t>
        </is>
      </c>
      <c r="D475" s="1" t="n">
        <v>46097</v>
      </c>
      <c r="E475" s="1" t="n">
        <v>46312</v>
      </c>
      <c r="F475" t="inlineStr">
        <is>
          <t>JÄMTLANDS LÄN</t>
        </is>
      </c>
      <c r="G475" t="inlineStr">
        <is>
          <t>ÖSTERSUND</t>
        </is>
      </c>
      <c r="H475" t="inlineStr">
        <is>
          <t>Övriga Aktiebolag</t>
        </is>
      </c>
      <c r="I475" t="n">
        <v>4.8</v>
      </c>
      <c r="J475" t="n">
        <v>0</v>
      </c>
      <c r="K475" t="n">
        <v>0</v>
      </c>
      <c r="L475" t="n">
        <v>0</v>
      </c>
      <c r="M475" t="n">
        <v>0</v>
      </c>
      <c r="N475" t="n">
        <v>0</v>
      </c>
      <c r="O475" t="n">
        <v>0</v>
      </c>
      <c r="P475" t="n">
        <v>0</v>
      </c>
      <c r="Q475" t="n">
        <v>0</v>
      </c>
      <c r="R475" t="n">
        <v>0</v>
      </c>
      <c r="S475" t="n">
        <v>0</v>
      </c>
      <c r="T475" t="n">
        <v>0</v>
      </c>
      <c r="U475" t="n">
        <v>0</v>
      </c>
      <c r="V475" s="2" t="inlineStr"/>
    </row>
    <row r="476" ht="15" customHeight="1">
      <c r="A476" t="inlineStr">
        <is>
          <t>A 8003-2025</t>
        </is>
      </c>
      <c r="B476" t="inlineStr">
        <is>
          <t>avverkningsanmälan</t>
        </is>
      </c>
      <c r="C476" t="inlineStr">
        <is>
          <t>Föryngringsavverkning</t>
        </is>
      </c>
      <c r="D476" s="1" t="n">
        <v>45707</v>
      </c>
      <c r="E476" s="1" t="n">
        <v>46312</v>
      </c>
      <c r="F476" t="inlineStr">
        <is>
          <t>JÄMTLANDS LÄN</t>
        </is>
      </c>
      <c r="G476" t="inlineStr">
        <is>
          <t>ÖSTERSUND</t>
        </is>
      </c>
      <c r="H476" t="inlineStr">
        <is>
          <t>Övriga Aktiebolag</t>
        </is>
      </c>
      <c r="I476" t="n">
        <v>35.1</v>
      </c>
      <c r="J476" t="n">
        <v>0</v>
      </c>
      <c r="K476" t="n">
        <v>0</v>
      </c>
      <c r="L476" t="n">
        <v>0</v>
      </c>
      <c r="M476" t="n">
        <v>0</v>
      </c>
      <c r="N476" t="n">
        <v>0</v>
      </c>
      <c r="O476" t="n">
        <v>0</v>
      </c>
      <c r="P476" t="n">
        <v>0</v>
      </c>
      <c r="Q476" t="n">
        <v>0</v>
      </c>
      <c r="R476" t="n">
        <v>0</v>
      </c>
      <c r="S476" t="n">
        <v>0</v>
      </c>
      <c r="T476" t="n">
        <v>0</v>
      </c>
      <c r="U476" t="n">
        <v>0</v>
      </c>
      <c r="V476" s="2" t="inlineStr"/>
    </row>
    <row r="477" ht="15" customHeight="1">
      <c r="A477" t="inlineStr">
        <is>
          <t>A 16970-2026</t>
        </is>
      </c>
      <c r="B477" t="inlineStr">
        <is>
          <t>avverkningsanmälan</t>
        </is>
      </c>
      <c r="C477" t="inlineStr">
        <is>
          <t>Avverkning för annat ändamål</t>
        </is>
      </c>
      <c r="D477" s="1" t="n">
        <v>46114</v>
      </c>
      <c r="E477" s="1" t="n">
        <v>46312</v>
      </c>
      <c r="F477" t="inlineStr">
        <is>
          <t>JÄMTLANDS LÄN</t>
        </is>
      </c>
      <c r="G477" t="inlineStr">
        <is>
          <t>ÖSTERSUND</t>
        </is>
      </c>
      <c r="I477" t="n">
        <v>0.8</v>
      </c>
      <c r="J477" t="n">
        <v>0</v>
      </c>
      <c r="K477" t="n">
        <v>0</v>
      </c>
      <c r="L477" t="n">
        <v>0</v>
      </c>
      <c r="M477" t="n">
        <v>0</v>
      </c>
      <c r="N477" t="n">
        <v>0</v>
      </c>
      <c r="O477" t="n">
        <v>0</v>
      </c>
      <c r="P477" t="n">
        <v>0</v>
      </c>
      <c r="Q477" t="n">
        <v>0</v>
      </c>
      <c r="R477" t="n">
        <v>0</v>
      </c>
      <c r="S477" t="n">
        <v>0</v>
      </c>
      <c r="T477" t="n">
        <v>0</v>
      </c>
      <c r="U477" t="n">
        <v>0</v>
      </c>
      <c r="V477" s="2" t="inlineStr"/>
    </row>
    <row r="478" ht="15" customHeight="1">
      <c r="A478" t="inlineStr">
        <is>
          <t>A 25385-2024</t>
        </is>
      </c>
      <c r="B478" t="inlineStr">
        <is>
          <t>avverkningsanmälan</t>
        </is>
      </c>
      <c r="C478" t="inlineStr">
        <is>
          <t>Föryngringsavverkning</t>
        </is>
      </c>
      <c r="D478" s="1" t="n">
        <v>45462</v>
      </c>
      <c r="E478" s="1" t="n">
        <v>46312</v>
      </c>
      <c r="F478" t="inlineStr">
        <is>
          <t>JÄMTLANDS LÄN</t>
        </is>
      </c>
      <c r="G478" t="inlineStr">
        <is>
          <t>ÖSTERSUND</t>
        </is>
      </c>
      <c r="H478" t="inlineStr">
        <is>
          <t>SCA</t>
        </is>
      </c>
      <c r="I478" t="n">
        <v>5.2</v>
      </c>
      <c r="J478" t="n">
        <v>0</v>
      </c>
      <c r="K478" t="n">
        <v>0</v>
      </c>
      <c r="L478" t="n">
        <v>0</v>
      </c>
      <c r="M478" t="n">
        <v>0</v>
      </c>
      <c r="N478" t="n">
        <v>0</v>
      </c>
      <c r="O478" t="n">
        <v>0</v>
      </c>
      <c r="P478" t="n">
        <v>0</v>
      </c>
      <c r="Q478" t="n">
        <v>0</v>
      </c>
      <c r="R478" t="n">
        <v>0</v>
      </c>
      <c r="S478" t="n">
        <v>0</v>
      </c>
      <c r="T478" t="n">
        <v>0</v>
      </c>
      <c r="U478" t="n">
        <v>0</v>
      </c>
      <c r="V478" s="2" t="inlineStr"/>
    </row>
    <row r="479" ht="15" customHeight="1">
      <c r="A479" t="inlineStr">
        <is>
          <t>A 18065-2026</t>
        </is>
      </c>
      <c r="B479" t="inlineStr">
        <is>
          <t>avverkningsanmälan</t>
        </is>
      </c>
      <c r="C479" t="inlineStr">
        <is>
          <t>Föryngringsavverkning</t>
        </is>
      </c>
      <c r="D479" s="1" t="n">
        <v>46125</v>
      </c>
      <c r="E479" s="1" t="n">
        <v>46312</v>
      </c>
      <c r="F479" t="inlineStr">
        <is>
          <t>JÄMTLANDS LÄN</t>
        </is>
      </c>
      <c r="G479" t="inlineStr">
        <is>
          <t>ÖSTERSUND</t>
        </is>
      </c>
      <c r="I479" t="n">
        <v>1.2</v>
      </c>
      <c r="J479" t="n">
        <v>0</v>
      </c>
      <c r="K479" t="n">
        <v>0</v>
      </c>
      <c r="L479" t="n">
        <v>0</v>
      </c>
      <c r="M479" t="n">
        <v>0</v>
      </c>
      <c r="N479" t="n">
        <v>0</v>
      </c>
      <c r="O479" t="n">
        <v>0</v>
      </c>
      <c r="P479" t="n">
        <v>0</v>
      </c>
      <c r="Q479" t="n">
        <v>0</v>
      </c>
      <c r="R479" t="n">
        <v>0</v>
      </c>
      <c r="S479" t="n">
        <v>0</v>
      </c>
      <c r="T479" t="n">
        <v>0</v>
      </c>
      <c r="U479" t="n">
        <v>0</v>
      </c>
      <c r="V479" s="2" t="inlineStr"/>
    </row>
    <row r="480" ht="15" customHeight="1">
      <c r="A480" t="inlineStr">
        <is>
          <t>A 8027-2022</t>
        </is>
      </c>
      <c r="B480" t="inlineStr">
        <is>
          <t>avverkningsanmälan</t>
        </is>
      </c>
      <c r="C480" t="inlineStr">
        <is>
          <t>Avverkning för annat ändamål</t>
        </is>
      </c>
      <c r="D480" s="1" t="n">
        <v>44609</v>
      </c>
      <c r="E480" s="1" t="n">
        <v>46312</v>
      </c>
      <c r="F480" t="inlineStr">
        <is>
          <t>JÄMTLANDS LÄN</t>
        </is>
      </c>
      <c r="G480" t="inlineStr">
        <is>
          <t>ÖSTERSUND</t>
        </is>
      </c>
      <c r="I480" t="n">
        <v>1.6</v>
      </c>
      <c r="J480" t="n">
        <v>0</v>
      </c>
      <c r="K480" t="n">
        <v>0</v>
      </c>
      <c r="L480" t="n">
        <v>0</v>
      </c>
      <c r="M480" t="n">
        <v>0</v>
      </c>
      <c r="N480" t="n">
        <v>0</v>
      </c>
      <c r="O480" t="n">
        <v>0</v>
      </c>
      <c r="P480" t="n">
        <v>0</v>
      </c>
      <c r="Q480" t="n">
        <v>0</v>
      </c>
      <c r="R480" t="n">
        <v>0</v>
      </c>
      <c r="S480" t="n">
        <v>0</v>
      </c>
      <c r="T480" t="n">
        <v>0</v>
      </c>
      <c r="U480" t="n">
        <v>0</v>
      </c>
      <c r="V480" s="2" t="inlineStr"/>
    </row>
    <row r="481" ht="15" customHeight="1">
      <c r="A481" t="inlineStr">
        <is>
          <t>A 18411-2026</t>
        </is>
      </c>
      <c r="B481" t="inlineStr">
        <is>
          <t>avverkningsanmälan</t>
        </is>
      </c>
      <c r="C481" t="inlineStr">
        <is>
          <t>Föryngringsavverkning</t>
        </is>
      </c>
      <c r="D481" s="1" t="n">
        <v>46126</v>
      </c>
      <c r="E481" s="1" t="n">
        <v>46312</v>
      </c>
      <c r="F481" t="inlineStr">
        <is>
          <t>JÄMTLANDS LÄN</t>
        </is>
      </c>
      <c r="G481" t="inlineStr">
        <is>
          <t>ÖSTERSUND</t>
        </is>
      </c>
      <c r="H481" t="inlineStr">
        <is>
          <t>SCA</t>
        </is>
      </c>
      <c r="I481" t="n">
        <v>9.4</v>
      </c>
      <c r="J481" t="n">
        <v>0</v>
      </c>
      <c r="K481" t="n">
        <v>0</v>
      </c>
      <c r="L481" t="n">
        <v>0</v>
      </c>
      <c r="M481" t="n">
        <v>0</v>
      </c>
      <c r="N481" t="n">
        <v>0</v>
      </c>
      <c r="O481" t="n">
        <v>0</v>
      </c>
      <c r="P481" t="n">
        <v>0</v>
      </c>
      <c r="Q481" t="n">
        <v>0</v>
      </c>
      <c r="R481" t="n">
        <v>0</v>
      </c>
      <c r="S481" t="n">
        <v>0</v>
      </c>
      <c r="T481" t="n">
        <v>0</v>
      </c>
      <c r="U481" t="n">
        <v>0</v>
      </c>
      <c r="V481" s="2" t="inlineStr"/>
    </row>
    <row r="482" ht="15" customHeight="1">
      <c r="A482" t="inlineStr">
        <is>
          <t>A 11933-2022</t>
        </is>
      </c>
      <c r="B482" t="inlineStr">
        <is>
          <t>avverkningsanmälan</t>
        </is>
      </c>
      <c r="C482" t="inlineStr">
        <is>
          <t>Avverkning för annat ändamål</t>
        </is>
      </c>
      <c r="D482" s="1" t="n">
        <v>44635</v>
      </c>
      <c r="E482" s="1" t="n">
        <v>46312</v>
      </c>
      <c r="F482" t="inlineStr">
        <is>
          <t>JÄMTLANDS LÄN</t>
        </is>
      </c>
      <c r="G482" t="inlineStr">
        <is>
          <t>ÖSTERSUND</t>
        </is>
      </c>
      <c r="I482" t="n">
        <v>0.7</v>
      </c>
      <c r="J482" t="n">
        <v>0</v>
      </c>
      <c r="K482" t="n">
        <v>0</v>
      </c>
      <c r="L482" t="n">
        <v>0</v>
      </c>
      <c r="M482" t="n">
        <v>0</v>
      </c>
      <c r="N482" t="n">
        <v>0</v>
      </c>
      <c r="O482" t="n">
        <v>0</v>
      </c>
      <c r="P482" t="n">
        <v>0</v>
      </c>
      <c r="Q482" t="n">
        <v>0</v>
      </c>
      <c r="R482" t="n">
        <v>0</v>
      </c>
      <c r="S482" t="n">
        <v>0</v>
      </c>
      <c r="T482" t="n">
        <v>0</v>
      </c>
      <c r="U482" t="n">
        <v>0</v>
      </c>
      <c r="V482" s="2" t="inlineStr"/>
    </row>
    <row r="483" ht="15" customHeight="1">
      <c r="A483" t="inlineStr">
        <is>
          <t>A 19468-2026</t>
        </is>
      </c>
      <c r="B483" t="inlineStr">
        <is>
          <t>avverkningsanmälan</t>
        </is>
      </c>
      <c r="C483" t="inlineStr">
        <is>
          <t>Föryngringsavverkning</t>
        </is>
      </c>
      <c r="D483" s="1" t="n">
        <v>46133</v>
      </c>
      <c r="E483" s="1" t="n">
        <v>46312</v>
      </c>
      <c r="F483" t="inlineStr">
        <is>
          <t>JÄMTLANDS LÄN</t>
        </is>
      </c>
      <c r="G483" t="inlineStr">
        <is>
          <t>ÖSTERSUND</t>
        </is>
      </c>
      <c r="H483" t="inlineStr">
        <is>
          <t>SCA</t>
        </is>
      </c>
      <c r="I483" t="n">
        <v>0.7</v>
      </c>
      <c r="J483" t="n">
        <v>0</v>
      </c>
      <c r="K483" t="n">
        <v>0</v>
      </c>
      <c r="L483" t="n">
        <v>0</v>
      </c>
      <c r="M483" t="n">
        <v>0</v>
      </c>
      <c r="N483" t="n">
        <v>0</v>
      </c>
      <c r="O483" t="n">
        <v>0</v>
      </c>
      <c r="P483" t="n">
        <v>0</v>
      </c>
      <c r="Q483" t="n">
        <v>0</v>
      </c>
      <c r="R483" t="n">
        <v>0</v>
      </c>
      <c r="S483" t="n">
        <v>0</v>
      </c>
      <c r="T483" t="n">
        <v>0</v>
      </c>
      <c r="U483" t="n">
        <v>0</v>
      </c>
      <c r="V483" s="2" t="inlineStr"/>
    </row>
    <row r="484" ht="15" customHeight="1">
      <c r="A484" t="inlineStr">
        <is>
          <t>A 2753-2025</t>
        </is>
      </c>
      <c r="B484" t="inlineStr">
        <is>
          <t>avverkningsanmälan</t>
        </is>
      </c>
      <c r="C484" t="inlineStr">
        <is>
          <t>Föryngringsavverkning</t>
        </is>
      </c>
      <c r="D484" s="1" t="n">
        <v>45677</v>
      </c>
      <c r="E484" s="1" t="n">
        <v>46312</v>
      </c>
      <c r="F484" t="inlineStr">
        <is>
          <t>JÄMTLANDS LÄN</t>
        </is>
      </c>
      <c r="G484" t="inlineStr">
        <is>
          <t>ÖSTERSUND</t>
        </is>
      </c>
      <c r="I484" t="n">
        <v>6.4</v>
      </c>
      <c r="J484" t="n">
        <v>0</v>
      </c>
      <c r="K484" t="n">
        <v>0</v>
      </c>
      <c r="L484" t="n">
        <v>0</v>
      </c>
      <c r="M484" t="n">
        <v>0</v>
      </c>
      <c r="N484" t="n">
        <v>0</v>
      </c>
      <c r="O484" t="n">
        <v>0</v>
      </c>
      <c r="P484" t="n">
        <v>0</v>
      </c>
      <c r="Q484" t="n">
        <v>0</v>
      </c>
      <c r="R484" t="n">
        <v>0</v>
      </c>
      <c r="S484" t="n">
        <v>0</v>
      </c>
      <c r="T484" t="n">
        <v>0</v>
      </c>
      <c r="U484" t="n">
        <v>0</v>
      </c>
      <c r="V484" s="2" t="inlineStr"/>
    </row>
    <row r="485" ht="15" customHeight="1">
      <c r="A485" t="inlineStr">
        <is>
          <t>A 19162-2026</t>
        </is>
      </c>
      <c r="B485" t="inlineStr">
        <is>
          <t>avverkningsanmälan</t>
        </is>
      </c>
      <c r="C485" t="inlineStr">
        <is>
          <t>Föryngringsavverkning</t>
        </is>
      </c>
      <c r="D485" s="1" t="n">
        <v>46132</v>
      </c>
      <c r="E485" s="1" t="n">
        <v>46312</v>
      </c>
      <c r="F485" t="inlineStr">
        <is>
          <t>JÄMTLANDS LÄN</t>
        </is>
      </c>
      <c r="G485" t="inlineStr">
        <is>
          <t>ÖSTERSUND</t>
        </is>
      </c>
      <c r="I485" t="n">
        <v>3.3</v>
      </c>
      <c r="J485" t="n">
        <v>0</v>
      </c>
      <c r="K485" t="n">
        <v>0</v>
      </c>
      <c r="L485" t="n">
        <v>0</v>
      </c>
      <c r="M485" t="n">
        <v>0</v>
      </c>
      <c r="N485" t="n">
        <v>0</v>
      </c>
      <c r="O485" t="n">
        <v>0</v>
      </c>
      <c r="P485" t="n">
        <v>0</v>
      </c>
      <c r="Q485" t="n">
        <v>0</v>
      </c>
      <c r="R485" t="n">
        <v>0</v>
      </c>
      <c r="S485" t="n">
        <v>0</v>
      </c>
      <c r="T485" t="n">
        <v>0</v>
      </c>
      <c r="U485" t="n">
        <v>0</v>
      </c>
      <c r="V485" s="2" t="inlineStr"/>
    </row>
    <row r="486" ht="15" customHeight="1">
      <c r="A486" t="inlineStr">
        <is>
          <t>A 19789-2026</t>
        </is>
      </c>
      <c r="B486" t="inlineStr">
        <is>
          <t>avverkningsanmälan</t>
        </is>
      </c>
      <c r="C486" t="inlineStr">
        <is>
          <t>Föryngringsavverkning</t>
        </is>
      </c>
      <c r="D486" s="1" t="n">
        <v>46135</v>
      </c>
      <c r="E486" s="1" t="n">
        <v>46312</v>
      </c>
      <c r="F486" t="inlineStr">
        <is>
          <t>JÄMTLANDS LÄN</t>
        </is>
      </c>
      <c r="G486" t="inlineStr">
        <is>
          <t>ÖSTERSUND</t>
        </is>
      </c>
      <c r="I486" t="n">
        <v>2.7</v>
      </c>
      <c r="J486" t="n">
        <v>0</v>
      </c>
      <c r="K486" t="n">
        <v>0</v>
      </c>
      <c r="L486" t="n">
        <v>0</v>
      </c>
      <c r="M486" t="n">
        <v>0</v>
      </c>
      <c r="N486" t="n">
        <v>0</v>
      </c>
      <c r="O486" t="n">
        <v>0</v>
      </c>
      <c r="P486" t="n">
        <v>0</v>
      </c>
      <c r="Q486" t="n">
        <v>0</v>
      </c>
      <c r="R486" t="n">
        <v>0</v>
      </c>
      <c r="S486" t="n">
        <v>0</v>
      </c>
      <c r="T486" t="n">
        <v>0</v>
      </c>
      <c r="U486" t="n">
        <v>0</v>
      </c>
      <c r="V486" s="2" t="inlineStr"/>
    </row>
    <row r="487" ht="15" customHeight="1">
      <c r="A487" t="inlineStr">
        <is>
          <t>A 20400-2024</t>
        </is>
      </c>
      <c r="B487" t="inlineStr">
        <is>
          <t>avverkningsanmälan</t>
        </is>
      </c>
      <c r="C487" t="inlineStr">
        <is>
          <t>Föryngringsavverkning</t>
        </is>
      </c>
      <c r="D487" s="1" t="n">
        <v>45435</v>
      </c>
      <c r="E487" s="1" t="n">
        <v>46312</v>
      </c>
      <c r="F487" t="inlineStr">
        <is>
          <t>JÄMTLANDS LÄN</t>
        </is>
      </c>
      <c r="G487" t="inlineStr">
        <is>
          <t>ÖSTERSUND</t>
        </is>
      </c>
      <c r="I487" t="n">
        <v>0.9</v>
      </c>
      <c r="J487" t="n">
        <v>0</v>
      </c>
      <c r="K487" t="n">
        <v>0</v>
      </c>
      <c r="L487" t="n">
        <v>0</v>
      </c>
      <c r="M487" t="n">
        <v>0</v>
      </c>
      <c r="N487" t="n">
        <v>0</v>
      </c>
      <c r="O487" t="n">
        <v>0</v>
      </c>
      <c r="P487" t="n">
        <v>0</v>
      </c>
      <c r="Q487" t="n">
        <v>0</v>
      </c>
      <c r="R487" t="n">
        <v>0</v>
      </c>
      <c r="S487" t="n">
        <v>0</v>
      </c>
      <c r="T487" t="n">
        <v>0</v>
      </c>
      <c r="U487" t="n">
        <v>0</v>
      </c>
      <c r="V487" s="2" t="inlineStr"/>
    </row>
    <row r="488" ht="15" customHeight="1">
      <c r="A488" t="inlineStr">
        <is>
          <t>A 20588-2023</t>
        </is>
      </c>
      <c r="B488" t="inlineStr">
        <is>
          <t>avverkningsanmälan</t>
        </is>
      </c>
      <c r="C488" t="inlineStr">
        <is>
          <t>Föryngringsavverkning</t>
        </is>
      </c>
      <c r="D488" s="1" t="n">
        <v>45057</v>
      </c>
      <c r="E488" s="1" t="n">
        <v>46312</v>
      </c>
      <c r="F488" t="inlineStr">
        <is>
          <t>JÄMTLANDS LÄN</t>
        </is>
      </c>
      <c r="G488" t="inlineStr">
        <is>
          <t>ÖSTERSUND</t>
        </is>
      </c>
      <c r="I488" t="n">
        <v>0.9</v>
      </c>
      <c r="J488" t="n">
        <v>0</v>
      </c>
      <c r="K488" t="n">
        <v>0</v>
      </c>
      <c r="L488" t="n">
        <v>0</v>
      </c>
      <c r="M488" t="n">
        <v>0</v>
      </c>
      <c r="N488" t="n">
        <v>0</v>
      </c>
      <c r="O488" t="n">
        <v>0</v>
      </c>
      <c r="P488" t="n">
        <v>0</v>
      </c>
      <c r="Q488" t="n">
        <v>0</v>
      </c>
      <c r="R488" t="n">
        <v>0</v>
      </c>
      <c r="S488" t="n">
        <v>0</v>
      </c>
      <c r="T488" t="n">
        <v>0</v>
      </c>
      <c r="U488" t="n">
        <v>0</v>
      </c>
      <c r="V488" s="2" t="inlineStr"/>
    </row>
    <row r="489" ht="15" customHeight="1">
      <c r="A489" t="inlineStr">
        <is>
          <t>A 27689-2024</t>
        </is>
      </c>
      <c r="B489" t="inlineStr">
        <is>
          <t>avverkningsanmälan</t>
        </is>
      </c>
      <c r="C489" t="inlineStr">
        <is>
          <t>Föryngringsavverkning</t>
        </is>
      </c>
      <c r="D489" s="1" t="n">
        <v>45475</v>
      </c>
      <c r="E489" s="1" t="n">
        <v>46312</v>
      </c>
      <c r="F489" t="inlineStr">
        <is>
          <t>JÄMTLANDS LÄN</t>
        </is>
      </c>
      <c r="G489" t="inlineStr">
        <is>
          <t>ÖSTERSUND</t>
        </is>
      </c>
      <c r="I489" t="n">
        <v>0.6</v>
      </c>
      <c r="J489" t="n">
        <v>0</v>
      </c>
      <c r="K489" t="n">
        <v>0</v>
      </c>
      <c r="L489" t="n">
        <v>0</v>
      </c>
      <c r="M489" t="n">
        <v>0</v>
      </c>
      <c r="N489" t="n">
        <v>0</v>
      </c>
      <c r="O489" t="n">
        <v>0</v>
      </c>
      <c r="P489" t="n">
        <v>0</v>
      </c>
      <c r="Q489" t="n">
        <v>0</v>
      </c>
      <c r="R489" t="n">
        <v>0</v>
      </c>
      <c r="S489" t="n">
        <v>0</v>
      </c>
      <c r="T489" t="n">
        <v>0</v>
      </c>
      <c r="U489" t="n">
        <v>0</v>
      </c>
      <c r="V489" s="2" t="inlineStr"/>
    </row>
    <row r="490" ht="15" customHeight="1">
      <c r="A490" t="inlineStr">
        <is>
          <t>A 61267-2025</t>
        </is>
      </c>
      <c r="B490" t="inlineStr">
        <is>
          <t>avverkningsanmälan</t>
        </is>
      </c>
      <c r="C490" t="inlineStr">
        <is>
          <t>Föryngringsavverkning</t>
        </is>
      </c>
      <c r="D490" s="1" t="n">
        <v>46000</v>
      </c>
      <c r="E490" s="1" t="n">
        <v>46312</v>
      </c>
      <c r="F490" t="inlineStr">
        <is>
          <t>JÄMTLANDS LÄN</t>
        </is>
      </c>
      <c r="G490" t="inlineStr">
        <is>
          <t>ÖSTERSUND</t>
        </is>
      </c>
      <c r="I490" t="n">
        <v>3.6</v>
      </c>
      <c r="J490" t="n">
        <v>0</v>
      </c>
      <c r="K490" t="n">
        <v>0</v>
      </c>
      <c r="L490" t="n">
        <v>0</v>
      </c>
      <c r="M490" t="n">
        <v>0</v>
      </c>
      <c r="N490" t="n">
        <v>0</v>
      </c>
      <c r="O490" t="n">
        <v>0</v>
      </c>
      <c r="P490" t="n">
        <v>0</v>
      </c>
      <c r="Q490" t="n">
        <v>0</v>
      </c>
      <c r="R490" t="n">
        <v>0</v>
      </c>
      <c r="S490" t="n">
        <v>0</v>
      </c>
      <c r="T490" t="n">
        <v>0</v>
      </c>
      <c r="U490" t="n">
        <v>0</v>
      </c>
      <c r="V490" s="2" t="inlineStr"/>
    </row>
    <row r="491" ht="15" customHeight="1">
      <c r="A491" t="inlineStr">
        <is>
          <t>A 30051-2026</t>
        </is>
      </c>
      <c r="B491" t="inlineStr">
        <is>
          <t>avverkningsanmälan</t>
        </is>
      </c>
      <c r="C491" t="inlineStr">
        <is>
          <t>Föryngringsavverkning</t>
        </is>
      </c>
      <c r="D491" s="1" t="n">
        <v>46206</v>
      </c>
      <c r="E491" s="1" t="n">
        <v>46312</v>
      </c>
      <c r="F491" t="inlineStr">
        <is>
          <t>JÄMTLANDS LÄN</t>
        </is>
      </c>
      <c r="G491" t="inlineStr">
        <is>
          <t>ÖSTERSUND</t>
        </is>
      </c>
      <c r="I491" t="n">
        <v>1</v>
      </c>
      <c r="J491" t="n">
        <v>0</v>
      </c>
      <c r="K491" t="n">
        <v>0</v>
      </c>
      <c r="L491" t="n">
        <v>0</v>
      </c>
      <c r="M491" t="n">
        <v>0</v>
      </c>
      <c r="N491" t="n">
        <v>0</v>
      </c>
      <c r="O491" t="n">
        <v>0</v>
      </c>
      <c r="P491" t="n">
        <v>0</v>
      </c>
      <c r="Q491" t="n">
        <v>0</v>
      </c>
      <c r="R491" t="n">
        <v>0</v>
      </c>
      <c r="S491" t="n">
        <v>0</v>
      </c>
      <c r="T491" t="n">
        <v>0</v>
      </c>
      <c r="U491" t="n">
        <v>0</v>
      </c>
      <c r="V491" s="2" t="inlineStr"/>
    </row>
    <row r="492" ht="15" customHeight="1">
      <c r="A492" t="inlineStr">
        <is>
          <t>A 51479-2023</t>
        </is>
      </c>
      <c r="B492" t="inlineStr">
        <is>
          <t>avverkningsanmälan</t>
        </is>
      </c>
      <c r="C492" t="inlineStr">
        <is>
          <t>Föryngringsavverkning</t>
        </is>
      </c>
      <c r="D492" s="1" t="n">
        <v>45221</v>
      </c>
      <c r="E492" s="1" t="n">
        <v>46312</v>
      </c>
      <c r="F492" t="inlineStr">
        <is>
          <t>JÄMTLANDS LÄN</t>
        </is>
      </c>
      <c r="G492" t="inlineStr">
        <is>
          <t>ÖSTERSUND</t>
        </is>
      </c>
      <c r="I492" t="n">
        <v>1.9</v>
      </c>
      <c r="J492" t="n">
        <v>0</v>
      </c>
      <c r="K492" t="n">
        <v>0</v>
      </c>
      <c r="L492" t="n">
        <v>0</v>
      </c>
      <c r="M492" t="n">
        <v>0</v>
      </c>
      <c r="N492" t="n">
        <v>0</v>
      </c>
      <c r="O492" t="n">
        <v>0</v>
      </c>
      <c r="P492" t="n">
        <v>0</v>
      </c>
      <c r="Q492" t="n">
        <v>0</v>
      </c>
      <c r="R492" t="n">
        <v>0</v>
      </c>
      <c r="S492" t="n">
        <v>0</v>
      </c>
      <c r="T492" t="n">
        <v>0</v>
      </c>
      <c r="U492" t="n">
        <v>0</v>
      </c>
      <c r="V492" s="2" t="inlineStr"/>
    </row>
    <row r="493" ht="15" customHeight="1">
      <c r="A493" t="inlineStr">
        <is>
          <t>A 2978-2024</t>
        </is>
      </c>
      <c r="B493" t="inlineStr">
        <is>
          <t>avverkningsanmälan</t>
        </is>
      </c>
      <c r="C493" t="inlineStr">
        <is>
          <t>Föryngringsavverkning</t>
        </is>
      </c>
      <c r="D493" s="1" t="n">
        <v>45315</v>
      </c>
      <c r="E493" s="1" t="n">
        <v>46312</v>
      </c>
      <c r="F493" t="inlineStr">
        <is>
          <t>JÄMTLANDS LÄN</t>
        </is>
      </c>
      <c r="G493" t="inlineStr">
        <is>
          <t>ÖSTERSUND</t>
        </is>
      </c>
      <c r="I493" t="n">
        <v>1.7</v>
      </c>
      <c r="J493" t="n">
        <v>0</v>
      </c>
      <c r="K493" t="n">
        <v>0</v>
      </c>
      <c r="L493" t="n">
        <v>0</v>
      </c>
      <c r="M493" t="n">
        <v>0</v>
      </c>
      <c r="N493" t="n">
        <v>0</v>
      </c>
      <c r="O493" t="n">
        <v>0</v>
      </c>
      <c r="P493" t="n">
        <v>0</v>
      </c>
      <c r="Q493" t="n">
        <v>0</v>
      </c>
      <c r="R493" t="n">
        <v>0</v>
      </c>
      <c r="S493" t="n">
        <v>0</v>
      </c>
      <c r="T493" t="n">
        <v>0</v>
      </c>
      <c r="U493" t="n">
        <v>0</v>
      </c>
      <c r="V493" s="2" t="inlineStr"/>
    </row>
    <row r="494" ht="15" customHeight="1">
      <c r="A494" t="inlineStr">
        <is>
          <t>A 28181-2024</t>
        </is>
      </c>
      <c r="B494" t="inlineStr">
        <is>
          <t>avverkningsanmälan</t>
        </is>
      </c>
      <c r="C494" t="inlineStr">
        <is>
          <t>Föryngringsavverkning</t>
        </is>
      </c>
      <c r="D494" s="1" t="n">
        <v>45477</v>
      </c>
      <c r="E494" s="1" t="n">
        <v>46312</v>
      </c>
      <c r="F494" t="inlineStr">
        <is>
          <t>JÄMTLANDS LÄN</t>
        </is>
      </c>
      <c r="G494" t="inlineStr">
        <is>
          <t>ÖSTERSUND</t>
        </is>
      </c>
      <c r="I494" t="n">
        <v>0.7</v>
      </c>
      <c r="J494" t="n">
        <v>0</v>
      </c>
      <c r="K494" t="n">
        <v>0</v>
      </c>
      <c r="L494" t="n">
        <v>0</v>
      </c>
      <c r="M494" t="n">
        <v>0</v>
      </c>
      <c r="N494" t="n">
        <v>0</v>
      </c>
      <c r="O494" t="n">
        <v>0</v>
      </c>
      <c r="P494" t="n">
        <v>0</v>
      </c>
      <c r="Q494" t="n">
        <v>0</v>
      </c>
      <c r="R494" t="n">
        <v>0</v>
      </c>
      <c r="S494" t="n">
        <v>0</v>
      </c>
      <c r="T494" t="n">
        <v>0</v>
      </c>
      <c r="U494" t="n">
        <v>0</v>
      </c>
      <c r="V494" s="2" t="inlineStr"/>
    </row>
    <row r="495" ht="15" customHeight="1">
      <c r="A495" t="inlineStr">
        <is>
          <t>A 39493-2023</t>
        </is>
      </c>
      <c r="B495" t="inlineStr">
        <is>
          <t>avverkningsanmälan</t>
        </is>
      </c>
      <c r="C495" t="inlineStr">
        <is>
          <t>Föryngringsavverkning</t>
        </is>
      </c>
      <c r="D495" s="1" t="n">
        <v>45166</v>
      </c>
      <c r="E495" s="1" t="n">
        <v>46312</v>
      </c>
      <c r="F495" t="inlineStr">
        <is>
          <t>JÄMTLANDS LÄN</t>
        </is>
      </c>
      <c r="G495" t="inlineStr">
        <is>
          <t>ÖSTERSUND</t>
        </is>
      </c>
      <c r="H495" t="inlineStr">
        <is>
          <t>SCA</t>
        </is>
      </c>
      <c r="I495" t="n">
        <v>4.5</v>
      </c>
      <c r="J495" t="n">
        <v>0</v>
      </c>
      <c r="K495" t="n">
        <v>0</v>
      </c>
      <c r="L495" t="n">
        <v>0</v>
      </c>
      <c r="M495" t="n">
        <v>0</v>
      </c>
      <c r="N495" t="n">
        <v>0</v>
      </c>
      <c r="O495" t="n">
        <v>0</v>
      </c>
      <c r="P495" t="n">
        <v>0</v>
      </c>
      <c r="Q495" t="n">
        <v>0</v>
      </c>
      <c r="R495" t="n">
        <v>0</v>
      </c>
      <c r="S495" t="n">
        <v>0</v>
      </c>
      <c r="T495" t="n">
        <v>0</v>
      </c>
      <c r="U495" t="n">
        <v>0</v>
      </c>
      <c r="V495" s="2" t="inlineStr"/>
    </row>
    <row r="496" ht="15" customHeight="1">
      <c r="A496" t="inlineStr">
        <is>
          <t>A 54883-2023</t>
        </is>
      </c>
      <c r="B496" t="inlineStr">
        <is>
          <t>avverkningsanmälan</t>
        </is>
      </c>
      <c r="C496" t="inlineStr">
        <is>
          <t>Föryngringsavverkning</t>
        </is>
      </c>
      <c r="D496" s="1" t="n">
        <v>45236</v>
      </c>
      <c r="E496" s="1" t="n">
        <v>46312</v>
      </c>
      <c r="F496" t="inlineStr">
        <is>
          <t>JÄMTLANDS LÄN</t>
        </is>
      </c>
      <c r="G496" t="inlineStr">
        <is>
          <t>ÖSTERSUND</t>
        </is>
      </c>
      <c r="H496" t="inlineStr">
        <is>
          <t>Övriga Aktiebolag</t>
        </is>
      </c>
      <c r="I496" t="n">
        <v>3.2</v>
      </c>
      <c r="J496" t="n">
        <v>0</v>
      </c>
      <c r="K496" t="n">
        <v>0</v>
      </c>
      <c r="L496" t="n">
        <v>0</v>
      </c>
      <c r="M496" t="n">
        <v>0</v>
      </c>
      <c r="N496" t="n">
        <v>0</v>
      </c>
      <c r="O496" t="n">
        <v>0</v>
      </c>
      <c r="P496" t="n">
        <v>0</v>
      </c>
      <c r="Q496" t="n">
        <v>0</v>
      </c>
      <c r="R496" t="n">
        <v>0</v>
      </c>
      <c r="S496" t="n">
        <v>0</v>
      </c>
      <c r="T496" t="n">
        <v>0</v>
      </c>
      <c r="U496" t="n">
        <v>0</v>
      </c>
      <c r="V496" s="2" t="inlineStr"/>
    </row>
    <row r="497" ht="15" customHeight="1">
      <c r="A497" t="inlineStr">
        <is>
          <t>A 31090-2026</t>
        </is>
      </c>
      <c r="B497" t="inlineStr">
        <is>
          <t>avverkningsanmälan</t>
        </is>
      </c>
      <c r="C497" t="inlineStr">
        <is>
          <t>Föryngringsavverkning</t>
        </is>
      </c>
      <c r="D497" s="1" t="n">
        <v>46216</v>
      </c>
      <c r="E497" s="1" t="n">
        <v>46312</v>
      </c>
      <c r="F497" t="inlineStr">
        <is>
          <t>JÄMTLANDS LÄN</t>
        </is>
      </c>
      <c r="G497" t="inlineStr">
        <is>
          <t>ÖSTERSUND</t>
        </is>
      </c>
      <c r="H497" t="inlineStr">
        <is>
          <t>SCA</t>
        </is>
      </c>
      <c r="I497" t="n">
        <v>1.9</v>
      </c>
      <c r="J497" t="n">
        <v>0</v>
      </c>
      <c r="K497" t="n">
        <v>0</v>
      </c>
      <c r="L497" t="n">
        <v>0</v>
      </c>
      <c r="M497" t="n">
        <v>0</v>
      </c>
      <c r="N497" t="n">
        <v>0</v>
      </c>
      <c r="O497" t="n">
        <v>0</v>
      </c>
      <c r="P497" t="n">
        <v>0</v>
      </c>
      <c r="Q497" t="n">
        <v>0</v>
      </c>
      <c r="R497" t="n">
        <v>0</v>
      </c>
      <c r="S497" t="n">
        <v>0</v>
      </c>
      <c r="T497" t="n">
        <v>0</v>
      </c>
      <c r="U497" t="n">
        <v>0</v>
      </c>
      <c r="V497" s="2" t="inlineStr"/>
    </row>
    <row r="498" ht="15" customHeight="1">
      <c r="A498" t="inlineStr">
        <is>
          <t>A 2730-2025</t>
        </is>
      </c>
      <c r="B498" t="inlineStr">
        <is>
          <t>avverkningsanmälan</t>
        </is>
      </c>
      <c r="C498" t="inlineStr">
        <is>
          <t>Föryngringsavverkning</t>
        </is>
      </c>
      <c r="D498" s="1" t="n">
        <v>45677</v>
      </c>
      <c r="E498" s="1" t="n">
        <v>46312</v>
      </c>
      <c r="F498" t="inlineStr">
        <is>
          <t>JÄMTLANDS LÄN</t>
        </is>
      </c>
      <c r="G498" t="inlineStr">
        <is>
          <t>ÖSTERSUND</t>
        </is>
      </c>
      <c r="I498" t="n">
        <v>2.5</v>
      </c>
      <c r="J498" t="n">
        <v>0</v>
      </c>
      <c r="K498" t="n">
        <v>0</v>
      </c>
      <c r="L498" t="n">
        <v>0</v>
      </c>
      <c r="M498" t="n">
        <v>0</v>
      </c>
      <c r="N498" t="n">
        <v>0</v>
      </c>
      <c r="O498" t="n">
        <v>0</v>
      </c>
      <c r="P498" t="n">
        <v>0</v>
      </c>
      <c r="Q498" t="n">
        <v>0</v>
      </c>
      <c r="R498" t="n">
        <v>0</v>
      </c>
      <c r="S498" t="n">
        <v>0</v>
      </c>
      <c r="T498" t="n">
        <v>0</v>
      </c>
      <c r="U498" t="n">
        <v>0</v>
      </c>
      <c r="V498" s="2" t="inlineStr"/>
    </row>
    <row r="499" ht="15" customHeight="1">
      <c r="A499" t="inlineStr">
        <is>
          <t>A 62225-2022</t>
        </is>
      </c>
      <c r="B499" t="inlineStr">
        <is>
          <t>avverkningsanmälan</t>
        </is>
      </c>
      <c r="C499" t="inlineStr">
        <is>
          <t>Föryngringsavverkning</t>
        </is>
      </c>
      <c r="D499" s="1" t="n">
        <v>44922</v>
      </c>
      <c r="E499" s="1" t="n">
        <v>46312</v>
      </c>
      <c r="F499" t="inlineStr">
        <is>
          <t>JÄMTLANDS LÄN</t>
        </is>
      </c>
      <c r="G499" t="inlineStr">
        <is>
          <t>ÖSTERSUND</t>
        </is>
      </c>
      <c r="I499" t="n">
        <v>1</v>
      </c>
      <c r="J499" t="n">
        <v>0</v>
      </c>
      <c r="K499" t="n">
        <v>0</v>
      </c>
      <c r="L499" t="n">
        <v>0</v>
      </c>
      <c r="M499" t="n">
        <v>0</v>
      </c>
      <c r="N499" t="n">
        <v>0</v>
      </c>
      <c r="O499" t="n">
        <v>0</v>
      </c>
      <c r="P499" t="n">
        <v>0</v>
      </c>
      <c r="Q499" t="n">
        <v>0</v>
      </c>
      <c r="R499" t="n">
        <v>0</v>
      </c>
      <c r="S499" t="n">
        <v>0</v>
      </c>
      <c r="T499" t="n">
        <v>0</v>
      </c>
      <c r="U499" t="n">
        <v>0</v>
      </c>
      <c r="V499" s="2" t="inlineStr"/>
    </row>
    <row r="500" ht="15" customHeight="1">
      <c r="A500" t="inlineStr">
        <is>
          <t>A 20634-2023</t>
        </is>
      </c>
      <c r="B500" t="inlineStr">
        <is>
          <t>avverkningsanmälan</t>
        </is>
      </c>
      <c r="C500" t="inlineStr">
        <is>
          <t>Föryngringsavverkning</t>
        </is>
      </c>
      <c r="D500" s="1" t="n">
        <v>45057</v>
      </c>
      <c r="E500" s="1" t="n">
        <v>46312</v>
      </c>
      <c r="F500" t="inlineStr">
        <is>
          <t>JÄMTLANDS LÄN</t>
        </is>
      </c>
      <c r="G500" t="inlineStr">
        <is>
          <t>ÖSTERSUND</t>
        </is>
      </c>
      <c r="H500" t="inlineStr">
        <is>
          <t>SCA</t>
        </is>
      </c>
      <c r="I500" t="n">
        <v>1.8</v>
      </c>
      <c r="J500" t="n">
        <v>0</v>
      </c>
      <c r="K500" t="n">
        <v>0</v>
      </c>
      <c r="L500" t="n">
        <v>0</v>
      </c>
      <c r="M500" t="n">
        <v>0</v>
      </c>
      <c r="N500" t="n">
        <v>0</v>
      </c>
      <c r="O500" t="n">
        <v>0</v>
      </c>
      <c r="P500" t="n">
        <v>0</v>
      </c>
      <c r="Q500" t="n">
        <v>0</v>
      </c>
      <c r="R500" t="n">
        <v>0</v>
      </c>
      <c r="S500" t="n">
        <v>0</v>
      </c>
      <c r="T500" t="n">
        <v>0</v>
      </c>
      <c r="U500" t="n">
        <v>0</v>
      </c>
      <c r="V500" s="2" t="inlineStr"/>
    </row>
    <row r="501" ht="15" customHeight="1">
      <c r="A501" t="inlineStr">
        <is>
          <t>A 9949-2026</t>
        </is>
      </c>
      <c r="B501" t="inlineStr">
        <is>
          <t>avverkningsanmälan</t>
        </is>
      </c>
      <c r="C501" t="inlineStr">
        <is>
          <t>Föryngringsavverkning</t>
        </is>
      </c>
      <c r="D501" s="1" t="n">
        <v>46073</v>
      </c>
      <c r="E501" s="1" t="n">
        <v>46312</v>
      </c>
      <c r="F501" t="inlineStr">
        <is>
          <t>JÄMTLANDS LÄN</t>
        </is>
      </c>
      <c r="G501" t="inlineStr">
        <is>
          <t>ÖSTERSUND</t>
        </is>
      </c>
      <c r="I501" t="n">
        <v>2.8</v>
      </c>
      <c r="J501" t="n">
        <v>0</v>
      </c>
      <c r="K501" t="n">
        <v>0</v>
      </c>
      <c r="L501" t="n">
        <v>0</v>
      </c>
      <c r="M501" t="n">
        <v>0</v>
      </c>
      <c r="N501" t="n">
        <v>0</v>
      </c>
      <c r="O501" t="n">
        <v>0</v>
      </c>
      <c r="P501" t="n">
        <v>0</v>
      </c>
      <c r="Q501" t="n">
        <v>0</v>
      </c>
      <c r="R501" t="n">
        <v>0</v>
      </c>
      <c r="S501" t="n">
        <v>0</v>
      </c>
      <c r="T501" t="n">
        <v>0</v>
      </c>
      <c r="U501" t="n">
        <v>0</v>
      </c>
      <c r="V501" s="2" t="inlineStr"/>
    </row>
    <row r="502" ht="15" customHeight="1">
      <c r="A502" t="inlineStr">
        <is>
          <t>A 10306-2023</t>
        </is>
      </c>
      <c r="B502" t="inlineStr">
        <is>
          <t>avverkningsanmälan</t>
        </is>
      </c>
      <c r="C502" t="inlineStr">
        <is>
          <t>Föryngringsavverkning</t>
        </is>
      </c>
      <c r="D502" s="1" t="n">
        <v>44986</v>
      </c>
      <c r="E502" s="1" t="n">
        <v>46312</v>
      </c>
      <c r="F502" t="inlineStr">
        <is>
          <t>JÄMTLANDS LÄN</t>
        </is>
      </c>
      <c r="G502" t="inlineStr">
        <is>
          <t>ÖSTERSUND</t>
        </is>
      </c>
      <c r="H502" t="inlineStr">
        <is>
          <t>SCA</t>
        </is>
      </c>
      <c r="I502" t="n">
        <v>0.7</v>
      </c>
      <c r="J502" t="n">
        <v>0</v>
      </c>
      <c r="K502" t="n">
        <v>0</v>
      </c>
      <c r="L502" t="n">
        <v>0</v>
      </c>
      <c r="M502" t="n">
        <v>0</v>
      </c>
      <c r="N502" t="n">
        <v>0</v>
      </c>
      <c r="O502" t="n">
        <v>0</v>
      </c>
      <c r="P502" t="n">
        <v>0</v>
      </c>
      <c r="Q502" t="n">
        <v>0</v>
      </c>
      <c r="R502" t="n">
        <v>0</v>
      </c>
      <c r="S502" t="n">
        <v>0</v>
      </c>
      <c r="T502" t="n">
        <v>0</v>
      </c>
      <c r="U502" t="n">
        <v>0</v>
      </c>
      <c r="V502" s="2" t="inlineStr"/>
    </row>
    <row r="503" ht="15" customHeight="1">
      <c r="A503" t="inlineStr">
        <is>
          <t>A 49576-2025</t>
        </is>
      </c>
      <c r="B503" t="inlineStr">
        <is>
          <t>avverkningsanmälan</t>
        </is>
      </c>
      <c r="C503" t="inlineStr">
        <is>
          <t>Föryngringsavverkning</t>
        </is>
      </c>
      <c r="D503" s="1" t="n">
        <v>45939</v>
      </c>
      <c r="E503" s="1" t="n">
        <v>46312</v>
      </c>
      <c r="F503" t="inlineStr">
        <is>
          <t>JÄMTLANDS LÄN</t>
        </is>
      </c>
      <c r="G503" t="inlineStr">
        <is>
          <t>ÖSTERSUND</t>
        </is>
      </c>
      <c r="H503" t="inlineStr">
        <is>
          <t>SCA</t>
        </is>
      </c>
      <c r="I503" t="n">
        <v>17.1</v>
      </c>
      <c r="J503" t="n">
        <v>0</v>
      </c>
      <c r="K503" t="n">
        <v>0</v>
      </c>
      <c r="L503" t="n">
        <v>0</v>
      </c>
      <c r="M503" t="n">
        <v>0</v>
      </c>
      <c r="N503" t="n">
        <v>0</v>
      </c>
      <c r="O503" t="n">
        <v>0</v>
      </c>
      <c r="P503" t="n">
        <v>0</v>
      </c>
      <c r="Q503" t="n">
        <v>0</v>
      </c>
      <c r="R503" t="n">
        <v>0</v>
      </c>
      <c r="S503" t="n">
        <v>0</v>
      </c>
      <c r="T503" t="n">
        <v>0</v>
      </c>
      <c r="U503" t="n">
        <v>0</v>
      </c>
      <c r="V503" s="2" t="inlineStr"/>
    </row>
    <row r="504" ht="15" customHeight="1">
      <c r="A504" t="inlineStr">
        <is>
          <t>A 31434-2026</t>
        </is>
      </c>
      <c r="B504" t="inlineStr">
        <is>
          <t>avverkningsanmälan</t>
        </is>
      </c>
      <c r="C504" t="inlineStr">
        <is>
          <t>Föryngringsavverkning</t>
        </is>
      </c>
      <c r="D504" s="1" t="n">
        <v>46220</v>
      </c>
      <c r="E504" s="1" t="n">
        <v>46312</v>
      </c>
      <c r="F504" t="inlineStr">
        <is>
          <t>JÄMTLANDS LÄN</t>
        </is>
      </c>
      <c r="G504" t="inlineStr">
        <is>
          <t>ÖSTERSUND</t>
        </is>
      </c>
      <c r="I504" t="n">
        <v>5.8</v>
      </c>
      <c r="J504" t="n">
        <v>0</v>
      </c>
      <c r="K504" t="n">
        <v>0</v>
      </c>
      <c r="L504" t="n">
        <v>0</v>
      </c>
      <c r="M504" t="n">
        <v>0</v>
      </c>
      <c r="N504" t="n">
        <v>0</v>
      </c>
      <c r="O504" t="n">
        <v>0</v>
      </c>
      <c r="P504" t="n">
        <v>0</v>
      </c>
      <c r="Q504" t="n">
        <v>0</v>
      </c>
      <c r="R504" t="n">
        <v>0</v>
      </c>
      <c r="S504" t="n">
        <v>0</v>
      </c>
      <c r="T504" t="n">
        <v>0</v>
      </c>
      <c r="U504" t="n">
        <v>0</v>
      </c>
      <c r="V504" s="2" t="inlineStr"/>
    </row>
    <row r="505" ht="15" customHeight="1">
      <c r="A505" t="inlineStr">
        <is>
          <t>A 26321-2022</t>
        </is>
      </c>
      <c r="B505" t="inlineStr">
        <is>
          <t>avverkningsanmälan</t>
        </is>
      </c>
      <c r="C505" t="inlineStr">
        <is>
          <t>Avverkning för annat ändamål</t>
        </is>
      </c>
      <c r="D505" s="1" t="n">
        <v>44735</v>
      </c>
      <c r="E505" s="1" t="n">
        <v>46312</v>
      </c>
      <c r="F505" t="inlineStr">
        <is>
          <t>JÄMTLANDS LÄN</t>
        </is>
      </c>
      <c r="G505" t="inlineStr">
        <is>
          <t>ÖSTERSUND</t>
        </is>
      </c>
      <c r="I505" t="n">
        <v>1</v>
      </c>
      <c r="J505" t="n">
        <v>0</v>
      </c>
      <c r="K505" t="n">
        <v>0</v>
      </c>
      <c r="L505" t="n">
        <v>0</v>
      </c>
      <c r="M505" t="n">
        <v>0</v>
      </c>
      <c r="N505" t="n">
        <v>0</v>
      </c>
      <c r="O505" t="n">
        <v>0</v>
      </c>
      <c r="P505" t="n">
        <v>0</v>
      </c>
      <c r="Q505" t="n">
        <v>0</v>
      </c>
      <c r="R505" t="n">
        <v>0</v>
      </c>
      <c r="S505" t="n">
        <v>0</v>
      </c>
      <c r="T505" t="n">
        <v>0</v>
      </c>
      <c r="U505" t="n">
        <v>0</v>
      </c>
      <c r="V505" s="2" t="inlineStr"/>
    </row>
    <row r="506" ht="15" customHeight="1">
      <c r="A506" t="inlineStr">
        <is>
          <t>A 43252-2023</t>
        </is>
      </c>
      <c r="B506" t="inlineStr">
        <is>
          <t>avverkningsanmälan</t>
        </is>
      </c>
      <c r="C506" t="inlineStr">
        <is>
          <t>Avverkning för annat ändamål</t>
        </is>
      </c>
      <c r="D506" s="1" t="n">
        <v>45183</v>
      </c>
      <c r="E506" s="1" t="n">
        <v>46312</v>
      </c>
      <c r="F506" t="inlineStr">
        <is>
          <t>JÄMTLANDS LÄN</t>
        </is>
      </c>
      <c r="G506" t="inlineStr">
        <is>
          <t>ÖSTERSUND</t>
        </is>
      </c>
      <c r="I506" t="n">
        <v>2.9</v>
      </c>
      <c r="J506" t="n">
        <v>0</v>
      </c>
      <c r="K506" t="n">
        <v>0</v>
      </c>
      <c r="L506" t="n">
        <v>0</v>
      </c>
      <c r="M506" t="n">
        <v>0</v>
      </c>
      <c r="N506" t="n">
        <v>0</v>
      </c>
      <c r="O506" t="n">
        <v>0</v>
      </c>
      <c r="P506" t="n">
        <v>0</v>
      </c>
      <c r="Q506" t="n">
        <v>0</v>
      </c>
      <c r="R506" t="n">
        <v>0</v>
      </c>
      <c r="S506" t="n">
        <v>0</v>
      </c>
      <c r="T506" t="n">
        <v>0</v>
      </c>
      <c r="U506" t="n">
        <v>0</v>
      </c>
      <c r="V506" s="2" t="inlineStr"/>
    </row>
    <row r="507" ht="15" customHeight="1">
      <c r="A507" t="inlineStr">
        <is>
          <t>A 29488-2026</t>
        </is>
      </c>
      <c r="B507" t="inlineStr">
        <is>
          <t>avverkningsanmälan</t>
        </is>
      </c>
      <c r="C507" t="inlineStr">
        <is>
          <t>Föryngringsavverkning</t>
        </is>
      </c>
      <c r="D507" s="1" t="n">
        <v>46203</v>
      </c>
      <c r="E507" s="1" t="n">
        <v>46312</v>
      </c>
      <c r="F507" t="inlineStr">
        <is>
          <t>JÄMTLANDS LÄN</t>
        </is>
      </c>
      <c r="G507" t="inlineStr">
        <is>
          <t>ÖSTERSUND</t>
        </is>
      </c>
      <c r="I507" t="n">
        <v>2.5</v>
      </c>
      <c r="J507" t="n">
        <v>0</v>
      </c>
      <c r="K507" t="n">
        <v>0</v>
      </c>
      <c r="L507" t="n">
        <v>0</v>
      </c>
      <c r="M507" t="n">
        <v>0</v>
      </c>
      <c r="N507" t="n">
        <v>0</v>
      </c>
      <c r="O507" t="n">
        <v>0</v>
      </c>
      <c r="P507" t="n">
        <v>0</v>
      </c>
      <c r="Q507" t="n">
        <v>0</v>
      </c>
      <c r="R507" t="n">
        <v>0</v>
      </c>
      <c r="S507" t="n">
        <v>0</v>
      </c>
      <c r="T507" t="n">
        <v>0</v>
      </c>
      <c r="U507" t="n">
        <v>0</v>
      </c>
      <c r="V507" s="2" t="inlineStr"/>
    </row>
    <row r="508" ht="15" customHeight="1">
      <c r="A508" t="inlineStr">
        <is>
          <t>A 30217-2022</t>
        </is>
      </c>
      <c r="B508" t="inlineStr">
        <is>
          <t>avverkningsanmälan</t>
        </is>
      </c>
      <c r="C508" t="inlineStr">
        <is>
          <t>Föryngringsavverkning</t>
        </is>
      </c>
      <c r="D508" s="1" t="n">
        <v>44757</v>
      </c>
      <c r="E508" s="1" t="n">
        <v>46312</v>
      </c>
      <c r="F508" t="inlineStr">
        <is>
          <t>JÄMTLANDS LÄN</t>
        </is>
      </c>
      <c r="G508" t="inlineStr">
        <is>
          <t>ÖSTERSUND</t>
        </is>
      </c>
      <c r="I508" t="n">
        <v>2.9</v>
      </c>
      <c r="J508" t="n">
        <v>0</v>
      </c>
      <c r="K508" t="n">
        <v>0</v>
      </c>
      <c r="L508" t="n">
        <v>0</v>
      </c>
      <c r="M508" t="n">
        <v>0</v>
      </c>
      <c r="N508" t="n">
        <v>0</v>
      </c>
      <c r="O508" t="n">
        <v>0</v>
      </c>
      <c r="P508" t="n">
        <v>0</v>
      </c>
      <c r="Q508" t="n">
        <v>0</v>
      </c>
      <c r="R508" t="n">
        <v>0</v>
      </c>
      <c r="S508" t="n">
        <v>0</v>
      </c>
      <c r="T508" t="n">
        <v>0</v>
      </c>
      <c r="U508" t="n">
        <v>0</v>
      </c>
      <c r="V508" s="2" t="inlineStr"/>
    </row>
    <row r="509" ht="15" customHeight="1">
      <c r="A509" t="inlineStr">
        <is>
          <t>A 55140-2023</t>
        </is>
      </c>
      <c r="B509" t="inlineStr">
        <is>
          <t>avverkningsanmälan</t>
        </is>
      </c>
      <c r="C509" t="inlineStr">
        <is>
          <t>Föryngringsavverkning</t>
        </is>
      </c>
      <c r="D509" s="1" t="n">
        <v>45237</v>
      </c>
      <c r="E509" s="1" t="n">
        <v>46312</v>
      </c>
      <c r="F509" t="inlineStr">
        <is>
          <t>JÄMTLANDS LÄN</t>
        </is>
      </c>
      <c r="G509" t="inlineStr">
        <is>
          <t>ÖSTERSUND</t>
        </is>
      </c>
      <c r="I509" t="n">
        <v>1.8</v>
      </c>
      <c r="J509" t="n">
        <v>0</v>
      </c>
      <c r="K509" t="n">
        <v>0</v>
      </c>
      <c r="L509" t="n">
        <v>0</v>
      </c>
      <c r="M509" t="n">
        <v>0</v>
      </c>
      <c r="N509" t="n">
        <v>0</v>
      </c>
      <c r="O509" t="n">
        <v>0</v>
      </c>
      <c r="P509" t="n">
        <v>0</v>
      </c>
      <c r="Q509" t="n">
        <v>0</v>
      </c>
      <c r="R509" t="n">
        <v>0</v>
      </c>
      <c r="S509" t="n">
        <v>0</v>
      </c>
      <c r="T509" t="n">
        <v>0</v>
      </c>
      <c r="U509" t="n">
        <v>0</v>
      </c>
      <c r="V509" s="2" t="inlineStr"/>
    </row>
    <row r="510" ht="15" customHeight="1">
      <c r="A510" t="inlineStr">
        <is>
          <t>A 36811-2026</t>
        </is>
      </c>
      <c r="B510" t="inlineStr">
        <is>
          <t>avverkningsanmälan</t>
        </is>
      </c>
      <c r="C510" t="inlineStr">
        <is>
          <t>Föryngringsavverkning</t>
        </is>
      </c>
      <c r="D510" s="1" t="n">
        <v>46272</v>
      </c>
      <c r="E510" s="1" t="n">
        <v>46312</v>
      </c>
      <c r="F510" t="inlineStr">
        <is>
          <t>JÄMTLANDS LÄN</t>
        </is>
      </c>
      <c r="G510" t="inlineStr">
        <is>
          <t>ÖSTERSUND</t>
        </is>
      </c>
      <c r="I510" t="n">
        <v>6.6</v>
      </c>
      <c r="J510" t="n">
        <v>0</v>
      </c>
      <c r="K510" t="n">
        <v>0</v>
      </c>
      <c r="L510" t="n">
        <v>0</v>
      </c>
      <c r="M510" t="n">
        <v>0</v>
      </c>
      <c r="N510" t="n">
        <v>0</v>
      </c>
      <c r="O510" t="n">
        <v>0</v>
      </c>
      <c r="P510" t="n">
        <v>0</v>
      </c>
      <c r="Q510" t="n">
        <v>0</v>
      </c>
      <c r="R510" t="n">
        <v>0</v>
      </c>
      <c r="S510" t="n">
        <v>0</v>
      </c>
      <c r="T510" t="n">
        <v>0</v>
      </c>
      <c r="U510" t="n">
        <v>0</v>
      </c>
      <c r="V510" s="2" t="inlineStr"/>
    </row>
    <row r="511" ht="15" customHeight="1">
      <c r="A511" t="inlineStr">
        <is>
          <t>A 54663-2022</t>
        </is>
      </c>
      <c r="B511" t="inlineStr">
        <is>
          <t>avverkningsanmälan</t>
        </is>
      </c>
      <c r="C511" t="inlineStr">
        <is>
          <t>Föryngringsavverkning</t>
        </is>
      </c>
      <c r="D511" s="1" t="n">
        <v>44883</v>
      </c>
      <c r="E511" s="1" t="n">
        <v>46312</v>
      </c>
      <c r="F511" t="inlineStr">
        <is>
          <t>JÄMTLANDS LÄN</t>
        </is>
      </c>
      <c r="G511" t="inlineStr">
        <is>
          <t>ÖSTERSUND</t>
        </is>
      </c>
      <c r="I511" t="n">
        <v>0.8</v>
      </c>
      <c r="J511" t="n">
        <v>0</v>
      </c>
      <c r="K511" t="n">
        <v>0</v>
      </c>
      <c r="L511" t="n">
        <v>0</v>
      </c>
      <c r="M511" t="n">
        <v>0</v>
      </c>
      <c r="N511" t="n">
        <v>0</v>
      </c>
      <c r="O511" t="n">
        <v>0</v>
      </c>
      <c r="P511" t="n">
        <v>0</v>
      </c>
      <c r="Q511" t="n">
        <v>0</v>
      </c>
      <c r="R511" t="n">
        <v>0</v>
      </c>
      <c r="S511" t="n">
        <v>0</v>
      </c>
      <c r="T511" t="n">
        <v>0</v>
      </c>
      <c r="U511" t="n">
        <v>0</v>
      </c>
      <c r="V511" s="2" t="inlineStr"/>
    </row>
    <row r="512" ht="15" customHeight="1">
      <c r="A512" t="inlineStr">
        <is>
          <t>A 11052-2024</t>
        </is>
      </c>
      <c r="B512" t="inlineStr">
        <is>
          <t>avverkningsanmälan</t>
        </is>
      </c>
      <c r="C512" t="inlineStr">
        <is>
          <t>Föryngringsavverkning</t>
        </is>
      </c>
      <c r="D512" s="1" t="n">
        <v>45370</v>
      </c>
      <c r="E512" s="1" t="n">
        <v>46312</v>
      </c>
      <c r="F512" t="inlineStr">
        <is>
          <t>JÄMTLANDS LÄN</t>
        </is>
      </c>
      <c r="G512" t="inlineStr">
        <is>
          <t>ÖSTERSUND</t>
        </is>
      </c>
      <c r="I512" t="n">
        <v>2.3</v>
      </c>
      <c r="J512" t="n">
        <v>0</v>
      </c>
      <c r="K512" t="n">
        <v>0</v>
      </c>
      <c r="L512" t="n">
        <v>0</v>
      </c>
      <c r="M512" t="n">
        <v>0</v>
      </c>
      <c r="N512" t="n">
        <v>0</v>
      </c>
      <c r="O512" t="n">
        <v>0</v>
      </c>
      <c r="P512" t="n">
        <v>0</v>
      </c>
      <c r="Q512" t="n">
        <v>0</v>
      </c>
      <c r="R512" t="n">
        <v>0</v>
      </c>
      <c r="S512" t="n">
        <v>0</v>
      </c>
      <c r="T512" t="n">
        <v>0</v>
      </c>
      <c r="U512" t="n">
        <v>0</v>
      </c>
      <c r="V512" s="2" t="inlineStr"/>
    </row>
    <row r="513" ht="15" customHeight="1">
      <c r="A513" t="inlineStr">
        <is>
          <t>A 37597-2023</t>
        </is>
      </c>
      <c r="B513" t="inlineStr">
        <is>
          <t>avverkningsanmälan</t>
        </is>
      </c>
      <c r="C513" t="inlineStr">
        <is>
          <t>Föryngringsavverkning</t>
        </is>
      </c>
      <c r="D513" s="1" t="n">
        <v>45159</v>
      </c>
      <c r="E513" s="1" t="n">
        <v>46312</v>
      </c>
      <c r="F513" t="inlineStr">
        <is>
          <t>JÄMTLANDS LÄN</t>
        </is>
      </c>
      <c r="G513" t="inlineStr">
        <is>
          <t>ÖSTERSUND</t>
        </is>
      </c>
      <c r="I513" t="n">
        <v>4.7</v>
      </c>
      <c r="J513" t="n">
        <v>0</v>
      </c>
      <c r="K513" t="n">
        <v>0</v>
      </c>
      <c r="L513" t="n">
        <v>0</v>
      </c>
      <c r="M513" t="n">
        <v>0</v>
      </c>
      <c r="N513" t="n">
        <v>0</v>
      </c>
      <c r="O513" t="n">
        <v>0</v>
      </c>
      <c r="P513" t="n">
        <v>0</v>
      </c>
      <c r="Q513" t="n">
        <v>0</v>
      </c>
      <c r="R513" t="n">
        <v>0</v>
      </c>
      <c r="S513" t="n">
        <v>0</v>
      </c>
      <c r="T513" t="n">
        <v>0</v>
      </c>
      <c r="U513" t="n">
        <v>0</v>
      </c>
      <c r="V513" s="2" t="inlineStr"/>
    </row>
    <row r="514" ht="15" customHeight="1">
      <c r="A514" t="inlineStr">
        <is>
          <t>A 37351-2026</t>
        </is>
      </c>
      <c r="B514" t="inlineStr">
        <is>
          <t>avverkningsanmälan</t>
        </is>
      </c>
      <c r="C514" t="inlineStr">
        <is>
          <t>Föryngringsavverkning</t>
        </is>
      </c>
      <c r="D514" s="1" t="n">
        <v>46275</v>
      </c>
      <c r="E514" s="1" t="n">
        <v>46312</v>
      </c>
      <c r="F514" t="inlineStr">
        <is>
          <t>JÄMTLANDS LÄN</t>
        </is>
      </c>
      <c r="G514" t="inlineStr">
        <is>
          <t>ÖSTERSUND</t>
        </is>
      </c>
      <c r="I514" t="n">
        <v>1.8</v>
      </c>
      <c r="J514" t="n">
        <v>0</v>
      </c>
      <c r="K514" t="n">
        <v>0</v>
      </c>
      <c r="L514" t="n">
        <v>0</v>
      </c>
      <c r="M514" t="n">
        <v>0</v>
      </c>
      <c r="N514" t="n">
        <v>0</v>
      </c>
      <c r="O514" t="n">
        <v>0</v>
      </c>
      <c r="P514" t="n">
        <v>0</v>
      </c>
      <c r="Q514" t="n">
        <v>0</v>
      </c>
      <c r="R514" t="n">
        <v>0</v>
      </c>
      <c r="S514" t="n">
        <v>0</v>
      </c>
      <c r="T514" t="n">
        <v>0</v>
      </c>
      <c r="U514" t="n">
        <v>0</v>
      </c>
      <c r="V514" s="2" t="inlineStr"/>
    </row>
    <row r="515" ht="15" customHeight="1">
      <c r="A515" t="inlineStr">
        <is>
          <t>A 44048-2024</t>
        </is>
      </c>
      <c r="B515" t="inlineStr">
        <is>
          <t>avverkningsanmälan</t>
        </is>
      </c>
      <c r="C515" t="inlineStr">
        <is>
          <t>Föryngringsavverkning</t>
        </is>
      </c>
      <c r="D515" s="1" t="n">
        <v>45572</v>
      </c>
      <c r="E515" s="1" t="n">
        <v>46312</v>
      </c>
      <c r="F515" t="inlineStr">
        <is>
          <t>JÄMTLANDS LÄN</t>
        </is>
      </c>
      <c r="G515" t="inlineStr">
        <is>
          <t>ÖSTERSUND</t>
        </is>
      </c>
      <c r="H515" t="inlineStr">
        <is>
          <t>SCA</t>
        </is>
      </c>
      <c r="I515" t="n">
        <v>0.7</v>
      </c>
      <c r="J515" t="n">
        <v>0</v>
      </c>
      <c r="K515" t="n">
        <v>0</v>
      </c>
      <c r="L515" t="n">
        <v>0</v>
      </c>
      <c r="M515" t="n">
        <v>0</v>
      </c>
      <c r="N515" t="n">
        <v>0</v>
      </c>
      <c r="O515" t="n">
        <v>0</v>
      </c>
      <c r="P515" t="n">
        <v>0</v>
      </c>
      <c r="Q515" t="n">
        <v>0</v>
      </c>
      <c r="R515" t="n">
        <v>0</v>
      </c>
      <c r="S515" t="n">
        <v>0</v>
      </c>
      <c r="T515" t="n">
        <v>0</v>
      </c>
      <c r="U515" t="n">
        <v>0</v>
      </c>
      <c r="V515" s="2" t="inlineStr"/>
    </row>
    <row r="516" ht="15" customHeight="1">
      <c r="A516" t="inlineStr">
        <is>
          <t>A 31884-2026</t>
        </is>
      </c>
      <c r="B516" t="inlineStr">
        <is>
          <t>avverkningsanmälan</t>
        </is>
      </c>
      <c r="C516" t="inlineStr">
        <is>
          <t>Föryngringsavverkning</t>
        </is>
      </c>
      <c r="D516" s="1" t="n">
        <v>46231</v>
      </c>
      <c r="E516" s="1" t="n">
        <v>46312</v>
      </c>
      <c r="F516" t="inlineStr">
        <is>
          <t>JÄMTLANDS LÄN</t>
        </is>
      </c>
      <c r="G516" t="inlineStr">
        <is>
          <t>ÖSTERSUND</t>
        </is>
      </c>
      <c r="H516" t="inlineStr">
        <is>
          <t>Övriga Aktiebolag</t>
        </is>
      </c>
      <c r="I516" t="n">
        <v>3.7</v>
      </c>
      <c r="J516" t="n">
        <v>0</v>
      </c>
      <c r="K516" t="n">
        <v>0</v>
      </c>
      <c r="L516" t="n">
        <v>0</v>
      </c>
      <c r="M516" t="n">
        <v>0</v>
      </c>
      <c r="N516" t="n">
        <v>0</v>
      </c>
      <c r="O516" t="n">
        <v>0</v>
      </c>
      <c r="P516" t="n">
        <v>0</v>
      </c>
      <c r="Q516" t="n">
        <v>0</v>
      </c>
      <c r="R516" t="n">
        <v>0</v>
      </c>
      <c r="S516" t="n">
        <v>0</v>
      </c>
      <c r="T516" t="n">
        <v>0</v>
      </c>
      <c r="U516" t="n">
        <v>0</v>
      </c>
      <c r="V516" s="2" t="inlineStr"/>
    </row>
    <row r="517" ht="15" customHeight="1">
      <c r="A517" t="inlineStr">
        <is>
          <t>A 18429-2025</t>
        </is>
      </c>
      <c r="B517" t="inlineStr">
        <is>
          <t>avverkningsanmälan</t>
        </is>
      </c>
      <c r="C517" t="inlineStr">
        <is>
          <t>Föryngringsavverkning</t>
        </is>
      </c>
      <c r="D517" s="1" t="n">
        <v>45762</v>
      </c>
      <c r="E517" s="1" t="n">
        <v>46312</v>
      </c>
      <c r="F517" t="inlineStr">
        <is>
          <t>JÄMTLANDS LÄN</t>
        </is>
      </c>
      <c r="G517" t="inlineStr">
        <is>
          <t>ÖSTERSUND</t>
        </is>
      </c>
      <c r="H517" t="inlineStr">
        <is>
          <t>Sveaskog</t>
        </is>
      </c>
      <c r="I517" t="n">
        <v>5.5</v>
      </c>
      <c r="J517" t="n">
        <v>0</v>
      </c>
      <c r="K517" t="n">
        <v>0</v>
      </c>
      <c r="L517" t="n">
        <v>0</v>
      </c>
      <c r="M517" t="n">
        <v>0</v>
      </c>
      <c r="N517" t="n">
        <v>0</v>
      </c>
      <c r="O517" t="n">
        <v>0</v>
      </c>
      <c r="P517" t="n">
        <v>0</v>
      </c>
      <c r="Q517" t="n">
        <v>0</v>
      </c>
      <c r="R517" t="n">
        <v>0</v>
      </c>
      <c r="S517" t="n">
        <v>0</v>
      </c>
      <c r="T517" t="n">
        <v>0</v>
      </c>
      <c r="U517" t="n">
        <v>0</v>
      </c>
      <c r="V517" s="2" t="inlineStr"/>
    </row>
    <row r="518" ht="15" customHeight="1">
      <c r="A518" t="inlineStr">
        <is>
          <t>A 31887-2026</t>
        </is>
      </c>
      <c r="B518" t="inlineStr">
        <is>
          <t>avverkningsanmälan</t>
        </is>
      </c>
      <c r="C518" t="inlineStr">
        <is>
          <t>Föryngringsavverkning</t>
        </is>
      </c>
      <c r="D518" s="1" t="n">
        <v>46231</v>
      </c>
      <c r="E518" s="1" t="n">
        <v>46312</v>
      </c>
      <c r="F518" t="inlineStr">
        <is>
          <t>JÄMTLANDS LÄN</t>
        </is>
      </c>
      <c r="G518" t="inlineStr">
        <is>
          <t>ÖSTERSUND</t>
        </is>
      </c>
      <c r="H518" t="inlineStr">
        <is>
          <t>Övriga Aktiebolag</t>
        </is>
      </c>
      <c r="I518" t="n">
        <v>0.8</v>
      </c>
      <c r="J518" t="n">
        <v>0</v>
      </c>
      <c r="K518" t="n">
        <v>0</v>
      </c>
      <c r="L518" t="n">
        <v>0</v>
      </c>
      <c r="M518" t="n">
        <v>0</v>
      </c>
      <c r="N518" t="n">
        <v>0</v>
      </c>
      <c r="O518" t="n">
        <v>0</v>
      </c>
      <c r="P518" t="n">
        <v>0</v>
      </c>
      <c r="Q518" t="n">
        <v>0</v>
      </c>
      <c r="R518" t="n">
        <v>0</v>
      </c>
      <c r="S518" t="n">
        <v>0</v>
      </c>
      <c r="T518" t="n">
        <v>0</v>
      </c>
      <c r="U518" t="n">
        <v>0</v>
      </c>
      <c r="V518" s="2" t="inlineStr"/>
    </row>
    <row r="519" ht="15" customHeight="1">
      <c r="A519" t="inlineStr">
        <is>
          <t>A 31873-2026</t>
        </is>
      </c>
      <c r="B519" t="inlineStr">
        <is>
          <t>avverkningsanmälan</t>
        </is>
      </c>
      <c r="C519" t="inlineStr">
        <is>
          <t>Föryngringsavverkning</t>
        </is>
      </c>
      <c r="D519" s="1" t="n">
        <v>46231</v>
      </c>
      <c r="E519" s="1" t="n">
        <v>46312</v>
      </c>
      <c r="F519" t="inlineStr">
        <is>
          <t>JÄMTLANDS LÄN</t>
        </is>
      </c>
      <c r="G519" t="inlineStr">
        <is>
          <t>ÖSTERSUND</t>
        </is>
      </c>
      <c r="H519" t="inlineStr">
        <is>
          <t>Övriga Aktiebolag</t>
        </is>
      </c>
      <c r="I519" t="n">
        <v>36.2</v>
      </c>
      <c r="J519" t="n">
        <v>0</v>
      </c>
      <c r="K519" t="n">
        <v>0</v>
      </c>
      <c r="L519" t="n">
        <v>0</v>
      </c>
      <c r="M519" t="n">
        <v>0</v>
      </c>
      <c r="N519" t="n">
        <v>0</v>
      </c>
      <c r="O519" t="n">
        <v>0</v>
      </c>
      <c r="P519" t="n">
        <v>0</v>
      </c>
      <c r="Q519" t="n">
        <v>0</v>
      </c>
      <c r="R519" t="n">
        <v>0</v>
      </c>
      <c r="S519" t="n">
        <v>0</v>
      </c>
      <c r="T519" t="n">
        <v>0</v>
      </c>
      <c r="U519" t="n">
        <v>0</v>
      </c>
      <c r="V519" s="2" t="inlineStr"/>
    </row>
    <row r="520" ht="15" customHeight="1">
      <c r="A520" t="inlineStr">
        <is>
          <t>A 31911-2026</t>
        </is>
      </c>
      <c r="B520" t="inlineStr">
        <is>
          <t>avverkningsanmälan</t>
        </is>
      </c>
      <c r="C520" t="inlineStr">
        <is>
          <t>Avverkning för annat ändamål</t>
        </is>
      </c>
      <c r="D520" s="1" t="n">
        <v>46231</v>
      </c>
      <c r="E520" s="1" t="n">
        <v>46312</v>
      </c>
      <c r="F520" t="inlineStr">
        <is>
          <t>JÄMTLANDS LÄN</t>
        </is>
      </c>
      <c r="G520" t="inlineStr">
        <is>
          <t>ÖSTERSUND</t>
        </is>
      </c>
      <c r="H520" t="inlineStr">
        <is>
          <t>Övriga Aktiebolag</t>
        </is>
      </c>
      <c r="I520" t="n">
        <v>1.3</v>
      </c>
      <c r="J520" t="n">
        <v>0</v>
      </c>
      <c r="K520" t="n">
        <v>0</v>
      </c>
      <c r="L520" t="n">
        <v>0</v>
      </c>
      <c r="M520" t="n">
        <v>0</v>
      </c>
      <c r="N520" t="n">
        <v>0</v>
      </c>
      <c r="O520" t="n">
        <v>0</v>
      </c>
      <c r="P520" t="n">
        <v>0</v>
      </c>
      <c r="Q520" t="n">
        <v>0</v>
      </c>
      <c r="R520" t="n">
        <v>0</v>
      </c>
      <c r="S520" t="n">
        <v>0</v>
      </c>
      <c r="T520" t="n">
        <v>0</v>
      </c>
      <c r="U520" t="n">
        <v>0</v>
      </c>
      <c r="V520" s="2" t="inlineStr"/>
    </row>
    <row r="521" ht="15" customHeight="1">
      <c r="A521" t="inlineStr">
        <is>
          <t>A 37375-2026</t>
        </is>
      </c>
      <c r="B521" t="inlineStr">
        <is>
          <t>avverkningsanmälan</t>
        </is>
      </c>
      <c r="C521" t="inlineStr">
        <is>
          <t>Föryngringsavverkning</t>
        </is>
      </c>
      <c r="D521" s="1" t="n">
        <v>46275</v>
      </c>
      <c r="E521" s="1" t="n">
        <v>46312</v>
      </c>
      <c r="F521" t="inlineStr">
        <is>
          <t>JÄMTLANDS LÄN</t>
        </is>
      </c>
      <c r="G521" t="inlineStr">
        <is>
          <t>ÖSTERSUND</t>
        </is>
      </c>
      <c r="H521" t="inlineStr">
        <is>
          <t>SCA</t>
        </is>
      </c>
      <c r="I521" t="n">
        <v>2.5</v>
      </c>
      <c r="J521" t="n">
        <v>0</v>
      </c>
      <c r="K521" t="n">
        <v>0</v>
      </c>
      <c r="L521" t="n">
        <v>0</v>
      </c>
      <c r="M521" t="n">
        <v>0</v>
      </c>
      <c r="N521" t="n">
        <v>0</v>
      </c>
      <c r="O521" t="n">
        <v>0</v>
      </c>
      <c r="P521" t="n">
        <v>0</v>
      </c>
      <c r="Q521" t="n">
        <v>0</v>
      </c>
      <c r="R521" t="n">
        <v>0</v>
      </c>
      <c r="S521" t="n">
        <v>0</v>
      </c>
      <c r="T521" t="n">
        <v>0</v>
      </c>
      <c r="U521" t="n">
        <v>0</v>
      </c>
      <c r="V521" s="2" t="inlineStr"/>
    </row>
    <row r="522" ht="15" customHeight="1">
      <c r="A522" t="inlineStr">
        <is>
          <t>A 19881-2026</t>
        </is>
      </c>
      <c r="B522" t="inlineStr">
        <is>
          <t>avverkningsanmälan</t>
        </is>
      </c>
      <c r="C522" t="inlineStr">
        <is>
          <t>Föryngringsavverkning</t>
        </is>
      </c>
      <c r="D522" s="1" t="n">
        <v>46135</v>
      </c>
      <c r="E522" s="1" t="n">
        <v>46312</v>
      </c>
      <c r="F522" t="inlineStr">
        <is>
          <t>JÄMTLANDS LÄN</t>
        </is>
      </c>
      <c r="G522" t="inlineStr">
        <is>
          <t>ÖSTERSUND</t>
        </is>
      </c>
      <c r="I522" t="n">
        <v>3.4</v>
      </c>
      <c r="J522" t="n">
        <v>0</v>
      </c>
      <c r="K522" t="n">
        <v>0</v>
      </c>
      <c r="L522" t="n">
        <v>0</v>
      </c>
      <c r="M522" t="n">
        <v>0</v>
      </c>
      <c r="N522" t="n">
        <v>0</v>
      </c>
      <c r="O522" t="n">
        <v>0</v>
      </c>
      <c r="P522" t="n">
        <v>0</v>
      </c>
      <c r="Q522" t="n">
        <v>0</v>
      </c>
      <c r="R522" t="n">
        <v>0</v>
      </c>
      <c r="S522" t="n">
        <v>0</v>
      </c>
      <c r="T522" t="n">
        <v>0</v>
      </c>
      <c r="U522" t="n">
        <v>0</v>
      </c>
      <c r="V522" s="2" t="inlineStr"/>
    </row>
    <row r="523" ht="15" customHeight="1">
      <c r="A523" t="inlineStr">
        <is>
          <t>A 37767-2026</t>
        </is>
      </c>
      <c r="B523" t="inlineStr">
        <is>
          <t>avverkningsanmälan</t>
        </is>
      </c>
      <c r="C523" t="inlineStr">
        <is>
          <t>Föryngringsavverkning</t>
        </is>
      </c>
      <c r="D523" s="1" t="n">
        <v>46279</v>
      </c>
      <c r="E523" s="1" t="n">
        <v>46312</v>
      </c>
      <c r="F523" t="inlineStr">
        <is>
          <t>JÄMTLANDS LÄN</t>
        </is>
      </c>
      <c r="G523" t="inlineStr">
        <is>
          <t>ÖSTERSUND</t>
        </is>
      </c>
      <c r="I523" t="n">
        <v>4.6</v>
      </c>
      <c r="J523" t="n">
        <v>0</v>
      </c>
      <c r="K523" t="n">
        <v>0</v>
      </c>
      <c r="L523" t="n">
        <v>0</v>
      </c>
      <c r="M523" t="n">
        <v>0</v>
      </c>
      <c r="N523" t="n">
        <v>0</v>
      </c>
      <c r="O523" t="n">
        <v>0</v>
      </c>
      <c r="P523" t="n">
        <v>0</v>
      </c>
      <c r="Q523" t="n">
        <v>0</v>
      </c>
      <c r="R523" t="n">
        <v>0</v>
      </c>
      <c r="S523" t="n">
        <v>0</v>
      </c>
      <c r="T523" t="n">
        <v>0</v>
      </c>
      <c r="U523" t="n">
        <v>0</v>
      </c>
      <c r="V523" s="2" t="inlineStr"/>
    </row>
    <row r="524" ht="15" customHeight="1">
      <c r="A524" t="inlineStr">
        <is>
          <t>A 37746-2026</t>
        </is>
      </c>
      <c r="B524" t="inlineStr">
        <is>
          <t>avverkningsanmälan</t>
        </is>
      </c>
      <c r="C524" t="inlineStr">
        <is>
          <t>Föryngringsavverkning</t>
        </is>
      </c>
      <c r="D524" s="1" t="n">
        <v>46279</v>
      </c>
      <c r="E524" s="1" t="n">
        <v>46312</v>
      </c>
      <c r="F524" t="inlineStr">
        <is>
          <t>JÄMTLANDS LÄN</t>
        </is>
      </c>
      <c r="G524" t="inlineStr">
        <is>
          <t>ÖSTERSUND</t>
        </is>
      </c>
      <c r="I524" t="n">
        <v>6.2</v>
      </c>
      <c r="J524" t="n">
        <v>0</v>
      </c>
      <c r="K524" t="n">
        <v>0</v>
      </c>
      <c r="L524" t="n">
        <v>0</v>
      </c>
      <c r="M524" t="n">
        <v>0</v>
      </c>
      <c r="N524" t="n">
        <v>0</v>
      </c>
      <c r="O524" t="n">
        <v>0</v>
      </c>
      <c r="P524" t="n">
        <v>0</v>
      </c>
      <c r="Q524" t="n">
        <v>0</v>
      </c>
      <c r="R524" t="n">
        <v>0</v>
      </c>
      <c r="S524" t="n">
        <v>0</v>
      </c>
      <c r="T524" t="n">
        <v>0</v>
      </c>
      <c r="U524" t="n">
        <v>0</v>
      </c>
      <c r="V524" s="2" t="inlineStr"/>
    </row>
    <row r="525" ht="15" customHeight="1">
      <c r="A525" t="inlineStr">
        <is>
          <t>A 37616-2026</t>
        </is>
      </c>
      <c r="B525" t="inlineStr">
        <is>
          <t>avverkningsanmälan</t>
        </is>
      </c>
      <c r="C525" t="inlineStr">
        <is>
          <t>Föryngringsavverkning</t>
        </is>
      </c>
      <c r="D525" s="1" t="n">
        <v>46276</v>
      </c>
      <c r="E525" s="1" t="n">
        <v>46312</v>
      </c>
      <c r="F525" t="inlineStr">
        <is>
          <t>JÄMTLANDS LÄN</t>
        </is>
      </c>
      <c r="G525" t="inlineStr">
        <is>
          <t>ÖSTERSUND</t>
        </is>
      </c>
      <c r="H525" t="inlineStr">
        <is>
          <t>SCA</t>
        </is>
      </c>
      <c r="I525" t="n">
        <v>12.5</v>
      </c>
      <c r="J525" t="n">
        <v>0</v>
      </c>
      <c r="K525" t="n">
        <v>0</v>
      </c>
      <c r="L525" t="n">
        <v>0</v>
      </c>
      <c r="M525" t="n">
        <v>0</v>
      </c>
      <c r="N525" t="n">
        <v>0</v>
      </c>
      <c r="O525" t="n">
        <v>0</v>
      </c>
      <c r="P525" t="n">
        <v>0</v>
      </c>
      <c r="Q525" t="n">
        <v>0</v>
      </c>
      <c r="R525" t="n">
        <v>0</v>
      </c>
      <c r="S525" t="n">
        <v>0</v>
      </c>
      <c r="T525" t="n">
        <v>0</v>
      </c>
      <c r="U525" t="n">
        <v>0</v>
      </c>
      <c r="V525" s="2" t="inlineStr"/>
    </row>
    <row r="526" ht="15" customHeight="1">
      <c r="A526" t="inlineStr">
        <is>
          <t>A 17574-2022</t>
        </is>
      </c>
      <c r="B526" t="inlineStr">
        <is>
          <t>avverkningsanmälan</t>
        </is>
      </c>
      <c r="C526" t="inlineStr">
        <is>
          <t>Föryngringsavverkning</t>
        </is>
      </c>
      <c r="D526" s="1" t="n">
        <v>44679</v>
      </c>
      <c r="E526" s="1" t="n">
        <v>46312</v>
      </c>
      <c r="F526" t="inlineStr">
        <is>
          <t>JÄMTLANDS LÄN</t>
        </is>
      </c>
      <c r="G526" t="inlineStr">
        <is>
          <t>ÖSTERSUND</t>
        </is>
      </c>
      <c r="I526" t="n">
        <v>0.8</v>
      </c>
      <c r="J526" t="n">
        <v>0</v>
      </c>
      <c r="K526" t="n">
        <v>0</v>
      </c>
      <c r="L526" t="n">
        <v>0</v>
      </c>
      <c r="M526" t="n">
        <v>0</v>
      </c>
      <c r="N526" t="n">
        <v>0</v>
      </c>
      <c r="O526" t="n">
        <v>0</v>
      </c>
      <c r="P526" t="n">
        <v>0</v>
      </c>
      <c r="Q526" t="n">
        <v>0</v>
      </c>
      <c r="R526" t="n">
        <v>0</v>
      </c>
      <c r="S526" t="n">
        <v>0</v>
      </c>
      <c r="T526" t="n">
        <v>0</v>
      </c>
      <c r="U526" t="n">
        <v>0</v>
      </c>
      <c r="V526" s="2" t="inlineStr"/>
    </row>
    <row r="527" ht="15" customHeight="1">
      <c r="A527" t="inlineStr">
        <is>
          <t>A 37734-2026</t>
        </is>
      </c>
      <c r="B527" t="inlineStr">
        <is>
          <t>avverkningsanmälan</t>
        </is>
      </c>
      <c r="C527" t="inlineStr">
        <is>
          <t>Föryngringsavverkning</t>
        </is>
      </c>
      <c r="D527" s="1" t="n">
        <v>46279</v>
      </c>
      <c r="E527" s="1" t="n">
        <v>46312</v>
      </c>
      <c r="F527" t="inlineStr">
        <is>
          <t>JÄMTLANDS LÄN</t>
        </is>
      </c>
      <c r="G527" t="inlineStr">
        <is>
          <t>ÖSTERSUND</t>
        </is>
      </c>
      <c r="I527" t="n">
        <v>1.7</v>
      </c>
      <c r="J527" t="n">
        <v>0</v>
      </c>
      <c r="K527" t="n">
        <v>0</v>
      </c>
      <c r="L527" t="n">
        <v>0</v>
      </c>
      <c r="M527" t="n">
        <v>0</v>
      </c>
      <c r="N527" t="n">
        <v>0</v>
      </c>
      <c r="O527" t="n">
        <v>0</v>
      </c>
      <c r="P527" t="n">
        <v>0</v>
      </c>
      <c r="Q527" t="n">
        <v>0</v>
      </c>
      <c r="R527" t="n">
        <v>0</v>
      </c>
      <c r="S527" t="n">
        <v>0</v>
      </c>
      <c r="T527" t="n">
        <v>0</v>
      </c>
      <c r="U527" t="n">
        <v>0</v>
      </c>
      <c r="V527" s="2" t="inlineStr"/>
    </row>
    <row r="528" ht="15" customHeight="1">
      <c r="A528" t="inlineStr">
        <is>
          <t>A 38067-2026</t>
        </is>
      </c>
      <c r="B528" t="inlineStr">
        <is>
          <t>avverkningsanmälan</t>
        </is>
      </c>
      <c r="C528" t="inlineStr">
        <is>
          <t>Föryngringsavverkning</t>
        </is>
      </c>
      <c r="D528" s="1" t="n">
        <v>46280</v>
      </c>
      <c r="E528" s="1" t="n">
        <v>46312</v>
      </c>
      <c r="F528" t="inlineStr">
        <is>
          <t>JÄMTLANDS LÄN</t>
        </is>
      </c>
      <c r="G528" t="inlineStr">
        <is>
          <t>ÖSTERSUND</t>
        </is>
      </c>
      <c r="H528" t="inlineStr">
        <is>
          <t>Övriga Aktiebolag</t>
        </is>
      </c>
      <c r="I528" t="n">
        <v>4.1</v>
      </c>
      <c r="J528" t="n">
        <v>0</v>
      </c>
      <c r="K528" t="n">
        <v>0</v>
      </c>
      <c r="L528" t="n">
        <v>0</v>
      </c>
      <c r="M528" t="n">
        <v>0</v>
      </c>
      <c r="N528" t="n">
        <v>0</v>
      </c>
      <c r="O528" t="n">
        <v>0</v>
      </c>
      <c r="P528" t="n">
        <v>0</v>
      </c>
      <c r="Q528" t="n">
        <v>0</v>
      </c>
      <c r="R528" t="n">
        <v>0</v>
      </c>
      <c r="S528" t="n">
        <v>0</v>
      </c>
      <c r="T528" t="n">
        <v>0</v>
      </c>
      <c r="U528" t="n">
        <v>0</v>
      </c>
      <c r="V528" s="2" t="inlineStr"/>
    </row>
    <row r="529" ht="15" customHeight="1">
      <c r="A529" t="inlineStr">
        <is>
          <t>A 51941-2023</t>
        </is>
      </c>
      <c r="B529" t="inlineStr">
        <is>
          <t>avverkningsanmälan</t>
        </is>
      </c>
      <c r="C529" t="inlineStr">
        <is>
          <t>Föryngringsavverkning</t>
        </is>
      </c>
      <c r="D529" s="1" t="n">
        <v>45223</v>
      </c>
      <c r="E529" s="1" t="n">
        <v>46312</v>
      </c>
      <c r="F529" t="inlineStr">
        <is>
          <t>JÄMTLANDS LÄN</t>
        </is>
      </c>
      <c r="G529" t="inlineStr">
        <is>
          <t>ÖSTERSUND</t>
        </is>
      </c>
      <c r="I529" t="n">
        <v>4.6</v>
      </c>
      <c r="J529" t="n">
        <v>0</v>
      </c>
      <c r="K529" t="n">
        <v>0</v>
      </c>
      <c r="L529" t="n">
        <v>0</v>
      </c>
      <c r="M529" t="n">
        <v>0</v>
      </c>
      <c r="N529" t="n">
        <v>0</v>
      </c>
      <c r="O529" t="n">
        <v>0</v>
      </c>
      <c r="P529" t="n">
        <v>0</v>
      </c>
      <c r="Q529" t="n">
        <v>0</v>
      </c>
      <c r="R529" t="n">
        <v>0</v>
      </c>
      <c r="S529" t="n">
        <v>0</v>
      </c>
      <c r="T529" t="n">
        <v>0</v>
      </c>
      <c r="U529" t="n">
        <v>0</v>
      </c>
      <c r="V529" s="2" t="inlineStr"/>
    </row>
    <row r="530" ht="15" customHeight="1">
      <c r="A530" t="inlineStr">
        <is>
          <t>A 38093-2026</t>
        </is>
      </c>
      <c r="B530" t="inlineStr">
        <is>
          <t>avverkningsanmälan</t>
        </is>
      </c>
      <c r="C530" t="inlineStr">
        <is>
          <t>Föryngringsavverkning</t>
        </is>
      </c>
      <c r="D530" s="1" t="n">
        <v>46281</v>
      </c>
      <c r="E530" s="1" t="n">
        <v>46312</v>
      </c>
      <c r="F530" t="inlineStr">
        <is>
          <t>JÄMTLANDS LÄN</t>
        </is>
      </c>
      <c r="G530" t="inlineStr">
        <is>
          <t>ÖSTERSUND</t>
        </is>
      </c>
      <c r="I530" t="n">
        <v>9.1</v>
      </c>
      <c r="J530" t="n">
        <v>0</v>
      </c>
      <c r="K530" t="n">
        <v>0</v>
      </c>
      <c r="L530" t="n">
        <v>0</v>
      </c>
      <c r="M530" t="n">
        <v>0</v>
      </c>
      <c r="N530" t="n">
        <v>0</v>
      </c>
      <c r="O530" t="n">
        <v>0</v>
      </c>
      <c r="P530" t="n">
        <v>0</v>
      </c>
      <c r="Q530" t="n">
        <v>0</v>
      </c>
      <c r="R530" t="n">
        <v>0</v>
      </c>
      <c r="S530" t="n">
        <v>0</v>
      </c>
      <c r="T530" t="n">
        <v>0</v>
      </c>
      <c r="U530" t="n">
        <v>0</v>
      </c>
      <c r="V530" s="2" t="inlineStr"/>
    </row>
    <row r="531" ht="15" customHeight="1">
      <c r="A531" t="inlineStr">
        <is>
          <t>A 38167-2026</t>
        </is>
      </c>
      <c r="B531" t="inlineStr">
        <is>
          <t>avverkningsanmälan</t>
        </is>
      </c>
      <c r="C531" t="inlineStr">
        <is>
          <t>Föryngringsavverkning</t>
        </is>
      </c>
      <c r="D531" s="1" t="n">
        <v>46281</v>
      </c>
      <c r="E531" s="1" t="n">
        <v>46312</v>
      </c>
      <c r="F531" t="inlineStr">
        <is>
          <t>JÄMTLANDS LÄN</t>
        </is>
      </c>
      <c r="G531" t="inlineStr">
        <is>
          <t>ÖSTERSUND</t>
        </is>
      </c>
      <c r="I531" t="n">
        <v>1.1</v>
      </c>
      <c r="J531" t="n">
        <v>0</v>
      </c>
      <c r="K531" t="n">
        <v>0</v>
      </c>
      <c r="L531" t="n">
        <v>0</v>
      </c>
      <c r="M531" t="n">
        <v>0</v>
      </c>
      <c r="N531" t="n">
        <v>0</v>
      </c>
      <c r="O531" t="n">
        <v>0</v>
      </c>
      <c r="P531" t="n">
        <v>0</v>
      </c>
      <c r="Q531" t="n">
        <v>0</v>
      </c>
      <c r="R531" t="n">
        <v>0</v>
      </c>
      <c r="S531" t="n">
        <v>0</v>
      </c>
      <c r="T531" t="n">
        <v>0</v>
      </c>
      <c r="U531" t="n">
        <v>0</v>
      </c>
      <c r="V531" s="2" t="inlineStr"/>
    </row>
    <row r="532" ht="15" customHeight="1">
      <c r="A532" t="inlineStr">
        <is>
          <t>A 51936-2023</t>
        </is>
      </c>
      <c r="B532" t="inlineStr">
        <is>
          <t>avverkningsanmälan</t>
        </is>
      </c>
      <c r="C532" t="inlineStr">
        <is>
          <t>Föryngringsavverkning</t>
        </is>
      </c>
      <c r="D532" s="1" t="n">
        <v>45223</v>
      </c>
      <c r="E532" s="1" t="n">
        <v>46312</v>
      </c>
      <c r="F532" t="inlineStr">
        <is>
          <t>JÄMTLANDS LÄN</t>
        </is>
      </c>
      <c r="G532" t="inlineStr">
        <is>
          <t>ÖSTERSUND</t>
        </is>
      </c>
      <c r="I532" t="n">
        <v>8.4</v>
      </c>
      <c r="J532" t="n">
        <v>0</v>
      </c>
      <c r="K532" t="n">
        <v>0</v>
      </c>
      <c r="L532" t="n">
        <v>0</v>
      </c>
      <c r="M532" t="n">
        <v>0</v>
      </c>
      <c r="N532" t="n">
        <v>0</v>
      </c>
      <c r="O532" t="n">
        <v>0</v>
      </c>
      <c r="P532" t="n">
        <v>0</v>
      </c>
      <c r="Q532" t="n">
        <v>0</v>
      </c>
      <c r="R532" t="n">
        <v>0</v>
      </c>
      <c r="S532" t="n">
        <v>0</v>
      </c>
      <c r="T532" t="n">
        <v>0</v>
      </c>
      <c r="U532" t="n">
        <v>0</v>
      </c>
      <c r="V532" s="2" t="inlineStr"/>
    </row>
    <row r="533" ht="15" customHeight="1">
      <c r="A533" t="inlineStr">
        <is>
          <t>A 32406-2026</t>
        </is>
      </c>
      <c r="B533" t="inlineStr">
        <is>
          <t>avverkningsanmälan</t>
        </is>
      </c>
      <c r="C533" t="inlineStr">
        <is>
          <t>Föryngringsavverkning</t>
        </is>
      </c>
      <c r="D533" s="1" t="n">
        <v>46238</v>
      </c>
      <c r="E533" s="1" t="n">
        <v>46312</v>
      </c>
      <c r="F533" t="inlineStr">
        <is>
          <t>JÄMTLANDS LÄN</t>
        </is>
      </c>
      <c r="G533" t="inlineStr">
        <is>
          <t>ÖSTERSUND</t>
        </is>
      </c>
      <c r="I533" t="n">
        <v>1.4</v>
      </c>
      <c r="J533" t="n">
        <v>0</v>
      </c>
      <c r="K533" t="n">
        <v>0</v>
      </c>
      <c r="L533" t="n">
        <v>0</v>
      </c>
      <c r="M533" t="n">
        <v>0</v>
      </c>
      <c r="N533" t="n">
        <v>0</v>
      </c>
      <c r="O533" t="n">
        <v>0</v>
      </c>
      <c r="P533" t="n">
        <v>0</v>
      </c>
      <c r="Q533" t="n">
        <v>0</v>
      </c>
      <c r="R533" t="n">
        <v>0</v>
      </c>
      <c r="S533" t="n">
        <v>0</v>
      </c>
      <c r="T533" t="n">
        <v>0</v>
      </c>
      <c r="U533" t="n">
        <v>0</v>
      </c>
      <c r="V533" s="2" t="inlineStr"/>
    </row>
    <row r="534" ht="15" customHeight="1">
      <c r="A534" t="inlineStr">
        <is>
          <t>A 54973-2023</t>
        </is>
      </c>
      <c r="B534" t="inlineStr">
        <is>
          <t>avverkningsanmälan</t>
        </is>
      </c>
      <c r="C534" t="inlineStr">
        <is>
          <t>Föryngringsavverkning</t>
        </is>
      </c>
      <c r="D534" s="1" t="n">
        <v>45236</v>
      </c>
      <c r="E534" s="1" t="n">
        <v>46312</v>
      </c>
      <c r="F534" t="inlineStr">
        <is>
          <t>JÄMTLANDS LÄN</t>
        </is>
      </c>
      <c r="G534" t="inlineStr">
        <is>
          <t>ÖSTERSUND</t>
        </is>
      </c>
      <c r="I534" t="n">
        <v>15.4</v>
      </c>
      <c r="J534" t="n">
        <v>0</v>
      </c>
      <c r="K534" t="n">
        <v>0</v>
      </c>
      <c r="L534" t="n">
        <v>0</v>
      </c>
      <c r="M534" t="n">
        <v>0</v>
      </c>
      <c r="N534" t="n">
        <v>0</v>
      </c>
      <c r="O534" t="n">
        <v>0</v>
      </c>
      <c r="P534" t="n">
        <v>0</v>
      </c>
      <c r="Q534" t="n">
        <v>0</v>
      </c>
      <c r="R534" t="n">
        <v>0</v>
      </c>
      <c r="S534" t="n">
        <v>0</v>
      </c>
      <c r="T534" t="n">
        <v>0</v>
      </c>
      <c r="U534" t="n">
        <v>0</v>
      </c>
      <c r="V534" s="2" t="inlineStr"/>
    </row>
    <row r="535" ht="15" customHeight="1">
      <c r="A535" t="inlineStr">
        <is>
          <t>A 32576-2026</t>
        </is>
      </c>
      <c r="B535" t="inlineStr">
        <is>
          <t>avverkningsanmälan</t>
        </is>
      </c>
      <c r="C535" t="inlineStr">
        <is>
          <t>Föryngringsavverkning</t>
        </is>
      </c>
      <c r="D535" s="1" t="n">
        <v>46239</v>
      </c>
      <c r="E535" s="1" t="n">
        <v>46312</v>
      </c>
      <c r="F535" t="inlineStr">
        <is>
          <t>JÄMTLANDS LÄN</t>
        </is>
      </c>
      <c r="G535" t="inlineStr">
        <is>
          <t>ÖSTERSUND</t>
        </is>
      </c>
      <c r="I535" t="n">
        <v>0.7</v>
      </c>
      <c r="J535" t="n">
        <v>0</v>
      </c>
      <c r="K535" t="n">
        <v>0</v>
      </c>
      <c r="L535" t="n">
        <v>0</v>
      </c>
      <c r="M535" t="n">
        <v>0</v>
      </c>
      <c r="N535" t="n">
        <v>0</v>
      </c>
      <c r="O535" t="n">
        <v>0</v>
      </c>
      <c r="P535" t="n">
        <v>0</v>
      </c>
      <c r="Q535" t="n">
        <v>0</v>
      </c>
      <c r="R535" t="n">
        <v>0</v>
      </c>
      <c r="S535" t="n">
        <v>0</v>
      </c>
      <c r="T535" t="n">
        <v>0</v>
      </c>
      <c r="U535" t="n">
        <v>0</v>
      </c>
      <c r="V535" s="2" t="inlineStr"/>
    </row>
    <row r="536" ht="15" customHeight="1">
      <c r="A536" t="inlineStr">
        <is>
          <t>A 38619-2026</t>
        </is>
      </c>
      <c r="B536" t="inlineStr">
        <is>
          <t>avverkningsanmälan</t>
        </is>
      </c>
      <c r="C536" t="inlineStr">
        <is>
          <t>Avverkning för annat ändamål</t>
        </is>
      </c>
      <c r="D536" s="1" t="n">
        <v>46283</v>
      </c>
      <c r="E536" s="1" t="n">
        <v>46312</v>
      </c>
      <c r="F536" t="inlineStr">
        <is>
          <t>JÄMTLANDS LÄN</t>
        </is>
      </c>
      <c r="G536" t="inlineStr">
        <is>
          <t>ÖSTERSUND</t>
        </is>
      </c>
      <c r="H536" t="inlineStr">
        <is>
          <t>Övriga Aktiebolag</t>
        </is>
      </c>
      <c r="I536" t="n">
        <v>2.8</v>
      </c>
      <c r="J536" t="n">
        <v>0</v>
      </c>
      <c r="K536" t="n">
        <v>0</v>
      </c>
      <c r="L536" t="n">
        <v>0</v>
      </c>
      <c r="M536" t="n">
        <v>0</v>
      </c>
      <c r="N536" t="n">
        <v>0</v>
      </c>
      <c r="O536" t="n">
        <v>0</v>
      </c>
      <c r="P536" t="n">
        <v>0</v>
      </c>
      <c r="Q536" t="n">
        <v>0</v>
      </c>
      <c r="R536" t="n">
        <v>0</v>
      </c>
      <c r="S536" t="n">
        <v>0</v>
      </c>
      <c r="T536" t="n">
        <v>0</v>
      </c>
      <c r="U536" t="n">
        <v>0</v>
      </c>
      <c r="V536" s="2" t="inlineStr"/>
    </row>
    <row r="537" ht="15" customHeight="1">
      <c r="A537" t="inlineStr">
        <is>
          <t>A 32791-2026</t>
        </is>
      </c>
      <c r="B537" t="inlineStr">
        <is>
          <t>avverkningsanmälan</t>
        </is>
      </c>
      <c r="C537" t="inlineStr">
        <is>
          <t>Föryngringsavverkning</t>
        </is>
      </c>
      <c r="D537" s="1" t="n">
        <v>46241</v>
      </c>
      <c r="E537" s="1" t="n">
        <v>46312</v>
      </c>
      <c r="F537" t="inlineStr">
        <is>
          <t>JÄMTLANDS LÄN</t>
        </is>
      </c>
      <c r="G537" t="inlineStr">
        <is>
          <t>ÖSTERSUND</t>
        </is>
      </c>
      <c r="I537" t="n">
        <v>5.5</v>
      </c>
      <c r="J537" t="n">
        <v>0</v>
      </c>
      <c r="K537" t="n">
        <v>0</v>
      </c>
      <c r="L537" t="n">
        <v>0</v>
      </c>
      <c r="M537" t="n">
        <v>0</v>
      </c>
      <c r="N537" t="n">
        <v>0</v>
      </c>
      <c r="O537" t="n">
        <v>0</v>
      </c>
      <c r="P537" t="n">
        <v>0</v>
      </c>
      <c r="Q537" t="n">
        <v>0</v>
      </c>
      <c r="R537" t="n">
        <v>0</v>
      </c>
      <c r="S537" t="n">
        <v>0</v>
      </c>
      <c r="T537" t="n">
        <v>0</v>
      </c>
      <c r="U537" t="n">
        <v>0</v>
      </c>
      <c r="V537" s="2" t="inlineStr"/>
    </row>
    <row r="538" ht="15" customHeight="1">
      <c r="A538" t="inlineStr">
        <is>
          <t>A 28179-2024</t>
        </is>
      </c>
      <c r="B538" t="inlineStr">
        <is>
          <t>avverkningsanmälan</t>
        </is>
      </c>
      <c r="C538" t="inlineStr">
        <is>
          <t>Föryngringsavverkning</t>
        </is>
      </c>
      <c r="D538" s="1" t="n">
        <v>45477</v>
      </c>
      <c r="E538" s="1" t="n">
        <v>46312</v>
      </c>
      <c r="F538" t="inlineStr">
        <is>
          <t>JÄMTLANDS LÄN</t>
        </is>
      </c>
      <c r="G538" t="inlineStr">
        <is>
          <t>ÖSTERSUND</t>
        </is>
      </c>
      <c r="I538" t="n">
        <v>2.2</v>
      </c>
      <c r="J538" t="n">
        <v>0</v>
      </c>
      <c r="K538" t="n">
        <v>0</v>
      </c>
      <c r="L538" t="n">
        <v>0</v>
      </c>
      <c r="M538" t="n">
        <v>0</v>
      </c>
      <c r="N538" t="n">
        <v>0</v>
      </c>
      <c r="O538" t="n">
        <v>0</v>
      </c>
      <c r="P538" t="n">
        <v>0</v>
      </c>
      <c r="Q538" t="n">
        <v>0</v>
      </c>
      <c r="R538" t="n">
        <v>0</v>
      </c>
      <c r="S538" t="n">
        <v>0</v>
      </c>
      <c r="T538" t="n">
        <v>0</v>
      </c>
      <c r="U538" t="n">
        <v>0</v>
      </c>
      <c r="V538" s="2" t="inlineStr"/>
    </row>
    <row r="539" ht="15" customHeight="1">
      <c r="A539" t="inlineStr">
        <is>
          <t>A 13921-2023</t>
        </is>
      </c>
      <c r="B539" t="inlineStr">
        <is>
          <t>avverkningsanmälan</t>
        </is>
      </c>
      <c r="C539" t="inlineStr">
        <is>
          <t>Avverkning för annat ändamål</t>
        </is>
      </c>
      <c r="D539" s="1" t="n">
        <v>45008</v>
      </c>
      <c r="E539" s="1" t="n">
        <v>46312</v>
      </c>
      <c r="F539" t="inlineStr">
        <is>
          <t>JÄMTLANDS LÄN</t>
        </is>
      </c>
      <c r="G539" t="inlineStr">
        <is>
          <t>ÖSTERSUND</t>
        </is>
      </c>
      <c r="I539" t="n">
        <v>0.3</v>
      </c>
      <c r="J539" t="n">
        <v>0</v>
      </c>
      <c r="K539" t="n">
        <v>0</v>
      </c>
      <c r="L539" t="n">
        <v>0</v>
      </c>
      <c r="M539" t="n">
        <v>0</v>
      </c>
      <c r="N539" t="n">
        <v>0</v>
      </c>
      <c r="O539" t="n">
        <v>0</v>
      </c>
      <c r="P539" t="n">
        <v>0</v>
      </c>
      <c r="Q539" t="n">
        <v>0</v>
      </c>
      <c r="R539" t="n">
        <v>0</v>
      </c>
      <c r="S539" t="n">
        <v>0</v>
      </c>
      <c r="T539" t="n">
        <v>0</v>
      </c>
      <c r="U539" t="n">
        <v>0</v>
      </c>
      <c r="V539" s="2" t="inlineStr"/>
    </row>
    <row r="540" ht="15" customHeight="1">
      <c r="A540" t="inlineStr">
        <is>
          <t>A 38327-2026</t>
        </is>
      </c>
      <c r="B540" t="inlineStr">
        <is>
          <t>avverkningsanmälan</t>
        </is>
      </c>
      <c r="C540" t="inlineStr">
        <is>
          <t>Föryngringsavverkning</t>
        </is>
      </c>
      <c r="D540" s="1" t="n">
        <v>46282</v>
      </c>
      <c r="E540" s="1" t="n">
        <v>46312</v>
      </c>
      <c r="F540" t="inlineStr">
        <is>
          <t>JÄMTLANDS LÄN</t>
        </is>
      </c>
      <c r="G540" t="inlineStr">
        <is>
          <t>ÖSTERSUND</t>
        </is>
      </c>
      <c r="H540" t="inlineStr">
        <is>
          <t>SCA</t>
        </is>
      </c>
      <c r="I540" t="n">
        <v>7.5</v>
      </c>
      <c r="J540" t="n">
        <v>0</v>
      </c>
      <c r="K540" t="n">
        <v>0</v>
      </c>
      <c r="L540" t="n">
        <v>0</v>
      </c>
      <c r="M540" t="n">
        <v>0</v>
      </c>
      <c r="N540" t="n">
        <v>0</v>
      </c>
      <c r="O540" t="n">
        <v>0</v>
      </c>
      <c r="P540" t="n">
        <v>0</v>
      </c>
      <c r="Q540" t="n">
        <v>0</v>
      </c>
      <c r="R540" t="n">
        <v>0</v>
      </c>
      <c r="S540" t="n">
        <v>0</v>
      </c>
      <c r="T540" t="n">
        <v>0</v>
      </c>
      <c r="U540" t="n">
        <v>0</v>
      </c>
      <c r="V540" s="2" t="inlineStr"/>
    </row>
    <row r="541" ht="15" customHeight="1">
      <c r="A541" t="inlineStr">
        <is>
          <t>A 32803-2026</t>
        </is>
      </c>
      <c r="B541" t="inlineStr">
        <is>
          <t>avverkningsanmälan</t>
        </is>
      </c>
      <c r="C541" t="inlineStr">
        <is>
          <t>Föryngringsavverkning</t>
        </is>
      </c>
      <c r="D541" s="1" t="n">
        <v>46241</v>
      </c>
      <c r="E541" s="1" t="n">
        <v>46312</v>
      </c>
      <c r="F541" t="inlineStr">
        <is>
          <t>JÄMTLANDS LÄN</t>
        </is>
      </c>
      <c r="G541" t="inlineStr">
        <is>
          <t>ÖSTERSUND</t>
        </is>
      </c>
      <c r="I541" t="n">
        <v>3.7</v>
      </c>
      <c r="J541" t="n">
        <v>0</v>
      </c>
      <c r="K541" t="n">
        <v>0</v>
      </c>
      <c r="L541" t="n">
        <v>0</v>
      </c>
      <c r="M541" t="n">
        <v>0</v>
      </c>
      <c r="N541" t="n">
        <v>0</v>
      </c>
      <c r="O541" t="n">
        <v>0</v>
      </c>
      <c r="P541" t="n">
        <v>0</v>
      </c>
      <c r="Q541" t="n">
        <v>0</v>
      </c>
      <c r="R541" t="n">
        <v>0</v>
      </c>
      <c r="S541" t="n">
        <v>0</v>
      </c>
      <c r="T541" t="n">
        <v>0</v>
      </c>
      <c r="U541" t="n">
        <v>0</v>
      </c>
      <c r="V541" s="2" t="inlineStr"/>
    </row>
    <row r="542" ht="15" customHeight="1">
      <c r="A542" t="inlineStr">
        <is>
          <t>A 207-2025</t>
        </is>
      </c>
      <c r="B542" t="inlineStr">
        <is>
          <t>avverkningsanmälan</t>
        </is>
      </c>
      <c r="C542" t="inlineStr">
        <is>
          <t>Föryngringsavverkning</t>
        </is>
      </c>
      <c r="D542" s="1" t="n">
        <v>45660</v>
      </c>
      <c r="E542" s="1" t="n">
        <v>46312</v>
      </c>
      <c r="F542" t="inlineStr">
        <is>
          <t>JÄMTLANDS LÄN</t>
        </is>
      </c>
      <c r="G542" t="inlineStr">
        <is>
          <t>ÖSTERSUND</t>
        </is>
      </c>
      <c r="I542" t="n">
        <v>4</v>
      </c>
      <c r="J542" t="n">
        <v>0</v>
      </c>
      <c r="K542" t="n">
        <v>0</v>
      </c>
      <c r="L542" t="n">
        <v>0</v>
      </c>
      <c r="M542" t="n">
        <v>0</v>
      </c>
      <c r="N542" t="n">
        <v>0</v>
      </c>
      <c r="O542" t="n">
        <v>0</v>
      </c>
      <c r="P542" t="n">
        <v>0</v>
      </c>
      <c r="Q542" t="n">
        <v>0</v>
      </c>
      <c r="R542" t="n">
        <v>0</v>
      </c>
      <c r="S542" t="n">
        <v>0</v>
      </c>
      <c r="T542" t="n">
        <v>0</v>
      </c>
      <c r="U542" t="n">
        <v>0</v>
      </c>
      <c r="V542" s="2" t="inlineStr"/>
    </row>
    <row r="543" ht="15" customHeight="1">
      <c r="A543" t="inlineStr">
        <is>
          <t>A 59691-2024</t>
        </is>
      </c>
      <c r="B543" t="inlineStr">
        <is>
          <t>avverkningsanmälan</t>
        </is>
      </c>
      <c r="C543" t="inlineStr">
        <is>
          <t>Föryngringsavverkning</t>
        </is>
      </c>
      <c r="D543" s="1" t="n">
        <v>45639</v>
      </c>
      <c r="E543" s="1" t="n">
        <v>46312</v>
      </c>
      <c r="F543" t="inlineStr">
        <is>
          <t>JÄMTLANDS LÄN</t>
        </is>
      </c>
      <c r="G543" t="inlineStr">
        <is>
          <t>ÖSTERSUND</t>
        </is>
      </c>
      <c r="H543" t="inlineStr">
        <is>
          <t>SCA</t>
        </is>
      </c>
      <c r="I543" t="n">
        <v>15.9</v>
      </c>
      <c r="J543" t="n">
        <v>0</v>
      </c>
      <c r="K543" t="n">
        <v>0</v>
      </c>
      <c r="L543" t="n">
        <v>0</v>
      </c>
      <c r="M543" t="n">
        <v>0</v>
      </c>
      <c r="N543" t="n">
        <v>0</v>
      </c>
      <c r="O543" t="n">
        <v>0</v>
      </c>
      <c r="P543" t="n">
        <v>0</v>
      </c>
      <c r="Q543" t="n">
        <v>0</v>
      </c>
      <c r="R543" t="n">
        <v>0</v>
      </c>
      <c r="S543" t="n">
        <v>0</v>
      </c>
      <c r="T543" t="n">
        <v>0</v>
      </c>
      <c r="U543" t="n">
        <v>0</v>
      </c>
      <c r="V543" s="2" t="inlineStr"/>
    </row>
    <row r="544" ht="15" customHeight="1">
      <c r="A544" t="inlineStr">
        <is>
          <t>A 23563-2022</t>
        </is>
      </c>
      <c r="B544" t="inlineStr">
        <is>
          <t>avverkningsanmälan</t>
        </is>
      </c>
      <c r="C544" t="inlineStr">
        <is>
          <t>Föryngringsavverkning</t>
        </is>
      </c>
      <c r="D544" s="1" t="n">
        <v>44721</v>
      </c>
      <c r="E544" s="1" t="n">
        <v>46312</v>
      </c>
      <c r="F544" t="inlineStr">
        <is>
          <t>JÄMTLANDS LÄN</t>
        </is>
      </c>
      <c r="G544" t="inlineStr">
        <is>
          <t>ÖSTERSUND</t>
        </is>
      </c>
      <c r="H544" t="inlineStr">
        <is>
          <t>Övriga Aktiebolag</t>
        </is>
      </c>
      <c r="I544" t="n">
        <v>3.7</v>
      </c>
      <c r="J544" t="n">
        <v>0</v>
      </c>
      <c r="K544" t="n">
        <v>0</v>
      </c>
      <c r="L544" t="n">
        <v>0</v>
      </c>
      <c r="M544" t="n">
        <v>0</v>
      </c>
      <c r="N544" t="n">
        <v>0</v>
      </c>
      <c r="O544" t="n">
        <v>0</v>
      </c>
      <c r="P544" t="n">
        <v>0</v>
      </c>
      <c r="Q544" t="n">
        <v>0</v>
      </c>
      <c r="R544" t="n">
        <v>0</v>
      </c>
      <c r="S544" t="n">
        <v>0</v>
      </c>
      <c r="T544" t="n">
        <v>0</v>
      </c>
      <c r="U544" t="n">
        <v>0</v>
      </c>
      <c r="V544" s="2" t="inlineStr"/>
    </row>
    <row r="545" ht="15" customHeight="1">
      <c r="A545" t="inlineStr">
        <is>
          <t>A 27118-2023</t>
        </is>
      </c>
      <c r="B545" t="inlineStr">
        <is>
          <t>avverkningsanmälan</t>
        </is>
      </c>
      <c r="C545" t="inlineStr">
        <is>
          <t>Föryngringsavverkning</t>
        </is>
      </c>
      <c r="D545" s="1" t="n">
        <v>45096</v>
      </c>
      <c r="E545" s="1" t="n">
        <v>46312</v>
      </c>
      <c r="F545" t="inlineStr">
        <is>
          <t>JÄMTLANDS LÄN</t>
        </is>
      </c>
      <c r="G545" t="inlineStr">
        <is>
          <t>ÖSTERSUND</t>
        </is>
      </c>
      <c r="I545" t="n">
        <v>1.2</v>
      </c>
      <c r="J545" t="n">
        <v>0</v>
      </c>
      <c r="K545" t="n">
        <v>0</v>
      </c>
      <c r="L545" t="n">
        <v>0</v>
      </c>
      <c r="M545" t="n">
        <v>0</v>
      </c>
      <c r="N545" t="n">
        <v>0</v>
      </c>
      <c r="O545" t="n">
        <v>0</v>
      </c>
      <c r="P545" t="n">
        <v>0</v>
      </c>
      <c r="Q545" t="n">
        <v>0</v>
      </c>
      <c r="R545" t="n">
        <v>0</v>
      </c>
      <c r="S545" t="n">
        <v>0</v>
      </c>
      <c r="T545" t="n">
        <v>0</v>
      </c>
      <c r="U545" t="n">
        <v>0</v>
      </c>
      <c r="V545" s="2" t="inlineStr"/>
    </row>
    <row r="546" ht="15" customHeight="1">
      <c r="A546" t="inlineStr">
        <is>
          <t>A 8972-2022</t>
        </is>
      </c>
      <c r="B546" t="inlineStr">
        <is>
          <t>avverkningsanmälan</t>
        </is>
      </c>
      <c r="C546" t="inlineStr">
        <is>
          <t>Föryngringsavverkning</t>
        </is>
      </c>
      <c r="D546" s="1" t="n">
        <v>44614</v>
      </c>
      <c r="E546" s="1" t="n">
        <v>46312</v>
      </c>
      <c r="F546" t="inlineStr">
        <is>
          <t>JÄMTLANDS LÄN</t>
        </is>
      </c>
      <c r="G546" t="inlineStr">
        <is>
          <t>ÖSTERSUND</t>
        </is>
      </c>
      <c r="I546" t="n">
        <v>0.8</v>
      </c>
      <c r="J546" t="n">
        <v>0</v>
      </c>
      <c r="K546" t="n">
        <v>0</v>
      </c>
      <c r="L546" t="n">
        <v>0</v>
      </c>
      <c r="M546" t="n">
        <v>0</v>
      </c>
      <c r="N546" t="n">
        <v>0</v>
      </c>
      <c r="O546" t="n">
        <v>0</v>
      </c>
      <c r="P546" t="n">
        <v>0</v>
      </c>
      <c r="Q546" t="n">
        <v>0</v>
      </c>
      <c r="R546" t="n">
        <v>0</v>
      </c>
      <c r="S546" t="n">
        <v>0</v>
      </c>
      <c r="T546" t="n">
        <v>0</v>
      </c>
      <c r="U546" t="n">
        <v>0</v>
      </c>
      <c r="V546" s="2" t="inlineStr"/>
    </row>
    <row r="547" ht="15" customHeight="1">
      <c r="A547" t="inlineStr">
        <is>
          <t>A 39141-2026</t>
        </is>
      </c>
      <c r="B547" t="inlineStr">
        <is>
          <t>avverkningsanmälan</t>
        </is>
      </c>
      <c r="C547" t="inlineStr">
        <is>
          <t>Föryngringsavverkning</t>
        </is>
      </c>
      <c r="D547" s="1" t="n">
        <v>46286</v>
      </c>
      <c r="E547" s="1" t="n">
        <v>46312</v>
      </c>
      <c r="F547" t="inlineStr">
        <is>
          <t>JÄMTLANDS LÄN</t>
        </is>
      </c>
      <c r="G547" t="inlineStr">
        <is>
          <t>ÖSTERSUND</t>
        </is>
      </c>
      <c r="I547" t="n">
        <v>1.1</v>
      </c>
      <c r="J547" t="n">
        <v>0</v>
      </c>
      <c r="K547" t="n">
        <v>0</v>
      </c>
      <c r="L547" t="n">
        <v>0</v>
      </c>
      <c r="M547" t="n">
        <v>0</v>
      </c>
      <c r="N547" t="n">
        <v>0</v>
      </c>
      <c r="O547" t="n">
        <v>0</v>
      </c>
      <c r="P547" t="n">
        <v>0</v>
      </c>
      <c r="Q547" t="n">
        <v>0</v>
      </c>
      <c r="R547" t="n">
        <v>0</v>
      </c>
      <c r="S547" t="n">
        <v>0</v>
      </c>
      <c r="T547" t="n">
        <v>0</v>
      </c>
      <c r="U547" t="n">
        <v>0</v>
      </c>
      <c r="V547" s="2" t="inlineStr"/>
    </row>
    <row r="548" ht="15" customHeight="1">
      <c r="A548" t="inlineStr">
        <is>
          <t>A 10305-2023</t>
        </is>
      </c>
      <c r="B548" t="inlineStr">
        <is>
          <t>avverkningsanmälan</t>
        </is>
      </c>
      <c r="C548" t="inlineStr">
        <is>
          <t>Föryngringsavverkning</t>
        </is>
      </c>
      <c r="D548" s="1" t="n">
        <v>44986</v>
      </c>
      <c r="E548" s="1" t="n">
        <v>46312</v>
      </c>
      <c r="F548" t="inlineStr">
        <is>
          <t>JÄMTLANDS LÄN</t>
        </is>
      </c>
      <c r="G548" t="inlineStr">
        <is>
          <t>ÖSTERSUND</t>
        </is>
      </c>
      <c r="H548" t="inlineStr">
        <is>
          <t>SCA</t>
        </is>
      </c>
      <c r="I548" t="n">
        <v>3.9</v>
      </c>
      <c r="J548" t="n">
        <v>0</v>
      </c>
      <c r="K548" t="n">
        <v>0</v>
      </c>
      <c r="L548" t="n">
        <v>0</v>
      </c>
      <c r="M548" t="n">
        <v>0</v>
      </c>
      <c r="N548" t="n">
        <v>0</v>
      </c>
      <c r="O548" t="n">
        <v>0</v>
      </c>
      <c r="P548" t="n">
        <v>0</v>
      </c>
      <c r="Q548" t="n">
        <v>0</v>
      </c>
      <c r="R548" t="n">
        <v>0</v>
      </c>
      <c r="S548" t="n">
        <v>0</v>
      </c>
      <c r="T548" t="n">
        <v>0</v>
      </c>
      <c r="U548" t="n">
        <v>0</v>
      </c>
      <c r="V548" s="2" t="inlineStr"/>
    </row>
    <row r="549" ht="15" customHeight="1">
      <c r="A549" t="inlineStr">
        <is>
          <t>A 55235-2023</t>
        </is>
      </c>
      <c r="B549" t="inlineStr">
        <is>
          <t>avverkningsanmälan</t>
        </is>
      </c>
      <c r="C549" t="inlineStr">
        <is>
          <t>Föryngringsavverkning</t>
        </is>
      </c>
      <c r="D549" s="1" t="n">
        <v>45231</v>
      </c>
      <c r="E549" s="1" t="n">
        <v>46312</v>
      </c>
      <c r="F549" t="inlineStr">
        <is>
          <t>JÄMTLANDS LÄN</t>
        </is>
      </c>
      <c r="G549" t="inlineStr">
        <is>
          <t>ÖSTERSUND</t>
        </is>
      </c>
      <c r="H549" t="inlineStr">
        <is>
          <t>SCA</t>
        </is>
      </c>
      <c r="I549" t="n">
        <v>0.4</v>
      </c>
      <c r="J549" t="n">
        <v>0</v>
      </c>
      <c r="K549" t="n">
        <v>0</v>
      </c>
      <c r="L549" t="n">
        <v>0</v>
      </c>
      <c r="M549" t="n">
        <v>0</v>
      </c>
      <c r="N549" t="n">
        <v>0</v>
      </c>
      <c r="O549" t="n">
        <v>0</v>
      </c>
      <c r="P549" t="n">
        <v>0</v>
      </c>
      <c r="Q549" t="n">
        <v>0</v>
      </c>
      <c r="R549" t="n">
        <v>0</v>
      </c>
      <c r="S549" t="n">
        <v>0</v>
      </c>
      <c r="T549" t="n">
        <v>0</v>
      </c>
      <c r="U549" t="n">
        <v>0</v>
      </c>
      <c r="V549" s="2" t="inlineStr"/>
    </row>
    <row r="550" ht="15" customHeight="1">
      <c r="A550" t="inlineStr">
        <is>
          <t>A 39012-2026</t>
        </is>
      </c>
      <c r="B550" t="inlineStr">
        <is>
          <t>avverkningsanmälan</t>
        </is>
      </c>
      <c r="C550" t="inlineStr">
        <is>
          <t>Föryngringsavverkning</t>
        </is>
      </c>
      <c r="D550" s="1" t="n">
        <v>46287</v>
      </c>
      <c r="E550" s="1" t="n">
        <v>46312</v>
      </c>
      <c r="F550" t="inlineStr">
        <is>
          <t>JÄMTLANDS LÄN</t>
        </is>
      </c>
      <c r="G550" t="inlineStr">
        <is>
          <t>ÖSTERSUND</t>
        </is>
      </c>
      <c r="H550" t="inlineStr">
        <is>
          <t>Kommuner</t>
        </is>
      </c>
      <c r="I550" t="n">
        <v>2.3</v>
      </c>
      <c r="J550" t="n">
        <v>0</v>
      </c>
      <c r="K550" t="n">
        <v>0</v>
      </c>
      <c r="L550" t="n">
        <v>0</v>
      </c>
      <c r="M550" t="n">
        <v>0</v>
      </c>
      <c r="N550" t="n">
        <v>0</v>
      </c>
      <c r="O550" t="n">
        <v>0</v>
      </c>
      <c r="P550" t="n">
        <v>0</v>
      </c>
      <c r="Q550" t="n">
        <v>0</v>
      </c>
      <c r="R550" t="n">
        <v>0</v>
      </c>
      <c r="S550" t="n">
        <v>0</v>
      </c>
      <c r="T550" t="n">
        <v>0</v>
      </c>
      <c r="U550" t="n">
        <v>0</v>
      </c>
      <c r="V550" s="2" t="inlineStr"/>
    </row>
    <row r="551" ht="15" customHeight="1">
      <c r="A551" t="inlineStr">
        <is>
          <t>A 7953-2025</t>
        </is>
      </c>
      <c r="B551" t="inlineStr">
        <is>
          <t>avverkningsanmälan</t>
        </is>
      </c>
      <c r="C551" t="inlineStr">
        <is>
          <t>Föryngringsavverkning</t>
        </is>
      </c>
      <c r="D551" s="1" t="n">
        <v>45707</v>
      </c>
      <c r="E551" s="1" t="n">
        <v>46312</v>
      </c>
      <c r="F551" t="inlineStr">
        <is>
          <t>JÄMTLANDS LÄN</t>
        </is>
      </c>
      <c r="G551" t="inlineStr">
        <is>
          <t>ÖSTERSUND</t>
        </is>
      </c>
      <c r="I551" t="n">
        <v>1.8</v>
      </c>
      <c r="J551" t="n">
        <v>0</v>
      </c>
      <c r="K551" t="n">
        <v>0</v>
      </c>
      <c r="L551" t="n">
        <v>0</v>
      </c>
      <c r="M551" t="n">
        <v>0</v>
      </c>
      <c r="N551" t="n">
        <v>0</v>
      </c>
      <c r="O551" t="n">
        <v>0</v>
      </c>
      <c r="P551" t="n">
        <v>0</v>
      </c>
      <c r="Q551" t="n">
        <v>0</v>
      </c>
      <c r="R551" t="n">
        <v>0</v>
      </c>
      <c r="S551" t="n">
        <v>0</v>
      </c>
      <c r="T551" t="n">
        <v>0</v>
      </c>
      <c r="U551" t="n">
        <v>0</v>
      </c>
      <c r="V551" s="2" t="inlineStr"/>
    </row>
    <row r="552" ht="15" customHeight="1">
      <c r="A552" t="inlineStr">
        <is>
          <t>A 4350-2024</t>
        </is>
      </c>
      <c r="B552" t="inlineStr">
        <is>
          <t>avverkningsanmälan</t>
        </is>
      </c>
      <c r="C552" t="inlineStr">
        <is>
          <t>Föryngringsavverkning</t>
        </is>
      </c>
      <c r="D552" s="1" t="n">
        <v>45324</v>
      </c>
      <c r="E552" s="1" t="n">
        <v>46312</v>
      </c>
      <c r="F552" t="inlineStr">
        <is>
          <t>JÄMTLANDS LÄN</t>
        </is>
      </c>
      <c r="G552" t="inlineStr">
        <is>
          <t>ÖSTERSUND</t>
        </is>
      </c>
      <c r="H552" t="inlineStr">
        <is>
          <t>SCA</t>
        </is>
      </c>
      <c r="I552" t="n">
        <v>6</v>
      </c>
      <c r="J552" t="n">
        <v>0</v>
      </c>
      <c r="K552" t="n">
        <v>0</v>
      </c>
      <c r="L552" t="n">
        <v>0</v>
      </c>
      <c r="M552" t="n">
        <v>0</v>
      </c>
      <c r="N552" t="n">
        <v>0</v>
      </c>
      <c r="O552" t="n">
        <v>0</v>
      </c>
      <c r="P552" t="n">
        <v>0</v>
      </c>
      <c r="Q552" t="n">
        <v>0</v>
      </c>
      <c r="R552" t="n">
        <v>0</v>
      </c>
      <c r="S552" t="n">
        <v>0</v>
      </c>
      <c r="T552" t="n">
        <v>0</v>
      </c>
      <c r="U552" t="n">
        <v>0</v>
      </c>
      <c r="V552" s="2" t="inlineStr"/>
    </row>
    <row r="553" ht="15" customHeight="1">
      <c r="A553" t="inlineStr">
        <is>
          <t>A 39147-2026</t>
        </is>
      </c>
      <c r="B553" t="inlineStr">
        <is>
          <t>avverkningsanmälan</t>
        </is>
      </c>
      <c r="C553" t="inlineStr">
        <is>
          <t>Föryngringsavverkning</t>
        </is>
      </c>
      <c r="D553" s="1" t="n">
        <v>46286</v>
      </c>
      <c r="E553" s="1" t="n">
        <v>46312</v>
      </c>
      <c r="F553" t="inlineStr">
        <is>
          <t>JÄMTLANDS LÄN</t>
        </is>
      </c>
      <c r="G553" t="inlineStr">
        <is>
          <t>ÖSTERSUND</t>
        </is>
      </c>
      <c r="I553" t="n">
        <v>1.6</v>
      </c>
      <c r="J553" t="n">
        <v>0</v>
      </c>
      <c r="K553" t="n">
        <v>0</v>
      </c>
      <c r="L553" t="n">
        <v>0</v>
      </c>
      <c r="M553" t="n">
        <v>0</v>
      </c>
      <c r="N553" t="n">
        <v>0</v>
      </c>
      <c r="O553" t="n">
        <v>0</v>
      </c>
      <c r="P553" t="n">
        <v>0</v>
      </c>
      <c r="Q553" t="n">
        <v>0</v>
      </c>
      <c r="R553" t="n">
        <v>0</v>
      </c>
      <c r="S553" t="n">
        <v>0</v>
      </c>
      <c r="T553" t="n">
        <v>0</v>
      </c>
      <c r="U553" t="n">
        <v>0</v>
      </c>
      <c r="V553" s="2" t="inlineStr"/>
    </row>
    <row r="554" ht="15" customHeight="1">
      <c r="A554" t="inlineStr">
        <is>
          <t>A 19149-2026</t>
        </is>
      </c>
      <c r="B554" t="inlineStr">
        <is>
          <t>avverkningsanmälan</t>
        </is>
      </c>
      <c r="C554" t="inlineStr">
        <is>
          <t>Föryngringsavverkning</t>
        </is>
      </c>
      <c r="D554" s="1" t="n">
        <v>46132</v>
      </c>
      <c r="E554" s="1" t="n">
        <v>46312</v>
      </c>
      <c r="F554" t="inlineStr">
        <is>
          <t>JÄMTLANDS LÄN</t>
        </is>
      </c>
      <c r="G554" t="inlineStr">
        <is>
          <t>ÖSTERSUND</t>
        </is>
      </c>
      <c r="I554" t="n">
        <v>2.5</v>
      </c>
      <c r="J554" t="n">
        <v>0</v>
      </c>
      <c r="K554" t="n">
        <v>0</v>
      </c>
      <c r="L554" t="n">
        <v>0</v>
      </c>
      <c r="M554" t="n">
        <v>0</v>
      </c>
      <c r="N554" t="n">
        <v>0</v>
      </c>
      <c r="O554" t="n">
        <v>0</v>
      </c>
      <c r="P554" t="n">
        <v>0</v>
      </c>
      <c r="Q554" t="n">
        <v>0</v>
      </c>
      <c r="R554" t="n">
        <v>0</v>
      </c>
      <c r="S554" t="n">
        <v>0</v>
      </c>
      <c r="T554" t="n">
        <v>0</v>
      </c>
      <c r="U554" t="n">
        <v>0</v>
      </c>
      <c r="V554" s="2" t="inlineStr"/>
    </row>
    <row r="555" ht="15" customHeight="1">
      <c r="A555" t="inlineStr">
        <is>
          <t>A 39442-2026</t>
        </is>
      </c>
      <c r="B555" t="inlineStr">
        <is>
          <t>avverkningsanmälan</t>
        </is>
      </c>
      <c r="C555" t="inlineStr">
        <is>
          <t>Avverkning för annat ändamål</t>
        </is>
      </c>
      <c r="D555" s="1" t="n">
        <v>46288</v>
      </c>
      <c r="E555" s="1" t="n">
        <v>46312</v>
      </c>
      <c r="F555" t="inlineStr">
        <is>
          <t>JÄMTLANDS LÄN</t>
        </is>
      </c>
      <c r="G555" t="inlineStr">
        <is>
          <t>ÖSTERSUND</t>
        </is>
      </c>
      <c r="H555" t="inlineStr">
        <is>
          <t>Övriga Aktiebolag</t>
        </is>
      </c>
      <c r="I555" t="n">
        <v>0.3</v>
      </c>
      <c r="J555" t="n">
        <v>0</v>
      </c>
      <c r="K555" t="n">
        <v>0</v>
      </c>
      <c r="L555" t="n">
        <v>0</v>
      </c>
      <c r="M555" t="n">
        <v>0</v>
      </c>
      <c r="N555" t="n">
        <v>0</v>
      </c>
      <c r="O555" t="n">
        <v>0</v>
      </c>
      <c r="P555" t="n">
        <v>0</v>
      </c>
      <c r="Q555" t="n">
        <v>0</v>
      </c>
      <c r="R555" t="n">
        <v>0</v>
      </c>
      <c r="S555" t="n">
        <v>0</v>
      </c>
      <c r="T555" t="n">
        <v>0</v>
      </c>
      <c r="U555" t="n">
        <v>0</v>
      </c>
      <c r="V555" s="2" t="inlineStr"/>
    </row>
    <row r="556" ht="15" customHeight="1">
      <c r="A556" t="inlineStr">
        <is>
          <t>A 70256-2021</t>
        </is>
      </c>
      <c r="B556" t="inlineStr">
        <is>
          <t>avverkningsanmälan</t>
        </is>
      </c>
      <c r="C556" t="inlineStr">
        <is>
          <t>Föryngringsavverkning</t>
        </is>
      </c>
      <c r="D556" s="1" t="n">
        <v>44533</v>
      </c>
      <c r="E556" s="1" t="n">
        <v>46312</v>
      </c>
      <c r="F556" t="inlineStr">
        <is>
          <t>JÄMTLANDS LÄN</t>
        </is>
      </c>
      <c r="G556" t="inlineStr">
        <is>
          <t>ÖSTERSUND</t>
        </is>
      </c>
      <c r="I556" t="n">
        <v>8.199999999999999</v>
      </c>
      <c r="J556" t="n">
        <v>0</v>
      </c>
      <c r="K556" t="n">
        <v>0</v>
      </c>
      <c r="L556" t="n">
        <v>0</v>
      </c>
      <c r="M556" t="n">
        <v>0</v>
      </c>
      <c r="N556" t="n">
        <v>0</v>
      </c>
      <c r="O556" t="n">
        <v>0</v>
      </c>
      <c r="P556" t="n">
        <v>0</v>
      </c>
      <c r="Q556" t="n">
        <v>0</v>
      </c>
      <c r="R556" t="n">
        <v>0</v>
      </c>
      <c r="S556" t="n">
        <v>0</v>
      </c>
      <c r="T556" t="n">
        <v>0</v>
      </c>
      <c r="U556" t="n">
        <v>0</v>
      </c>
      <c r="V556" s="2" t="inlineStr"/>
    </row>
    <row r="557" ht="15" customHeight="1">
      <c r="A557" t="inlineStr">
        <is>
          <t>A 39599-2026</t>
        </is>
      </c>
      <c r="B557" t="inlineStr">
        <is>
          <t>avverkningsanmälan</t>
        </is>
      </c>
      <c r="C557" t="inlineStr">
        <is>
          <t>Föryngringsavverkning</t>
        </is>
      </c>
      <c r="D557" s="1" t="n">
        <v>46289</v>
      </c>
      <c r="E557" s="1" t="n">
        <v>46312</v>
      </c>
      <c r="F557" t="inlineStr">
        <is>
          <t>JÄMTLANDS LÄN</t>
        </is>
      </c>
      <c r="G557" t="inlineStr">
        <is>
          <t>ÖSTERSUND</t>
        </is>
      </c>
      <c r="I557" t="n">
        <v>3.6</v>
      </c>
      <c r="J557" t="n">
        <v>0</v>
      </c>
      <c r="K557" t="n">
        <v>0</v>
      </c>
      <c r="L557" t="n">
        <v>0</v>
      </c>
      <c r="M557" t="n">
        <v>0</v>
      </c>
      <c r="N557" t="n">
        <v>0</v>
      </c>
      <c r="O557" t="n">
        <v>0</v>
      </c>
      <c r="P557" t="n">
        <v>0</v>
      </c>
      <c r="Q557" t="n">
        <v>0</v>
      </c>
      <c r="R557" t="n">
        <v>0</v>
      </c>
      <c r="S557" t="n">
        <v>0</v>
      </c>
      <c r="T557" t="n">
        <v>0</v>
      </c>
      <c r="U557" t="n">
        <v>0</v>
      </c>
      <c r="V557" s="2" t="inlineStr"/>
    </row>
    <row r="558" ht="15" customHeight="1">
      <c r="A558" t="inlineStr">
        <is>
          <t>A 4136-2023</t>
        </is>
      </c>
      <c r="B558" t="inlineStr">
        <is>
          <t>avverkningsanmälan</t>
        </is>
      </c>
      <c r="C558" t="inlineStr">
        <is>
          <t>Föryngringsavverkning</t>
        </is>
      </c>
      <c r="D558" s="1" t="n">
        <v>44952</v>
      </c>
      <c r="E558" s="1" t="n">
        <v>46312</v>
      </c>
      <c r="F558" t="inlineStr">
        <is>
          <t>JÄMTLANDS LÄN</t>
        </is>
      </c>
      <c r="G558" t="inlineStr">
        <is>
          <t>ÖSTERSUND</t>
        </is>
      </c>
      <c r="I558" t="n">
        <v>0.7</v>
      </c>
      <c r="J558" t="n">
        <v>0</v>
      </c>
      <c r="K558" t="n">
        <v>0</v>
      </c>
      <c r="L558" t="n">
        <v>0</v>
      </c>
      <c r="M558" t="n">
        <v>0</v>
      </c>
      <c r="N558" t="n">
        <v>0</v>
      </c>
      <c r="O558" t="n">
        <v>0</v>
      </c>
      <c r="P558" t="n">
        <v>0</v>
      </c>
      <c r="Q558" t="n">
        <v>0</v>
      </c>
      <c r="R558" t="n">
        <v>0</v>
      </c>
      <c r="S558" t="n">
        <v>0</v>
      </c>
      <c r="T558" t="n">
        <v>0</v>
      </c>
      <c r="U558" t="n">
        <v>0</v>
      </c>
      <c r="V558" s="2" t="inlineStr"/>
    </row>
    <row r="559" ht="15" customHeight="1">
      <c r="A559" t="inlineStr">
        <is>
          <t>A 1893-2023</t>
        </is>
      </c>
      <c r="B559" t="inlineStr">
        <is>
          <t>avverkningsanmälan</t>
        </is>
      </c>
      <c r="C559" t="inlineStr">
        <is>
          <t>Föryngringsavverkning</t>
        </is>
      </c>
      <c r="D559" s="1" t="n">
        <v>44937</v>
      </c>
      <c r="E559" s="1" t="n">
        <v>46312</v>
      </c>
      <c r="F559" t="inlineStr">
        <is>
          <t>JÄMTLANDS LÄN</t>
        </is>
      </c>
      <c r="G559" t="inlineStr">
        <is>
          <t>ÖSTERSUND</t>
        </is>
      </c>
      <c r="I559" t="n">
        <v>11</v>
      </c>
      <c r="J559" t="n">
        <v>0</v>
      </c>
      <c r="K559" t="n">
        <v>0</v>
      </c>
      <c r="L559" t="n">
        <v>0</v>
      </c>
      <c r="M559" t="n">
        <v>0</v>
      </c>
      <c r="N559" t="n">
        <v>0</v>
      </c>
      <c r="O559" t="n">
        <v>0</v>
      </c>
      <c r="P559" t="n">
        <v>0</v>
      </c>
      <c r="Q559" t="n">
        <v>0</v>
      </c>
      <c r="R559" t="n">
        <v>0</v>
      </c>
      <c r="S559" t="n">
        <v>0</v>
      </c>
      <c r="T559" t="n">
        <v>0</v>
      </c>
      <c r="U559" t="n">
        <v>0</v>
      </c>
      <c r="V559" s="2" t="inlineStr"/>
    </row>
    <row r="560" ht="15" customHeight="1">
      <c r="A560" t="inlineStr">
        <is>
          <t>A 19566-2024</t>
        </is>
      </c>
      <c r="B560" t="inlineStr">
        <is>
          <t>avverkningsanmälan</t>
        </is>
      </c>
      <c r="C560" t="inlineStr">
        <is>
          <t>Avverkning för annat ändamål</t>
        </is>
      </c>
      <c r="D560" s="1" t="n">
        <v>45429</v>
      </c>
      <c r="E560" s="1" t="n">
        <v>46312</v>
      </c>
      <c r="F560" t="inlineStr">
        <is>
          <t>JÄMTLANDS LÄN</t>
        </is>
      </c>
      <c r="G560" t="inlineStr">
        <is>
          <t>ÖSTERSUND</t>
        </is>
      </c>
      <c r="I560" t="n">
        <v>0</v>
      </c>
      <c r="J560" t="n">
        <v>0</v>
      </c>
      <c r="K560" t="n">
        <v>0</v>
      </c>
      <c r="L560" t="n">
        <v>0</v>
      </c>
      <c r="M560" t="n">
        <v>0</v>
      </c>
      <c r="N560" t="n">
        <v>0</v>
      </c>
      <c r="O560" t="n">
        <v>0</v>
      </c>
      <c r="P560" t="n">
        <v>0</v>
      </c>
      <c r="Q560" t="n">
        <v>0</v>
      </c>
      <c r="R560" t="n">
        <v>0</v>
      </c>
      <c r="S560" t="n">
        <v>0</v>
      </c>
      <c r="T560" t="n">
        <v>0</v>
      </c>
      <c r="U560" t="n">
        <v>0</v>
      </c>
      <c r="V560" s="2" t="inlineStr"/>
    </row>
    <row r="561" ht="15" customHeight="1">
      <c r="A561" t="inlineStr">
        <is>
          <t>A 7233-2025</t>
        </is>
      </c>
      <c r="B561" t="inlineStr">
        <is>
          <t>avverkningsanmälan</t>
        </is>
      </c>
      <c r="C561" t="inlineStr">
        <is>
          <t>Föryngringsavverkning</t>
        </is>
      </c>
      <c r="D561" s="1" t="n">
        <v>45702</v>
      </c>
      <c r="E561" s="1" t="n">
        <v>46312</v>
      </c>
      <c r="F561" t="inlineStr">
        <is>
          <t>JÄMTLANDS LÄN</t>
        </is>
      </c>
      <c r="G561" t="inlineStr">
        <is>
          <t>ÖSTERSUND</t>
        </is>
      </c>
      <c r="I561" t="n">
        <v>1.7</v>
      </c>
      <c r="J561" t="n">
        <v>0</v>
      </c>
      <c r="K561" t="n">
        <v>0</v>
      </c>
      <c r="L561" t="n">
        <v>0</v>
      </c>
      <c r="M561" t="n">
        <v>0</v>
      </c>
      <c r="N561" t="n">
        <v>0</v>
      </c>
      <c r="O561" t="n">
        <v>0</v>
      </c>
      <c r="P561" t="n">
        <v>0</v>
      </c>
      <c r="Q561" t="n">
        <v>0</v>
      </c>
      <c r="R561" t="n">
        <v>0</v>
      </c>
      <c r="S561" t="n">
        <v>0</v>
      </c>
      <c r="T561" t="n">
        <v>0</v>
      </c>
      <c r="U561" t="n">
        <v>0</v>
      </c>
      <c r="V561" s="2" t="inlineStr"/>
    </row>
    <row r="562" ht="15" customHeight="1">
      <c r="A562" t="inlineStr">
        <is>
          <t>A 33563-2026</t>
        </is>
      </c>
      <c r="B562" t="inlineStr">
        <is>
          <t>avverkningsanmälan</t>
        </is>
      </c>
      <c r="C562" t="inlineStr">
        <is>
          <t>Föryngringsavverkning</t>
        </is>
      </c>
      <c r="D562" s="1" t="n">
        <v>46248</v>
      </c>
      <c r="E562" s="1" t="n">
        <v>46312</v>
      </c>
      <c r="F562" t="inlineStr">
        <is>
          <t>JÄMTLANDS LÄN</t>
        </is>
      </c>
      <c r="G562" t="inlineStr">
        <is>
          <t>ÖSTERSUND</t>
        </is>
      </c>
      <c r="I562" t="n">
        <v>2.5</v>
      </c>
      <c r="J562" t="n">
        <v>0</v>
      </c>
      <c r="K562" t="n">
        <v>0</v>
      </c>
      <c r="L562" t="n">
        <v>0</v>
      </c>
      <c r="M562" t="n">
        <v>0</v>
      </c>
      <c r="N562" t="n">
        <v>0</v>
      </c>
      <c r="O562" t="n">
        <v>0</v>
      </c>
      <c r="P562" t="n">
        <v>0</v>
      </c>
      <c r="Q562" t="n">
        <v>0</v>
      </c>
      <c r="R562" t="n">
        <v>0</v>
      </c>
      <c r="S562" t="n">
        <v>0</v>
      </c>
      <c r="T562" t="n">
        <v>0</v>
      </c>
      <c r="U562" t="n">
        <v>0</v>
      </c>
      <c r="V562" s="2" t="inlineStr"/>
    </row>
    <row r="563" ht="15" customHeight="1">
      <c r="A563" t="inlineStr">
        <is>
          <t>A 4966-2025</t>
        </is>
      </c>
      <c r="B563" t="inlineStr">
        <is>
          <t>avverkningsanmälan</t>
        </is>
      </c>
      <c r="C563" t="inlineStr">
        <is>
          <t>Föryngringsavverkning</t>
        </is>
      </c>
      <c r="D563" s="1" t="n">
        <v>45690</v>
      </c>
      <c r="E563" s="1" t="n">
        <v>46312</v>
      </c>
      <c r="F563" t="inlineStr">
        <is>
          <t>JÄMTLANDS LÄN</t>
        </is>
      </c>
      <c r="G563" t="inlineStr">
        <is>
          <t>ÖSTERSUND</t>
        </is>
      </c>
      <c r="I563" t="n">
        <v>3.4</v>
      </c>
      <c r="J563" t="n">
        <v>0</v>
      </c>
      <c r="K563" t="n">
        <v>0</v>
      </c>
      <c r="L563" t="n">
        <v>0</v>
      </c>
      <c r="M563" t="n">
        <v>0</v>
      </c>
      <c r="N563" t="n">
        <v>0</v>
      </c>
      <c r="O563" t="n">
        <v>0</v>
      </c>
      <c r="P563" t="n">
        <v>0</v>
      </c>
      <c r="Q563" t="n">
        <v>0</v>
      </c>
      <c r="R563" t="n">
        <v>0</v>
      </c>
      <c r="S563" t="n">
        <v>0</v>
      </c>
      <c r="T563" t="n">
        <v>0</v>
      </c>
      <c r="U563" t="n">
        <v>0</v>
      </c>
      <c r="V563" s="2" t="inlineStr"/>
    </row>
    <row r="564" ht="15" customHeight="1">
      <c r="A564" t="inlineStr">
        <is>
          <t>A 2615-2024</t>
        </is>
      </c>
      <c r="B564" t="inlineStr">
        <is>
          <t>avverkningsanmälan</t>
        </is>
      </c>
      <c r="C564" t="inlineStr">
        <is>
          <t>Föryngringsavverkning</t>
        </is>
      </c>
      <c r="D564" s="1" t="n">
        <v>45313</v>
      </c>
      <c r="E564" s="1" t="n">
        <v>46312</v>
      </c>
      <c r="F564" t="inlineStr">
        <is>
          <t>JÄMTLANDS LÄN</t>
        </is>
      </c>
      <c r="G564" t="inlineStr">
        <is>
          <t>ÖSTERSUND</t>
        </is>
      </c>
      <c r="I564" t="n">
        <v>1.5</v>
      </c>
      <c r="J564" t="n">
        <v>0</v>
      </c>
      <c r="K564" t="n">
        <v>0</v>
      </c>
      <c r="L564" t="n">
        <v>0</v>
      </c>
      <c r="M564" t="n">
        <v>0</v>
      </c>
      <c r="N564" t="n">
        <v>0</v>
      </c>
      <c r="O564" t="n">
        <v>0</v>
      </c>
      <c r="P564" t="n">
        <v>0</v>
      </c>
      <c r="Q564" t="n">
        <v>0</v>
      </c>
      <c r="R564" t="n">
        <v>0</v>
      </c>
      <c r="S564" t="n">
        <v>0</v>
      </c>
      <c r="T564" t="n">
        <v>0</v>
      </c>
      <c r="U564" t="n">
        <v>0</v>
      </c>
      <c r="V564" s="2" t="inlineStr"/>
    </row>
    <row r="565" ht="15" customHeight="1">
      <c r="A565" t="inlineStr">
        <is>
          <t>A 24786-2024</t>
        </is>
      </c>
      <c r="B565" t="inlineStr">
        <is>
          <t>avverkningsanmälan</t>
        </is>
      </c>
      <c r="C565" t="inlineStr">
        <is>
          <t>Avverkning för annat ändamål</t>
        </is>
      </c>
      <c r="D565" s="1" t="n">
        <v>45460</v>
      </c>
      <c r="E565" s="1" t="n">
        <v>46312</v>
      </c>
      <c r="F565" t="inlineStr">
        <is>
          <t>JÄMTLANDS LÄN</t>
        </is>
      </c>
      <c r="G565" t="inlineStr">
        <is>
          <t>ÖSTERSUND</t>
        </is>
      </c>
      <c r="I565" t="n">
        <v>0.1</v>
      </c>
      <c r="J565" t="n">
        <v>0</v>
      </c>
      <c r="K565" t="n">
        <v>0</v>
      </c>
      <c r="L565" t="n">
        <v>0</v>
      </c>
      <c r="M565" t="n">
        <v>0</v>
      </c>
      <c r="N565" t="n">
        <v>0</v>
      </c>
      <c r="O565" t="n">
        <v>0</v>
      </c>
      <c r="P565" t="n">
        <v>0</v>
      </c>
      <c r="Q565" t="n">
        <v>0</v>
      </c>
      <c r="R565" t="n">
        <v>0</v>
      </c>
      <c r="S565" t="n">
        <v>0</v>
      </c>
      <c r="T565" t="n">
        <v>0</v>
      </c>
      <c r="U565" t="n">
        <v>0</v>
      </c>
      <c r="V565" s="2" t="inlineStr"/>
    </row>
    <row r="566" ht="15" customHeight="1">
      <c r="A566" t="inlineStr">
        <is>
          <t>A 53660-2024</t>
        </is>
      </c>
      <c r="B566" t="inlineStr">
        <is>
          <t>avverkningsanmälan</t>
        </is>
      </c>
      <c r="C566" t="inlineStr">
        <is>
          <t>Föryngringsavverkning</t>
        </is>
      </c>
      <c r="D566" s="1" t="n">
        <v>45615</v>
      </c>
      <c r="E566" s="1" t="n">
        <v>46312</v>
      </c>
      <c r="F566" t="inlineStr">
        <is>
          <t>JÄMTLANDS LÄN</t>
        </is>
      </c>
      <c r="G566" t="inlineStr">
        <is>
          <t>ÖSTERSUND</t>
        </is>
      </c>
      <c r="I566" t="n">
        <v>1.1</v>
      </c>
      <c r="J566" t="n">
        <v>0</v>
      </c>
      <c r="K566" t="n">
        <v>0</v>
      </c>
      <c r="L566" t="n">
        <v>0</v>
      </c>
      <c r="M566" t="n">
        <v>0</v>
      </c>
      <c r="N566" t="n">
        <v>0</v>
      </c>
      <c r="O566" t="n">
        <v>0</v>
      </c>
      <c r="P566" t="n">
        <v>0</v>
      </c>
      <c r="Q566" t="n">
        <v>0</v>
      </c>
      <c r="R566" t="n">
        <v>0</v>
      </c>
      <c r="S566" t="n">
        <v>0</v>
      </c>
      <c r="T566" t="n">
        <v>0</v>
      </c>
      <c r="U566" t="n">
        <v>0</v>
      </c>
      <c r="V566" s="2" t="inlineStr"/>
    </row>
    <row r="567" ht="15" customHeight="1">
      <c r="A567" t="inlineStr">
        <is>
          <t>A 1670-2024</t>
        </is>
      </c>
      <c r="B567" t="inlineStr">
        <is>
          <t>avverkningsanmälan</t>
        </is>
      </c>
      <c r="C567" t="inlineStr">
        <is>
          <t>Avverkning för annat ändamål</t>
        </is>
      </c>
      <c r="D567" s="1" t="n">
        <v>45306</v>
      </c>
      <c r="E567" s="1" t="n">
        <v>46312</v>
      </c>
      <c r="F567" t="inlineStr">
        <is>
          <t>JÄMTLANDS LÄN</t>
        </is>
      </c>
      <c r="G567" t="inlineStr">
        <is>
          <t>ÖSTERSUND</t>
        </is>
      </c>
      <c r="I567" t="n">
        <v>1.2</v>
      </c>
      <c r="J567" t="n">
        <v>0</v>
      </c>
      <c r="K567" t="n">
        <v>0</v>
      </c>
      <c r="L567" t="n">
        <v>0</v>
      </c>
      <c r="M567" t="n">
        <v>0</v>
      </c>
      <c r="N567" t="n">
        <v>0</v>
      </c>
      <c r="O567" t="n">
        <v>0</v>
      </c>
      <c r="P567" t="n">
        <v>0</v>
      </c>
      <c r="Q567" t="n">
        <v>0</v>
      </c>
      <c r="R567" t="n">
        <v>0</v>
      </c>
      <c r="S567" t="n">
        <v>0</v>
      </c>
      <c r="T567" t="n">
        <v>0</v>
      </c>
      <c r="U567" t="n">
        <v>0</v>
      </c>
      <c r="V567" s="2" t="inlineStr"/>
    </row>
    <row r="568" ht="15" customHeight="1">
      <c r="A568" t="inlineStr">
        <is>
          <t>A 56111-2022</t>
        </is>
      </c>
      <c r="B568" t="inlineStr">
        <is>
          <t>avverkningsanmälan</t>
        </is>
      </c>
      <c r="C568" t="inlineStr">
        <is>
          <t>Föryngringsavverkning</t>
        </is>
      </c>
      <c r="D568" s="1" t="n">
        <v>44889</v>
      </c>
      <c r="E568" s="1" t="n">
        <v>46312</v>
      </c>
      <c r="F568" t="inlineStr">
        <is>
          <t>JÄMTLANDS LÄN</t>
        </is>
      </c>
      <c r="G568" t="inlineStr">
        <is>
          <t>ÖSTERSUND</t>
        </is>
      </c>
      <c r="I568" t="n">
        <v>2.5</v>
      </c>
      <c r="J568" t="n">
        <v>0</v>
      </c>
      <c r="K568" t="n">
        <v>0</v>
      </c>
      <c r="L568" t="n">
        <v>0</v>
      </c>
      <c r="M568" t="n">
        <v>0</v>
      </c>
      <c r="N568" t="n">
        <v>0</v>
      </c>
      <c r="O568" t="n">
        <v>0</v>
      </c>
      <c r="P568" t="n">
        <v>0</v>
      </c>
      <c r="Q568" t="n">
        <v>0</v>
      </c>
      <c r="R568" t="n">
        <v>0</v>
      </c>
      <c r="S568" t="n">
        <v>0</v>
      </c>
      <c r="T568" t="n">
        <v>0</v>
      </c>
      <c r="U568" t="n">
        <v>0</v>
      </c>
      <c r="V568" s="2" t="inlineStr"/>
    </row>
    <row r="569" ht="15" customHeight="1">
      <c r="A569" t="inlineStr">
        <is>
          <t>A 40423-2026</t>
        </is>
      </c>
      <c r="B569" t="inlineStr">
        <is>
          <t>avverkningsanmälan</t>
        </is>
      </c>
      <c r="C569" t="inlineStr">
        <is>
          <t>Föryngringsavverkning</t>
        </is>
      </c>
      <c r="D569" s="1" t="n">
        <v>46294</v>
      </c>
      <c r="E569" s="1" t="n">
        <v>46312</v>
      </c>
      <c r="F569" t="inlineStr">
        <is>
          <t>JÄMTLANDS LÄN</t>
        </is>
      </c>
      <c r="G569" t="inlineStr">
        <is>
          <t>ÖSTERSUND</t>
        </is>
      </c>
      <c r="I569" t="n">
        <v>6.2</v>
      </c>
      <c r="J569" t="n">
        <v>0</v>
      </c>
      <c r="K569" t="n">
        <v>0</v>
      </c>
      <c r="L569" t="n">
        <v>0</v>
      </c>
      <c r="M569" t="n">
        <v>0</v>
      </c>
      <c r="N569" t="n">
        <v>0</v>
      </c>
      <c r="O569" t="n">
        <v>0</v>
      </c>
      <c r="P569" t="n">
        <v>0</v>
      </c>
      <c r="Q569" t="n">
        <v>0</v>
      </c>
      <c r="R569" t="n">
        <v>0</v>
      </c>
      <c r="S569" t="n">
        <v>0</v>
      </c>
      <c r="T569" t="n">
        <v>0</v>
      </c>
      <c r="U569" t="n">
        <v>0</v>
      </c>
      <c r="V569" s="2" t="inlineStr"/>
    </row>
    <row r="570" ht="15" customHeight="1">
      <c r="A570" t="inlineStr">
        <is>
          <t>A 29484-2026</t>
        </is>
      </c>
      <c r="B570" t="inlineStr">
        <is>
          <t>avverkningsanmälan</t>
        </is>
      </c>
      <c r="C570" t="inlineStr">
        <is>
          <t>Föryngringsavverkning</t>
        </is>
      </c>
      <c r="D570" s="1" t="n">
        <v>46203</v>
      </c>
      <c r="E570" s="1" t="n">
        <v>46312</v>
      </c>
      <c r="F570" t="inlineStr">
        <is>
          <t>JÄMTLANDS LÄN</t>
        </is>
      </c>
      <c r="G570" t="inlineStr">
        <is>
          <t>ÖSTERSUND</t>
        </is>
      </c>
      <c r="I570" t="n">
        <v>1.8</v>
      </c>
      <c r="J570" t="n">
        <v>0</v>
      </c>
      <c r="K570" t="n">
        <v>0</v>
      </c>
      <c r="L570" t="n">
        <v>0</v>
      </c>
      <c r="M570" t="n">
        <v>0</v>
      </c>
      <c r="N570" t="n">
        <v>0</v>
      </c>
      <c r="O570" t="n">
        <v>0</v>
      </c>
      <c r="P570" t="n">
        <v>0</v>
      </c>
      <c r="Q570" t="n">
        <v>0</v>
      </c>
      <c r="R570" t="n">
        <v>0</v>
      </c>
      <c r="S570" t="n">
        <v>0</v>
      </c>
      <c r="T570" t="n">
        <v>0</v>
      </c>
      <c r="U570" t="n">
        <v>0</v>
      </c>
      <c r="V570" s="2" t="inlineStr"/>
    </row>
    <row r="571" ht="15" customHeight="1">
      <c r="A571" t="inlineStr">
        <is>
          <t>A 22612-2025</t>
        </is>
      </c>
      <c r="B571" t="inlineStr">
        <is>
          <t>avverkningsanmälan</t>
        </is>
      </c>
      <c r="C571" t="inlineStr">
        <is>
          <t>Avverkning för annat ändamål</t>
        </is>
      </c>
      <c r="D571" s="1" t="n">
        <v>45789</v>
      </c>
      <c r="E571" s="1" t="n">
        <v>46312</v>
      </c>
      <c r="F571" t="inlineStr">
        <is>
          <t>JÄMTLANDS LÄN</t>
        </is>
      </c>
      <c r="G571" t="inlineStr">
        <is>
          <t>ÖSTERSUND</t>
        </is>
      </c>
      <c r="I571" t="n">
        <v>0.7</v>
      </c>
      <c r="J571" t="n">
        <v>0</v>
      </c>
      <c r="K571" t="n">
        <v>0</v>
      </c>
      <c r="L571" t="n">
        <v>0</v>
      </c>
      <c r="M571" t="n">
        <v>0</v>
      </c>
      <c r="N571" t="n">
        <v>0</v>
      </c>
      <c r="O571" t="n">
        <v>0</v>
      </c>
      <c r="P571" t="n">
        <v>0</v>
      </c>
      <c r="Q571" t="n">
        <v>0</v>
      </c>
      <c r="R571" t="n">
        <v>0</v>
      </c>
      <c r="S571" t="n">
        <v>0</v>
      </c>
      <c r="T571" t="n">
        <v>0</v>
      </c>
      <c r="U571" t="n">
        <v>0</v>
      </c>
      <c r="V571" s="2" t="inlineStr"/>
    </row>
    <row r="572" ht="15" customHeight="1">
      <c r="A572" t="inlineStr">
        <is>
          <t>A 296-2023</t>
        </is>
      </c>
      <c r="B572" t="inlineStr">
        <is>
          <t>avverkningsanmälan</t>
        </is>
      </c>
      <c r="C572" t="inlineStr">
        <is>
          <t>Föryngringsavverkning</t>
        </is>
      </c>
      <c r="D572" s="1" t="n">
        <v>44922</v>
      </c>
      <c r="E572" s="1" t="n">
        <v>46312</v>
      </c>
      <c r="F572" t="inlineStr">
        <is>
          <t>JÄMTLANDS LÄN</t>
        </is>
      </c>
      <c r="G572" t="inlineStr">
        <is>
          <t>ÖSTERSUND</t>
        </is>
      </c>
      <c r="I572" t="n">
        <v>0.8</v>
      </c>
      <c r="J572" t="n">
        <v>0</v>
      </c>
      <c r="K572" t="n">
        <v>0</v>
      </c>
      <c r="L572" t="n">
        <v>0</v>
      </c>
      <c r="M572" t="n">
        <v>0</v>
      </c>
      <c r="N572" t="n">
        <v>0</v>
      </c>
      <c r="O572" t="n">
        <v>0</v>
      </c>
      <c r="P572" t="n">
        <v>0</v>
      </c>
      <c r="Q572" t="n">
        <v>0</v>
      </c>
      <c r="R572" t="n">
        <v>0</v>
      </c>
      <c r="S572" t="n">
        <v>0</v>
      </c>
      <c r="T572" t="n">
        <v>0</v>
      </c>
      <c r="U572" t="n">
        <v>0</v>
      </c>
      <c r="V572" s="2" t="inlineStr"/>
    </row>
    <row r="573" ht="15" customHeight="1">
      <c r="A573" t="inlineStr">
        <is>
          <t>A 4707-2024</t>
        </is>
      </c>
      <c r="B573" t="inlineStr">
        <is>
          <t>avverkningsanmälan</t>
        </is>
      </c>
      <c r="C573" t="inlineStr">
        <is>
          <t>Föryngringsavverkning</t>
        </is>
      </c>
      <c r="D573" s="1" t="n">
        <v>45328</v>
      </c>
      <c r="E573" s="1" t="n">
        <v>46312</v>
      </c>
      <c r="F573" t="inlineStr">
        <is>
          <t>JÄMTLANDS LÄN</t>
        </is>
      </c>
      <c r="G573" t="inlineStr">
        <is>
          <t>ÖSTERSUND</t>
        </is>
      </c>
      <c r="I573" t="n">
        <v>0.7</v>
      </c>
      <c r="J573" t="n">
        <v>0</v>
      </c>
      <c r="K573" t="n">
        <v>0</v>
      </c>
      <c r="L573" t="n">
        <v>0</v>
      </c>
      <c r="M573" t="n">
        <v>0</v>
      </c>
      <c r="N573" t="n">
        <v>0</v>
      </c>
      <c r="O573" t="n">
        <v>0</v>
      </c>
      <c r="P573" t="n">
        <v>0</v>
      </c>
      <c r="Q573" t="n">
        <v>0</v>
      </c>
      <c r="R573" t="n">
        <v>0</v>
      </c>
      <c r="S573" t="n">
        <v>0</v>
      </c>
      <c r="T573" t="n">
        <v>0</v>
      </c>
      <c r="U573" t="n">
        <v>0</v>
      </c>
      <c r="V573" s="2" t="inlineStr"/>
    </row>
    <row r="574" ht="15" customHeight="1">
      <c r="A574" t="inlineStr">
        <is>
          <t>A 23877-2025</t>
        </is>
      </c>
      <c r="B574" t="inlineStr">
        <is>
          <t>avverkningsanmälan</t>
        </is>
      </c>
      <c r="C574" t="inlineStr">
        <is>
          <t>Föryngringsavverkning</t>
        </is>
      </c>
      <c r="D574" s="1" t="n">
        <v>45793</v>
      </c>
      <c r="E574" s="1" t="n">
        <v>46312</v>
      </c>
      <c r="F574" t="inlineStr">
        <is>
          <t>JÄMTLANDS LÄN</t>
        </is>
      </c>
      <c r="G574" t="inlineStr">
        <is>
          <t>ÖSTERSUND</t>
        </is>
      </c>
      <c r="I574" t="n">
        <v>0.5</v>
      </c>
      <c r="J574" t="n">
        <v>0</v>
      </c>
      <c r="K574" t="n">
        <v>0</v>
      </c>
      <c r="L574" t="n">
        <v>0</v>
      </c>
      <c r="M574" t="n">
        <v>0</v>
      </c>
      <c r="N574" t="n">
        <v>0</v>
      </c>
      <c r="O574" t="n">
        <v>0</v>
      </c>
      <c r="P574" t="n">
        <v>0</v>
      </c>
      <c r="Q574" t="n">
        <v>0</v>
      </c>
      <c r="R574" t="n">
        <v>0</v>
      </c>
      <c r="S574" t="n">
        <v>0</v>
      </c>
      <c r="T574" t="n">
        <v>0</v>
      </c>
      <c r="U574" t="n">
        <v>0</v>
      </c>
      <c r="V574" s="2" t="inlineStr"/>
    </row>
    <row r="575" ht="15" customHeight="1">
      <c r="A575" t="inlineStr">
        <is>
          <t>A 31021-2026</t>
        </is>
      </c>
      <c r="B575" t="inlineStr">
        <is>
          <t>avverkningsanmälan</t>
        </is>
      </c>
      <c r="C575" t="inlineStr">
        <is>
          <t>Avverkning för annat ändamål</t>
        </is>
      </c>
      <c r="D575" s="1" t="n">
        <v>46206</v>
      </c>
      <c r="E575" s="1" t="n">
        <v>46312</v>
      </c>
      <c r="F575" t="inlineStr">
        <is>
          <t>JÄMTLANDS LÄN</t>
        </is>
      </c>
      <c r="G575" t="inlineStr">
        <is>
          <t>ÖSTERSUND</t>
        </is>
      </c>
      <c r="I575" t="n">
        <v>0.5</v>
      </c>
      <c r="J575" t="n">
        <v>0</v>
      </c>
      <c r="K575" t="n">
        <v>0</v>
      </c>
      <c r="L575" t="n">
        <v>0</v>
      </c>
      <c r="M575" t="n">
        <v>0</v>
      </c>
      <c r="N575" t="n">
        <v>0</v>
      </c>
      <c r="O575" t="n">
        <v>0</v>
      </c>
      <c r="P575" t="n">
        <v>0</v>
      </c>
      <c r="Q575" t="n">
        <v>0</v>
      </c>
      <c r="R575" t="n">
        <v>0</v>
      </c>
      <c r="S575" t="n">
        <v>0</v>
      </c>
      <c r="T575" t="n">
        <v>0</v>
      </c>
      <c r="U575" t="n">
        <v>0</v>
      </c>
      <c r="V575" s="2" t="inlineStr"/>
    </row>
    <row r="576" ht="15" customHeight="1">
      <c r="A576" t="inlineStr">
        <is>
          <t>A 52620-2025</t>
        </is>
      </c>
      <c r="B576" t="inlineStr">
        <is>
          <t>avverkningsanmälan</t>
        </is>
      </c>
      <c r="C576" t="inlineStr">
        <is>
          <t>Föryngringsavverkning</t>
        </is>
      </c>
      <c r="D576" s="1" t="n">
        <v>45954</v>
      </c>
      <c r="E576" s="1" t="n">
        <v>46312</v>
      </c>
      <c r="F576" t="inlineStr">
        <is>
          <t>JÄMTLANDS LÄN</t>
        </is>
      </c>
      <c r="G576" t="inlineStr">
        <is>
          <t>ÖSTERSUND</t>
        </is>
      </c>
      <c r="I576" t="n">
        <v>4.6</v>
      </c>
      <c r="J576" t="n">
        <v>0</v>
      </c>
      <c r="K576" t="n">
        <v>0</v>
      </c>
      <c r="L576" t="n">
        <v>0</v>
      </c>
      <c r="M576" t="n">
        <v>0</v>
      </c>
      <c r="N576" t="n">
        <v>0</v>
      </c>
      <c r="O576" t="n">
        <v>0</v>
      </c>
      <c r="P576" t="n">
        <v>0</v>
      </c>
      <c r="Q576" t="n">
        <v>0</v>
      </c>
      <c r="R576" t="n">
        <v>0</v>
      </c>
      <c r="S576" t="n">
        <v>0</v>
      </c>
      <c r="T576" t="n">
        <v>0</v>
      </c>
      <c r="U576" t="n">
        <v>0</v>
      </c>
      <c r="V576" s="2" t="inlineStr"/>
    </row>
    <row r="577" ht="15" customHeight="1">
      <c r="A577" t="inlineStr">
        <is>
          <t>A 63693-2025</t>
        </is>
      </c>
      <c r="B577" t="inlineStr">
        <is>
          <t>avverkningsanmälan</t>
        </is>
      </c>
      <c r="C577" t="inlineStr">
        <is>
          <t>Föryngringsavverkning</t>
        </is>
      </c>
      <c r="D577" s="1" t="n">
        <v>46014</v>
      </c>
      <c r="E577" s="1" t="n">
        <v>46312</v>
      </c>
      <c r="F577" t="inlineStr">
        <is>
          <t>JÄMTLANDS LÄN</t>
        </is>
      </c>
      <c r="G577" t="inlineStr">
        <is>
          <t>ÖSTERSUND</t>
        </is>
      </c>
      <c r="I577" t="n">
        <v>1.5</v>
      </c>
      <c r="J577" t="n">
        <v>0</v>
      </c>
      <c r="K577" t="n">
        <v>0</v>
      </c>
      <c r="L577" t="n">
        <v>0</v>
      </c>
      <c r="M577" t="n">
        <v>0</v>
      </c>
      <c r="N577" t="n">
        <v>0</v>
      </c>
      <c r="O577" t="n">
        <v>0</v>
      </c>
      <c r="P577" t="n">
        <v>0</v>
      </c>
      <c r="Q577" t="n">
        <v>0</v>
      </c>
      <c r="R577" t="n">
        <v>0</v>
      </c>
      <c r="S577" t="n">
        <v>0</v>
      </c>
      <c r="T577" t="n">
        <v>0</v>
      </c>
      <c r="U577" t="n">
        <v>0</v>
      </c>
      <c r="V577" s="2" t="inlineStr"/>
    </row>
    <row r="578" ht="15" customHeight="1">
      <c r="A578" t="inlineStr">
        <is>
          <t>A 30265-2026</t>
        </is>
      </c>
      <c r="B578" t="inlineStr">
        <is>
          <t>avverkningsanmälan</t>
        </is>
      </c>
      <c r="C578" t="inlineStr">
        <is>
          <t>Föryngringsavverkning</t>
        </is>
      </c>
      <c r="D578" s="1" t="n">
        <v>46206</v>
      </c>
      <c r="E578" s="1" t="n">
        <v>46312</v>
      </c>
      <c r="F578" t="inlineStr">
        <is>
          <t>JÄMTLANDS LÄN</t>
        </is>
      </c>
      <c r="G578" t="inlineStr">
        <is>
          <t>ÖSTERSUND</t>
        </is>
      </c>
      <c r="I578" t="n">
        <v>2.1</v>
      </c>
      <c r="J578" t="n">
        <v>0</v>
      </c>
      <c r="K578" t="n">
        <v>0</v>
      </c>
      <c r="L578" t="n">
        <v>0</v>
      </c>
      <c r="M578" t="n">
        <v>0</v>
      </c>
      <c r="N578" t="n">
        <v>0</v>
      </c>
      <c r="O578" t="n">
        <v>0</v>
      </c>
      <c r="P578" t="n">
        <v>0</v>
      </c>
      <c r="Q578" t="n">
        <v>0</v>
      </c>
      <c r="R578" t="n">
        <v>0</v>
      </c>
      <c r="S578" t="n">
        <v>0</v>
      </c>
      <c r="T578" t="n">
        <v>0</v>
      </c>
      <c r="U578" t="n">
        <v>0</v>
      </c>
      <c r="V578" s="2" t="inlineStr"/>
    </row>
    <row r="579" ht="15" customHeight="1">
      <c r="A579" t="inlineStr">
        <is>
          <t>A 36406-2023</t>
        </is>
      </c>
      <c r="B579" t="inlineStr">
        <is>
          <t>avverkningsanmälan</t>
        </is>
      </c>
      <c r="C579" t="inlineStr">
        <is>
          <t>Föryngringsavverkning</t>
        </is>
      </c>
      <c r="D579" s="1" t="n">
        <v>45149</v>
      </c>
      <c r="E579" s="1" t="n">
        <v>46312</v>
      </c>
      <c r="F579" t="inlineStr">
        <is>
          <t>JÄMTLANDS LÄN</t>
        </is>
      </c>
      <c r="G579" t="inlineStr">
        <is>
          <t>ÖSTERSUND</t>
        </is>
      </c>
      <c r="I579" t="n">
        <v>2.4</v>
      </c>
      <c r="J579" t="n">
        <v>0</v>
      </c>
      <c r="K579" t="n">
        <v>0</v>
      </c>
      <c r="L579" t="n">
        <v>0</v>
      </c>
      <c r="M579" t="n">
        <v>0</v>
      </c>
      <c r="N579" t="n">
        <v>0</v>
      </c>
      <c r="O579" t="n">
        <v>0</v>
      </c>
      <c r="P579" t="n">
        <v>0</v>
      </c>
      <c r="Q579" t="n">
        <v>0</v>
      </c>
      <c r="R579" t="n">
        <v>0</v>
      </c>
      <c r="S579" t="n">
        <v>0</v>
      </c>
      <c r="T579" t="n">
        <v>0</v>
      </c>
      <c r="U579" t="n">
        <v>0</v>
      </c>
      <c r="V579" s="2" t="inlineStr"/>
    </row>
    <row r="580" ht="15" customHeight="1">
      <c r="A580" t="inlineStr">
        <is>
          <t>A 11877-2024</t>
        </is>
      </c>
      <c r="B580" t="inlineStr">
        <is>
          <t>avverkningsanmälan</t>
        </is>
      </c>
      <c r="C580" t="inlineStr">
        <is>
          <t>Föryngringsavverkning</t>
        </is>
      </c>
      <c r="D580" s="1" t="n">
        <v>45376</v>
      </c>
      <c r="E580" s="1" t="n">
        <v>46312</v>
      </c>
      <c r="F580" t="inlineStr">
        <is>
          <t>JÄMTLANDS LÄN</t>
        </is>
      </c>
      <c r="G580" t="inlineStr">
        <is>
          <t>ÖSTERSUND</t>
        </is>
      </c>
      <c r="I580" t="n">
        <v>2.6</v>
      </c>
      <c r="J580" t="n">
        <v>0</v>
      </c>
      <c r="K580" t="n">
        <v>0</v>
      </c>
      <c r="L580" t="n">
        <v>0</v>
      </c>
      <c r="M580" t="n">
        <v>0</v>
      </c>
      <c r="N580" t="n">
        <v>0</v>
      </c>
      <c r="O580" t="n">
        <v>0</v>
      </c>
      <c r="P580" t="n">
        <v>0</v>
      </c>
      <c r="Q580" t="n">
        <v>0</v>
      </c>
      <c r="R580" t="n">
        <v>0</v>
      </c>
      <c r="S580" t="n">
        <v>0</v>
      </c>
      <c r="T580" t="n">
        <v>0</v>
      </c>
      <c r="U580" t="n">
        <v>0</v>
      </c>
      <c r="V580" s="2" t="inlineStr"/>
    </row>
    <row r="581" ht="15" customHeight="1">
      <c r="A581" t="inlineStr">
        <is>
          <t>A 231-2022</t>
        </is>
      </c>
      <c r="B581" t="inlineStr">
        <is>
          <t>avverkningsanmälan</t>
        </is>
      </c>
      <c r="C581" t="inlineStr">
        <is>
          <t>Föryngringsavverkning</t>
        </is>
      </c>
      <c r="D581" s="1" t="n">
        <v>44564</v>
      </c>
      <c r="E581" s="1" t="n">
        <v>46312</v>
      </c>
      <c r="F581" t="inlineStr">
        <is>
          <t>JÄMTLANDS LÄN</t>
        </is>
      </c>
      <c r="G581" t="inlineStr">
        <is>
          <t>ÖSTERSUND</t>
        </is>
      </c>
      <c r="I581" t="n">
        <v>1.9</v>
      </c>
      <c r="J581" t="n">
        <v>0</v>
      </c>
      <c r="K581" t="n">
        <v>0</v>
      </c>
      <c r="L581" t="n">
        <v>0</v>
      </c>
      <c r="M581" t="n">
        <v>0</v>
      </c>
      <c r="N581" t="n">
        <v>0</v>
      </c>
      <c r="O581" t="n">
        <v>0</v>
      </c>
      <c r="P581" t="n">
        <v>0</v>
      </c>
      <c r="Q581" t="n">
        <v>0</v>
      </c>
      <c r="R581" t="n">
        <v>0</v>
      </c>
      <c r="S581" t="n">
        <v>0</v>
      </c>
      <c r="T581" t="n">
        <v>0</v>
      </c>
      <c r="U581" t="n">
        <v>0</v>
      </c>
      <c r="V581" s="2" t="inlineStr"/>
    </row>
    <row r="582" ht="15" customHeight="1">
      <c r="A582" t="inlineStr">
        <is>
          <t>A 58952-2024</t>
        </is>
      </c>
      <c r="B582" t="inlineStr">
        <is>
          <t>avverkningsanmälan</t>
        </is>
      </c>
      <c r="C582" t="inlineStr">
        <is>
          <t>Avverkning för att bevara och utveckla /försöksver</t>
        </is>
      </c>
      <c r="D582" s="1" t="n">
        <v>45636</v>
      </c>
      <c r="E582" s="1" t="n">
        <v>46312</v>
      </c>
      <c r="F582" t="inlineStr">
        <is>
          <t>JÄMTLANDS LÄN</t>
        </is>
      </c>
      <c r="G582" t="inlineStr">
        <is>
          <t>ÖSTERSUND</t>
        </is>
      </c>
      <c r="I582" t="n">
        <v>3.7</v>
      </c>
      <c r="J582" t="n">
        <v>0</v>
      </c>
      <c r="K582" t="n">
        <v>0</v>
      </c>
      <c r="L582" t="n">
        <v>0</v>
      </c>
      <c r="M582" t="n">
        <v>0</v>
      </c>
      <c r="N582" t="n">
        <v>0</v>
      </c>
      <c r="O582" t="n">
        <v>0</v>
      </c>
      <c r="P582" t="n">
        <v>0</v>
      </c>
      <c r="Q582" t="n">
        <v>0</v>
      </c>
      <c r="R582" t="n">
        <v>0</v>
      </c>
      <c r="S582" t="n">
        <v>0</v>
      </c>
      <c r="T582" t="n">
        <v>0</v>
      </c>
      <c r="U582" t="n">
        <v>0</v>
      </c>
      <c r="V582" s="2" t="inlineStr"/>
    </row>
    <row r="583" ht="15" customHeight="1">
      <c r="A583" t="inlineStr">
        <is>
          <t>A 46748-2023</t>
        </is>
      </c>
      <c r="B583" t="inlineStr">
        <is>
          <t>avverkningsanmälan</t>
        </is>
      </c>
      <c r="C583" t="inlineStr">
        <is>
          <t>Föryngringsavverkning</t>
        </is>
      </c>
      <c r="D583" s="1" t="n">
        <v>45198</v>
      </c>
      <c r="E583" s="1" t="n">
        <v>46312</v>
      </c>
      <c r="F583" t="inlineStr">
        <is>
          <t>JÄMTLANDS LÄN</t>
        </is>
      </c>
      <c r="G583" t="inlineStr">
        <is>
          <t>ÖSTERSUND</t>
        </is>
      </c>
      <c r="H583" t="inlineStr">
        <is>
          <t>Sveaskog</t>
        </is>
      </c>
      <c r="I583" t="n">
        <v>2.7</v>
      </c>
      <c r="J583" t="n">
        <v>0</v>
      </c>
      <c r="K583" t="n">
        <v>0</v>
      </c>
      <c r="L583" t="n">
        <v>0</v>
      </c>
      <c r="M583" t="n">
        <v>0</v>
      </c>
      <c r="N583" t="n">
        <v>0</v>
      </c>
      <c r="O583" t="n">
        <v>0</v>
      </c>
      <c r="P583" t="n">
        <v>0</v>
      </c>
      <c r="Q583" t="n">
        <v>0</v>
      </c>
      <c r="R583" t="n">
        <v>0</v>
      </c>
      <c r="S583" t="n">
        <v>0</v>
      </c>
      <c r="T583" t="n">
        <v>0</v>
      </c>
      <c r="U583" t="n">
        <v>0</v>
      </c>
      <c r="V583" s="2" t="inlineStr"/>
    </row>
    <row r="584" ht="15" customHeight="1">
      <c r="A584" t="inlineStr">
        <is>
          <t>A 5341-2025</t>
        </is>
      </c>
      <c r="B584" t="inlineStr">
        <is>
          <t>avverkningsanmälan</t>
        </is>
      </c>
      <c r="C584" t="inlineStr">
        <is>
          <t>Föryngringsavverkning</t>
        </is>
      </c>
      <c r="D584" s="1" t="n">
        <v>45692</v>
      </c>
      <c r="E584" s="1" t="n">
        <v>46312</v>
      </c>
      <c r="F584" t="inlineStr">
        <is>
          <t>JÄMTLANDS LÄN</t>
        </is>
      </c>
      <c r="G584" t="inlineStr">
        <is>
          <t>ÖSTERSUND</t>
        </is>
      </c>
      <c r="I584" t="n">
        <v>2.6</v>
      </c>
      <c r="J584" t="n">
        <v>0</v>
      </c>
      <c r="K584" t="n">
        <v>0</v>
      </c>
      <c r="L584" t="n">
        <v>0</v>
      </c>
      <c r="M584" t="n">
        <v>0</v>
      </c>
      <c r="N584" t="n">
        <v>0</v>
      </c>
      <c r="O584" t="n">
        <v>0</v>
      </c>
      <c r="P584" t="n">
        <v>0</v>
      </c>
      <c r="Q584" t="n">
        <v>0</v>
      </c>
      <c r="R584" t="n">
        <v>0</v>
      </c>
      <c r="S584" t="n">
        <v>0</v>
      </c>
      <c r="T584" t="n">
        <v>0</v>
      </c>
      <c r="U584" t="n">
        <v>0</v>
      </c>
      <c r="V584" s="2" t="inlineStr"/>
    </row>
    <row r="585" ht="15" customHeight="1">
      <c r="A585" t="inlineStr">
        <is>
          <t>A 21237-2025</t>
        </is>
      </c>
      <c r="B585" t="inlineStr">
        <is>
          <t>avverkningsanmälan</t>
        </is>
      </c>
      <c r="C585" t="inlineStr">
        <is>
          <t>Avverkning för annat ändamål</t>
        </is>
      </c>
      <c r="D585" s="1" t="n">
        <v>45779</v>
      </c>
      <c r="E585" s="1" t="n">
        <v>46312</v>
      </c>
      <c r="F585" t="inlineStr">
        <is>
          <t>JÄMTLANDS LÄN</t>
        </is>
      </c>
      <c r="G585" t="inlineStr">
        <is>
          <t>ÖSTERSUND</t>
        </is>
      </c>
      <c r="I585" t="n">
        <v>0.4</v>
      </c>
      <c r="J585" t="n">
        <v>0</v>
      </c>
      <c r="K585" t="n">
        <v>0</v>
      </c>
      <c r="L585" t="n">
        <v>0</v>
      </c>
      <c r="M585" t="n">
        <v>0</v>
      </c>
      <c r="N585" t="n">
        <v>0</v>
      </c>
      <c r="O585" t="n">
        <v>0</v>
      </c>
      <c r="P585" t="n">
        <v>0</v>
      </c>
      <c r="Q585" t="n">
        <v>0</v>
      </c>
      <c r="R585" t="n">
        <v>0</v>
      </c>
      <c r="S585" t="n">
        <v>0</v>
      </c>
      <c r="T585" t="n">
        <v>0</v>
      </c>
      <c r="U585" t="n">
        <v>0</v>
      </c>
      <c r="V585" s="2" t="inlineStr"/>
    </row>
    <row r="586" ht="15" customHeight="1">
      <c r="A586" t="inlineStr">
        <is>
          <t>A 41233-2026</t>
        </is>
      </c>
      <c r="B586" t="inlineStr">
        <is>
          <t>avverkningsanmälan</t>
        </is>
      </c>
      <c r="C586" t="inlineStr">
        <is>
          <t>Avverkning för annat ändamål</t>
        </is>
      </c>
      <c r="D586" s="1" t="n">
        <v>46300</v>
      </c>
      <c r="E586" s="1" t="n">
        <v>46312</v>
      </c>
      <c r="F586" t="inlineStr">
        <is>
          <t>JÄMTLANDS LÄN</t>
        </is>
      </c>
      <c r="G586" t="inlineStr">
        <is>
          <t>ÖSTERSUND</t>
        </is>
      </c>
      <c r="I586" t="n">
        <v>0.3</v>
      </c>
      <c r="J586" t="n">
        <v>0</v>
      </c>
      <c r="K586" t="n">
        <v>0</v>
      </c>
      <c r="L586" t="n">
        <v>0</v>
      </c>
      <c r="M586" t="n">
        <v>0</v>
      </c>
      <c r="N586" t="n">
        <v>0</v>
      </c>
      <c r="O586" t="n">
        <v>0</v>
      </c>
      <c r="P586" t="n">
        <v>0</v>
      </c>
      <c r="Q586" t="n">
        <v>0</v>
      </c>
      <c r="R586" t="n">
        <v>0</v>
      </c>
      <c r="S586" t="n">
        <v>0</v>
      </c>
      <c r="T586" t="n">
        <v>0</v>
      </c>
      <c r="U586" t="n">
        <v>0</v>
      </c>
      <c r="V586" s="2" t="inlineStr"/>
    </row>
    <row r="587" ht="15" customHeight="1">
      <c r="A587" t="inlineStr">
        <is>
          <t>A 25933-2026</t>
        </is>
      </c>
      <c r="B587" t="inlineStr">
        <is>
          <t>avverkningsanmälan</t>
        </is>
      </c>
      <c r="C587" t="inlineStr">
        <is>
          <t>Föryngringsavverkning</t>
        </is>
      </c>
      <c r="D587" s="1" t="n">
        <v>46180</v>
      </c>
      <c r="E587" s="1" t="n">
        <v>46312</v>
      </c>
      <c r="F587" t="inlineStr">
        <is>
          <t>JÄMTLANDS LÄN</t>
        </is>
      </c>
      <c r="G587" t="inlineStr">
        <is>
          <t>ÖSTERSUND</t>
        </is>
      </c>
      <c r="I587" t="n">
        <v>13.9</v>
      </c>
      <c r="J587" t="n">
        <v>0</v>
      </c>
      <c r="K587" t="n">
        <v>0</v>
      </c>
      <c r="L587" t="n">
        <v>0</v>
      </c>
      <c r="M587" t="n">
        <v>0</v>
      </c>
      <c r="N587" t="n">
        <v>0</v>
      </c>
      <c r="O587" t="n">
        <v>0</v>
      </c>
      <c r="P587" t="n">
        <v>0</v>
      </c>
      <c r="Q587" t="n">
        <v>0</v>
      </c>
      <c r="R587" t="n">
        <v>0</v>
      </c>
      <c r="S587" t="n">
        <v>0</v>
      </c>
      <c r="T587" t="n">
        <v>0</v>
      </c>
      <c r="U587" t="n">
        <v>0</v>
      </c>
      <c r="V587" s="2" t="inlineStr"/>
    </row>
    <row r="588" ht="15" customHeight="1">
      <c r="A588" t="inlineStr">
        <is>
          <t>A 4480-2025</t>
        </is>
      </c>
      <c r="B588" t="inlineStr">
        <is>
          <t>avverkningsanmälan</t>
        </is>
      </c>
      <c r="C588" t="inlineStr">
        <is>
          <t>Föryngringsavverkning</t>
        </is>
      </c>
      <c r="D588" s="1" t="n">
        <v>45686</v>
      </c>
      <c r="E588" s="1" t="n">
        <v>46312</v>
      </c>
      <c r="F588" t="inlineStr">
        <is>
          <t>JÄMTLANDS LÄN</t>
        </is>
      </c>
      <c r="G588" t="inlineStr">
        <is>
          <t>ÖSTERSUND</t>
        </is>
      </c>
      <c r="I588" t="n">
        <v>27.7</v>
      </c>
      <c r="J588" t="n">
        <v>0</v>
      </c>
      <c r="K588" t="n">
        <v>0</v>
      </c>
      <c r="L588" t="n">
        <v>0</v>
      </c>
      <c r="M588" t="n">
        <v>0</v>
      </c>
      <c r="N588" t="n">
        <v>0</v>
      </c>
      <c r="O588" t="n">
        <v>0</v>
      </c>
      <c r="P588" t="n">
        <v>0</v>
      </c>
      <c r="Q588" t="n">
        <v>0</v>
      </c>
      <c r="R588" t="n">
        <v>0</v>
      </c>
      <c r="S588" t="n">
        <v>0</v>
      </c>
      <c r="T588" t="n">
        <v>0</v>
      </c>
      <c r="U588" t="n">
        <v>0</v>
      </c>
      <c r="V588" s="2" t="inlineStr"/>
    </row>
    <row r="589" ht="15" customHeight="1">
      <c r="A589" t="inlineStr">
        <is>
          <t>A 4520-2025</t>
        </is>
      </c>
      <c r="B589" t="inlineStr">
        <is>
          <t>avverkningsanmälan</t>
        </is>
      </c>
      <c r="C589" t="inlineStr">
        <is>
          <t>Föryngringsavverkning</t>
        </is>
      </c>
      <c r="D589" s="1" t="n">
        <v>45686</v>
      </c>
      <c r="E589" s="1" t="n">
        <v>46312</v>
      </c>
      <c r="F589" t="inlineStr">
        <is>
          <t>JÄMTLANDS LÄN</t>
        </is>
      </c>
      <c r="G589" t="inlineStr">
        <is>
          <t>ÖSTERSUND</t>
        </is>
      </c>
      <c r="I589" t="n">
        <v>15.2</v>
      </c>
      <c r="J589" t="n">
        <v>0</v>
      </c>
      <c r="K589" t="n">
        <v>0</v>
      </c>
      <c r="L589" t="n">
        <v>0</v>
      </c>
      <c r="M589" t="n">
        <v>0</v>
      </c>
      <c r="N589" t="n">
        <v>0</v>
      </c>
      <c r="O589" t="n">
        <v>0</v>
      </c>
      <c r="P589" t="n">
        <v>0</v>
      </c>
      <c r="Q589" t="n">
        <v>0</v>
      </c>
      <c r="R589" t="n">
        <v>0</v>
      </c>
      <c r="S589" t="n">
        <v>0</v>
      </c>
      <c r="T589" t="n">
        <v>0</v>
      </c>
      <c r="U589" t="n">
        <v>0</v>
      </c>
      <c r="V589" s="2" t="inlineStr"/>
    </row>
    <row r="590" ht="15" customHeight="1">
      <c r="A590" t="inlineStr">
        <is>
          <t>A 4523-2025</t>
        </is>
      </c>
      <c r="B590" t="inlineStr">
        <is>
          <t>avverkningsanmälan</t>
        </is>
      </c>
      <c r="C590" t="inlineStr">
        <is>
          <t>Föryngringsavverkning</t>
        </is>
      </c>
      <c r="D590" s="1" t="n">
        <v>45686</v>
      </c>
      <c r="E590" s="1" t="n">
        <v>46312</v>
      </c>
      <c r="F590" t="inlineStr">
        <is>
          <t>JÄMTLANDS LÄN</t>
        </is>
      </c>
      <c r="G590" t="inlineStr">
        <is>
          <t>ÖSTERSUND</t>
        </is>
      </c>
      <c r="I590" t="n">
        <v>15.2</v>
      </c>
      <c r="J590" t="n">
        <v>0</v>
      </c>
      <c r="K590" t="n">
        <v>0</v>
      </c>
      <c r="L590" t="n">
        <v>0</v>
      </c>
      <c r="M590" t="n">
        <v>0</v>
      </c>
      <c r="N590" t="n">
        <v>0</v>
      </c>
      <c r="O590" t="n">
        <v>0</v>
      </c>
      <c r="P590" t="n">
        <v>0</v>
      </c>
      <c r="Q590" t="n">
        <v>0</v>
      </c>
      <c r="R590" t="n">
        <v>0</v>
      </c>
      <c r="S590" t="n">
        <v>0</v>
      </c>
      <c r="T590" t="n">
        <v>0</v>
      </c>
      <c r="U590" t="n">
        <v>0</v>
      </c>
      <c r="V590" s="2" t="inlineStr"/>
    </row>
    <row r="591" ht="15" customHeight="1">
      <c r="A591" t="inlineStr">
        <is>
          <t>A 22713-2025</t>
        </is>
      </c>
      <c r="B591" t="inlineStr">
        <is>
          <t>avverkningsanmälan</t>
        </is>
      </c>
      <c r="C591" t="inlineStr">
        <is>
          <t>Avverkning för annat ändamål</t>
        </is>
      </c>
      <c r="D591" s="1" t="n">
        <v>45789</v>
      </c>
      <c r="E591" s="1" t="n">
        <v>46312</v>
      </c>
      <c r="F591" t="inlineStr">
        <is>
          <t>JÄMTLANDS LÄN</t>
        </is>
      </c>
      <c r="G591" t="inlineStr">
        <is>
          <t>ÖSTERSUND</t>
        </is>
      </c>
      <c r="I591" t="n">
        <v>0.8</v>
      </c>
      <c r="J591" t="n">
        <v>0</v>
      </c>
      <c r="K591" t="n">
        <v>0</v>
      </c>
      <c r="L591" t="n">
        <v>0</v>
      </c>
      <c r="M591" t="n">
        <v>0</v>
      </c>
      <c r="N591" t="n">
        <v>0</v>
      </c>
      <c r="O591" t="n">
        <v>0</v>
      </c>
      <c r="P591" t="n">
        <v>0</v>
      </c>
      <c r="Q591" t="n">
        <v>0</v>
      </c>
      <c r="R591" t="n">
        <v>0</v>
      </c>
      <c r="S591" t="n">
        <v>0</v>
      </c>
      <c r="T591" t="n">
        <v>0</v>
      </c>
      <c r="U591" t="n">
        <v>0</v>
      </c>
      <c r="V591" s="2" t="inlineStr"/>
    </row>
    <row r="592" ht="15" customHeight="1">
      <c r="A592" t="inlineStr">
        <is>
          <t>A 41442-2026</t>
        </is>
      </c>
      <c r="B592" t="inlineStr">
        <is>
          <t>avverkningsanmälan</t>
        </is>
      </c>
      <c r="C592" t="inlineStr">
        <is>
          <t>Föryngringsavverkning</t>
        </is>
      </c>
      <c r="D592" s="1" t="n">
        <v>46301</v>
      </c>
      <c r="E592" s="1" t="n">
        <v>46312</v>
      </c>
      <c r="F592" t="inlineStr">
        <is>
          <t>JÄMTLANDS LÄN</t>
        </is>
      </c>
      <c r="G592" t="inlineStr">
        <is>
          <t>ÖSTERSUND</t>
        </is>
      </c>
      <c r="I592" t="n">
        <v>3</v>
      </c>
      <c r="J592" t="n">
        <v>0</v>
      </c>
      <c r="K592" t="n">
        <v>0</v>
      </c>
      <c r="L592" t="n">
        <v>0</v>
      </c>
      <c r="M592" t="n">
        <v>0</v>
      </c>
      <c r="N592" t="n">
        <v>0</v>
      </c>
      <c r="O592" t="n">
        <v>0</v>
      </c>
      <c r="P592" t="n">
        <v>0</v>
      </c>
      <c r="Q592" t="n">
        <v>0</v>
      </c>
      <c r="R592" t="n">
        <v>0</v>
      </c>
      <c r="S592" t="n">
        <v>0</v>
      </c>
      <c r="T592" t="n">
        <v>0</v>
      </c>
      <c r="U592" t="n">
        <v>0</v>
      </c>
      <c r="V592" s="2" t="inlineStr"/>
    </row>
    <row r="593" ht="15" customHeight="1">
      <c r="A593" t="inlineStr">
        <is>
          <t>A 22920-2025</t>
        </is>
      </c>
      <c r="B593" t="inlineStr">
        <is>
          <t>avverkningsanmälan</t>
        </is>
      </c>
      <c r="C593" t="inlineStr">
        <is>
          <t>Föryngringsavverkning</t>
        </is>
      </c>
      <c r="D593" s="1" t="n">
        <v>45790</v>
      </c>
      <c r="E593" s="1" t="n">
        <v>46312</v>
      </c>
      <c r="F593" t="inlineStr">
        <is>
          <t>JÄMTLANDS LÄN</t>
        </is>
      </c>
      <c r="G593" t="inlineStr">
        <is>
          <t>ÖSTERSUND</t>
        </is>
      </c>
      <c r="I593" t="n">
        <v>0.4</v>
      </c>
      <c r="J593" t="n">
        <v>0</v>
      </c>
      <c r="K593" t="n">
        <v>0</v>
      </c>
      <c r="L593" t="n">
        <v>0</v>
      </c>
      <c r="M593" t="n">
        <v>0</v>
      </c>
      <c r="N593" t="n">
        <v>0</v>
      </c>
      <c r="O593" t="n">
        <v>0</v>
      </c>
      <c r="P593" t="n">
        <v>0</v>
      </c>
      <c r="Q593" t="n">
        <v>0</v>
      </c>
      <c r="R593" t="n">
        <v>0</v>
      </c>
      <c r="S593" t="n">
        <v>0</v>
      </c>
      <c r="T593" t="n">
        <v>0</v>
      </c>
      <c r="U593" t="n">
        <v>0</v>
      </c>
      <c r="V593" s="2" t="inlineStr"/>
    </row>
    <row r="594" ht="15" customHeight="1">
      <c r="A594" t="inlineStr">
        <is>
          <t>A 41780-2024</t>
        </is>
      </c>
      <c r="B594" t="inlineStr">
        <is>
          <t>avverkningsanmälan</t>
        </is>
      </c>
      <c r="C594" t="inlineStr">
        <is>
          <t>Föryngringsavverkning</t>
        </is>
      </c>
      <c r="D594" s="1" t="n">
        <v>45561</v>
      </c>
      <c r="E594" s="1" t="n">
        <v>46312</v>
      </c>
      <c r="F594" t="inlineStr">
        <is>
          <t>JÄMTLANDS LÄN</t>
        </is>
      </c>
      <c r="G594" t="inlineStr">
        <is>
          <t>ÖSTERSUND</t>
        </is>
      </c>
      <c r="H594" t="inlineStr">
        <is>
          <t>SCA</t>
        </is>
      </c>
      <c r="I594" t="n">
        <v>1.3</v>
      </c>
      <c r="J594" t="n">
        <v>0</v>
      </c>
      <c r="K594" t="n">
        <v>0</v>
      </c>
      <c r="L594" t="n">
        <v>0</v>
      </c>
      <c r="M594" t="n">
        <v>0</v>
      </c>
      <c r="N594" t="n">
        <v>0</v>
      </c>
      <c r="O594" t="n">
        <v>0</v>
      </c>
      <c r="P594" t="n">
        <v>0</v>
      </c>
      <c r="Q594" t="n">
        <v>0</v>
      </c>
      <c r="R594" t="n">
        <v>0</v>
      </c>
      <c r="S594" t="n">
        <v>0</v>
      </c>
      <c r="T594" t="n">
        <v>0</v>
      </c>
      <c r="U594" t="n">
        <v>0</v>
      </c>
      <c r="V594" s="2" t="inlineStr"/>
    </row>
    <row r="595" ht="15" customHeight="1">
      <c r="A595" t="inlineStr">
        <is>
          <t>A 53176-2024</t>
        </is>
      </c>
      <c r="B595" t="inlineStr">
        <is>
          <t>avverkningsanmälan</t>
        </is>
      </c>
      <c r="C595" t="inlineStr">
        <is>
          <t>Föryngringsavverkning</t>
        </is>
      </c>
      <c r="D595" s="1" t="n">
        <v>45611</v>
      </c>
      <c r="E595" s="1" t="n">
        <v>46312</v>
      </c>
      <c r="F595" t="inlineStr">
        <is>
          <t>JÄMTLANDS LÄN</t>
        </is>
      </c>
      <c r="G595" t="inlineStr">
        <is>
          <t>ÖSTERSUND</t>
        </is>
      </c>
      <c r="I595" t="n">
        <v>1.1</v>
      </c>
      <c r="J595" t="n">
        <v>0</v>
      </c>
      <c r="K595" t="n">
        <v>0</v>
      </c>
      <c r="L595" t="n">
        <v>0</v>
      </c>
      <c r="M595" t="n">
        <v>0</v>
      </c>
      <c r="N595" t="n">
        <v>0</v>
      </c>
      <c r="O595" t="n">
        <v>0</v>
      </c>
      <c r="P595" t="n">
        <v>0</v>
      </c>
      <c r="Q595" t="n">
        <v>0</v>
      </c>
      <c r="R595" t="n">
        <v>0</v>
      </c>
      <c r="S595" t="n">
        <v>0</v>
      </c>
      <c r="T595" t="n">
        <v>0</v>
      </c>
      <c r="U595" t="n">
        <v>0</v>
      </c>
      <c r="V595" s="2" t="inlineStr"/>
    </row>
    <row r="596" ht="15" customHeight="1">
      <c r="A596" t="inlineStr">
        <is>
          <t>A 24946-2025</t>
        </is>
      </c>
      <c r="B596" t="inlineStr">
        <is>
          <t>avverkningsanmälan</t>
        </is>
      </c>
      <c r="C596" t="inlineStr">
        <is>
          <t>Föryngringsavverkning</t>
        </is>
      </c>
      <c r="D596" s="1" t="n">
        <v>45799</v>
      </c>
      <c r="E596" s="1" t="n">
        <v>46312</v>
      </c>
      <c r="F596" t="inlineStr">
        <is>
          <t>JÄMTLANDS LÄN</t>
        </is>
      </c>
      <c r="G596" t="inlineStr">
        <is>
          <t>ÖSTERSUND</t>
        </is>
      </c>
      <c r="I596" t="n">
        <v>4.8</v>
      </c>
      <c r="J596" t="n">
        <v>0</v>
      </c>
      <c r="K596" t="n">
        <v>0</v>
      </c>
      <c r="L596" t="n">
        <v>0</v>
      </c>
      <c r="M596" t="n">
        <v>0</v>
      </c>
      <c r="N596" t="n">
        <v>0</v>
      </c>
      <c r="O596" t="n">
        <v>0</v>
      </c>
      <c r="P596" t="n">
        <v>0</v>
      </c>
      <c r="Q596" t="n">
        <v>0</v>
      </c>
      <c r="R596" t="n">
        <v>0</v>
      </c>
      <c r="S596" t="n">
        <v>0</v>
      </c>
      <c r="T596" t="n">
        <v>0</v>
      </c>
      <c r="U596" t="n">
        <v>0</v>
      </c>
      <c r="V596" s="2" t="inlineStr"/>
    </row>
    <row r="597" ht="15" customHeight="1">
      <c r="A597" t="inlineStr">
        <is>
          <t>A 25572-2025</t>
        </is>
      </c>
      <c r="B597" t="inlineStr">
        <is>
          <t>avverkningsanmälan</t>
        </is>
      </c>
      <c r="C597" t="inlineStr">
        <is>
          <t>Avverkning för annat ändamål</t>
        </is>
      </c>
      <c r="D597" s="1" t="n">
        <v>45803</v>
      </c>
      <c r="E597" s="1" t="n">
        <v>46312</v>
      </c>
      <c r="F597" t="inlineStr">
        <is>
          <t>JÄMTLANDS LÄN</t>
        </is>
      </c>
      <c r="G597" t="inlineStr">
        <is>
          <t>ÖSTERSUND</t>
        </is>
      </c>
      <c r="H597" t="inlineStr">
        <is>
          <t>SCA</t>
        </is>
      </c>
      <c r="I597" t="n">
        <v>0.9</v>
      </c>
      <c r="J597" t="n">
        <v>0</v>
      </c>
      <c r="K597" t="n">
        <v>0</v>
      </c>
      <c r="L597" t="n">
        <v>0</v>
      </c>
      <c r="M597" t="n">
        <v>0</v>
      </c>
      <c r="N597" t="n">
        <v>0</v>
      </c>
      <c r="O597" t="n">
        <v>0</v>
      </c>
      <c r="P597" t="n">
        <v>0</v>
      </c>
      <c r="Q597" t="n">
        <v>0</v>
      </c>
      <c r="R597" t="n">
        <v>0</v>
      </c>
      <c r="S597" t="n">
        <v>0</v>
      </c>
      <c r="T597" t="n">
        <v>0</v>
      </c>
      <c r="U597" t="n">
        <v>0</v>
      </c>
      <c r="V597" s="2" t="inlineStr"/>
    </row>
    <row r="598" ht="15" customHeight="1">
      <c r="A598" t="inlineStr">
        <is>
          <t>A 42635-2026</t>
        </is>
      </c>
      <c r="B598" t="inlineStr">
        <is>
          <t>avverkningsanmälan</t>
        </is>
      </c>
      <c r="C598" t="inlineStr">
        <is>
          <t>Föryngringsavverkning</t>
        </is>
      </c>
      <c r="D598" s="1" t="n">
        <v>46307</v>
      </c>
      <c r="E598" s="1" t="n">
        <v>46312</v>
      </c>
      <c r="F598" t="inlineStr">
        <is>
          <t>JÄMTLANDS LÄN</t>
        </is>
      </c>
      <c r="G598" t="inlineStr">
        <is>
          <t>ÖSTERSUND</t>
        </is>
      </c>
      <c r="I598" t="n">
        <v>1.2</v>
      </c>
      <c r="J598" t="n">
        <v>0</v>
      </c>
      <c r="K598" t="n">
        <v>0</v>
      </c>
      <c r="L598" t="n">
        <v>0</v>
      </c>
      <c r="M598" t="n">
        <v>0</v>
      </c>
      <c r="N598" t="n">
        <v>0</v>
      </c>
      <c r="O598" t="n">
        <v>0</v>
      </c>
      <c r="P598" t="n">
        <v>0</v>
      </c>
      <c r="Q598" t="n">
        <v>0</v>
      </c>
      <c r="R598" t="n">
        <v>0</v>
      </c>
      <c r="S598" t="n">
        <v>0</v>
      </c>
      <c r="T598" t="n">
        <v>0</v>
      </c>
      <c r="U598" t="n">
        <v>0</v>
      </c>
      <c r="V598" s="2" t="inlineStr"/>
    </row>
    <row r="599" ht="15" customHeight="1">
      <c r="A599" t="inlineStr">
        <is>
          <t>A 42794-2026</t>
        </is>
      </c>
      <c r="B599" t="inlineStr">
        <is>
          <t>avverkningsanmälan</t>
        </is>
      </c>
      <c r="C599" t="inlineStr">
        <is>
          <t>Föryngringsavverkning</t>
        </is>
      </c>
      <c r="D599" s="1" t="n">
        <v>46309</v>
      </c>
      <c r="E599" s="1" t="n">
        <v>46312</v>
      </c>
      <c r="F599" t="inlineStr">
        <is>
          <t>JÄMTLANDS LÄN</t>
        </is>
      </c>
      <c r="G599" t="inlineStr">
        <is>
          <t>ÖSTERSUND</t>
        </is>
      </c>
      <c r="I599" t="n">
        <v>3.7</v>
      </c>
      <c r="J599" t="n">
        <v>0</v>
      </c>
      <c r="K599" t="n">
        <v>0</v>
      </c>
      <c r="L599" t="n">
        <v>0</v>
      </c>
      <c r="M599" t="n">
        <v>0</v>
      </c>
      <c r="N599" t="n">
        <v>0</v>
      </c>
      <c r="O599" t="n">
        <v>0</v>
      </c>
      <c r="P599" t="n">
        <v>0</v>
      </c>
      <c r="Q599" t="n">
        <v>0</v>
      </c>
      <c r="R599" t="n">
        <v>0</v>
      </c>
      <c r="S599" t="n">
        <v>0</v>
      </c>
      <c r="T599" t="n">
        <v>0</v>
      </c>
      <c r="U599" t="n">
        <v>0</v>
      </c>
      <c r="V599" s="2" t="inlineStr"/>
    </row>
    <row r="600" ht="15" customHeight="1">
      <c r="A600" t="inlineStr">
        <is>
          <t>A 26144-2025</t>
        </is>
      </c>
      <c r="B600" t="inlineStr">
        <is>
          <t>avverkningsanmälan</t>
        </is>
      </c>
      <c r="C600" t="inlineStr">
        <is>
          <t>Föryngringsavverkning</t>
        </is>
      </c>
      <c r="D600" s="1" t="n">
        <v>45805</v>
      </c>
      <c r="E600" s="1" t="n">
        <v>46312</v>
      </c>
      <c r="F600" t="inlineStr">
        <is>
          <t>JÄMTLANDS LÄN</t>
        </is>
      </c>
      <c r="G600" t="inlineStr">
        <is>
          <t>ÖSTERSUND</t>
        </is>
      </c>
      <c r="H600" t="inlineStr">
        <is>
          <t>Sveaskog</t>
        </is>
      </c>
      <c r="I600" t="n">
        <v>19</v>
      </c>
      <c r="J600" t="n">
        <v>0</v>
      </c>
      <c r="K600" t="n">
        <v>0</v>
      </c>
      <c r="L600" t="n">
        <v>0</v>
      </c>
      <c r="M600" t="n">
        <v>0</v>
      </c>
      <c r="N600" t="n">
        <v>0</v>
      </c>
      <c r="O600" t="n">
        <v>0</v>
      </c>
      <c r="P600" t="n">
        <v>0</v>
      </c>
      <c r="Q600" t="n">
        <v>0</v>
      </c>
      <c r="R600" t="n">
        <v>0</v>
      </c>
      <c r="S600" t="n">
        <v>0</v>
      </c>
      <c r="T600" t="n">
        <v>0</v>
      </c>
      <c r="U600" t="n">
        <v>0</v>
      </c>
      <c r="V600" s="2" t="inlineStr"/>
    </row>
    <row r="601" ht="15" customHeight="1">
      <c r="A601" t="inlineStr">
        <is>
          <t>A 42727-2026</t>
        </is>
      </c>
      <c r="B601" t="inlineStr">
        <is>
          <t>avverkningsanmälan</t>
        </is>
      </c>
      <c r="C601" t="inlineStr">
        <is>
          <t>Föryngringsavverkning</t>
        </is>
      </c>
      <c r="D601" s="1" t="n">
        <v>46309</v>
      </c>
      <c r="E601" s="1" t="n">
        <v>46312</v>
      </c>
      <c r="F601" t="inlineStr">
        <is>
          <t>JÄMTLANDS LÄN</t>
        </is>
      </c>
      <c r="G601" t="inlineStr">
        <is>
          <t>ÖSTERSUND</t>
        </is>
      </c>
      <c r="H601" t="inlineStr">
        <is>
          <t>SCA</t>
        </is>
      </c>
      <c r="I601" t="n">
        <v>9.6</v>
      </c>
      <c r="J601" t="n">
        <v>0</v>
      </c>
      <c r="K601" t="n">
        <v>0</v>
      </c>
      <c r="L601" t="n">
        <v>0</v>
      </c>
      <c r="M601" t="n">
        <v>0</v>
      </c>
      <c r="N601" t="n">
        <v>0</v>
      </c>
      <c r="O601" t="n">
        <v>0</v>
      </c>
      <c r="P601" t="n">
        <v>0</v>
      </c>
      <c r="Q601" t="n">
        <v>0</v>
      </c>
      <c r="R601" t="n">
        <v>0</v>
      </c>
      <c r="S601" t="n">
        <v>0</v>
      </c>
      <c r="T601" t="n">
        <v>0</v>
      </c>
      <c r="U601" t="n">
        <v>0</v>
      </c>
      <c r="V601" s="2" t="inlineStr"/>
    </row>
    <row r="602" ht="15" customHeight="1">
      <c r="A602" t="inlineStr">
        <is>
          <t>A 47357-2024</t>
        </is>
      </c>
      <c r="B602" t="inlineStr">
        <is>
          <t>avverkningsanmälan</t>
        </is>
      </c>
      <c r="C602" t="inlineStr">
        <is>
          <t>Föryngringsavverkning</t>
        </is>
      </c>
      <c r="D602" s="1" t="n">
        <v>45587</v>
      </c>
      <c r="E602" s="1" t="n">
        <v>46312</v>
      </c>
      <c r="F602" t="inlineStr">
        <is>
          <t>JÄMTLANDS LÄN</t>
        </is>
      </c>
      <c r="G602" t="inlineStr">
        <is>
          <t>ÖSTERSUND</t>
        </is>
      </c>
      <c r="I602" t="n">
        <v>2.4</v>
      </c>
      <c r="J602" t="n">
        <v>0</v>
      </c>
      <c r="K602" t="n">
        <v>0</v>
      </c>
      <c r="L602" t="n">
        <v>0</v>
      </c>
      <c r="M602" t="n">
        <v>0</v>
      </c>
      <c r="N602" t="n">
        <v>0</v>
      </c>
      <c r="O602" t="n">
        <v>0</v>
      </c>
      <c r="P602" t="n">
        <v>0</v>
      </c>
      <c r="Q602" t="n">
        <v>0</v>
      </c>
      <c r="R602" t="n">
        <v>0</v>
      </c>
      <c r="S602" t="n">
        <v>0</v>
      </c>
      <c r="T602" t="n">
        <v>0</v>
      </c>
      <c r="U602" t="n">
        <v>0</v>
      </c>
      <c r="V602" s="2" t="inlineStr"/>
    </row>
    <row r="603" ht="15" customHeight="1">
      <c r="A603" t="inlineStr">
        <is>
          <t>A 5135-2025</t>
        </is>
      </c>
      <c r="B603" t="inlineStr">
        <is>
          <t>avverkningsanmälan</t>
        </is>
      </c>
      <c r="C603" t="inlineStr">
        <is>
          <t>Föryngringsavverkning</t>
        </is>
      </c>
      <c r="D603" s="1" t="n">
        <v>45691</v>
      </c>
      <c r="E603" s="1" t="n">
        <v>46312</v>
      </c>
      <c r="F603" t="inlineStr">
        <is>
          <t>JÄMTLANDS LÄN</t>
        </is>
      </c>
      <c r="G603" t="inlineStr">
        <is>
          <t>ÖSTERSUND</t>
        </is>
      </c>
      <c r="H603" t="inlineStr">
        <is>
          <t>Övriga Aktiebolag</t>
        </is>
      </c>
      <c r="I603" t="n">
        <v>126.9</v>
      </c>
      <c r="J603" t="n">
        <v>0</v>
      </c>
      <c r="K603" t="n">
        <v>0</v>
      </c>
      <c r="L603" t="n">
        <v>0</v>
      </c>
      <c r="M603" t="n">
        <v>0</v>
      </c>
      <c r="N603" t="n">
        <v>0</v>
      </c>
      <c r="O603" t="n">
        <v>0</v>
      </c>
      <c r="P603" t="n">
        <v>0</v>
      </c>
      <c r="Q603" t="n">
        <v>0</v>
      </c>
      <c r="R603" t="n">
        <v>0</v>
      </c>
      <c r="S603" t="n">
        <v>0</v>
      </c>
      <c r="T603" t="n">
        <v>0</v>
      </c>
      <c r="U603" t="n">
        <v>0</v>
      </c>
      <c r="V603" s="2" t="inlineStr"/>
    </row>
    <row r="604" ht="15" customHeight="1">
      <c r="A604" t="inlineStr">
        <is>
          <t>A 26587-2025</t>
        </is>
      </c>
      <c r="B604" t="inlineStr">
        <is>
          <t>avverkningsanmälan</t>
        </is>
      </c>
      <c r="C604" t="inlineStr">
        <is>
          <t>Föryngringsavverkning</t>
        </is>
      </c>
      <c r="D604" s="1" t="n">
        <v>45807</v>
      </c>
      <c r="E604" s="1" t="n">
        <v>46312</v>
      </c>
      <c r="F604" t="inlineStr">
        <is>
          <t>JÄMTLANDS LÄN</t>
        </is>
      </c>
      <c r="G604" t="inlineStr">
        <is>
          <t>ÖSTERSUND</t>
        </is>
      </c>
      <c r="I604" t="n">
        <v>0.5</v>
      </c>
      <c r="J604" t="n">
        <v>0</v>
      </c>
      <c r="K604" t="n">
        <v>0</v>
      </c>
      <c r="L604" t="n">
        <v>0</v>
      </c>
      <c r="M604" t="n">
        <v>0</v>
      </c>
      <c r="N604" t="n">
        <v>0</v>
      </c>
      <c r="O604" t="n">
        <v>0</v>
      </c>
      <c r="P604" t="n">
        <v>0</v>
      </c>
      <c r="Q604" t="n">
        <v>0</v>
      </c>
      <c r="R604" t="n">
        <v>0</v>
      </c>
      <c r="S604" t="n">
        <v>0</v>
      </c>
      <c r="T604" t="n">
        <v>0</v>
      </c>
      <c r="U604" t="n">
        <v>0</v>
      </c>
      <c r="V604" s="2" t="inlineStr"/>
    </row>
    <row r="605" ht="15" customHeight="1">
      <c r="A605" t="inlineStr">
        <is>
          <t>A 39510-2024</t>
        </is>
      </c>
      <c r="B605" t="inlineStr">
        <is>
          <t>avverkningsanmälan</t>
        </is>
      </c>
      <c r="C605" t="inlineStr">
        <is>
          <t>Föryngringsavverkning</t>
        </is>
      </c>
      <c r="D605" s="1" t="n">
        <v>45551</v>
      </c>
      <c r="E605" s="1" t="n">
        <v>46312</v>
      </c>
      <c r="F605" t="inlineStr">
        <is>
          <t>JÄMTLANDS LÄN</t>
        </is>
      </c>
      <c r="G605" t="inlineStr">
        <is>
          <t>ÖSTERSUND</t>
        </is>
      </c>
      <c r="H605" t="inlineStr">
        <is>
          <t>SCA</t>
        </is>
      </c>
      <c r="I605" t="n">
        <v>1.8</v>
      </c>
      <c r="J605" t="n">
        <v>0</v>
      </c>
      <c r="K605" t="n">
        <v>0</v>
      </c>
      <c r="L605" t="n">
        <v>0</v>
      </c>
      <c r="M605" t="n">
        <v>0</v>
      </c>
      <c r="N605" t="n">
        <v>0</v>
      </c>
      <c r="O605" t="n">
        <v>0</v>
      </c>
      <c r="P605" t="n">
        <v>0</v>
      </c>
      <c r="Q605" t="n">
        <v>0</v>
      </c>
      <c r="R605" t="n">
        <v>0</v>
      </c>
      <c r="S605" t="n">
        <v>0</v>
      </c>
      <c r="T605" t="n">
        <v>0</v>
      </c>
      <c r="U605" t="n">
        <v>0</v>
      </c>
      <c r="V605" s="2" t="inlineStr"/>
    </row>
    <row r="606" ht="15" customHeight="1">
      <c r="A606" t="inlineStr">
        <is>
          <t>A 27517-2025</t>
        </is>
      </c>
      <c r="B606" t="inlineStr">
        <is>
          <t>avverkningsanmälan</t>
        </is>
      </c>
      <c r="C606" t="inlineStr">
        <is>
          <t>Avverkning för att bevara och utveckla /försöksver</t>
        </is>
      </c>
      <c r="D606" s="1" t="n">
        <v>45813</v>
      </c>
      <c r="E606" s="1" t="n">
        <v>46312</v>
      </c>
      <c r="F606" t="inlineStr">
        <is>
          <t>JÄMTLANDS LÄN</t>
        </is>
      </c>
      <c r="G606" t="inlineStr">
        <is>
          <t>ÖSTERSUND</t>
        </is>
      </c>
      <c r="I606" t="n">
        <v>2.2</v>
      </c>
      <c r="J606" t="n">
        <v>0</v>
      </c>
      <c r="K606" t="n">
        <v>0</v>
      </c>
      <c r="L606" t="n">
        <v>0</v>
      </c>
      <c r="M606" t="n">
        <v>0</v>
      </c>
      <c r="N606" t="n">
        <v>0</v>
      </c>
      <c r="O606" t="n">
        <v>0</v>
      </c>
      <c r="P606" t="n">
        <v>0</v>
      </c>
      <c r="Q606" t="n">
        <v>0</v>
      </c>
      <c r="R606" t="n">
        <v>0</v>
      </c>
      <c r="S606" t="n">
        <v>0</v>
      </c>
      <c r="T606" t="n">
        <v>0</v>
      </c>
      <c r="U606" t="n">
        <v>0</v>
      </c>
      <c r="V606" s="2" t="inlineStr"/>
    </row>
    <row r="607" ht="15" customHeight="1">
      <c r="A607" t="inlineStr">
        <is>
          <t>A 28595-2025</t>
        </is>
      </c>
      <c r="B607" t="inlineStr">
        <is>
          <t>avverkningsanmälan</t>
        </is>
      </c>
      <c r="C607" t="inlineStr">
        <is>
          <t>Föryngringsavverkning</t>
        </is>
      </c>
      <c r="D607" s="1" t="n">
        <v>45819</v>
      </c>
      <c r="E607" s="1" t="n">
        <v>46312</v>
      </c>
      <c r="F607" t="inlineStr">
        <is>
          <t>JÄMTLANDS LÄN</t>
        </is>
      </c>
      <c r="G607" t="inlineStr">
        <is>
          <t>ÖSTERSUND</t>
        </is>
      </c>
      <c r="H607" t="inlineStr">
        <is>
          <t>SCA</t>
        </is>
      </c>
      <c r="I607" t="n">
        <v>2</v>
      </c>
      <c r="J607" t="n">
        <v>0</v>
      </c>
      <c r="K607" t="n">
        <v>0</v>
      </c>
      <c r="L607" t="n">
        <v>0</v>
      </c>
      <c r="M607" t="n">
        <v>0</v>
      </c>
      <c r="N607" t="n">
        <v>0</v>
      </c>
      <c r="O607" t="n">
        <v>0</v>
      </c>
      <c r="P607" t="n">
        <v>0</v>
      </c>
      <c r="Q607" t="n">
        <v>0</v>
      </c>
      <c r="R607" t="n">
        <v>0</v>
      </c>
      <c r="S607" t="n">
        <v>0</v>
      </c>
      <c r="T607" t="n">
        <v>0</v>
      </c>
      <c r="U607" t="n">
        <v>0</v>
      </c>
      <c r="V607" s="2" t="inlineStr"/>
    </row>
    <row r="608" ht="15" customHeight="1">
      <c r="A608" t="inlineStr">
        <is>
          <t>A 28185-2025</t>
        </is>
      </c>
      <c r="B608" t="inlineStr">
        <is>
          <t>avverkningsanmälan</t>
        </is>
      </c>
      <c r="C608" t="inlineStr">
        <is>
          <t>Avverkning för annat ändamål</t>
        </is>
      </c>
      <c r="D608" s="1" t="n">
        <v>45818</v>
      </c>
      <c r="E608" s="1" t="n">
        <v>46312</v>
      </c>
      <c r="F608" t="inlineStr">
        <is>
          <t>JÄMTLANDS LÄN</t>
        </is>
      </c>
      <c r="G608" t="inlineStr">
        <is>
          <t>ÖSTERSUND</t>
        </is>
      </c>
      <c r="H608" t="inlineStr">
        <is>
          <t>Kyrkan</t>
        </is>
      </c>
      <c r="I608" t="n">
        <v>1</v>
      </c>
      <c r="J608" t="n">
        <v>0</v>
      </c>
      <c r="K608" t="n">
        <v>0</v>
      </c>
      <c r="L608" t="n">
        <v>0</v>
      </c>
      <c r="M608" t="n">
        <v>0</v>
      </c>
      <c r="N608" t="n">
        <v>0</v>
      </c>
      <c r="O608" t="n">
        <v>0</v>
      </c>
      <c r="P608" t="n">
        <v>0</v>
      </c>
      <c r="Q608" t="n">
        <v>0</v>
      </c>
      <c r="R608" t="n">
        <v>0</v>
      </c>
      <c r="S608" t="n">
        <v>0</v>
      </c>
      <c r="T608" t="n">
        <v>0</v>
      </c>
      <c r="U608" t="n">
        <v>0</v>
      </c>
      <c r="V608" s="2" t="inlineStr"/>
    </row>
    <row r="609" ht="15" customHeight="1">
      <c r="A609" t="inlineStr">
        <is>
          <t>A 36551-2026</t>
        </is>
      </c>
      <c r="B609" t="inlineStr">
        <is>
          <t>avverkningsanmälan</t>
        </is>
      </c>
      <c r="C609" t="inlineStr">
        <is>
          <t>Föryngringsavverkning</t>
        </is>
      </c>
      <c r="D609" s="1" t="n">
        <v>46269</v>
      </c>
      <c r="E609" s="1" t="n">
        <v>46312</v>
      </c>
      <c r="F609" t="inlineStr">
        <is>
          <t>JÄMTLANDS LÄN</t>
        </is>
      </c>
      <c r="G609" t="inlineStr">
        <is>
          <t>ÖSTERSUND</t>
        </is>
      </c>
      <c r="H609" t="inlineStr">
        <is>
          <t>Övriga Aktiebolag</t>
        </is>
      </c>
      <c r="I609" t="n">
        <v>6.8</v>
      </c>
      <c r="J609" t="n">
        <v>0</v>
      </c>
      <c r="K609" t="n">
        <v>0</v>
      </c>
      <c r="L609" t="n">
        <v>0</v>
      </c>
      <c r="M609" t="n">
        <v>0</v>
      </c>
      <c r="N609" t="n">
        <v>0</v>
      </c>
      <c r="O609" t="n">
        <v>0</v>
      </c>
      <c r="P609" t="n">
        <v>0</v>
      </c>
      <c r="Q609" t="n">
        <v>0</v>
      </c>
      <c r="R609" t="n">
        <v>0</v>
      </c>
      <c r="S609" t="n">
        <v>0</v>
      </c>
      <c r="T609" t="n">
        <v>0</v>
      </c>
      <c r="U609" t="n">
        <v>0</v>
      </c>
      <c r="V609" s="2" t="inlineStr"/>
    </row>
    <row r="610" ht="15" customHeight="1">
      <c r="A610" t="inlineStr">
        <is>
          <t>A 34490-2025</t>
        </is>
      </c>
      <c r="B610" t="inlineStr">
        <is>
          <t>avverkningsanmälan</t>
        </is>
      </c>
      <c r="C610" t="inlineStr">
        <is>
          <t>Föryngringsavverkning</t>
        </is>
      </c>
      <c r="D610" s="1" t="n">
        <v>45847</v>
      </c>
      <c r="E610" s="1" t="n">
        <v>46312</v>
      </c>
      <c r="F610" t="inlineStr">
        <is>
          <t>JÄMTLANDS LÄN</t>
        </is>
      </c>
      <c r="G610" t="inlineStr">
        <is>
          <t>ÖSTERSUND</t>
        </is>
      </c>
      <c r="H610" t="inlineStr">
        <is>
          <t>SCA</t>
        </is>
      </c>
      <c r="I610" t="n">
        <v>1.3</v>
      </c>
      <c r="J610" t="n">
        <v>0</v>
      </c>
      <c r="K610" t="n">
        <v>0</v>
      </c>
      <c r="L610" t="n">
        <v>0</v>
      </c>
      <c r="M610" t="n">
        <v>0</v>
      </c>
      <c r="N610" t="n">
        <v>0</v>
      </c>
      <c r="O610" t="n">
        <v>0</v>
      </c>
      <c r="P610" t="n">
        <v>0</v>
      </c>
      <c r="Q610" t="n">
        <v>0</v>
      </c>
      <c r="R610" t="n">
        <v>0</v>
      </c>
      <c r="S610" t="n">
        <v>0</v>
      </c>
      <c r="T610" t="n">
        <v>0</v>
      </c>
      <c r="U610" t="n">
        <v>0</v>
      </c>
      <c r="V610" s="2" t="inlineStr"/>
    </row>
    <row r="611" ht="15" customHeight="1">
      <c r="A611" t="inlineStr">
        <is>
          <t>A 34589-2025</t>
        </is>
      </c>
      <c r="B611" t="inlineStr">
        <is>
          <t>avverkningsanmälan</t>
        </is>
      </c>
      <c r="C611" t="inlineStr">
        <is>
          <t>Föryngringsavverkning</t>
        </is>
      </c>
      <c r="D611" s="1" t="n">
        <v>45847</v>
      </c>
      <c r="E611" s="1" t="n">
        <v>46312</v>
      </c>
      <c r="F611" t="inlineStr">
        <is>
          <t>JÄMTLANDS LÄN</t>
        </is>
      </c>
      <c r="G611" t="inlineStr">
        <is>
          <t>ÖSTERSUND</t>
        </is>
      </c>
      <c r="H611" t="inlineStr">
        <is>
          <t>SCA</t>
        </is>
      </c>
      <c r="I611" t="n">
        <v>1.7</v>
      </c>
      <c r="J611" t="n">
        <v>0</v>
      </c>
      <c r="K611" t="n">
        <v>0</v>
      </c>
      <c r="L611" t="n">
        <v>0</v>
      </c>
      <c r="M611" t="n">
        <v>0</v>
      </c>
      <c r="N611" t="n">
        <v>0</v>
      </c>
      <c r="O611" t="n">
        <v>0</v>
      </c>
      <c r="P611" t="n">
        <v>0</v>
      </c>
      <c r="Q611" t="n">
        <v>0</v>
      </c>
      <c r="R611" t="n">
        <v>0</v>
      </c>
      <c r="S611" t="n">
        <v>0</v>
      </c>
      <c r="T611" t="n">
        <v>0</v>
      </c>
      <c r="U611" t="n">
        <v>0</v>
      </c>
      <c r="V611" s="2" t="inlineStr"/>
    </row>
    <row r="612" ht="15" customHeight="1">
      <c r="A612" t="inlineStr">
        <is>
          <t>A 34587-2025</t>
        </is>
      </c>
      <c r="B612" t="inlineStr">
        <is>
          <t>avverkningsanmälan</t>
        </is>
      </c>
      <c r="C612" t="inlineStr">
        <is>
          <t>Föryngringsavverkning</t>
        </is>
      </c>
      <c r="D612" s="1" t="n">
        <v>45847</v>
      </c>
      <c r="E612" s="1" t="n">
        <v>46312</v>
      </c>
      <c r="F612" t="inlineStr">
        <is>
          <t>JÄMTLANDS LÄN</t>
        </is>
      </c>
      <c r="G612" t="inlineStr">
        <is>
          <t>ÖSTERSUND</t>
        </is>
      </c>
      <c r="H612" t="inlineStr">
        <is>
          <t>SCA</t>
        </is>
      </c>
      <c r="I612" t="n">
        <v>2.3</v>
      </c>
      <c r="J612" t="n">
        <v>0</v>
      </c>
      <c r="K612" t="n">
        <v>0</v>
      </c>
      <c r="L612" t="n">
        <v>0</v>
      </c>
      <c r="M612" t="n">
        <v>0</v>
      </c>
      <c r="N612" t="n">
        <v>0</v>
      </c>
      <c r="O612" t="n">
        <v>0</v>
      </c>
      <c r="P612" t="n">
        <v>0</v>
      </c>
      <c r="Q612" t="n">
        <v>0</v>
      </c>
      <c r="R612" t="n">
        <v>0</v>
      </c>
      <c r="S612" t="n">
        <v>0</v>
      </c>
      <c r="T612" t="n">
        <v>0</v>
      </c>
      <c r="U612" t="n">
        <v>0</v>
      </c>
      <c r="V612" s="2" t="inlineStr"/>
    </row>
    <row r="613" ht="15" customHeight="1">
      <c r="A613" t="inlineStr">
        <is>
          <t>A 25228-2025</t>
        </is>
      </c>
      <c r="B613" t="inlineStr">
        <is>
          <t>avverkningsanmälan</t>
        </is>
      </c>
      <c r="C613" t="inlineStr">
        <is>
          <t>Föryngringsavverkning</t>
        </is>
      </c>
      <c r="D613" s="1" t="n">
        <v>45800</v>
      </c>
      <c r="E613" s="1" t="n">
        <v>46312</v>
      </c>
      <c r="F613" t="inlineStr">
        <is>
          <t>JÄMTLANDS LÄN</t>
        </is>
      </c>
      <c r="G613" t="inlineStr">
        <is>
          <t>ÖSTERSUND</t>
        </is>
      </c>
      <c r="I613" t="n">
        <v>1.6</v>
      </c>
      <c r="J613" t="n">
        <v>0</v>
      </c>
      <c r="K613" t="n">
        <v>0</v>
      </c>
      <c r="L613" t="n">
        <v>0</v>
      </c>
      <c r="M613" t="n">
        <v>0</v>
      </c>
      <c r="N613" t="n">
        <v>0</v>
      </c>
      <c r="O613" t="n">
        <v>0</v>
      </c>
      <c r="P613" t="n">
        <v>0</v>
      </c>
      <c r="Q613" t="n">
        <v>0</v>
      </c>
      <c r="R613" t="n">
        <v>0</v>
      </c>
      <c r="S613" t="n">
        <v>0</v>
      </c>
      <c r="T613" t="n">
        <v>0</v>
      </c>
      <c r="U613" t="n">
        <v>0</v>
      </c>
      <c r="V613" s="2" t="inlineStr"/>
    </row>
    <row r="614" ht="15" customHeight="1">
      <c r="A614" t="inlineStr">
        <is>
          <t>A 26586-2025</t>
        </is>
      </c>
      <c r="B614" t="inlineStr">
        <is>
          <t>avverkningsanmälan</t>
        </is>
      </c>
      <c r="C614" t="inlineStr">
        <is>
          <t>Föryngringsavverkning</t>
        </is>
      </c>
      <c r="D614" s="1" t="n">
        <v>45807</v>
      </c>
      <c r="E614" s="1" t="n">
        <v>46312</v>
      </c>
      <c r="F614" t="inlineStr">
        <is>
          <t>JÄMTLANDS LÄN</t>
        </is>
      </c>
      <c r="G614" t="inlineStr">
        <is>
          <t>ÖSTERSUND</t>
        </is>
      </c>
      <c r="I614" t="n">
        <v>2.1</v>
      </c>
      <c r="J614" t="n">
        <v>0</v>
      </c>
      <c r="K614" t="n">
        <v>0</v>
      </c>
      <c r="L614" t="n">
        <v>0</v>
      </c>
      <c r="M614" t="n">
        <v>0</v>
      </c>
      <c r="N614" t="n">
        <v>0</v>
      </c>
      <c r="O614" t="n">
        <v>0</v>
      </c>
      <c r="P614" t="n">
        <v>0</v>
      </c>
      <c r="Q614" t="n">
        <v>0</v>
      </c>
      <c r="R614" t="n">
        <v>0</v>
      </c>
      <c r="S614" t="n">
        <v>0</v>
      </c>
      <c r="T614" t="n">
        <v>0</v>
      </c>
      <c r="U614" t="n">
        <v>0</v>
      </c>
      <c r="V614" s="2" t="inlineStr"/>
    </row>
    <row r="615" ht="15" customHeight="1">
      <c r="A615" t="inlineStr">
        <is>
          <t>A 36098-2025</t>
        </is>
      </c>
      <c r="B615" t="inlineStr">
        <is>
          <t>avverkningsanmälan</t>
        </is>
      </c>
      <c r="C615" t="inlineStr">
        <is>
          <t>Avverkning för annat ändamål</t>
        </is>
      </c>
      <c r="D615" s="1" t="n">
        <v>45866</v>
      </c>
      <c r="E615" s="1" t="n">
        <v>46312</v>
      </c>
      <c r="F615" t="inlineStr">
        <is>
          <t>JÄMTLANDS LÄN</t>
        </is>
      </c>
      <c r="G615" t="inlineStr">
        <is>
          <t>ÖSTERSUND</t>
        </is>
      </c>
      <c r="H615" t="inlineStr">
        <is>
          <t>Övriga Aktiebolag</t>
        </is>
      </c>
      <c r="I615" t="n">
        <v>1.1</v>
      </c>
      <c r="J615" t="n">
        <v>0</v>
      </c>
      <c r="K615" t="n">
        <v>0</v>
      </c>
      <c r="L615" t="n">
        <v>0</v>
      </c>
      <c r="M615" t="n">
        <v>0</v>
      </c>
      <c r="N615" t="n">
        <v>0</v>
      </c>
      <c r="O615" t="n">
        <v>0</v>
      </c>
      <c r="P615" t="n">
        <v>0</v>
      </c>
      <c r="Q615" t="n">
        <v>0</v>
      </c>
      <c r="R615" t="n">
        <v>0</v>
      </c>
      <c r="S615" t="n">
        <v>0</v>
      </c>
      <c r="T615" t="n">
        <v>0</v>
      </c>
      <c r="U615" t="n">
        <v>0</v>
      </c>
      <c r="V615" s="2" t="inlineStr"/>
    </row>
    <row r="616" ht="15" customHeight="1">
      <c r="A616" t="inlineStr">
        <is>
          <t>S 989-2025</t>
        </is>
      </c>
      <c r="B616" t="inlineStr">
        <is>
          <t>samrådsanmälan</t>
        </is>
      </c>
      <c r="C616" t="inlineStr">
        <is>
          <t>Annan skogsbruksåtgärd</t>
        </is>
      </c>
      <c r="D616" s="1" t="n">
        <v>45744</v>
      </c>
      <c r="E616" s="1" t="n">
        <v>46312</v>
      </c>
      <c r="F616" t="inlineStr">
        <is>
          <t>JÄMTLANDS LÄN</t>
        </is>
      </c>
      <c r="G616" t="inlineStr">
        <is>
          <t>ÖSTERSUND</t>
        </is>
      </c>
      <c r="I616" t="n">
        <v>0.6</v>
      </c>
      <c r="J616" t="n">
        <v>0</v>
      </c>
      <c r="K616" t="n">
        <v>0</v>
      </c>
      <c r="L616" t="n">
        <v>0</v>
      </c>
      <c r="M616" t="n">
        <v>0</v>
      </c>
      <c r="N616" t="n">
        <v>0</v>
      </c>
      <c r="O616" t="n">
        <v>0</v>
      </c>
      <c r="P616" t="n">
        <v>0</v>
      </c>
      <c r="Q616" t="n">
        <v>0</v>
      </c>
      <c r="R616" t="n">
        <v>0</v>
      </c>
      <c r="S616" t="n">
        <v>0</v>
      </c>
      <c r="T616" t="n">
        <v>0</v>
      </c>
      <c r="U616" t="n">
        <v>0</v>
      </c>
      <c r="V616" s="2" t="inlineStr"/>
    </row>
    <row r="617" ht="15" customHeight="1">
      <c r="A617" t="inlineStr">
        <is>
          <t>S 1845-2025</t>
        </is>
      </c>
      <c r="B617" t="inlineStr">
        <is>
          <t>samrådsanmälan</t>
        </is>
      </c>
      <c r="C617" t="inlineStr">
        <is>
          <t>Annan skogsbruksåtgärd</t>
        </is>
      </c>
      <c r="D617" s="1" t="n">
        <v>45820</v>
      </c>
      <c r="E617" s="1" t="n">
        <v>46312</v>
      </c>
      <c r="F617" t="inlineStr">
        <is>
          <t>JÄMTLANDS LÄN</t>
        </is>
      </c>
      <c r="G617" t="inlineStr">
        <is>
          <t>ÖSTERSUND</t>
        </is>
      </c>
      <c r="I617" t="n">
        <v>0.5</v>
      </c>
      <c r="J617" t="n">
        <v>0</v>
      </c>
      <c r="K617" t="n">
        <v>0</v>
      </c>
      <c r="L617" t="n">
        <v>0</v>
      </c>
      <c r="M617" t="n">
        <v>0</v>
      </c>
      <c r="N617" t="n">
        <v>0</v>
      </c>
      <c r="O617" t="n">
        <v>0</v>
      </c>
      <c r="P617" t="n">
        <v>0</v>
      </c>
      <c r="Q617" t="n">
        <v>0</v>
      </c>
      <c r="R617" t="n">
        <v>0</v>
      </c>
      <c r="S617" t="n">
        <v>0</v>
      </c>
      <c r="T617" t="n">
        <v>0</v>
      </c>
      <c r="U617" t="n">
        <v>0</v>
      </c>
      <c r="V617" s="2" t="inlineStr"/>
    </row>
    <row r="618" ht="15" customHeight="1">
      <c r="A618" t="inlineStr">
        <is>
          <t>S 299-2026</t>
        </is>
      </c>
      <c r="B618" t="inlineStr">
        <is>
          <t>samrådsanmälan</t>
        </is>
      </c>
      <c r="C618" t="inlineStr">
        <is>
          <t>Annan skogsbruksåtgärd</t>
        </is>
      </c>
      <c r="D618" s="1" t="n">
        <v>46058</v>
      </c>
      <c r="E618" s="1" t="n">
        <v>46312</v>
      </c>
      <c r="F618" t="inlineStr">
        <is>
          <t>JÄMTLANDS LÄN</t>
        </is>
      </c>
      <c r="G618" t="inlineStr">
        <is>
          <t>ÖSTERSUND</t>
        </is>
      </c>
      <c r="I618" t="n">
        <v>2.7</v>
      </c>
      <c r="J618" t="n">
        <v>0</v>
      </c>
      <c r="K618" t="n">
        <v>0</v>
      </c>
      <c r="L618" t="n">
        <v>0</v>
      </c>
      <c r="M618" t="n">
        <v>0</v>
      </c>
      <c r="N618" t="n">
        <v>0</v>
      </c>
      <c r="O618" t="n">
        <v>0</v>
      </c>
      <c r="P618" t="n">
        <v>0</v>
      </c>
      <c r="Q618" t="n">
        <v>0</v>
      </c>
      <c r="R618" t="n">
        <v>0</v>
      </c>
      <c r="S618" t="n">
        <v>0</v>
      </c>
      <c r="T618" t="n">
        <v>0</v>
      </c>
      <c r="U618" t="n">
        <v>0</v>
      </c>
      <c r="V618" s="2" t="inlineStr"/>
    </row>
    <row r="619" ht="15" customHeight="1">
      <c r="A619" t="inlineStr">
        <is>
          <t>S 305-2026</t>
        </is>
      </c>
      <c r="B619" t="inlineStr">
        <is>
          <t>samrådsanmälan</t>
        </is>
      </c>
      <c r="C619" t="inlineStr">
        <is>
          <t>Annan skogsbruksåtgärd</t>
        </is>
      </c>
      <c r="D619" s="1" t="n">
        <v>46058</v>
      </c>
      <c r="E619" s="1" t="n">
        <v>46312</v>
      </c>
      <c r="F619" t="inlineStr">
        <is>
          <t>JÄMTLANDS LÄN</t>
        </is>
      </c>
      <c r="G619" t="inlineStr">
        <is>
          <t>ÖSTERSUND</t>
        </is>
      </c>
      <c r="I619" t="n">
        <v>7.8</v>
      </c>
      <c r="J619" t="n">
        <v>0</v>
      </c>
      <c r="K619" t="n">
        <v>0</v>
      </c>
      <c r="L619" t="n">
        <v>0</v>
      </c>
      <c r="M619" t="n">
        <v>0</v>
      </c>
      <c r="N619" t="n">
        <v>0</v>
      </c>
      <c r="O619" t="n">
        <v>0</v>
      </c>
      <c r="P619" t="n">
        <v>0</v>
      </c>
      <c r="Q619" t="n">
        <v>0</v>
      </c>
      <c r="R619" t="n">
        <v>0</v>
      </c>
      <c r="S619" t="n">
        <v>0</v>
      </c>
      <c r="T619" t="n">
        <v>0</v>
      </c>
      <c r="U619" t="n">
        <v>0</v>
      </c>
      <c r="V619" s="2" t="inlineStr"/>
    </row>
    <row r="620">
      <c r="A620" t="inlineStr">
        <is>
          <t>S 2399-2026</t>
        </is>
      </c>
      <c r="B620" t="inlineStr">
        <is>
          <t>samrådsanmälan</t>
        </is>
      </c>
      <c r="C620" t="inlineStr">
        <is>
          <t>Annan skogsbruksåtgärd</t>
        </is>
      </c>
      <c r="D620" s="1" t="n">
        <v>46276</v>
      </c>
      <c r="E620" s="1" t="n">
        <v>46312</v>
      </c>
      <c r="F620" t="inlineStr">
        <is>
          <t>JÄMTLANDS LÄN</t>
        </is>
      </c>
      <c r="G620" t="inlineStr">
        <is>
          <t>ÖSTERSUND</t>
        </is>
      </c>
      <c r="H620" t="inlineStr">
        <is>
          <t>SCA</t>
        </is>
      </c>
      <c r="I620" t="n">
        <v>8.5</v>
      </c>
      <c r="J620" t="n">
        <v>0</v>
      </c>
      <c r="K620" t="n">
        <v>0</v>
      </c>
      <c r="L620" t="n">
        <v>0</v>
      </c>
      <c r="M620" t="n">
        <v>0</v>
      </c>
      <c r="N620" t="n">
        <v>0</v>
      </c>
      <c r="O620" t="n">
        <v>0</v>
      </c>
      <c r="P620" t="n">
        <v>0</v>
      </c>
      <c r="Q620" t="n">
        <v>0</v>
      </c>
      <c r="R620" t="n">
        <v>0</v>
      </c>
      <c r="S620" t="n">
        <v>0</v>
      </c>
      <c r="T620" t="n">
        <v>0</v>
      </c>
      <c r="U620" t="n">
        <v>0</v>
      </c>
      <c r="V62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2026-10-17T02:01:44Z</dcterms:created>
  <dcterms:modified xmlns:dcterms="http://purl.org/dc/terms/" xmlns:xsi="http://www.w3.org/2001/XMLSchema-instance" xsi:type="dcterms:W3CDTF">2026-10-17T02:01:44Z</dcterms:modified>
</cp:coreProperties>
</file>