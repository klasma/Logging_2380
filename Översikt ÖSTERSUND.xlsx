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45564</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45564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45564</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45564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45564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45564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45564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45564</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45564</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45564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45564</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45564</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45564</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45564</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45564</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45564</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45564</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45564</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45564</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45564</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45564</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45564</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45564</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45564</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45564</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45564</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45564</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45564</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45564</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45564</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45564</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45564</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45564</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45564</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45564</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45564</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45564</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45564</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45564</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45564</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45564</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45564</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45564</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45564</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45564</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45564</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45564</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45564</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45564</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45564</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45564</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45564</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45564</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45564</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45564</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45564</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45564</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45564</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45564</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45564</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45564</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45564</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45564</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45564</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45564</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45564</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45564</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45564</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45564</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45564</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45564</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45564</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45564</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45564</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45564</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45564</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45564</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45564</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45564</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45564</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45564</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45564</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45564</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45564</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45564</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45564</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45564</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45564</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45564</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45564</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45564</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45564</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45564</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45564</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45564</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45564</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45564</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45564</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45564</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45564</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45564</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45564</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45564</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45564</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45564</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45564</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45564</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45564</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45564</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45564</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45564</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45564</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45564</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45564</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45564</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45564</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45564</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45564</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45564</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45564</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45564</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45564</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45564</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45564</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45564</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45564</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45564</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45564</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45564</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45564</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45564</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45564</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45564</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45564</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45564</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45564</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45564</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45564</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45564</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45564</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45564</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45564</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45564</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40692-2024</t>
        </is>
      </c>
      <c r="B145" s="1" t="n">
        <v>45558</v>
      </c>
      <c r="C145" s="1" t="n">
        <v>45564</v>
      </c>
      <c r="D145" t="inlineStr">
        <is>
          <t>JÄMTLANDS LÄN</t>
        </is>
      </c>
      <c r="E145" t="inlineStr">
        <is>
          <t>ÖSTERSUND</t>
        </is>
      </c>
      <c r="F145" t="inlineStr">
        <is>
          <t>SCA</t>
        </is>
      </c>
      <c r="G145" t="n">
        <v>0.9</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40692-2024 artfynd.xlsx", "A 40692-2024")</f>
        <v/>
      </c>
      <c r="T145">
        <f>HYPERLINK("https://klasma.github.io/Logging_2380/kartor/A 40692-2024 karta.png", "A 40692-2024")</f>
        <v/>
      </c>
      <c r="V145">
        <f>HYPERLINK("https://klasma.github.io/Logging_2380/klagomål/A 40692-2024 FSC-klagomål.docx", "A 40692-2024")</f>
        <v/>
      </c>
      <c r="W145">
        <f>HYPERLINK("https://klasma.github.io/Logging_2380/klagomålsmail/A 40692-2024 FSC-klagomål mail.docx", "A 40692-2024")</f>
        <v/>
      </c>
      <c r="X145">
        <f>HYPERLINK("https://klasma.github.io/Logging_2380/tillsyn/A 40692-2024 tillsynsbegäran.docx", "A 40692-2024")</f>
        <v/>
      </c>
      <c r="Y145">
        <f>HYPERLINK("https://klasma.github.io/Logging_2380/tillsynsmail/A 40692-2024 tillsynsbegäran mail.docx", "A 40692-2024")</f>
        <v/>
      </c>
    </row>
    <row r="146" ht="15" customHeight="1">
      <c r="A146" t="inlineStr">
        <is>
          <t>A 40696-2024</t>
        </is>
      </c>
      <c r="B146" s="1" t="n">
        <v>45558</v>
      </c>
      <c r="C146" s="1" t="n">
        <v>45564</v>
      </c>
      <c r="D146" t="inlineStr">
        <is>
          <t>JÄMTLANDS LÄN</t>
        </is>
      </c>
      <c r="E146" t="inlineStr">
        <is>
          <t>ÖSTERSUND</t>
        </is>
      </c>
      <c r="F146" t="inlineStr">
        <is>
          <t>SCA</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HYPERLINK("https://klasma.github.io/Logging_2380/artfynd/A 40696-2024 artfynd.xlsx", "A 40696-2024")</f>
        <v/>
      </c>
      <c r="T146">
        <f>HYPERLINK("https://klasma.github.io/Logging_2380/kartor/A 40696-2024 karta.png", "A 40696-2024")</f>
        <v/>
      </c>
      <c r="V146">
        <f>HYPERLINK("https://klasma.github.io/Logging_2380/klagomål/A 40696-2024 FSC-klagomål.docx", "A 40696-2024")</f>
        <v/>
      </c>
      <c r="W146">
        <f>HYPERLINK("https://klasma.github.io/Logging_2380/klagomålsmail/A 40696-2024 FSC-klagomål mail.docx", "A 40696-2024")</f>
        <v/>
      </c>
      <c r="X146">
        <f>HYPERLINK("https://klasma.github.io/Logging_2380/tillsyn/A 40696-2024 tillsynsbegäran.docx", "A 40696-2024")</f>
        <v/>
      </c>
      <c r="Y146">
        <f>HYPERLINK("https://klasma.github.io/Logging_2380/tillsynsmail/A 40696-2024 tillsynsbegäran mail.docx", "A 40696-2024")</f>
        <v/>
      </c>
    </row>
    <row r="147" ht="15" customHeight="1">
      <c r="A147" t="inlineStr">
        <is>
          <t>A 40694-2024</t>
        </is>
      </c>
      <c r="B147" s="1" t="n">
        <v>45558</v>
      </c>
      <c r="C147" s="1" t="n">
        <v>45564</v>
      </c>
      <c r="D147" t="inlineStr">
        <is>
          <t>JÄMTLANDS LÄN</t>
        </is>
      </c>
      <c r="E147" t="inlineStr">
        <is>
          <t>ÖSTERSUND</t>
        </is>
      </c>
      <c r="F147" t="inlineStr">
        <is>
          <t>SCA</t>
        </is>
      </c>
      <c r="G147" t="n">
        <v>6.2</v>
      </c>
      <c r="H147" t="n">
        <v>0</v>
      </c>
      <c r="I147" t="n">
        <v>0</v>
      </c>
      <c r="J147" t="n">
        <v>1</v>
      </c>
      <c r="K147" t="n">
        <v>0</v>
      </c>
      <c r="L147" t="n">
        <v>0</v>
      </c>
      <c r="M147" t="n">
        <v>0</v>
      </c>
      <c r="N147" t="n">
        <v>0</v>
      </c>
      <c r="O147" t="n">
        <v>1</v>
      </c>
      <c r="P147" t="n">
        <v>0</v>
      </c>
      <c r="Q147" t="n">
        <v>1</v>
      </c>
      <c r="R147" s="2" t="inlineStr">
        <is>
          <t>Reliktbock</t>
        </is>
      </c>
      <c r="S147">
        <f>HYPERLINK("https://klasma.github.io/Logging_2380/artfynd/A 40694-2024 artfynd.xlsx", "A 40694-2024")</f>
        <v/>
      </c>
      <c r="T147">
        <f>HYPERLINK("https://klasma.github.io/Logging_2380/kartor/A 40694-2024 karta.png", "A 40694-2024")</f>
        <v/>
      </c>
      <c r="V147">
        <f>HYPERLINK("https://klasma.github.io/Logging_2380/klagomål/A 40694-2024 FSC-klagomål.docx", "A 40694-2024")</f>
        <v/>
      </c>
      <c r="W147">
        <f>HYPERLINK("https://klasma.github.io/Logging_2380/klagomålsmail/A 40694-2024 FSC-klagomål mail.docx", "A 40694-2024")</f>
        <v/>
      </c>
      <c r="X147">
        <f>HYPERLINK("https://klasma.github.io/Logging_2380/tillsyn/A 40694-2024 tillsynsbegäran.docx", "A 40694-2024")</f>
        <v/>
      </c>
      <c r="Y147">
        <f>HYPERLINK("https://klasma.github.io/Logging_2380/tillsynsmail/A 40694-2024 tillsynsbegäran mail.docx", "A 40694-2024")</f>
        <v/>
      </c>
    </row>
    <row r="148" ht="15" customHeight="1">
      <c r="A148" t="inlineStr">
        <is>
          <t>A 41286-2024</t>
        </is>
      </c>
      <c r="B148" s="1" t="n">
        <v>45559</v>
      </c>
      <c r="C148" s="1" t="n">
        <v>45564</v>
      </c>
      <c r="D148" t="inlineStr">
        <is>
          <t>JÄMTLANDS LÄN</t>
        </is>
      </c>
      <c r="E148" t="inlineStr">
        <is>
          <t>ÖSTERSUND</t>
        </is>
      </c>
      <c r="F148" t="inlineStr">
        <is>
          <t>SCA</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HYPERLINK("https://klasma.github.io/Logging_2380/artfynd/A 41286-2024 artfynd.xlsx", "A 41286-2024")</f>
        <v/>
      </c>
      <c r="T148">
        <f>HYPERLINK("https://klasma.github.io/Logging_2380/kartor/A 41286-2024 karta.png", "A 41286-2024")</f>
        <v/>
      </c>
      <c r="V148">
        <f>HYPERLINK("https://klasma.github.io/Logging_2380/klagomål/A 41286-2024 FSC-klagomål.docx", "A 41286-2024")</f>
        <v/>
      </c>
      <c r="W148">
        <f>HYPERLINK("https://klasma.github.io/Logging_2380/klagomålsmail/A 41286-2024 FSC-klagomål mail.docx", "A 41286-2024")</f>
        <v/>
      </c>
      <c r="X148">
        <f>HYPERLINK("https://klasma.github.io/Logging_2380/tillsyn/A 41286-2024 tillsynsbegäran.docx", "A 41286-2024")</f>
        <v/>
      </c>
      <c r="Y148">
        <f>HYPERLINK("https://klasma.github.io/Logging_2380/tillsynsmail/A 41286-2024 tillsynsbegäran mail.docx", "A 41286-2024")</f>
        <v/>
      </c>
    </row>
    <row r="149" ht="15" customHeight="1">
      <c r="A149" t="inlineStr">
        <is>
          <t>A 41275-2024</t>
        </is>
      </c>
      <c r="B149" s="1" t="n">
        <v>45559</v>
      </c>
      <c r="C149" s="1" t="n">
        <v>45564</v>
      </c>
      <c r="D149" t="inlineStr">
        <is>
          <t>JÄMTLANDS LÄN</t>
        </is>
      </c>
      <c r="E149" t="inlineStr">
        <is>
          <t>ÖSTERSUND</t>
        </is>
      </c>
      <c r="F149" t="inlineStr">
        <is>
          <t>SCA</t>
        </is>
      </c>
      <c r="G149" t="n">
        <v>3.3</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41275-2024 artfynd.xlsx", "A 41275-2024")</f>
        <v/>
      </c>
      <c r="T149">
        <f>HYPERLINK("https://klasma.github.io/Logging_2380/kartor/A 41275-2024 karta.png", "A 41275-2024")</f>
        <v/>
      </c>
      <c r="V149">
        <f>HYPERLINK("https://klasma.github.io/Logging_2380/klagomål/A 41275-2024 FSC-klagomål.docx", "A 41275-2024")</f>
        <v/>
      </c>
      <c r="W149">
        <f>HYPERLINK("https://klasma.github.io/Logging_2380/klagomålsmail/A 41275-2024 FSC-klagomål mail.docx", "A 41275-2024")</f>
        <v/>
      </c>
      <c r="X149">
        <f>HYPERLINK("https://klasma.github.io/Logging_2380/tillsyn/A 41275-2024 tillsynsbegäran.docx", "A 41275-2024")</f>
        <v/>
      </c>
      <c r="Y149">
        <f>HYPERLINK("https://klasma.github.io/Logging_2380/tillsynsmail/A 41275-2024 tillsynsbegäran mail.docx", "A 41275-2024")</f>
        <v/>
      </c>
    </row>
    <row r="150" ht="15" customHeight="1">
      <c r="A150" t="inlineStr">
        <is>
          <t>A 41279-2024</t>
        </is>
      </c>
      <c r="B150" s="1" t="n">
        <v>45559</v>
      </c>
      <c r="C150" s="1" t="n">
        <v>45564</v>
      </c>
      <c r="D150" t="inlineStr">
        <is>
          <t>JÄMTLANDS LÄN</t>
        </is>
      </c>
      <c r="E150" t="inlineStr">
        <is>
          <t>ÖSTERSUND</t>
        </is>
      </c>
      <c r="F150" t="inlineStr">
        <is>
          <t>SCA</t>
        </is>
      </c>
      <c r="G150" t="n">
        <v>1.6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41279-2024 artfynd.xlsx", "A 41279-2024")</f>
        <v/>
      </c>
      <c r="T150">
        <f>HYPERLINK("https://klasma.github.io/Logging_2380/kartor/A 41279-2024 karta.png", "A 41279-2024")</f>
        <v/>
      </c>
      <c r="V150">
        <f>HYPERLINK("https://klasma.github.io/Logging_2380/klagomål/A 41279-2024 FSC-klagomål.docx", "A 41279-2024")</f>
        <v/>
      </c>
      <c r="W150">
        <f>HYPERLINK("https://klasma.github.io/Logging_2380/klagomålsmail/A 41279-2024 FSC-klagomål mail.docx", "A 41279-2024")</f>
        <v/>
      </c>
      <c r="X150">
        <f>HYPERLINK("https://klasma.github.io/Logging_2380/tillsyn/A 41279-2024 tillsynsbegäran.docx", "A 41279-2024")</f>
        <v/>
      </c>
      <c r="Y150">
        <f>HYPERLINK("https://klasma.github.io/Logging_2380/tillsynsmail/A 41279-2024 tillsynsbegäran mail.docx", "A 41279-2024")</f>
        <v/>
      </c>
    </row>
    <row r="151" ht="15" customHeight="1">
      <c r="A151" t="inlineStr">
        <is>
          <t>A 41312-2024</t>
        </is>
      </c>
      <c r="B151" s="1" t="n">
        <v>45559</v>
      </c>
      <c r="C151" s="1" t="n">
        <v>45564</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41755-2024</t>
        </is>
      </c>
      <c r="B152" s="1" t="n">
        <v>45561</v>
      </c>
      <c r="C152" s="1" t="n">
        <v>45564</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41755-2024 artfynd.xlsx", "A 41755-2024")</f>
        <v/>
      </c>
      <c r="T152">
        <f>HYPERLINK("https://klasma.github.io/Logging_2380/kartor/A 41755-2024 karta.png", "A 41755-2024")</f>
        <v/>
      </c>
      <c r="V152">
        <f>HYPERLINK("https://klasma.github.io/Logging_2380/klagomål/A 41755-2024 FSC-klagomål.docx", "A 41755-2024")</f>
        <v/>
      </c>
      <c r="W152">
        <f>HYPERLINK("https://klasma.github.io/Logging_2380/klagomålsmail/A 41755-2024 FSC-klagomål mail.docx", "A 41755-2024")</f>
        <v/>
      </c>
      <c r="X152">
        <f>HYPERLINK("https://klasma.github.io/Logging_2380/tillsyn/A 41755-2024 tillsynsbegäran.docx", "A 41755-2024")</f>
        <v/>
      </c>
      <c r="Y152">
        <f>HYPERLINK("https://klasma.github.io/Logging_2380/tillsynsmail/A 41755-2024 tillsynsbegäran mail.docx", "A 41755-2024")</f>
        <v/>
      </c>
    </row>
    <row r="153" ht="15" customHeight="1">
      <c r="A153" t="inlineStr">
        <is>
          <t>A 41762-2024</t>
        </is>
      </c>
      <c r="B153" s="1" t="n">
        <v>45561</v>
      </c>
      <c r="C153" s="1" t="n">
        <v>45564</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45564</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20319-2019</t>
        </is>
      </c>
      <c r="B155" s="1" t="n">
        <v>43571</v>
      </c>
      <c r="C155" s="1" t="n">
        <v>45564</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45564</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45564</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45564</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45564</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45564</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45564</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45564</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45564</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45564</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45564</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45564</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45564</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45564</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45564</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45564</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45564</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45564</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45564</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45564</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45564</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45564</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45564</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45564</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45564</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45564</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45564</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45564</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45564</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45564</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45564</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45564</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45564</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45564</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45564</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45564</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45564</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45564</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45564</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45564</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45564</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45564</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45564</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45564</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45564</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45564</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45564</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45564</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45564</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45564</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45564</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45564</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45564</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45564</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45564</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45564</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45564</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45564</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45564</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45564</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45564</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45564</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45564</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45564</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45564</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45564</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45564</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45564</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45564</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45564</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45564</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45564</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45564</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45564</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45564</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45564</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45564</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45564</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45564</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45564</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45564</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45564</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45564</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45564</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45564</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45564</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45564</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45564</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45564</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45564</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45564</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45564</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45564</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45564</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45564</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45564</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45564</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45564</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45564</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45564</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45564</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45564</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45564</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45564</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45564</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45564</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45564</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45564</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45564</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45564</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45564</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45564</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45564</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45564</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45564</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45564</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45564</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45564</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45564</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45564</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45564</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45564</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45564</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45564</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45564</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45564</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45564</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45564</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45564</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45564</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45564</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45564</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45564</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45564</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45564</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45564</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45564</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45564</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45564</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45564</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45564</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45564</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45564</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45564</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45564</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45564</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45564</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45564</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45564</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45564</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45564</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45564</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45564</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45564</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45564</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45564</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45564</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45564</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45564</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45564</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45564</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45564</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45564</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45564</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45564</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45564</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45564</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45564</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45564</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45564</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45564</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45564</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45564</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45564</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45564</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45564</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45564</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45564</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45564</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45564</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45564</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45564</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45564</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45564</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45564</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45564</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45564</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45564</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45564</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45564</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45564</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45564</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45564</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45564</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45564</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45564</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45564</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45564</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45564</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45564</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45564</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45564</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45564</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45564</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45564</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45564</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45564</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45564</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45564</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45564</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45564</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45564</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45564</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45564</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45564</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45564</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45564</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45564</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45564</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45564</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45564</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45564</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45564</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45564</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45564</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45564</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45564</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45564</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45564</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45564</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45564</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45564</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45564</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45564</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45564</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45564</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45564</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45564</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45564</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45564</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45564</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45564</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45564</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45564</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45564</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45564</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45564</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45564</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45564</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45564</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45564</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45564</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45564</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45564</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45564</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45564</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45564</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45564</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45564</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45564</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45564</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45564</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45564</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45564</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45564</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45564</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45564</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45564</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45564</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45564</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45564</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45564</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45564</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45564</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45564</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45564</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45564</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45564</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45564</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45564</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45564</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45564</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45564</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45564</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45564</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45564</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45564</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45564</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45564</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45564</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45564</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45564</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45564</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45564</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45564</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45564</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45564</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45564</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45564</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45564</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45564</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45564</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45564</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45564</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45564</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45564</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45564</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45564</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45564</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45564</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45564</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45564</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45564</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45564</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45564</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45564</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45564</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45564</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45564</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45564</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45564</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45564</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45564</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45564</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45564</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45564</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45564</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45564</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45564</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45564</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45564</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45564</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45564</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45564</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45564</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45564</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45564</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45564</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45564</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45564</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45564</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45564</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45564</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45564</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45564</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45564</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45564</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45564</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45564</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45564</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45564</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45564</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45564</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45564</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45564</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45564</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45564</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45564</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45564</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45564</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45564</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45564</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45564</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45564</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45564</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45564</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45564</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45564</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45564</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45564</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45564</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45564</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45564</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45564</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45564</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45564</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45564</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45564</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45564</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45564</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45564</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45564</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45564</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45564</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45564</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45564</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45564</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45564</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45564</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45564</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45564</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45564</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45564</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45564</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45564</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45564</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45564</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45564</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45564</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45564</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45564</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45564</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45564</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45564</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45564</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45564</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45564</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45564</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45564</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45564</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45564</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45564</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45564</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45564</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45564</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45564</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45564</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45564</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45564</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45564</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45564</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45564</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45564</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45564</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45564</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45564</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45564</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45564</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45564</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45564</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45564</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45564</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45564</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45564</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45564</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45564</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45564</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45564</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45564</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45564</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45564</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45564</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45564</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45564</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45564</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45564</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45564</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45564</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45564</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45564</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45564</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45564</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45564</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45564</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45564</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45564</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45564</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45564</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45564</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45564</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45564</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45564</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45564</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45564</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45564</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45564</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45564</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45564</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45564</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45564</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45564</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45564</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45564</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45564</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45564</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45564</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45564</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45564</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45564</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45564</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45564</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45564</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45564</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45564</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45564</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45564</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45564</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45564</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45564</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45564</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45564</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45564</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45564</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45564</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45564</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45564</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45564</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45564</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45564</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45564</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45564</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45564</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45564</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45564</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45564</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45564</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45564</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45564</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45564</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45564</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45564</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45564</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45564</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45564</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45564</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45564</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45564</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45564</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45564</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45564</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45564</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45564</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45564</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45564</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45564</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45564</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45564</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45564</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45564</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45564</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45564</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45564</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45564</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45564</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45564</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45564</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45564</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45564</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45564</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45564</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45564</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45564</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45564</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45564</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45564</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45564</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45564</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45564</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45564</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45564</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45564</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45564</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45564</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45564</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45564</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45564</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45564</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45564</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45564</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45564</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45564</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45564</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45564</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45564</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45564</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45564</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45564</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45564</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45564</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45564</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45564</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45564</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45564</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45564</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45564</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45564</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45564</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45564</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45564</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45564</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45564</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45564</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45564</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45564</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45564</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45564</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45564</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45564</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45564</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45564</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45564</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45564</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45564</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45564</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45564</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45564</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45564</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45564</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45564</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45564</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45564</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45564</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45564</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45564</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45564</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45564</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45564</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45564</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45564</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45564</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45564</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45564</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45564</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45564</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45564</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45564</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45564</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45564</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45564</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45564</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45564</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45564</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45564</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45564</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45564</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45564</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45564</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45564</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45564</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45564</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45564</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45564</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45564</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45564</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45564</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45564</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45564</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45564</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45564</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45564</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45564</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45564</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45564</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45564</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45564</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45564</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45564</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45564</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45564</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45564</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45564</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45564</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45564</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45564</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45564</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45564</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45564</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45564</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45564</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45564</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45564</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45564</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45564</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45564</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45564</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45564</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45564</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45564</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45564</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45564</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45564</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45564</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45564</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45564</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45564</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45564</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45564</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45564</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45564</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45564</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45564</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45564</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45564</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45564</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45564</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45564</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45564</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45564</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45564</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38920-2024</t>
        </is>
      </c>
      <c r="B844" s="1" t="n">
        <v>45547</v>
      </c>
      <c r="C844" s="1" t="n">
        <v>45564</v>
      </c>
      <c r="D844" t="inlineStr">
        <is>
          <t>JÄMTLANDS LÄN</t>
        </is>
      </c>
      <c r="E844" t="inlineStr">
        <is>
          <t>ÖSTERSUND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38924-2024</t>
        </is>
      </c>
      <c r="B845" s="1" t="n">
        <v>45547</v>
      </c>
      <c r="C845" s="1" t="n">
        <v>45564</v>
      </c>
      <c r="D845" t="inlineStr">
        <is>
          <t>JÄMTLANDS LÄN</t>
        </is>
      </c>
      <c r="E845" t="inlineStr">
        <is>
          <t>ÖSTERSUND</t>
        </is>
      </c>
      <c r="G845" t="n">
        <v>3.5</v>
      </c>
      <c r="H845" t="n">
        <v>0</v>
      </c>
      <c r="I845" t="n">
        <v>0</v>
      </c>
      <c r="J845" t="n">
        <v>0</v>
      </c>
      <c r="K845" t="n">
        <v>0</v>
      </c>
      <c r="L845" t="n">
        <v>0</v>
      </c>
      <c r="M845" t="n">
        <v>0</v>
      </c>
      <c r="N845" t="n">
        <v>0</v>
      </c>
      <c r="O845" t="n">
        <v>0</v>
      </c>
      <c r="P845" t="n">
        <v>0</v>
      </c>
      <c r="Q845" t="n">
        <v>0</v>
      </c>
      <c r="R845" s="2" t="inlineStr"/>
    </row>
    <row r="846" ht="15" customHeight="1">
      <c r="A846" t="inlineStr">
        <is>
          <t>A 38926-2024</t>
        </is>
      </c>
      <c r="B846" s="1" t="n">
        <v>45547</v>
      </c>
      <c r="C846" s="1" t="n">
        <v>45564</v>
      </c>
      <c r="D846" t="inlineStr">
        <is>
          <t>JÄMTLANDS LÄN</t>
        </is>
      </c>
      <c r="E846" t="inlineStr">
        <is>
          <t>ÖSTERSUND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45564</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39509-2024</t>
        </is>
      </c>
      <c r="B848" s="1" t="n">
        <v>45551</v>
      </c>
      <c r="C848" s="1" t="n">
        <v>45564</v>
      </c>
      <c r="D848" t="inlineStr">
        <is>
          <t>JÄMTLANDS LÄN</t>
        </is>
      </c>
      <c r="E848" t="inlineStr">
        <is>
          <t>ÖSTERSUND</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39510-2024</t>
        </is>
      </c>
      <c r="B849" s="1" t="n">
        <v>45551</v>
      </c>
      <c r="C849" s="1" t="n">
        <v>45564</v>
      </c>
      <c r="D849" t="inlineStr">
        <is>
          <t>JÄMTLANDS LÄN</t>
        </is>
      </c>
      <c r="E849" t="inlineStr">
        <is>
          <t>ÖSTERSUND</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39941-2024</t>
        </is>
      </c>
      <c r="B850" s="1" t="n">
        <v>45553</v>
      </c>
      <c r="C850" s="1" t="n">
        <v>45564</v>
      </c>
      <c r="D850" t="inlineStr">
        <is>
          <t>JÄMTLANDS LÄN</t>
        </is>
      </c>
      <c r="E850" t="inlineStr">
        <is>
          <t>ÖSTERSUND</t>
        </is>
      </c>
      <c r="G850" t="n">
        <v>6</v>
      </c>
      <c r="H850" t="n">
        <v>0</v>
      </c>
      <c r="I850" t="n">
        <v>0</v>
      </c>
      <c r="J850" t="n">
        <v>0</v>
      </c>
      <c r="K850" t="n">
        <v>0</v>
      </c>
      <c r="L850" t="n">
        <v>0</v>
      </c>
      <c r="M850" t="n">
        <v>0</v>
      </c>
      <c r="N850" t="n">
        <v>0</v>
      </c>
      <c r="O850" t="n">
        <v>0</v>
      </c>
      <c r="P850" t="n">
        <v>0</v>
      </c>
      <c r="Q850" t="n">
        <v>0</v>
      </c>
      <c r="R850" s="2" t="inlineStr"/>
    </row>
    <row r="851" ht="15" customHeight="1">
      <c r="A851" t="inlineStr">
        <is>
          <t>A 39915-2024</t>
        </is>
      </c>
      <c r="B851" s="1" t="n">
        <v>45553</v>
      </c>
      <c r="C851" s="1" t="n">
        <v>45564</v>
      </c>
      <c r="D851" t="inlineStr">
        <is>
          <t>JÄMTLANDS LÄN</t>
        </is>
      </c>
      <c r="E851" t="inlineStr">
        <is>
          <t>ÖSTERSUND</t>
        </is>
      </c>
      <c r="G851" t="n">
        <v>1.3</v>
      </c>
      <c r="H851" t="n">
        <v>0</v>
      </c>
      <c r="I851" t="n">
        <v>0</v>
      </c>
      <c r="J851" t="n">
        <v>0</v>
      </c>
      <c r="K851" t="n">
        <v>0</v>
      </c>
      <c r="L851" t="n">
        <v>0</v>
      </c>
      <c r="M851" t="n">
        <v>0</v>
      </c>
      <c r="N851" t="n">
        <v>0</v>
      </c>
      <c r="O851" t="n">
        <v>0</v>
      </c>
      <c r="P851" t="n">
        <v>0</v>
      </c>
      <c r="Q851" t="n">
        <v>0</v>
      </c>
      <c r="R851" s="2" t="inlineStr"/>
    </row>
    <row r="852" ht="15" customHeight="1">
      <c r="A852" t="inlineStr">
        <is>
          <t>A 39975-2024</t>
        </is>
      </c>
      <c r="B852" s="1" t="n">
        <v>45553</v>
      </c>
      <c r="C852" s="1" t="n">
        <v>45564</v>
      </c>
      <c r="D852" t="inlineStr">
        <is>
          <t>JÄMTLANDS LÄN</t>
        </is>
      </c>
      <c r="E852" t="inlineStr">
        <is>
          <t>ÖSTERSUND</t>
        </is>
      </c>
      <c r="G852" t="n">
        <v>3.8</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45564</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45564</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45564</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41282-2024</t>
        </is>
      </c>
      <c r="B856" s="1" t="n">
        <v>45559</v>
      </c>
      <c r="C856" s="1" t="n">
        <v>45564</v>
      </c>
      <c r="D856" t="inlineStr">
        <is>
          <t>JÄMTLANDS LÄN</t>
        </is>
      </c>
      <c r="E856" t="inlineStr">
        <is>
          <t>ÖSTERSUND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41280-2024</t>
        </is>
      </c>
      <c r="B857" s="1" t="n">
        <v>45559</v>
      </c>
      <c r="C857" s="1" t="n">
        <v>45564</v>
      </c>
      <c r="D857" t="inlineStr">
        <is>
          <t>JÄMTLANDS LÄN</t>
        </is>
      </c>
      <c r="E857" t="inlineStr">
        <is>
          <t>ÖSTERSUND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45564</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c r="A859" t="inlineStr">
        <is>
          <t>A 41780-2024</t>
        </is>
      </c>
      <c r="B859" s="1" t="n">
        <v>45561</v>
      </c>
      <c r="C859" s="1" t="n">
        <v>45564</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2024-09-29T12:00:33Z</dcterms:created>
  <dcterms:modified xmlns:dcterms="http://purl.org/dc/terms/" xmlns:xsi="http://www.w3.org/2001/XMLSchema-instance" xsi:type="dcterms:W3CDTF">2024-09-29T12:00:34Z</dcterms:modified>
</cp:coreProperties>
</file>