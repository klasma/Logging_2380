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45349</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45349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45349</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45349</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45349</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45349</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45349</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45349</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45349</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45349</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45349</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45349</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45349</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45349</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45349</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45349</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45349</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45349</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45349</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45349</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45349</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45349</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45349</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45349</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50716-2018</t>
        </is>
      </c>
      <c r="B26" s="1" t="n">
        <v>43381</v>
      </c>
      <c r="C26" s="1" t="n">
        <v>45349</v>
      </c>
      <c r="D26" t="inlineStr">
        <is>
          <t>JÄMTLANDS LÄN</t>
        </is>
      </c>
      <c r="E26" t="inlineStr">
        <is>
          <t>ÖSTERSUND</t>
        </is>
      </c>
      <c r="G26" t="n">
        <v>25</v>
      </c>
      <c r="H26" t="n">
        <v>0</v>
      </c>
      <c r="I26" t="n">
        <v>1</v>
      </c>
      <c r="J26" t="n">
        <v>5</v>
      </c>
      <c r="K26" t="n">
        <v>1</v>
      </c>
      <c r="L26" t="n">
        <v>0</v>
      </c>
      <c r="M26" t="n">
        <v>0</v>
      </c>
      <c r="N26" t="n">
        <v>0</v>
      </c>
      <c r="O26" t="n">
        <v>6</v>
      </c>
      <c r="P26" t="n">
        <v>1</v>
      </c>
      <c r="Q26" t="n">
        <v>7</v>
      </c>
      <c r="R26" s="2" t="inlineStr">
        <is>
          <t>Liten aspgelélav
Harticka
Lunglav
Skrovellav
Stiftgelélav
Ullticka
Stor aspticka</t>
        </is>
      </c>
      <c r="S26">
        <f>HYPERLINK("https://klasma.github.io/Logging_2380/artfynd/A 50716-2018 artfynd.xlsx", "A 50716-2018")</f>
        <v/>
      </c>
      <c r="T26">
        <f>HYPERLINK("https://klasma.github.io/Logging_2380/kartor/A 50716-2018 karta.png", "A 50716-2018")</f>
        <v/>
      </c>
      <c r="V26">
        <f>HYPERLINK("https://klasma.github.io/Logging_2380/klagomål/A 50716-2018 FSC-klagomål.docx", "A 50716-2018")</f>
        <v/>
      </c>
      <c r="W26">
        <f>HYPERLINK("https://klasma.github.io/Logging_2380/klagomålsmail/A 50716-2018 FSC-klagomål mail.docx", "A 50716-2018")</f>
        <v/>
      </c>
      <c r="X26">
        <f>HYPERLINK("https://klasma.github.io/Logging_2380/tillsyn/A 50716-2018 tillsynsbegäran.docx", "A 50716-2018")</f>
        <v/>
      </c>
      <c r="Y26">
        <f>HYPERLINK("https://klasma.github.io/Logging_2380/tillsynsmail/A 50716-2018 tillsynsbegäran mail.docx", "A 50716-2018")</f>
        <v/>
      </c>
    </row>
    <row r="27" ht="15" customHeight="1">
      <c r="A27" t="inlineStr">
        <is>
          <t>A 8023-2019</t>
        </is>
      </c>
      <c r="B27" s="1" t="n">
        <v>43501</v>
      </c>
      <c r="C27" s="1" t="n">
        <v>45349</v>
      </c>
      <c r="D27" t="inlineStr">
        <is>
          <t>JÄMTLANDS LÄN</t>
        </is>
      </c>
      <c r="E27" t="inlineStr">
        <is>
          <t>ÖSTERSUND</t>
        </is>
      </c>
      <c r="G27" t="n">
        <v>1.7</v>
      </c>
      <c r="H27" t="n">
        <v>2</v>
      </c>
      <c r="I27" t="n">
        <v>2</v>
      </c>
      <c r="J27" t="n">
        <v>3</v>
      </c>
      <c r="K27" t="n">
        <v>1</v>
      </c>
      <c r="L27" t="n">
        <v>0</v>
      </c>
      <c r="M27" t="n">
        <v>0</v>
      </c>
      <c r="N27" t="n">
        <v>0</v>
      </c>
      <c r="O27" t="n">
        <v>4</v>
      </c>
      <c r="P27" t="n">
        <v>1</v>
      </c>
      <c r="Q27" t="n">
        <v>7</v>
      </c>
      <c r="R27" s="2" t="inlineStr">
        <is>
          <t>Knärot
Garnlav
Ullticka
Vedtrappmossa
Kransrams
Svavelriska
Blåsippa</t>
        </is>
      </c>
      <c r="S27">
        <f>HYPERLINK("https://klasma.github.io/Logging_2380/artfynd/A 8023-2019 artfynd.xlsx", "A 8023-2019")</f>
        <v/>
      </c>
      <c r="T27">
        <f>HYPERLINK("https://klasma.github.io/Logging_2380/kartor/A 8023-2019 karta.png", "A 8023-2019")</f>
        <v/>
      </c>
      <c r="U27">
        <f>HYPERLINK("https://klasma.github.io/Logging_2380/knärot/A 8023-2019 karta knärot.png", "A 8023-2019")</f>
        <v/>
      </c>
      <c r="V27">
        <f>HYPERLINK("https://klasma.github.io/Logging_2380/klagomål/A 8023-2019 FSC-klagomål.docx", "A 8023-2019")</f>
        <v/>
      </c>
      <c r="W27">
        <f>HYPERLINK("https://klasma.github.io/Logging_2380/klagomålsmail/A 8023-2019 FSC-klagomål mail.docx", "A 8023-2019")</f>
        <v/>
      </c>
      <c r="X27">
        <f>HYPERLINK("https://klasma.github.io/Logging_2380/tillsyn/A 8023-2019 tillsynsbegäran.docx", "A 8023-2019")</f>
        <v/>
      </c>
      <c r="Y27">
        <f>HYPERLINK("https://klasma.github.io/Logging_2380/tillsynsmail/A 8023-2019 tillsynsbegäran mail.docx", "A 8023-2019")</f>
        <v/>
      </c>
    </row>
    <row r="28" ht="15" customHeight="1">
      <c r="A28" t="inlineStr">
        <is>
          <t>A 65938-2021</t>
        </is>
      </c>
      <c r="B28" s="1" t="n">
        <v>44517</v>
      </c>
      <c r="C28" s="1" t="n">
        <v>45349</v>
      </c>
      <c r="D28" t="inlineStr">
        <is>
          <t>JÄMTLANDS LÄN</t>
        </is>
      </c>
      <c r="E28" t="inlineStr">
        <is>
          <t>ÖSTERSUND</t>
        </is>
      </c>
      <c r="G28" t="n">
        <v>4.4</v>
      </c>
      <c r="H28" t="n">
        <v>4</v>
      </c>
      <c r="I28" t="n">
        <v>0</v>
      </c>
      <c r="J28" t="n">
        <v>4</v>
      </c>
      <c r="K28" t="n">
        <v>2</v>
      </c>
      <c r="L28" t="n">
        <v>0</v>
      </c>
      <c r="M28" t="n">
        <v>0</v>
      </c>
      <c r="N28" t="n">
        <v>0</v>
      </c>
      <c r="O28" t="n">
        <v>6</v>
      </c>
      <c r="P28" t="n">
        <v>2</v>
      </c>
      <c r="Q28" t="n">
        <v>7</v>
      </c>
      <c r="R28" s="2" t="inlineStr">
        <is>
          <t>Knärot
Sprickporing
Doftskinn
Garnlav
Talltita
Tretåig hackspett
Revlummer</t>
        </is>
      </c>
      <c r="S28">
        <f>HYPERLINK("https://klasma.github.io/Logging_2380/artfynd/A 65938-2021 artfynd.xlsx", "A 65938-2021")</f>
        <v/>
      </c>
      <c r="T28">
        <f>HYPERLINK("https://klasma.github.io/Logging_2380/kartor/A 65938-2021 karta.png", "A 65938-2021")</f>
        <v/>
      </c>
      <c r="U28">
        <f>HYPERLINK("https://klasma.github.io/Logging_2380/knärot/A 65938-2021 karta knärot.png", "A 65938-2021")</f>
        <v/>
      </c>
      <c r="V28">
        <f>HYPERLINK("https://klasma.github.io/Logging_2380/klagomål/A 65938-2021 FSC-klagomål.docx", "A 65938-2021")</f>
        <v/>
      </c>
      <c r="W28">
        <f>HYPERLINK("https://klasma.github.io/Logging_2380/klagomålsmail/A 65938-2021 FSC-klagomål mail.docx", "A 65938-2021")</f>
        <v/>
      </c>
      <c r="X28">
        <f>HYPERLINK("https://klasma.github.io/Logging_2380/tillsyn/A 65938-2021 tillsynsbegäran.docx", "A 65938-2021")</f>
        <v/>
      </c>
      <c r="Y28">
        <f>HYPERLINK("https://klasma.github.io/Logging_2380/tillsynsmail/A 65938-2021 tillsynsbegäran mail.docx", "A 65938-2021")</f>
        <v/>
      </c>
      <c r="Z28">
        <f>HYPERLINK("https://klasma.github.io/Logging_2380/fåglar/A 65938-2021 prioriterade fågelarter.docx", "A 65938-2021")</f>
        <v/>
      </c>
    </row>
    <row r="29" ht="15" customHeight="1">
      <c r="A29" t="inlineStr">
        <is>
          <t>A 3341-2023</t>
        </is>
      </c>
      <c r="B29" s="1" t="n">
        <v>44945</v>
      </c>
      <c r="C29" s="1" t="n">
        <v>45349</v>
      </c>
      <c r="D29" t="inlineStr">
        <is>
          <t>JÄMTLANDS LÄN</t>
        </is>
      </c>
      <c r="E29" t="inlineStr">
        <is>
          <t>ÖSTERSUND</t>
        </is>
      </c>
      <c r="G29" t="n">
        <v>12.3</v>
      </c>
      <c r="H29" t="n">
        <v>1</v>
      </c>
      <c r="I29" t="n">
        <v>3</v>
      </c>
      <c r="J29" t="n">
        <v>3</v>
      </c>
      <c r="K29" t="n">
        <v>0</v>
      </c>
      <c r="L29" t="n">
        <v>0</v>
      </c>
      <c r="M29" t="n">
        <v>0</v>
      </c>
      <c r="N29" t="n">
        <v>0</v>
      </c>
      <c r="O29" t="n">
        <v>3</v>
      </c>
      <c r="P29" t="n">
        <v>0</v>
      </c>
      <c r="Q29" t="n">
        <v>7</v>
      </c>
      <c r="R29" s="2" t="inlineStr">
        <is>
          <t>Grantaggsvamp
Granticka
Äggvaxskivling
Finbräken
Kransrams
Trådfräken
Blåsippa</t>
        </is>
      </c>
      <c r="S29">
        <f>HYPERLINK("https://klasma.github.io/Logging_2380/artfynd/A 3341-2023 artfynd.xlsx", "A 3341-2023")</f>
        <v/>
      </c>
      <c r="T29">
        <f>HYPERLINK("https://klasma.github.io/Logging_2380/kartor/A 3341-2023 karta.png", "A 3341-2023")</f>
        <v/>
      </c>
      <c r="V29">
        <f>HYPERLINK("https://klasma.github.io/Logging_2380/klagomål/A 3341-2023 FSC-klagomål.docx", "A 3341-2023")</f>
        <v/>
      </c>
      <c r="W29">
        <f>HYPERLINK("https://klasma.github.io/Logging_2380/klagomålsmail/A 3341-2023 FSC-klagomål mail.docx", "A 3341-2023")</f>
        <v/>
      </c>
      <c r="X29">
        <f>HYPERLINK("https://klasma.github.io/Logging_2380/tillsyn/A 3341-2023 tillsynsbegäran.docx", "A 3341-2023")</f>
        <v/>
      </c>
      <c r="Y29">
        <f>HYPERLINK("https://klasma.github.io/Logging_2380/tillsynsmail/A 3341-2023 tillsynsbegäran mail.docx", "A 3341-2023")</f>
        <v/>
      </c>
    </row>
    <row r="30" ht="15" customHeight="1">
      <c r="A30" t="inlineStr">
        <is>
          <t>A 8120-2023</t>
        </is>
      </c>
      <c r="B30" s="1" t="n">
        <v>44970</v>
      </c>
      <c r="C30" s="1" t="n">
        <v>45349</v>
      </c>
      <c r="D30" t="inlineStr">
        <is>
          <t>JÄMTLANDS LÄN</t>
        </is>
      </c>
      <c r="E30" t="inlineStr">
        <is>
          <t>ÖSTERSUND</t>
        </is>
      </c>
      <c r="G30" t="n">
        <v>4</v>
      </c>
      <c r="H30" t="n">
        <v>2</v>
      </c>
      <c r="I30" t="n">
        <v>3</v>
      </c>
      <c r="J30" t="n">
        <v>3</v>
      </c>
      <c r="K30" t="n">
        <v>1</v>
      </c>
      <c r="L30" t="n">
        <v>0</v>
      </c>
      <c r="M30" t="n">
        <v>0</v>
      </c>
      <c r="N30" t="n">
        <v>0</v>
      </c>
      <c r="O30" t="n">
        <v>4</v>
      </c>
      <c r="P30" t="n">
        <v>1</v>
      </c>
      <c r="Q30" t="n">
        <v>7</v>
      </c>
      <c r="R30" s="2" t="inlineStr">
        <is>
          <t>Knärot
Garnlav
Lunglav
Skogsfru
Bårdlav
Luddlav
Stuplav</t>
        </is>
      </c>
      <c r="S30">
        <f>HYPERLINK("https://klasma.github.io/Logging_2380/artfynd/A 8120-2023 artfynd.xlsx", "A 8120-2023")</f>
        <v/>
      </c>
      <c r="T30">
        <f>HYPERLINK("https://klasma.github.io/Logging_2380/kartor/A 8120-2023 karta.png", "A 8120-2023")</f>
        <v/>
      </c>
      <c r="U30">
        <f>HYPERLINK("https://klasma.github.io/Logging_2380/knärot/A 8120-2023 karta knärot.png", "A 8120-2023")</f>
        <v/>
      </c>
      <c r="V30">
        <f>HYPERLINK("https://klasma.github.io/Logging_2380/klagomål/A 8120-2023 FSC-klagomål.docx", "A 8120-2023")</f>
        <v/>
      </c>
      <c r="W30">
        <f>HYPERLINK("https://klasma.github.io/Logging_2380/klagomålsmail/A 8120-2023 FSC-klagomål mail.docx", "A 8120-2023")</f>
        <v/>
      </c>
      <c r="X30">
        <f>HYPERLINK("https://klasma.github.io/Logging_2380/tillsyn/A 8120-2023 tillsynsbegäran.docx", "A 8120-2023")</f>
        <v/>
      </c>
      <c r="Y30">
        <f>HYPERLINK("https://klasma.github.io/Logging_2380/tillsynsmail/A 8120-2023 tillsynsbegäran mail.docx", "A 8120-2023")</f>
        <v/>
      </c>
    </row>
    <row r="31" ht="15" customHeight="1">
      <c r="A31" t="inlineStr">
        <is>
          <t>A 16369-2023</t>
        </is>
      </c>
      <c r="B31" s="1" t="n">
        <v>45028</v>
      </c>
      <c r="C31" s="1" t="n">
        <v>45349</v>
      </c>
      <c r="D31" t="inlineStr">
        <is>
          <t>JÄMTLANDS LÄN</t>
        </is>
      </c>
      <c r="E31" t="inlineStr">
        <is>
          <t>ÖSTERSUND</t>
        </is>
      </c>
      <c r="F31" t="inlineStr">
        <is>
          <t>SCA</t>
        </is>
      </c>
      <c r="G31" t="n">
        <v>4.6</v>
      </c>
      <c r="H31" t="n">
        <v>1</v>
      </c>
      <c r="I31" t="n">
        <v>1</v>
      </c>
      <c r="J31" t="n">
        <v>4</v>
      </c>
      <c r="K31" t="n">
        <v>1</v>
      </c>
      <c r="L31" t="n">
        <v>0</v>
      </c>
      <c r="M31" t="n">
        <v>0</v>
      </c>
      <c r="N31" t="n">
        <v>0</v>
      </c>
      <c r="O31" t="n">
        <v>5</v>
      </c>
      <c r="P31" t="n">
        <v>1</v>
      </c>
      <c r="Q31" t="n">
        <v>7</v>
      </c>
      <c r="R31" s="2" t="inlineStr">
        <is>
          <t>Rynkskinn
Flattoppad klubbsvamp
Granticka
Gränsticka
Ullticka
Rödgul trumpetsvamp
Blåsippa</t>
        </is>
      </c>
      <c r="S31">
        <f>HYPERLINK("https://klasma.github.io/Logging_2380/artfynd/A 16369-2023 artfynd.xlsx", "A 16369-2023")</f>
        <v/>
      </c>
      <c r="T31">
        <f>HYPERLINK("https://klasma.github.io/Logging_2380/kartor/A 16369-2023 karta.png", "A 16369-2023")</f>
        <v/>
      </c>
      <c r="V31">
        <f>HYPERLINK("https://klasma.github.io/Logging_2380/klagomål/A 16369-2023 FSC-klagomål.docx", "A 16369-2023")</f>
        <v/>
      </c>
      <c r="W31">
        <f>HYPERLINK("https://klasma.github.io/Logging_2380/klagomålsmail/A 16369-2023 FSC-klagomål mail.docx", "A 16369-2023")</f>
        <v/>
      </c>
      <c r="X31">
        <f>HYPERLINK("https://klasma.github.io/Logging_2380/tillsyn/A 16369-2023 tillsynsbegäran.docx", "A 16369-2023")</f>
        <v/>
      </c>
      <c r="Y31">
        <f>HYPERLINK("https://klasma.github.io/Logging_2380/tillsynsmail/A 16369-2023 tillsynsbegäran mail.docx", "A 16369-2023")</f>
        <v/>
      </c>
    </row>
    <row r="32" ht="15" customHeight="1">
      <c r="A32" t="inlineStr">
        <is>
          <t>A 16688-2023</t>
        </is>
      </c>
      <c r="B32" s="1" t="n">
        <v>45028</v>
      </c>
      <c r="C32" s="1" t="n">
        <v>45349</v>
      </c>
      <c r="D32" t="inlineStr">
        <is>
          <t>JÄMTLANDS LÄN</t>
        </is>
      </c>
      <c r="E32" t="inlineStr">
        <is>
          <t>ÖSTERSUND</t>
        </is>
      </c>
      <c r="G32" t="n">
        <v>5</v>
      </c>
      <c r="H32" t="n">
        <v>1</v>
      </c>
      <c r="I32" t="n">
        <v>3</v>
      </c>
      <c r="J32" t="n">
        <v>2</v>
      </c>
      <c r="K32" t="n">
        <v>0</v>
      </c>
      <c r="L32" t="n">
        <v>1</v>
      </c>
      <c r="M32" t="n">
        <v>0</v>
      </c>
      <c r="N32" t="n">
        <v>0</v>
      </c>
      <c r="O32" t="n">
        <v>3</v>
      </c>
      <c r="P32" t="n">
        <v>1</v>
      </c>
      <c r="Q32" t="n">
        <v>7</v>
      </c>
      <c r="R32" s="2" t="inlineStr">
        <is>
          <t>Trolldruvemätare
Grantaggsvamp
Persiljespindling
Kransrams
Svart trolldruva
Underviol
Blåsippa</t>
        </is>
      </c>
      <c r="S32">
        <f>HYPERLINK("https://klasma.github.io/Logging_2380/artfynd/A 16688-2023 artfynd.xlsx", "A 16688-2023")</f>
        <v/>
      </c>
      <c r="T32">
        <f>HYPERLINK("https://klasma.github.io/Logging_2380/kartor/A 16688-2023 karta.png", "A 16688-2023")</f>
        <v/>
      </c>
      <c r="V32">
        <f>HYPERLINK("https://klasma.github.io/Logging_2380/klagomål/A 16688-2023 FSC-klagomål.docx", "A 16688-2023")</f>
        <v/>
      </c>
      <c r="W32">
        <f>HYPERLINK("https://klasma.github.io/Logging_2380/klagomålsmail/A 16688-2023 FSC-klagomål mail.docx", "A 16688-2023")</f>
        <v/>
      </c>
      <c r="X32">
        <f>HYPERLINK("https://klasma.github.io/Logging_2380/tillsyn/A 16688-2023 tillsynsbegäran.docx", "A 16688-2023")</f>
        <v/>
      </c>
      <c r="Y32">
        <f>HYPERLINK("https://klasma.github.io/Logging_2380/tillsynsmail/A 16688-2023 tillsynsbegäran mail.docx", "A 16688-2023")</f>
        <v/>
      </c>
    </row>
    <row r="33" ht="15" customHeight="1">
      <c r="A33" t="inlineStr">
        <is>
          <t>A 40777-2023</t>
        </is>
      </c>
      <c r="B33" s="1" t="n">
        <v>45170</v>
      </c>
      <c r="C33" s="1" t="n">
        <v>45349</v>
      </c>
      <c r="D33" t="inlineStr">
        <is>
          <t>JÄMTLANDS LÄN</t>
        </is>
      </c>
      <c r="E33" t="inlineStr">
        <is>
          <t>ÖSTERSUND</t>
        </is>
      </c>
      <c r="F33" t="inlineStr">
        <is>
          <t>SCA</t>
        </is>
      </c>
      <c r="G33" t="n">
        <v>16.4</v>
      </c>
      <c r="H33" t="n">
        <v>2</v>
      </c>
      <c r="I33" t="n">
        <v>1</v>
      </c>
      <c r="J33" t="n">
        <v>4</v>
      </c>
      <c r="K33" t="n">
        <v>1</v>
      </c>
      <c r="L33" t="n">
        <v>0</v>
      </c>
      <c r="M33" t="n">
        <v>0</v>
      </c>
      <c r="N33" t="n">
        <v>0</v>
      </c>
      <c r="O33" t="n">
        <v>5</v>
      </c>
      <c r="P33" t="n">
        <v>1</v>
      </c>
      <c r="Q33" t="n">
        <v>7</v>
      </c>
      <c r="R33" s="2" t="inlineStr">
        <is>
          <t>Doftticka
Lunglav
Stiftgelélav
Veckticka
Vedtrappmossa
Korallblylav
Blåsippa</t>
        </is>
      </c>
      <c r="S33">
        <f>HYPERLINK("https://klasma.github.io/Logging_2380/artfynd/A 40777-2023 artfynd.xlsx", "A 40777-2023")</f>
        <v/>
      </c>
      <c r="T33">
        <f>HYPERLINK("https://klasma.github.io/Logging_2380/kartor/A 40777-2023 karta.png", "A 40777-2023")</f>
        <v/>
      </c>
      <c r="V33">
        <f>HYPERLINK("https://klasma.github.io/Logging_2380/klagomål/A 40777-2023 FSC-klagomål.docx", "A 40777-2023")</f>
        <v/>
      </c>
      <c r="W33">
        <f>HYPERLINK("https://klasma.github.io/Logging_2380/klagomålsmail/A 40777-2023 FSC-klagomål mail.docx", "A 40777-2023")</f>
        <v/>
      </c>
      <c r="X33">
        <f>HYPERLINK("https://klasma.github.io/Logging_2380/tillsyn/A 40777-2023 tillsynsbegäran.docx", "A 40777-2023")</f>
        <v/>
      </c>
      <c r="Y33">
        <f>HYPERLINK("https://klasma.github.io/Logging_2380/tillsynsmail/A 40777-2023 tillsynsbegäran mail.docx", "A 40777-2023")</f>
        <v/>
      </c>
    </row>
    <row r="34" ht="15" customHeight="1">
      <c r="A34" t="inlineStr">
        <is>
          <t>A 60881-2023</t>
        </is>
      </c>
      <c r="B34" s="1" t="n">
        <v>45259</v>
      </c>
      <c r="C34" s="1" t="n">
        <v>45349</v>
      </c>
      <c r="D34" t="inlineStr">
        <is>
          <t>JÄMTLANDS LÄN</t>
        </is>
      </c>
      <c r="E34" t="inlineStr">
        <is>
          <t>ÖSTERSUND</t>
        </is>
      </c>
      <c r="G34" t="n">
        <v>6</v>
      </c>
      <c r="H34" t="n">
        <v>7</v>
      </c>
      <c r="I34" t="n">
        <v>0</v>
      </c>
      <c r="J34" t="n">
        <v>5</v>
      </c>
      <c r="K34" t="n">
        <v>1</v>
      </c>
      <c r="L34" t="n">
        <v>1</v>
      </c>
      <c r="M34" t="n">
        <v>0</v>
      </c>
      <c r="N34" t="n">
        <v>0</v>
      </c>
      <c r="O34" t="n">
        <v>7</v>
      </c>
      <c r="P34" t="n">
        <v>2</v>
      </c>
      <c r="Q34" t="n">
        <v>7</v>
      </c>
      <c r="R34" s="2" t="inlineStr">
        <is>
          <t>Storspov
Lappuggla
Björktrast
Buskskvätta
Rosenfink
Svartvit flugsnappare
Talltita</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60852-2023</t>
        </is>
      </c>
      <c r="B35" s="1" t="n">
        <v>45260</v>
      </c>
      <c r="C35" s="1" t="n">
        <v>45349</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45349</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45349</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45349</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45349</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45349</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45349</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45349</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45349</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45349</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45349</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45349</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45349</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45349</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45349</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45349</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45349</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45349</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45349</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45349</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45349</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45349</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45349</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45349</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45349</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45349</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45349</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45349</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45349</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45349</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45349</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45349</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45349</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45349</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45349</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45349</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45349</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45349</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45349</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45349</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45349</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45349</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45349</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45349</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45349</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45349</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45349</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45349</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45349</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45349</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45349</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45349</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45349</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45349</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45349</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45349</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45349</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45349</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45349</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45349</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45349</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45349</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45349</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45349</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45349</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45349</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45349</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45349</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45349</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45349</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45349</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45349</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45349</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45349</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45349</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45349</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45349</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45349</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45349</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45349</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45349</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45349</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45349</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45349</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45349</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45349</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45349</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45349</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45349</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45349</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45349</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45349</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45349</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45349</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45349</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45349</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45349</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45349</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45349</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45349</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45349</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45349</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45349</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45349</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45349</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45349</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45349</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45349</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45349</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45349</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45349</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45349</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45349</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45349</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45349</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45349</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45349</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45349</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45349</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45349</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45349</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45349</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45349</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45349</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45349</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45349</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45349</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45349</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45349</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45349</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45349</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45349</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45349</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45349</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45349</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45349</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45349</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45349</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45349</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45349</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45349</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45349</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45349</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45349</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45349</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45349</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45349</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45349</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45349</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45349</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45349</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45349</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45349</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45349</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45349</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45349</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45349</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45349</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45349</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45349</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45349</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45349</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45349</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45349</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45349</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45349</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45349</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45349</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45349</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45349</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45349</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45349</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45349</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45349</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45349</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45349</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45349</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45349</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45349</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45349</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45349</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45349</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45349</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45349</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45349</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45349</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45349</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45349</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45349</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45349</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45349</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45349</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45349</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45349</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45349</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45349</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45349</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45349</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45349</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45349</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45349</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45349</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45349</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45349</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45349</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45349</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45349</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45349</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45349</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45349</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45349</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45349</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45349</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45349</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45349</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45349</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45349</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45349</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45349</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45349</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45349</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45349</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45349</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45349</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45349</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45349</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45349</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45349</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45349</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45349</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45349</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45349</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45349</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45349</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45349</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45349</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45349</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45349</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45349</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45349</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45349</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45349</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45349</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45349</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45349</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45349</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45349</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45349</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45349</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45349</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45349</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45349</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45349</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45349</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45349</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45349</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45349</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45349</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45349</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45349</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45349</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45349</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45349</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45349</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45349</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45349</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45349</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45349</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45349</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45349</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45349</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45349</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45349</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45349</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45349</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45349</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45349</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45349</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45349</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45349</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45349</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45349</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45349</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45349</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45349</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45349</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45349</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45349</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45349</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45349</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45349</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45349</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45349</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45349</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45349</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45349</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45349</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45349</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45349</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45349</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45349</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45349</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45349</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45349</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45349</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45349</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45349</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45349</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45349</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45349</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45349</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45349</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45349</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45349</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45349</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45349</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45349</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45349</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45349</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45349</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45349</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45349</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45349</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45349</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45349</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45349</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45349</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45349</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45349</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45349</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45349</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45349</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45349</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45349</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45349</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45349</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45349</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45349</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45349</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45349</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45349</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45349</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45349</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45349</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45349</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45349</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45349</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45349</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45349</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45349</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45349</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45349</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45349</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45349</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45349</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45349</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45349</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45349</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45349</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45349</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45349</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45349</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45349</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45349</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45349</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45349</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45349</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45349</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45349</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45349</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45349</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45349</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45349</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45349</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45349</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45349</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45349</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45349</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45349</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45349</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45349</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45349</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45349</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45349</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45349</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45349</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45349</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45349</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45349</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45349</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45349</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45349</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45349</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45349</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45349</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45349</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45349</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45349</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45349</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45349</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45349</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45349</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45349</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45349</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45349</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45349</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45349</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45349</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45349</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45349</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45349</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45349</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45349</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45349</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45349</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45349</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45349</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45349</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45349</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45349</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45349</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45349</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45349</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45349</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45349</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45349</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45349</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45349</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45349</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45349</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45349</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45349</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45349</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45349</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45349</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45349</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45349</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45349</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45349</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45349</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45349</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45349</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45349</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45349</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45349</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45349</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45349</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45349</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45349</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45349</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45349</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45349</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45349</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45349</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45349</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45349</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45349</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45349</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45349</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45349</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45349</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45349</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45349</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45349</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45349</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45349</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45349</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45349</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45349</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45349</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45349</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45349</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45349</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45349</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45349</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45349</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45349</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45349</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45349</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45349</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45349</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45349</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45349</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45349</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45349</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45349</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45349</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45349</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45349</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45349</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45349</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45349</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45349</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45349</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45349</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45349</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45349</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45349</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45349</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45349</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45349</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45349</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45349</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45349</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45349</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45349</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45349</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45349</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45349</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45349</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45349</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45349</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45349</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45349</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45349</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45349</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45349</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45349</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45349</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45349</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45349</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45349</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45349</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45349</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45349</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45349</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45349</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45349</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45349</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45349</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45349</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45349</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45349</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45349</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45349</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45349</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45349</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45349</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45349</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45349</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45349</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45349</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45349</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45349</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45349</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45349</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45349</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45349</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45349</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45349</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45349</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45349</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45349</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45349</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45349</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45349</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45349</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45349</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45349</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45349</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45349</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45349</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45349</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45349</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45349</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45349</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45349</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45349</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45349</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45349</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45349</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45349</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45349</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45349</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45349</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45349</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45349</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45349</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45349</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45349</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45349</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45349</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45349</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45349</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45349</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45349</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45349</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45349</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45349</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45349</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45349</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45349</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45349</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45349</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45349</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45349</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45349</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45349</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45349</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45349</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45349</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45349</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45349</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45349</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45349</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45349</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45349</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45349</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45349</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45349</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45349</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45349</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45349</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45349</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45349</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45349</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45349</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45349</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45349</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45349</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45349</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45349</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45349</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45349</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45349</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45349</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45349</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45349</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45349</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45349</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45349</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45349</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45349</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45349</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45349</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45349</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45349</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45349</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45349</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45349</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45349</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45349</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45349</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45349</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45349</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45349</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45349</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45349</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45349</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45349</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45349</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45349</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45349</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45349</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45349</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45349</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45349</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45349</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45349</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45349</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45349</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45349</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45349</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45349</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45349</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45349</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45349</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45349</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45349</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45349</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45349</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45349</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45349</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45349</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45349</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45349</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45349</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45349</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45349</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45349</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45349</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45349</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45349</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45349</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45349</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45349</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45349</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45349</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45349</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45349</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45349</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45349</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45349</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45349</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45349</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45349</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45349</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45349</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45349</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45349</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45349</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45349</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45349</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45349</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45349</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45349</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45349</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45349</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45349</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45349</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45349</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45349</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45349</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45349</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45349</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3230-2024</t>
        </is>
      </c>
      <c r="B750" s="1" t="n">
        <v>45316</v>
      </c>
      <c r="C750" s="1" t="n">
        <v>45349</v>
      </c>
      <c r="D750" t="inlineStr">
        <is>
          <t>JÄMTLANDS LÄN</t>
        </is>
      </c>
      <c r="E750" t="inlineStr">
        <is>
          <t>ÖSTERSUND</t>
        </is>
      </c>
      <c r="G750" t="n">
        <v>4.4</v>
      </c>
      <c r="H750" t="n">
        <v>0</v>
      </c>
      <c r="I750" t="n">
        <v>0</v>
      </c>
      <c r="J750" t="n">
        <v>0</v>
      </c>
      <c r="K750" t="n">
        <v>0</v>
      </c>
      <c r="L750" t="n">
        <v>0</v>
      </c>
      <c r="M750" t="n">
        <v>0</v>
      </c>
      <c r="N750" t="n">
        <v>0</v>
      </c>
      <c r="O750" t="n">
        <v>0</v>
      </c>
      <c r="P750" t="n">
        <v>0</v>
      </c>
      <c r="Q750" t="n">
        <v>0</v>
      </c>
      <c r="R750" s="2" t="inlineStr"/>
    </row>
    <row r="751" ht="15" customHeight="1">
      <c r="A751" t="inlineStr">
        <is>
          <t>A 3186-2024</t>
        </is>
      </c>
      <c r="B751" s="1" t="n">
        <v>45316</v>
      </c>
      <c r="C751" s="1" t="n">
        <v>45349</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45349</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45349</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45349</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45349</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45349</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45349</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45349</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5781-2024</t>
        </is>
      </c>
      <c r="B759" s="1" t="n">
        <v>45335</v>
      </c>
      <c r="C759" s="1" t="n">
        <v>45349</v>
      </c>
      <c r="D759" t="inlineStr">
        <is>
          <t>JÄMTLANDS LÄN</t>
        </is>
      </c>
      <c r="E759" t="inlineStr">
        <is>
          <t>ÖSTERSUND</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5779-2024</t>
        </is>
      </c>
      <c r="B760" s="1" t="n">
        <v>45335</v>
      </c>
      <c r="C760" s="1" t="n">
        <v>45349</v>
      </c>
      <c r="D760" t="inlineStr">
        <is>
          <t>JÄMTLANDS LÄN</t>
        </is>
      </c>
      <c r="E760" t="inlineStr">
        <is>
          <t>ÖSTERSUND</t>
        </is>
      </c>
      <c r="G760" t="n">
        <v>9.9</v>
      </c>
      <c r="H760" t="n">
        <v>0</v>
      </c>
      <c r="I760" t="n">
        <v>0</v>
      </c>
      <c r="J760" t="n">
        <v>0</v>
      </c>
      <c r="K760" t="n">
        <v>0</v>
      </c>
      <c r="L760" t="n">
        <v>0</v>
      </c>
      <c r="M760" t="n">
        <v>0</v>
      </c>
      <c r="N760" t="n">
        <v>0</v>
      </c>
      <c r="O760" t="n">
        <v>0</v>
      </c>
      <c r="P760" t="n">
        <v>0</v>
      </c>
      <c r="Q760" t="n">
        <v>0</v>
      </c>
      <c r="R760" s="2" t="inlineStr"/>
    </row>
    <row r="761" ht="15" customHeight="1">
      <c r="A761" t="inlineStr">
        <is>
          <t>A 5920-2024</t>
        </is>
      </c>
      <c r="B761" s="1" t="n">
        <v>45335</v>
      </c>
      <c r="C761" s="1" t="n">
        <v>45349</v>
      </c>
      <c r="D761" t="inlineStr">
        <is>
          <t>JÄMTLANDS LÄN</t>
        </is>
      </c>
      <c r="E761" t="inlineStr">
        <is>
          <t>ÖSTERSUND</t>
        </is>
      </c>
      <c r="F761" t="inlineStr">
        <is>
          <t>SCA</t>
        </is>
      </c>
      <c r="G761" t="n">
        <v>17.8</v>
      </c>
      <c r="H761" t="n">
        <v>0</v>
      </c>
      <c r="I761" t="n">
        <v>0</v>
      </c>
      <c r="J761" t="n">
        <v>0</v>
      </c>
      <c r="K761" t="n">
        <v>0</v>
      </c>
      <c r="L761" t="n">
        <v>0</v>
      </c>
      <c r="M761" t="n">
        <v>0</v>
      </c>
      <c r="N761" t="n">
        <v>0</v>
      </c>
      <c r="O761" t="n">
        <v>0</v>
      </c>
      <c r="P761" t="n">
        <v>0</v>
      </c>
      <c r="Q761" t="n">
        <v>0</v>
      </c>
      <c r="R761" s="2" t="inlineStr"/>
    </row>
    <row r="762" ht="15" customHeight="1">
      <c r="A762" t="inlineStr">
        <is>
          <t>A 6053-2024</t>
        </is>
      </c>
      <c r="B762" s="1" t="n">
        <v>45336</v>
      </c>
      <c r="C762" s="1" t="n">
        <v>45349</v>
      </c>
      <c r="D762" t="inlineStr">
        <is>
          <t>JÄMTLANDS LÄN</t>
        </is>
      </c>
      <c r="E762" t="inlineStr">
        <is>
          <t>ÖSTERSUND</t>
        </is>
      </c>
      <c r="G762" t="n">
        <v>1.4</v>
      </c>
      <c r="H762" t="n">
        <v>0</v>
      </c>
      <c r="I762" t="n">
        <v>0</v>
      </c>
      <c r="J762" t="n">
        <v>0</v>
      </c>
      <c r="K762" t="n">
        <v>0</v>
      </c>
      <c r="L762" t="n">
        <v>0</v>
      </c>
      <c r="M762" t="n">
        <v>0</v>
      </c>
      <c r="N762" t="n">
        <v>0</v>
      </c>
      <c r="O762" t="n">
        <v>0</v>
      </c>
      <c r="P762" t="n">
        <v>0</v>
      </c>
      <c r="Q762" t="n">
        <v>0</v>
      </c>
      <c r="R762" s="2" t="inlineStr"/>
    </row>
    <row r="763" ht="15" customHeight="1">
      <c r="A763" t="inlineStr">
        <is>
          <t>A 6048-2024</t>
        </is>
      </c>
      <c r="B763" s="1" t="n">
        <v>45336</v>
      </c>
      <c r="C763" s="1" t="n">
        <v>45349</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6056-2024</t>
        </is>
      </c>
      <c r="B764" s="1" t="n">
        <v>45336</v>
      </c>
      <c r="C764" s="1" t="n">
        <v>45349</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6351-2024</t>
        </is>
      </c>
      <c r="B765" s="1" t="n">
        <v>45338</v>
      </c>
      <c r="C765" s="1" t="n">
        <v>45349</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6376-2024</t>
        </is>
      </c>
      <c r="B766" s="1" t="n">
        <v>45338</v>
      </c>
      <c r="C766" s="1" t="n">
        <v>45349</v>
      </c>
      <c r="D766" t="inlineStr">
        <is>
          <t>JÄMTLANDS LÄN</t>
        </is>
      </c>
      <c r="E766" t="inlineStr">
        <is>
          <t>ÖSTERSUND</t>
        </is>
      </c>
      <c r="G766" t="n">
        <v>4.6</v>
      </c>
      <c r="H766" t="n">
        <v>0</v>
      </c>
      <c r="I766" t="n">
        <v>0</v>
      </c>
      <c r="J766" t="n">
        <v>0</v>
      </c>
      <c r="K766" t="n">
        <v>0</v>
      </c>
      <c r="L766" t="n">
        <v>0</v>
      </c>
      <c r="M766" t="n">
        <v>0</v>
      </c>
      <c r="N766" t="n">
        <v>0</v>
      </c>
      <c r="O766" t="n">
        <v>0</v>
      </c>
      <c r="P766" t="n">
        <v>0</v>
      </c>
      <c r="Q766" t="n">
        <v>0</v>
      </c>
      <c r="R766" s="2" t="inlineStr"/>
    </row>
    <row r="767" ht="15" customHeight="1">
      <c r="A767" t="inlineStr">
        <is>
          <t>A 6353-2024</t>
        </is>
      </c>
      <c r="B767" s="1" t="n">
        <v>45338</v>
      </c>
      <c r="C767" s="1" t="n">
        <v>45349</v>
      </c>
      <c r="D767" t="inlineStr">
        <is>
          <t>JÄMTLANDS LÄN</t>
        </is>
      </c>
      <c r="E767" t="inlineStr">
        <is>
          <t>ÖSTERSUND</t>
        </is>
      </c>
      <c r="G767" t="n">
        <v>1.9</v>
      </c>
      <c r="H767" t="n">
        <v>0</v>
      </c>
      <c r="I767" t="n">
        <v>0</v>
      </c>
      <c r="J767" t="n">
        <v>0</v>
      </c>
      <c r="K767" t="n">
        <v>0</v>
      </c>
      <c r="L767" t="n">
        <v>0</v>
      </c>
      <c r="M767" t="n">
        <v>0</v>
      </c>
      <c r="N767" t="n">
        <v>0</v>
      </c>
      <c r="O767" t="n">
        <v>0</v>
      </c>
      <c r="P767" t="n">
        <v>0</v>
      </c>
      <c r="Q767" t="n">
        <v>0</v>
      </c>
      <c r="R767" s="2" t="inlineStr"/>
    </row>
    <row r="768" ht="15" customHeight="1">
      <c r="A768" t="inlineStr">
        <is>
          <t>A 6402-2024</t>
        </is>
      </c>
      <c r="B768" s="1" t="n">
        <v>45338</v>
      </c>
      <c r="C768" s="1" t="n">
        <v>45349</v>
      </c>
      <c r="D768" t="inlineStr">
        <is>
          <t>JÄMTLANDS LÄN</t>
        </is>
      </c>
      <c r="E768" t="inlineStr">
        <is>
          <t>ÖSTERSUND</t>
        </is>
      </c>
      <c r="G768" t="n">
        <v>4.4</v>
      </c>
      <c r="H768" t="n">
        <v>0</v>
      </c>
      <c r="I768" t="n">
        <v>0</v>
      </c>
      <c r="J768" t="n">
        <v>0</v>
      </c>
      <c r="K768" t="n">
        <v>0</v>
      </c>
      <c r="L768" t="n">
        <v>0</v>
      </c>
      <c r="M768" t="n">
        <v>0</v>
      </c>
      <c r="N768" t="n">
        <v>0</v>
      </c>
      <c r="O768" t="n">
        <v>0</v>
      </c>
      <c r="P768" t="n">
        <v>0</v>
      </c>
      <c r="Q768" t="n">
        <v>0</v>
      </c>
      <c r="R768" s="2" t="inlineStr"/>
    </row>
    <row r="769" ht="15" customHeight="1">
      <c r="A769" t="inlineStr">
        <is>
          <t>A 6481-2024</t>
        </is>
      </c>
      <c r="B769" s="1" t="n">
        <v>45338</v>
      </c>
      <c r="C769" s="1" t="n">
        <v>45349</v>
      </c>
      <c r="D769" t="inlineStr">
        <is>
          <t>JÄMTLANDS LÄN</t>
        </is>
      </c>
      <c r="E769" t="inlineStr">
        <is>
          <t>ÖSTERSUND</t>
        </is>
      </c>
      <c r="F769" t="inlineStr">
        <is>
          <t>SCA</t>
        </is>
      </c>
      <c r="G769" t="n">
        <v>21.3</v>
      </c>
      <c r="H769" t="n">
        <v>0</v>
      </c>
      <c r="I769" t="n">
        <v>0</v>
      </c>
      <c r="J769" t="n">
        <v>0</v>
      </c>
      <c r="K769" t="n">
        <v>0</v>
      </c>
      <c r="L769" t="n">
        <v>0</v>
      </c>
      <c r="M769" t="n">
        <v>0</v>
      </c>
      <c r="N769" t="n">
        <v>0</v>
      </c>
      <c r="O769" t="n">
        <v>0</v>
      </c>
      <c r="P769" t="n">
        <v>0</v>
      </c>
      <c r="Q769" t="n">
        <v>0</v>
      </c>
      <c r="R769" s="2" t="inlineStr"/>
    </row>
    <row r="770" ht="15" customHeight="1">
      <c r="A770" t="inlineStr">
        <is>
          <t>A 7224-2024</t>
        </is>
      </c>
      <c r="B770" s="1" t="n">
        <v>45344</v>
      </c>
      <c r="C770" s="1" t="n">
        <v>45349</v>
      </c>
      <c r="D770" t="inlineStr">
        <is>
          <t>JÄMTLANDS LÄN</t>
        </is>
      </c>
      <c r="E770" t="inlineStr">
        <is>
          <t>ÖSTERSUND</t>
        </is>
      </c>
      <c r="G770" t="n">
        <v>2.9</v>
      </c>
      <c r="H770" t="n">
        <v>0</v>
      </c>
      <c r="I770" t="n">
        <v>0</v>
      </c>
      <c r="J770" t="n">
        <v>0</v>
      </c>
      <c r="K770" t="n">
        <v>0</v>
      </c>
      <c r="L770" t="n">
        <v>0</v>
      </c>
      <c r="M770" t="n">
        <v>0</v>
      </c>
      <c r="N770" t="n">
        <v>0</v>
      </c>
      <c r="O770" t="n">
        <v>0</v>
      </c>
      <c r="P770" t="n">
        <v>0</v>
      </c>
      <c r="Q770" t="n">
        <v>0</v>
      </c>
      <c r="R770" s="2" t="inlineStr"/>
    </row>
    <row r="771" ht="15" customHeight="1">
      <c r="A771" t="inlineStr">
        <is>
          <t>A 7228-2024</t>
        </is>
      </c>
      <c r="B771" s="1" t="n">
        <v>45344</v>
      </c>
      <c r="C771" s="1" t="n">
        <v>45349</v>
      </c>
      <c r="D771" t="inlineStr">
        <is>
          <t>JÄMTLANDS LÄN</t>
        </is>
      </c>
      <c r="E771" t="inlineStr">
        <is>
          <t>ÖSTERSUND</t>
        </is>
      </c>
      <c r="G771" t="n">
        <v>3</v>
      </c>
      <c r="H771" t="n">
        <v>0</v>
      </c>
      <c r="I771" t="n">
        <v>0</v>
      </c>
      <c r="J771" t="n">
        <v>0</v>
      </c>
      <c r="K771" t="n">
        <v>0</v>
      </c>
      <c r="L771" t="n">
        <v>0</v>
      </c>
      <c r="M771" t="n">
        <v>0</v>
      </c>
      <c r="N771" t="n">
        <v>0</v>
      </c>
      <c r="O771" t="n">
        <v>0</v>
      </c>
      <c r="P771" t="n">
        <v>0</v>
      </c>
      <c r="Q771" t="n">
        <v>0</v>
      </c>
      <c r="R771" s="2" t="inlineStr"/>
    </row>
    <row r="772" ht="15" customHeight="1">
      <c r="A772" t="inlineStr">
        <is>
          <t>A 7233-2024</t>
        </is>
      </c>
      <c r="B772" s="1" t="n">
        <v>45344</v>
      </c>
      <c r="C772" s="1" t="n">
        <v>45349</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row r="773">
      <c r="A773" t="inlineStr">
        <is>
          <t>A 7484-2024</t>
        </is>
      </c>
      <c r="B773" s="1" t="n">
        <v>45346</v>
      </c>
      <c r="C773" s="1" t="n">
        <v>45349</v>
      </c>
      <c r="D773" t="inlineStr">
        <is>
          <t>JÄMTLANDS LÄN</t>
        </is>
      </c>
      <c r="E773" t="inlineStr">
        <is>
          <t>ÖSTERSUND</t>
        </is>
      </c>
      <c r="G773" t="n">
        <v>5.4</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2024-02-27T13:10:59Z</dcterms:created>
  <dcterms:modified xmlns:dcterms="http://purl.org/dc/terms/" xmlns:xsi="http://www.w3.org/2001/XMLSchema-instance" xsi:type="dcterms:W3CDTF">2024-02-27T13:11:00Z</dcterms:modified>
</cp:coreProperties>
</file>