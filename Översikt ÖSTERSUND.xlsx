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46076</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46076</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46076</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46076</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46076</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46076</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46076</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46076</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46076</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46076</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46076</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46076</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46076</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5791-2026</t>
        </is>
      </c>
      <c r="B26" s="1" t="n">
        <v>46051.68951388889</v>
      </c>
      <c r="C26" s="1" t="n">
        <v>46076</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48959-2025</t>
        </is>
      </c>
      <c r="B27" s="1" t="n">
        <v>45937.55055555556</v>
      </c>
      <c r="C27" s="1" t="n">
        <v>46076</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46076</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7457-2023</t>
        </is>
      </c>
      <c r="B29" s="1" t="n">
        <v>44971</v>
      </c>
      <c r="C29" s="1" t="n">
        <v>46076</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46076</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46076</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46076</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46076</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46076</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46076</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46076</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46076</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46076</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46076</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63193-2025</t>
        </is>
      </c>
      <c r="B40" s="1" t="n">
        <v>46010.45428240741</v>
      </c>
      <c r="C40" s="1" t="n">
        <v>46076</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40777-2023</t>
        </is>
      </c>
      <c r="B41" s="1" t="n">
        <v>45170</v>
      </c>
      <c r="C41" s="1" t="n">
        <v>46076</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7710-2024</t>
        </is>
      </c>
      <c r="B42" s="1" t="n">
        <v>45349</v>
      </c>
      <c r="C42" s="1" t="n">
        <v>46076</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46076</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46076</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45975.63604166666</v>
      </c>
      <c r="C45" s="1" t="n">
        <v>46076</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46076</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46076</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46076</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46076</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46076</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46076</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46076</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46076</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16369-2023</t>
        </is>
      </c>
      <c r="B54" s="1" t="n">
        <v>45028</v>
      </c>
      <c r="C54" s="1" t="n">
        <v>46076</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5203-2026</t>
        </is>
      </c>
      <c r="B55" s="1" t="n">
        <v>46049.67512731482</v>
      </c>
      <c r="C55" s="1" t="n">
        <v>46076</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46076</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54608-2023</t>
        </is>
      </c>
      <c r="B57" s="1" t="n">
        <v>45233</v>
      </c>
      <c r="C57" s="1" t="n">
        <v>46076</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46076</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46076</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376-2023</t>
        </is>
      </c>
      <c r="B60" s="1" t="n">
        <v>44929</v>
      </c>
      <c r="C60" s="1" t="n">
        <v>46076</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46076</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24523-2021</t>
        </is>
      </c>
      <c r="B62" s="1" t="n">
        <v>44337</v>
      </c>
      <c r="C62" s="1" t="n">
        <v>46076</v>
      </c>
      <c r="D62" t="inlineStr">
        <is>
          <t>JÄMTLANDS LÄN</t>
        </is>
      </c>
      <c r="E62" t="inlineStr">
        <is>
          <t>ÖSTERSUND</t>
        </is>
      </c>
      <c r="G62" t="n">
        <v>9.300000000000001</v>
      </c>
      <c r="H62" t="n">
        <v>2</v>
      </c>
      <c r="I62" t="n">
        <v>3</v>
      </c>
      <c r="J62" t="n">
        <v>2</v>
      </c>
      <c r="K62" t="n">
        <v>0</v>
      </c>
      <c r="L62" t="n">
        <v>0</v>
      </c>
      <c r="M62" t="n">
        <v>0</v>
      </c>
      <c r="N62" t="n">
        <v>0</v>
      </c>
      <c r="O62" t="n">
        <v>2</v>
      </c>
      <c r="P62" t="n">
        <v>0</v>
      </c>
      <c r="Q62" t="n">
        <v>6</v>
      </c>
      <c r="R62" s="2" t="inlineStr">
        <is>
          <t>Garnlav
Spillkråka
Svart trolldruva
Tibast
Underviol
Blåsippa</t>
        </is>
      </c>
      <c r="S62">
        <f>HYPERLINK("https://klasma.github.io/Logging_2380/artfynd/A 24523-2021 artfynd.xlsx", "A 24523-2021")</f>
        <v/>
      </c>
      <c r="T62">
        <f>HYPERLINK("https://klasma.github.io/Logging_2380/kartor/A 24523-2021 karta.png", "A 24523-2021")</f>
        <v/>
      </c>
      <c r="V62">
        <f>HYPERLINK("https://klasma.github.io/Logging_2380/klagomål/A 24523-2021 FSC-klagomål.docx", "A 24523-2021")</f>
        <v/>
      </c>
      <c r="W62">
        <f>HYPERLINK("https://klasma.github.io/Logging_2380/klagomålsmail/A 24523-2021 FSC-klagomål mail.docx", "A 24523-2021")</f>
        <v/>
      </c>
      <c r="X62">
        <f>HYPERLINK("https://klasma.github.io/Logging_2380/tillsyn/A 24523-2021 tillsynsbegäran.docx", "A 24523-2021")</f>
        <v/>
      </c>
      <c r="Y62">
        <f>HYPERLINK("https://klasma.github.io/Logging_2380/tillsynsmail/A 24523-2021 tillsynsbegäran mail.docx", "A 24523-2021")</f>
        <v/>
      </c>
      <c r="Z62">
        <f>HYPERLINK("https://klasma.github.io/Logging_2380/fåglar/A 24523-2021 prioriterade fågelarter.docx", "A 24523-2021")</f>
        <v/>
      </c>
    </row>
    <row r="63" ht="15" customHeight="1">
      <c r="A63" t="inlineStr">
        <is>
          <t>A 40815-2025</t>
        </is>
      </c>
      <c r="B63" s="1" t="n">
        <v>45897</v>
      </c>
      <c r="C63" s="1" t="n">
        <v>46076</v>
      </c>
      <c r="D63" t="inlineStr">
        <is>
          <t>JÄMTLANDS LÄN</t>
        </is>
      </c>
      <c r="E63" t="inlineStr">
        <is>
          <t>ÖSTERSUND</t>
        </is>
      </c>
      <c r="F63" t="inlineStr">
        <is>
          <t>Kommuner</t>
        </is>
      </c>
      <c r="G63" t="n">
        <v>0.8</v>
      </c>
      <c r="H63" t="n">
        <v>2</v>
      </c>
      <c r="I63" t="n">
        <v>2</v>
      </c>
      <c r="J63" t="n">
        <v>2</v>
      </c>
      <c r="K63" t="n">
        <v>0</v>
      </c>
      <c r="L63" t="n">
        <v>0</v>
      </c>
      <c r="M63" t="n">
        <v>0</v>
      </c>
      <c r="N63" t="n">
        <v>0</v>
      </c>
      <c r="O63" t="n">
        <v>2</v>
      </c>
      <c r="P63" t="n">
        <v>0</v>
      </c>
      <c r="Q63" t="n">
        <v>6</v>
      </c>
      <c r="R63" s="2" t="inlineStr">
        <is>
          <t>Granticka
Lunglav
Svart trolldruva
Tibast
Blåsippa
Revlummer</t>
        </is>
      </c>
      <c r="S63">
        <f>HYPERLINK("https://klasma.github.io/Logging_2380/artfynd/A 40815-2025 artfynd.xlsx", "A 40815-2025")</f>
        <v/>
      </c>
      <c r="T63">
        <f>HYPERLINK("https://klasma.github.io/Logging_2380/kartor/A 40815-2025 karta.png", "A 40815-2025")</f>
        <v/>
      </c>
      <c r="V63">
        <f>HYPERLINK("https://klasma.github.io/Logging_2380/klagomål/A 40815-2025 FSC-klagomål.docx", "A 40815-2025")</f>
        <v/>
      </c>
      <c r="W63">
        <f>HYPERLINK("https://klasma.github.io/Logging_2380/klagomålsmail/A 40815-2025 FSC-klagomål mail.docx", "A 40815-2025")</f>
        <v/>
      </c>
      <c r="X63">
        <f>HYPERLINK("https://klasma.github.io/Logging_2380/tillsyn/A 40815-2025 tillsynsbegäran.docx", "A 40815-2025")</f>
        <v/>
      </c>
      <c r="Y63">
        <f>HYPERLINK("https://klasma.github.io/Logging_2380/tillsynsmail/A 40815-2025 tillsynsbegäran mail.docx", "A 40815-2025")</f>
        <v/>
      </c>
    </row>
    <row r="64" ht="15" customHeight="1">
      <c r="A64" t="inlineStr">
        <is>
          <t>A 62696-2025</t>
        </is>
      </c>
      <c r="B64" s="1" t="n">
        <v>46008.48708333333</v>
      </c>
      <c r="C64" s="1" t="n">
        <v>46076</v>
      </c>
      <c r="D64" t="inlineStr">
        <is>
          <t>JÄMTLANDS LÄN</t>
        </is>
      </c>
      <c r="E64" t="inlineStr">
        <is>
          <t>ÖSTERSUND</t>
        </is>
      </c>
      <c r="G64" t="n">
        <v>11.3</v>
      </c>
      <c r="H64" t="n">
        <v>3</v>
      </c>
      <c r="I64" t="n">
        <v>1</v>
      </c>
      <c r="J64" t="n">
        <v>4</v>
      </c>
      <c r="K64" t="n">
        <v>0</v>
      </c>
      <c r="L64" t="n">
        <v>0</v>
      </c>
      <c r="M64" t="n">
        <v>0</v>
      </c>
      <c r="N64" t="n">
        <v>0</v>
      </c>
      <c r="O64" t="n">
        <v>4</v>
      </c>
      <c r="P64" t="n">
        <v>0</v>
      </c>
      <c r="Q64" t="n">
        <v>6</v>
      </c>
      <c r="R64" s="2" t="inlineStr">
        <is>
          <t>Garnlav
Spillkråka
Tretåig hackspett
Ullticka
Stuplav
Revlummer</t>
        </is>
      </c>
      <c r="S64">
        <f>HYPERLINK("https://klasma.github.io/Logging_2380/artfynd/A 62696-2025 artfynd.xlsx", "A 62696-2025")</f>
        <v/>
      </c>
      <c r="T64">
        <f>HYPERLINK("https://klasma.github.io/Logging_2380/kartor/A 62696-2025 karta.png", "A 62696-2025")</f>
        <v/>
      </c>
      <c r="V64">
        <f>HYPERLINK("https://klasma.github.io/Logging_2380/klagomål/A 62696-2025 FSC-klagomål.docx", "A 62696-2025")</f>
        <v/>
      </c>
      <c r="W64">
        <f>HYPERLINK("https://klasma.github.io/Logging_2380/klagomålsmail/A 62696-2025 FSC-klagomål mail.docx", "A 62696-2025")</f>
        <v/>
      </c>
      <c r="X64">
        <f>HYPERLINK("https://klasma.github.io/Logging_2380/tillsyn/A 62696-2025 tillsynsbegäran.docx", "A 62696-2025")</f>
        <v/>
      </c>
      <c r="Y64">
        <f>HYPERLINK("https://klasma.github.io/Logging_2380/tillsynsmail/A 62696-2025 tillsynsbegäran mail.docx", "A 62696-2025")</f>
        <v/>
      </c>
      <c r="Z64">
        <f>HYPERLINK("https://klasma.github.io/Logging_2380/fåglar/A 62696-2025 prioriterade fågelarter.docx", "A 62696-2025")</f>
        <v/>
      </c>
    </row>
    <row r="65" ht="15" customHeight="1">
      <c r="A65" t="inlineStr">
        <is>
          <t>A 63201-2025</t>
        </is>
      </c>
      <c r="B65" s="1" t="n">
        <v>46010.46366898148</v>
      </c>
      <c r="C65" s="1" t="n">
        <v>46076</v>
      </c>
      <c r="D65" t="inlineStr">
        <is>
          <t>JÄMTLANDS LÄN</t>
        </is>
      </c>
      <c r="E65" t="inlineStr">
        <is>
          <t>ÖSTERSUND</t>
        </is>
      </c>
      <c r="G65" t="n">
        <v>5.8</v>
      </c>
      <c r="H65" t="n">
        <v>5</v>
      </c>
      <c r="I65" t="n">
        <v>1</v>
      </c>
      <c r="J65" t="n">
        <v>2</v>
      </c>
      <c r="K65" t="n">
        <v>1</v>
      </c>
      <c r="L65" t="n">
        <v>0</v>
      </c>
      <c r="M65" t="n">
        <v>0</v>
      </c>
      <c r="N65" t="n">
        <v>0</v>
      </c>
      <c r="O65" t="n">
        <v>3</v>
      </c>
      <c r="P65" t="n">
        <v>1</v>
      </c>
      <c r="Q65" t="n">
        <v>6</v>
      </c>
      <c r="R65" s="2" t="inlineStr">
        <is>
          <t>Knärot
Spillkråka
Tretåig hackspett
Kransrams
Lavskrika
Revlummer</t>
        </is>
      </c>
      <c r="S65">
        <f>HYPERLINK("https://klasma.github.io/Logging_2380/artfynd/A 63201-2025 artfynd.xlsx", "A 63201-2025")</f>
        <v/>
      </c>
      <c r="T65">
        <f>HYPERLINK("https://klasma.github.io/Logging_2380/kartor/A 63201-2025 karta.png", "A 63201-2025")</f>
        <v/>
      </c>
      <c r="U65">
        <f>HYPERLINK("https://klasma.github.io/Logging_2380/knärot/A 63201-2025 karta knärot.png", "A 63201-2025")</f>
        <v/>
      </c>
      <c r="V65">
        <f>HYPERLINK("https://klasma.github.io/Logging_2380/klagomål/A 63201-2025 FSC-klagomål.docx", "A 63201-2025")</f>
        <v/>
      </c>
      <c r="W65">
        <f>HYPERLINK("https://klasma.github.io/Logging_2380/klagomålsmail/A 63201-2025 FSC-klagomål mail.docx", "A 63201-2025")</f>
        <v/>
      </c>
      <c r="X65">
        <f>HYPERLINK("https://klasma.github.io/Logging_2380/tillsyn/A 63201-2025 tillsynsbegäran.docx", "A 63201-2025")</f>
        <v/>
      </c>
      <c r="Y65">
        <f>HYPERLINK("https://klasma.github.io/Logging_2380/tillsynsmail/A 63201-2025 tillsynsbegäran mail.docx", "A 63201-2025")</f>
        <v/>
      </c>
      <c r="Z65">
        <f>HYPERLINK("https://klasma.github.io/Logging_2380/fåglar/A 63201-2025 prioriterade fågelarter.docx", "A 63201-2025")</f>
        <v/>
      </c>
    </row>
    <row r="66" ht="15" customHeight="1">
      <c r="A66" t="inlineStr">
        <is>
          <t>A 61212-2025</t>
        </is>
      </c>
      <c r="B66" s="1" t="n">
        <v>46000.61640046296</v>
      </c>
      <c r="C66" s="1" t="n">
        <v>46076</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47392-2022</t>
        </is>
      </c>
      <c r="B67" s="1" t="n">
        <v>44851</v>
      </c>
      <c r="C67" s="1" t="n">
        <v>46076</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3995-2025</t>
        </is>
      </c>
      <c r="B68" s="1" t="n">
        <v>45684</v>
      </c>
      <c r="C68" s="1" t="n">
        <v>46076</v>
      </c>
      <c r="D68" t="inlineStr">
        <is>
          <t>JÄMTLANDS LÄN</t>
        </is>
      </c>
      <c r="E68" t="inlineStr">
        <is>
          <t>ÖSTERSUND</t>
        </is>
      </c>
      <c r="G68" t="n">
        <v>6.5</v>
      </c>
      <c r="H68" t="n">
        <v>1</v>
      </c>
      <c r="I68" t="n">
        <v>0</v>
      </c>
      <c r="J68" t="n">
        <v>5</v>
      </c>
      <c r="K68" t="n">
        <v>1</v>
      </c>
      <c r="L68" t="n">
        <v>0</v>
      </c>
      <c r="M68" t="n">
        <v>0</v>
      </c>
      <c r="N68" t="n">
        <v>0</v>
      </c>
      <c r="O68" t="n">
        <v>6</v>
      </c>
      <c r="P68" t="n">
        <v>1</v>
      </c>
      <c r="Q68" t="n">
        <v>6</v>
      </c>
      <c r="R68" s="2" t="inlineStr">
        <is>
          <t>Rynkskinn
Gränsticka
Rosenticka
Tretåig hackspett
Ullticka
Vedtrappmossa</t>
        </is>
      </c>
      <c r="S68">
        <f>HYPERLINK("https://klasma.github.io/Logging_2380/artfynd/A 3995-2025 artfynd.xlsx", "A 3995-2025")</f>
        <v/>
      </c>
      <c r="T68">
        <f>HYPERLINK("https://klasma.github.io/Logging_2380/kartor/A 3995-2025 karta.png", "A 3995-2025")</f>
        <v/>
      </c>
      <c r="V68">
        <f>HYPERLINK("https://klasma.github.io/Logging_2380/klagomål/A 3995-2025 FSC-klagomål.docx", "A 3995-2025")</f>
        <v/>
      </c>
      <c r="W68">
        <f>HYPERLINK("https://klasma.github.io/Logging_2380/klagomålsmail/A 3995-2025 FSC-klagomål mail.docx", "A 3995-2025")</f>
        <v/>
      </c>
      <c r="X68">
        <f>HYPERLINK("https://klasma.github.io/Logging_2380/tillsyn/A 3995-2025 tillsynsbegäran.docx", "A 3995-2025")</f>
        <v/>
      </c>
      <c r="Y68">
        <f>HYPERLINK("https://klasma.github.io/Logging_2380/tillsynsmail/A 3995-2025 tillsynsbegäran mail.docx", "A 3995-2025")</f>
        <v/>
      </c>
      <c r="Z68">
        <f>HYPERLINK("https://klasma.github.io/Logging_2380/fåglar/A 3995-2025 prioriterade fågelarter.docx", "A 3995-2025")</f>
        <v/>
      </c>
    </row>
    <row r="69" ht="15" customHeight="1">
      <c r="A69" t="inlineStr">
        <is>
          <t>A 1026-2026</t>
        </is>
      </c>
      <c r="B69" s="1" t="n">
        <v>46030.61326388889</v>
      </c>
      <c r="C69" s="1" t="n">
        <v>46076</v>
      </c>
      <c r="D69" t="inlineStr">
        <is>
          <t>JÄMTLANDS LÄN</t>
        </is>
      </c>
      <c r="E69" t="inlineStr">
        <is>
          <t>ÖSTERSUND</t>
        </is>
      </c>
      <c r="G69" t="n">
        <v>6.6</v>
      </c>
      <c r="H69" t="n">
        <v>3</v>
      </c>
      <c r="I69" t="n">
        <v>0</v>
      </c>
      <c r="J69" t="n">
        <v>6</v>
      </c>
      <c r="K69" t="n">
        <v>0</v>
      </c>
      <c r="L69" t="n">
        <v>0</v>
      </c>
      <c r="M69" t="n">
        <v>0</v>
      </c>
      <c r="N69" t="n">
        <v>0</v>
      </c>
      <c r="O69" t="n">
        <v>6</v>
      </c>
      <c r="P69" t="n">
        <v>0</v>
      </c>
      <c r="Q69" t="n">
        <v>6</v>
      </c>
      <c r="R69" s="2" t="inlineStr">
        <is>
          <t>Garnlav
Granticka
Järpe
Lunglav
Talltita
Tretåig hackspett</t>
        </is>
      </c>
      <c r="S69">
        <f>HYPERLINK("https://klasma.github.io/Logging_2380/artfynd/A 1026-2026 artfynd.xlsx", "A 1026-2026")</f>
        <v/>
      </c>
      <c r="T69">
        <f>HYPERLINK("https://klasma.github.io/Logging_2380/kartor/A 1026-2026 karta.png", "A 1026-2026")</f>
        <v/>
      </c>
      <c r="V69">
        <f>HYPERLINK("https://klasma.github.io/Logging_2380/klagomål/A 1026-2026 FSC-klagomål.docx", "A 1026-2026")</f>
        <v/>
      </c>
      <c r="W69">
        <f>HYPERLINK("https://klasma.github.io/Logging_2380/klagomålsmail/A 1026-2026 FSC-klagomål mail.docx", "A 1026-2026")</f>
        <v/>
      </c>
      <c r="X69">
        <f>HYPERLINK("https://klasma.github.io/Logging_2380/tillsyn/A 1026-2026 tillsynsbegäran.docx", "A 1026-2026")</f>
        <v/>
      </c>
      <c r="Y69">
        <f>HYPERLINK("https://klasma.github.io/Logging_2380/tillsynsmail/A 1026-2026 tillsynsbegäran mail.docx", "A 1026-2026")</f>
        <v/>
      </c>
      <c r="Z69">
        <f>HYPERLINK("https://klasma.github.io/Logging_2380/fåglar/A 1026-2026 prioriterade fågelarter.docx", "A 1026-2026")</f>
        <v/>
      </c>
    </row>
    <row r="70" ht="15" customHeight="1">
      <c r="A70" t="inlineStr">
        <is>
          <t>A 12712-2021</t>
        </is>
      </c>
      <c r="B70" s="1" t="n">
        <v>44270.58950231481</v>
      </c>
      <c r="C70" s="1" t="n">
        <v>46076</v>
      </c>
      <c r="D70" t="inlineStr">
        <is>
          <t>JÄMTLANDS LÄN</t>
        </is>
      </c>
      <c r="E70" t="inlineStr">
        <is>
          <t>ÖSTERSUND</t>
        </is>
      </c>
      <c r="G70" t="n">
        <v>8</v>
      </c>
      <c r="H70" t="n">
        <v>2</v>
      </c>
      <c r="I70" t="n">
        <v>3</v>
      </c>
      <c r="J70" t="n">
        <v>1</v>
      </c>
      <c r="K70" t="n">
        <v>0</v>
      </c>
      <c r="L70" t="n">
        <v>1</v>
      </c>
      <c r="M70" t="n">
        <v>0</v>
      </c>
      <c r="N70" t="n">
        <v>0</v>
      </c>
      <c r="O70" t="n">
        <v>2</v>
      </c>
      <c r="P70" t="n">
        <v>1</v>
      </c>
      <c r="Q70" t="n">
        <v>6</v>
      </c>
      <c r="R70" s="2" t="inlineStr">
        <is>
          <t>Trolldruvemätare
Talltita
Kransrams
Tibast
Underviol
Blåsippa</t>
        </is>
      </c>
      <c r="S70">
        <f>HYPERLINK("https://klasma.github.io/Logging_2380/artfynd/A 12712-2021 artfynd.xlsx", "A 12712-2021")</f>
        <v/>
      </c>
      <c r="T70">
        <f>HYPERLINK("https://klasma.github.io/Logging_2380/kartor/A 12712-2021 karta.png", "A 12712-2021")</f>
        <v/>
      </c>
      <c r="V70">
        <f>HYPERLINK("https://klasma.github.io/Logging_2380/klagomål/A 12712-2021 FSC-klagomål.docx", "A 12712-2021")</f>
        <v/>
      </c>
      <c r="W70">
        <f>HYPERLINK("https://klasma.github.io/Logging_2380/klagomålsmail/A 12712-2021 FSC-klagomål mail.docx", "A 12712-2021")</f>
        <v/>
      </c>
      <c r="X70">
        <f>HYPERLINK("https://klasma.github.io/Logging_2380/tillsyn/A 12712-2021 tillsynsbegäran.docx", "A 12712-2021")</f>
        <v/>
      </c>
      <c r="Y70">
        <f>HYPERLINK("https://klasma.github.io/Logging_2380/tillsynsmail/A 12712-2021 tillsynsbegäran mail.docx", "A 12712-2021")</f>
        <v/>
      </c>
      <c r="Z70">
        <f>HYPERLINK("https://klasma.github.io/Logging_2380/fåglar/A 12712-2021 prioriterade fågelarter.docx", "A 12712-2021")</f>
        <v/>
      </c>
    </row>
    <row r="71" ht="15" customHeight="1">
      <c r="A71" t="inlineStr">
        <is>
          <t>A 61153-2024</t>
        </is>
      </c>
      <c r="B71" s="1" t="n">
        <v>45645</v>
      </c>
      <c r="C71" s="1" t="n">
        <v>46076</v>
      </c>
      <c r="D71" t="inlineStr">
        <is>
          <t>JÄMTLANDS LÄN</t>
        </is>
      </c>
      <c r="E71" t="inlineStr">
        <is>
          <t>ÖSTERSUND</t>
        </is>
      </c>
      <c r="G71" t="n">
        <v>8.699999999999999</v>
      </c>
      <c r="H71" t="n">
        <v>5</v>
      </c>
      <c r="I71" t="n">
        <v>0</v>
      </c>
      <c r="J71" t="n">
        <v>4</v>
      </c>
      <c r="K71" t="n">
        <v>1</v>
      </c>
      <c r="L71" t="n">
        <v>0</v>
      </c>
      <c r="M71" t="n">
        <v>0</v>
      </c>
      <c r="N71" t="n">
        <v>0</v>
      </c>
      <c r="O71" t="n">
        <v>5</v>
      </c>
      <c r="P71" t="n">
        <v>1</v>
      </c>
      <c r="Q71" t="n">
        <v>6</v>
      </c>
      <c r="R71" s="2" t="inlineStr">
        <is>
          <t>Knärot
Garnlav
Mindre hackspett
Spillkråka
Talltita
Tjäder</t>
        </is>
      </c>
      <c r="S71">
        <f>HYPERLINK("https://klasma.github.io/Logging_2380/artfynd/A 61153-2024 artfynd.xlsx", "A 61153-2024")</f>
        <v/>
      </c>
      <c r="T71">
        <f>HYPERLINK("https://klasma.github.io/Logging_2380/kartor/A 61153-2024 karta.png", "A 61153-2024")</f>
        <v/>
      </c>
      <c r="U71">
        <f>HYPERLINK("https://klasma.github.io/Logging_2380/knärot/A 61153-2024 karta knärot.png", "A 61153-2024")</f>
        <v/>
      </c>
      <c r="V71">
        <f>HYPERLINK("https://klasma.github.io/Logging_2380/klagomål/A 61153-2024 FSC-klagomål.docx", "A 61153-2024")</f>
        <v/>
      </c>
      <c r="W71">
        <f>HYPERLINK("https://klasma.github.io/Logging_2380/klagomålsmail/A 61153-2024 FSC-klagomål mail.docx", "A 61153-2024")</f>
        <v/>
      </c>
      <c r="X71">
        <f>HYPERLINK("https://klasma.github.io/Logging_2380/tillsyn/A 61153-2024 tillsynsbegäran.docx", "A 61153-2024")</f>
        <v/>
      </c>
      <c r="Y71">
        <f>HYPERLINK("https://klasma.github.io/Logging_2380/tillsynsmail/A 61153-2024 tillsynsbegäran mail.docx", "A 61153-2024")</f>
        <v/>
      </c>
      <c r="Z71">
        <f>HYPERLINK("https://klasma.github.io/Logging_2380/fåglar/A 61153-2024 prioriterade fågelarter.docx", "A 61153-2024")</f>
        <v/>
      </c>
    </row>
    <row r="72" ht="15" customHeight="1">
      <c r="A72" t="inlineStr">
        <is>
          <t>A 27577-2022</t>
        </is>
      </c>
      <c r="B72" s="1" t="n">
        <v>44742</v>
      </c>
      <c r="C72" s="1" t="n">
        <v>46076</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46076</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29117-2025</t>
        </is>
      </c>
      <c r="B74" s="1" t="n">
        <v>45821.59243055555</v>
      </c>
      <c r="C74" s="1" t="n">
        <v>46076</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54731-2024</t>
        </is>
      </c>
      <c r="B75" s="1" t="n">
        <v>45618.43853009259</v>
      </c>
      <c r="C75" s="1" t="n">
        <v>46076</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56934-2025</t>
        </is>
      </c>
      <c r="B76" s="1" t="n">
        <v>45978.61351851852</v>
      </c>
      <c r="C76" s="1" t="n">
        <v>46076</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46076</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46076</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7717-2024</t>
        </is>
      </c>
      <c r="B79" s="1" t="n">
        <v>45349</v>
      </c>
      <c r="C79" s="1" t="n">
        <v>46076</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62060-2025</t>
        </is>
      </c>
      <c r="B80" s="1" t="n">
        <v>46006.34435185185</v>
      </c>
      <c r="C80" s="1" t="n">
        <v>46076</v>
      </c>
      <c r="D80" t="inlineStr">
        <is>
          <t>JÄMTLANDS LÄN</t>
        </is>
      </c>
      <c r="E80" t="inlineStr">
        <is>
          <t>ÖSTERSUND</t>
        </is>
      </c>
      <c r="F80" t="inlineStr">
        <is>
          <t>SCA</t>
        </is>
      </c>
      <c r="G80" t="n">
        <v>6</v>
      </c>
      <c r="H80" t="n">
        <v>1</v>
      </c>
      <c r="I80" t="n">
        <v>3</v>
      </c>
      <c r="J80" t="n">
        <v>2</v>
      </c>
      <c r="K80" t="n">
        <v>0</v>
      </c>
      <c r="L80" t="n">
        <v>0</v>
      </c>
      <c r="M80" t="n">
        <v>0</v>
      </c>
      <c r="N80" t="n">
        <v>0</v>
      </c>
      <c r="O80" t="n">
        <v>2</v>
      </c>
      <c r="P80" t="n">
        <v>0</v>
      </c>
      <c r="Q80" t="n">
        <v>5</v>
      </c>
      <c r="R80" s="2" t="inlineStr">
        <is>
          <t>Skrovlig taggsvamp
Tretåig hackspett
Dropptaggsvamp
Fjällig taggsvamp s.str.
Skarp dropptaggsvamp</t>
        </is>
      </c>
      <c r="S80">
        <f>HYPERLINK("https://klasma.github.io/Logging_2380/artfynd/A 62060-2025 artfynd.xlsx", "A 62060-2025")</f>
        <v/>
      </c>
      <c r="T80">
        <f>HYPERLINK("https://klasma.github.io/Logging_2380/kartor/A 62060-2025 karta.png", "A 62060-2025")</f>
        <v/>
      </c>
      <c r="V80">
        <f>HYPERLINK("https://klasma.github.io/Logging_2380/klagomål/A 62060-2025 FSC-klagomål.docx", "A 62060-2025")</f>
        <v/>
      </c>
      <c r="W80">
        <f>HYPERLINK("https://klasma.github.io/Logging_2380/klagomålsmail/A 62060-2025 FSC-klagomål mail.docx", "A 62060-2025")</f>
        <v/>
      </c>
      <c r="X80">
        <f>HYPERLINK("https://klasma.github.io/Logging_2380/tillsyn/A 62060-2025 tillsynsbegäran.docx", "A 62060-2025")</f>
        <v/>
      </c>
      <c r="Y80">
        <f>HYPERLINK("https://klasma.github.io/Logging_2380/tillsynsmail/A 62060-2025 tillsynsbegäran mail.docx", "A 62060-2025")</f>
        <v/>
      </c>
      <c r="Z80">
        <f>HYPERLINK("https://klasma.github.io/Logging_2380/fåglar/A 62060-2025 prioriterade fågelarter.docx", "A 62060-2025")</f>
        <v/>
      </c>
    </row>
    <row r="81" ht="15" customHeight="1">
      <c r="A81" t="inlineStr">
        <is>
          <t>A 10747-2024</t>
        </is>
      </c>
      <c r="B81" s="1" t="n">
        <v>45369</v>
      </c>
      <c r="C81" s="1" t="n">
        <v>46076</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46076</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46076</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Dactylorhiza incarnata subsp. incarnata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39941-2024</t>
        </is>
      </c>
      <c r="B84" s="1" t="n">
        <v>45553</v>
      </c>
      <c r="C84" s="1" t="n">
        <v>46076</v>
      </c>
      <c r="D84" t="inlineStr">
        <is>
          <t>JÄMTLANDS LÄN</t>
        </is>
      </c>
      <c r="E84" t="inlineStr">
        <is>
          <t>ÖSTERSUND</t>
        </is>
      </c>
      <c r="G84" t="n">
        <v>6</v>
      </c>
      <c r="H84" t="n">
        <v>0</v>
      </c>
      <c r="I84" t="n">
        <v>2</v>
      </c>
      <c r="J84" t="n">
        <v>3</v>
      </c>
      <c r="K84" t="n">
        <v>0</v>
      </c>
      <c r="L84" t="n">
        <v>0</v>
      </c>
      <c r="M84" t="n">
        <v>0</v>
      </c>
      <c r="N84" t="n">
        <v>0</v>
      </c>
      <c r="O84" t="n">
        <v>3</v>
      </c>
      <c r="P84" t="n">
        <v>0</v>
      </c>
      <c r="Q84" t="n">
        <v>5</v>
      </c>
      <c r="R84" s="2" t="inlineStr">
        <is>
          <t>Garnlav
Lunglav
Skrovellav
Bårdlav
Luddlav</t>
        </is>
      </c>
      <c r="S84">
        <f>HYPERLINK("https://klasma.github.io/Logging_2380/artfynd/A 39941-2024 artfynd.xlsx", "A 39941-2024")</f>
        <v/>
      </c>
      <c r="T84">
        <f>HYPERLINK("https://klasma.github.io/Logging_2380/kartor/A 39941-2024 karta.png", "A 39941-2024")</f>
        <v/>
      </c>
      <c r="V84">
        <f>HYPERLINK("https://klasma.github.io/Logging_2380/klagomål/A 39941-2024 FSC-klagomål.docx", "A 39941-2024")</f>
        <v/>
      </c>
      <c r="W84">
        <f>HYPERLINK("https://klasma.github.io/Logging_2380/klagomålsmail/A 39941-2024 FSC-klagomål mail.docx", "A 39941-2024")</f>
        <v/>
      </c>
      <c r="X84">
        <f>HYPERLINK("https://klasma.github.io/Logging_2380/tillsyn/A 39941-2024 tillsynsbegäran.docx", "A 39941-2024")</f>
        <v/>
      </c>
      <c r="Y84">
        <f>HYPERLINK("https://klasma.github.io/Logging_2380/tillsynsmail/A 39941-2024 tillsynsbegäran mail.docx", "A 39941-2024")</f>
        <v/>
      </c>
    </row>
    <row r="85" ht="15" customHeight="1">
      <c r="A85" t="inlineStr">
        <is>
          <t>A 55344-2023</t>
        </is>
      </c>
      <c r="B85" s="1" t="n">
        <v>45237</v>
      </c>
      <c r="C85" s="1" t="n">
        <v>46076</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25369-2024</t>
        </is>
      </c>
      <c r="B86" s="1" t="n">
        <v>45462.95982638889</v>
      </c>
      <c r="C86" s="1" t="n">
        <v>46076</v>
      </c>
      <c r="D86" t="inlineStr">
        <is>
          <t>JÄMTLANDS LÄN</t>
        </is>
      </c>
      <c r="E86" t="inlineStr">
        <is>
          <t>ÖSTERSUND</t>
        </is>
      </c>
      <c r="G86" t="n">
        <v>14.7</v>
      </c>
      <c r="H86" t="n">
        <v>1</v>
      </c>
      <c r="I86" t="n">
        <v>2</v>
      </c>
      <c r="J86" t="n">
        <v>1</v>
      </c>
      <c r="K86" t="n">
        <v>0</v>
      </c>
      <c r="L86" t="n">
        <v>0</v>
      </c>
      <c r="M86" t="n">
        <v>0</v>
      </c>
      <c r="N86" t="n">
        <v>0</v>
      </c>
      <c r="O86" t="n">
        <v>1</v>
      </c>
      <c r="P86" t="n">
        <v>0</v>
      </c>
      <c r="Q86" t="n">
        <v>4</v>
      </c>
      <c r="R86" s="2" t="inlineStr">
        <is>
          <t>Ullticka
Kransrams
Underviol
Blåsippa</t>
        </is>
      </c>
      <c r="S86">
        <f>HYPERLINK("https://klasma.github.io/Logging_2380/artfynd/A 25369-2024 artfynd.xlsx", "A 25369-2024")</f>
        <v/>
      </c>
      <c r="T86">
        <f>HYPERLINK("https://klasma.github.io/Logging_2380/kartor/A 25369-2024 karta.png", "A 25369-2024")</f>
        <v/>
      </c>
      <c r="V86">
        <f>HYPERLINK("https://klasma.github.io/Logging_2380/klagomål/A 25369-2024 FSC-klagomål.docx", "A 25369-2024")</f>
        <v/>
      </c>
      <c r="W86">
        <f>HYPERLINK("https://klasma.github.io/Logging_2380/klagomålsmail/A 25369-2024 FSC-klagomål mail.docx", "A 25369-2024")</f>
        <v/>
      </c>
      <c r="X86">
        <f>HYPERLINK("https://klasma.github.io/Logging_2380/tillsyn/A 25369-2024 tillsynsbegäran.docx", "A 25369-2024")</f>
        <v/>
      </c>
      <c r="Y86">
        <f>HYPERLINK("https://klasma.github.io/Logging_2380/tillsynsmail/A 25369-2024 tillsynsbegäran mail.docx", "A 25369-2024")</f>
        <v/>
      </c>
    </row>
    <row r="87" ht="15" customHeight="1">
      <c r="A87" t="inlineStr">
        <is>
          <t>A 7698-2024</t>
        </is>
      </c>
      <c r="B87" s="1" t="n">
        <v>45349</v>
      </c>
      <c r="C87" s="1" t="n">
        <v>46076</v>
      </c>
      <c r="D87" t="inlineStr">
        <is>
          <t>JÄMTLANDS LÄN</t>
        </is>
      </c>
      <c r="E87" t="inlineStr">
        <is>
          <t>ÖSTERSUND</t>
        </is>
      </c>
      <c r="F87" t="inlineStr">
        <is>
          <t>Övriga Aktiebolag</t>
        </is>
      </c>
      <c r="G87" t="n">
        <v>4.5</v>
      </c>
      <c r="H87" t="n">
        <v>2</v>
      </c>
      <c r="I87" t="n">
        <v>1</v>
      </c>
      <c r="J87" t="n">
        <v>2</v>
      </c>
      <c r="K87" t="n">
        <v>0</v>
      </c>
      <c r="L87" t="n">
        <v>0</v>
      </c>
      <c r="M87" t="n">
        <v>0</v>
      </c>
      <c r="N87" t="n">
        <v>0</v>
      </c>
      <c r="O87" t="n">
        <v>2</v>
      </c>
      <c r="P87" t="n">
        <v>0</v>
      </c>
      <c r="Q87" t="n">
        <v>4</v>
      </c>
      <c r="R87" s="2" t="inlineStr">
        <is>
          <t>Brunklöver
Månlåsbräken
Tvåblad
Brudsporre</t>
        </is>
      </c>
      <c r="S87">
        <f>HYPERLINK("https://klasma.github.io/Logging_2380/artfynd/A 7698-2024 artfynd.xlsx", "A 7698-2024")</f>
        <v/>
      </c>
      <c r="T87">
        <f>HYPERLINK("https://klasma.github.io/Logging_2380/kartor/A 7698-2024 karta.png", "A 7698-2024")</f>
        <v/>
      </c>
      <c r="V87">
        <f>HYPERLINK("https://klasma.github.io/Logging_2380/klagomål/A 7698-2024 FSC-klagomål.docx", "A 7698-2024")</f>
        <v/>
      </c>
      <c r="W87">
        <f>HYPERLINK("https://klasma.github.io/Logging_2380/klagomålsmail/A 7698-2024 FSC-klagomål mail.docx", "A 7698-2024")</f>
        <v/>
      </c>
      <c r="X87">
        <f>HYPERLINK("https://klasma.github.io/Logging_2380/tillsyn/A 7698-2024 tillsynsbegäran.docx", "A 7698-2024")</f>
        <v/>
      </c>
      <c r="Y87">
        <f>HYPERLINK("https://klasma.github.io/Logging_2380/tillsynsmail/A 7698-2024 tillsynsbegäran mail.docx", "A 7698-2024")</f>
        <v/>
      </c>
    </row>
    <row r="88" ht="15" customHeight="1">
      <c r="A88" t="inlineStr">
        <is>
          <t>A 2962-2023</t>
        </is>
      </c>
      <c r="B88" s="1" t="n">
        <v>44945</v>
      </c>
      <c r="C88" s="1" t="n">
        <v>46076</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41493-2025</t>
        </is>
      </c>
      <c r="B89" s="1" t="n">
        <v>45901.49171296296</v>
      </c>
      <c r="C89" s="1" t="n">
        <v>46076</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31127-2025</t>
        </is>
      </c>
      <c r="B90" s="1" t="n">
        <v>45831</v>
      </c>
      <c r="C90" s="1" t="n">
        <v>46076</v>
      </c>
      <c r="D90" t="inlineStr">
        <is>
          <t>JÄMTLANDS LÄN</t>
        </is>
      </c>
      <c r="E90" t="inlineStr">
        <is>
          <t>ÖSTERSUND</t>
        </is>
      </c>
      <c r="G90" t="n">
        <v>4.3</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31127-2025 artfynd.xlsx", "A 31127-2025")</f>
        <v/>
      </c>
      <c r="T90">
        <f>HYPERLINK("https://klasma.github.io/Logging_2380/kartor/A 31127-2025 karta.png", "A 31127-2025")</f>
        <v/>
      </c>
      <c r="V90">
        <f>HYPERLINK("https://klasma.github.io/Logging_2380/klagomål/A 31127-2025 FSC-klagomål.docx", "A 31127-2025")</f>
        <v/>
      </c>
      <c r="W90">
        <f>HYPERLINK("https://klasma.github.io/Logging_2380/klagomålsmail/A 31127-2025 FSC-klagomål mail.docx", "A 31127-2025")</f>
        <v/>
      </c>
      <c r="X90">
        <f>HYPERLINK("https://klasma.github.io/Logging_2380/tillsyn/A 31127-2025 tillsynsbegäran.docx", "A 31127-2025")</f>
        <v/>
      </c>
      <c r="Y90">
        <f>HYPERLINK("https://klasma.github.io/Logging_2380/tillsynsmail/A 31127-2025 tillsynsbegäran mail.docx", "A 31127-2025")</f>
        <v/>
      </c>
      <c r="Z90">
        <f>HYPERLINK("https://klasma.github.io/Logging_2380/fåglar/A 31127-2025 prioriterade fågelarter.docx", "A 31127-2025")</f>
        <v/>
      </c>
    </row>
    <row r="91" ht="15" customHeight="1">
      <c r="A91" t="inlineStr">
        <is>
          <t>A 49192-2025</t>
        </is>
      </c>
      <c r="B91" s="1" t="n">
        <v>45938.40790509259</v>
      </c>
      <c r="C91" s="1" t="n">
        <v>46076</v>
      </c>
      <c r="D91" t="inlineStr">
        <is>
          <t>JÄMTLANDS LÄN</t>
        </is>
      </c>
      <c r="E91" t="inlineStr">
        <is>
          <t>ÖSTERSUND</t>
        </is>
      </c>
      <c r="F91" t="inlineStr">
        <is>
          <t>SCA</t>
        </is>
      </c>
      <c r="G91" t="n">
        <v>2.6</v>
      </c>
      <c r="H91" t="n">
        <v>2</v>
      </c>
      <c r="I91" t="n">
        <v>2</v>
      </c>
      <c r="J91" t="n">
        <v>1</v>
      </c>
      <c r="K91" t="n">
        <v>0</v>
      </c>
      <c r="L91" t="n">
        <v>0</v>
      </c>
      <c r="M91" t="n">
        <v>0</v>
      </c>
      <c r="N91" t="n">
        <v>0</v>
      </c>
      <c r="O91" t="n">
        <v>1</v>
      </c>
      <c r="P91" t="n">
        <v>0</v>
      </c>
      <c r="Q91" t="n">
        <v>4</v>
      </c>
      <c r="R91" s="2" t="inlineStr">
        <is>
          <t>Kolflarnlav
Guckusko
Tibast
Blåsippa</t>
        </is>
      </c>
      <c r="S91">
        <f>HYPERLINK("https://klasma.github.io/Logging_2380/artfynd/A 49192-2025 artfynd.xlsx", "A 49192-2025")</f>
        <v/>
      </c>
      <c r="T91">
        <f>HYPERLINK("https://klasma.github.io/Logging_2380/kartor/A 49192-2025 karta.png", "A 49192-2025")</f>
        <v/>
      </c>
      <c r="V91">
        <f>HYPERLINK("https://klasma.github.io/Logging_2380/klagomål/A 49192-2025 FSC-klagomål.docx", "A 49192-2025")</f>
        <v/>
      </c>
      <c r="W91">
        <f>HYPERLINK("https://klasma.github.io/Logging_2380/klagomålsmail/A 49192-2025 FSC-klagomål mail.docx", "A 49192-2025")</f>
        <v/>
      </c>
      <c r="X91">
        <f>HYPERLINK("https://klasma.github.io/Logging_2380/tillsyn/A 49192-2025 tillsynsbegäran.docx", "A 49192-2025")</f>
        <v/>
      </c>
      <c r="Y91">
        <f>HYPERLINK("https://klasma.github.io/Logging_2380/tillsynsmail/A 49192-2025 tillsynsbegäran mail.docx", "A 49192-2025")</f>
        <v/>
      </c>
    </row>
    <row r="92" ht="15" customHeight="1">
      <c r="A92" t="inlineStr">
        <is>
          <t>A 59291-2022</t>
        </is>
      </c>
      <c r="B92" s="1" t="n">
        <v>44904</v>
      </c>
      <c r="C92" s="1" t="n">
        <v>46076</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55258-2025</t>
        </is>
      </c>
      <c r="B93" s="1" t="n">
        <v>45968.6444212963</v>
      </c>
      <c r="C93" s="1" t="n">
        <v>46076</v>
      </c>
      <c r="D93" t="inlineStr">
        <is>
          <t>JÄMTLANDS LÄN</t>
        </is>
      </c>
      <c r="E93" t="inlineStr">
        <is>
          <t>ÖSTERSUND</t>
        </is>
      </c>
      <c r="G93" t="n">
        <v>4.2</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55258-2025 artfynd.xlsx", "A 55258-2025")</f>
        <v/>
      </c>
      <c r="T93">
        <f>HYPERLINK("https://klasma.github.io/Logging_2380/kartor/A 55258-2025 karta.png", "A 55258-2025")</f>
        <v/>
      </c>
      <c r="V93">
        <f>HYPERLINK("https://klasma.github.io/Logging_2380/klagomål/A 55258-2025 FSC-klagomål.docx", "A 55258-2025")</f>
        <v/>
      </c>
      <c r="W93">
        <f>HYPERLINK("https://klasma.github.io/Logging_2380/klagomålsmail/A 55258-2025 FSC-klagomål mail.docx", "A 55258-2025")</f>
        <v/>
      </c>
      <c r="X93">
        <f>HYPERLINK("https://klasma.github.io/Logging_2380/tillsyn/A 55258-2025 tillsynsbegäran.docx", "A 55258-2025")</f>
        <v/>
      </c>
      <c r="Y93">
        <f>HYPERLINK("https://klasma.github.io/Logging_2380/tillsynsmail/A 55258-2025 tillsynsbegäran mail.docx", "A 55258-2025")</f>
        <v/>
      </c>
      <c r="Z93">
        <f>HYPERLINK("https://klasma.github.io/Logging_2380/fåglar/A 55258-2025 prioriterade fågelarter.docx", "A 55258-2025")</f>
        <v/>
      </c>
    </row>
    <row r="94" ht="15" customHeight="1">
      <c r="A94" t="inlineStr">
        <is>
          <t>A 57711-2025</t>
        </is>
      </c>
      <c r="B94" s="1" t="n">
        <v>45981.47217592593</v>
      </c>
      <c r="C94" s="1" t="n">
        <v>46076</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60580-2024</t>
        </is>
      </c>
      <c r="B95" s="1" t="n">
        <v>45644</v>
      </c>
      <c r="C95" s="1" t="n">
        <v>46076</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29135-2022</t>
        </is>
      </c>
      <c r="B96" s="1" t="n">
        <v>44750</v>
      </c>
      <c r="C96" s="1" t="n">
        <v>46076</v>
      </c>
      <c r="D96" t="inlineStr">
        <is>
          <t>JÄMTLANDS LÄN</t>
        </is>
      </c>
      <c r="E96" t="inlineStr">
        <is>
          <t>ÖSTERSUND</t>
        </is>
      </c>
      <c r="G96" t="n">
        <v>2.3</v>
      </c>
      <c r="H96" t="n">
        <v>3</v>
      </c>
      <c r="I96" t="n">
        <v>2</v>
      </c>
      <c r="J96" t="n">
        <v>0</v>
      </c>
      <c r="K96" t="n">
        <v>0</v>
      </c>
      <c r="L96" t="n">
        <v>0</v>
      </c>
      <c r="M96" t="n">
        <v>0</v>
      </c>
      <c r="N96" t="n">
        <v>0</v>
      </c>
      <c r="O96" t="n">
        <v>0</v>
      </c>
      <c r="P96" t="n">
        <v>0</v>
      </c>
      <c r="Q96" t="n">
        <v>4</v>
      </c>
      <c r="R96" s="2" t="inlineStr">
        <is>
          <t>Finbräken
Grönkulla
Fläcknycklar
Blåsippa</t>
        </is>
      </c>
      <c r="S96">
        <f>HYPERLINK("https://klasma.github.io/Logging_2380/artfynd/A 29135-2022 artfynd.xlsx", "A 29135-2022")</f>
        <v/>
      </c>
      <c r="T96">
        <f>HYPERLINK("https://klasma.github.io/Logging_2380/kartor/A 29135-2022 karta.png", "A 29135-2022")</f>
        <v/>
      </c>
      <c r="V96">
        <f>HYPERLINK("https://klasma.github.io/Logging_2380/klagomål/A 29135-2022 FSC-klagomål.docx", "A 29135-2022")</f>
        <v/>
      </c>
      <c r="W96">
        <f>HYPERLINK("https://klasma.github.io/Logging_2380/klagomålsmail/A 29135-2022 FSC-klagomål mail.docx", "A 29135-2022")</f>
        <v/>
      </c>
      <c r="X96">
        <f>HYPERLINK("https://klasma.github.io/Logging_2380/tillsyn/A 29135-2022 tillsynsbegäran.docx", "A 29135-2022")</f>
        <v/>
      </c>
      <c r="Y96">
        <f>HYPERLINK("https://klasma.github.io/Logging_2380/tillsynsmail/A 29135-2022 tillsynsbegäran mail.docx", "A 29135-2022")</f>
        <v/>
      </c>
    </row>
    <row r="97" ht="15" customHeight="1">
      <c r="A97" t="inlineStr">
        <is>
          <t>A 5171-2026</t>
        </is>
      </c>
      <c r="B97" s="1" t="n">
        <v>46049.64416666667</v>
      </c>
      <c r="C97" s="1" t="n">
        <v>46076</v>
      </c>
      <c r="D97" t="inlineStr">
        <is>
          <t>JÄMTLANDS LÄN</t>
        </is>
      </c>
      <c r="E97" t="inlineStr">
        <is>
          <t>ÖSTERSUND</t>
        </is>
      </c>
      <c r="G97" t="n">
        <v>4.1</v>
      </c>
      <c r="H97" t="n">
        <v>1</v>
      </c>
      <c r="I97" t="n">
        <v>4</v>
      </c>
      <c r="J97" t="n">
        <v>0</v>
      </c>
      <c r="K97" t="n">
        <v>0</v>
      </c>
      <c r="L97" t="n">
        <v>0</v>
      </c>
      <c r="M97" t="n">
        <v>0</v>
      </c>
      <c r="N97" t="n">
        <v>0</v>
      </c>
      <c r="O97" t="n">
        <v>0</v>
      </c>
      <c r="P97" t="n">
        <v>0</v>
      </c>
      <c r="Q97" t="n">
        <v>4</v>
      </c>
      <c r="R97" s="2" t="inlineStr">
        <is>
          <t>Fjällig taggsvamp s.str.
Korallblylav
Korallrot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38335-2023</t>
        </is>
      </c>
      <c r="B98" s="1" t="n">
        <v>45161</v>
      </c>
      <c r="C98" s="1" t="n">
        <v>46076</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54421-2021</t>
        </is>
      </c>
      <c r="B99" s="1" t="n">
        <v>44473.43114583333</v>
      </c>
      <c r="C99" s="1" t="n">
        <v>46076</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50895-2024</t>
        </is>
      </c>
      <c r="B100" s="1" t="n">
        <v>45602</v>
      </c>
      <c r="C100" s="1" t="n">
        <v>46076</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43981-2023</t>
        </is>
      </c>
      <c r="B101" s="1" t="n">
        <v>45187</v>
      </c>
      <c r="C101" s="1" t="n">
        <v>46076</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3846-2024</t>
        </is>
      </c>
      <c r="B102" s="1" t="n">
        <v>45321</v>
      </c>
      <c r="C102" s="1" t="n">
        <v>46076</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36806-2025</t>
        </is>
      </c>
      <c r="B103" s="1" t="n">
        <v>45873.69988425926</v>
      </c>
      <c r="C103" s="1" t="n">
        <v>46076</v>
      </c>
      <c r="D103" t="inlineStr">
        <is>
          <t>JÄMTLANDS LÄN</t>
        </is>
      </c>
      <c r="E103" t="inlineStr">
        <is>
          <t>ÖSTERSUND</t>
        </is>
      </c>
      <c r="G103" t="n">
        <v>9.800000000000001</v>
      </c>
      <c r="H103" t="n">
        <v>2</v>
      </c>
      <c r="I103" t="n">
        <v>2</v>
      </c>
      <c r="J103" t="n">
        <v>0</v>
      </c>
      <c r="K103" t="n">
        <v>0</v>
      </c>
      <c r="L103" t="n">
        <v>0</v>
      </c>
      <c r="M103" t="n">
        <v>0</v>
      </c>
      <c r="N103" t="n">
        <v>0</v>
      </c>
      <c r="O103" t="n">
        <v>0</v>
      </c>
      <c r="P103" t="n">
        <v>0</v>
      </c>
      <c r="Q103" t="n">
        <v>3</v>
      </c>
      <c r="R103" s="2" t="inlineStr">
        <is>
          <t>Grönkulla
Vårärt
Blåsippa</t>
        </is>
      </c>
      <c r="S103">
        <f>HYPERLINK("https://klasma.github.io/Logging_2380/artfynd/A 36806-2025 artfynd.xlsx", "A 36806-2025")</f>
        <v/>
      </c>
      <c r="T103">
        <f>HYPERLINK("https://klasma.github.io/Logging_2380/kartor/A 36806-2025 karta.png", "A 36806-2025")</f>
        <v/>
      </c>
      <c r="V103">
        <f>HYPERLINK("https://klasma.github.io/Logging_2380/klagomål/A 36806-2025 FSC-klagomål.docx", "A 36806-2025")</f>
        <v/>
      </c>
      <c r="W103">
        <f>HYPERLINK("https://klasma.github.io/Logging_2380/klagomålsmail/A 36806-2025 FSC-klagomål mail.docx", "A 36806-2025")</f>
        <v/>
      </c>
      <c r="X103">
        <f>HYPERLINK("https://klasma.github.io/Logging_2380/tillsyn/A 36806-2025 tillsynsbegäran.docx", "A 36806-2025")</f>
        <v/>
      </c>
      <c r="Y103">
        <f>HYPERLINK("https://klasma.github.io/Logging_2380/tillsynsmail/A 36806-2025 tillsynsbegäran mail.docx", "A 36806-2025")</f>
        <v/>
      </c>
    </row>
    <row r="104" ht="15" customHeight="1">
      <c r="A104" t="inlineStr">
        <is>
          <t>A 60565-2022</t>
        </is>
      </c>
      <c r="B104" s="1" t="n">
        <v>44904</v>
      </c>
      <c r="C104" s="1" t="n">
        <v>46076</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5100-2023</t>
        </is>
      </c>
      <c r="B105" s="1" t="n">
        <v>44956</v>
      </c>
      <c r="C105" s="1" t="n">
        <v>46076</v>
      </c>
      <c r="D105" t="inlineStr">
        <is>
          <t>JÄMTLANDS LÄN</t>
        </is>
      </c>
      <c r="E105" t="inlineStr">
        <is>
          <t>ÖSTERSUND</t>
        </is>
      </c>
      <c r="G105" t="n">
        <v>2.6</v>
      </c>
      <c r="H105" t="n">
        <v>0</v>
      </c>
      <c r="I105" t="n">
        <v>2</v>
      </c>
      <c r="J105" t="n">
        <v>0</v>
      </c>
      <c r="K105" t="n">
        <v>0</v>
      </c>
      <c r="L105" t="n">
        <v>1</v>
      </c>
      <c r="M105" t="n">
        <v>0</v>
      </c>
      <c r="N105" t="n">
        <v>0</v>
      </c>
      <c r="O105" t="n">
        <v>1</v>
      </c>
      <c r="P105" t="n">
        <v>1</v>
      </c>
      <c r="Q105" t="n">
        <v>3</v>
      </c>
      <c r="R105" s="2" t="inlineStr">
        <is>
          <t>Trolldruvemätare
Svart trolldruva
Tibast</t>
        </is>
      </c>
      <c r="S105">
        <f>HYPERLINK("https://klasma.github.io/Logging_2380/artfynd/A 5100-2023 artfynd.xlsx", "A 5100-2023")</f>
        <v/>
      </c>
      <c r="T105">
        <f>HYPERLINK("https://klasma.github.io/Logging_2380/kartor/A 5100-2023 karta.png", "A 5100-2023")</f>
        <v/>
      </c>
      <c r="V105">
        <f>HYPERLINK("https://klasma.github.io/Logging_2380/klagomål/A 5100-2023 FSC-klagomål.docx", "A 5100-2023")</f>
        <v/>
      </c>
      <c r="W105">
        <f>HYPERLINK("https://klasma.github.io/Logging_2380/klagomålsmail/A 5100-2023 FSC-klagomål mail.docx", "A 5100-2023")</f>
        <v/>
      </c>
      <c r="X105">
        <f>HYPERLINK("https://klasma.github.io/Logging_2380/tillsyn/A 5100-2023 tillsynsbegäran.docx", "A 5100-2023")</f>
        <v/>
      </c>
      <c r="Y105">
        <f>HYPERLINK("https://klasma.github.io/Logging_2380/tillsynsmail/A 5100-2023 tillsynsbegäran mail.docx", "A 5100-2023")</f>
        <v/>
      </c>
    </row>
    <row r="106" ht="15" customHeight="1">
      <c r="A106" t="inlineStr">
        <is>
          <t>A 19520-2023</t>
        </is>
      </c>
      <c r="B106" s="1" t="n">
        <v>45049</v>
      </c>
      <c r="C106" s="1" t="n">
        <v>46076</v>
      </c>
      <c r="D106" t="inlineStr">
        <is>
          <t>JÄMTLANDS LÄN</t>
        </is>
      </c>
      <c r="E106" t="inlineStr">
        <is>
          <t>ÖSTERSUND</t>
        </is>
      </c>
      <c r="G106" t="n">
        <v>2</v>
      </c>
      <c r="H106" t="n">
        <v>0</v>
      </c>
      <c r="I106" t="n">
        <v>2</v>
      </c>
      <c r="J106" t="n">
        <v>0</v>
      </c>
      <c r="K106" t="n">
        <v>0</v>
      </c>
      <c r="L106" t="n">
        <v>1</v>
      </c>
      <c r="M106" t="n">
        <v>0</v>
      </c>
      <c r="N106" t="n">
        <v>0</v>
      </c>
      <c r="O106" t="n">
        <v>1</v>
      </c>
      <c r="P106" t="n">
        <v>1</v>
      </c>
      <c r="Q106" t="n">
        <v>3</v>
      </c>
      <c r="R106" s="2" t="inlineStr">
        <is>
          <t>Trolldruvemätare
Svart trolldruva
Svavelriska</t>
        </is>
      </c>
      <c r="S106">
        <f>HYPERLINK("https://klasma.github.io/Logging_2380/artfynd/A 19520-2023 artfynd.xlsx", "A 19520-2023")</f>
        <v/>
      </c>
      <c r="T106">
        <f>HYPERLINK("https://klasma.github.io/Logging_2380/kartor/A 19520-2023 karta.png", "A 19520-2023")</f>
        <v/>
      </c>
      <c r="V106">
        <f>HYPERLINK("https://klasma.github.io/Logging_2380/klagomål/A 19520-2023 FSC-klagomål.docx", "A 19520-2023")</f>
        <v/>
      </c>
      <c r="W106">
        <f>HYPERLINK("https://klasma.github.io/Logging_2380/klagomålsmail/A 19520-2023 FSC-klagomål mail.docx", "A 19520-2023")</f>
        <v/>
      </c>
      <c r="X106">
        <f>HYPERLINK("https://klasma.github.io/Logging_2380/tillsyn/A 19520-2023 tillsynsbegäran.docx", "A 19520-2023")</f>
        <v/>
      </c>
      <c r="Y106">
        <f>HYPERLINK("https://klasma.github.io/Logging_2380/tillsynsmail/A 19520-2023 tillsynsbegäran mail.docx", "A 19520-2023")</f>
        <v/>
      </c>
    </row>
    <row r="107" ht="15" customHeight="1">
      <c r="A107" t="inlineStr">
        <is>
          <t>A 46705-2023</t>
        </is>
      </c>
      <c r="B107" s="1" t="n">
        <v>45198</v>
      </c>
      <c r="C107" s="1" t="n">
        <v>46076</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46076</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56647-2025</t>
        </is>
      </c>
      <c r="B109" s="1" t="n">
        <v>45975.63585648148</v>
      </c>
      <c r="C109" s="1" t="n">
        <v>46076</v>
      </c>
      <c r="D109" t="inlineStr">
        <is>
          <t>JÄMTLANDS LÄN</t>
        </is>
      </c>
      <c r="E109" t="inlineStr">
        <is>
          <t>ÖSTERSUND</t>
        </is>
      </c>
      <c r="G109" t="n">
        <v>12.1</v>
      </c>
      <c r="H109" t="n">
        <v>1</v>
      </c>
      <c r="I109" t="n">
        <v>0</v>
      </c>
      <c r="J109" t="n">
        <v>2</v>
      </c>
      <c r="K109" t="n">
        <v>1</v>
      </c>
      <c r="L109" t="n">
        <v>0</v>
      </c>
      <c r="M109" t="n">
        <v>0</v>
      </c>
      <c r="N109" t="n">
        <v>0</v>
      </c>
      <c r="O109" t="n">
        <v>3</v>
      </c>
      <c r="P109" t="n">
        <v>1</v>
      </c>
      <c r="Q109" t="n">
        <v>3</v>
      </c>
      <c r="R109" s="2" t="inlineStr">
        <is>
          <t>Rynkskinn
Garnlav
Tretåig hackspett</t>
        </is>
      </c>
      <c r="S109">
        <f>HYPERLINK("https://klasma.github.io/Logging_2380/artfynd/A 56647-2025 artfynd.xlsx", "A 56647-2025")</f>
        <v/>
      </c>
      <c r="T109">
        <f>HYPERLINK("https://klasma.github.io/Logging_2380/kartor/A 56647-2025 karta.png", "A 56647-2025")</f>
        <v/>
      </c>
      <c r="V109">
        <f>HYPERLINK("https://klasma.github.io/Logging_2380/klagomål/A 56647-2025 FSC-klagomål.docx", "A 56647-2025")</f>
        <v/>
      </c>
      <c r="W109">
        <f>HYPERLINK("https://klasma.github.io/Logging_2380/klagomålsmail/A 56647-2025 FSC-klagomål mail.docx", "A 56647-2025")</f>
        <v/>
      </c>
      <c r="X109">
        <f>HYPERLINK("https://klasma.github.io/Logging_2380/tillsyn/A 56647-2025 tillsynsbegäran.docx", "A 56647-2025")</f>
        <v/>
      </c>
      <c r="Y109">
        <f>HYPERLINK("https://klasma.github.io/Logging_2380/tillsynsmail/A 56647-2025 tillsynsbegäran mail.docx", "A 56647-2025")</f>
        <v/>
      </c>
      <c r="Z109">
        <f>HYPERLINK("https://klasma.github.io/Logging_2380/fåglar/A 56647-2025 prioriterade fågelarter.docx", "A 56647-2025")</f>
        <v/>
      </c>
    </row>
    <row r="110" ht="15" customHeight="1">
      <c r="A110" t="inlineStr">
        <is>
          <t>A 40695-2024</t>
        </is>
      </c>
      <c r="B110" s="1" t="n">
        <v>45558</v>
      </c>
      <c r="C110" s="1" t="n">
        <v>46076</v>
      </c>
      <c r="D110" t="inlineStr">
        <is>
          <t>JÄMTLANDS LÄN</t>
        </is>
      </c>
      <c r="E110" t="inlineStr">
        <is>
          <t>ÖSTERSUND</t>
        </is>
      </c>
      <c r="F110" t="inlineStr">
        <is>
          <t>SCA</t>
        </is>
      </c>
      <c r="G110" t="n">
        <v>2.9</v>
      </c>
      <c r="H110" t="n">
        <v>0</v>
      </c>
      <c r="I110" t="n">
        <v>2</v>
      </c>
      <c r="J110" t="n">
        <v>1</v>
      </c>
      <c r="K110" t="n">
        <v>0</v>
      </c>
      <c r="L110" t="n">
        <v>0</v>
      </c>
      <c r="M110" t="n">
        <v>0</v>
      </c>
      <c r="N110" t="n">
        <v>0</v>
      </c>
      <c r="O110" t="n">
        <v>1</v>
      </c>
      <c r="P110" t="n">
        <v>0</v>
      </c>
      <c r="Q110" t="n">
        <v>3</v>
      </c>
      <c r="R110" s="2" t="inlineStr">
        <is>
          <t>Lunglav
Dropptaggsvamp
Skinnlav</t>
        </is>
      </c>
      <c r="S110">
        <f>HYPERLINK("https://klasma.github.io/Logging_2380/artfynd/A 40695-2024 artfynd.xlsx", "A 40695-2024")</f>
        <v/>
      </c>
      <c r="T110">
        <f>HYPERLINK("https://klasma.github.io/Logging_2380/kartor/A 40695-2024 karta.png", "A 40695-2024")</f>
        <v/>
      </c>
      <c r="V110">
        <f>HYPERLINK("https://klasma.github.io/Logging_2380/klagomål/A 40695-2024 FSC-klagomål.docx", "A 40695-2024")</f>
        <v/>
      </c>
      <c r="W110">
        <f>HYPERLINK("https://klasma.github.io/Logging_2380/klagomålsmail/A 40695-2024 FSC-klagomål mail.docx", "A 40695-2024")</f>
        <v/>
      </c>
      <c r="X110">
        <f>HYPERLINK("https://klasma.github.io/Logging_2380/tillsyn/A 40695-2024 tillsynsbegäran.docx", "A 40695-2024")</f>
        <v/>
      </c>
      <c r="Y110">
        <f>HYPERLINK("https://klasma.github.io/Logging_2380/tillsynsmail/A 40695-2024 tillsynsbegäran mail.docx", "A 40695-2024")</f>
        <v/>
      </c>
    </row>
    <row r="111" ht="15" customHeight="1">
      <c r="A111" t="inlineStr">
        <is>
          <t>A 53652-2024</t>
        </is>
      </c>
      <c r="B111" s="1" t="n">
        <v>45615.29761574074</v>
      </c>
      <c r="C111" s="1" t="n">
        <v>46076</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7965-2025</t>
        </is>
      </c>
      <c r="B112" s="1" t="n">
        <v>45707.45219907408</v>
      </c>
      <c r="C112" s="1" t="n">
        <v>46076</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36742-2024</t>
        </is>
      </c>
      <c r="B113" s="1" t="n">
        <v>45538.33584490741</v>
      </c>
      <c r="C113" s="1" t="n">
        <v>46076</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50125-2024</t>
        </is>
      </c>
      <c r="B114" s="1" t="n">
        <v>45600.42737268518</v>
      </c>
      <c r="C114" s="1" t="n">
        <v>46076</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60446-2024</t>
        </is>
      </c>
      <c r="B115" s="1" t="n">
        <v>45643.59420138889</v>
      </c>
      <c r="C115" s="1" t="n">
        <v>46076</v>
      </c>
      <c r="D115" t="inlineStr">
        <is>
          <t>JÄMTLANDS LÄN</t>
        </is>
      </c>
      <c r="E115" t="inlineStr">
        <is>
          <t>ÖSTERSUND</t>
        </is>
      </c>
      <c r="F115" t="inlineStr">
        <is>
          <t>SCA</t>
        </is>
      </c>
      <c r="G115" t="n">
        <v>3.6</v>
      </c>
      <c r="H115" t="n">
        <v>0</v>
      </c>
      <c r="I115" t="n">
        <v>1</v>
      </c>
      <c r="J115" t="n">
        <v>1</v>
      </c>
      <c r="K115" t="n">
        <v>0</v>
      </c>
      <c r="L115" t="n">
        <v>0</v>
      </c>
      <c r="M115" t="n">
        <v>0</v>
      </c>
      <c r="N115" t="n">
        <v>0</v>
      </c>
      <c r="O115" t="n">
        <v>1</v>
      </c>
      <c r="P115" t="n">
        <v>0</v>
      </c>
      <c r="Q115" t="n">
        <v>2</v>
      </c>
      <c r="R115" s="2" t="inlineStr">
        <is>
          <t>Ullticka
Vedticka</t>
        </is>
      </c>
      <c r="S115">
        <f>HYPERLINK("https://klasma.github.io/Logging_2380/artfynd/A 60446-2024 artfynd.xlsx", "A 60446-2024")</f>
        <v/>
      </c>
      <c r="T115">
        <f>HYPERLINK("https://klasma.github.io/Logging_2380/kartor/A 60446-2024 karta.png", "A 60446-2024")</f>
        <v/>
      </c>
      <c r="V115">
        <f>HYPERLINK("https://klasma.github.io/Logging_2380/klagomål/A 60446-2024 FSC-klagomål.docx", "A 60446-2024")</f>
        <v/>
      </c>
      <c r="W115">
        <f>HYPERLINK("https://klasma.github.io/Logging_2380/klagomålsmail/A 60446-2024 FSC-klagomål mail.docx", "A 60446-2024")</f>
        <v/>
      </c>
      <c r="X115">
        <f>HYPERLINK("https://klasma.github.io/Logging_2380/tillsyn/A 60446-2024 tillsynsbegäran.docx", "A 60446-2024")</f>
        <v/>
      </c>
      <c r="Y115">
        <f>HYPERLINK("https://klasma.github.io/Logging_2380/tillsynsmail/A 60446-2024 tillsynsbegäran mail.docx", "A 60446-2024")</f>
        <v/>
      </c>
    </row>
    <row r="116" ht="15" customHeight="1">
      <c r="A116" t="inlineStr">
        <is>
          <t>A 10529-2025</t>
        </is>
      </c>
      <c r="B116" s="1" t="n">
        <v>45721.44840277778</v>
      </c>
      <c r="C116" s="1" t="n">
        <v>46076</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15700-2025</t>
        </is>
      </c>
      <c r="B117" s="1" t="n">
        <v>45748.47314814815</v>
      </c>
      <c r="C117" s="1" t="n">
        <v>46076</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40207-2025</t>
        </is>
      </c>
      <c r="B118" s="1" t="n">
        <v>45894.67988425926</v>
      </c>
      <c r="C118" s="1" t="n">
        <v>46076</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45237-2025</t>
        </is>
      </c>
      <c r="B119" s="1" t="n">
        <v>45919.59467592592</v>
      </c>
      <c r="C119" s="1" t="n">
        <v>46076</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35977-2024</t>
        </is>
      </c>
      <c r="B120" s="1" t="n">
        <v>45533.49601851852</v>
      </c>
      <c r="C120" s="1" t="n">
        <v>46076</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54872-2025</t>
        </is>
      </c>
      <c r="B121" s="1" t="n">
        <v>45966.94104166667</v>
      </c>
      <c r="C121" s="1" t="n">
        <v>46076</v>
      </c>
      <c r="D121" t="inlineStr">
        <is>
          <t>JÄMTLANDS LÄN</t>
        </is>
      </c>
      <c r="E121" t="inlineStr">
        <is>
          <t>ÖSTERSUND</t>
        </is>
      </c>
      <c r="G121" t="n">
        <v>2.4</v>
      </c>
      <c r="H121" t="n">
        <v>1</v>
      </c>
      <c r="I121" t="n">
        <v>1</v>
      </c>
      <c r="J121" t="n">
        <v>1</v>
      </c>
      <c r="K121" t="n">
        <v>0</v>
      </c>
      <c r="L121" t="n">
        <v>0</v>
      </c>
      <c r="M121" t="n">
        <v>0</v>
      </c>
      <c r="N121" t="n">
        <v>0</v>
      </c>
      <c r="O121" t="n">
        <v>1</v>
      </c>
      <c r="P121" t="n">
        <v>0</v>
      </c>
      <c r="Q121" t="n">
        <v>2</v>
      </c>
      <c r="R121" s="2" t="inlineStr">
        <is>
          <t>Slåtterfibbla
Korallrot</t>
        </is>
      </c>
      <c r="S121">
        <f>HYPERLINK("https://klasma.github.io/Logging_2380/artfynd/A 54872-2025 artfynd.xlsx", "A 54872-2025")</f>
        <v/>
      </c>
      <c r="T121">
        <f>HYPERLINK("https://klasma.github.io/Logging_2380/kartor/A 54872-2025 karta.png", "A 54872-2025")</f>
        <v/>
      </c>
      <c r="V121">
        <f>HYPERLINK("https://klasma.github.io/Logging_2380/klagomål/A 54872-2025 FSC-klagomål.docx", "A 54872-2025")</f>
        <v/>
      </c>
      <c r="W121">
        <f>HYPERLINK("https://klasma.github.io/Logging_2380/klagomålsmail/A 54872-2025 FSC-klagomål mail.docx", "A 54872-2025")</f>
        <v/>
      </c>
      <c r="X121">
        <f>HYPERLINK("https://klasma.github.io/Logging_2380/tillsyn/A 54872-2025 tillsynsbegäran.docx", "A 54872-2025")</f>
        <v/>
      </c>
      <c r="Y121">
        <f>HYPERLINK("https://klasma.github.io/Logging_2380/tillsynsmail/A 54872-2025 tillsynsbegäran mail.docx", "A 54872-2025")</f>
        <v/>
      </c>
    </row>
    <row r="122" ht="15" customHeight="1">
      <c r="A122" t="inlineStr">
        <is>
          <t>A 58931-2025</t>
        </is>
      </c>
      <c r="B122" s="1" t="n">
        <v>45987.55831018519</v>
      </c>
      <c r="C122" s="1" t="n">
        <v>46076</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63930-2023</t>
        </is>
      </c>
      <c r="B123" s="1" t="n">
        <v>45278</v>
      </c>
      <c r="C123" s="1" t="n">
        <v>46076</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59793-2022</t>
        </is>
      </c>
      <c r="B124" s="1" t="n">
        <v>44908</v>
      </c>
      <c r="C124" s="1" t="n">
        <v>46076</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46105-2021</t>
        </is>
      </c>
      <c r="B125" s="1" t="n">
        <v>44441</v>
      </c>
      <c r="C125" s="1" t="n">
        <v>46076</v>
      </c>
      <c r="D125" t="inlineStr">
        <is>
          <t>JÄMTLANDS LÄN</t>
        </is>
      </c>
      <c r="E125" t="inlineStr">
        <is>
          <t>ÖSTERSUND</t>
        </is>
      </c>
      <c r="G125" t="n">
        <v>4.4</v>
      </c>
      <c r="H125" t="n">
        <v>2</v>
      </c>
      <c r="I125" t="n">
        <v>0</v>
      </c>
      <c r="J125" t="n">
        <v>1</v>
      </c>
      <c r="K125" t="n">
        <v>1</v>
      </c>
      <c r="L125" t="n">
        <v>0</v>
      </c>
      <c r="M125" t="n">
        <v>0</v>
      </c>
      <c r="N125" t="n">
        <v>0</v>
      </c>
      <c r="O125" t="n">
        <v>2</v>
      </c>
      <c r="P125" t="n">
        <v>1</v>
      </c>
      <c r="Q125" t="n">
        <v>2</v>
      </c>
      <c r="R125" s="2" t="inlineStr">
        <is>
          <t>Tallbit
Tretåig hackspett</t>
        </is>
      </c>
      <c r="S125">
        <f>HYPERLINK("https://klasma.github.io/Logging_2380/artfynd/A 46105-2021 artfynd.xlsx", "A 46105-2021")</f>
        <v/>
      </c>
      <c r="T125">
        <f>HYPERLINK("https://klasma.github.io/Logging_2380/kartor/A 46105-2021 karta.png", "A 46105-2021")</f>
        <v/>
      </c>
      <c r="V125">
        <f>HYPERLINK("https://klasma.github.io/Logging_2380/klagomål/A 46105-2021 FSC-klagomål.docx", "A 46105-2021")</f>
        <v/>
      </c>
      <c r="W125">
        <f>HYPERLINK("https://klasma.github.io/Logging_2380/klagomålsmail/A 46105-2021 FSC-klagomål mail.docx", "A 46105-2021")</f>
        <v/>
      </c>
      <c r="X125">
        <f>HYPERLINK("https://klasma.github.io/Logging_2380/tillsyn/A 46105-2021 tillsynsbegäran.docx", "A 46105-2021")</f>
        <v/>
      </c>
      <c r="Y125">
        <f>HYPERLINK("https://klasma.github.io/Logging_2380/tillsynsmail/A 46105-2021 tillsynsbegäran mail.docx", "A 46105-2021")</f>
        <v/>
      </c>
      <c r="Z125">
        <f>HYPERLINK("https://klasma.github.io/Logging_2380/fåglar/A 46105-2021 prioriterade fågelarter.docx", "A 46105-2021")</f>
        <v/>
      </c>
    </row>
    <row r="126" ht="15" customHeight="1">
      <c r="A126" t="inlineStr">
        <is>
          <t>A 47385-2022</t>
        </is>
      </c>
      <c r="B126" s="1" t="n">
        <v>44853</v>
      </c>
      <c r="C126" s="1" t="n">
        <v>46076</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46076</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56750-2025</t>
        </is>
      </c>
      <c r="B128" s="1" t="n">
        <v>45975</v>
      </c>
      <c r="C128" s="1" t="n">
        <v>46076</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52129-2023</t>
        </is>
      </c>
      <c r="B129" s="1" t="n">
        <v>45223</v>
      </c>
      <c r="C129" s="1" t="n">
        <v>46076</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46076</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46076</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46076</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46076</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13795-2025</t>
        </is>
      </c>
      <c r="B134" s="1" t="n">
        <v>45737</v>
      </c>
      <c r="C134" s="1" t="n">
        <v>46076</v>
      </c>
      <c r="D134" t="inlineStr">
        <is>
          <t>JÄMTLANDS LÄN</t>
        </is>
      </c>
      <c r="E134" t="inlineStr">
        <is>
          <t>ÖSTERSUND</t>
        </is>
      </c>
      <c r="G134" t="n">
        <v>13.4</v>
      </c>
      <c r="H134" t="n">
        <v>1</v>
      </c>
      <c r="I134" t="n">
        <v>0</v>
      </c>
      <c r="J134" t="n">
        <v>1</v>
      </c>
      <c r="K134" t="n">
        <v>1</v>
      </c>
      <c r="L134" t="n">
        <v>0</v>
      </c>
      <c r="M134" t="n">
        <v>0</v>
      </c>
      <c r="N134" t="n">
        <v>0</v>
      </c>
      <c r="O134" t="n">
        <v>2</v>
      </c>
      <c r="P134" t="n">
        <v>1</v>
      </c>
      <c r="Q134" t="n">
        <v>2</v>
      </c>
      <c r="R134" s="2" t="inlineStr">
        <is>
          <t>Knärot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row>
    <row r="135" ht="15" customHeight="1">
      <c r="A135" t="inlineStr">
        <is>
          <t>A 60534-2022</t>
        </is>
      </c>
      <c r="B135" s="1" t="n">
        <v>44904</v>
      </c>
      <c r="C135" s="1" t="n">
        <v>46076</v>
      </c>
      <c r="D135" t="inlineStr">
        <is>
          <t>JÄMTLANDS LÄN</t>
        </is>
      </c>
      <c r="E135" t="inlineStr">
        <is>
          <t>ÖSTERSUND</t>
        </is>
      </c>
      <c r="G135" t="n">
        <v>9.9</v>
      </c>
      <c r="H135" t="n">
        <v>0</v>
      </c>
      <c r="I135" t="n">
        <v>0</v>
      </c>
      <c r="J135" t="n">
        <v>2</v>
      </c>
      <c r="K135" t="n">
        <v>0</v>
      </c>
      <c r="L135" t="n">
        <v>0</v>
      </c>
      <c r="M135" t="n">
        <v>0</v>
      </c>
      <c r="N135" t="n">
        <v>0</v>
      </c>
      <c r="O135" t="n">
        <v>2</v>
      </c>
      <c r="P135" t="n">
        <v>0</v>
      </c>
      <c r="Q135" t="n">
        <v>2</v>
      </c>
      <c r="R135" s="2" t="inlineStr">
        <is>
          <t>Rosenticka
Ullticka</t>
        </is>
      </c>
      <c r="S135">
        <f>HYPERLINK("https://klasma.github.io/Logging_2380/artfynd/A 60534-2022 artfynd.xlsx", "A 60534-2022")</f>
        <v/>
      </c>
      <c r="T135">
        <f>HYPERLINK("https://klasma.github.io/Logging_2380/kartor/A 60534-2022 karta.png", "A 60534-2022")</f>
        <v/>
      </c>
      <c r="V135">
        <f>HYPERLINK("https://klasma.github.io/Logging_2380/klagomål/A 60534-2022 FSC-klagomål.docx", "A 60534-2022")</f>
        <v/>
      </c>
      <c r="W135">
        <f>HYPERLINK("https://klasma.github.io/Logging_2380/klagomålsmail/A 60534-2022 FSC-klagomål mail.docx", "A 60534-2022")</f>
        <v/>
      </c>
      <c r="X135">
        <f>HYPERLINK("https://klasma.github.io/Logging_2380/tillsyn/A 60534-2022 tillsynsbegäran.docx", "A 60534-2022")</f>
        <v/>
      </c>
      <c r="Y135">
        <f>HYPERLINK("https://klasma.github.io/Logging_2380/tillsynsmail/A 60534-2022 tillsynsbegäran mail.docx", "A 60534-2022")</f>
        <v/>
      </c>
    </row>
    <row r="136" ht="15" customHeight="1">
      <c r="A136" t="inlineStr">
        <is>
          <t>A 26612-2025</t>
        </is>
      </c>
      <c r="B136" s="1" t="n">
        <v>45810</v>
      </c>
      <c r="C136" s="1" t="n">
        <v>46076</v>
      </c>
      <c r="D136" t="inlineStr">
        <is>
          <t>JÄMTLANDS LÄN</t>
        </is>
      </c>
      <c r="E136" t="inlineStr">
        <is>
          <t>ÖSTERSUND</t>
        </is>
      </c>
      <c r="G136" t="n">
        <v>20.6</v>
      </c>
      <c r="H136" t="n">
        <v>1</v>
      </c>
      <c r="I136" t="n">
        <v>0</v>
      </c>
      <c r="J136" t="n">
        <v>0</v>
      </c>
      <c r="K136" t="n">
        <v>1</v>
      </c>
      <c r="L136" t="n">
        <v>1</v>
      </c>
      <c r="M136" t="n">
        <v>0</v>
      </c>
      <c r="N136" t="n">
        <v>0</v>
      </c>
      <c r="O136" t="n">
        <v>2</v>
      </c>
      <c r="P136" t="n">
        <v>2</v>
      </c>
      <c r="Q136" t="n">
        <v>2</v>
      </c>
      <c r="R136" s="2" t="inlineStr">
        <is>
          <t>Violett guldvinge
Turkos blåvinge</t>
        </is>
      </c>
      <c r="S136">
        <f>HYPERLINK("https://klasma.github.io/Logging_2380/artfynd/A 26612-2025 artfynd.xlsx", "A 26612-2025")</f>
        <v/>
      </c>
      <c r="T136">
        <f>HYPERLINK("https://klasma.github.io/Logging_2380/kartor/A 26612-2025 karta.png", "A 26612-2025")</f>
        <v/>
      </c>
      <c r="V136">
        <f>HYPERLINK("https://klasma.github.io/Logging_2380/klagomål/A 26612-2025 FSC-klagomål.docx", "A 26612-2025")</f>
        <v/>
      </c>
      <c r="W136">
        <f>HYPERLINK("https://klasma.github.io/Logging_2380/klagomålsmail/A 26612-2025 FSC-klagomål mail.docx", "A 26612-2025")</f>
        <v/>
      </c>
      <c r="X136">
        <f>HYPERLINK("https://klasma.github.io/Logging_2380/tillsyn/A 26612-2025 tillsynsbegäran.docx", "A 26612-2025")</f>
        <v/>
      </c>
      <c r="Y136">
        <f>HYPERLINK("https://klasma.github.io/Logging_2380/tillsynsmail/A 26612-2025 tillsynsbegäran mail.docx", "A 26612-2025")</f>
        <v/>
      </c>
    </row>
    <row r="137" ht="15" customHeight="1">
      <c r="A137" t="inlineStr">
        <is>
          <t>A 33137-2021</t>
        </is>
      </c>
      <c r="B137" s="1" t="n">
        <v>44376</v>
      </c>
      <c r="C137" s="1" t="n">
        <v>46076</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46076</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46076</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46163-2021</t>
        </is>
      </c>
      <c r="B140" s="1" t="n">
        <v>44441</v>
      </c>
      <c r="C140" s="1" t="n">
        <v>46076</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46076</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59108-2024</t>
        </is>
      </c>
      <c r="B142" s="1" t="n">
        <v>45637.34469907408</v>
      </c>
      <c r="C142" s="1" t="n">
        <v>46076</v>
      </c>
      <c r="D142" t="inlineStr">
        <is>
          <t>JÄMTLANDS LÄN</t>
        </is>
      </c>
      <c r="E142" t="inlineStr">
        <is>
          <t>ÖSTERSUND</t>
        </is>
      </c>
      <c r="F142" t="inlineStr">
        <is>
          <t>SCA</t>
        </is>
      </c>
      <c r="G142" t="n">
        <v>10.6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59108-2024 artfynd.xlsx", "A 59108-2024")</f>
        <v/>
      </c>
      <c r="T142">
        <f>HYPERLINK("https://klasma.github.io/Logging_2380/kartor/A 59108-2024 karta.png", "A 59108-2024")</f>
        <v/>
      </c>
      <c r="V142">
        <f>HYPERLINK("https://klasma.github.io/Logging_2380/klagomål/A 59108-2024 FSC-klagomål.docx", "A 59108-2024")</f>
        <v/>
      </c>
      <c r="W142">
        <f>HYPERLINK("https://klasma.github.io/Logging_2380/klagomålsmail/A 59108-2024 FSC-klagomål mail.docx", "A 59108-2024")</f>
        <v/>
      </c>
      <c r="X142">
        <f>HYPERLINK("https://klasma.github.io/Logging_2380/tillsyn/A 59108-2024 tillsynsbegäran.docx", "A 59108-2024")</f>
        <v/>
      </c>
      <c r="Y142">
        <f>HYPERLINK("https://klasma.github.io/Logging_2380/tillsynsmail/A 59108-2024 tillsynsbegäran mail.docx", "A 59108-2024")</f>
        <v/>
      </c>
      <c r="Z142">
        <f>HYPERLINK("https://klasma.github.io/Logging_2380/fåglar/A 59108-2024 prioriterade fågelarter.docx", "A 59108-2024")</f>
        <v/>
      </c>
    </row>
    <row r="143" ht="15" customHeight="1">
      <c r="A143" t="inlineStr">
        <is>
          <t>A 64380-2023</t>
        </is>
      </c>
      <c r="B143" s="1" t="n">
        <v>45280.56451388889</v>
      </c>
      <c r="C143" s="1" t="n">
        <v>46076</v>
      </c>
      <c r="D143" t="inlineStr">
        <is>
          <t>JÄMTLANDS LÄN</t>
        </is>
      </c>
      <c r="E143" t="inlineStr">
        <is>
          <t>ÖSTERSUND</t>
        </is>
      </c>
      <c r="G143" t="n">
        <v>12.4</v>
      </c>
      <c r="H143" t="n">
        <v>0</v>
      </c>
      <c r="I143" t="n">
        <v>0</v>
      </c>
      <c r="J143" t="n">
        <v>1</v>
      </c>
      <c r="K143" t="n">
        <v>0</v>
      </c>
      <c r="L143" t="n">
        <v>0</v>
      </c>
      <c r="M143" t="n">
        <v>0</v>
      </c>
      <c r="N143" t="n">
        <v>0</v>
      </c>
      <c r="O143" t="n">
        <v>1</v>
      </c>
      <c r="P143" t="n">
        <v>0</v>
      </c>
      <c r="Q143" t="n">
        <v>1</v>
      </c>
      <c r="R143" s="2" t="inlineStr">
        <is>
          <t>Luddfingersvamp</t>
        </is>
      </c>
      <c r="S143">
        <f>HYPERLINK("https://klasma.github.io/Logging_2380/artfynd/A 64380-2023 artfynd.xlsx", "A 64380-2023")</f>
        <v/>
      </c>
      <c r="T143">
        <f>HYPERLINK("https://klasma.github.io/Logging_2380/kartor/A 64380-2023 karta.png", "A 64380-2023")</f>
        <v/>
      </c>
      <c r="V143">
        <f>HYPERLINK("https://klasma.github.io/Logging_2380/klagomål/A 64380-2023 FSC-klagomål.docx", "A 64380-2023")</f>
        <v/>
      </c>
      <c r="W143">
        <f>HYPERLINK("https://klasma.github.io/Logging_2380/klagomålsmail/A 64380-2023 FSC-klagomål mail.docx", "A 64380-2023")</f>
        <v/>
      </c>
      <c r="X143">
        <f>HYPERLINK("https://klasma.github.io/Logging_2380/tillsyn/A 64380-2023 tillsynsbegäran.docx", "A 64380-2023")</f>
        <v/>
      </c>
      <c r="Y143">
        <f>HYPERLINK("https://klasma.github.io/Logging_2380/tillsynsmail/A 64380-2023 tillsynsbegäran mail.docx", "A 64380-2023")</f>
        <v/>
      </c>
    </row>
    <row r="144" ht="15" customHeight="1">
      <c r="A144" t="inlineStr">
        <is>
          <t>A 55821-2021</t>
        </is>
      </c>
      <c r="B144" s="1" t="n">
        <v>44476</v>
      </c>
      <c r="C144" s="1" t="n">
        <v>46076</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46076</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33550-2025</t>
        </is>
      </c>
      <c r="B146" s="1" t="n">
        <v>45841.57331018519</v>
      </c>
      <c r="C146" s="1" t="n">
        <v>46076</v>
      </c>
      <c r="D146" t="inlineStr">
        <is>
          <t>JÄMTLANDS LÄN</t>
        </is>
      </c>
      <c r="E146" t="inlineStr">
        <is>
          <t>ÖSTERSUND</t>
        </is>
      </c>
      <c r="F146" t="inlineStr">
        <is>
          <t>SCA</t>
        </is>
      </c>
      <c r="G146" t="n">
        <v>7.3</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33550-2025 artfynd.xlsx", "A 33550-2025")</f>
        <v/>
      </c>
      <c r="T146">
        <f>HYPERLINK("https://klasma.github.io/Logging_2380/kartor/A 33550-2025 karta.png", "A 33550-2025")</f>
        <v/>
      </c>
      <c r="V146">
        <f>HYPERLINK("https://klasma.github.io/Logging_2380/klagomål/A 33550-2025 FSC-klagomål.docx", "A 33550-2025")</f>
        <v/>
      </c>
      <c r="W146">
        <f>HYPERLINK("https://klasma.github.io/Logging_2380/klagomålsmail/A 33550-2025 FSC-klagomål mail.docx", "A 33550-2025")</f>
        <v/>
      </c>
      <c r="X146">
        <f>HYPERLINK("https://klasma.github.io/Logging_2380/tillsyn/A 33550-2025 tillsynsbegäran.docx", "A 33550-2025")</f>
        <v/>
      </c>
      <c r="Y146">
        <f>HYPERLINK("https://klasma.github.io/Logging_2380/tillsynsmail/A 33550-2025 tillsynsbegäran mail.docx", "A 33550-2025")</f>
        <v/>
      </c>
    </row>
    <row r="147" ht="15" customHeight="1">
      <c r="A147" t="inlineStr">
        <is>
          <t>A 43188-2025</t>
        </is>
      </c>
      <c r="B147" s="1" t="n">
        <v>45910.41201388889</v>
      </c>
      <c r="C147" s="1" t="n">
        <v>46076</v>
      </c>
      <c r="D147" t="inlineStr">
        <is>
          <t>JÄMTLANDS LÄN</t>
        </is>
      </c>
      <c r="E147" t="inlineStr">
        <is>
          <t>ÖSTERSUND</t>
        </is>
      </c>
      <c r="G147" t="n">
        <v>8.6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43188-2025 artfynd.xlsx", "A 43188-2025")</f>
        <v/>
      </c>
      <c r="T147">
        <f>HYPERLINK("https://klasma.github.io/Logging_2380/kartor/A 43188-2025 karta.png", "A 43188-2025")</f>
        <v/>
      </c>
      <c r="V147">
        <f>HYPERLINK("https://klasma.github.io/Logging_2380/klagomål/A 43188-2025 FSC-klagomål.docx", "A 43188-2025")</f>
        <v/>
      </c>
      <c r="W147">
        <f>HYPERLINK("https://klasma.github.io/Logging_2380/klagomålsmail/A 43188-2025 FSC-klagomål mail.docx", "A 43188-2025")</f>
        <v/>
      </c>
      <c r="X147">
        <f>HYPERLINK("https://klasma.github.io/Logging_2380/tillsyn/A 43188-2025 tillsynsbegäran.docx", "A 43188-2025")</f>
        <v/>
      </c>
      <c r="Y147">
        <f>HYPERLINK("https://klasma.github.io/Logging_2380/tillsynsmail/A 43188-2025 tillsynsbegäran mail.docx", "A 43188-2025")</f>
        <v/>
      </c>
      <c r="Z147">
        <f>HYPERLINK("https://klasma.github.io/Logging_2380/fåglar/A 43188-2025 prioriterade fågelarter.docx", "A 43188-2025")</f>
        <v/>
      </c>
    </row>
    <row r="148" ht="15" customHeight="1">
      <c r="A148" t="inlineStr">
        <is>
          <t>A 36225-2025</t>
        </is>
      </c>
      <c r="B148" s="1" t="n">
        <v>45867.51128472222</v>
      </c>
      <c r="C148" s="1" t="n">
        <v>46076</v>
      </c>
      <c r="D148" t="inlineStr">
        <is>
          <t>JÄMTLANDS LÄN</t>
        </is>
      </c>
      <c r="E148" t="inlineStr">
        <is>
          <t>ÖSTERSUND</t>
        </is>
      </c>
      <c r="F148" t="inlineStr">
        <is>
          <t>SCA</t>
        </is>
      </c>
      <c r="G148" t="n">
        <v>1.8</v>
      </c>
      <c r="H148" t="n">
        <v>0</v>
      </c>
      <c r="I148" t="n">
        <v>0</v>
      </c>
      <c r="J148" t="n">
        <v>1</v>
      </c>
      <c r="K148" t="n">
        <v>0</v>
      </c>
      <c r="L148" t="n">
        <v>0</v>
      </c>
      <c r="M148" t="n">
        <v>0</v>
      </c>
      <c r="N148" t="n">
        <v>0</v>
      </c>
      <c r="O148" t="n">
        <v>1</v>
      </c>
      <c r="P148" t="n">
        <v>0</v>
      </c>
      <c r="Q148" t="n">
        <v>1</v>
      </c>
      <c r="R148" s="2" t="inlineStr">
        <is>
          <t>Kolflarnlav</t>
        </is>
      </c>
      <c r="S148">
        <f>HYPERLINK("https://klasma.github.io/Logging_2380/artfynd/A 36225-2025 artfynd.xlsx", "A 36225-2025")</f>
        <v/>
      </c>
      <c r="T148">
        <f>HYPERLINK("https://klasma.github.io/Logging_2380/kartor/A 36225-2025 karta.png", "A 36225-2025")</f>
        <v/>
      </c>
      <c r="V148">
        <f>HYPERLINK("https://klasma.github.io/Logging_2380/klagomål/A 36225-2025 FSC-klagomål.docx", "A 36225-2025")</f>
        <v/>
      </c>
      <c r="W148">
        <f>HYPERLINK("https://klasma.github.io/Logging_2380/klagomålsmail/A 36225-2025 FSC-klagomål mail.docx", "A 36225-2025")</f>
        <v/>
      </c>
      <c r="X148">
        <f>HYPERLINK("https://klasma.github.io/Logging_2380/tillsyn/A 36225-2025 tillsynsbegäran.docx", "A 36225-2025")</f>
        <v/>
      </c>
      <c r="Y148">
        <f>HYPERLINK("https://klasma.github.io/Logging_2380/tillsynsmail/A 36225-2025 tillsynsbegäran mail.docx", "A 36225-2025")</f>
        <v/>
      </c>
    </row>
    <row r="149" ht="15" customHeight="1">
      <c r="A149" t="inlineStr">
        <is>
          <t>A 28980-2023</t>
        </is>
      </c>
      <c r="B149" s="1" t="n">
        <v>45096</v>
      </c>
      <c r="C149" s="1" t="n">
        <v>46076</v>
      </c>
      <c r="D149" t="inlineStr">
        <is>
          <t>JÄMTLANDS LÄN</t>
        </is>
      </c>
      <c r="E149" t="inlineStr">
        <is>
          <t>ÖSTERSUND</t>
        </is>
      </c>
      <c r="G149" t="n">
        <v>2.7</v>
      </c>
      <c r="H149" t="n">
        <v>0</v>
      </c>
      <c r="I149" t="n">
        <v>1</v>
      </c>
      <c r="J149" t="n">
        <v>0</v>
      </c>
      <c r="K149" t="n">
        <v>0</v>
      </c>
      <c r="L149" t="n">
        <v>0</v>
      </c>
      <c r="M149" t="n">
        <v>0</v>
      </c>
      <c r="N149" t="n">
        <v>0</v>
      </c>
      <c r="O149" t="n">
        <v>0</v>
      </c>
      <c r="P149" t="n">
        <v>0</v>
      </c>
      <c r="Q149" t="n">
        <v>1</v>
      </c>
      <c r="R149" s="2" t="inlineStr">
        <is>
          <t>Finbräken</t>
        </is>
      </c>
      <c r="S149">
        <f>HYPERLINK("https://klasma.github.io/Logging_2380/artfynd/A 28980-2023 artfynd.xlsx", "A 28980-2023")</f>
        <v/>
      </c>
      <c r="T149">
        <f>HYPERLINK("https://klasma.github.io/Logging_2380/kartor/A 28980-2023 karta.png", "A 28980-2023")</f>
        <v/>
      </c>
      <c r="V149">
        <f>HYPERLINK("https://klasma.github.io/Logging_2380/klagomål/A 28980-2023 FSC-klagomål.docx", "A 28980-2023")</f>
        <v/>
      </c>
      <c r="W149">
        <f>HYPERLINK("https://klasma.github.io/Logging_2380/klagomålsmail/A 28980-2023 FSC-klagomål mail.docx", "A 28980-2023")</f>
        <v/>
      </c>
      <c r="X149">
        <f>HYPERLINK("https://klasma.github.io/Logging_2380/tillsyn/A 28980-2023 tillsynsbegäran.docx", "A 28980-2023")</f>
        <v/>
      </c>
      <c r="Y149">
        <f>HYPERLINK("https://klasma.github.io/Logging_2380/tillsynsmail/A 28980-2023 tillsynsbegäran mail.docx", "A 28980-2023")</f>
        <v/>
      </c>
    </row>
    <row r="150" ht="15" customHeight="1">
      <c r="A150" t="inlineStr">
        <is>
          <t>A 31883-2024</t>
        </is>
      </c>
      <c r="B150" s="1" t="n">
        <v>45509.9572800926</v>
      </c>
      <c r="C150" s="1" t="n">
        <v>46076</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47580-2025</t>
        </is>
      </c>
      <c r="B151" s="1" t="n">
        <v>45931.40935185185</v>
      </c>
      <c r="C151" s="1" t="n">
        <v>46076</v>
      </c>
      <c r="D151" t="inlineStr">
        <is>
          <t>JÄMTLANDS LÄN</t>
        </is>
      </c>
      <c r="E151" t="inlineStr">
        <is>
          <t>ÖSTERSUND</t>
        </is>
      </c>
      <c r="G151" t="n">
        <v>4.1</v>
      </c>
      <c r="H151" t="n">
        <v>1</v>
      </c>
      <c r="I151" t="n">
        <v>0</v>
      </c>
      <c r="J151" t="n">
        <v>0</v>
      </c>
      <c r="K151" t="n">
        <v>0</v>
      </c>
      <c r="L151" t="n">
        <v>0</v>
      </c>
      <c r="M151" t="n">
        <v>0</v>
      </c>
      <c r="N151" t="n">
        <v>0</v>
      </c>
      <c r="O151" t="n">
        <v>0</v>
      </c>
      <c r="P151" t="n">
        <v>0</v>
      </c>
      <c r="Q151" t="n">
        <v>1</v>
      </c>
      <c r="R151" s="2" t="inlineStr">
        <is>
          <t>Revlummer</t>
        </is>
      </c>
      <c r="S151">
        <f>HYPERLINK("https://klasma.github.io/Logging_2380/artfynd/A 47580-2025 artfynd.xlsx", "A 47580-2025")</f>
        <v/>
      </c>
      <c r="T151">
        <f>HYPERLINK("https://klasma.github.io/Logging_2380/kartor/A 47580-2025 karta.png", "A 47580-2025")</f>
        <v/>
      </c>
      <c r="V151">
        <f>HYPERLINK("https://klasma.github.io/Logging_2380/klagomål/A 47580-2025 FSC-klagomål.docx", "A 47580-2025")</f>
        <v/>
      </c>
      <c r="W151">
        <f>HYPERLINK("https://klasma.github.io/Logging_2380/klagomålsmail/A 47580-2025 FSC-klagomål mail.docx", "A 47580-2025")</f>
        <v/>
      </c>
      <c r="X151">
        <f>HYPERLINK("https://klasma.github.io/Logging_2380/tillsyn/A 47580-2025 tillsynsbegäran.docx", "A 47580-2025")</f>
        <v/>
      </c>
      <c r="Y151">
        <f>HYPERLINK("https://klasma.github.io/Logging_2380/tillsynsmail/A 47580-2025 tillsynsbegäran mail.docx", "A 47580-2025")</f>
        <v/>
      </c>
    </row>
    <row r="152" ht="15" customHeight="1">
      <c r="A152" t="inlineStr">
        <is>
          <t>A 9739-2022</t>
        </is>
      </c>
      <c r="B152" s="1" t="n">
        <v>44617</v>
      </c>
      <c r="C152" s="1" t="n">
        <v>46076</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24368-2025</t>
        </is>
      </c>
      <c r="B153" s="1" t="n">
        <v>45797.60623842593</v>
      </c>
      <c r="C153" s="1" t="n">
        <v>46076</v>
      </c>
      <c r="D153" t="inlineStr">
        <is>
          <t>JÄMTLANDS LÄN</t>
        </is>
      </c>
      <c r="E153" t="inlineStr">
        <is>
          <t>ÖSTERSUND</t>
        </is>
      </c>
      <c r="G153" t="n">
        <v>2.9</v>
      </c>
      <c r="H153" t="n">
        <v>0</v>
      </c>
      <c r="I153" t="n">
        <v>0</v>
      </c>
      <c r="J153" t="n">
        <v>0</v>
      </c>
      <c r="K153" t="n">
        <v>1</v>
      </c>
      <c r="L153" t="n">
        <v>0</v>
      </c>
      <c r="M153" t="n">
        <v>0</v>
      </c>
      <c r="N153" t="n">
        <v>0</v>
      </c>
      <c r="O153" t="n">
        <v>1</v>
      </c>
      <c r="P153" t="n">
        <v>1</v>
      </c>
      <c r="Q153" t="n">
        <v>1</v>
      </c>
      <c r="R153" s="2" t="inlineStr">
        <is>
          <t>Fjällfotad fingersvamp</t>
        </is>
      </c>
      <c r="S153">
        <f>HYPERLINK("https://klasma.github.io/Logging_2380/artfynd/A 24368-2025 artfynd.xlsx", "A 24368-2025")</f>
        <v/>
      </c>
      <c r="T153">
        <f>HYPERLINK("https://klasma.github.io/Logging_2380/kartor/A 24368-2025 karta.png", "A 24368-2025")</f>
        <v/>
      </c>
      <c r="V153">
        <f>HYPERLINK("https://klasma.github.io/Logging_2380/klagomål/A 24368-2025 FSC-klagomål.docx", "A 24368-2025")</f>
        <v/>
      </c>
      <c r="W153">
        <f>HYPERLINK("https://klasma.github.io/Logging_2380/klagomålsmail/A 24368-2025 FSC-klagomål mail.docx", "A 24368-2025")</f>
        <v/>
      </c>
      <c r="X153">
        <f>HYPERLINK("https://klasma.github.io/Logging_2380/tillsyn/A 24368-2025 tillsynsbegäran.docx", "A 24368-2025")</f>
        <v/>
      </c>
      <c r="Y153">
        <f>HYPERLINK("https://klasma.github.io/Logging_2380/tillsynsmail/A 24368-2025 tillsynsbegäran mail.docx", "A 24368-2025")</f>
        <v/>
      </c>
    </row>
    <row r="154" ht="15" customHeight="1">
      <c r="A154" t="inlineStr">
        <is>
          <t>A 44049-2024</t>
        </is>
      </c>
      <c r="B154" s="1" t="n">
        <v>45572.59462962963</v>
      </c>
      <c r="C154" s="1" t="n">
        <v>46076</v>
      </c>
      <c r="D154" t="inlineStr">
        <is>
          <t>JÄMTLANDS LÄN</t>
        </is>
      </c>
      <c r="E154" t="inlineStr">
        <is>
          <t>ÖSTERSUND</t>
        </is>
      </c>
      <c r="F154" t="inlineStr">
        <is>
          <t>SCA</t>
        </is>
      </c>
      <c r="G154" t="n">
        <v>4.5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44049-2024 artfynd.xlsx", "A 44049-2024")</f>
        <v/>
      </c>
      <c r="T154">
        <f>HYPERLINK("https://klasma.github.io/Logging_2380/kartor/A 44049-2024 karta.png", "A 44049-2024")</f>
        <v/>
      </c>
      <c r="V154">
        <f>HYPERLINK("https://klasma.github.io/Logging_2380/klagomål/A 44049-2024 FSC-klagomål.docx", "A 44049-2024")</f>
        <v/>
      </c>
      <c r="W154">
        <f>HYPERLINK("https://klasma.github.io/Logging_2380/klagomålsmail/A 44049-2024 FSC-klagomål mail.docx", "A 44049-2024")</f>
        <v/>
      </c>
      <c r="X154">
        <f>HYPERLINK("https://klasma.github.io/Logging_2380/tillsyn/A 44049-2024 tillsynsbegäran.docx", "A 44049-2024")</f>
        <v/>
      </c>
      <c r="Y154">
        <f>HYPERLINK("https://klasma.github.io/Logging_2380/tillsynsmail/A 44049-2024 tillsynsbegäran mail.docx", "A 44049-2024")</f>
        <v/>
      </c>
    </row>
    <row r="155" ht="15" customHeight="1">
      <c r="A155" t="inlineStr">
        <is>
          <t>A 54354-2024</t>
        </is>
      </c>
      <c r="B155" s="1" t="n">
        <v>45617.40244212963</v>
      </c>
      <c r="C155" s="1" t="n">
        <v>46076</v>
      </c>
      <c r="D155" t="inlineStr">
        <is>
          <t>JÄMTLANDS LÄN</t>
        </is>
      </c>
      <c r="E155" t="inlineStr">
        <is>
          <t>ÖSTERSUND</t>
        </is>
      </c>
      <c r="G155" t="n">
        <v>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54354-2024 artfynd.xlsx", "A 54354-2024")</f>
        <v/>
      </c>
      <c r="T155">
        <f>HYPERLINK("https://klasma.github.io/Logging_2380/kartor/A 54354-2024 karta.png", "A 54354-2024")</f>
        <v/>
      </c>
      <c r="V155">
        <f>HYPERLINK("https://klasma.github.io/Logging_2380/klagomål/A 54354-2024 FSC-klagomål.docx", "A 54354-2024")</f>
        <v/>
      </c>
      <c r="W155">
        <f>HYPERLINK("https://klasma.github.io/Logging_2380/klagomålsmail/A 54354-2024 FSC-klagomål mail.docx", "A 54354-2024")</f>
        <v/>
      </c>
      <c r="X155">
        <f>HYPERLINK("https://klasma.github.io/Logging_2380/tillsyn/A 54354-2024 tillsynsbegäran.docx", "A 54354-2024")</f>
        <v/>
      </c>
      <c r="Y155">
        <f>HYPERLINK("https://klasma.github.io/Logging_2380/tillsynsmail/A 54354-2024 tillsynsbegäran mail.docx", "A 54354-2024")</f>
        <v/>
      </c>
      <c r="Z155">
        <f>HYPERLINK("https://klasma.github.io/Logging_2380/fåglar/A 54354-2024 prioriterade fågelarter.docx", "A 54354-2024")</f>
        <v/>
      </c>
    </row>
    <row r="156" ht="15" customHeight="1">
      <c r="A156" t="inlineStr">
        <is>
          <t>A 53300-2025</t>
        </is>
      </c>
      <c r="B156" s="1" t="n">
        <v>45959.32394675926</v>
      </c>
      <c r="C156" s="1" t="n">
        <v>46076</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58181-2022</t>
        </is>
      </c>
      <c r="B157" s="1" t="n">
        <v>44900</v>
      </c>
      <c r="C157" s="1" t="n">
        <v>46076</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41312-2024</t>
        </is>
      </c>
      <c r="B158" s="1" t="n">
        <v>45559.63584490741</v>
      </c>
      <c r="C158" s="1" t="n">
        <v>46076</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58274-2025</t>
        </is>
      </c>
      <c r="B159" s="1" t="n">
        <v>45985.43086805556</v>
      </c>
      <c r="C159" s="1" t="n">
        <v>46076</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33267-2022</t>
        </is>
      </c>
      <c r="B160" s="1" t="n">
        <v>44785</v>
      </c>
      <c r="C160" s="1" t="n">
        <v>46076</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57065-2024</t>
        </is>
      </c>
      <c r="B161" s="1" t="n">
        <v>45629.35344907407</v>
      </c>
      <c r="C161" s="1" t="n">
        <v>46076</v>
      </c>
      <c r="D161" t="inlineStr">
        <is>
          <t>JÄMTLANDS LÄN</t>
        </is>
      </c>
      <c r="E161" t="inlineStr">
        <is>
          <t>ÖSTERSUND</t>
        </is>
      </c>
      <c r="F161" t="inlineStr">
        <is>
          <t>SCA</t>
        </is>
      </c>
      <c r="G161" t="n">
        <v>6.3</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57065-2024 artfynd.xlsx", "A 57065-2024")</f>
        <v/>
      </c>
      <c r="T161">
        <f>HYPERLINK("https://klasma.github.io/Logging_2380/kartor/A 57065-2024 karta.png", "A 57065-2024")</f>
        <v/>
      </c>
      <c r="V161">
        <f>HYPERLINK("https://klasma.github.io/Logging_2380/klagomål/A 57065-2024 FSC-klagomål.docx", "A 57065-2024")</f>
        <v/>
      </c>
      <c r="W161">
        <f>HYPERLINK("https://klasma.github.io/Logging_2380/klagomålsmail/A 57065-2024 FSC-klagomål mail.docx", "A 57065-2024")</f>
        <v/>
      </c>
      <c r="X161">
        <f>HYPERLINK("https://klasma.github.io/Logging_2380/tillsyn/A 57065-2024 tillsynsbegäran.docx", "A 57065-2024")</f>
        <v/>
      </c>
      <c r="Y161">
        <f>HYPERLINK("https://klasma.github.io/Logging_2380/tillsynsmail/A 57065-2024 tillsynsbegäran mail.docx", "A 57065-2024")</f>
        <v/>
      </c>
      <c r="Z161">
        <f>HYPERLINK("https://klasma.github.io/Logging_2380/fåglar/A 57065-2024 prioriterade fågelarter.docx", "A 57065-2024")</f>
        <v/>
      </c>
    </row>
    <row r="162" ht="15" customHeight="1">
      <c r="A162" t="inlineStr">
        <is>
          <t>A 60966-2025</t>
        </is>
      </c>
      <c r="B162" s="1" t="n">
        <v>45999.67758101852</v>
      </c>
      <c r="C162" s="1" t="n">
        <v>46076</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3894-2026</t>
        </is>
      </c>
      <c r="B163" s="1" t="n">
        <v>46043.67922453704</v>
      </c>
      <c r="C163" s="1" t="n">
        <v>46076</v>
      </c>
      <c r="D163" t="inlineStr">
        <is>
          <t>JÄMTLANDS LÄN</t>
        </is>
      </c>
      <c r="E163" t="inlineStr">
        <is>
          <t>ÖSTERSUND</t>
        </is>
      </c>
      <c r="G163" t="n">
        <v>3.5</v>
      </c>
      <c r="H163" t="n">
        <v>0</v>
      </c>
      <c r="I163" t="n">
        <v>0</v>
      </c>
      <c r="J163" t="n">
        <v>0</v>
      </c>
      <c r="K163" t="n">
        <v>1</v>
      </c>
      <c r="L163" t="n">
        <v>0</v>
      </c>
      <c r="M163" t="n">
        <v>0</v>
      </c>
      <c r="N163" t="n">
        <v>0</v>
      </c>
      <c r="O163" t="n">
        <v>1</v>
      </c>
      <c r="P163" t="n">
        <v>1</v>
      </c>
      <c r="Q163" t="n">
        <v>1</v>
      </c>
      <c r="R163" s="2" t="inlineStr">
        <is>
          <t>Rynkskinn</t>
        </is>
      </c>
      <c r="S163">
        <f>HYPERLINK("https://klasma.github.io/Logging_2380/artfynd/A 3894-2026 artfynd.xlsx", "A 3894-2026")</f>
        <v/>
      </c>
      <c r="T163">
        <f>HYPERLINK("https://klasma.github.io/Logging_2380/kartor/A 3894-2026 karta.png", "A 3894-2026")</f>
        <v/>
      </c>
      <c r="V163">
        <f>HYPERLINK("https://klasma.github.io/Logging_2380/klagomål/A 3894-2026 FSC-klagomål.docx", "A 3894-2026")</f>
        <v/>
      </c>
      <c r="W163">
        <f>HYPERLINK("https://klasma.github.io/Logging_2380/klagomålsmail/A 3894-2026 FSC-klagomål mail.docx", "A 3894-2026")</f>
        <v/>
      </c>
      <c r="X163">
        <f>HYPERLINK("https://klasma.github.io/Logging_2380/tillsyn/A 3894-2026 tillsynsbegäran.docx", "A 3894-2026")</f>
        <v/>
      </c>
      <c r="Y163">
        <f>HYPERLINK("https://klasma.github.io/Logging_2380/tillsynsmail/A 3894-2026 tillsynsbegäran mail.docx", "A 3894-2026")</f>
        <v/>
      </c>
    </row>
    <row r="164" ht="15" customHeight="1">
      <c r="A164" t="inlineStr">
        <is>
          <t>A 56201-2024</t>
        </is>
      </c>
      <c r="B164" s="1" t="n">
        <v>45624.59462962963</v>
      </c>
      <c r="C164" s="1" t="n">
        <v>46076</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3512-2026</t>
        </is>
      </c>
      <c r="B165" s="1" t="n">
        <v>46042.58655092592</v>
      </c>
      <c r="C165" s="1" t="n">
        <v>46076</v>
      </c>
      <c r="D165" t="inlineStr">
        <is>
          <t>JÄMTLANDS LÄN</t>
        </is>
      </c>
      <c r="E165" t="inlineStr">
        <is>
          <t>ÖSTERSUND</t>
        </is>
      </c>
      <c r="G165" t="n">
        <v>5.7</v>
      </c>
      <c r="H165" t="n">
        <v>0</v>
      </c>
      <c r="I165" t="n">
        <v>0</v>
      </c>
      <c r="J165" t="n">
        <v>1</v>
      </c>
      <c r="K165" t="n">
        <v>0</v>
      </c>
      <c r="L165" t="n">
        <v>0</v>
      </c>
      <c r="M165" t="n">
        <v>0</v>
      </c>
      <c r="N165" t="n">
        <v>0</v>
      </c>
      <c r="O165" t="n">
        <v>1</v>
      </c>
      <c r="P165" t="n">
        <v>0</v>
      </c>
      <c r="Q165" t="n">
        <v>1</v>
      </c>
      <c r="R165" s="2" t="inlineStr">
        <is>
          <t>Slåtterfibbla</t>
        </is>
      </c>
      <c r="S165">
        <f>HYPERLINK("https://klasma.github.io/Logging_2380/artfynd/A 3512-2026 artfynd.xlsx", "A 3512-2026")</f>
        <v/>
      </c>
      <c r="T165">
        <f>HYPERLINK("https://klasma.github.io/Logging_2380/kartor/A 3512-2026 karta.png", "A 3512-2026")</f>
        <v/>
      </c>
      <c r="V165">
        <f>HYPERLINK("https://klasma.github.io/Logging_2380/klagomål/A 3512-2026 FSC-klagomål.docx", "A 3512-2026")</f>
        <v/>
      </c>
      <c r="W165">
        <f>HYPERLINK("https://klasma.github.io/Logging_2380/klagomålsmail/A 3512-2026 FSC-klagomål mail.docx", "A 3512-2026")</f>
        <v/>
      </c>
      <c r="X165">
        <f>HYPERLINK("https://klasma.github.io/Logging_2380/tillsyn/A 3512-2026 tillsynsbegäran.docx", "A 3512-2026")</f>
        <v/>
      </c>
      <c r="Y165">
        <f>HYPERLINK("https://klasma.github.io/Logging_2380/tillsynsmail/A 3512-2026 tillsynsbegäran mail.docx", "A 3512-2026")</f>
        <v/>
      </c>
    </row>
    <row r="166" ht="15" customHeight="1">
      <c r="A166" t="inlineStr">
        <is>
          <t>A 11513-2024</t>
        </is>
      </c>
      <c r="B166" s="1" t="n">
        <v>45372</v>
      </c>
      <c r="C166" s="1" t="n">
        <v>46076</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40781-2025</t>
        </is>
      </c>
      <c r="B167" s="1" t="n">
        <v>45897</v>
      </c>
      <c r="C167" s="1" t="n">
        <v>46076</v>
      </c>
      <c r="D167" t="inlineStr">
        <is>
          <t>JÄMTLANDS LÄN</t>
        </is>
      </c>
      <c r="E167" t="inlineStr">
        <is>
          <t>ÖSTERSUND</t>
        </is>
      </c>
      <c r="F167" t="inlineStr">
        <is>
          <t>Övriga Aktiebolag</t>
        </is>
      </c>
      <c r="G167" t="n">
        <v>2.2</v>
      </c>
      <c r="H167" t="n">
        <v>1</v>
      </c>
      <c r="I167" t="n">
        <v>0</v>
      </c>
      <c r="J167" t="n">
        <v>0</v>
      </c>
      <c r="K167" t="n">
        <v>0</v>
      </c>
      <c r="L167" t="n">
        <v>0</v>
      </c>
      <c r="M167" t="n">
        <v>0</v>
      </c>
      <c r="N167" t="n">
        <v>0</v>
      </c>
      <c r="O167" t="n">
        <v>0</v>
      </c>
      <c r="P167" t="n">
        <v>0</v>
      </c>
      <c r="Q167" t="n">
        <v>1</v>
      </c>
      <c r="R167" s="2" t="inlineStr">
        <is>
          <t>Blåsippa</t>
        </is>
      </c>
      <c r="S167">
        <f>HYPERLINK("https://klasma.github.io/Logging_2380/artfynd/A 40781-2025 artfynd.xlsx", "A 40781-2025")</f>
        <v/>
      </c>
      <c r="T167">
        <f>HYPERLINK("https://klasma.github.io/Logging_2380/kartor/A 40781-2025 karta.png", "A 40781-2025")</f>
        <v/>
      </c>
      <c r="V167">
        <f>HYPERLINK("https://klasma.github.io/Logging_2380/klagomål/A 40781-2025 FSC-klagomål.docx", "A 40781-2025")</f>
        <v/>
      </c>
      <c r="W167">
        <f>HYPERLINK("https://klasma.github.io/Logging_2380/klagomålsmail/A 40781-2025 FSC-klagomål mail.docx", "A 40781-2025")</f>
        <v/>
      </c>
      <c r="X167">
        <f>HYPERLINK("https://klasma.github.io/Logging_2380/tillsyn/A 40781-2025 tillsynsbegäran.docx", "A 40781-2025")</f>
        <v/>
      </c>
      <c r="Y167">
        <f>HYPERLINK("https://klasma.github.io/Logging_2380/tillsynsmail/A 40781-2025 tillsynsbegäran mail.docx", "A 40781-2025")</f>
        <v/>
      </c>
    </row>
    <row r="168" ht="15" customHeight="1">
      <c r="A168" t="inlineStr">
        <is>
          <t>A 4223-2026</t>
        </is>
      </c>
      <c r="B168" s="1" t="n">
        <v>46044.84650462963</v>
      </c>
      <c r="C168" s="1" t="n">
        <v>46076</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Taggfingersvamp</t>
        </is>
      </c>
      <c r="S168">
        <f>HYPERLINK("https://klasma.github.io/Logging_2380/artfynd/A 4223-2026 artfynd.xlsx", "A 4223-2026")</f>
        <v/>
      </c>
      <c r="T168">
        <f>HYPERLINK("https://klasma.github.io/Logging_2380/kartor/A 4223-2026 karta.png", "A 4223-2026")</f>
        <v/>
      </c>
      <c r="V168">
        <f>HYPERLINK("https://klasma.github.io/Logging_2380/klagomål/A 4223-2026 FSC-klagomål.docx", "A 4223-2026")</f>
        <v/>
      </c>
      <c r="W168">
        <f>HYPERLINK("https://klasma.github.io/Logging_2380/klagomålsmail/A 4223-2026 FSC-klagomål mail.docx", "A 4223-2026")</f>
        <v/>
      </c>
      <c r="X168">
        <f>HYPERLINK("https://klasma.github.io/Logging_2380/tillsyn/A 4223-2026 tillsynsbegäran.docx", "A 4223-2026")</f>
        <v/>
      </c>
      <c r="Y168">
        <f>HYPERLINK("https://klasma.github.io/Logging_2380/tillsynsmail/A 4223-2026 tillsynsbegäran mail.docx", "A 4223-2026")</f>
        <v/>
      </c>
    </row>
    <row r="169" ht="15" customHeight="1">
      <c r="A169" t="inlineStr">
        <is>
          <t>A 41279-2024</t>
        </is>
      </c>
      <c r="B169" s="1" t="n">
        <v>45559</v>
      </c>
      <c r="C169" s="1" t="n">
        <v>46076</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40692-2024</t>
        </is>
      </c>
      <c r="B170" s="1" t="n">
        <v>45558</v>
      </c>
      <c r="C170" s="1" t="n">
        <v>46076</v>
      </c>
      <c r="D170" t="inlineStr">
        <is>
          <t>JÄMTLANDS LÄN</t>
        </is>
      </c>
      <c r="E170" t="inlineStr">
        <is>
          <t>ÖSTERSUND</t>
        </is>
      </c>
      <c r="F170" t="inlineStr">
        <is>
          <t>SCA</t>
        </is>
      </c>
      <c r="G170" t="n">
        <v>0.9</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40692-2024 artfynd.xlsx", "A 40692-2024")</f>
        <v/>
      </c>
      <c r="T170">
        <f>HYPERLINK("https://klasma.github.io/Logging_2380/kartor/A 40692-2024 karta.png", "A 40692-2024")</f>
        <v/>
      </c>
      <c r="V170">
        <f>HYPERLINK("https://klasma.github.io/Logging_2380/klagomål/A 40692-2024 FSC-klagomål.docx", "A 40692-2024")</f>
        <v/>
      </c>
      <c r="W170">
        <f>HYPERLINK("https://klasma.github.io/Logging_2380/klagomålsmail/A 40692-2024 FSC-klagomål mail.docx", "A 40692-2024")</f>
        <v/>
      </c>
      <c r="X170">
        <f>HYPERLINK("https://klasma.github.io/Logging_2380/tillsyn/A 40692-2024 tillsynsbegäran.docx", "A 40692-2024")</f>
        <v/>
      </c>
      <c r="Y170">
        <f>HYPERLINK("https://klasma.github.io/Logging_2380/tillsynsmail/A 40692-2024 tillsynsbegäran mail.docx", "A 40692-2024")</f>
        <v/>
      </c>
    </row>
    <row r="171" ht="15" customHeight="1">
      <c r="A171" t="inlineStr">
        <is>
          <t>A 62835-2025</t>
        </is>
      </c>
      <c r="B171" s="1" t="n">
        <v>46008.67969907408</v>
      </c>
      <c r="C171" s="1" t="n">
        <v>46076</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46076</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4787-2026</t>
        </is>
      </c>
      <c r="B173" s="1" t="n">
        <v>46045</v>
      </c>
      <c r="C173" s="1" t="n">
        <v>46076</v>
      </c>
      <c r="D173" t="inlineStr">
        <is>
          <t>JÄMTLANDS LÄN</t>
        </is>
      </c>
      <c r="E173" t="inlineStr">
        <is>
          <t>ÖSTERSUND</t>
        </is>
      </c>
      <c r="G173" t="n">
        <v>4.1</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4787-2026 artfynd.xlsx", "A 4787-2026")</f>
        <v/>
      </c>
      <c r="T173">
        <f>HYPERLINK("https://klasma.github.io/Logging_2380/kartor/A 4787-2026 karta.png", "A 4787-2026")</f>
        <v/>
      </c>
      <c r="V173">
        <f>HYPERLINK("https://klasma.github.io/Logging_2380/klagomål/A 4787-2026 FSC-klagomål.docx", "A 4787-2026")</f>
        <v/>
      </c>
      <c r="W173">
        <f>HYPERLINK("https://klasma.github.io/Logging_2380/klagomålsmail/A 4787-2026 FSC-klagomål mail.docx", "A 4787-2026")</f>
        <v/>
      </c>
      <c r="X173">
        <f>HYPERLINK("https://klasma.github.io/Logging_2380/tillsyn/A 4787-2026 tillsynsbegäran.docx", "A 4787-2026")</f>
        <v/>
      </c>
      <c r="Y173">
        <f>HYPERLINK("https://klasma.github.io/Logging_2380/tillsynsmail/A 4787-2026 tillsynsbegäran mail.docx", "A 4787-2026")</f>
        <v/>
      </c>
      <c r="Z173">
        <f>HYPERLINK("https://klasma.github.io/Logging_2380/fåglar/A 4787-2026 prioriterade fågelarter.docx", "A 4787-2026")</f>
        <v/>
      </c>
    </row>
    <row r="174" ht="15" customHeight="1">
      <c r="A174" t="inlineStr">
        <is>
          <t>A 41770-2024</t>
        </is>
      </c>
      <c r="B174" s="1" t="n">
        <v>45561.34641203703</v>
      </c>
      <c r="C174" s="1" t="n">
        <v>46076</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59433-2021</t>
        </is>
      </c>
      <c r="B175" s="1" t="n">
        <v>44491</v>
      </c>
      <c r="C175" s="1" t="n">
        <v>46076</v>
      </c>
      <c r="D175" t="inlineStr">
        <is>
          <t>JÄMTLANDS LÄN</t>
        </is>
      </c>
      <c r="E175" t="inlineStr">
        <is>
          <t>ÖSTERSUND</t>
        </is>
      </c>
      <c r="F175" t="inlineStr">
        <is>
          <t>Övriga statliga verk och myndigheter</t>
        </is>
      </c>
      <c r="G175" t="n">
        <v>1.6</v>
      </c>
      <c r="H175" t="n">
        <v>0</v>
      </c>
      <c r="I175" t="n">
        <v>0</v>
      </c>
      <c r="J175" t="n">
        <v>1</v>
      </c>
      <c r="K175" t="n">
        <v>0</v>
      </c>
      <c r="L175" t="n">
        <v>0</v>
      </c>
      <c r="M175" t="n">
        <v>0</v>
      </c>
      <c r="N175" t="n">
        <v>0</v>
      </c>
      <c r="O175" t="n">
        <v>1</v>
      </c>
      <c r="P175" t="n">
        <v>0</v>
      </c>
      <c r="Q175" t="n">
        <v>1</v>
      </c>
      <c r="R175" s="2" t="inlineStr">
        <is>
          <t>Brunpudrad nållav</t>
        </is>
      </c>
      <c r="S175">
        <f>HYPERLINK("https://klasma.github.io/Logging_2380/artfynd/A 59433-2021 artfynd.xlsx", "A 59433-2021")</f>
        <v/>
      </c>
      <c r="T175">
        <f>HYPERLINK("https://klasma.github.io/Logging_2380/kartor/A 59433-2021 karta.png", "A 59433-2021")</f>
        <v/>
      </c>
      <c r="V175">
        <f>HYPERLINK("https://klasma.github.io/Logging_2380/klagomål/A 59433-2021 FSC-klagomål.docx", "A 59433-2021")</f>
        <v/>
      </c>
      <c r="W175">
        <f>HYPERLINK("https://klasma.github.io/Logging_2380/klagomålsmail/A 59433-2021 FSC-klagomål mail.docx", "A 59433-2021")</f>
        <v/>
      </c>
      <c r="X175">
        <f>HYPERLINK("https://klasma.github.io/Logging_2380/tillsyn/A 59433-2021 tillsynsbegäran.docx", "A 59433-2021")</f>
        <v/>
      </c>
      <c r="Y175">
        <f>HYPERLINK("https://klasma.github.io/Logging_2380/tillsynsmail/A 59433-2021 tillsynsbegäran mail.docx", "A 59433-2021")</f>
        <v/>
      </c>
    </row>
    <row r="176" ht="15" customHeight="1">
      <c r="A176" t="inlineStr">
        <is>
          <t>A 55-2023</t>
        </is>
      </c>
      <c r="B176" s="1" t="n">
        <v>44928</v>
      </c>
      <c r="C176" s="1" t="n">
        <v>46076</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40696-2024</t>
        </is>
      </c>
      <c r="B177" s="1" t="n">
        <v>45558</v>
      </c>
      <c r="C177" s="1" t="n">
        <v>46076</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43883-2024</t>
        </is>
      </c>
      <c r="B178" s="1" t="n">
        <v>45570</v>
      </c>
      <c r="C178" s="1" t="n">
        <v>46076</v>
      </c>
      <c r="D178" t="inlineStr">
        <is>
          <t>JÄMTLANDS LÄN</t>
        </is>
      </c>
      <c r="E178" t="inlineStr">
        <is>
          <t>ÖSTERSUND</t>
        </is>
      </c>
      <c r="G178" t="n">
        <v>3.8</v>
      </c>
      <c r="H178" t="n">
        <v>0</v>
      </c>
      <c r="I178" t="n">
        <v>0</v>
      </c>
      <c r="J178" t="n">
        <v>0</v>
      </c>
      <c r="K178" t="n">
        <v>1</v>
      </c>
      <c r="L178" t="n">
        <v>0</v>
      </c>
      <c r="M178" t="n">
        <v>0</v>
      </c>
      <c r="N178" t="n">
        <v>0</v>
      </c>
      <c r="O178" t="n">
        <v>1</v>
      </c>
      <c r="P178" t="n">
        <v>1</v>
      </c>
      <c r="Q178" t="n">
        <v>1</v>
      </c>
      <c r="R178" s="2" t="inlineStr">
        <is>
          <t>Frösöstarr</t>
        </is>
      </c>
      <c r="S178">
        <f>HYPERLINK("https://klasma.github.io/Logging_2380/artfynd/A 43883-2024 artfynd.xlsx", "A 43883-2024")</f>
        <v/>
      </c>
      <c r="T178">
        <f>HYPERLINK("https://klasma.github.io/Logging_2380/kartor/A 43883-2024 karta.png", "A 43883-2024")</f>
        <v/>
      </c>
      <c r="V178">
        <f>HYPERLINK("https://klasma.github.io/Logging_2380/klagomål/A 43883-2024 FSC-klagomål.docx", "A 43883-2024")</f>
        <v/>
      </c>
      <c r="W178">
        <f>HYPERLINK("https://klasma.github.io/Logging_2380/klagomålsmail/A 43883-2024 FSC-klagomål mail.docx", "A 43883-2024")</f>
        <v/>
      </c>
      <c r="X178">
        <f>HYPERLINK("https://klasma.github.io/Logging_2380/tillsyn/A 43883-2024 tillsynsbegäran.docx", "A 43883-2024")</f>
        <v/>
      </c>
      <c r="Y178">
        <f>HYPERLINK("https://klasma.github.io/Logging_2380/tillsynsmail/A 43883-2024 tillsynsbegäran mail.docx", "A 43883-2024")</f>
        <v/>
      </c>
    </row>
    <row r="179" ht="15" customHeight="1">
      <c r="A179" t="inlineStr">
        <is>
          <t>A 40694-2024</t>
        </is>
      </c>
      <c r="B179" s="1" t="n">
        <v>45558</v>
      </c>
      <c r="C179" s="1" t="n">
        <v>46076</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26605-2025</t>
        </is>
      </c>
      <c r="B180" s="1" t="n">
        <v>45809.86790509259</v>
      </c>
      <c r="C180" s="1" t="n">
        <v>46076</v>
      </c>
      <c r="D180" t="inlineStr">
        <is>
          <t>JÄMTLANDS LÄN</t>
        </is>
      </c>
      <c r="E180" t="inlineStr">
        <is>
          <t>ÖSTERSUND</t>
        </is>
      </c>
      <c r="G180" t="n">
        <v>1.3</v>
      </c>
      <c r="H180" t="n">
        <v>0</v>
      </c>
      <c r="I180" t="n">
        <v>0</v>
      </c>
      <c r="J180" t="n">
        <v>1</v>
      </c>
      <c r="K180" t="n">
        <v>0</v>
      </c>
      <c r="L180" t="n">
        <v>0</v>
      </c>
      <c r="M180" t="n">
        <v>0</v>
      </c>
      <c r="N180" t="n">
        <v>0</v>
      </c>
      <c r="O180" t="n">
        <v>1</v>
      </c>
      <c r="P180" t="n">
        <v>0</v>
      </c>
      <c r="Q180" t="n">
        <v>1</v>
      </c>
      <c r="R180" s="2" t="inlineStr">
        <is>
          <t>Garnlav</t>
        </is>
      </c>
      <c r="S180">
        <f>HYPERLINK("https://klasma.github.io/Logging_2380/artfynd/A 26605-2025 artfynd.xlsx", "A 26605-2025")</f>
        <v/>
      </c>
      <c r="T180">
        <f>HYPERLINK("https://klasma.github.io/Logging_2380/kartor/A 26605-2025 karta.png", "A 26605-2025")</f>
        <v/>
      </c>
      <c r="V180">
        <f>HYPERLINK("https://klasma.github.io/Logging_2380/klagomål/A 26605-2025 FSC-klagomål.docx", "A 26605-2025")</f>
        <v/>
      </c>
      <c r="W180">
        <f>HYPERLINK("https://klasma.github.io/Logging_2380/klagomålsmail/A 26605-2025 FSC-klagomål mail.docx", "A 26605-2025")</f>
        <v/>
      </c>
      <c r="X180">
        <f>HYPERLINK("https://klasma.github.io/Logging_2380/tillsyn/A 26605-2025 tillsynsbegäran.docx", "A 26605-2025")</f>
        <v/>
      </c>
      <c r="Y180">
        <f>HYPERLINK("https://klasma.github.io/Logging_2380/tillsynsmail/A 26605-2025 tillsynsbegäran mail.docx", "A 26605-2025")</f>
        <v/>
      </c>
    </row>
    <row r="181" ht="15" customHeight="1">
      <c r="A181" t="inlineStr">
        <is>
          <t>A 20620-2021</t>
        </is>
      </c>
      <c r="B181" s="1" t="n">
        <v>44316</v>
      </c>
      <c r="C181" s="1" t="n">
        <v>46076</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46076</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46076</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46076</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46076</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46076</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46076</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46076</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46076</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46076</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46076</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46076</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46076</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46076</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46076</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46076</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46076</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46076</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46076</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46076</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46076</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46002-2021</t>
        </is>
      </c>
      <c r="B202" s="1" t="n">
        <v>44441.80453703704</v>
      </c>
      <c r="C202" s="1" t="n">
        <v>46076</v>
      </c>
      <c r="D202" t="inlineStr">
        <is>
          <t>JÄMTLANDS LÄN</t>
        </is>
      </c>
      <c r="E202" t="inlineStr">
        <is>
          <t>ÖSTERSUND</t>
        </is>
      </c>
      <c r="G202" t="n">
        <v>3.6</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46076</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46076</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46076</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46076</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26259-2021</t>
        </is>
      </c>
      <c r="B207" s="1" t="n">
        <v>44347</v>
      </c>
      <c r="C207" s="1" t="n">
        <v>46076</v>
      </c>
      <c r="D207" t="inlineStr">
        <is>
          <t>JÄMTLANDS LÄN</t>
        </is>
      </c>
      <c r="E207" t="inlineStr">
        <is>
          <t>ÖSTERSUND</t>
        </is>
      </c>
      <c r="G207" t="n">
        <v>4.3</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46076</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46076</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46076</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46076</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46076</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46076</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23895-2021</t>
        </is>
      </c>
      <c r="B214" s="1" t="n">
        <v>44335</v>
      </c>
      <c r="C214" s="1" t="n">
        <v>46076</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70816-2021</t>
        </is>
      </c>
      <c r="B215" s="1" t="n">
        <v>44537.935</v>
      </c>
      <c r="C215" s="1" t="n">
        <v>46076</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46076</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46076</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46076</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46076</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46076</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46076</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46076</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46076</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46076</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46076</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46076</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46076</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46076</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46076</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46076</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46076</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46076</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46076</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46076</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46076</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46076</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46076</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46076</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46076</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46076</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46076</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46076</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46076</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63099-2023</t>
        </is>
      </c>
      <c r="B244" s="1" t="n">
        <v>45273</v>
      </c>
      <c r="C244" s="1" t="n">
        <v>46076</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49592-2024</t>
        </is>
      </c>
      <c r="B245" s="1" t="n">
        <v>45596.55266203704</v>
      </c>
      <c r="C245" s="1" t="n">
        <v>46076</v>
      </c>
      <c r="D245" t="inlineStr">
        <is>
          <t>JÄMTLANDS LÄN</t>
        </is>
      </c>
      <c r="E245" t="inlineStr">
        <is>
          <t>ÖSTERSUND</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46076</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46076</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45980-2023</t>
        </is>
      </c>
      <c r="B248" s="1" t="n">
        <v>45189</v>
      </c>
      <c r="C248" s="1" t="n">
        <v>46076</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31464-2024</t>
        </is>
      </c>
      <c r="B249" s="1" t="n">
        <v>45505.95078703704</v>
      </c>
      <c r="C249" s="1" t="n">
        <v>46076</v>
      </c>
      <c r="D249" t="inlineStr">
        <is>
          <t>JÄMTLANDS LÄN</t>
        </is>
      </c>
      <c r="E249" t="inlineStr">
        <is>
          <t>ÖSTERSUND</t>
        </is>
      </c>
      <c r="F249" t="inlineStr">
        <is>
          <t>SCA</t>
        </is>
      </c>
      <c r="G249" t="n">
        <v>8.1</v>
      </c>
      <c r="H249" t="n">
        <v>0</v>
      </c>
      <c r="I249" t="n">
        <v>0</v>
      </c>
      <c r="J249" t="n">
        <v>0</v>
      </c>
      <c r="K249" t="n">
        <v>0</v>
      </c>
      <c r="L249" t="n">
        <v>0</v>
      </c>
      <c r="M249" t="n">
        <v>0</v>
      </c>
      <c r="N249" t="n">
        <v>0</v>
      </c>
      <c r="O249" t="n">
        <v>0</v>
      </c>
      <c r="P249" t="n">
        <v>0</v>
      </c>
      <c r="Q249" t="n">
        <v>0</v>
      </c>
      <c r="R249" s="2" t="inlineStr"/>
    </row>
    <row r="250" ht="15" customHeight="1">
      <c r="A250" t="inlineStr">
        <is>
          <t>A 7573-2022</t>
        </is>
      </c>
      <c r="B250" s="1" t="n">
        <v>44607</v>
      </c>
      <c r="C250" s="1" t="n">
        <v>46076</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46076</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4872-2023</t>
        </is>
      </c>
      <c r="B252" s="1" t="n">
        <v>44957</v>
      </c>
      <c r="C252" s="1" t="n">
        <v>46076</v>
      </c>
      <c r="D252" t="inlineStr">
        <is>
          <t>JÄMTLANDS LÄN</t>
        </is>
      </c>
      <c r="E252" t="inlineStr">
        <is>
          <t>ÖSTERSUND</t>
        </is>
      </c>
      <c r="G252" t="n">
        <v>10.7</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46076</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60681-2022</t>
        </is>
      </c>
      <c r="B254" s="1" t="n">
        <v>44911.93994212963</v>
      </c>
      <c r="C254" s="1" t="n">
        <v>46076</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48106-2024</t>
        </is>
      </c>
      <c r="B255" s="1" t="n">
        <v>45589.62625</v>
      </c>
      <c r="C255" s="1" t="n">
        <v>46076</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46076</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46076</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46076</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4521-2025</t>
        </is>
      </c>
      <c r="B259" s="1" t="n">
        <v>45686</v>
      </c>
      <c r="C259" s="1" t="n">
        <v>46076</v>
      </c>
      <c r="D259" t="inlineStr">
        <is>
          <t>JÄMTLANDS LÄN</t>
        </is>
      </c>
      <c r="E259" t="inlineStr">
        <is>
          <t>ÖSTERSUND</t>
        </is>
      </c>
      <c r="G259" t="n">
        <v>28.4</v>
      </c>
      <c r="H259" t="n">
        <v>0</v>
      </c>
      <c r="I259" t="n">
        <v>0</v>
      </c>
      <c r="J259" t="n">
        <v>0</v>
      </c>
      <c r="K259" t="n">
        <v>0</v>
      </c>
      <c r="L259" t="n">
        <v>0</v>
      </c>
      <c r="M259" t="n">
        <v>0</v>
      </c>
      <c r="N259" t="n">
        <v>0</v>
      </c>
      <c r="O259" t="n">
        <v>0</v>
      </c>
      <c r="P259" t="n">
        <v>0</v>
      </c>
      <c r="Q259" t="n">
        <v>0</v>
      </c>
      <c r="R259" s="2" t="inlineStr"/>
    </row>
    <row r="260" ht="15" customHeight="1">
      <c r="A260" t="inlineStr">
        <is>
          <t>A 53802-2022</t>
        </is>
      </c>
      <c r="B260" s="1" t="n">
        <v>44875</v>
      </c>
      <c r="C260" s="1" t="n">
        <v>46076</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45569.39229166666</v>
      </c>
      <c r="C261" s="1" t="n">
        <v>46076</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46076</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46076</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46076</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46076</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11740-2022</t>
        </is>
      </c>
      <c r="B266" s="1" t="n">
        <v>44634.52982638889</v>
      </c>
      <c r="C266" s="1" t="n">
        <v>46076</v>
      </c>
      <c r="D266" t="inlineStr">
        <is>
          <t>JÄMTLANDS LÄN</t>
        </is>
      </c>
      <c r="E266" t="inlineStr">
        <is>
          <t>ÖSTERSUND</t>
        </is>
      </c>
      <c r="G266" t="n">
        <v>1.1</v>
      </c>
      <c r="H266" t="n">
        <v>0</v>
      </c>
      <c r="I266" t="n">
        <v>0</v>
      </c>
      <c r="J266" t="n">
        <v>0</v>
      </c>
      <c r="K266" t="n">
        <v>0</v>
      </c>
      <c r="L266" t="n">
        <v>0</v>
      </c>
      <c r="M266" t="n">
        <v>0</v>
      </c>
      <c r="N266" t="n">
        <v>0</v>
      </c>
      <c r="O266" t="n">
        <v>0</v>
      </c>
      <c r="P266" t="n">
        <v>0</v>
      </c>
      <c r="Q266" t="n">
        <v>0</v>
      </c>
      <c r="R266" s="2" t="inlineStr"/>
    </row>
    <row r="267" ht="15" customHeight="1">
      <c r="A267" t="inlineStr">
        <is>
          <t>A 55002-2024</t>
        </is>
      </c>
      <c r="B267" s="1" t="n">
        <v>45621</v>
      </c>
      <c r="C267" s="1" t="n">
        <v>46076</v>
      </c>
      <c r="D267" t="inlineStr">
        <is>
          <t>JÄMTLANDS LÄN</t>
        </is>
      </c>
      <c r="E267" t="inlineStr">
        <is>
          <t>ÖSTERSUND</t>
        </is>
      </c>
      <c r="F267" t="inlineStr">
        <is>
          <t>Övriga Aktiebolag</t>
        </is>
      </c>
      <c r="G267" t="n">
        <v>0.3</v>
      </c>
      <c r="H267" t="n">
        <v>0</v>
      </c>
      <c r="I267" t="n">
        <v>0</v>
      </c>
      <c r="J267" t="n">
        <v>0</v>
      </c>
      <c r="K267" t="n">
        <v>0</v>
      </c>
      <c r="L267" t="n">
        <v>0</v>
      </c>
      <c r="M267" t="n">
        <v>0</v>
      </c>
      <c r="N267" t="n">
        <v>0</v>
      </c>
      <c r="O267" t="n">
        <v>0</v>
      </c>
      <c r="P267" t="n">
        <v>0</v>
      </c>
      <c r="Q267" t="n">
        <v>0</v>
      </c>
      <c r="R267" s="2" t="inlineStr"/>
    </row>
    <row r="268" ht="15" customHeight="1">
      <c r="A268" t="inlineStr">
        <is>
          <t>A 55666-2023</t>
        </is>
      </c>
      <c r="B268" s="1" t="n">
        <v>45238.96770833333</v>
      </c>
      <c r="C268" s="1" t="n">
        <v>46076</v>
      </c>
      <c r="D268" t="inlineStr">
        <is>
          <t>JÄMTLANDS LÄN</t>
        </is>
      </c>
      <c r="E268" t="inlineStr">
        <is>
          <t>ÖSTERSUND</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5549-2025</t>
        </is>
      </c>
      <c r="B269" s="1" t="n">
        <v>45693</v>
      </c>
      <c r="C269" s="1" t="n">
        <v>46076</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5553-2025</t>
        </is>
      </c>
      <c r="B270" s="1" t="n">
        <v>45693</v>
      </c>
      <c r="C270" s="1" t="n">
        <v>46076</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60560-2022</t>
        </is>
      </c>
      <c r="B271" s="1" t="n">
        <v>44911.54984953703</v>
      </c>
      <c r="C271" s="1" t="n">
        <v>46076</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5140-2025</t>
        </is>
      </c>
      <c r="B272" s="1" t="n">
        <v>45691</v>
      </c>
      <c r="C272" s="1" t="n">
        <v>46076</v>
      </c>
      <c r="D272" t="inlineStr">
        <is>
          <t>JÄMTLANDS LÄN</t>
        </is>
      </c>
      <c r="E272" t="inlineStr">
        <is>
          <t>ÖSTERSUND</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43511-2022</t>
        </is>
      </c>
      <c r="B273" s="1" t="n">
        <v>44837.36724537037</v>
      </c>
      <c r="C273" s="1" t="n">
        <v>46076</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60174-2022</t>
        </is>
      </c>
      <c r="B274" s="1" t="n">
        <v>44909.9640162037</v>
      </c>
      <c r="C274" s="1" t="n">
        <v>46076</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43016-2024</t>
        </is>
      </c>
      <c r="B275" s="1" t="n">
        <v>45567.39192129629</v>
      </c>
      <c r="C275" s="1" t="n">
        <v>46076</v>
      </c>
      <c r="D275" t="inlineStr">
        <is>
          <t>JÄMTLANDS LÄN</t>
        </is>
      </c>
      <c r="E275" t="inlineStr">
        <is>
          <t>ÖSTERSUND</t>
        </is>
      </c>
      <c r="G275" t="n">
        <v>5.3</v>
      </c>
      <c r="H275" t="n">
        <v>0</v>
      </c>
      <c r="I275" t="n">
        <v>0</v>
      </c>
      <c r="J275" t="n">
        <v>0</v>
      </c>
      <c r="K275" t="n">
        <v>0</v>
      </c>
      <c r="L275" t="n">
        <v>0</v>
      </c>
      <c r="M275" t="n">
        <v>0</v>
      </c>
      <c r="N275" t="n">
        <v>0</v>
      </c>
      <c r="O275" t="n">
        <v>0</v>
      </c>
      <c r="P275" t="n">
        <v>0</v>
      </c>
      <c r="Q275" t="n">
        <v>0</v>
      </c>
      <c r="R275" s="2" t="inlineStr"/>
    </row>
    <row r="276" ht="15" customHeight="1">
      <c r="A276" t="inlineStr">
        <is>
          <t>A 51481-2023</t>
        </is>
      </c>
      <c r="B276" s="1" t="n">
        <v>45221.92440972223</v>
      </c>
      <c r="C276" s="1" t="n">
        <v>46076</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46076</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6048-2024</t>
        </is>
      </c>
      <c r="B278" s="1" t="n">
        <v>45336</v>
      </c>
      <c r="C278" s="1" t="n">
        <v>46076</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2747-2025</t>
        </is>
      </c>
      <c r="B279" s="1" t="n">
        <v>45677.4649537037</v>
      </c>
      <c r="C279" s="1" t="n">
        <v>46076</v>
      </c>
      <c r="D279" t="inlineStr">
        <is>
          <t>JÄMTLANDS LÄN</t>
        </is>
      </c>
      <c r="E279" t="inlineStr">
        <is>
          <t>ÖSTERSUND</t>
        </is>
      </c>
      <c r="F279" t="inlineStr">
        <is>
          <t>Sveaskog</t>
        </is>
      </c>
      <c r="G279" t="n">
        <v>6.4</v>
      </c>
      <c r="H279" t="n">
        <v>0</v>
      </c>
      <c r="I279" t="n">
        <v>0</v>
      </c>
      <c r="J279" t="n">
        <v>0</v>
      </c>
      <c r="K279" t="n">
        <v>0</v>
      </c>
      <c r="L279" t="n">
        <v>0</v>
      </c>
      <c r="M279" t="n">
        <v>0</v>
      </c>
      <c r="N279" t="n">
        <v>0</v>
      </c>
      <c r="O279" t="n">
        <v>0</v>
      </c>
      <c r="P279" t="n">
        <v>0</v>
      </c>
      <c r="Q279" t="n">
        <v>0</v>
      </c>
      <c r="R279" s="2" t="inlineStr"/>
    </row>
    <row r="280" ht="15" customHeight="1">
      <c r="A280" t="inlineStr">
        <is>
          <t>A 8675-2023</t>
        </is>
      </c>
      <c r="B280" s="1" t="n">
        <v>44977.98629629629</v>
      </c>
      <c r="C280" s="1" t="n">
        <v>46076</v>
      </c>
      <c r="D280" t="inlineStr">
        <is>
          <t>JÄMTLANDS LÄN</t>
        </is>
      </c>
      <c r="E280" t="inlineStr">
        <is>
          <t>ÖSTERSUND</t>
        </is>
      </c>
      <c r="F280" t="inlineStr">
        <is>
          <t>SCA</t>
        </is>
      </c>
      <c r="G280" t="n">
        <v>5.7</v>
      </c>
      <c r="H280" t="n">
        <v>0</v>
      </c>
      <c r="I280" t="n">
        <v>0</v>
      </c>
      <c r="J280" t="n">
        <v>0</v>
      </c>
      <c r="K280" t="n">
        <v>0</v>
      </c>
      <c r="L280" t="n">
        <v>0</v>
      </c>
      <c r="M280" t="n">
        <v>0</v>
      </c>
      <c r="N280" t="n">
        <v>0</v>
      </c>
      <c r="O280" t="n">
        <v>0</v>
      </c>
      <c r="P280" t="n">
        <v>0</v>
      </c>
      <c r="Q280" t="n">
        <v>0</v>
      </c>
      <c r="R280" s="2" t="inlineStr"/>
    </row>
    <row r="281" ht="15" customHeight="1">
      <c r="A281" t="inlineStr">
        <is>
          <t>A 22082-2022</t>
        </is>
      </c>
      <c r="B281" s="1" t="n">
        <v>44711.9403587963</v>
      </c>
      <c r="C281" s="1" t="n">
        <v>46076</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38142-2021</t>
        </is>
      </c>
      <c r="B282" s="1" t="n">
        <v>44405</v>
      </c>
      <c r="C282" s="1" t="n">
        <v>46076</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61256-2022</t>
        </is>
      </c>
      <c r="B283" s="1" t="n">
        <v>44909</v>
      </c>
      <c r="C283" s="1" t="n">
        <v>46076</v>
      </c>
      <c r="D283" t="inlineStr">
        <is>
          <t>JÄMTLANDS LÄN</t>
        </is>
      </c>
      <c r="E283" t="inlineStr">
        <is>
          <t>ÖSTERSUND</t>
        </is>
      </c>
      <c r="G283" t="n">
        <v>3.9</v>
      </c>
      <c r="H283" t="n">
        <v>0</v>
      </c>
      <c r="I283" t="n">
        <v>0</v>
      </c>
      <c r="J283" t="n">
        <v>0</v>
      </c>
      <c r="K283" t="n">
        <v>0</v>
      </c>
      <c r="L283" t="n">
        <v>0</v>
      </c>
      <c r="M283" t="n">
        <v>0</v>
      </c>
      <c r="N283" t="n">
        <v>0</v>
      </c>
      <c r="O283" t="n">
        <v>0</v>
      </c>
      <c r="P283" t="n">
        <v>0</v>
      </c>
      <c r="Q283" t="n">
        <v>0</v>
      </c>
      <c r="R283" s="2" t="inlineStr"/>
    </row>
    <row r="284" ht="15" customHeight="1">
      <c r="A284" t="inlineStr">
        <is>
          <t>A 19664-2025</t>
        </is>
      </c>
      <c r="B284" s="1" t="n">
        <v>45770.6925462963</v>
      </c>
      <c r="C284" s="1" t="n">
        <v>46076</v>
      </c>
      <c r="D284" t="inlineStr">
        <is>
          <t>JÄMTLANDS LÄN</t>
        </is>
      </c>
      <c r="E284" t="inlineStr">
        <is>
          <t>ÖSTERSUND</t>
        </is>
      </c>
      <c r="G284" t="n">
        <v>8.6</v>
      </c>
      <c r="H284" t="n">
        <v>0</v>
      </c>
      <c r="I284" t="n">
        <v>0</v>
      </c>
      <c r="J284" t="n">
        <v>0</v>
      </c>
      <c r="K284" t="n">
        <v>0</v>
      </c>
      <c r="L284" t="n">
        <v>0</v>
      </c>
      <c r="M284" t="n">
        <v>0</v>
      </c>
      <c r="N284" t="n">
        <v>0</v>
      </c>
      <c r="O284" t="n">
        <v>0</v>
      </c>
      <c r="P284" t="n">
        <v>0</v>
      </c>
      <c r="Q284" t="n">
        <v>0</v>
      </c>
      <c r="R284" s="2" t="inlineStr"/>
    </row>
    <row r="285" ht="15" customHeight="1">
      <c r="A285" t="inlineStr">
        <is>
          <t>A 61376-2024</t>
        </is>
      </c>
      <c r="B285" s="1" t="n">
        <v>45646.39434027778</v>
      </c>
      <c r="C285" s="1" t="n">
        <v>46076</v>
      </c>
      <c r="D285" t="inlineStr">
        <is>
          <t>JÄMTLANDS LÄN</t>
        </is>
      </c>
      <c r="E285" t="inlineStr">
        <is>
          <t>ÖSTERSUND</t>
        </is>
      </c>
      <c r="G285" t="n">
        <v>4.6</v>
      </c>
      <c r="H285" t="n">
        <v>0</v>
      </c>
      <c r="I285" t="n">
        <v>0</v>
      </c>
      <c r="J285" t="n">
        <v>0</v>
      </c>
      <c r="K285" t="n">
        <v>0</v>
      </c>
      <c r="L285" t="n">
        <v>0</v>
      </c>
      <c r="M285" t="n">
        <v>0</v>
      </c>
      <c r="N285" t="n">
        <v>0</v>
      </c>
      <c r="O285" t="n">
        <v>0</v>
      </c>
      <c r="P285" t="n">
        <v>0</v>
      </c>
      <c r="Q285" t="n">
        <v>0</v>
      </c>
      <c r="R285" s="2" t="inlineStr"/>
    </row>
    <row r="286" ht="15" customHeight="1">
      <c r="A286" t="inlineStr">
        <is>
          <t>A 55302-2021</t>
        </is>
      </c>
      <c r="B286" s="1" t="n">
        <v>44475</v>
      </c>
      <c r="C286" s="1" t="n">
        <v>46076</v>
      </c>
      <c r="D286" t="inlineStr">
        <is>
          <t>JÄMTLANDS LÄN</t>
        </is>
      </c>
      <c r="E286" t="inlineStr">
        <is>
          <t>ÖSTERSUND</t>
        </is>
      </c>
      <c r="G286" t="n">
        <v>0.3</v>
      </c>
      <c r="H286" t="n">
        <v>0</v>
      </c>
      <c r="I286" t="n">
        <v>0</v>
      </c>
      <c r="J286" t="n">
        <v>0</v>
      </c>
      <c r="K286" t="n">
        <v>0</v>
      </c>
      <c r="L286" t="n">
        <v>0</v>
      </c>
      <c r="M286" t="n">
        <v>0</v>
      </c>
      <c r="N286" t="n">
        <v>0</v>
      </c>
      <c r="O286" t="n">
        <v>0</v>
      </c>
      <c r="P286" t="n">
        <v>0</v>
      </c>
      <c r="Q286" t="n">
        <v>0</v>
      </c>
      <c r="R286" s="2" t="inlineStr"/>
    </row>
    <row r="287" ht="15" customHeight="1">
      <c r="A287" t="inlineStr">
        <is>
          <t>A 69190-2021</t>
        </is>
      </c>
      <c r="B287" s="1" t="n">
        <v>44529</v>
      </c>
      <c r="C287" s="1" t="n">
        <v>46076</v>
      </c>
      <c r="D287" t="inlineStr">
        <is>
          <t>JÄMTLANDS LÄN</t>
        </is>
      </c>
      <c r="E287" t="inlineStr">
        <is>
          <t>ÖSTERSUND</t>
        </is>
      </c>
      <c r="G287" t="n">
        <v>4.2</v>
      </c>
      <c r="H287" t="n">
        <v>0</v>
      </c>
      <c r="I287" t="n">
        <v>0</v>
      </c>
      <c r="J287" t="n">
        <v>0</v>
      </c>
      <c r="K287" t="n">
        <v>0</v>
      </c>
      <c r="L287" t="n">
        <v>0</v>
      </c>
      <c r="M287" t="n">
        <v>0</v>
      </c>
      <c r="N287" t="n">
        <v>0</v>
      </c>
      <c r="O287" t="n">
        <v>0</v>
      </c>
      <c r="P287" t="n">
        <v>0</v>
      </c>
      <c r="Q287" t="n">
        <v>0</v>
      </c>
      <c r="R287" s="2" t="inlineStr"/>
    </row>
    <row r="288" ht="15" customHeight="1">
      <c r="A288" t="inlineStr">
        <is>
          <t>A 53378-2023</t>
        </is>
      </c>
      <c r="B288" s="1" t="n">
        <v>45223</v>
      </c>
      <c r="C288" s="1" t="n">
        <v>46076</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11182-2025</t>
        </is>
      </c>
      <c r="B289" s="1" t="n">
        <v>45725.44297453704</v>
      </c>
      <c r="C289" s="1" t="n">
        <v>46076</v>
      </c>
      <c r="D289" t="inlineStr">
        <is>
          <t>JÄMTLANDS LÄN</t>
        </is>
      </c>
      <c r="E289" t="inlineStr">
        <is>
          <t>ÖSTERSUND</t>
        </is>
      </c>
      <c r="G289" t="n">
        <v>3.3</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45600.38585648148</v>
      </c>
      <c r="C290" s="1" t="n">
        <v>46076</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27343-2022</t>
        </is>
      </c>
      <c r="B291" s="1" t="n">
        <v>44742</v>
      </c>
      <c r="C291" s="1" t="n">
        <v>46076</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7022-2025</t>
        </is>
      </c>
      <c r="B292" s="1" t="n">
        <v>45701.61899305556</v>
      </c>
      <c r="C292" s="1" t="n">
        <v>46076</v>
      </c>
      <c r="D292" t="inlineStr">
        <is>
          <t>JÄMTLANDS LÄN</t>
        </is>
      </c>
      <c r="E292" t="inlineStr">
        <is>
          <t>ÖSTERSUND</t>
        </is>
      </c>
      <c r="G292" t="n">
        <v>4.8</v>
      </c>
      <c r="H292" t="n">
        <v>0</v>
      </c>
      <c r="I292" t="n">
        <v>0</v>
      </c>
      <c r="J292" t="n">
        <v>0</v>
      </c>
      <c r="K292" t="n">
        <v>0</v>
      </c>
      <c r="L292" t="n">
        <v>0</v>
      </c>
      <c r="M292" t="n">
        <v>0</v>
      </c>
      <c r="N292" t="n">
        <v>0</v>
      </c>
      <c r="O292" t="n">
        <v>0</v>
      </c>
      <c r="P292" t="n">
        <v>0</v>
      </c>
      <c r="Q292" t="n">
        <v>0</v>
      </c>
      <c r="R292" s="2" t="inlineStr"/>
    </row>
    <row r="293" ht="15" customHeight="1">
      <c r="A293" t="inlineStr">
        <is>
          <t>A 28025-2025</t>
        </is>
      </c>
      <c r="B293" s="1" t="n">
        <v>45817</v>
      </c>
      <c r="C293" s="1" t="n">
        <v>46076</v>
      </c>
      <c r="D293" t="inlineStr">
        <is>
          <t>JÄMTLANDS LÄN</t>
        </is>
      </c>
      <c r="E293" t="inlineStr">
        <is>
          <t>ÖSTERSUND</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28595-2025</t>
        </is>
      </c>
      <c r="B294" s="1" t="n">
        <v>45819.59429398148</v>
      </c>
      <c r="C294" s="1" t="n">
        <v>46076</v>
      </c>
      <c r="D294" t="inlineStr">
        <is>
          <t>JÄMTLANDS LÄN</t>
        </is>
      </c>
      <c r="E294" t="inlineStr">
        <is>
          <t>ÖSTERSUND</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38871-2025</t>
        </is>
      </c>
      <c r="B295" s="1" t="n">
        <v>45887.57407407407</v>
      </c>
      <c r="C295" s="1" t="n">
        <v>46076</v>
      </c>
      <c r="D295" t="inlineStr">
        <is>
          <t>JÄMTLANDS LÄN</t>
        </is>
      </c>
      <c r="E295" t="inlineStr">
        <is>
          <t>ÖSTERSUND</t>
        </is>
      </c>
      <c r="G295" t="n">
        <v>3</v>
      </c>
      <c r="H295" t="n">
        <v>0</v>
      </c>
      <c r="I295" t="n">
        <v>0</v>
      </c>
      <c r="J295" t="n">
        <v>0</v>
      </c>
      <c r="K295" t="n">
        <v>0</v>
      </c>
      <c r="L295" t="n">
        <v>0</v>
      </c>
      <c r="M295" t="n">
        <v>0</v>
      </c>
      <c r="N295" t="n">
        <v>0</v>
      </c>
      <c r="O295" t="n">
        <v>0</v>
      </c>
      <c r="P295" t="n">
        <v>0</v>
      </c>
      <c r="Q295" t="n">
        <v>0</v>
      </c>
      <c r="R295" s="2" t="inlineStr"/>
    </row>
    <row r="296" ht="15" customHeight="1">
      <c r="A296" t="inlineStr">
        <is>
          <t>A 62111-2024</t>
        </is>
      </c>
      <c r="B296" s="1" t="n">
        <v>45656.53215277778</v>
      </c>
      <c r="C296" s="1" t="n">
        <v>46076</v>
      </c>
      <c r="D296" t="inlineStr">
        <is>
          <t>JÄMTLANDS LÄN</t>
        </is>
      </c>
      <c r="E296" t="inlineStr">
        <is>
          <t>ÖSTERSUND</t>
        </is>
      </c>
      <c r="G296" t="n">
        <v>3.4</v>
      </c>
      <c r="H296" t="n">
        <v>0</v>
      </c>
      <c r="I296" t="n">
        <v>0</v>
      </c>
      <c r="J296" t="n">
        <v>0</v>
      </c>
      <c r="K296" t="n">
        <v>0</v>
      </c>
      <c r="L296" t="n">
        <v>0</v>
      </c>
      <c r="M296" t="n">
        <v>0</v>
      </c>
      <c r="N296" t="n">
        <v>0</v>
      </c>
      <c r="O296" t="n">
        <v>0</v>
      </c>
      <c r="P296" t="n">
        <v>0</v>
      </c>
      <c r="Q296" t="n">
        <v>0</v>
      </c>
      <c r="R296" s="2" t="inlineStr"/>
    </row>
    <row r="297" ht="15" customHeight="1">
      <c r="A297" t="inlineStr">
        <is>
          <t>A 28185-2025</t>
        </is>
      </c>
      <c r="B297" s="1" t="n">
        <v>45818.40337962963</v>
      </c>
      <c r="C297" s="1" t="n">
        <v>46076</v>
      </c>
      <c r="D297" t="inlineStr">
        <is>
          <t>JÄMTLANDS LÄN</t>
        </is>
      </c>
      <c r="E297" t="inlineStr">
        <is>
          <t>ÖSTERSUND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46139-2021</t>
        </is>
      </c>
      <c r="B298" s="1" t="n">
        <v>44441</v>
      </c>
      <c r="C298" s="1" t="n">
        <v>46076</v>
      </c>
      <c r="D298" t="inlineStr">
        <is>
          <t>JÄMTLANDS LÄN</t>
        </is>
      </c>
      <c r="E298" t="inlineStr">
        <is>
          <t>ÖSTERSUND</t>
        </is>
      </c>
      <c r="G298" t="n">
        <v>12.8</v>
      </c>
      <c r="H298" t="n">
        <v>0</v>
      </c>
      <c r="I298" t="n">
        <v>0</v>
      </c>
      <c r="J298" t="n">
        <v>0</v>
      </c>
      <c r="K298" t="n">
        <v>0</v>
      </c>
      <c r="L298" t="n">
        <v>0</v>
      </c>
      <c r="M298" t="n">
        <v>0</v>
      </c>
      <c r="N298" t="n">
        <v>0</v>
      </c>
      <c r="O298" t="n">
        <v>0</v>
      </c>
      <c r="P298" t="n">
        <v>0</v>
      </c>
      <c r="Q298" t="n">
        <v>0</v>
      </c>
      <c r="R298" s="2" t="inlineStr"/>
    </row>
    <row r="299" ht="15" customHeight="1">
      <c r="A299" t="inlineStr">
        <is>
          <t>A 14653-2022</t>
        </is>
      </c>
      <c r="B299" s="1" t="n">
        <v>44655.69303240741</v>
      </c>
      <c r="C299" s="1" t="n">
        <v>46076</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38853-2025</t>
        </is>
      </c>
      <c r="B300" s="1" t="n">
        <v>45887.55666666666</v>
      </c>
      <c r="C300" s="1" t="n">
        <v>46076</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24781-2024</t>
        </is>
      </c>
      <c r="B301" s="1" t="n">
        <v>45460.7772800926</v>
      </c>
      <c r="C301" s="1" t="n">
        <v>46076</v>
      </c>
      <c r="D301" t="inlineStr">
        <is>
          <t>JÄMTLANDS LÄN</t>
        </is>
      </c>
      <c r="E301" t="inlineStr">
        <is>
          <t>ÖSTERSUND</t>
        </is>
      </c>
      <c r="G301" t="n">
        <v>2.2</v>
      </c>
      <c r="H301" t="n">
        <v>0</v>
      </c>
      <c r="I301" t="n">
        <v>0</v>
      </c>
      <c r="J301" t="n">
        <v>0</v>
      </c>
      <c r="K301" t="n">
        <v>0</v>
      </c>
      <c r="L301" t="n">
        <v>0</v>
      </c>
      <c r="M301" t="n">
        <v>0</v>
      </c>
      <c r="N301" t="n">
        <v>0</v>
      </c>
      <c r="O301" t="n">
        <v>0</v>
      </c>
      <c r="P301" t="n">
        <v>0</v>
      </c>
      <c r="Q301" t="n">
        <v>0</v>
      </c>
      <c r="R301" s="2" t="inlineStr"/>
    </row>
    <row r="302" ht="15" customHeight="1">
      <c r="A302" t="inlineStr">
        <is>
          <t>A 3844-2024</t>
        </is>
      </c>
      <c r="B302" s="1" t="n">
        <v>45321</v>
      </c>
      <c r="C302" s="1" t="n">
        <v>46076</v>
      </c>
      <c r="D302" t="inlineStr">
        <is>
          <t>JÄMTLANDS LÄN</t>
        </is>
      </c>
      <c r="E302" t="inlineStr">
        <is>
          <t>ÖSTERSUND</t>
        </is>
      </c>
      <c r="G302" t="n">
        <v>2.2</v>
      </c>
      <c r="H302" t="n">
        <v>0</v>
      </c>
      <c r="I302" t="n">
        <v>0</v>
      </c>
      <c r="J302" t="n">
        <v>0</v>
      </c>
      <c r="K302" t="n">
        <v>0</v>
      </c>
      <c r="L302" t="n">
        <v>0</v>
      </c>
      <c r="M302" t="n">
        <v>0</v>
      </c>
      <c r="N302" t="n">
        <v>0</v>
      </c>
      <c r="O302" t="n">
        <v>0</v>
      </c>
      <c r="P302" t="n">
        <v>0</v>
      </c>
      <c r="Q302" t="n">
        <v>0</v>
      </c>
      <c r="R302" s="2" t="inlineStr"/>
    </row>
    <row r="303" ht="15" customHeight="1">
      <c r="A303" t="inlineStr">
        <is>
          <t>A 7327-2023</t>
        </is>
      </c>
      <c r="B303" s="1" t="n">
        <v>44970.97871527778</v>
      </c>
      <c r="C303" s="1" t="n">
        <v>46076</v>
      </c>
      <c r="D303" t="inlineStr">
        <is>
          <t>JÄMTLANDS LÄN</t>
        </is>
      </c>
      <c r="E303" t="inlineStr">
        <is>
          <t>ÖSTERSUND</t>
        </is>
      </c>
      <c r="F303" t="inlineStr">
        <is>
          <t>SCA</t>
        </is>
      </c>
      <c r="G303" t="n">
        <v>4.6</v>
      </c>
      <c r="H303" t="n">
        <v>0</v>
      </c>
      <c r="I303" t="n">
        <v>0</v>
      </c>
      <c r="J303" t="n">
        <v>0</v>
      </c>
      <c r="K303" t="n">
        <v>0</v>
      </c>
      <c r="L303" t="n">
        <v>0</v>
      </c>
      <c r="M303" t="n">
        <v>0</v>
      </c>
      <c r="N303" t="n">
        <v>0</v>
      </c>
      <c r="O303" t="n">
        <v>0</v>
      </c>
      <c r="P303" t="n">
        <v>0</v>
      </c>
      <c r="Q303" t="n">
        <v>0</v>
      </c>
      <c r="R303" s="2" t="inlineStr"/>
    </row>
    <row r="304" ht="15" customHeight="1">
      <c r="A304" t="inlineStr">
        <is>
          <t>A 49192-2024</t>
        </is>
      </c>
      <c r="B304" s="1" t="n">
        <v>45595.34762731481</v>
      </c>
      <c r="C304" s="1" t="n">
        <v>46076</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56646-2024</t>
        </is>
      </c>
      <c r="B305" s="1" t="n">
        <v>45625</v>
      </c>
      <c r="C305" s="1" t="n">
        <v>46076</v>
      </c>
      <c r="D305" t="inlineStr">
        <is>
          <t>JÄMTLANDS LÄN</t>
        </is>
      </c>
      <c r="E305" t="inlineStr">
        <is>
          <t>ÖSTERSUND</t>
        </is>
      </c>
      <c r="G305" t="n">
        <v>18.9</v>
      </c>
      <c r="H305" t="n">
        <v>0</v>
      </c>
      <c r="I305" t="n">
        <v>0</v>
      </c>
      <c r="J305" t="n">
        <v>0</v>
      </c>
      <c r="K305" t="n">
        <v>0</v>
      </c>
      <c r="L305" t="n">
        <v>0</v>
      </c>
      <c r="M305" t="n">
        <v>0</v>
      </c>
      <c r="N305" t="n">
        <v>0</v>
      </c>
      <c r="O305" t="n">
        <v>0</v>
      </c>
      <c r="P305" t="n">
        <v>0</v>
      </c>
      <c r="Q305" t="n">
        <v>0</v>
      </c>
      <c r="R305" s="2" t="inlineStr"/>
    </row>
    <row r="306" ht="15" customHeight="1">
      <c r="A306" t="inlineStr">
        <is>
          <t>A 39030-2025</t>
        </is>
      </c>
      <c r="B306" s="1" t="n">
        <v>45888.40700231482</v>
      </c>
      <c r="C306" s="1" t="n">
        <v>46076</v>
      </c>
      <c r="D306" t="inlineStr">
        <is>
          <t>JÄMTLANDS LÄN</t>
        </is>
      </c>
      <c r="E306" t="inlineStr">
        <is>
          <t>ÖSTERSUND</t>
        </is>
      </c>
      <c r="G306" t="n">
        <v>1.8</v>
      </c>
      <c r="H306" t="n">
        <v>0</v>
      </c>
      <c r="I306" t="n">
        <v>0</v>
      </c>
      <c r="J306" t="n">
        <v>0</v>
      </c>
      <c r="K306" t="n">
        <v>0</v>
      </c>
      <c r="L306" t="n">
        <v>0</v>
      </c>
      <c r="M306" t="n">
        <v>0</v>
      </c>
      <c r="N306" t="n">
        <v>0</v>
      </c>
      <c r="O306" t="n">
        <v>0</v>
      </c>
      <c r="P306" t="n">
        <v>0</v>
      </c>
      <c r="Q306" t="n">
        <v>0</v>
      </c>
      <c r="R306" s="2" t="inlineStr"/>
    </row>
    <row r="307" ht="15" customHeight="1">
      <c r="A307" t="inlineStr">
        <is>
          <t>A 16335-2025</t>
        </is>
      </c>
      <c r="B307" s="1" t="n">
        <v>45751.36518518518</v>
      </c>
      <c r="C307" s="1" t="n">
        <v>46076</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15686-2025</t>
        </is>
      </c>
      <c r="B308" s="1" t="n">
        <v>45748.46021990741</v>
      </c>
      <c r="C308" s="1" t="n">
        <v>46076</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46076</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30320-2025</t>
        </is>
      </c>
      <c r="B310" s="1" t="n">
        <v>45827.49415509259</v>
      </c>
      <c r="C310" s="1" t="n">
        <v>46076</v>
      </c>
      <c r="D310" t="inlineStr">
        <is>
          <t>JÄMTLANDS LÄN</t>
        </is>
      </c>
      <c r="E310" t="inlineStr">
        <is>
          <t>ÖSTERSUND</t>
        </is>
      </c>
      <c r="G310" t="n">
        <v>4.6</v>
      </c>
      <c r="H310" t="n">
        <v>0</v>
      </c>
      <c r="I310" t="n">
        <v>0</v>
      </c>
      <c r="J310" t="n">
        <v>0</v>
      </c>
      <c r="K310" t="n">
        <v>0</v>
      </c>
      <c r="L310" t="n">
        <v>0</v>
      </c>
      <c r="M310" t="n">
        <v>0</v>
      </c>
      <c r="N310" t="n">
        <v>0</v>
      </c>
      <c r="O310" t="n">
        <v>0</v>
      </c>
      <c r="P310" t="n">
        <v>0</v>
      </c>
      <c r="Q310" t="n">
        <v>0</v>
      </c>
      <c r="R310" s="2" t="inlineStr"/>
    </row>
    <row r="311" ht="15" customHeight="1">
      <c r="A311" t="inlineStr">
        <is>
          <t>A 79-2025</t>
        </is>
      </c>
      <c r="B311" s="1" t="n">
        <v>45659.44413194444</v>
      </c>
      <c r="C311" s="1" t="n">
        <v>46076</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44327-2023</t>
        </is>
      </c>
      <c r="B312" s="1" t="n">
        <v>45188</v>
      </c>
      <c r="C312" s="1" t="n">
        <v>46076</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11181-2025</t>
        </is>
      </c>
      <c r="B313" s="1" t="n">
        <v>45725.44039351852</v>
      </c>
      <c r="C313" s="1" t="n">
        <v>46076</v>
      </c>
      <c r="D313" t="inlineStr">
        <is>
          <t>JÄMTLANDS LÄN</t>
        </is>
      </c>
      <c r="E313" t="inlineStr">
        <is>
          <t>ÖSTERSUND</t>
        </is>
      </c>
      <c r="G313" t="n">
        <v>15.4</v>
      </c>
      <c r="H313" t="n">
        <v>0</v>
      </c>
      <c r="I313" t="n">
        <v>0</v>
      </c>
      <c r="J313" t="n">
        <v>0</v>
      </c>
      <c r="K313" t="n">
        <v>0</v>
      </c>
      <c r="L313" t="n">
        <v>0</v>
      </c>
      <c r="M313" t="n">
        <v>0</v>
      </c>
      <c r="N313" t="n">
        <v>0</v>
      </c>
      <c r="O313" t="n">
        <v>0</v>
      </c>
      <c r="P313" t="n">
        <v>0</v>
      </c>
      <c r="Q313" t="n">
        <v>0</v>
      </c>
      <c r="R313" s="2" t="inlineStr"/>
    </row>
    <row r="314" ht="15" customHeight="1">
      <c r="A314" t="inlineStr">
        <is>
          <t>A 30210-2025</t>
        </is>
      </c>
      <c r="B314" s="1" t="n">
        <v>45827.36590277778</v>
      </c>
      <c r="C314" s="1" t="n">
        <v>46076</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25221-2025</t>
        </is>
      </c>
      <c r="B315" s="1" t="n">
        <v>45800.47802083333</v>
      </c>
      <c r="C315" s="1" t="n">
        <v>46076</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21667-2024</t>
        </is>
      </c>
      <c r="B316" s="1" t="n">
        <v>45442.38511574074</v>
      </c>
      <c r="C316" s="1" t="n">
        <v>46076</v>
      </c>
      <c r="D316" t="inlineStr">
        <is>
          <t>JÄMTLANDS LÄN</t>
        </is>
      </c>
      <c r="E316" t="inlineStr">
        <is>
          <t>ÖSTERSUND</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46076</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46076</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40360-2025</t>
        </is>
      </c>
      <c r="B319" s="1" t="n">
        <v>45895.49024305555</v>
      </c>
      <c r="C319" s="1" t="n">
        <v>46076</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40326-2025</t>
        </is>
      </c>
      <c r="B320" s="1" t="n">
        <v>45895.44856481482</v>
      </c>
      <c r="C320" s="1" t="n">
        <v>46076</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25187-2024</t>
        </is>
      </c>
      <c r="B321" s="1" t="n">
        <v>45462.56172453704</v>
      </c>
      <c r="C321" s="1" t="n">
        <v>46076</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46076</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13282-2023</t>
        </is>
      </c>
      <c r="B323" s="1" t="n">
        <v>45004</v>
      </c>
      <c r="C323" s="1" t="n">
        <v>46076</v>
      </c>
      <c r="D323" t="inlineStr">
        <is>
          <t>JÄMTLANDS LÄN</t>
        </is>
      </c>
      <c r="E323" t="inlineStr">
        <is>
          <t>ÖSTERSUND</t>
        </is>
      </c>
      <c r="G323" t="n">
        <v>28.5</v>
      </c>
      <c r="H323" t="n">
        <v>0</v>
      </c>
      <c r="I323" t="n">
        <v>0</v>
      </c>
      <c r="J323" t="n">
        <v>0</v>
      </c>
      <c r="K323" t="n">
        <v>0</v>
      </c>
      <c r="L323" t="n">
        <v>0</v>
      </c>
      <c r="M323" t="n">
        <v>0</v>
      </c>
      <c r="N323" t="n">
        <v>0</v>
      </c>
      <c r="O323" t="n">
        <v>0</v>
      </c>
      <c r="P323" t="n">
        <v>0</v>
      </c>
      <c r="Q323" t="n">
        <v>0</v>
      </c>
      <c r="R323" s="2" t="inlineStr"/>
    </row>
    <row r="324" ht="15" customHeight="1">
      <c r="A324" t="inlineStr">
        <is>
          <t>A 32071-2025</t>
        </is>
      </c>
      <c r="B324" s="1" t="n">
        <v>45835.4491087963</v>
      </c>
      <c r="C324" s="1" t="n">
        <v>46076</v>
      </c>
      <c r="D324" t="inlineStr">
        <is>
          <t>JÄMTLANDS LÄN</t>
        </is>
      </c>
      <c r="E324" t="inlineStr">
        <is>
          <t>ÖSTERSUND</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41582-2025</t>
        </is>
      </c>
      <c r="B325" s="1" t="n">
        <v>45901</v>
      </c>
      <c r="C325" s="1" t="n">
        <v>46076</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10267-2025</t>
        </is>
      </c>
      <c r="B326" s="1" t="n">
        <v>45720.3859375</v>
      </c>
      <c r="C326" s="1" t="n">
        <v>46076</v>
      </c>
      <c r="D326" t="inlineStr">
        <is>
          <t>JÄMTLANDS LÄN</t>
        </is>
      </c>
      <c r="E326" t="inlineStr">
        <is>
          <t>ÖSTERSUND</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27780-2022</t>
        </is>
      </c>
      <c r="B327" s="1" t="n">
        <v>44743</v>
      </c>
      <c r="C327" s="1" t="n">
        <v>46076</v>
      </c>
      <c r="D327" t="inlineStr">
        <is>
          <t>JÄMTLANDS LÄN</t>
        </is>
      </c>
      <c r="E327" t="inlineStr">
        <is>
          <t>ÖSTERSUND</t>
        </is>
      </c>
      <c r="G327" t="n">
        <v>2.2</v>
      </c>
      <c r="H327" t="n">
        <v>0</v>
      </c>
      <c r="I327" t="n">
        <v>0</v>
      </c>
      <c r="J327" t="n">
        <v>0</v>
      </c>
      <c r="K327" t="n">
        <v>0</v>
      </c>
      <c r="L327" t="n">
        <v>0</v>
      </c>
      <c r="M327" t="n">
        <v>0</v>
      </c>
      <c r="N327" t="n">
        <v>0</v>
      </c>
      <c r="O327" t="n">
        <v>0</v>
      </c>
      <c r="P327" t="n">
        <v>0</v>
      </c>
      <c r="Q327" t="n">
        <v>0</v>
      </c>
      <c r="R327" s="2" t="inlineStr"/>
    </row>
    <row r="328" ht="15" customHeight="1">
      <c r="A328" t="inlineStr">
        <is>
          <t>A 32279-2025</t>
        </is>
      </c>
      <c r="B328" s="1" t="n">
        <v>45835.67109953704</v>
      </c>
      <c r="C328" s="1" t="n">
        <v>46076</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43082-2024</t>
        </is>
      </c>
      <c r="B329" s="1" t="n">
        <v>45567.51068287037</v>
      </c>
      <c r="C329" s="1" t="n">
        <v>46076</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61653-2022</t>
        </is>
      </c>
      <c r="B330" s="1" t="n">
        <v>44916</v>
      </c>
      <c r="C330" s="1" t="n">
        <v>46076</v>
      </c>
      <c r="D330" t="inlineStr">
        <is>
          <t>JÄMTLANDS LÄN</t>
        </is>
      </c>
      <c r="E330" t="inlineStr">
        <is>
          <t>ÖSTERSUND</t>
        </is>
      </c>
      <c r="G330" t="n">
        <v>7.6</v>
      </c>
      <c r="H330" t="n">
        <v>0</v>
      </c>
      <c r="I330" t="n">
        <v>0</v>
      </c>
      <c r="J330" t="n">
        <v>0</v>
      </c>
      <c r="K330" t="n">
        <v>0</v>
      </c>
      <c r="L330" t="n">
        <v>0</v>
      </c>
      <c r="M330" t="n">
        <v>0</v>
      </c>
      <c r="N330" t="n">
        <v>0</v>
      </c>
      <c r="O330" t="n">
        <v>0</v>
      </c>
      <c r="P330" t="n">
        <v>0</v>
      </c>
      <c r="Q330" t="n">
        <v>0</v>
      </c>
      <c r="R330" s="2" t="inlineStr"/>
    </row>
    <row r="331" ht="15" customHeight="1">
      <c r="A331" t="inlineStr">
        <is>
          <t>A 52854-2024</t>
        </is>
      </c>
      <c r="B331" s="1" t="n">
        <v>45610.61030092592</v>
      </c>
      <c r="C331" s="1" t="n">
        <v>46076</v>
      </c>
      <c r="D331" t="inlineStr">
        <is>
          <t>JÄMTLANDS LÄN</t>
        </is>
      </c>
      <c r="E331" t="inlineStr">
        <is>
          <t>ÖSTERSUND</t>
        </is>
      </c>
      <c r="G331" t="n">
        <v>2.5</v>
      </c>
      <c r="H331" t="n">
        <v>0</v>
      </c>
      <c r="I331" t="n">
        <v>0</v>
      </c>
      <c r="J331" t="n">
        <v>0</v>
      </c>
      <c r="K331" t="n">
        <v>0</v>
      </c>
      <c r="L331" t="n">
        <v>0</v>
      </c>
      <c r="M331" t="n">
        <v>0</v>
      </c>
      <c r="N331" t="n">
        <v>0</v>
      </c>
      <c r="O331" t="n">
        <v>0</v>
      </c>
      <c r="P331" t="n">
        <v>0</v>
      </c>
      <c r="Q331" t="n">
        <v>0</v>
      </c>
      <c r="R331" s="2" t="inlineStr"/>
    </row>
    <row r="332" ht="15" customHeight="1">
      <c r="A332" t="inlineStr">
        <is>
          <t>A 41675-2025</t>
        </is>
      </c>
      <c r="B332" s="1" t="n">
        <v>45902.36641203704</v>
      </c>
      <c r="C332" s="1" t="n">
        <v>46076</v>
      </c>
      <c r="D332" t="inlineStr">
        <is>
          <t>JÄMTLANDS LÄN</t>
        </is>
      </c>
      <c r="E332" t="inlineStr">
        <is>
          <t>ÖSTERSUND</t>
        </is>
      </c>
      <c r="G332" t="n">
        <v>0.5</v>
      </c>
      <c r="H332" t="n">
        <v>0</v>
      </c>
      <c r="I332" t="n">
        <v>0</v>
      </c>
      <c r="J332" t="n">
        <v>0</v>
      </c>
      <c r="K332" t="n">
        <v>0</v>
      </c>
      <c r="L332" t="n">
        <v>0</v>
      </c>
      <c r="M332" t="n">
        <v>0</v>
      </c>
      <c r="N332" t="n">
        <v>0</v>
      </c>
      <c r="O332" t="n">
        <v>0</v>
      </c>
      <c r="P332" t="n">
        <v>0</v>
      </c>
      <c r="Q332" t="n">
        <v>0</v>
      </c>
      <c r="R332" s="2" t="inlineStr"/>
    </row>
    <row r="333" ht="15" customHeight="1">
      <c r="A333" t="inlineStr">
        <is>
          <t>A 41708-2025</t>
        </is>
      </c>
      <c r="B333" s="1" t="n">
        <v>45902.42280092592</v>
      </c>
      <c r="C333" s="1" t="n">
        <v>46076</v>
      </c>
      <c r="D333" t="inlineStr">
        <is>
          <t>JÄMTLANDS LÄN</t>
        </is>
      </c>
      <c r="E333" t="inlineStr">
        <is>
          <t>ÖSTERSUND</t>
        </is>
      </c>
      <c r="G333" t="n">
        <v>1.2</v>
      </c>
      <c r="H333" t="n">
        <v>0</v>
      </c>
      <c r="I333" t="n">
        <v>0</v>
      </c>
      <c r="J333" t="n">
        <v>0</v>
      </c>
      <c r="K333" t="n">
        <v>0</v>
      </c>
      <c r="L333" t="n">
        <v>0</v>
      </c>
      <c r="M333" t="n">
        <v>0</v>
      </c>
      <c r="N333" t="n">
        <v>0</v>
      </c>
      <c r="O333" t="n">
        <v>0</v>
      </c>
      <c r="P333" t="n">
        <v>0</v>
      </c>
      <c r="Q333" t="n">
        <v>0</v>
      </c>
      <c r="R333" s="2" t="inlineStr"/>
    </row>
    <row r="334" ht="15" customHeight="1">
      <c r="A334" t="inlineStr">
        <is>
          <t>A 32358-2025</t>
        </is>
      </c>
      <c r="B334" s="1" t="n">
        <v>45837.57481481481</v>
      </c>
      <c r="C334" s="1" t="n">
        <v>46076</v>
      </c>
      <c r="D334" t="inlineStr">
        <is>
          <t>JÄMTLANDS LÄN</t>
        </is>
      </c>
      <c r="E334" t="inlineStr">
        <is>
          <t>ÖSTERSUND</t>
        </is>
      </c>
      <c r="F334" t="inlineStr">
        <is>
          <t>Övriga Aktiebolag</t>
        </is>
      </c>
      <c r="G334" t="n">
        <v>4.8</v>
      </c>
      <c r="H334" t="n">
        <v>0</v>
      </c>
      <c r="I334" t="n">
        <v>0</v>
      </c>
      <c r="J334" t="n">
        <v>0</v>
      </c>
      <c r="K334" t="n">
        <v>0</v>
      </c>
      <c r="L334" t="n">
        <v>0</v>
      </c>
      <c r="M334" t="n">
        <v>0</v>
      </c>
      <c r="N334" t="n">
        <v>0</v>
      </c>
      <c r="O334" t="n">
        <v>0</v>
      </c>
      <c r="P334" t="n">
        <v>0</v>
      </c>
      <c r="Q334" t="n">
        <v>0</v>
      </c>
      <c r="R334" s="2" t="inlineStr"/>
    </row>
    <row r="335" ht="15" customHeight="1">
      <c r="A335" t="inlineStr">
        <is>
          <t>A 2228-2024</t>
        </is>
      </c>
      <c r="B335" s="1" t="n">
        <v>45309</v>
      </c>
      <c r="C335" s="1" t="n">
        <v>46076</v>
      </c>
      <c r="D335" t="inlineStr">
        <is>
          <t>JÄMTLANDS LÄN</t>
        </is>
      </c>
      <c r="E335" t="inlineStr">
        <is>
          <t>ÖSTERSUND</t>
        </is>
      </c>
      <c r="G335" t="n">
        <v>2.5</v>
      </c>
      <c r="H335" t="n">
        <v>0</v>
      </c>
      <c r="I335" t="n">
        <v>0</v>
      </c>
      <c r="J335" t="n">
        <v>0</v>
      </c>
      <c r="K335" t="n">
        <v>0</v>
      </c>
      <c r="L335" t="n">
        <v>0</v>
      </c>
      <c r="M335" t="n">
        <v>0</v>
      </c>
      <c r="N335" t="n">
        <v>0</v>
      </c>
      <c r="O335" t="n">
        <v>0</v>
      </c>
      <c r="P335" t="n">
        <v>0</v>
      </c>
      <c r="Q335" t="n">
        <v>0</v>
      </c>
      <c r="R335" s="2" t="inlineStr"/>
    </row>
    <row r="336" ht="15" customHeight="1">
      <c r="A336" t="inlineStr">
        <is>
          <t>A 32353-2025</t>
        </is>
      </c>
      <c r="B336" s="1" t="n">
        <v>45837.51741898148</v>
      </c>
      <c r="C336" s="1" t="n">
        <v>46076</v>
      </c>
      <c r="D336" t="inlineStr">
        <is>
          <t>JÄMTLANDS LÄN</t>
        </is>
      </c>
      <c r="E336" t="inlineStr">
        <is>
          <t>ÖSTERSUND</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32369-2025</t>
        </is>
      </c>
      <c r="B337" s="1" t="n">
        <v>45837.67381944445</v>
      </c>
      <c r="C337" s="1" t="n">
        <v>46076</v>
      </c>
      <c r="D337" t="inlineStr">
        <is>
          <t>JÄMTLANDS LÄN</t>
        </is>
      </c>
      <c r="E337" t="inlineStr">
        <is>
          <t>ÖSTERSUND</t>
        </is>
      </c>
      <c r="F337" t="inlineStr">
        <is>
          <t>Övriga Aktiebolag</t>
        </is>
      </c>
      <c r="G337" t="n">
        <v>5.7</v>
      </c>
      <c r="H337" t="n">
        <v>0</v>
      </c>
      <c r="I337" t="n">
        <v>0</v>
      </c>
      <c r="J337" t="n">
        <v>0</v>
      </c>
      <c r="K337" t="n">
        <v>0</v>
      </c>
      <c r="L337" t="n">
        <v>0</v>
      </c>
      <c r="M337" t="n">
        <v>0</v>
      </c>
      <c r="N337" t="n">
        <v>0</v>
      </c>
      <c r="O337" t="n">
        <v>0</v>
      </c>
      <c r="P337" t="n">
        <v>0</v>
      </c>
      <c r="Q337" t="n">
        <v>0</v>
      </c>
      <c r="R337" s="2" t="inlineStr"/>
    </row>
    <row r="338" ht="15" customHeight="1">
      <c r="A338" t="inlineStr">
        <is>
          <t>A 29703-2023</t>
        </is>
      </c>
      <c r="B338" s="1" t="n">
        <v>45107</v>
      </c>
      <c r="C338" s="1" t="n">
        <v>46076</v>
      </c>
      <c r="D338" t="inlineStr">
        <is>
          <t>JÄMTLANDS LÄN</t>
        </is>
      </c>
      <c r="E338" t="inlineStr">
        <is>
          <t>ÖSTERSUND</t>
        </is>
      </c>
      <c r="G338" t="n">
        <v>0.3</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46076</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32368-2025</t>
        </is>
      </c>
      <c r="B340" s="1" t="n">
        <v>45837.66230324074</v>
      </c>
      <c r="C340" s="1" t="n">
        <v>46076</v>
      </c>
      <c r="D340" t="inlineStr">
        <is>
          <t>JÄMTLANDS LÄN</t>
        </is>
      </c>
      <c r="E340" t="inlineStr">
        <is>
          <t>ÖSTERSUND</t>
        </is>
      </c>
      <c r="F340" t="inlineStr">
        <is>
          <t>Övriga Aktiebolag</t>
        </is>
      </c>
      <c r="G340" t="n">
        <v>19.5</v>
      </c>
      <c r="H340" t="n">
        <v>0</v>
      </c>
      <c r="I340" t="n">
        <v>0</v>
      </c>
      <c r="J340" t="n">
        <v>0</v>
      </c>
      <c r="K340" t="n">
        <v>0</v>
      </c>
      <c r="L340" t="n">
        <v>0</v>
      </c>
      <c r="M340" t="n">
        <v>0</v>
      </c>
      <c r="N340" t="n">
        <v>0</v>
      </c>
      <c r="O340" t="n">
        <v>0</v>
      </c>
      <c r="P340" t="n">
        <v>0</v>
      </c>
      <c r="Q340" t="n">
        <v>0</v>
      </c>
      <c r="R340" s="2" t="inlineStr"/>
    </row>
    <row r="341" ht="15" customHeight="1">
      <c r="A341" t="inlineStr">
        <is>
          <t>A 61530-2023</t>
        </is>
      </c>
      <c r="B341" s="1" t="n">
        <v>45261</v>
      </c>
      <c r="C341" s="1" t="n">
        <v>46076</v>
      </c>
      <c r="D341" t="inlineStr">
        <is>
          <t>JÄMTLANDS LÄN</t>
        </is>
      </c>
      <c r="E341" t="inlineStr">
        <is>
          <t>ÖSTERSUND</t>
        </is>
      </c>
      <c r="F341" t="inlineStr">
        <is>
          <t>Övriga statliga verk och myndigheter</t>
        </is>
      </c>
      <c r="G341" t="n">
        <v>1</v>
      </c>
      <c r="H341" t="n">
        <v>0</v>
      </c>
      <c r="I341" t="n">
        <v>0</v>
      </c>
      <c r="J341" t="n">
        <v>0</v>
      </c>
      <c r="K341" t="n">
        <v>0</v>
      </c>
      <c r="L341" t="n">
        <v>0</v>
      </c>
      <c r="M341" t="n">
        <v>0</v>
      </c>
      <c r="N341" t="n">
        <v>0</v>
      </c>
      <c r="O341" t="n">
        <v>0</v>
      </c>
      <c r="P341" t="n">
        <v>0</v>
      </c>
      <c r="Q341" t="n">
        <v>0</v>
      </c>
      <c r="R341" s="2" t="inlineStr"/>
    </row>
    <row r="342" ht="15" customHeight="1">
      <c r="A342" t="inlineStr">
        <is>
          <t>A 36099-2025</t>
        </is>
      </c>
      <c r="B342" s="1" t="n">
        <v>45866.51630787037</v>
      </c>
      <c r="C342" s="1" t="n">
        <v>46076</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25995-2025</t>
        </is>
      </c>
      <c r="B343" s="1" t="n">
        <v>45804.656875</v>
      </c>
      <c r="C343" s="1" t="n">
        <v>46076</v>
      </c>
      <c r="D343" t="inlineStr">
        <is>
          <t>JÄMTLANDS LÄN</t>
        </is>
      </c>
      <c r="E343" t="inlineStr">
        <is>
          <t>ÖSTERSUND</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18627-2024</t>
        </is>
      </c>
      <c r="B344" s="1" t="n">
        <v>45425.96443287037</v>
      </c>
      <c r="C344" s="1" t="n">
        <v>46076</v>
      </c>
      <c r="D344" t="inlineStr">
        <is>
          <t>JÄMTLANDS LÄN</t>
        </is>
      </c>
      <c r="E344" t="inlineStr">
        <is>
          <t>ÖSTERSUND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42989-2025</t>
        </is>
      </c>
      <c r="B345" s="1" t="n">
        <v>45909.44971064815</v>
      </c>
      <c r="C345" s="1" t="n">
        <v>46076</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33358-2025</t>
        </is>
      </c>
      <c r="B346" s="1" t="n">
        <v>45841.38054398148</v>
      </c>
      <c r="C346" s="1" t="n">
        <v>46076</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43225-2025</t>
        </is>
      </c>
      <c r="B347" s="1" t="n">
        <v>45910.4900462963</v>
      </c>
      <c r="C347" s="1" t="n">
        <v>46076</v>
      </c>
      <c r="D347" t="inlineStr">
        <is>
          <t>JÄMTLANDS LÄN</t>
        </is>
      </c>
      <c r="E347" t="inlineStr">
        <is>
          <t>ÖSTERSUND</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43548-2025</t>
        </is>
      </c>
      <c r="B348" s="1" t="n">
        <v>45911.61579861111</v>
      </c>
      <c r="C348" s="1" t="n">
        <v>46076</v>
      </c>
      <c r="D348" t="inlineStr">
        <is>
          <t>JÄMTLANDS LÄN</t>
        </is>
      </c>
      <c r="E348" t="inlineStr">
        <is>
          <t>ÖSTERSUND</t>
        </is>
      </c>
      <c r="F348" t="inlineStr">
        <is>
          <t>SCA</t>
        </is>
      </c>
      <c r="G348" t="n">
        <v>17.3</v>
      </c>
      <c r="H348" t="n">
        <v>0</v>
      </c>
      <c r="I348" t="n">
        <v>0</v>
      </c>
      <c r="J348" t="n">
        <v>0</v>
      </c>
      <c r="K348" t="n">
        <v>0</v>
      </c>
      <c r="L348" t="n">
        <v>0</v>
      </c>
      <c r="M348" t="n">
        <v>0</v>
      </c>
      <c r="N348" t="n">
        <v>0</v>
      </c>
      <c r="O348" t="n">
        <v>0</v>
      </c>
      <c r="P348" t="n">
        <v>0</v>
      </c>
      <c r="Q348" t="n">
        <v>0</v>
      </c>
      <c r="R348" s="2" t="inlineStr"/>
    </row>
    <row r="349" ht="15" customHeight="1">
      <c r="A349" t="inlineStr">
        <is>
          <t>A 43411-2025</t>
        </is>
      </c>
      <c r="B349" s="1" t="n">
        <v>45911.40074074074</v>
      </c>
      <c r="C349" s="1" t="n">
        <v>46076</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25535-2023</t>
        </is>
      </c>
      <c r="B350" s="1" t="n">
        <v>45089.54944444444</v>
      </c>
      <c r="C350" s="1" t="n">
        <v>46076</v>
      </c>
      <c r="D350" t="inlineStr">
        <is>
          <t>JÄMTLANDS LÄN</t>
        </is>
      </c>
      <c r="E350" t="inlineStr">
        <is>
          <t>ÖSTERSUND</t>
        </is>
      </c>
      <c r="G350" t="n">
        <v>1</v>
      </c>
      <c r="H350" t="n">
        <v>0</v>
      </c>
      <c r="I350" t="n">
        <v>0</v>
      </c>
      <c r="J350" t="n">
        <v>0</v>
      </c>
      <c r="K350" t="n">
        <v>0</v>
      </c>
      <c r="L350" t="n">
        <v>0</v>
      </c>
      <c r="M350" t="n">
        <v>0</v>
      </c>
      <c r="N350" t="n">
        <v>0</v>
      </c>
      <c r="O350" t="n">
        <v>0</v>
      </c>
      <c r="P350" t="n">
        <v>0</v>
      </c>
      <c r="Q350" t="n">
        <v>0</v>
      </c>
      <c r="R350" s="2" t="inlineStr"/>
    </row>
    <row r="351" ht="15" customHeight="1">
      <c r="A351" t="inlineStr">
        <is>
          <t>A 43519-2025</t>
        </is>
      </c>
      <c r="B351" s="1" t="n">
        <v>45911.57349537037</v>
      </c>
      <c r="C351" s="1" t="n">
        <v>46076</v>
      </c>
      <c r="D351" t="inlineStr">
        <is>
          <t>JÄMTLANDS LÄN</t>
        </is>
      </c>
      <c r="E351" t="inlineStr">
        <is>
          <t>ÖSTERSUND</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32225-2024</t>
        </is>
      </c>
      <c r="B352" s="1" t="n">
        <v>45511.92825231481</v>
      </c>
      <c r="C352" s="1" t="n">
        <v>46076</v>
      </c>
      <c r="D352" t="inlineStr">
        <is>
          <t>JÄMTLANDS LÄN</t>
        </is>
      </c>
      <c r="E352" t="inlineStr">
        <is>
          <t>ÖSTERSUND</t>
        </is>
      </c>
      <c r="G352" t="n">
        <v>2</v>
      </c>
      <c r="H352" t="n">
        <v>0</v>
      </c>
      <c r="I352" t="n">
        <v>0</v>
      </c>
      <c r="J352" t="n">
        <v>0</v>
      </c>
      <c r="K352" t="n">
        <v>0</v>
      </c>
      <c r="L352" t="n">
        <v>0</v>
      </c>
      <c r="M352" t="n">
        <v>0</v>
      </c>
      <c r="N352" t="n">
        <v>0</v>
      </c>
      <c r="O352" t="n">
        <v>0</v>
      </c>
      <c r="P352" t="n">
        <v>0</v>
      </c>
      <c r="Q352" t="n">
        <v>0</v>
      </c>
      <c r="R352" s="2" t="inlineStr"/>
    </row>
    <row r="353" ht="15" customHeight="1">
      <c r="A353" t="inlineStr">
        <is>
          <t>A 4311-2025</t>
        </is>
      </c>
      <c r="B353" s="1" t="n">
        <v>45685.69267361111</v>
      </c>
      <c r="C353" s="1" t="n">
        <v>46076</v>
      </c>
      <c r="D353" t="inlineStr">
        <is>
          <t>JÄMTLANDS LÄN</t>
        </is>
      </c>
      <c r="E353" t="inlineStr">
        <is>
          <t>ÖSTERSUND</t>
        </is>
      </c>
      <c r="G353" t="n">
        <v>0.7</v>
      </c>
      <c r="H353" t="n">
        <v>0</v>
      </c>
      <c r="I353" t="n">
        <v>0</v>
      </c>
      <c r="J353" t="n">
        <v>0</v>
      </c>
      <c r="K353" t="n">
        <v>0</v>
      </c>
      <c r="L353" t="n">
        <v>0</v>
      </c>
      <c r="M353" t="n">
        <v>0</v>
      </c>
      <c r="N353" t="n">
        <v>0</v>
      </c>
      <c r="O353" t="n">
        <v>0</v>
      </c>
      <c r="P353" t="n">
        <v>0</v>
      </c>
      <c r="Q353" t="n">
        <v>0</v>
      </c>
      <c r="R353" s="2" t="inlineStr"/>
    </row>
    <row r="354" ht="15" customHeight="1">
      <c r="A354" t="inlineStr">
        <is>
          <t>A 34490-2025</t>
        </is>
      </c>
      <c r="B354" s="1" t="n">
        <v>45847.40722222222</v>
      </c>
      <c r="C354" s="1" t="n">
        <v>46076</v>
      </c>
      <c r="D354" t="inlineStr">
        <is>
          <t>JÄMTLANDS LÄN</t>
        </is>
      </c>
      <c r="E354" t="inlineStr">
        <is>
          <t>ÖSTERSUND</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34331-2025</t>
        </is>
      </c>
      <c r="B355" s="1" t="n">
        <v>45846.44827546296</v>
      </c>
      <c r="C355" s="1" t="n">
        <v>46076</v>
      </c>
      <c r="D355" t="inlineStr">
        <is>
          <t>JÄMTLANDS LÄN</t>
        </is>
      </c>
      <c r="E355" t="inlineStr">
        <is>
          <t>ÖSTERSUND</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34589-2025</t>
        </is>
      </c>
      <c r="B356" s="1" t="n">
        <v>45847.61561342593</v>
      </c>
      <c r="C356" s="1" t="n">
        <v>46076</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12998-2025</t>
        </is>
      </c>
      <c r="B357" s="1" t="n">
        <v>45734.48991898148</v>
      </c>
      <c r="C357" s="1" t="n">
        <v>46076</v>
      </c>
      <c r="D357" t="inlineStr">
        <is>
          <t>JÄMTLANDS LÄN</t>
        </is>
      </c>
      <c r="E357" t="inlineStr">
        <is>
          <t>ÖSTERSUND</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34587-2025</t>
        </is>
      </c>
      <c r="B358" s="1" t="n">
        <v>45847.61533564814</v>
      </c>
      <c r="C358" s="1" t="n">
        <v>46076</v>
      </c>
      <c r="D358" t="inlineStr">
        <is>
          <t>JÄMTLANDS LÄN</t>
        </is>
      </c>
      <c r="E358" t="inlineStr">
        <is>
          <t>ÖSTERSUND</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54913-2024</t>
        </is>
      </c>
      <c r="B359" s="1" t="n">
        <v>45618.6917824074</v>
      </c>
      <c r="C359" s="1" t="n">
        <v>46076</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44446-2025</t>
        </is>
      </c>
      <c r="B360" s="1" t="n">
        <v>45916.59773148148</v>
      </c>
      <c r="C360" s="1" t="n">
        <v>46076</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57398-2023</t>
        </is>
      </c>
      <c r="B361" s="1" t="n">
        <v>45245</v>
      </c>
      <c r="C361" s="1" t="n">
        <v>46076</v>
      </c>
      <c r="D361" t="inlineStr">
        <is>
          <t>JÄMTLANDS LÄN</t>
        </is>
      </c>
      <c r="E361" t="inlineStr">
        <is>
          <t>ÖSTERSUND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44051-2021</t>
        </is>
      </c>
      <c r="B362" s="1" t="n">
        <v>44434</v>
      </c>
      <c r="C362" s="1" t="n">
        <v>46076</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44429-2025</t>
        </is>
      </c>
      <c r="B363" s="1" t="n">
        <v>45916.57010416667</v>
      </c>
      <c r="C363" s="1" t="n">
        <v>46076</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55235-2023</t>
        </is>
      </c>
      <c r="B364" s="1" t="n">
        <v>45231</v>
      </c>
      <c r="C364" s="1" t="n">
        <v>46076</v>
      </c>
      <c r="D364" t="inlineStr">
        <is>
          <t>JÄMTLANDS LÄN</t>
        </is>
      </c>
      <c r="E364" t="inlineStr">
        <is>
          <t>ÖSTERSUND</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54587-2024</t>
        </is>
      </c>
      <c r="B365" s="1" t="n">
        <v>45617.65800925926</v>
      </c>
      <c r="C365" s="1" t="n">
        <v>46076</v>
      </c>
      <c r="D365" t="inlineStr">
        <is>
          <t>JÄMTLANDS LÄN</t>
        </is>
      </c>
      <c r="E365" t="inlineStr">
        <is>
          <t>ÖSTERSUND</t>
        </is>
      </c>
      <c r="G365" t="n">
        <v>14</v>
      </c>
      <c r="H365" t="n">
        <v>0</v>
      </c>
      <c r="I365" t="n">
        <v>0</v>
      </c>
      <c r="J365" t="n">
        <v>0</v>
      </c>
      <c r="K365" t="n">
        <v>0</v>
      </c>
      <c r="L365" t="n">
        <v>0</v>
      </c>
      <c r="M365" t="n">
        <v>0</v>
      </c>
      <c r="N365" t="n">
        <v>0</v>
      </c>
      <c r="O365" t="n">
        <v>0</v>
      </c>
      <c r="P365" t="n">
        <v>0</v>
      </c>
      <c r="Q365" t="n">
        <v>0</v>
      </c>
      <c r="R365" s="2" t="inlineStr"/>
    </row>
    <row r="366" ht="15" customHeight="1">
      <c r="A366" t="inlineStr">
        <is>
          <t>A 38644-2021</t>
        </is>
      </c>
      <c r="B366" s="1" t="n">
        <v>44410.35376157407</v>
      </c>
      <c r="C366" s="1" t="n">
        <v>46076</v>
      </c>
      <c r="D366" t="inlineStr">
        <is>
          <t>JÄMTLANDS LÄN</t>
        </is>
      </c>
      <c r="E366" t="inlineStr">
        <is>
          <t>ÖSTERSUND</t>
        </is>
      </c>
      <c r="G366" t="n">
        <v>1</v>
      </c>
      <c r="H366" t="n">
        <v>0</v>
      </c>
      <c r="I366" t="n">
        <v>0</v>
      </c>
      <c r="J366" t="n">
        <v>0</v>
      </c>
      <c r="K366" t="n">
        <v>0</v>
      </c>
      <c r="L366" t="n">
        <v>0</v>
      </c>
      <c r="M366" t="n">
        <v>0</v>
      </c>
      <c r="N366" t="n">
        <v>0</v>
      </c>
      <c r="O366" t="n">
        <v>0</v>
      </c>
      <c r="P366" t="n">
        <v>0</v>
      </c>
      <c r="Q366" t="n">
        <v>0</v>
      </c>
      <c r="R366" s="2" t="inlineStr"/>
    </row>
    <row r="367" ht="15" customHeight="1">
      <c r="A367" t="inlineStr">
        <is>
          <t>A 52913-2021</t>
        </is>
      </c>
      <c r="B367" s="1" t="n">
        <v>44466</v>
      </c>
      <c r="C367" s="1" t="n">
        <v>46076</v>
      </c>
      <c r="D367" t="inlineStr">
        <is>
          <t>JÄMTLANDS LÄN</t>
        </is>
      </c>
      <c r="E367" t="inlineStr">
        <is>
          <t>ÖSTERSUND</t>
        </is>
      </c>
      <c r="G367" t="n">
        <v>4.2</v>
      </c>
      <c r="H367" t="n">
        <v>0</v>
      </c>
      <c r="I367" t="n">
        <v>0</v>
      </c>
      <c r="J367" t="n">
        <v>0</v>
      </c>
      <c r="K367" t="n">
        <v>0</v>
      </c>
      <c r="L367" t="n">
        <v>0</v>
      </c>
      <c r="M367" t="n">
        <v>0</v>
      </c>
      <c r="N367" t="n">
        <v>0</v>
      </c>
      <c r="O367" t="n">
        <v>0</v>
      </c>
      <c r="P367" t="n">
        <v>0</v>
      </c>
      <c r="Q367" t="n">
        <v>0</v>
      </c>
      <c r="R367" s="2" t="inlineStr"/>
    </row>
    <row r="368" ht="15" customHeight="1">
      <c r="A368" t="inlineStr">
        <is>
          <t>A 20960-2022</t>
        </is>
      </c>
      <c r="B368" s="1" t="n">
        <v>44701.94034722223</v>
      </c>
      <c r="C368" s="1" t="n">
        <v>46076</v>
      </c>
      <c r="D368" t="inlineStr">
        <is>
          <t>JÄMTLANDS LÄN</t>
        </is>
      </c>
      <c r="E368" t="inlineStr">
        <is>
          <t>ÖSTERSUND</t>
        </is>
      </c>
      <c r="G368" t="n">
        <v>3.6</v>
      </c>
      <c r="H368" t="n">
        <v>0</v>
      </c>
      <c r="I368" t="n">
        <v>0</v>
      </c>
      <c r="J368" t="n">
        <v>0</v>
      </c>
      <c r="K368" t="n">
        <v>0</v>
      </c>
      <c r="L368" t="n">
        <v>0</v>
      </c>
      <c r="M368" t="n">
        <v>0</v>
      </c>
      <c r="N368" t="n">
        <v>0</v>
      </c>
      <c r="O368" t="n">
        <v>0</v>
      </c>
      <c r="P368" t="n">
        <v>0</v>
      </c>
      <c r="Q368" t="n">
        <v>0</v>
      </c>
      <c r="R368" s="2" t="inlineStr"/>
    </row>
    <row r="369" ht="15" customHeight="1">
      <c r="A369" t="inlineStr">
        <is>
          <t>A 10756-2025</t>
        </is>
      </c>
      <c r="B369" s="1" t="n">
        <v>45722.44892361111</v>
      </c>
      <c r="C369" s="1" t="n">
        <v>46076</v>
      </c>
      <c r="D369" t="inlineStr">
        <is>
          <t>JÄMTLANDS LÄN</t>
        </is>
      </c>
      <c r="E369" t="inlineStr">
        <is>
          <t>ÖSTERSUND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46076</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45391-2025</t>
        </is>
      </c>
      <c r="B371" s="1" t="n">
        <v>45922.4077662037</v>
      </c>
      <c r="C371" s="1" t="n">
        <v>46076</v>
      </c>
      <c r="D371" t="inlineStr">
        <is>
          <t>JÄMTLANDS LÄN</t>
        </is>
      </c>
      <c r="E371" t="inlineStr">
        <is>
          <t>ÖSTERSUND</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45297-2025</t>
        </is>
      </c>
      <c r="B372" s="1" t="n">
        <v>45920.8446412037</v>
      </c>
      <c r="C372" s="1" t="n">
        <v>46076</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25228-2025</t>
        </is>
      </c>
      <c r="B373" s="1" t="n">
        <v>45800.48368055555</v>
      </c>
      <c r="C373" s="1" t="n">
        <v>46076</v>
      </c>
      <c r="D373" t="inlineStr">
        <is>
          <t>JÄMTLANDS LÄN</t>
        </is>
      </c>
      <c r="E373" t="inlineStr">
        <is>
          <t>ÖSTERSUND</t>
        </is>
      </c>
      <c r="G373" t="n">
        <v>1.6</v>
      </c>
      <c r="H373" t="n">
        <v>0</v>
      </c>
      <c r="I373" t="n">
        <v>0</v>
      </c>
      <c r="J373" t="n">
        <v>0</v>
      </c>
      <c r="K373" t="n">
        <v>0</v>
      </c>
      <c r="L373" t="n">
        <v>0</v>
      </c>
      <c r="M373" t="n">
        <v>0</v>
      </c>
      <c r="N373" t="n">
        <v>0</v>
      </c>
      <c r="O373" t="n">
        <v>0</v>
      </c>
      <c r="P373" t="n">
        <v>0</v>
      </c>
      <c r="Q373" t="n">
        <v>0</v>
      </c>
      <c r="R373" s="2" t="inlineStr"/>
    </row>
    <row r="374" ht="15" customHeight="1">
      <c r="A374" t="inlineStr">
        <is>
          <t>A 45385-2025</t>
        </is>
      </c>
      <c r="B374" s="1" t="n">
        <v>45922.40680555555</v>
      </c>
      <c r="C374" s="1" t="n">
        <v>46076</v>
      </c>
      <c r="D374" t="inlineStr">
        <is>
          <t>JÄMTLANDS LÄN</t>
        </is>
      </c>
      <c r="E374" t="inlineStr">
        <is>
          <t>ÖSTERSUND</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7936-2025</t>
        </is>
      </c>
      <c r="B375" s="1" t="n">
        <v>45707</v>
      </c>
      <c r="C375" s="1" t="n">
        <v>46076</v>
      </c>
      <c r="D375" t="inlineStr">
        <is>
          <t>JÄMTLANDS LÄN</t>
        </is>
      </c>
      <c r="E375" t="inlineStr">
        <is>
          <t>ÖSTERSUND</t>
        </is>
      </c>
      <c r="G375" t="n">
        <v>0.2</v>
      </c>
      <c r="H375" t="n">
        <v>0</v>
      </c>
      <c r="I375" t="n">
        <v>0</v>
      </c>
      <c r="J375" t="n">
        <v>0</v>
      </c>
      <c r="K375" t="n">
        <v>0</v>
      </c>
      <c r="L375" t="n">
        <v>0</v>
      </c>
      <c r="M375" t="n">
        <v>0</v>
      </c>
      <c r="N375" t="n">
        <v>0</v>
      </c>
      <c r="O375" t="n">
        <v>0</v>
      </c>
      <c r="P375" t="n">
        <v>0</v>
      </c>
      <c r="Q375" t="n">
        <v>0</v>
      </c>
      <c r="R375" s="2" t="inlineStr"/>
    </row>
    <row r="376" ht="15" customHeight="1">
      <c r="A376" t="inlineStr">
        <is>
          <t>A 7940-2025</t>
        </is>
      </c>
      <c r="B376" s="1" t="n">
        <v>45707.40493055555</v>
      </c>
      <c r="C376" s="1" t="n">
        <v>46076</v>
      </c>
      <c r="D376" t="inlineStr">
        <is>
          <t>JÄMTLANDS LÄN</t>
        </is>
      </c>
      <c r="E376" t="inlineStr">
        <is>
          <t>ÖSTERSUND</t>
        </is>
      </c>
      <c r="F376" t="inlineStr">
        <is>
          <t>Övriga Aktiebolag</t>
        </is>
      </c>
      <c r="G376" t="n">
        <v>48.1</v>
      </c>
      <c r="H376" t="n">
        <v>0</v>
      </c>
      <c r="I376" t="n">
        <v>0</v>
      </c>
      <c r="J376" t="n">
        <v>0</v>
      </c>
      <c r="K376" t="n">
        <v>0</v>
      </c>
      <c r="L376" t="n">
        <v>0</v>
      </c>
      <c r="M376" t="n">
        <v>0</v>
      </c>
      <c r="N376" t="n">
        <v>0</v>
      </c>
      <c r="O376" t="n">
        <v>0</v>
      </c>
      <c r="P376" t="n">
        <v>0</v>
      </c>
      <c r="Q376" t="n">
        <v>0</v>
      </c>
      <c r="R376" s="2" t="inlineStr"/>
    </row>
    <row r="377" ht="15" customHeight="1">
      <c r="A377" t="inlineStr">
        <is>
          <t>A 45386-2025</t>
        </is>
      </c>
      <c r="B377" s="1" t="n">
        <v>45922.40697916667</v>
      </c>
      <c r="C377" s="1" t="n">
        <v>46076</v>
      </c>
      <c r="D377" t="inlineStr">
        <is>
          <t>JÄMTLANDS LÄN</t>
        </is>
      </c>
      <c r="E377" t="inlineStr">
        <is>
          <t>ÖSTERSUND</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45388-2025</t>
        </is>
      </c>
      <c r="B378" s="1" t="n">
        <v>45922.4074537037</v>
      </c>
      <c r="C378" s="1" t="n">
        <v>46076</v>
      </c>
      <c r="D378" t="inlineStr">
        <is>
          <t>JÄMTLANDS LÄN</t>
        </is>
      </c>
      <c r="E378" t="inlineStr">
        <is>
          <t>ÖSTERSUND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5024-2025</t>
        </is>
      </c>
      <c r="B379" s="1" t="n">
        <v>45691.40832175926</v>
      </c>
      <c r="C379" s="1" t="n">
        <v>46076</v>
      </c>
      <c r="D379" t="inlineStr">
        <is>
          <t>JÄMTLANDS LÄN</t>
        </is>
      </c>
      <c r="E379" t="inlineStr">
        <is>
          <t>ÖSTERSUND</t>
        </is>
      </c>
      <c r="G379" t="n">
        <v>0.9</v>
      </c>
      <c r="H379" t="n">
        <v>0</v>
      </c>
      <c r="I379" t="n">
        <v>0</v>
      </c>
      <c r="J379" t="n">
        <v>0</v>
      </c>
      <c r="K379" t="n">
        <v>0</v>
      </c>
      <c r="L379" t="n">
        <v>0</v>
      </c>
      <c r="M379" t="n">
        <v>0</v>
      </c>
      <c r="N379" t="n">
        <v>0</v>
      </c>
      <c r="O379" t="n">
        <v>0</v>
      </c>
      <c r="P379" t="n">
        <v>0</v>
      </c>
      <c r="Q379" t="n">
        <v>0</v>
      </c>
      <c r="R379" s="2" t="inlineStr"/>
    </row>
    <row r="380" ht="15" customHeight="1">
      <c r="A380" t="inlineStr">
        <is>
          <t>A 5025-2025</t>
        </is>
      </c>
      <c r="B380" s="1" t="n">
        <v>45691.40836805556</v>
      </c>
      <c r="C380" s="1" t="n">
        <v>46076</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45558-2025</t>
        </is>
      </c>
      <c r="B381" s="1" t="n">
        <v>45922</v>
      </c>
      <c r="C381" s="1" t="n">
        <v>46076</v>
      </c>
      <c r="D381" t="inlineStr">
        <is>
          <t>JÄMTLANDS LÄN</t>
        </is>
      </c>
      <c r="E381" t="inlineStr">
        <is>
          <t>ÖSTERSUND</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46076</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46076</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46076</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47727-2023</t>
        </is>
      </c>
      <c r="B385" s="1" t="n">
        <v>45203</v>
      </c>
      <c r="C385" s="1" t="n">
        <v>46076</v>
      </c>
      <c r="D385" t="inlineStr">
        <is>
          <t>JÄMTLANDS LÄN</t>
        </is>
      </c>
      <c r="E385" t="inlineStr">
        <is>
          <t>ÖSTERSUND</t>
        </is>
      </c>
      <c r="G385" t="n">
        <v>2.6</v>
      </c>
      <c r="H385" t="n">
        <v>0</v>
      </c>
      <c r="I385" t="n">
        <v>0</v>
      </c>
      <c r="J385" t="n">
        <v>0</v>
      </c>
      <c r="K385" t="n">
        <v>0</v>
      </c>
      <c r="L385" t="n">
        <v>0</v>
      </c>
      <c r="M385" t="n">
        <v>0</v>
      </c>
      <c r="N385" t="n">
        <v>0</v>
      </c>
      <c r="O385" t="n">
        <v>0</v>
      </c>
      <c r="P385" t="n">
        <v>0</v>
      </c>
      <c r="Q385" t="n">
        <v>0</v>
      </c>
      <c r="R385" s="2" t="inlineStr"/>
    </row>
    <row r="386" ht="15" customHeight="1">
      <c r="A386" t="inlineStr">
        <is>
          <t>A 60767-2022</t>
        </is>
      </c>
      <c r="B386" s="1" t="n">
        <v>44914.35599537037</v>
      </c>
      <c r="C386" s="1" t="n">
        <v>46076</v>
      </c>
      <c r="D386" t="inlineStr">
        <is>
          <t>JÄMTLANDS LÄN</t>
        </is>
      </c>
      <c r="E386" t="inlineStr">
        <is>
          <t>ÖSTERSUND</t>
        </is>
      </c>
      <c r="G386" t="n">
        <v>1.6</v>
      </c>
      <c r="H386" t="n">
        <v>0</v>
      </c>
      <c r="I386" t="n">
        <v>0</v>
      </c>
      <c r="J386" t="n">
        <v>0</v>
      </c>
      <c r="K386" t="n">
        <v>0</v>
      </c>
      <c r="L386" t="n">
        <v>0</v>
      </c>
      <c r="M386" t="n">
        <v>0</v>
      </c>
      <c r="N386" t="n">
        <v>0</v>
      </c>
      <c r="O386" t="n">
        <v>0</v>
      </c>
      <c r="P386" t="n">
        <v>0</v>
      </c>
      <c r="Q386" t="n">
        <v>0</v>
      </c>
      <c r="R386" s="2" t="inlineStr"/>
    </row>
    <row r="387" ht="15" customHeight="1">
      <c r="A387" t="inlineStr">
        <is>
          <t>A 26586-2025</t>
        </is>
      </c>
      <c r="B387" s="1" t="n">
        <v>45807.74140046296</v>
      </c>
      <c r="C387" s="1" t="n">
        <v>46076</v>
      </c>
      <c r="D387" t="inlineStr">
        <is>
          <t>JÄMTLANDS LÄN</t>
        </is>
      </c>
      <c r="E387" t="inlineStr">
        <is>
          <t>ÖSTERSUND</t>
        </is>
      </c>
      <c r="G387" t="n">
        <v>2.1</v>
      </c>
      <c r="H387" t="n">
        <v>0</v>
      </c>
      <c r="I387" t="n">
        <v>0</v>
      </c>
      <c r="J387" t="n">
        <v>0</v>
      </c>
      <c r="K387" t="n">
        <v>0</v>
      </c>
      <c r="L387" t="n">
        <v>0</v>
      </c>
      <c r="M387" t="n">
        <v>0</v>
      </c>
      <c r="N387" t="n">
        <v>0</v>
      </c>
      <c r="O387" t="n">
        <v>0</v>
      </c>
      <c r="P387" t="n">
        <v>0</v>
      </c>
      <c r="Q387" t="n">
        <v>0</v>
      </c>
      <c r="R387" s="2" t="inlineStr"/>
    </row>
    <row r="388" ht="15" customHeight="1">
      <c r="A388" t="inlineStr">
        <is>
          <t>A 36211-2025</t>
        </is>
      </c>
      <c r="B388" s="1" t="n">
        <v>45867.46946759259</v>
      </c>
      <c r="C388" s="1" t="n">
        <v>46076</v>
      </c>
      <c r="D388" t="inlineStr">
        <is>
          <t>JÄMTLANDS LÄN</t>
        </is>
      </c>
      <c r="E388" t="inlineStr">
        <is>
          <t>ÖSTERSUND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34923-2025</t>
        </is>
      </c>
      <c r="B389" s="1" t="n">
        <v>45849.55601851852</v>
      </c>
      <c r="C389" s="1" t="n">
        <v>46076</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36098-2025</t>
        </is>
      </c>
      <c r="B390" s="1" t="n">
        <v>45866.50549768518</v>
      </c>
      <c r="C390" s="1" t="n">
        <v>46076</v>
      </c>
      <c r="D390" t="inlineStr">
        <is>
          <t>JÄMTLANDS LÄN</t>
        </is>
      </c>
      <c r="E390" t="inlineStr">
        <is>
          <t>ÖSTERSUND</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46202-2025</t>
        </is>
      </c>
      <c r="B391" s="1" t="n">
        <v>45924.70346064815</v>
      </c>
      <c r="C391" s="1" t="n">
        <v>46076</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36566-2025</t>
        </is>
      </c>
      <c r="B392" s="1" t="n">
        <v>45869</v>
      </c>
      <c r="C392" s="1" t="n">
        <v>46076</v>
      </c>
      <c r="D392" t="inlineStr">
        <is>
          <t>JÄMTLANDS LÄN</t>
        </is>
      </c>
      <c r="E392" t="inlineStr">
        <is>
          <t>ÖSTERSUND</t>
        </is>
      </c>
      <c r="F392" t="inlineStr">
        <is>
          <t>Sveaskog</t>
        </is>
      </c>
      <c r="G392" t="n">
        <v>6.9</v>
      </c>
      <c r="H392" t="n">
        <v>0</v>
      </c>
      <c r="I392" t="n">
        <v>0</v>
      </c>
      <c r="J392" t="n">
        <v>0</v>
      </c>
      <c r="K392" t="n">
        <v>0</v>
      </c>
      <c r="L392" t="n">
        <v>0</v>
      </c>
      <c r="M392" t="n">
        <v>0</v>
      </c>
      <c r="N392" t="n">
        <v>0</v>
      </c>
      <c r="O392" t="n">
        <v>0</v>
      </c>
      <c r="P392" t="n">
        <v>0</v>
      </c>
      <c r="Q392" t="n">
        <v>0</v>
      </c>
      <c r="R392" s="2" t="inlineStr"/>
    </row>
    <row r="393" ht="15" customHeight="1">
      <c r="A393" t="inlineStr">
        <is>
          <t>A 60623-2022</t>
        </is>
      </c>
      <c r="B393" s="1" t="n">
        <v>44911.6459837963</v>
      </c>
      <c r="C393" s="1" t="n">
        <v>46076</v>
      </c>
      <c r="D393" t="inlineStr">
        <is>
          <t>JÄMTLANDS LÄN</t>
        </is>
      </c>
      <c r="E393" t="inlineStr">
        <is>
          <t>ÖSTERSUND</t>
        </is>
      </c>
      <c r="G393" t="n">
        <v>10.9</v>
      </c>
      <c r="H393" t="n">
        <v>0</v>
      </c>
      <c r="I393" t="n">
        <v>0</v>
      </c>
      <c r="J393" t="n">
        <v>0</v>
      </c>
      <c r="K393" t="n">
        <v>0</v>
      </c>
      <c r="L393" t="n">
        <v>0</v>
      </c>
      <c r="M393" t="n">
        <v>0</v>
      </c>
      <c r="N393" t="n">
        <v>0</v>
      </c>
      <c r="O393" t="n">
        <v>0</v>
      </c>
      <c r="P393" t="n">
        <v>0</v>
      </c>
      <c r="Q393" t="n">
        <v>0</v>
      </c>
      <c r="R393" s="2" t="inlineStr"/>
    </row>
    <row r="394" ht="15" customHeight="1">
      <c r="A394" t="inlineStr">
        <is>
          <t>A 3615-2025</t>
        </is>
      </c>
      <c r="B394" s="1" t="n">
        <v>45681.36493055556</v>
      </c>
      <c r="C394" s="1" t="n">
        <v>46076</v>
      </c>
      <c r="D394" t="inlineStr">
        <is>
          <t>JÄMTLANDS LÄN</t>
        </is>
      </c>
      <c r="E394" t="inlineStr">
        <is>
          <t>ÖSTERSUND</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3651-2025</t>
        </is>
      </c>
      <c r="B395" s="1" t="n">
        <v>45681.40689814815</v>
      </c>
      <c r="C395" s="1" t="n">
        <v>46076</v>
      </c>
      <c r="D395" t="inlineStr">
        <is>
          <t>JÄMTLANDS LÄN</t>
        </is>
      </c>
      <c r="E395" t="inlineStr">
        <is>
          <t>ÖSTERSUND</t>
        </is>
      </c>
      <c r="F395" t="inlineStr">
        <is>
          <t>SCA</t>
        </is>
      </c>
      <c r="G395" t="n">
        <v>9.6</v>
      </c>
      <c r="H395" t="n">
        <v>0</v>
      </c>
      <c r="I395" t="n">
        <v>0</v>
      </c>
      <c r="J395" t="n">
        <v>0</v>
      </c>
      <c r="K395" t="n">
        <v>0</v>
      </c>
      <c r="L395" t="n">
        <v>0</v>
      </c>
      <c r="M395" t="n">
        <v>0</v>
      </c>
      <c r="N395" t="n">
        <v>0</v>
      </c>
      <c r="O395" t="n">
        <v>0</v>
      </c>
      <c r="P395" t="n">
        <v>0</v>
      </c>
      <c r="Q395" t="n">
        <v>0</v>
      </c>
      <c r="R395" s="2" t="inlineStr"/>
    </row>
    <row r="396" ht="15" customHeight="1">
      <c r="A396" t="inlineStr">
        <is>
          <t>A 3664-2025</t>
        </is>
      </c>
      <c r="B396" s="1" t="n">
        <v>45681.4275462963</v>
      </c>
      <c r="C396" s="1" t="n">
        <v>46076</v>
      </c>
      <c r="D396" t="inlineStr">
        <is>
          <t>JÄMTLANDS LÄN</t>
        </is>
      </c>
      <c r="E396" t="inlineStr">
        <is>
          <t>ÖSTERSUND</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12821-2023</t>
        </is>
      </c>
      <c r="B397" s="1" t="n">
        <v>45000</v>
      </c>
      <c r="C397" s="1" t="n">
        <v>46076</v>
      </c>
      <c r="D397" t="inlineStr">
        <is>
          <t>JÄMTLANDS LÄN</t>
        </is>
      </c>
      <c r="E397" t="inlineStr">
        <is>
          <t>ÖSTERSUND</t>
        </is>
      </c>
      <c r="G397" t="n">
        <v>0.7</v>
      </c>
      <c r="H397" t="n">
        <v>0</v>
      </c>
      <c r="I397" t="n">
        <v>0</v>
      </c>
      <c r="J397" t="n">
        <v>0</v>
      </c>
      <c r="K397" t="n">
        <v>0</v>
      </c>
      <c r="L397" t="n">
        <v>0</v>
      </c>
      <c r="M397" t="n">
        <v>0</v>
      </c>
      <c r="N397" t="n">
        <v>0</v>
      </c>
      <c r="O397" t="n">
        <v>0</v>
      </c>
      <c r="P397" t="n">
        <v>0</v>
      </c>
      <c r="Q397" t="n">
        <v>0</v>
      </c>
      <c r="R397" s="2" t="inlineStr"/>
    </row>
    <row r="398" ht="15" customHeight="1">
      <c r="A398" t="inlineStr">
        <is>
          <t>A 44798-2023</t>
        </is>
      </c>
      <c r="B398" s="1" t="n">
        <v>45190</v>
      </c>
      <c r="C398" s="1" t="n">
        <v>46076</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47563-2025</t>
        </is>
      </c>
      <c r="B399" s="1" t="n">
        <v>45931.38956018518</v>
      </c>
      <c r="C399" s="1" t="n">
        <v>46076</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4936-2025</t>
        </is>
      </c>
      <c r="B400" s="1" t="n">
        <v>45688.69356481481</v>
      </c>
      <c r="C400" s="1" t="n">
        <v>46076</v>
      </c>
      <c r="D400" t="inlineStr">
        <is>
          <t>JÄMTLANDS LÄN</t>
        </is>
      </c>
      <c r="E400" t="inlineStr">
        <is>
          <t>ÖSTERSUND</t>
        </is>
      </c>
      <c r="G400" t="n">
        <v>8.1</v>
      </c>
      <c r="H400" t="n">
        <v>0</v>
      </c>
      <c r="I400" t="n">
        <v>0</v>
      </c>
      <c r="J400" t="n">
        <v>0</v>
      </c>
      <c r="K400" t="n">
        <v>0</v>
      </c>
      <c r="L400" t="n">
        <v>0</v>
      </c>
      <c r="M400" t="n">
        <v>0</v>
      </c>
      <c r="N400" t="n">
        <v>0</v>
      </c>
      <c r="O400" t="n">
        <v>0</v>
      </c>
      <c r="P400" t="n">
        <v>0</v>
      </c>
      <c r="Q400" t="n">
        <v>0</v>
      </c>
      <c r="R400" s="2" t="inlineStr"/>
    </row>
    <row r="401" ht="15" customHeight="1">
      <c r="A401" t="inlineStr">
        <is>
          <t>A 47805-2024</t>
        </is>
      </c>
      <c r="B401" s="1" t="n">
        <v>45588.61512731481</v>
      </c>
      <c r="C401" s="1" t="n">
        <v>46076</v>
      </c>
      <c r="D401" t="inlineStr">
        <is>
          <t>JÄMTLANDS LÄN</t>
        </is>
      </c>
      <c r="E401" t="inlineStr">
        <is>
          <t>ÖSTERSUND</t>
        </is>
      </c>
      <c r="G401" t="n">
        <v>7.4</v>
      </c>
      <c r="H401" t="n">
        <v>0</v>
      </c>
      <c r="I401" t="n">
        <v>0</v>
      </c>
      <c r="J401" t="n">
        <v>0</v>
      </c>
      <c r="K401" t="n">
        <v>0</v>
      </c>
      <c r="L401" t="n">
        <v>0</v>
      </c>
      <c r="M401" t="n">
        <v>0</v>
      </c>
      <c r="N401" t="n">
        <v>0</v>
      </c>
      <c r="O401" t="n">
        <v>0</v>
      </c>
      <c r="P401" t="n">
        <v>0</v>
      </c>
      <c r="Q401" t="n">
        <v>0</v>
      </c>
      <c r="R401" s="2" t="inlineStr"/>
    </row>
    <row r="402" ht="15" customHeight="1">
      <c r="A402" t="inlineStr">
        <is>
          <t>A 45338-2024</t>
        </is>
      </c>
      <c r="B402" s="1" t="n">
        <v>45576.46905092592</v>
      </c>
      <c r="C402" s="1" t="n">
        <v>46076</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45895-2024</t>
        </is>
      </c>
      <c r="B403" s="1" t="n">
        <v>45580.42736111111</v>
      </c>
      <c r="C403" s="1" t="n">
        <v>46076</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47575-2025</t>
        </is>
      </c>
      <c r="B404" s="1" t="n">
        <v>45931.40100694444</v>
      </c>
      <c r="C404" s="1" t="n">
        <v>46076</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47579-2025</t>
        </is>
      </c>
      <c r="B405" s="1" t="n">
        <v>45931.40671296296</v>
      </c>
      <c r="C405" s="1" t="n">
        <v>46076</v>
      </c>
      <c r="D405" t="inlineStr">
        <is>
          <t>JÄMTLANDS LÄN</t>
        </is>
      </c>
      <c r="E405" t="inlineStr">
        <is>
          <t>ÖSTERSUND</t>
        </is>
      </c>
      <c r="G405" t="n">
        <v>5.8</v>
      </c>
      <c r="H405" t="n">
        <v>0</v>
      </c>
      <c r="I405" t="n">
        <v>0</v>
      </c>
      <c r="J405" t="n">
        <v>0</v>
      </c>
      <c r="K405" t="n">
        <v>0</v>
      </c>
      <c r="L405" t="n">
        <v>0</v>
      </c>
      <c r="M405" t="n">
        <v>0</v>
      </c>
      <c r="N405" t="n">
        <v>0</v>
      </c>
      <c r="O405" t="n">
        <v>0</v>
      </c>
      <c r="P405" t="n">
        <v>0</v>
      </c>
      <c r="Q405" t="n">
        <v>0</v>
      </c>
      <c r="R405" s="2" t="inlineStr"/>
    </row>
    <row r="406" ht="15" customHeight="1">
      <c r="A406" t="inlineStr">
        <is>
          <t>A 46732-2024</t>
        </is>
      </c>
      <c r="B406" s="1" t="n">
        <v>45583.46936342592</v>
      </c>
      <c r="C406" s="1" t="n">
        <v>46076</v>
      </c>
      <c r="D406" t="inlineStr">
        <is>
          <t>JÄMTLANDS LÄN</t>
        </is>
      </c>
      <c r="E406" t="inlineStr">
        <is>
          <t>ÖSTERSUND</t>
        </is>
      </c>
      <c r="G406" t="n">
        <v>3.3</v>
      </c>
      <c r="H406" t="n">
        <v>0</v>
      </c>
      <c r="I406" t="n">
        <v>0</v>
      </c>
      <c r="J406" t="n">
        <v>0</v>
      </c>
      <c r="K406" t="n">
        <v>0</v>
      </c>
      <c r="L406" t="n">
        <v>0</v>
      </c>
      <c r="M406" t="n">
        <v>0</v>
      </c>
      <c r="N406" t="n">
        <v>0</v>
      </c>
      <c r="O406" t="n">
        <v>0</v>
      </c>
      <c r="P406" t="n">
        <v>0</v>
      </c>
      <c r="Q406" t="n">
        <v>0</v>
      </c>
      <c r="R406" s="2" t="inlineStr"/>
    </row>
    <row r="407" ht="15" customHeight="1">
      <c r="A407" t="inlineStr">
        <is>
          <t>A 26373-2025</t>
        </is>
      </c>
      <c r="B407" s="1" t="n">
        <v>45806.40677083333</v>
      </c>
      <c r="C407" s="1" t="n">
        <v>46076</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47759-2025</t>
        </is>
      </c>
      <c r="B408" s="1" t="n">
        <v>45931.67381944445</v>
      </c>
      <c r="C408" s="1" t="n">
        <v>46076</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46076</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37085-2025</t>
        </is>
      </c>
      <c r="B410" s="1" t="n">
        <v>45875.44840277778</v>
      </c>
      <c r="C410" s="1" t="n">
        <v>46076</v>
      </c>
      <c r="D410" t="inlineStr">
        <is>
          <t>JÄMTLANDS LÄN</t>
        </is>
      </c>
      <c r="E410" t="inlineStr">
        <is>
          <t>ÖSTERSUND</t>
        </is>
      </c>
      <c r="G410" t="n">
        <v>5.5</v>
      </c>
      <c r="H410" t="n">
        <v>0</v>
      </c>
      <c r="I410" t="n">
        <v>0</v>
      </c>
      <c r="J410" t="n">
        <v>0</v>
      </c>
      <c r="K410" t="n">
        <v>0</v>
      </c>
      <c r="L410" t="n">
        <v>0</v>
      </c>
      <c r="M410" t="n">
        <v>0</v>
      </c>
      <c r="N410" t="n">
        <v>0</v>
      </c>
      <c r="O410" t="n">
        <v>0</v>
      </c>
      <c r="P410" t="n">
        <v>0</v>
      </c>
      <c r="Q410" t="n">
        <v>0</v>
      </c>
      <c r="R410" s="2" t="inlineStr"/>
    </row>
    <row r="411" ht="15" customHeight="1">
      <c r="A411" t="inlineStr">
        <is>
          <t>A 6877-2024</t>
        </is>
      </c>
      <c r="B411" s="1" t="n">
        <v>45342</v>
      </c>
      <c r="C411" s="1" t="n">
        <v>46076</v>
      </c>
      <c r="D411" t="inlineStr">
        <is>
          <t>JÄMTLANDS LÄN</t>
        </is>
      </c>
      <c r="E411" t="inlineStr">
        <is>
          <t>ÖSTERSUND</t>
        </is>
      </c>
      <c r="F411" t="inlineStr">
        <is>
          <t>Kyrkan</t>
        </is>
      </c>
      <c r="G411" t="n">
        <v>0.9</v>
      </c>
      <c r="H411" t="n">
        <v>0</v>
      </c>
      <c r="I411" t="n">
        <v>0</v>
      </c>
      <c r="J411" t="n">
        <v>0</v>
      </c>
      <c r="K411" t="n">
        <v>0</v>
      </c>
      <c r="L411" t="n">
        <v>0</v>
      </c>
      <c r="M411" t="n">
        <v>0</v>
      </c>
      <c r="N411" t="n">
        <v>0</v>
      </c>
      <c r="O411" t="n">
        <v>0</v>
      </c>
      <c r="P411" t="n">
        <v>0</v>
      </c>
      <c r="Q411" t="n">
        <v>0</v>
      </c>
      <c r="R411" s="2" t="inlineStr"/>
    </row>
    <row r="412" ht="15" customHeight="1">
      <c r="A412" t="inlineStr">
        <is>
          <t>A 9971-2025</t>
        </is>
      </c>
      <c r="B412" s="1" t="n">
        <v>45719.38630787037</v>
      </c>
      <c r="C412" s="1" t="n">
        <v>46076</v>
      </c>
      <c r="D412" t="inlineStr">
        <is>
          <t>JÄMTLANDS LÄN</t>
        </is>
      </c>
      <c r="E412" t="inlineStr">
        <is>
          <t>ÖSTERSUND</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6351-2024</t>
        </is>
      </c>
      <c r="B413" s="1" t="n">
        <v>45338</v>
      </c>
      <c r="C413" s="1" t="n">
        <v>46076</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56811-2025</t>
        </is>
      </c>
      <c r="B414" s="1" t="n">
        <v>45978.45540509259</v>
      </c>
      <c r="C414" s="1" t="n">
        <v>46076</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57268-2025</t>
        </is>
      </c>
      <c r="B415" s="1" t="n">
        <v>45979.6756712963</v>
      </c>
      <c r="C415" s="1" t="n">
        <v>46076</v>
      </c>
      <c r="D415" t="inlineStr">
        <is>
          <t>JÄMTLANDS LÄN</t>
        </is>
      </c>
      <c r="E415" t="inlineStr">
        <is>
          <t>ÖSTERSUND</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48893-2025</t>
        </is>
      </c>
      <c r="B416" s="1" t="n">
        <v>45937.47302083333</v>
      </c>
      <c r="C416" s="1" t="n">
        <v>46076</v>
      </c>
      <c r="D416" t="inlineStr">
        <is>
          <t>JÄMTLANDS LÄN</t>
        </is>
      </c>
      <c r="E416" t="inlineStr">
        <is>
          <t>ÖSTERSUND</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3749-2023</t>
        </is>
      </c>
      <c r="B417" s="1" t="n">
        <v>44949</v>
      </c>
      <c r="C417" s="1" t="n">
        <v>46076</v>
      </c>
      <c r="D417" t="inlineStr">
        <is>
          <t>JÄMTLANDS LÄN</t>
        </is>
      </c>
      <c r="E417" t="inlineStr">
        <is>
          <t>ÖSTERSUND</t>
        </is>
      </c>
      <c r="G417" t="n">
        <v>0.2</v>
      </c>
      <c r="H417" t="n">
        <v>0</v>
      </c>
      <c r="I417" t="n">
        <v>0</v>
      </c>
      <c r="J417" t="n">
        <v>0</v>
      </c>
      <c r="K417" t="n">
        <v>0</v>
      </c>
      <c r="L417" t="n">
        <v>0</v>
      </c>
      <c r="M417" t="n">
        <v>0</v>
      </c>
      <c r="N417" t="n">
        <v>0</v>
      </c>
      <c r="O417" t="n">
        <v>0</v>
      </c>
      <c r="P417" t="n">
        <v>0</v>
      </c>
      <c r="Q417" t="n">
        <v>0</v>
      </c>
      <c r="R417" s="2" t="inlineStr"/>
    </row>
    <row r="418" ht="15" customHeight="1">
      <c r="A418" t="inlineStr">
        <is>
          <t>A 3255-2025</t>
        </is>
      </c>
      <c r="B418" s="1" t="n">
        <v>45679.55256944444</v>
      </c>
      <c r="C418" s="1" t="n">
        <v>46076</v>
      </c>
      <c r="D418" t="inlineStr">
        <is>
          <t>JÄMTLANDS LÄN</t>
        </is>
      </c>
      <c r="E418" t="inlineStr">
        <is>
          <t>ÖSTERSUND</t>
        </is>
      </c>
      <c r="F418" t="inlineStr">
        <is>
          <t>SCA</t>
        </is>
      </c>
      <c r="G418" t="n">
        <v>16.7</v>
      </c>
      <c r="H418" t="n">
        <v>0</v>
      </c>
      <c r="I418" t="n">
        <v>0</v>
      </c>
      <c r="J418" t="n">
        <v>0</v>
      </c>
      <c r="K418" t="n">
        <v>0</v>
      </c>
      <c r="L418" t="n">
        <v>0</v>
      </c>
      <c r="M418" t="n">
        <v>0</v>
      </c>
      <c r="N418" t="n">
        <v>0</v>
      </c>
      <c r="O418" t="n">
        <v>0</v>
      </c>
      <c r="P418" t="n">
        <v>0</v>
      </c>
      <c r="Q418" t="n">
        <v>0</v>
      </c>
      <c r="R418" s="2" t="inlineStr"/>
    </row>
    <row r="419" ht="15" customHeight="1">
      <c r="A419" t="inlineStr">
        <is>
          <t>A 58364-2024</t>
        </is>
      </c>
      <c r="B419" s="1" t="n">
        <v>45632.68814814815</v>
      </c>
      <c r="C419" s="1" t="n">
        <v>46076</v>
      </c>
      <c r="D419" t="inlineStr">
        <is>
          <t>JÄMTLANDS LÄN</t>
        </is>
      </c>
      <c r="E419" t="inlineStr">
        <is>
          <t>ÖSTERSUND</t>
        </is>
      </c>
      <c r="G419" t="n">
        <v>5.5</v>
      </c>
      <c r="H419" t="n">
        <v>0</v>
      </c>
      <c r="I419" t="n">
        <v>0</v>
      </c>
      <c r="J419" t="n">
        <v>0</v>
      </c>
      <c r="K419" t="n">
        <v>0</v>
      </c>
      <c r="L419" t="n">
        <v>0</v>
      </c>
      <c r="M419" t="n">
        <v>0</v>
      </c>
      <c r="N419" t="n">
        <v>0</v>
      </c>
      <c r="O419" t="n">
        <v>0</v>
      </c>
      <c r="P419" t="n">
        <v>0</v>
      </c>
      <c r="Q419" t="n">
        <v>0</v>
      </c>
      <c r="R419" s="2" t="inlineStr"/>
    </row>
    <row r="420" ht="15" customHeight="1">
      <c r="A420" t="inlineStr">
        <is>
          <t>A 33801-2022</t>
        </is>
      </c>
      <c r="B420" s="1" t="n">
        <v>44790</v>
      </c>
      <c r="C420" s="1" t="n">
        <v>46076</v>
      </c>
      <c r="D420" t="inlineStr">
        <is>
          <t>JÄMTLANDS LÄN</t>
        </is>
      </c>
      <c r="E420" t="inlineStr">
        <is>
          <t>ÖSTERSUND</t>
        </is>
      </c>
      <c r="G420" t="n">
        <v>7.6</v>
      </c>
      <c r="H420" t="n">
        <v>0</v>
      </c>
      <c r="I420" t="n">
        <v>0</v>
      </c>
      <c r="J420" t="n">
        <v>0</v>
      </c>
      <c r="K420" t="n">
        <v>0</v>
      </c>
      <c r="L420" t="n">
        <v>0</v>
      </c>
      <c r="M420" t="n">
        <v>0</v>
      </c>
      <c r="N420" t="n">
        <v>0</v>
      </c>
      <c r="O420" t="n">
        <v>0</v>
      </c>
      <c r="P420" t="n">
        <v>0</v>
      </c>
      <c r="Q420" t="n">
        <v>0</v>
      </c>
      <c r="R420" s="2" t="inlineStr"/>
    </row>
    <row r="421" ht="15" customHeight="1">
      <c r="A421" t="inlineStr">
        <is>
          <t>A 3997-2025</t>
        </is>
      </c>
      <c r="B421" s="1" t="n">
        <v>45684.56725694444</v>
      </c>
      <c r="C421" s="1" t="n">
        <v>46076</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44511.94629629629</v>
      </c>
      <c r="C422" s="1" t="n">
        <v>46076</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49039-2025</t>
        </is>
      </c>
      <c r="B423" s="1" t="n">
        <v>45937.63275462963</v>
      </c>
      <c r="C423" s="1" t="n">
        <v>46076</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49572-2025</t>
        </is>
      </c>
      <c r="B424" s="1" t="n">
        <v>45939.49018518518</v>
      </c>
      <c r="C424" s="1" t="n">
        <v>46076</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49576-2025</t>
        </is>
      </c>
      <c r="B425" s="1" t="n">
        <v>45939</v>
      </c>
      <c r="C425" s="1" t="n">
        <v>46076</v>
      </c>
      <c r="D425" t="inlineStr">
        <is>
          <t>JÄMTLANDS LÄN</t>
        </is>
      </c>
      <c r="E425" t="inlineStr">
        <is>
          <t>ÖSTERSUND</t>
        </is>
      </c>
      <c r="F425" t="inlineStr">
        <is>
          <t>SCA</t>
        </is>
      </c>
      <c r="G425" t="n">
        <v>17.1</v>
      </c>
      <c r="H425" t="n">
        <v>0</v>
      </c>
      <c r="I425" t="n">
        <v>0</v>
      </c>
      <c r="J425" t="n">
        <v>0</v>
      </c>
      <c r="K425" t="n">
        <v>0</v>
      </c>
      <c r="L425" t="n">
        <v>0</v>
      </c>
      <c r="M425" t="n">
        <v>0</v>
      </c>
      <c r="N425" t="n">
        <v>0</v>
      </c>
      <c r="O425" t="n">
        <v>0</v>
      </c>
      <c r="P425" t="n">
        <v>0</v>
      </c>
      <c r="Q425" t="n">
        <v>0</v>
      </c>
      <c r="R425" s="2" t="inlineStr"/>
    </row>
    <row r="426" ht="15" customHeight="1">
      <c r="A426" t="inlineStr">
        <is>
          <t>A 846-2024</t>
        </is>
      </c>
      <c r="B426" s="1" t="n">
        <v>45300</v>
      </c>
      <c r="C426" s="1" t="n">
        <v>46076</v>
      </c>
      <c r="D426" t="inlineStr">
        <is>
          <t>JÄMTLANDS LÄN</t>
        </is>
      </c>
      <c r="E426" t="inlineStr">
        <is>
          <t>ÖSTERSUND</t>
        </is>
      </c>
      <c r="G426" t="n">
        <v>2.8</v>
      </c>
      <c r="H426" t="n">
        <v>0</v>
      </c>
      <c r="I426" t="n">
        <v>0</v>
      </c>
      <c r="J426" t="n">
        <v>0</v>
      </c>
      <c r="K426" t="n">
        <v>0</v>
      </c>
      <c r="L426" t="n">
        <v>0</v>
      </c>
      <c r="M426" t="n">
        <v>0</v>
      </c>
      <c r="N426" t="n">
        <v>0</v>
      </c>
      <c r="O426" t="n">
        <v>0</v>
      </c>
      <c r="P426" t="n">
        <v>0</v>
      </c>
      <c r="Q426" t="n">
        <v>0</v>
      </c>
      <c r="R426" s="2" t="inlineStr"/>
    </row>
    <row r="427" ht="15" customHeight="1">
      <c r="A427" t="inlineStr">
        <is>
          <t>A 50168-2025</t>
        </is>
      </c>
      <c r="B427" s="1" t="n">
        <v>45943.59442129629</v>
      </c>
      <c r="C427" s="1" t="n">
        <v>46076</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12102-2025</t>
        </is>
      </c>
      <c r="B428" s="1" t="n">
        <v>45729.3425</v>
      </c>
      <c r="C428" s="1" t="n">
        <v>46076</v>
      </c>
      <c r="D428" t="inlineStr">
        <is>
          <t>JÄMTLANDS LÄN</t>
        </is>
      </c>
      <c r="E428" t="inlineStr">
        <is>
          <t>ÖSTERSUND</t>
        </is>
      </c>
      <c r="G428" t="n">
        <v>1.5</v>
      </c>
      <c r="H428" t="n">
        <v>0</v>
      </c>
      <c r="I428" t="n">
        <v>0</v>
      </c>
      <c r="J428" t="n">
        <v>0</v>
      </c>
      <c r="K428" t="n">
        <v>0</v>
      </c>
      <c r="L428" t="n">
        <v>0</v>
      </c>
      <c r="M428" t="n">
        <v>0</v>
      </c>
      <c r="N428" t="n">
        <v>0</v>
      </c>
      <c r="O428" t="n">
        <v>0</v>
      </c>
      <c r="P428" t="n">
        <v>0</v>
      </c>
      <c r="Q428" t="n">
        <v>0</v>
      </c>
      <c r="R428" s="2" t="inlineStr"/>
    </row>
    <row r="429" ht="15" customHeight="1">
      <c r="A429" t="inlineStr">
        <is>
          <t>A 50528-2025</t>
        </is>
      </c>
      <c r="B429" s="1" t="n">
        <v>45945.47097222223</v>
      </c>
      <c r="C429" s="1" t="n">
        <v>46076</v>
      </c>
      <c r="D429" t="inlineStr">
        <is>
          <t>JÄMTLANDS LÄN</t>
        </is>
      </c>
      <c r="E429" t="inlineStr">
        <is>
          <t>ÖSTERSUND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7233-2024</t>
        </is>
      </c>
      <c r="B430" s="1" t="n">
        <v>45344</v>
      </c>
      <c r="C430" s="1" t="n">
        <v>46076</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50428-2025</t>
        </is>
      </c>
      <c r="B431" s="1" t="n">
        <v>45944.67787037037</v>
      </c>
      <c r="C431" s="1" t="n">
        <v>46076</v>
      </c>
      <c r="D431" t="inlineStr">
        <is>
          <t>JÄMTLANDS LÄN</t>
        </is>
      </c>
      <c r="E431" t="inlineStr">
        <is>
          <t>ÖSTERSUND</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58996-2025</t>
        </is>
      </c>
      <c r="B432" s="1" t="n">
        <v>45987.67032407408</v>
      </c>
      <c r="C432" s="1" t="n">
        <v>46076</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61791-2023</t>
        </is>
      </c>
      <c r="B433" s="1" t="n">
        <v>45265.95795138889</v>
      </c>
      <c r="C433" s="1" t="n">
        <v>46076</v>
      </c>
      <c r="D433" t="inlineStr">
        <is>
          <t>JÄMTLANDS LÄN</t>
        </is>
      </c>
      <c r="E433" t="inlineStr">
        <is>
          <t>ÖSTERSUND</t>
        </is>
      </c>
      <c r="F433" t="inlineStr">
        <is>
          <t>SCA</t>
        </is>
      </c>
      <c r="G433" t="n">
        <v>11.4</v>
      </c>
      <c r="H433" t="n">
        <v>0</v>
      </c>
      <c r="I433" t="n">
        <v>0</v>
      </c>
      <c r="J433" t="n">
        <v>0</v>
      </c>
      <c r="K433" t="n">
        <v>0</v>
      </c>
      <c r="L433" t="n">
        <v>0</v>
      </c>
      <c r="M433" t="n">
        <v>0</v>
      </c>
      <c r="N433" t="n">
        <v>0</v>
      </c>
      <c r="O433" t="n">
        <v>0</v>
      </c>
      <c r="P433" t="n">
        <v>0</v>
      </c>
      <c r="Q433" t="n">
        <v>0</v>
      </c>
      <c r="R433" s="2" t="inlineStr"/>
    </row>
    <row r="434" ht="15" customHeight="1">
      <c r="A434" t="inlineStr">
        <is>
          <t>A 47022-2024</t>
        </is>
      </c>
      <c r="B434" s="1" t="n">
        <v>45586.40660879629</v>
      </c>
      <c r="C434" s="1" t="n">
        <v>46076</v>
      </c>
      <c r="D434" t="inlineStr">
        <is>
          <t>JÄMTLANDS LÄN</t>
        </is>
      </c>
      <c r="E434" t="inlineStr">
        <is>
          <t>ÖSTERSUND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12-2023</t>
        </is>
      </c>
      <c r="B435" s="1" t="n">
        <v>44927.88021990741</v>
      </c>
      <c r="C435" s="1" t="n">
        <v>46076</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7941-2025</t>
        </is>
      </c>
      <c r="B436" s="1" t="n">
        <v>45707</v>
      </c>
      <c r="C436" s="1" t="n">
        <v>46076</v>
      </c>
      <c r="D436" t="inlineStr">
        <is>
          <t>JÄMTLANDS LÄN</t>
        </is>
      </c>
      <c r="E436" t="inlineStr">
        <is>
          <t>ÖSTERSUND</t>
        </is>
      </c>
      <c r="G436" t="n">
        <v>2</v>
      </c>
      <c r="H436" t="n">
        <v>0</v>
      </c>
      <c r="I436" t="n">
        <v>0</v>
      </c>
      <c r="J436" t="n">
        <v>0</v>
      </c>
      <c r="K436" t="n">
        <v>0</v>
      </c>
      <c r="L436" t="n">
        <v>0</v>
      </c>
      <c r="M436" t="n">
        <v>0</v>
      </c>
      <c r="N436" t="n">
        <v>0</v>
      </c>
      <c r="O436" t="n">
        <v>0</v>
      </c>
      <c r="P436" t="n">
        <v>0</v>
      </c>
      <c r="Q436" t="n">
        <v>0</v>
      </c>
      <c r="R436" s="2" t="inlineStr"/>
    </row>
    <row r="437" ht="15" customHeight="1">
      <c r="A437" t="inlineStr">
        <is>
          <t>A 64309-2023</t>
        </is>
      </c>
      <c r="B437" s="1" t="n">
        <v>45280</v>
      </c>
      <c r="C437" s="1" t="n">
        <v>46076</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64314-2023</t>
        </is>
      </c>
      <c r="B438" s="1" t="n">
        <v>45280</v>
      </c>
      <c r="C438" s="1" t="n">
        <v>46076</v>
      </c>
      <c r="D438" t="inlineStr">
        <is>
          <t>JÄMTLANDS LÄN</t>
        </is>
      </c>
      <c r="E438" t="inlineStr">
        <is>
          <t>ÖSTERSUND</t>
        </is>
      </c>
      <c r="G438" t="n">
        <v>0.6</v>
      </c>
      <c r="H438" t="n">
        <v>0</v>
      </c>
      <c r="I438" t="n">
        <v>0</v>
      </c>
      <c r="J438" t="n">
        <v>0</v>
      </c>
      <c r="K438" t="n">
        <v>0</v>
      </c>
      <c r="L438" t="n">
        <v>0</v>
      </c>
      <c r="M438" t="n">
        <v>0</v>
      </c>
      <c r="N438" t="n">
        <v>0</v>
      </c>
      <c r="O438" t="n">
        <v>0</v>
      </c>
      <c r="P438" t="n">
        <v>0</v>
      </c>
      <c r="Q438" t="n">
        <v>0</v>
      </c>
      <c r="R438" s="2" t="inlineStr"/>
    </row>
    <row r="439" ht="15" customHeight="1">
      <c r="A439" t="inlineStr">
        <is>
          <t>A 27124-2023</t>
        </is>
      </c>
      <c r="B439" s="1" t="n">
        <v>45096</v>
      </c>
      <c r="C439" s="1" t="n">
        <v>46076</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16336-2025</t>
        </is>
      </c>
      <c r="B440" s="1" t="n">
        <v>45751.36519675926</v>
      </c>
      <c r="C440" s="1" t="n">
        <v>46076</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52247-2025</t>
        </is>
      </c>
      <c r="B441" s="1" t="n">
        <v>45953.47575231481</v>
      </c>
      <c r="C441" s="1" t="n">
        <v>46076</v>
      </c>
      <c r="D441" t="inlineStr">
        <is>
          <t>JÄMTLANDS LÄN</t>
        </is>
      </c>
      <c r="E441" t="inlineStr">
        <is>
          <t>ÖSTERSUND</t>
        </is>
      </c>
      <c r="G441" t="n">
        <v>8.4</v>
      </c>
      <c r="H441" t="n">
        <v>0</v>
      </c>
      <c r="I441" t="n">
        <v>0</v>
      </c>
      <c r="J441" t="n">
        <v>0</v>
      </c>
      <c r="K441" t="n">
        <v>0</v>
      </c>
      <c r="L441" t="n">
        <v>0</v>
      </c>
      <c r="M441" t="n">
        <v>0</v>
      </c>
      <c r="N441" t="n">
        <v>0</v>
      </c>
      <c r="O441" t="n">
        <v>0</v>
      </c>
      <c r="P441" t="n">
        <v>0</v>
      </c>
      <c r="Q441" t="n">
        <v>0</v>
      </c>
      <c r="R441" s="2" t="inlineStr"/>
    </row>
    <row r="442" ht="15" customHeight="1">
      <c r="A442" t="inlineStr">
        <is>
          <t>A 52286-2025</t>
        </is>
      </c>
      <c r="B442" s="1" t="n">
        <v>45953.58497685185</v>
      </c>
      <c r="C442" s="1" t="n">
        <v>46076</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17066-2024</t>
        </is>
      </c>
      <c r="B443" s="1" t="n">
        <v>45412.46636574074</v>
      </c>
      <c r="C443" s="1" t="n">
        <v>46076</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52280-2025</t>
        </is>
      </c>
      <c r="B444" s="1" t="n">
        <v>45953.56976851852</v>
      </c>
      <c r="C444" s="1" t="n">
        <v>46076</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52003-2025</t>
        </is>
      </c>
      <c r="B445" s="1" t="n">
        <v>45952.5909375</v>
      </c>
      <c r="C445" s="1" t="n">
        <v>46076</v>
      </c>
      <c r="D445" t="inlineStr">
        <is>
          <t>JÄMTLANDS LÄN</t>
        </is>
      </c>
      <c r="E445" t="inlineStr">
        <is>
          <t>ÖSTERSUND</t>
        </is>
      </c>
      <c r="G445" t="n">
        <v>5.7</v>
      </c>
      <c r="H445" t="n">
        <v>0</v>
      </c>
      <c r="I445" t="n">
        <v>0</v>
      </c>
      <c r="J445" t="n">
        <v>0</v>
      </c>
      <c r="K445" t="n">
        <v>0</v>
      </c>
      <c r="L445" t="n">
        <v>0</v>
      </c>
      <c r="M445" t="n">
        <v>0</v>
      </c>
      <c r="N445" t="n">
        <v>0</v>
      </c>
      <c r="O445" t="n">
        <v>0</v>
      </c>
      <c r="P445" t="n">
        <v>0</v>
      </c>
      <c r="Q445" t="n">
        <v>0</v>
      </c>
      <c r="R445" s="2" t="inlineStr"/>
    </row>
    <row r="446" ht="15" customHeight="1">
      <c r="A446" t="inlineStr">
        <is>
          <t>A 61449-2024</t>
        </is>
      </c>
      <c r="B446" s="1" t="n">
        <v>45646.48988425926</v>
      </c>
      <c r="C446" s="1" t="n">
        <v>46076</v>
      </c>
      <c r="D446" t="inlineStr">
        <is>
          <t>JÄMTLANDS LÄN</t>
        </is>
      </c>
      <c r="E446" t="inlineStr">
        <is>
          <t>ÖSTERSUND</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61450-2024</t>
        </is>
      </c>
      <c r="B447" s="1" t="n">
        <v>45646.49012731481</v>
      </c>
      <c r="C447" s="1" t="n">
        <v>46076</v>
      </c>
      <c r="D447" t="inlineStr">
        <is>
          <t>JÄMTLANDS LÄN</t>
        </is>
      </c>
      <c r="E447" t="inlineStr">
        <is>
          <t>ÖSTERSUND</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61451-2024</t>
        </is>
      </c>
      <c r="B448" s="1" t="n">
        <v>45646.49017361111</v>
      </c>
      <c r="C448" s="1" t="n">
        <v>46076</v>
      </c>
      <c r="D448" t="inlineStr">
        <is>
          <t>JÄMTLANDS LÄN</t>
        </is>
      </c>
      <c r="E448" t="inlineStr">
        <is>
          <t>ÖSTERSUND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52935-2025</t>
        </is>
      </c>
      <c r="B449" s="1" t="n">
        <v>45957.62978009259</v>
      </c>
      <c r="C449" s="1" t="n">
        <v>46076</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8261-2025</t>
        </is>
      </c>
      <c r="B450" s="1" t="n">
        <v>45708.50256944444</v>
      </c>
      <c r="C450" s="1" t="n">
        <v>46076</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52620-2025</t>
        </is>
      </c>
      <c r="B451" s="1" t="n">
        <v>45954.68207175926</v>
      </c>
      <c r="C451" s="1" t="n">
        <v>46076</v>
      </c>
      <c r="D451" t="inlineStr">
        <is>
          <t>JÄMTLANDS LÄN</t>
        </is>
      </c>
      <c r="E451" t="inlineStr">
        <is>
          <t>ÖSTERSUND</t>
        </is>
      </c>
      <c r="G451" t="n">
        <v>4.6</v>
      </c>
      <c r="H451" t="n">
        <v>0</v>
      </c>
      <c r="I451" t="n">
        <v>0</v>
      </c>
      <c r="J451" t="n">
        <v>0</v>
      </c>
      <c r="K451" t="n">
        <v>0</v>
      </c>
      <c r="L451" t="n">
        <v>0</v>
      </c>
      <c r="M451" t="n">
        <v>0</v>
      </c>
      <c r="N451" t="n">
        <v>0</v>
      </c>
      <c r="O451" t="n">
        <v>0</v>
      </c>
      <c r="P451" t="n">
        <v>0</v>
      </c>
      <c r="Q451" t="n">
        <v>0</v>
      </c>
      <c r="R451" s="2" t="inlineStr"/>
    </row>
    <row r="452" ht="15" customHeight="1">
      <c r="A452" t="inlineStr">
        <is>
          <t>A 39975-2024</t>
        </is>
      </c>
      <c r="B452" s="1" t="n">
        <v>45553.60474537037</v>
      </c>
      <c r="C452" s="1" t="n">
        <v>46076</v>
      </c>
      <c r="D452" t="inlineStr">
        <is>
          <t>JÄMTLANDS LÄN</t>
        </is>
      </c>
      <c r="E452" t="inlineStr">
        <is>
          <t>ÖSTERSUND</t>
        </is>
      </c>
      <c r="G452" t="n">
        <v>3.8</v>
      </c>
      <c r="H452" t="n">
        <v>0</v>
      </c>
      <c r="I452" t="n">
        <v>0</v>
      </c>
      <c r="J452" t="n">
        <v>0</v>
      </c>
      <c r="K452" t="n">
        <v>0</v>
      </c>
      <c r="L452" t="n">
        <v>0</v>
      </c>
      <c r="M452" t="n">
        <v>0</v>
      </c>
      <c r="N452" t="n">
        <v>0</v>
      </c>
      <c r="O452" t="n">
        <v>0</v>
      </c>
      <c r="P452" t="n">
        <v>0</v>
      </c>
      <c r="Q452" t="n">
        <v>0</v>
      </c>
      <c r="R452" s="2" t="inlineStr"/>
    </row>
    <row r="453" ht="15" customHeight="1">
      <c r="A453" t="inlineStr">
        <is>
          <t>A 52975-2025</t>
        </is>
      </c>
      <c r="B453" s="1" t="n">
        <v>45957.67876157408</v>
      </c>
      <c r="C453" s="1" t="n">
        <v>46076</v>
      </c>
      <c r="D453" t="inlineStr">
        <is>
          <t>JÄMTLANDS LÄN</t>
        </is>
      </c>
      <c r="E453" t="inlineStr">
        <is>
          <t>ÖSTERSUND</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61506-2023</t>
        </is>
      </c>
      <c r="B454" s="1" t="n">
        <v>45264</v>
      </c>
      <c r="C454" s="1" t="n">
        <v>46076</v>
      </c>
      <c r="D454" t="inlineStr">
        <is>
          <t>JÄMTLANDS LÄN</t>
        </is>
      </c>
      <c r="E454" t="inlineStr">
        <is>
          <t>ÖSTERSUND</t>
        </is>
      </c>
      <c r="G454" t="n">
        <v>3</v>
      </c>
      <c r="H454" t="n">
        <v>0</v>
      </c>
      <c r="I454" t="n">
        <v>0</v>
      </c>
      <c r="J454" t="n">
        <v>0</v>
      </c>
      <c r="K454" t="n">
        <v>0</v>
      </c>
      <c r="L454" t="n">
        <v>0</v>
      </c>
      <c r="M454" t="n">
        <v>0</v>
      </c>
      <c r="N454" t="n">
        <v>0</v>
      </c>
      <c r="O454" t="n">
        <v>0</v>
      </c>
      <c r="P454" t="n">
        <v>0</v>
      </c>
      <c r="Q454" t="n">
        <v>0</v>
      </c>
      <c r="R454" s="2" t="inlineStr"/>
    </row>
    <row r="455" ht="15" customHeight="1">
      <c r="A455" t="inlineStr">
        <is>
          <t>A 53054-2025</t>
        </is>
      </c>
      <c r="B455" s="1" t="n">
        <v>45958.36498842593</v>
      </c>
      <c r="C455" s="1" t="n">
        <v>46076</v>
      </c>
      <c r="D455" t="inlineStr">
        <is>
          <t>JÄMTLANDS LÄN</t>
        </is>
      </c>
      <c r="E455" t="inlineStr">
        <is>
          <t>ÖSTERSUND</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53057-2025</t>
        </is>
      </c>
      <c r="B456" s="1" t="n">
        <v>45958.36537037037</v>
      </c>
      <c r="C456" s="1" t="n">
        <v>46076</v>
      </c>
      <c r="D456" t="inlineStr">
        <is>
          <t>JÄMTLANDS LÄN</t>
        </is>
      </c>
      <c r="E456" t="inlineStr">
        <is>
          <t>ÖSTERSUND</t>
        </is>
      </c>
      <c r="F456" t="inlineStr">
        <is>
          <t>SCA</t>
        </is>
      </c>
      <c r="G456" t="n">
        <v>47.8</v>
      </c>
      <c r="H456" t="n">
        <v>0</v>
      </c>
      <c r="I456" t="n">
        <v>0</v>
      </c>
      <c r="J456" t="n">
        <v>0</v>
      </c>
      <c r="K456" t="n">
        <v>0</v>
      </c>
      <c r="L456" t="n">
        <v>0</v>
      </c>
      <c r="M456" t="n">
        <v>0</v>
      </c>
      <c r="N456" t="n">
        <v>0</v>
      </c>
      <c r="O456" t="n">
        <v>0</v>
      </c>
      <c r="P456" t="n">
        <v>0</v>
      </c>
      <c r="Q456" t="n">
        <v>0</v>
      </c>
      <c r="R456" s="2" t="inlineStr"/>
    </row>
    <row r="457" ht="15" customHeight="1">
      <c r="A457" t="inlineStr">
        <is>
          <t>A 16753-2025</t>
        </is>
      </c>
      <c r="B457" s="1" t="n">
        <v>45754.56839120371</v>
      </c>
      <c r="C457" s="1" t="n">
        <v>46076</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44889.59378472222</v>
      </c>
      <c r="C458" s="1" t="n">
        <v>46076</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6067-2025</t>
        </is>
      </c>
      <c r="B459" s="1" t="n">
        <v>45696.34405092592</v>
      </c>
      <c r="C459" s="1" t="n">
        <v>46076</v>
      </c>
      <c r="D459" t="inlineStr">
        <is>
          <t>JÄMTLANDS LÄN</t>
        </is>
      </c>
      <c r="E459" t="inlineStr">
        <is>
          <t>ÖSTERSUND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14518-2023</t>
        </is>
      </c>
      <c r="B460" s="1" t="n">
        <v>45012</v>
      </c>
      <c r="C460" s="1" t="n">
        <v>46076</v>
      </c>
      <c r="D460" t="inlineStr">
        <is>
          <t>JÄMTLANDS LÄN</t>
        </is>
      </c>
      <c r="E460" t="inlineStr">
        <is>
          <t>ÖSTERSUND</t>
        </is>
      </c>
      <c r="G460" t="n">
        <v>14.4</v>
      </c>
      <c r="H460" t="n">
        <v>0</v>
      </c>
      <c r="I460" t="n">
        <v>0</v>
      </c>
      <c r="J460" t="n">
        <v>0</v>
      </c>
      <c r="K460" t="n">
        <v>0</v>
      </c>
      <c r="L460" t="n">
        <v>0</v>
      </c>
      <c r="M460" t="n">
        <v>0</v>
      </c>
      <c r="N460" t="n">
        <v>0</v>
      </c>
      <c r="O460" t="n">
        <v>0</v>
      </c>
      <c r="P460" t="n">
        <v>0</v>
      </c>
      <c r="Q460" t="n">
        <v>0</v>
      </c>
      <c r="R460" s="2" t="inlineStr"/>
    </row>
    <row r="461" ht="15" customHeight="1">
      <c r="A461" t="inlineStr">
        <is>
          <t>A 54133-2025</t>
        </is>
      </c>
      <c r="B461" s="1" t="n">
        <v>45964.46944444445</v>
      </c>
      <c r="C461" s="1" t="n">
        <v>46076</v>
      </c>
      <c r="D461" t="inlineStr">
        <is>
          <t>JÄMTLANDS LÄN</t>
        </is>
      </c>
      <c r="E461" t="inlineStr">
        <is>
          <t>ÖSTERSUND</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30602-2023</t>
        </is>
      </c>
      <c r="B462" s="1" t="n">
        <v>45112</v>
      </c>
      <c r="C462" s="1" t="n">
        <v>46076</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1211-2025</t>
        </is>
      </c>
      <c r="B463" s="1" t="n">
        <v>45667.40662037037</v>
      </c>
      <c r="C463" s="1" t="n">
        <v>46076</v>
      </c>
      <c r="D463" t="inlineStr">
        <is>
          <t>JÄMTLANDS LÄN</t>
        </is>
      </c>
      <c r="E463" t="inlineStr">
        <is>
          <t>ÖSTERSUND</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54528-2025</t>
        </is>
      </c>
      <c r="B464" s="1" t="n">
        <v>45965.63496527778</v>
      </c>
      <c r="C464" s="1" t="n">
        <v>46076</v>
      </c>
      <c r="D464" t="inlineStr">
        <is>
          <t>JÄMTLANDS LÄN</t>
        </is>
      </c>
      <c r="E464" t="inlineStr">
        <is>
          <t>ÖSTERSUND</t>
        </is>
      </c>
      <c r="G464" t="n">
        <v>1.7</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46076</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12352-2025</t>
        </is>
      </c>
      <c r="B466" s="1" t="n">
        <v>45730.36263888889</v>
      </c>
      <c r="C466" s="1" t="n">
        <v>46076</v>
      </c>
      <c r="D466" t="inlineStr">
        <is>
          <t>JÄMTLANDS LÄN</t>
        </is>
      </c>
      <c r="E466" t="inlineStr">
        <is>
          <t>ÖSTERSUND</t>
        </is>
      </c>
      <c r="G466" t="n">
        <v>7.8</v>
      </c>
      <c r="H466" t="n">
        <v>0</v>
      </c>
      <c r="I466" t="n">
        <v>0</v>
      </c>
      <c r="J466" t="n">
        <v>0</v>
      </c>
      <c r="K466" t="n">
        <v>0</v>
      </c>
      <c r="L466" t="n">
        <v>0</v>
      </c>
      <c r="M466" t="n">
        <v>0</v>
      </c>
      <c r="N466" t="n">
        <v>0</v>
      </c>
      <c r="O466" t="n">
        <v>0</v>
      </c>
      <c r="P466" t="n">
        <v>0</v>
      </c>
      <c r="Q466" t="n">
        <v>0</v>
      </c>
      <c r="R466" s="2" t="inlineStr"/>
    </row>
    <row r="467" ht="15" customHeight="1">
      <c r="A467" t="inlineStr">
        <is>
          <t>A 54965-2025</t>
        </is>
      </c>
      <c r="B467" s="1" t="n">
        <v>45967.49037037037</v>
      </c>
      <c r="C467" s="1" t="n">
        <v>46076</v>
      </c>
      <c r="D467" t="inlineStr">
        <is>
          <t>JÄMTLANDS LÄN</t>
        </is>
      </c>
      <c r="E467" t="inlineStr">
        <is>
          <t>ÖSTERSUND</t>
        </is>
      </c>
      <c r="G467" t="n">
        <v>4.3</v>
      </c>
      <c r="H467" t="n">
        <v>0</v>
      </c>
      <c r="I467" t="n">
        <v>0</v>
      </c>
      <c r="J467" t="n">
        <v>0</v>
      </c>
      <c r="K467" t="n">
        <v>0</v>
      </c>
      <c r="L467" t="n">
        <v>0</v>
      </c>
      <c r="M467" t="n">
        <v>0</v>
      </c>
      <c r="N467" t="n">
        <v>0</v>
      </c>
      <c r="O467" t="n">
        <v>0</v>
      </c>
      <c r="P467" t="n">
        <v>0</v>
      </c>
      <c r="Q467" t="n">
        <v>0</v>
      </c>
      <c r="R467" s="2" t="inlineStr"/>
    </row>
    <row r="468" ht="15" customHeight="1">
      <c r="A468" t="inlineStr">
        <is>
          <t>A 27906-2024</t>
        </is>
      </c>
      <c r="B468" s="1" t="n">
        <v>45475.94585648148</v>
      </c>
      <c r="C468" s="1" t="n">
        <v>46076</v>
      </c>
      <c r="D468" t="inlineStr">
        <is>
          <t>JÄMTLANDS LÄN</t>
        </is>
      </c>
      <c r="E468" t="inlineStr">
        <is>
          <t>ÖSTERSUND</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53380-2023</t>
        </is>
      </c>
      <c r="B469" s="1" t="n">
        <v>45223</v>
      </c>
      <c r="C469" s="1" t="n">
        <v>46076</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10116-2025</t>
        </is>
      </c>
      <c r="B470" s="1" t="n">
        <v>45719.59836805556</v>
      </c>
      <c r="C470" s="1" t="n">
        <v>46076</v>
      </c>
      <c r="D470" t="inlineStr">
        <is>
          <t>JÄMTLANDS LÄN</t>
        </is>
      </c>
      <c r="E470" t="inlineStr">
        <is>
          <t>ÖSTERSUND</t>
        </is>
      </c>
      <c r="G470" t="n">
        <v>11.1</v>
      </c>
      <c r="H470" t="n">
        <v>0</v>
      </c>
      <c r="I470" t="n">
        <v>0</v>
      </c>
      <c r="J470" t="n">
        <v>0</v>
      </c>
      <c r="K470" t="n">
        <v>0</v>
      </c>
      <c r="L470" t="n">
        <v>0</v>
      </c>
      <c r="M470" t="n">
        <v>0</v>
      </c>
      <c r="N470" t="n">
        <v>0</v>
      </c>
      <c r="O470" t="n">
        <v>0</v>
      </c>
      <c r="P470" t="n">
        <v>0</v>
      </c>
      <c r="Q470" t="n">
        <v>0</v>
      </c>
      <c r="R470" s="2" t="inlineStr"/>
    </row>
    <row r="471" ht="15" customHeight="1">
      <c r="A471" t="inlineStr">
        <is>
          <t>A 48696-2024</t>
        </is>
      </c>
      <c r="B471" s="1" t="n">
        <v>45593.51123842593</v>
      </c>
      <c r="C471" s="1" t="n">
        <v>46076</v>
      </c>
      <c r="D471" t="inlineStr">
        <is>
          <t>JÄMTLANDS LÄN</t>
        </is>
      </c>
      <c r="E471" t="inlineStr">
        <is>
          <t>ÖSTERSUND</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48737-2024</t>
        </is>
      </c>
      <c r="B472" s="1" t="n">
        <v>45593.57327546296</v>
      </c>
      <c r="C472" s="1" t="n">
        <v>46076</v>
      </c>
      <c r="D472" t="inlineStr">
        <is>
          <t>JÄMTLANDS LÄN</t>
        </is>
      </c>
      <c r="E472" t="inlineStr">
        <is>
          <t>ÖSTERSUND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54667-2025</t>
        </is>
      </c>
      <c r="B473" s="1" t="n">
        <v>45966.4077662037</v>
      </c>
      <c r="C473" s="1" t="n">
        <v>46076</v>
      </c>
      <c r="D473" t="inlineStr">
        <is>
          <t>JÄMTLANDS LÄN</t>
        </is>
      </c>
      <c r="E473" t="inlineStr">
        <is>
          <t>ÖSTERSUND</t>
        </is>
      </c>
      <c r="G473" t="n">
        <v>6.8</v>
      </c>
      <c r="H473" t="n">
        <v>0</v>
      </c>
      <c r="I473" t="n">
        <v>0</v>
      </c>
      <c r="J473" t="n">
        <v>0</v>
      </c>
      <c r="K473" t="n">
        <v>0</v>
      </c>
      <c r="L473" t="n">
        <v>0</v>
      </c>
      <c r="M473" t="n">
        <v>0</v>
      </c>
      <c r="N473" t="n">
        <v>0</v>
      </c>
      <c r="O473" t="n">
        <v>0</v>
      </c>
      <c r="P473" t="n">
        <v>0</v>
      </c>
      <c r="Q473" t="n">
        <v>0</v>
      </c>
      <c r="R473" s="2" t="inlineStr"/>
    </row>
    <row r="474" ht="15" customHeight="1">
      <c r="A474" t="inlineStr">
        <is>
          <t>A 54931-2025</t>
        </is>
      </c>
      <c r="B474" s="1" t="n">
        <v>45967.42462962963</v>
      </c>
      <c r="C474" s="1" t="n">
        <v>46076</v>
      </c>
      <c r="D474" t="inlineStr">
        <is>
          <t>JÄMTLANDS LÄN</t>
        </is>
      </c>
      <c r="E474" t="inlineStr">
        <is>
          <t>ÖSTERSUND</t>
        </is>
      </c>
      <c r="G474" t="n">
        <v>7.1</v>
      </c>
      <c r="H474" t="n">
        <v>0</v>
      </c>
      <c r="I474" t="n">
        <v>0</v>
      </c>
      <c r="J474" t="n">
        <v>0</v>
      </c>
      <c r="K474" t="n">
        <v>0</v>
      </c>
      <c r="L474" t="n">
        <v>0</v>
      </c>
      <c r="M474" t="n">
        <v>0</v>
      </c>
      <c r="N474" t="n">
        <v>0</v>
      </c>
      <c r="O474" t="n">
        <v>0</v>
      </c>
      <c r="P474" t="n">
        <v>0</v>
      </c>
      <c r="Q474" t="n">
        <v>0</v>
      </c>
      <c r="R474" s="2" t="inlineStr"/>
    </row>
    <row r="475" ht="15" customHeight="1">
      <c r="A475" t="inlineStr">
        <is>
          <t>A 33501-2023</t>
        </is>
      </c>
      <c r="B475" s="1" t="n">
        <v>45118</v>
      </c>
      <c r="C475" s="1" t="n">
        <v>46076</v>
      </c>
      <c r="D475" t="inlineStr">
        <is>
          <t>JÄMTLANDS LÄN</t>
        </is>
      </c>
      <c r="E475" t="inlineStr">
        <is>
          <t>ÖSTERSUND</t>
        </is>
      </c>
      <c r="G475" t="n">
        <v>5.8</v>
      </c>
      <c r="H475" t="n">
        <v>0</v>
      </c>
      <c r="I475" t="n">
        <v>0</v>
      </c>
      <c r="J475" t="n">
        <v>0</v>
      </c>
      <c r="K475" t="n">
        <v>0</v>
      </c>
      <c r="L475" t="n">
        <v>0</v>
      </c>
      <c r="M475" t="n">
        <v>0</v>
      </c>
      <c r="N475" t="n">
        <v>0</v>
      </c>
      <c r="O475" t="n">
        <v>0</v>
      </c>
      <c r="P475" t="n">
        <v>0</v>
      </c>
      <c r="Q475" t="n">
        <v>0</v>
      </c>
      <c r="R475" s="2" t="inlineStr"/>
    </row>
    <row r="476" ht="15" customHeight="1">
      <c r="A476" t="inlineStr">
        <is>
          <t>A 60088-2024</t>
        </is>
      </c>
      <c r="B476" s="1" t="n">
        <v>45642.54847222222</v>
      </c>
      <c r="C476" s="1" t="n">
        <v>46076</v>
      </c>
      <c r="D476" t="inlineStr">
        <is>
          <t>JÄMTLANDS LÄN</t>
        </is>
      </c>
      <c r="E476" t="inlineStr">
        <is>
          <t>ÖSTERSUND</t>
        </is>
      </c>
      <c r="G476" t="n">
        <v>5</v>
      </c>
      <c r="H476" t="n">
        <v>0</v>
      </c>
      <c r="I476" t="n">
        <v>0</v>
      </c>
      <c r="J476" t="n">
        <v>0</v>
      </c>
      <c r="K476" t="n">
        <v>0</v>
      </c>
      <c r="L476" t="n">
        <v>0</v>
      </c>
      <c r="M476" t="n">
        <v>0</v>
      </c>
      <c r="N476" t="n">
        <v>0</v>
      </c>
      <c r="O476" t="n">
        <v>0</v>
      </c>
      <c r="P476" t="n">
        <v>0</v>
      </c>
      <c r="Q476" t="n">
        <v>0</v>
      </c>
      <c r="R476" s="2" t="inlineStr"/>
    </row>
    <row r="477" ht="15" customHeight="1">
      <c r="A477" t="inlineStr">
        <is>
          <t>A 55179-2025</t>
        </is>
      </c>
      <c r="B477" s="1" t="n">
        <v>45968.53167824074</v>
      </c>
      <c r="C477" s="1" t="n">
        <v>46076</v>
      </c>
      <c r="D477" t="inlineStr">
        <is>
          <t>JÄMTLANDS LÄN</t>
        </is>
      </c>
      <c r="E477" t="inlineStr">
        <is>
          <t>ÖSTERSUND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49788-2024</t>
        </is>
      </c>
      <c r="B478" s="1" t="n">
        <v>45597.36623842592</v>
      </c>
      <c r="C478" s="1" t="n">
        <v>46076</v>
      </c>
      <c r="D478" t="inlineStr">
        <is>
          <t>JÄMTLANDS LÄN</t>
        </is>
      </c>
      <c r="E478" t="inlineStr">
        <is>
          <t>ÖSTERSUND</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4901-2025</t>
        </is>
      </c>
      <c r="B479" s="1" t="n">
        <v>45688.67965277778</v>
      </c>
      <c r="C479" s="1" t="n">
        <v>46076</v>
      </c>
      <c r="D479" t="inlineStr">
        <is>
          <t>JÄMTLANDS LÄN</t>
        </is>
      </c>
      <c r="E479" t="inlineStr">
        <is>
          <t>ÖSTERSUND</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17709-2024</t>
        </is>
      </c>
      <c r="B480" s="1" t="n">
        <v>45418.4843287037</v>
      </c>
      <c r="C480" s="1" t="n">
        <v>46076</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58406-2024</t>
        </is>
      </c>
      <c r="B481" s="1" t="n">
        <v>45634.70898148148</v>
      </c>
      <c r="C481" s="1" t="n">
        <v>46076</v>
      </c>
      <c r="D481" t="inlineStr">
        <is>
          <t>JÄMTLANDS LÄN</t>
        </is>
      </c>
      <c r="E481" t="inlineStr">
        <is>
          <t>ÖSTERSUND</t>
        </is>
      </c>
      <c r="G481" t="n">
        <v>3.8</v>
      </c>
      <c r="H481" t="n">
        <v>0</v>
      </c>
      <c r="I481" t="n">
        <v>0</v>
      </c>
      <c r="J481" t="n">
        <v>0</v>
      </c>
      <c r="K481" t="n">
        <v>0</v>
      </c>
      <c r="L481" t="n">
        <v>0</v>
      </c>
      <c r="M481" t="n">
        <v>0</v>
      </c>
      <c r="N481" t="n">
        <v>0</v>
      </c>
      <c r="O481" t="n">
        <v>0</v>
      </c>
      <c r="P481" t="n">
        <v>0</v>
      </c>
      <c r="Q481" t="n">
        <v>0</v>
      </c>
      <c r="R481" s="2" t="inlineStr"/>
    </row>
    <row r="482" ht="15" customHeight="1">
      <c r="A482" t="inlineStr">
        <is>
          <t>A 56165-2025</t>
        </is>
      </c>
      <c r="B482" s="1" t="n">
        <v>45974.38310185185</v>
      </c>
      <c r="C482" s="1" t="n">
        <v>46076</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51826-2024</t>
        </is>
      </c>
      <c r="B483" s="1" t="n">
        <v>45607.50137731482</v>
      </c>
      <c r="C483" s="1" t="n">
        <v>46076</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13166-2023</t>
        </is>
      </c>
      <c r="B484" s="1" t="n">
        <v>45002</v>
      </c>
      <c r="C484" s="1" t="n">
        <v>46076</v>
      </c>
      <c r="D484" t="inlineStr">
        <is>
          <t>JÄMTLANDS LÄN</t>
        </is>
      </c>
      <c r="E484" t="inlineStr">
        <is>
          <t>ÖSTERSUND</t>
        </is>
      </c>
      <c r="F484" t="inlineStr">
        <is>
          <t>Övriga statliga verk och myndigheter</t>
        </is>
      </c>
      <c r="G484" t="n">
        <v>1</v>
      </c>
      <c r="H484" t="n">
        <v>0</v>
      </c>
      <c r="I484" t="n">
        <v>0</v>
      </c>
      <c r="J484" t="n">
        <v>0</v>
      </c>
      <c r="K484" t="n">
        <v>0</v>
      </c>
      <c r="L484" t="n">
        <v>0</v>
      </c>
      <c r="M484" t="n">
        <v>0</v>
      </c>
      <c r="N484" t="n">
        <v>0</v>
      </c>
      <c r="O484" t="n">
        <v>0</v>
      </c>
      <c r="P484" t="n">
        <v>0</v>
      </c>
      <c r="Q484" t="n">
        <v>0</v>
      </c>
      <c r="R484" s="2" t="inlineStr"/>
    </row>
    <row r="485" ht="15" customHeight="1">
      <c r="A485" t="inlineStr">
        <is>
          <t>A 56903-2025</t>
        </is>
      </c>
      <c r="B485" s="1" t="n">
        <v>45978.57414351852</v>
      </c>
      <c r="C485" s="1" t="n">
        <v>46076</v>
      </c>
      <c r="D485" t="inlineStr">
        <is>
          <t>JÄMTLANDS LÄN</t>
        </is>
      </c>
      <c r="E485" t="inlineStr">
        <is>
          <t>ÖSTERSUND</t>
        </is>
      </c>
      <c r="G485" t="n">
        <v>3</v>
      </c>
      <c r="H485" t="n">
        <v>0</v>
      </c>
      <c r="I485" t="n">
        <v>0</v>
      </c>
      <c r="J485" t="n">
        <v>0</v>
      </c>
      <c r="K485" t="n">
        <v>0</v>
      </c>
      <c r="L485" t="n">
        <v>0</v>
      </c>
      <c r="M485" t="n">
        <v>0</v>
      </c>
      <c r="N485" t="n">
        <v>0</v>
      </c>
      <c r="O485" t="n">
        <v>0</v>
      </c>
      <c r="P485" t="n">
        <v>0</v>
      </c>
      <c r="Q485" t="n">
        <v>0</v>
      </c>
      <c r="R485" s="2" t="inlineStr"/>
    </row>
    <row r="486" ht="15" customHeight="1">
      <c r="A486" t="inlineStr">
        <is>
          <t>A 56690-2025</t>
        </is>
      </c>
      <c r="B486" s="1" t="n">
        <v>45976.58684027778</v>
      </c>
      <c r="C486" s="1" t="n">
        <v>46076</v>
      </c>
      <c r="D486" t="inlineStr">
        <is>
          <t>JÄMTLANDS LÄN</t>
        </is>
      </c>
      <c r="E486" t="inlineStr">
        <is>
          <t>ÖSTERSUND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8423-2023</t>
        </is>
      </c>
      <c r="B487" s="1" t="n">
        <v>44977</v>
      </c>
      <c r="C487" s="1" t="n">
        <v>46076</v>
      </c>
      <c r="D487" t="inlineStr">
        <is>
          <t>JÄMTLANDS LÄN</t>
        </is>
      </c>
      <c r="E487" t="inlineStr">
        <is>
          <t>ÖSTERSUND</t>
        </is>
      </c>
      <c r="F487" t="inlineStr">
        <is>
          <t>Övriga Aktiebolag</t>
        </is>
      </c>
      <c r="G487" t="n">
        <v>53.1</v>
      </c>
      <c r="H487" t="n">
        <v>0</v>
      </c>
      <c r="I487" t="n">
        <v>0</v>
      </c>
      <c r="J487" t="n">
        <v>0</v>
      </c>
      <c r="K487" t="n">
        <v>0</v>
      </c>
      <c r="L487" t="n">
        <v>0</v>
      </c>
      <c r="M487" t="n">
        <v>0</v>
      </c>
      <c r="N487" t="n">
        <v>0</v>
      </c>
      <c r="O487" t="n">
        <v>0</v>
      </c>
      <c r="P487" t="n">
        <v>0</v>
      </c>
      <c r="Q487" t="n">
        <v>0</v>
      </c>
      <c r="R487" s="2" t="inlineStr"/>
    </row>
    <row r="488" ht="15" customHeight="1">
      <c r="A488" t="inlineStr">
        <is>
          <t>A 14831-2025</t>
        </is>
      </c>
      <c r="B488" s="1" t="n">
        <v>45743.37109953703</v>
      </c>
      <c r="C488" s="1" t="n">
        <v>46076</v>
      </c>
      <c r="D488" t="inlineStr">
        <is>
          <t>JÄMTLANDS LÄN</t>
        </is>
      </c>
      <c r="E488" t="inlineStr">
        <is>
          <t>ÖSTERSUND</t>
        </is>
      </c>
      <c r="G488" t="n">
        <v>1.2</v>
      </c>
      <c r="H488" t="n">
        <v>0</v>
      </c>
      <c r="I488" t="n">
        <v>0</v>
      </c>
      <c r="J488" t="n">
        <v>0</v>
      </c>
      <c r="K488" t="n">
        <v>0</v>
      </c>
      <c r="L488" t="n">
        <v>0</v>
      </c>
      <c r="M488" t="n">
        <v>0</v>
      </c>
      <c r="N488" t="n">
        <v>0</v>
      </c>
      <c r="O488" t="n">
        <v>0</v>
      </c>
      <c r="P488" t="n">
        <v>0</v>
      </c>
      <c r="Q488" t="n">
        <v>0</v>
      </c>
      <c r="R488" s="2" t="inlineStr"/>
    </row>
    <row r="489" ht="15" customHeight="1">
      <c r="A489" t="inlineStr">
        <is>
          <t>A 57513-2025</t>
        </is>
      </c>
      <c r="B489" s="1" t="n">
        <v>45980.61142361111</v>
      </c>
      <c r="C489" s="1" t="n">
        <v>46076</v>
      </c>
      <c r="D489" t="inlineStr">
        <is>
          <t>JÄMTLANDS LÄN</t>
        </is>
      </c>
      <c r="E489" t="inlineStr">
        <is>
          <t>ÖSTERSUND</t>
        </is>
      </c>
      <c r="G489" t="n">
        <v>3.8</v>
      </c>
      <c r="H489" t="n">
        <v>0</v>
      </c>
      <c r="I489" t="n">
        <v>0</v>
      </c>
      <c r="J489" t="n">
        <v>0</v>
      </c>
      <c r="K489" t="n">
        <v>0</v>
      </c>
      <c r="L489" t="n">
        <v>0</v>
      </c>
      <c r="M489" t="n">
        <v>0</v>
      </c>
      <c r="N489" t="n">
        <v>0</v>
      </c>
      <c r="O489" t="n">
        <v>0</v>
      </c>
      <c r="P489" t="n">
        <v>0</v>
      </c>
      <c r="Q489" t="n">
        <v>0</v>
      </c>
      <c r="R489" s="2" t="inlineStr"/>
    </row>
    <row r="490" ht="15" customHeight="1">
      <c r="A490" t="inlineStr">
        <is>
          <t>A 4500-2025</t>
        </is>
      </c>
      <c r="B490" s="1" t="n">
        <v>45686.6859375</v>
      </c>
      <c r="C490" s="1" t="n">
        <v>46076</v>
      </c>
      <c r="D490" t="inlineStr">
        <is>
          <t>JÄMTLANDS LÄN</t>
        </is>
      </c>
      <c r="E490" t="inlineStr">
        <is>
          <t>ÖSTERSUND</t>
        </is>
      </c>
      <c r="G490" t="n">
        <v>28.4</v>
      </c>
      <c r="H490" t="n">
        <v>0</v>
      </c>
      <c r="I490" t="n">
        <v>0</v>
      </c>
      <c r="J490" t="n">
        <v>0</v>
      </c>
      <c r="K490" t="n">
        <v>0</v>
      </c>
      <c r="L490" t="n">
        <v>0</v>
      </c>
      <c r="M490" t="n">
        <v>0</v>
      </c>
      <c r="N490" t="n">
        <v>0</v>
      </c>
      <c r="O490" t="n">
        <v>0</v>
      </c>
      <c r="P490" t="n">
        <v>0</v>
      </c>
      <c r="Q490" t="n">
        <v>0</v>
      </c>
      <c r="R490" s="2" t="inlineStr"/>
    </row>
    <row r="491" ht="15" customHeight="1">
      <c r="A491" t="inlineStr">
        <is>
          <t>A 58122-2025</t>
        </is>
      </c>
      <c r="B491" s="1" t="n">
        <v>45982.61043981482</v>
      </c>
      <c r="C491" s="1" t="n">
        <v>46076</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58099-2025</t>
        </is>
      </c>
      <c r="B492" s="1" t="n">
        <v>45982.5862037037</v>
      </c>
      <c r="C492" s="1" t="n">
        <v>46076</v>
      </c>
      <c r="D492" t="inlineStr">
        <is>
          <t>JÄMTLANDS LÄN</t>
        </is>
      </c>
      <c r="E492" t="inlineStr">
        <is>
          <t>ÖSTERSUND</t>
        </is>
      </c>
      <c r="G492" t="n">
        <v>6.1</v>
      </c>
      <c r="H492" t="n">
        <v>0</v>
      </c>
      <c r="I492" t="n">
        <v>0</v>
      </c>
      <c r="J492" t="n">
        <v>0</v>
      </c>
      <c r="K492" t="n">
        <v>0</v>
      </c>
      <c r="L492" t="n">
        <v>0</v>
      </c>
      <c r="M492" t="n">
        <v>0</v>
      </c>
      <c r="N492" t="n">
        <v>0</v>
      </c>
      <c r="O492" t="n">
        <v>0</v>
      </c>
      <c r="P492" t="n">
        <v>0</v>
      </c>
      <c r="Q492" t="n">
        <v>0</v>
      </c>
      <c r="R492" s="2" t="inlineStr"/>
    </row>
    <row r="493" ht="15" customHeight="1">
      <c r="A493" t="inlineStr">
        <is>
          <t>A 4135-2023</t>
        </is>
      </c>
      <c r="B493" s="1" t="n">
        <v>44952</v>
      </c>
      <c r="C493" s="1" t="n">
        <v>46076</v>
      </c>
      <c r="D493" t="inlineStr">
        <is>
          <t>JÄMTLANDS LÄN</t>
        </is>
      </c>
      <c r="E493" t="inlineStr">
        <is>
          <t>ÖSTERSUND</t>
        </is>
      </c>
      <c r="G493" t="n">
        <v>1.3</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45985.61524305555</v>
      </c>
      <c r="C494" s="1" t="n">
        <v>46076</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42151-2023</t>
        </is>
      </c>
      <c r="B495" s="1" t="n">
        <v>45177.93612268518</v>
      </c>
      <c r="C495" s="1" t="n">
        <v>46076</v>
      </c>
      <c r="D495" t="inlineStr">
        <is>
          <t>JÄMTLANDS LÄN</t>
        </is>
      </c>
      <c r="E495" t="inlineStr">
        <is>
          <t>ÖSTERSUND</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58354-2025</t>
        </is>
      </c>
      <c r="B496" s="1" t="n">
        <v>45985.51131944444</v>
      </c>
      <c r="C496" s="1" t="n">
        <v>46076</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58353-2025</t>
        </is>
      </c>
      <c r="B497" s="1" t="n">
        <v>45985.51128472222</v>
      </c>
      <c r="C497" s="1" t="n">
        <v>46076</v>
      </c>
      <c r="D497" t="inlineStr">
        <is>
          <t>JÄMTLANDS LÄN</t>
        </is>
      </c>
      <c r="E497" t="inlineStr">
        <is>
          <t>ÖSTERSUND</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58373-2025</t>
        </is>
      </c>
      <c r="B498" s="1" t="n">
        <v>45985.53162037037</v>
      </c>
      <c r="C498" s="1" t="n">
        <v>46076</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46076</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58818-2025</t>
        </is>
      </c>
      <c r="B500" s="1" t="n">
        <v>45987.33479166667</v>
      </c>
      <c r="C500" s="1" t="n">
        <v>46076</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58824-2025</t>
        </is>
      </c>
      <c r="B501" s="1" t="n">
        <v>45987.34543981482</v>
      </c>
      <c r="C501" s="1" t="n">
        <v>46076</v>
      </c>
      <c r="D501" t="inlineStr">
        <is>
          <t>JÄMTLANDS LÄN</t>
        </is>
      </c>
      <c r="E501" t="inlineStr">
        <is>
          <t>ÖSTERSUND</t>
        </is>
      </c>
      <c r="G501" t="n">
        <v>3.2</v>
      </c>
      <c r="H501" t="n">
        <v>0</v>
      </c>
      <c r="I501" t="n">
        <v>0</v>
      </c>
      <c r="J501" t="n">
        <v>0</v>
      </c>
      <c r="K501" t="n">
        <v>0</v>
      </c>
      <c r="L501" t="n">
        <v>0</v>
      </c>
      <c r="M501" t="n">
        <v>0</v>
      </c>
      <c r="N501" t="n">
        <v>0</v>
      </c>
      <c r="O501" t="n">
        <v>0</v>
      </c>
      <c r="P501" t="n">
        <v>0</v>
      </c>
      <c r="Q501" t="n">
        <v>0</v>
      </c>
      <c r="R501" s="2" t="inlineStr"/>
    </row>
    <row r="502" ht="15" customHeight="1">
      <c r="A502" t="inlineStr">
        <is>
          <t>A 58583-2025</t>
        </is>
      </c>
      <c r="B502" s="1" t="n">
        <v>45986.39024305555</v>
      </c>
      <c r="C502" s="1" t="n">
        <v>46076</v>
      </c>
      <c r="D502" t="inlineStr">
        <is>
          <t>JÄMTLANDS LÄN</t>
        </is>
      </c>
      <c r="E502" t="inlineStr">
        <is>
          <t>ÖSTERSUND</t>
        </is>
      </c>
      <c r="G502" t="n">
        <v>43.1</v>
      </c>
      <c r="H502" t="n">
        <v>0</v>
      </c>
      <c r="I502" t="n">
        <v>0</v>
      </c>
      <c r="J502" t="n">
        <v>0</v>
      </c>
      <c r="K502" t="n">
        <v>0</v>
      </c>
      <c r="L502" t="n">
        <v>0</v>
      </c>
      <c r="M502" t="n">
        <v>0</v>
      </c>
      <c r="N502" t="n">
        <v>0</v>
      </c>
      <c r="O502" t="n">
        <v>0</v>
      </c>
      <c r="P502" t="n">
        <v>0</v>
      </c>
      <c r="Q502" t="n">
        <v>0</v>
      </c>
      <c r="R502" s="2" t="inlineStr"/>
    </row>
    <row r="503" ht="15" customHeight="1">
      <c r="A503" t="inlineStr">
        <is>
          <t>A 59648-2022</t>
        </is>
      </c>
      <c r="B503" s="1" t="n">
        <v>44907</v>
      </c>
      <c r="C503" s="1" t="n">
        <v>46076</v>
      </c>
      <c r="D503" t="inlineStr">
        <is>
          <t>JÄMTLANDS LÄN</t>
        </is>
      </c>
      <c r="E503" t="inlineStr">
        <is>
          <t>ÖSTERSUND</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59188-2025</t>
        </is>
      </c>
      <c r="B504" s="1" t="n">
        <v>45988.58856481482</v>
      </c>
      <c r="C504" s="1" t="n">
        <v>46076</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46076</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59015-2025</t>
        </is>
      </c>
      <c r="B506" s="1" t="n">
        <v>45987.83457175926</v>
      </c>
      <c r="C506" s="1" t="n">
        <v>46076</v>
      </c>
      <c r="D506" t="inlineStr">
        <is>
          <t>JÄMTLANDS LÄN</t>
        </is>
      </c>
      <c r="E506" t="inlineStr">
        <is>
          <t>ÖSTERSUND</t>
        </is>
      </c>
      <c r="G506" t="n">
        <v>2.4</v>
      </c>
      <c r="H506" t="n">
        <v>0</v>
      </c>
      <c r="I506" t="n">
        <v>0</v>
      </c>
      <c r="J506" t="n">
        <v>0</v>
      </c>
      <c r="K506" t="n">
        <v>0</v>
      </c>
      <c r="L506" t="n">
        <v>0</v>
      </c>
      <c r="M506" t="n">
        <v>0</v>
      </c>
      <c r="N506" t="n">
        <v>0</v>
      </c>
      <c r="O506" t="n">
        <v>0</v>
      </c>
      <c r="P506" t="n">
        <v>0</v>
      </c>
      <c r="Q506" t="n">
        <v>0</v>
      </c>
      <c r="R506" s="2" t="inlineStr"/>
    </row>
    <row r="507" ht="15" customHeight="1">
      <c r="A507" t="inlineStr">
        <is>
          <t>A 59007-2025</t>
        </is>
      </c>
      <c r="B507" s="1" t="n">
        <v>45987.69552083333</v>
      </c>
      <c r="C507" s="1" t="n">
        <v>46076</v>
      </c>
      <c r="D507" t="inlineStr">
        <is>
          <t>JÄMTLANDS LÄN</t>
        </is>
      </c>
      <c r="E507" t="inlineStr">
        <is>
          <t>ÖSTERSUND</t>
        </is>
      </c>
      <c r="G507" t="n">
        <v>4</v>
      </c>
      <c r="H507" t="n">
        <v>0</v>
      </c>
      <c r="I507" t="n">
        <v>0</v>
      </c>
      <c r="J507" t="n">
        <v>0</v>
      </c>
      <c r="K507" t="n">
        <v>0</v>
      </c>
      <c r="L507" t="n">
        <v>0</v>
      </c>
      <c r="M507" t="n">
        <v>0</v>
      </c>
      <c r="N507" t="n">
        <v>0</v>
      </c>
      <c r="O507" t="n">
        <v>0</v>
      </c>
      <c r="P507" t="n">
        <v>0</v>
      </c>
      <c r="Q507" t="n">
        <v>0</v>
      </c>
      <c r="R507" s="2" t="inlineStr"/>
    </row>
    <row r="508" ht="15" customHeight="1">
      <c r="A508" t="inlineStr">
        <is>
          <t>A 14118-2025</t>
        </is>
      </c>
      <c r="B508" s="1" t="n">
        <v>45740.46325231482</v>
      </c>
      <c r="C508" s="1" t="n">
        <v>46076</v>
      </c>
      <c r="D508" t="inlineStr">
        <is>
          <t>JÄMTLANDS LÄN</t>
        </is>
      </c>
      <c r="E508" t="inlineStr">
        <is>
          <t>ÖSTERSUND</t>
        </is>
      </c>
      <c r="G508" t="n">
        <v>3.6</v>
      </c>
      <c r="H508" t="n">
        <v>0</v>
      </c>
      <c r="I508" t="n">
        <v>0</v>
      </c>
      <c r="J508" t="n">
        <v>0</v>
      </c>
      <c r="K508" t="n">
        <v>0</v>
      </c>
      <c r="L508" t="n">
        <v>0</v>
      </c>
      <c r="M508" t="n">
        <v>0</v>
      </c>
      <c r="N508" t="n">
        <v>0</v>
      </c>
      <c r="O508" t="n">
        <v>0</v>
      </c>
      <c r="P508" t="n">
        <v>0</v>
      </c>
      <c r="Q508" t="n">
        <v>0</v>
      </c>
      <c r="R508" s="2" t="inlineStr"/>
    </row>
    <row r="509" ht="15" customHeight="1">
      <c r="A509" t="inlineStr">
        <is>
          <t>A 44489-2024</t>
        </is>
      </c>
      <c r="B509" s="1" t="n">
        <v>45574.38943287037</v>
      </c>
      <c r="C509" s="1" t="n">
        <v>46076</v>
      </c>
      <c r="D509" t="inlineStr">
        <is>
          <t>JÄMTLANDS LÄN</t>
        </is>
      </c>
      <c r="E509" t="inlineStr">
        <is>
          <t>ÖSTERSUND</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59619-2025</t>
        </is>
      </c>
      <c r="B510" s="1" t="n">
        <v>45992.38109953704</v>
      </c>
      <c r="C510" s="1" t="n">
        <v>46076</v>
      </c>
      <c r="D510" t="inlineStr">
        <is>
          <t>JÄMTLANDS LÄN</t>
        </is>
      </c>
      <c r="E510" t="inlineStr">
        <is>
          <t>ÖSTERSUND</t>
        </is>
      </c>
      <c r="G510" t="n">
        <v>3.6</v>
      </c>
      <c r="H510" t="n">
        <v>0</v>
      </c>
      <c r="I510" t="n">
        <v>0</v>
      </c>
      <c r="J510" t="n">
        <v>0</v>
      </c>
      <c r="K510" t="n">
        <v>0</v>
      </c>
      <c r="L510" t="n">
        <v>0</v>
      </c>
      <c r="M510" t="n">
        <v>0</v>
      </c>
      <c r="N510" t="n">
        <v>0</v>
      </c>
      <c r="O510" t="n">
        <v>0</v>
      </c>
      <c r="P510" t="n">
        <v>0</v>
      </c>
      <c r="Q510" t="n">
        <v>0</v>
      </c>
      <c r="R510" s="2" t="inlineStr"/>
    </row>
    <row r="511" ht="15" customHeight="1">
      <c r="A511" t="inlineStr">
        <is>
          <t>A 59612-2025</t>
        </is>
      </c>
      <c r="B511" s="1" t="n">
        <v>45992.3706712963</v>
      </c>
      <c r="C511" s="1" t="n">
        <v>46076</v>
      </c>
      <c r="D511" t="inlineStr">
        <is>
          <t>JÄMTLANDS LÄN</t>
        </is>
      </c>
      <c r="E511" t="inlineStr">
        <is>
          <t>ÖSTERSUND</t>
        </is>
      </c>
      <c r="G511" t="n">
        <v>2.3</v>
      </c>
      <c r="H511" t="n">
        <v>0</v>
      </c>
      <c r="I511" t="n">
        <v>0</v>
      </c>
      <c r="J511" t="n">
        <v>0</v>
      </c>
      <c r="K511" t="n">
        <v>0</v>
      </c>
      <c r="L511" t="n">
        <v>0</v>
      </c>
      <c r="M511" t="n">
        <v>0</v>
      </c>
      <c r="N511" t="n">
        <v>0</v>
      </c>
      <c r="O511" t="n">
        <v>0</v>
      </c>
      <c r="P511" t="n">
        <v>0</v>
      </c>
      <c r="Q511" t="n">
        <v>0</v>
      </c>
      <c r="R511" s="2" t="inlineStr"/>
    </row>
    <row r="512" ht="15" customHeight="1">
      <c r="A512" t="inlineStr">
        <is>
          <t>A 59687-2025</t>
        </is>
      </c>
      <c r="B512" s="1" t="n">
        <v>45992.47729166667</v>
      </c>
      <c r="C512" s="1" t="n">
        <v>46076</v>
      </c>
      <c r="D512" t="inlineStr">
        <is>
          <t>JÄMTLANDS LÄN</t>
        </is>
      </c>
      <c r="E512" t="inlineStr">
        <is>
          <t>ÖSTERSUND</t>
        </is>
      </c>
      <c r="G512" t="n">
        <v>5</v>
      </c>
      <c r="H512" t="n">
        <v>0</v>
      </c>
      <c r="I512" t="n">
        <v>0</v>
      </c>
      <c r="J512" t="n">
        <v>0</v>
      </c>
      <c r="K512" t="n">
        <v>0</v>
      </c>
      <c r="L512" t="n">
        <v>0</v>
      </c>
      <c r="M512" t="n">
        <v>0</v>
      </c>
      <c r="N512" t="n">
        <v>0</v>
      </c>
      <c r="O512" t="n">
        <v>0</v>
      </c>
      <c r="P512" t="n">
        <v>0</v>
      </c>
      <c r="Q512" t="n">
        <v>0</v>
      </c>
      <c r="R512" s="2" t="inlineStr"/>
    </row>
    <row r="513" ht="15" customHeight="1">
      <c r="A513" t="inlineStr">
        <is>
          <t>A 59613-2025</t>
        </is>
      </c>
      <c r="B513" s="1" t="n">
        <v>45992.37172453704</v>
      </c>
      <c r="C513" s="1" t="n">
        <v>46076</v>
      </c>
      <c r="D513" t="inlineStr">
        <is>
          <t>JÄMTLANDS LÄN</t>
        </is>
      </c>
      <c r="E513" t="inlineStr">
        <is>
          <t>ÖSTERSUND</t>
        </is>
      </c>
      <c r="G513" t="n">
        <v>2.1</v>
      </c>
      <c r="H513" t="n">
        <v>0</v>
      </c>
      <c r="I513" t="n">
        <v>0</v>
      </c>
      <c r="J513" t="n">
        <v>0</v>
      </c>
      <c r="K513" t="n">
        <v>0</v>
      </c>
      <c r="L513" t="n">
        <v>0</v>
      </c>
      <c r="M513" t="n">
        <v>0</v>
      </c>
      <c r="N513" t="n">
        <v>0</v>
      </c>
      <c r="O513" t="n">
        <v>0</v>
      </c>
      <c r="P513" t="n">
        <v>0</v>
      </c>
      <c r="Q513" t="n">
        <v>0</v>
      </c>
      <c r="R513" s="2" t="inlineStr"/>
    </row>
    <row r="514" ht="15" customHeight="1">
      <c r="A514" t="inlineStr">
        <is>
          <t>A 1552-2026</t>
        </is>
      </c>
      <c r="B514" s="1" t="n">
        <v>46034.38729166667</v>
      </c>
      <c r="C514" s="1" t="n">
        <v>46076</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7549-2025</t>
        </is>
      </c>
      <c r="B515" s="1" t="n">
        <v>45705.57454861111</v>
      </c>
      <c r="C515" s="1" t="n">
        <v>46076</v>
      </c>
      <c r="D515" t="inlineStr">
        <is>
          <t>JÄMTLANDS LÄN</t>
        </is>
      </c>
      <c r="E515" t="inlineStr">
        <is>
          <t>ÖSTERSUND</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2700-2026</t>
        </is>
      </c>
      <c r="B516" s="1" t="n">
        <v>46037.6787962963</v>
      </c>
      <c r="C516" s="1" t="n">
        <v>46076</v>
      </c>
      <c r="D516" t="inlineStr">
        <is>
          <t>JÄMTLANDS LÄN</t>
        </is>
      </c>
      <c r="E516" t="inlineStr">
        <is>
          <t>ÖSTERSUND</t>
        </is>
      </c>
      <c r="G516" t="n">
        <v>8.6</v>
      </c>
      <c r="H516" t="n">
        <v>0</v>
      </c>
      <c r="I516" t="n">
        <v>0</v>
      </c>
      <c r="J516" t="n">
        <v>0</v>
      </c>
      <c r="K516" t="n">
        <v>0</v>
      </c>
      <c r="L516" t="n">
        <v>0</v>
      </c>
      <c r="M516" t="n">
        <v>0</v>
      </c>
      <c r="N516" t="n">
        <v>0</v>
      </c>
      <c r="O516" t="n">
        <v>0</v>
      </c>
      <c r="P516" t="n">
        <v>0</v>
      </c>
      <c r="Q516" t="n">
        <v>0</v>
      </c>
      <c r="R516" s="2" t="inlineStr"/>
    </row>
    <row r="517" ht="15" customHeight="1">
      <c r="A517" t="inlineStr">
        <is>
          <t>A 2702-2026</t>
        </is>
      </c>
      <c r="B517" s="1" t="n">
        <v>46037.68489583334</v>
      </c>
      <c r="C517" s="1" t="n">
        <v>46076</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60537-2025</t>
        </is>
      </c>
      <c r="B518" s="1" t="n">
        <v>45995</v>
      </c>
      <c r="C518" s="1" t="n">
        <v>46076</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2694-2026</t>
        </is>
      </c>
      <c r="B519" s="1" t="n">
        <v>46037.6703125</v>
      </c>
      <c r="C519" s="1" t="n">
        <v>46076</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14523-2023</t>
        </is>
      </c>
      <c r="B520" s="1" t="n">
        <v>45012</v>
      </c>
      <c r="C520" s="1" t="n">
        <v>46076</v>
      </c>
      <c r="D520" t="inlineStr">
        <is>
          <t>JÄMTLANDS LÄN</t>
        </is>
      </c>
      <c r="E520" t="inlineStr">
        <is>
          <t>ÖSTERSUND</t>
        </is>
      </c>
      <c r="G520" t="n">
        <v>4.5</v>
      </c>
      <c r="H520" t="n">
        <v>0</v>
      </c>
      <c r="I520" t="n">
        <v>0</v>
      </c>
      <c r="J520" t="n">
        <v>0</v>
      </c>
      <c r="K520" t="n">
        <v>0</v>
      </c>
      <c r="L520" t="n">
        <v>0</v>
      </c>
      <c r="M520" t="n">
        <v>0</v>
      </c>
      <c r="N520" t="n">
        <v>0</v>
      </c>
      <c r="O520" t="n">
        <v>0</v>
      </c>
      <c r="P520" t="n">
        <v>0</v>
      </c>
      <c r="Q520" t="n">
        <v>0</v>
      </c>
      <c r="R520" s="2" t="inlineStr"/>
    </row>
    <row r="521" ht="15" customHeight="1">
      <c r="A521" t="inlineStr">
        <is>
          <t>A 1901-2026</t>
        </is>
      </c>
      <c r="B521" s="1" t="n">
        <v>46032</v>
      </c>
      <c r="C521" s="1" t="n">
        <v>46076</v>
      </c>
      <c r="D521" t="inlineStr">
        <is>
          <t>JÄMTLANDS LÄN</t>
        </is>
      </c>
      <c r="E521" t="inlineStr">
        <is>
          <t>ÖSTERSUND</t>
        </is>
      </c>
      <c r="G521" t="n">
        <v>6.4</v>
      </c>
      <c r="H521" t="n">
        <v>0</v>
      </c>
      <c r="I521" t="n">
        <v>0</v>
      </c>
      <c r="J521" t="n">
        <v>0</v>
      </c>
      <c r="K521" t="n">
        <v>0</v>
      </c>
      <c r="L521" t="n">
        <v>0</v>
      </c>
      <c r="M521" t="n">
        <v>0</v>
      </c>
      <c r="N521" t="n">
        <v>0</v>
      </c>
      <c r="O521" t="n">
        <v>0</v>
      </c>
      <c r="P521" t="n">
        <v>0</v>
      </c>
      <c r="Q521" t="n">
        <v>0</v>
      </c>
      <c r="R521" s="2" t="inlineStr"/>
    </row>
    <row r="522" ht="15" customHeight="1">
      <c r="A522" t="inlineStr">
        <is>
          <t>A 1159-2024</t>
        </is>
      </c>
      <c r="B522" s="1" t="n">
        <v>45302.52006944444</v>
      </c>
      <c r="C522" s="1" t="n">
        <v>46076</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15669-2025</t>
        </is>
      </c>
      <c r="B523" s="1" t="n">
        <v>45748.4396412037</v>
      </c>
      <c r="C523" s="1" t="n">
        <v>46076</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2974-2026</t>
        </is>
      </c>
      <c r="B524" s="1" t="n">
        <v>46038.62193287037</v>
      </c>
      <c r="C524" s="1" t="n">
        <v>46076</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2986-2026</t>
        </is>
      </c>
      <c r="B525" s="1" t="n">
        <v>46038.6322337963</v>
      </c>
      <c r="C525" s="1" t="n">
        <v>46076</v>
      </c>
      <c r="D525" t="inlineStr">
        <is>
          <t>JÄMTLANDS LÄN</t>
        </is>
      </c>
      <c r="E525" t="inlineStr">
        <is>
          <t>ÖSTERSUND</t>
        </is>
      </c>
      <c r="G525" t="n">
        <v>8.6</v>
      </c>
      <c r="H525" t="n">
        <v>0</v>
      </c>
      <c r="I525" t="n">
        <v>0</v>
      </c>
      <c r="J525" t="n">
        <v>0</v>
      </c>
      <c r="K525" t="n">
        <v>0</v>
      </c>
      <c r="L525" t="n">
        <v>0</v>
      </c>
      <c r="M525" t="n">
        <v>0</v>
      </c>
      <c r="N525" t="n">
        <v>0</v>
      </c>
      <c r="O525" t="n">
        <v>0</v>
      </c>
      <c r="P525" t="n">
        <v>0</v>
      </c>
      <c r="Q525" t="n">
        <v>0</v>
      </c>
      <c r="R525" s="2" t="inlineStr"/>
    </row>
    <row r="526" ht="15" customHeight="1">
      <c r="A526" t="inlineStr">
        <is>
          <t>A 3197-2026</t>
        </is>
      </c>
      <c r="B526" s="1" t="n">
        <v>46041.47474537037</v>
      </c>
      <c r="C526" s="1" t="n">
        <v>46076</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60048-2025</t>
        </is>
      </c>
      <c r="B527" s="1" t="n">
        <v>45993</v>
      </c>
      <c r="C527" s="1" t="n">
        <v>46076</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2971-2026</t>
        </is>
      </c>
      <c r="B528" s="1" t="n">
        <v>46038.62047453703</v>
      </c>
      <c r="C528" s="1" t="n">
        <v>46076</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2988-2026</t>
        </is>
      </c>
      <c r="B529" s="1" t="n">
        <v>46038.6360300926</v>
      </c>
      <c r="C529" s="1" t="n">
        <v>46076</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3122-2025</t>
        </is>
      </c>
      <c r="B530" s="1" t="n">
        <v>45678</v>
      </c>
      <c r="C530" s="1" t="n">
        <v>46076</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60575-2022</t>
        </is>
      </c>
      <c r="B531" s="1" t="n">
        <v>44911.5662037037</v>
      </c>
      <c r="C531" s="1" t="n">
        <v>46076</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53060-2024</t>
        </is>
      </c>
      <c r="B532" s="1" t="n">
        <v>45611.46912037037</v>
      </c>
      <c r="C532" s="1" t="n">
        <v>46076</v>
      </c>
      <c r="D532" t="inlineStr">
        <is>
          <t>JÄMTLANDS LÄN</t>
        </is>
      </c>
      <c r="E532" t="inlineStr">
        <is>
          <t>ÖSTERSUND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61222-2025</t>
        </is>
      </c>
      <c r="B533" s="1" t="n">
        <v>46000.62851851852</v>
      </c>
      <c r="C533" s="1" t="n">
        <v>46076</v>
      </c>
      <c r="D533" t="inlineStr">
        <is>
          <t>JÄMTLANDS LÄN</t>
        </is>
      </c>
      <c r="E533" t="inlineStr">
        <is>
          <t>ÖSTERSUND</t>
        </is>
      </c>
      <c r="G533" t="n">
        <v>9.1</v>
      </c>
      <c r="H533" t="n">
        <v>0</v>
      </c>
      <c r="I533" t="n">
        <v>0</v>
      </c>
      <c r="J533" t="n">
        <v>0</v>
      </c>
      <c r="K533" t="n">
        <v>0</v>
      </c>
      <c r="L533" t="n">
        <v>0</v>
      </c>
      <c r="M533" t="n">
        <v>0</v>
      </c>
      <c r="N533" t="n">
        <v>0</v>
      </c>
      <c r="O533" t="n">
        <v>0</v>
      </c>
      <c r="P533" t="n">
        <v>0</v>
      </c>
      <c r="Q533" t="n">
        <v>0</v>
      </c>
      <c r="R533" s="2" t="inlineStr"/>
    </row>
    <row r="534" ht="15" customHeight="1">
      <c r="A534" t="inlineStr">
        <is>
          <t>A 61235-2025</t>
        </is>
      </c>
      <c r="B534" s="1" t="n">
        <v>46000.63969907408</v>
      </c>
      <c r="C534" s="1" t="n">
        <v>46076</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61267-2025</t>
        </is>
      </c>
      <c r="B535" s="1" t="n">
        <v>46000.67793981481</v>
      </c>
      <c r="C535" s="1" t="n">
        <v>46076</v>
      </c>
      <c r="D535" t="inlineStr">
        <is>
          <t>JÄMTLANDS LÄN</t>
        </is>
      </c>
      <c r="E535" t="inlineStr">
        <is>
          <t>ÖSTERSUND</t>
        </is>
      </c>
      <c r="G535" t="n">
        <v>3.6</v>
      </c>
      <c r="H535" t="n">
        <v>0</v>
      </c>
      <c r="I535" t="n">
        <v>0</v>
      </c>
      <c r="J535" t="n">
        <v>0</v>
      </c>
      <c r="K535" t="n">
        <v>0</v>
      </c>
      <c r="L535" t="n">
        <v>0</v>
      </c>
      <c r="M535" t="n">
        <v>0</v>
      </c>
      <c r="N535" t="n">
        <v>0</v>
      </c>
      <c r="O535" t="n">
        <v>0</v>
      </c>
      <c r="P535" t="n">
        <v>0</v>
      </c>
      <c r="Q535" t="n">
        <v>0</v>
      </c>
      <c r="R535" s="2" t="inlineStr"/>
    </row>
    <row r="536" ht="15" customHeight="1">
      <c r="A536" t="inlineStr">
        <is>
          <t>A 23555-2022</t>
        </is>
      </c>
      <c r="B536" s="1" t="n">
        <v>44721</v>
      </c>
      <c r="C536" s="1" t="n">
        <v>46076</v>
      </c>
      <c r="D536" t="inlineStr">
        <is>
          <t>JÄMTLANDS LÄN</t>
        </is>
      </c>
      <c r="E536" t="inlineStr">
        <is>
          <t>ÖSTERSUND</t>
        </is>
      </c>
      <c r="G536" t="n">
        <v>1.2</v>
      </c>
      <c r="H536" t="n">
        <v>0</v>
      </c>
      <c r="I536" t="n">
        <v>0</v>
      </c>
      <c r="J536" t="n">
        <v>0</v>
      </c>
      <c r="K536" t="n">
        <v>0</v>
      </c>
      <c r="L536" t="n">
        <v>0</v>
      </c>
      <c r="M536" t="n">
        <v>0</v>
      </c>
      <c r="N536" t="n">
        <v>0</v>
      </c>
      <c r="O536" t="n">
        <v>0</v>
      </c>
      <c r="P536" t="n">
        <v>0</v>
      </c>
      <c r="Q536" t="n">
        <v>0</v>
      </c>
      <c r="R536" s="2" t="inlineStr"/>
    </row>
    <row r="537" ht="15" customHeight="1">
      <c r="A537" t="inlineStr">
        <is>
          <t>A 54237-2024</t>
        </is>
      </c>
      <c r="B537" s="1" t="n">
        <v>45616.67833333334</v>
      </c>
      <c r="C537" s="1" t="n">
        <v>46076</v>
      </c>
      <c r="D537" t="inlineStr">
        <is>
          <t>JÄMTLANDS LÄN</t>
        </is>
      </c>
      <c r="E537" t="inlineStr">
        <is>
          <t>ÖSTERSUND</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296-2023</t>
        </is>
      </c>
      <c r="B538" s="1" t="n">
        <v>44922</v>
      </c>
      <c r="C538" s="1" t="n">
        <v>46076</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17732-2022</t>
        </is>
      </c>
      <c r="B539" s="1" t="n">
        <v>44680.92873842592</v>
      </c>
      <c r="C539" s="1" t="n">
        <v>46076</v>
      </c>
      <c r="D539" t="inlineStr">
        <is>
          <t>JÄMTLANDS LÄN</t>
        </is>
      </c>
      <c r="E539" t="inlineStr">
        <is>
          <t>ÖSTERSUND</t>
        </is>
      </c>
      <c r="G539" t="n">
        <v>5.4</v>
      </c>
      <c r="H539" t="n">
        <v>0</v>
      </c>
      <c r="I539" t="n">
        <v>0</v>
      </c>
      <c r="J539" t="n">
        <v>0</v>
      </c>
      <c r="K539" t="n">
        <v>0</v>
      </c>
      <c r="L539" t="n">
        <v>0</v>
      </c>
      <c r="M539" t="n">
        <v>0</v>
      </c>
      <c r="N539" t="n">
        <v>0</v>
      </c>
      <c r="O539" t="n">
        <v>0</v>
      </c>
      <c r="P539" t="n">
        <v>0</v>
      </c>
      <c r="Q539" t="n">
        <v>0</v>
      </c>
      <c r="R539" s="2" t="inlineStr"/>
    </row>
    <row r="540" ht="15" customHeight="1">
      <c r="A540" t="inlineStr">
        <is>
          <t>A 61427-2025</t>
        </is>
      </c>
      <c r="B540" s="1" t="n">
        <v>46000</v>
      </c>
      <c r="C540" s="1" t="n">
        <v>46076</v>
      </c>
      <c r="D540" t="inlineStr">
        <is>
          <t>JÄMTLANDS LÄN</t>
        </is>
      </c>
      <c r="E540" t="inlineStr">
        <is>
          <t>ÖSTERSUND</t>
        </is>
      </c>
      <c r="G540" t="n">
        <v>0.3</v>
      </c>
      <c r="H540" t="n">
        <v>0</v>
      </c>
      <c r="I540" t="n">
        <v>0</v>
      </c>
      <c r="J540" t="n">
        <v>0</v>
      </c>
      <c r="K540" t="n">
        <v>0</v>
      </c>
      <c r="L540" t="n">
        <v>0</v>
      </c>
      <c r="M540" t="n">
        <v>0</v>
      </c>
      <c r="N540" t="n">
        <v>0</v>
      </c>
      <c r="O540" t="n">
        <v>0</v>
      </c>
      <c r="P540" t="n">
        <v>0</v>
      </c>
      <c r="Q540" t="n">
        <v>0</v>
      </c>
      <c r="R540" s="2" t="inlineStr"/>
    </row>
    <row r="541" ht="15" customHeight="1">
      <c r="A541" t="inlineStr">
        <is>
          <t>A 61330-2025</t>
        </is>
      </c>
      <c r="B541" s="1" t="n">
        <v>46001</v>
      </c>
      <c r="C541" s="1" t="n">
        <v>46076</v>
      </c>
      <c r="D541" t="inlineStr">
        <is>
          <t>JÄMTLANDS LÄN</t>
        </is>
      </c>
      <c r="E541" t="inlineStr">
        <is>
          <t>ÖSTERSUND</t>
        </is>
      </c>
      <c r="G541" t="n">
        <v>4.5</v>
      </c>
      <c r="H541" t="n">
        <v>0</v>
      </c>
      <c r="I541" t="n">
        <v>0</v>
      </c>
      <c r="J541" t="n">
        <v>0</v>
      </c>
      <c r="K541" t="n">
        <v>0</v>
      </c>
      <c r="L541" t="n">
        <v>0</v>
      </c>
      <c r="M541" t="n">
        <v>0</v>
      </c>
      <c r="N541" t="n">
        <v>0</v>
      </c>
      <c r="O541" t="n">
        <v>0</v>
      </c>
      <c r="P541" t="n">
        <v>0</v>
      </c>
      <c r="Q541" t="n">
        <v>0</v>
      </c>
      <c r="R541" s="2" t="inlineStr"/>
    </row>
    <row r="542" ht="15" customHeight="1">
      <c r="A542" t="inlineStr">
        <is>
          <t>A 4406-2026</t>
        </is>
      </c>
      <c r="B542" s="1" t="n">
        <v>46045.59430555555</v>
      </c>
      <c r="C542" s="1" t="n">
        <v>46076</v>
      </c>
      <c r="D542" t="inlineStr">
        <is>
          <t>JÄMTLANDS LÄN</t>
        </is>
      </c>
      <c r="E542" t="inlineStr">
        <is>
          <t>ÖSTERSUND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61836-2025</t>
        </is>
      </c>
      <c r="B543" s="1" t="n">
        <v>46003</v>
      </c>
      <c r="C543" s="1" t="n">
        <v>46076</v>
      </c>
      <c r="D543" t="inlineStr">
        <is>
          <t>JÄMTLANDS LÄN</t>
        </is>
      </c>
      <c r="E543" t="inlineStr">
        <is>
          <t>ÖSTERSUND</t>
        </is>
      </c>
      <c r="G543" t="n">
        <v>4.6</v>
      </c>
      <c r="H543" t="n">
        <v>0</v>
      </c>
      <c r="I543" t="n">
        <v>0</v>
      </c>
      <c r="J543" t="n">
        <v>0</v>
      </c>
      <c r="K543" t="n">
        <v>0</v>
      </c>
      <c r="L543" t="n">
        <v>0</v>
      </c>
      <c r="M543" t="n">
        <v>0</v>
      </c>
      <c r="N543" t="n">
        <v>0</v>
      </c>
      <c r="O543" t="n">
        <v>0</v>
      </c>
      <c r="P543" t="n">
        <v>0</v>
      </c>
      <c r="Q543" t="n">
        <v>0</v>
      </c>
      <c r="R543" s="2" t="inlineStr"/>
    </row>
    <row r="544" ht="15" customHeight="1">
      <c r="A544" t="inlineStr">
        <is>
          <t>A 4294-2026</t>
        </is>
      </c>
      <c r="B544" s="1" t="n">
        <v>46045.41643518519</v>
      </c>
      <c r="C544" s="1" t="n">
        <v>46076</v>
      </c>
      <c r="D544" t="inlineStr">
        <is>
          <t>JÄMTLANDS LÄN</t>
        </is>
      </c>
      <c r="E544" t="inlineStr">
        <is>
          <t>ÖSTERSUND</t>
        </is>
      </c>
      <c r="G544" t="n">
        <v>21.6</v>
      </c>
      <c r="H544" t="n">
        <v>0</v>
      </c>
      <c r="I544" t="n">
        <v>0</v>
      </c>
      <c r="J544" t="n">
        <v>0</v>
      </c>
      <c r="K544" t="n">
        <v>0</v>
      </c>
      <c r="L544" t="n">
        <v>0</v>
      </c>
      <c r="M544" t="n">
        <v>0</v>
      </c>
      <c r="N544" t="n">
        <v>0</v>
      </c>
      <c r="O544" t="n">
        <v>0</v>
      </c>
      <c r="P544" t="n">
        <v>0</v>
      </c>
      <c r="Q544" t="n">
        <v>0</v>
      </c>
      <c r="R544" s="2" t="inlineStr"/>
    </row>
    <row r="545" ht="15" customHeight="1">
      <c r="A545" t="inlineStr">
        <is>
          <t>A 57589-2024</t>
        </is>
      </c>
      <c r="B545" s="1" t="n">
        <v>45630.49710648148</v>
      </c>
      <c r="C545" s="1" t="n">
        <v>46076</v>
      </c>
      <c r="D545" t="inlineStr">
        <is>
          <t>JÄMTLANDS LÄN</t>
        </is>
      </c>
      <c r="E545" t="inlineStr">
        <is>
          <t>ÖSTERSUND</t>
        </is>
      </c>
      <c r="G545" t="n">
        <v>1.8</v>
      </c>
      <c r="H545" t="n">
        <v>0</v>
      </c>
      <c r="I545" t="n">
        <v>0</v>
      </c>
      <c r="J545" t="n">
        <v>0</v>
      </c>
      <c r="K545" t="n">
        <v>0</v>
      </c>
      <c r="L545" t="n">
        <v>0</v>
      </c>
      <c r="M545" t="n">
        <v>0</v>
      </c>
      <c r="N545" t="n">
        <v>0</v>
      </c>
      <c r="O545" t="n">
        <v>0</v>
      </c>
      <c r="P545" t="n">
        <v>0</v>
      </c>
      <c r="Q545" t="n">
        <v>0</v>
      </c>
      <c r="R545" s="2" t="inlineStr"/>
    </row>
    <row r="546" ht="15" customHeight="1">
      <c r="A546" t="inlineStr">
        <is>
          <t>A 61985-2025</t>
        </is>
      </c>
      <c r="B546" s="1" t="n">
        <v>46003.62509259259</v>
      </c>
      <c r="C546" s="1" t="n">
        <v>46076</v>
      </c>
      <c r="D546" t="inlineStr">
        <is>
          <t>JÄMTLANDS LÄN</t>
        </is>
      </c>
      <c r="E546" t="inlineStr">
        <is>
          <t>ÖSTERSUND</t>
        </is>
      </c>
      <c r="G546" t="n">
        <v>4.2</v>
      </c>
      <c r="H546" t="n">
        <v>0</v>
      </c>
      <c r="I546" t="n">
        <v>0</v>
      </c>
      <c r="J546" t="n">
        <v>0</v>
      </c>
      <c r="K546" t="n">
        <v>0</v>
      </c>
      <c r="L546" t="n">
        <v>0</v>
      </c>
      <c r="M546" t="n">
        <v>0</v>
      </c>
      <c r="N546" t="n">
        <v>0</v>
      </c>
      <c r="O546" t="n">
        <v>0</v>
      </c>
      <c r="P546" t="n">
        <v>0</v>
      </c>
      <c r="Q546" t="n">
        <v>0</v>
      </c>
      <c r="R546" s="2" t="inlineStr"/>
    </row>
    <row r="547" ht="15" customHeight="1">
      <c r="A547" t="inlineStr">
        <is>
          <t>A 31040-2021</t>
        </is>
      </c>
      <c r="B547" s="1" t="n">
        <v>44368</v>
      </c>
      <c r="C547" s="1" t="n">
        <v>46076</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4423-2026</t>
        </is>
      </c>
      <c r="B548" s="1" t="n">
        <v>46045.61509259259</v>
      </c>
      <c r="C548" s="1" t="n">
        <v>46076</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55678-2023</t>
        </is>
      </c>
      <c r="B549" s="1" t="n">
        <v>45239.33032407407</v>
      </c>
      <c r="C549" s="1" t="n">
        <v>46076</v>
      </c>
      <c r="D549" t="inlineStr">
        <is>
          <t>JÄMTLANDS LÄN</t>
        </is>
      </c>
      <c r="E549" t="inlineStr">
        <is>
          <t>ÖSTERSUND</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61944-2025</t>
        </is>
      </c>
      <c r="B550" s="1" t="n">
        <v>46003.56467592593</v>
      </c>
      <c r="C550" s="1" t="n">
        <v>46076</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61964-2025</t>
        </is>
      </c>
      <c r="B551" s="1" t="n">
        <v>46003</v>
      </c>
      <c r="C551" s="1" t="n">
        <v>46076</v>
      </c>
      <c r="D551" t="inlineStr">
        <is>
          <t>JÄMTLANDS LÄN</t>
        </is>
      </c>
      <c r="E551" t="inlineStr">
        <is>
          <t>ÖSTERSUND</t>
        </is>
      </c>
      <c r="G551" t="n">
        <v>16.5</v>
      </c>
      <c r="H551" t="n">
        <v>0</v>
      </c>
      <c r="I551" t="n">
        <v>0</v>
      </c>
      <c r="J551" t="n">
        <v>0</v>
      </c>
      <c r="K551" t="n">
        <v>0</v>
      </c>
      <c r="L551" t="n">
        <v>0</v>
      </c>
      <c r="M551" t="n">
        <v>0</v>
      </c>
      <c r="N551" t="n">
        <v>0</v>
      </c>
      <c r="O551" t="n">
        <v>0</v>
      </c>
      <c r="P551" t="n">
        <v>0</v>
      </c>
      <c r="Q551" t="n">
        <v>0</v>
      </c>
      <c r="R551" s="2" t="inlineStr"/>
    </row>
    <row r="552" ht="15" customHeight="1">
      <c r="A552" t="inlineStr">
        <is>
          <t>A 61611-2025</t>
        </is>
      </c>
      <c r="B552" s="1" t="n">
        <v>46002</v>
      </c>
      <c r="C552" s="1" t="n">
        <v>46076</v>
      </c>
      <c r="D552" t="inlineStr">
        <is>
          <t>JÄMTLANDS LÄN</t>
        </is>
      </c>
      <c r="E552" t="inlineStr">
        <is>
          <t>ÖSTERSUND</t>
        </is>
      </c>
      <c r="G552" t="n">
        <v>5</v>
      </c>
      <c r="H552" t="n">
        <v>0</v>
      </c>
      <c r="I552" t="n">
        <v>0</v>
      </c>
      <c r="J552" t="n">
        <v>0</v>
      </c>
      <c r="K552" t="n">
        <v>0</v>
      </c>
      <c r="L552" t="n">
        <v>0</v>
      </c>
      <c r="M552" t="n">
        <v>0</v>
      </c>
      <c r="N552" t="n">
        <v>0</v>
      </c>
      <c r="O552" t="n">
        <v>0</v>
      </c>
      <c r="P552" t="n">
        <v>0</v>
      </c>
      <c r="Q552" t="n">
        <v>0</v>
      </c>
      <c r="R552" s="2" t="inlineStr"/>
    </row>
    <row r="553" ht="15" customHeight="1">
      <c r="A553" t="inlineStr">
        <is>
          <t>A 61982-2025</t>
        </is>
      </c>
      <c r="B553" s="1" t="n">
        <v>46003.6159375</v>
      </c>
      <c r="C553" s="1" t="n">
        <v>46076</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46076</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4226-2026</t>
        </is>
      </c>
      <c r="B555" s="1" t="n">
        <v>46044.85285879629</v>
      </c>
      <c r="C555" s="1" t="n">
        <v>46076</v>
      </c>
      <c r="D555" t="inlineStr">
        <is>
          <t>JÄMTLANDS LÄN</t>
        </is>
      </c>
      <c r="E555" t="inlineStr">
        <is>
          <t>ÖSTERSUND</t>
        </is>
      </c>
      <c r="G555" t="n">
        <v>2.1</v>
      </c>
      <c r="H555" t="n">
        <v>0</v>
      </c>
      <c r="I555" t="n">
        <v>0</v>
      </c>
      <c r="J555" t="n">
        <v>0</v>
      </c>
      <c r="K555" t="n">
        <v>0</v>
      </c>
      <c r="L555" t="n">
        <v>0</v>
      </c>
      <c r="M555" t="n">
        <v>0</v>
      </c>
      <c r="N555" t="n">
        <v>0</v>
      </c>
      <c r="O555" t="n">
        <v>0</v>
      </c>
      <c r="P555" t="n">
        <v>0</v>
      </c>
      <c r="Q555" t="n">
        <v>0</v>
      </c>
      <c r="R555" s="2" t="inlineStr"/>
    </row>
    <row r="556" ht="15" customHeight="1">
      <c r="A556" t="inlineStr">
        <is>
          <t>A 62176-2025</t>
        </is>
      </c>
      <c r="B556" s="1" t="n">
        <v>46006.51157407407</v>
      </c>
      <c r="C556" s="1" t="n">
        <v>46076</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62175-2025</t>
        </is>
      </c>
      <c r="B557" s="1" t="n">
        <v>46006.51155092593</v>
      </c>
      <c r="C557" s="1" t="n">
        <v>46076</v>
      </c>
      <c r="D557" t="inlineStr">
        <is>
          <t>JÄMTLANDS LÄN</t>
        </is>
      </c>
      <c r="E557" t="inlineStr">
        <is>
          <t>ÖSTERSUND</t>
        </is>
      </c>
      <c r="G557" t="n">
        <v>1.3</v>
      </c>
      <c r="H557" t="n">
        <v>0</v>
      </c>
      <c r="I557" t="n">
        <v>0</v>
      </c>
      <c r="J557" t="n">
        <v>0</v>
      </c>
      <c r="K557" t="n">
        <v>0</v>
      </c>
      <c r="L557" t="n">
        <v>0</v>
      </c>
      <c r="M557" t="n">
        <v>0</v>
      </c>
      <c r="N557" t="n">
        <v>0</v>
      </c>
      <c r="O557" t="n">
        <v>0</v>
      </c>
      <c r="P557" t="n">
        <v>0</v>
      </c>
      <c r="Q557" t="n">
        <v>0</v>
      </c>
      <c r="R557" s="2" t="inlineStr"/>
    </row>
    <row r="558" ht="15" customHeight="1">
      <c r="A558" t="inlineStr">
        <is>
          <t>A 15659-2021</t>
        </is>
      </c>
      <c r="B558" s="1" t="n">
        <v>44298</v>
      </c>
      <c r="C558" s="1" t="n">
        <v>46076</v>
      </c>
      <c r="D558" t="inlineStr">
        <is>
          <t>JÄMTLANDS LÄN</t>
        </is>
      </c>
      <c r="E558" t="inlineStr">
        <is>
          <t>ÖSTERSUND</t>
        </is>
      </c>
      <c r="G558" t="n">
        <v>13.3</v>
      </c>
      <c r="H558" t="n">
        <v>0</v>
      </c>
      <c r="I558" t="n">
        <v>0</v>
      </c>
      <c r="J558" t="n">
        <v>0</v>
      </c>
      <c r="K558" t="n">
        <v>0</v>
      </c>
      <c r="L558" t="n">
        <v>0</v>
      </c>
      <c r="M558" t="n">
        <v>0</v>
      </c>
      <c r="N558" t="n">
        <v>0</v>
      </c>
      <c r="O558" t="n">
        <v>0</v>
      </c>
      <c r="P558" t="n">
        <v>0</v>
      </c>
      <c r="Q558" t="n">
        <v>0</v>
      </c>
      <c r="R558" s="2" t="inlineStr"/>
    </row>
    <row r="559" ht="15" customHeight="1">
      <c r="A559" t="inlineStr">
        <is>
          <t>A 62437-2025</t>
        </is>
      </c>
      <c r="B559" s="1" t="n">
        <v>46007.46907407408</v>
      </c>
      <c r="C559" s="1" t="n">
        <v>46076</v>
      </c>
      <c r="D559" t="inlineStr">
        <is>
          <t>JÄMTLANDS LÄN</t>
        </is>
      </c>
      <c r="E559" t="inlineStr">
        <is>
          <t>ÖSTERSUND</t>
        </is>
      </c>
      <c r="G559" t="n">
        <v>6.3</v>
      </c>
      <c r="H559" t="n">
        <v>0</v>
      </c>
      <c r="I559" t="n">
        <v>0</v>
      </c>
      <c r="J559" t="n">
        <v>0</v>
      </c>
      <c r="K559" t="n">
        <v>0</v>
      </c>
      <c r="L559" t="n">
        <v>0</v>
      </c>
      <c r="M559" t="n">
        <v>0</v>
      </c>
      <c r="N559" t="n">
        <v>0</v>
      </c>
      <c r="O559" t="n">
        <v>0</v>
      </c>
      <c r="P559" t="n">
        <v>0</v>
      </c>
      <c r="Q559" t="n">
        <v>0</v>
      </c>
      <c r="R559" s="2" t="inlineStr"/>
    </row>
    <row r="560" ht="15" customHeight="1">
      <c r="A560" t="inlineStr">
        <is>
          <t>A 4936-2026</t>
        </is>
      </c>
      <c r="B560" s="1" t="n">
        <v>46048.89435185185</v>
      </c>
      <c r="C560" s="1" t="n">
        <v>46076</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62452-2025</t>
        </is>
      </c>
      <c r="B561" s="1" t="n">
        <v>46007.49001157407</v>
      </c>
      <c r="C561" s="1" t="n">
        <v>46076</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62509-2025</t>
        </is>
      </c>
      <c r="B562" s="1" t="n">
        <v>46007.5958912037</v>
      </c>
      <c r="C562" s="1" t="n">
        <v>46076</v>
      </c>
      <c r="D562" t="inlineStr">
        <is>
          <t>JÄMTLANDS LÄN</t>
        </is>
      </c>
      <c r="E562" t="inlineStr">
        <is>
          <t>ÖSTERSUND</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56847-2024</t>
        </is>
      </c>
      <c r="B563" s="1" t="n">
        <v>45628.53381944444</v>
      </c>
      <c r="C563" s="1" t="n">
        <v>46076</v>
      </c>
      <c r="D563" t="inlineStr">
        <is>
          <t>JÄMTLANDS LÄN</t>
        </is>
      </c>
      <c r="E563" t="inlineStr">
        <is>
          <t>ÖSTERSUND</t>
        </is>
      </c>
      <c r="G563" t="n">
        <v>1.4</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46076</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19323-2024</t>
        </is>
      </c>
      <c r="B565" s="1" t="n">
        <v>45428.92486111111</v>
      </c>
      <c r="C565" s="1" t="n">
        <v>46076</v>
      </c>
      <c r="D565" t="inlineStr">
        <is>
          <t>JÄMTLANDS LÄN</t>
        </is>
      </c>
      <c r="E565" t="inlineStr">
        <is>
          <t>ÖSTERSUND</t>
        </is>
      </c>
      <c r="F565" t="inlineStr">
        <is>
          <t>Kommuner</t>
        </is>
      </c>
      <c r="G565" t="n">
        <v>0.2</v>
      </c>
      <c r="H565" t="n">
        <v>0</v>
      </c>
      <c r="I565" t="n">
        <v>0</v>
      </c>
      <c r="J565" t="n">
        <v>0</v>
      </c>
      <c r="K565" t="n">
        <v>0</v>
      </c>
      <c r="L565" t="n">
        <v>0</v>
      </c>
      <c r="M565" t="n">
        <v>0</v>
      </c>
      <c r="N565" t="n">
        <v>0</v>
      </c>
      <c r="O565" t="n">
        <v>0</v>
      </c>
      <c r="P565" t="n">
        <v>0</v>
      </c>
      <c r="Q565" t="n">
        <v>0</v>
      </c>
      <c r="R565" s="2" t="inlineStr"/>
    </row>
    <row r="566" ht="15" customHeight="1">
      <c r="A566" t="inlineStr">
        <is>
          <t>A 62622-2025</t>
        </is>
      </c>
      <c r="B566" s="1" t="n">
        <v>46008.34438657408</v>
      </c>
      <c r="C566" s="1" t="n">
        <v>46076</v>
      </c>
      <c r="D566" t="inlineStr">
        <is>
          <t>JÄMTLANDS LÄN</t>
        </is>
      </c>
      <c r="E566" t="inlineStr">
        <is>
          <t>ÖSTERSUND</t>
        </is>
      </c>
      <c r="G566" t="n">
        <v>7.4</v>
      </c>
      <c r="H566" t="n">
        <v>0</v>
      </c>
      <c r="I566" t="n">
        <v>0</v>
      </c>
      <c r="J566" t="n">
        <v>0</v>
      </c>
      <c r="K566" t="n">
        <v>0</v>
      </c>
      <c r="L566" t="n">
        <v>0</v>
      </c>
      <c r="M566" t="n">
        <v>0</v>
      </c>
      <c r="N566" t="n">
        <v>0</v>
      </c>
      <c r="O566" t="n">
        <v>0</v>
      </c>
      <c r="P566" t="n">
        <v>0</v>
      </c>
      <c r="Q566" t="n">
        <v>0</v>
      </c>
      <c r="R566" s="2" t="inlineStr"/>
    </row>
    <row r="567" ht="15" customHeight="1">
      <c r="A567" t="inlineStr">
        <is>
          <t>A 62623-2025</t>
        </is>
      </c>
      <c r="B567" s="1" t="n">
        <v>46008.34443287037</v>
      </c>
      <c r="C567" s="1" t="n">
        <v>46076</v>
      </c>
      <c r="D567" t="inlineStr">
        <is>
          <t>JÄMTLANDS LÄN</t>
        </is>
      </c>
      <c r="E567" t="inlineStr">
        <is>
          <t>ÖSTERSUND</t>
        </is>
      </c>
      <c r="G567" t="n">
        <v>7.9</v>
      </c>
      <c r="H567" t="n">
        <v>0</v>
      </c>
      <c r="I567" t="n">
        <v>0</v>
      </c>
      <c r="J567" t="n">
        <v>0</v>
      </c>
      <c r="K567" t="n">
        <v>0</v>
      </c>
      <c r="L567" t="n">
        <v>0</v>
      </c>
      <c r="M567" t="n">
        <v>0</v>
      </c>
      <c r="N567" t="n">
        <v>0</v>
      </c>
      <c r="O567" t="n">
        <v>0</v>
      </c>
      <c r="P567" t="n">
        <v>0</v>
      </c>
      <c r="Q567" t="n">
        <v>0</v>
      </c>
      <c r="R567" s="2" t="inlineStr"/>
    </row>
    <row r="568" ht="15" customHeight="1">
      <c r="A568" t="inlineStr">
        <is>
          <t>A 7005-2025</t>
        </is>
      </c>
      <c r="B568" s="1" t="n">
        <v>45701.60046296296</v>
      </c>
      <c r="C568" s="1" t="n">
        <v>46076</v>
      </c>
      <c r="D568" t="inlineStr">
        <is>
          <t>JÄMTLANDS LÄN</t>
        </is>
      </c>
      <c r="E568" t="inlineStr">
        <is>
          <t>ÖSTERSUND</t>
        </is>
      </c>
      <c r="G568" t="n">
        <v>3.3</v>
      </c>
      <c r="H568" t="n">
        <v>0</v>
      </c>
      <c r="I568" t="n">
        <v>0</v>
      </c>
      <c r="J568" t="n">
        <v>0</v>
      </c>
      <c r="K568" t="n">
        <v>0</v>
      </c>
      <c r="L568" t="n">
        <v>0</v>
      </c>
      <c r="M568" t="n">
        <v>0</v>
      </c>
      <c r="N568" t="n">
        <v>0</v>
      </c>
      <c r="O568" t="n">
        <v>0</v>
      </c>
      <c r="P568" t="n">
        <v>0</v>
      </c>
      <c r="Q568" t="n">
        <v>0</v>
      </c>
      <c r="R568" s="2" t="inlineStr"/>
    </row>
    <row r="569" ht="15" customHeight="1">
      <c r="A569" t="inlineStr">
        <is>
          <t>A 27294-2023</t>
        </is>
      </c>
      <c r="B569" s="1" t="n">
        <v>45092</v>
      </c>
      <c r="C569" s="1" t="n">
        <v>46076</v>
      </c>
      <c r="D569" t="inlineStr">
        <is>
          <t>JÄMTLANDS LÄN</t>
        </is>
      </c>
      <c r="E569" t="inlineStr">
        <is>
          <t>ÖSTERSUND</t>
        </is>
      </c>
      <c r="G569" t="n">
        <v>2.8</v>
      </c>
      <c r="H569" t="n">
        <v>0</v>
      </c>
      <c r="I569" t="n">
        <v>0</v>
      </c>
      <c r="J569" t="n">
        <v>0</v>
      </c>
      <c r="K569" t="n">
        <v>0</v>
      </c>
      <c r="L569" t="n">
        <v>0</v>
      </c>
      <c r="M569" t="n">
        <v>0</v>
      </c>
      <c r="N569" t="n">
        <v>0</v>
      </c>
      <c r="O569" t="n">
        <v>0</v>
      </c>
      <c r="P569" t="n">
        <v>0</v>
      </c>
      <c r="Q569" t="n">
        <v>0</v>
      </c>
      <c r="R569" s="2" t="inlineStr"/>
    </row>
    <row r="570" ht="15" customHeight="1">
      <c r="A570" t="inlineStr">
        <is>
          <t>A 5360-2026</t>
        </is>
      </c>
      <c r="B570" s="1" t="n">
        <v>46050.44859953703</v>
      </c>
      <c r="C570" s="1" t="n">
        <v>46076</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8389-2025</t>
        </is>
      </c>
      <c r="B571" s="1" t="n">
        <v>45709.36497685185</v>
      </c>
      <c r="C571" s="1" t="n">
        <v>46076</v>
      </c>
      <c r="D571" t="inlineStr">
        <is>
          <t>JÄMTLANDS LÄN</t>
        </is>
      </c>
      <c r="E571" t="inlineStr">
        <is>
          <t>ÖSTERSUND</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17570-2025</t>
        </is>
      </c>
      <c r="B572" s="1" t="n">
        <v>45757.64563657407</v>
      </c>
      <c r="C572" s="1" t="n">
        <v>46076</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63195-2025</t>
        </is>
      </c>
      <c r="B573" s="1" t="n">
        <v>46010.45680555556</v>
      </c>
      <c r="C573" s="1" t="n">
        <v>46076</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63245-2025</t>
        </is>
      </c>
      <c r="B574" s="1" t="n">
        <v>46010.53825231481</v>
      </c>
      <c r="C574" s="1" t="n">
        <v>46076</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63516-2025</t>
        </is>
      </c>
      <c r="B575" s="1" t="n">
        <v>46013.50993055556</v>
      </c>
      <c r="C575" s="1" t="n">
        <v>46076</v>
      </c>
      <c r="D575" t="inlineStr">
        <is>
          <t>JÄMTLANDS LÄN</t>
        </is>
      </c>
      <c r="E575" t="inlineStr">
        <is>
          <t>ÖSTERSUND</t>
        </is>
      </c>
      <c r="G575" t="n">
        <v>4.8</v>
      </c>
      <c r="H575" t="n">
        <v>0</v>
      </c>
      <c r="I575" t="n">
        <v>0</v>
      </c>
      <c r="J575" t="n">
        <v>0</v>
      </c>
      <c r="K575" t="n">
        <v>0</v>
      </c>
      <c r="L575" t="n">
        <v>0</v>
      </c>
      <c r="M575" t="n">
        <v>0</v>
      </c>
      <c r="N575" t="n">
        <v>0</v>
      </c>
      <c r="O575" t="n">
        <v>0</v>
      </c>
      <c r="P575" t="n">
        <v>0</v>
      </c>
      <c r="Q575" t="n">
        <v>0</v>
      </c>
      <c r="R575" s="2" t="inlineStr"/>
    </row>
    <row r="576" ht="15" customHeight="1">
      <c r="A576" t="inlineStr">
        <is>
          <t>A 41280-2024</t>
        </is>
      </c>
      <c r="B576" s="1" t="n">
        <v>45559.59476851852</v>
      </c>
      <c r="C576" s="1" t="n">
        <v>46076</v>
      </c>
      <c r="D576" t="inlineStr">
        <is>
          <t>JÄMTLANDS LÄN</t>
        </is>
      </c>
      <c r="E576" t="inlineStr">
        <is>
          <t>ÖSTERSUND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46076</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12429-2025</t>
        </is>
      </c>
      <c r="B578" s="1" t="n">
        <v>45730.45930555555</v>
      </c>
      <c r="C578" s="1" t="n">
        <v>46076</v>
      </c>
      <c r="D578" t="inlineStr">
        <is>
          <t>JÄMTLANDS LÄN</t>
        </is>
      </c>
      <c r="E578" t="inlineStr">
        <is>
          <t>ÖSTERSUND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19581-2025</t>
        </is>
      </c>
      <c r="B579" s="1" t="n">
        <v>45770.56363425926</v>
      </c>
      <c r="C579" s="1" t="n">
        <v>46076</v>
      </c>
      <c r="D579" t="inlineStr">
        <is>
          <t>JÄMTLANDS LÄN</t>
        </is>
      </c>
      <c r="E579" t="inlineStr">
        <is>
          <t>ÖSTERSUND</t>
        </is>
      </c>
      <c r="G579" t="n">
        <v>17.2</v>
      </c>
      <c r="H579" t="n">
        <v>0</v>
      </c>
      <c r="I579" t="n">
        <v>0</v>
      </c>
      <c r="J579" t="n">
        <v>0</v>
      </c>
      <c r="K579" t="n">
        <v>0</v>
      </c>
      <c r="L579" t="n">
        <v>0</v>
      </c>
      <c r="M579" t="n">
        <v>0</v>
      </c>
      <c r="N579" t="n">
        <v>0</v>
      </c>
      <c r="O579" t="n">
        <v>0</v>
      </c>
      <c r="P579" t="n">
        <v>0</v>
      </c>
      <c r="Q579" t="n">
        <v>0</v>
      </c>
      <c r="R579" s="2" t="inlineStr"/>
    </row>
    <row r="580" ht="15" customHeight="1">
      <c r="A580" t="inlineStr">
        <is>
          <t>A 63693-2025</t>
        </is>
      </c>
      <c r="B580" s="1" t="n">
        <v>46014.5496875</v>
      </c>
      <c r="C580" s="1" t="n">
        <v>46076</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6831-2026</t>
        </is>
      </c>
      <c r="B581" s="1" t="n">
        <v>46057.40715277778</v>
      </c>
      <c r="C581" s="1" t="n">
        <v>46076</v>
      </c>
      <c r="D581" t="inlineStr">
        <is>
          <t>JÄMTLANDS LÄN</t>
        </is>
      </c>
      <c r="E581" t="inlineStr">
        <is>
          <t>ÖSTERSUND</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6999-2026</t>
        </is>
      </c>
      <c r="B582" s="1" t="n">
        <v>46057.6153125</v>
      </c>
      <c r="C582" s="1" t="n">
        <v>46076</v>
      </c>
      <c r="D582" t="inlineStr">
        <is>
          <t>JÄMTLANDS LÄN</t>
        </is>
      </c>
      <c r="E582" t="inlineStr">
        <is>
          <t>ÖSTERSUND</t>
        </is>
      </c>
      <c r="G582" t="n">
        <v>3</v>
      </c>
      <c r="H582" t="n">
        <v>0</v>
      </c>
      <c r="I582" t="n">
        <v>0</v>
      </c>
      <c r="J582" t="n">
        <v>0</v>
      </c>
      <c r="K582" t="n">
        <v>0</v>
      </c>
      <c r="L582" t="n">
        <v>0</v>
      </c>
      <c r="M582" t="n">
        <v>0</v>
      </c>
      <c r="N582" t="n">
        <v>0</v>
      </c>
      <c r="O582" t="n">
        <v>0</v>
      </c>
      <c r="P582" t="n">
        <v>0</v>
      </c>
      <c r="Q582" t="n">
        <v>0</v>
      </c>
      <c r="R582" s="2" t="inlineStr"/>
    </row>
    <row r="583" ht="15" customHeight="1">
      <c r="A583" t="inlineStr">
        <is>
          <t>A 5684-2026</t>
        </is>
      </c>
      <c r="B583" s="1" t="n">
        <v>46051</v>
      </c>
      <c r="C583" s="1" t="n">
        <v>46076</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24312-2021</t>
        </is>
      </c>
      <c r="B584" s="1" t="n">
        <v>44336</v>
      </c>
      <c r="C584" s="1" t="n">
        <v>46076</v>
      </c>
      <c r="D584" t="inlineStr">
        <is>
          <t>JÄMTLANDS LÄN</t>
        </is>
      </c>
      <c r="E584" t="inlineStr">
        <is>
          <t>ÖSTERSUND</t>
        </is>
      </c>
      <c r="G584" t="n">
        <v>10.6</v>
      </c>
      <c r="H584" t="n">
        <v>0</v>
      </c>
      <c r="I584" t="n">
        <v>0</v>
      </c>
      <c r="J584" t="n">
        <v>0</v>
      </c>
      <c r="K584" t="n">
        <v>0</v>
      </c>
      <c r="L584" t="n">
        <v>0</v>
      </c>
      <c r="M584" t="n">
        <v>0</v>
      </c>
      <c r="N584" t="n">
        <v>0</v>
      </c>
      <c r="O584" t="n">
        <v>0</v>
      </c>
      <c r="P584" t="n">
        <v>0</v>
      </c>
      <c r="Q584" t="n">
        <v>0</v>
      </c>
      <c r="R584" s="2" t="inlineStr"/>
    </row>
    <row r="585" ht="15" customHeight="1">
      <c r="A585" t="inlineStr">
        <is>
          <t>A 38926-2024</t>
        </is>
      </c>
      <c r="B585" s="1" t="n">
        <v>45547.90777777778</v>
      </c>
      <c r="C585" s="1" t="n">
        <v>46076</v>
      </c>
      <c r="D585" t="inlineStr">
        <is>
          <t>JÄMTLANDS LÄN</t>
        </is>
      </c>
      <c r="E585" t="inlineStr">
        <is>
          <t>ÖSTERSUND</t>
        </is>
      </c>
      <c r="G585" t="n">
        <v>0.4</v>
      </c>
      <c r="H585" t="n">
        <v>0</v>
      </c>
      <c r="I585" t="n">
        <v>0</v>
      </c>
      <c r="J585" t="n">
        <v>0</v>
      </c>
      <c r="K585" t="n">
        <v>0</v>
      </c>
      <c r="L585" t="n">
        <v>0</v>
      </c>
      <c r="M585" t="n">
        <v>0</v>
      </c>
      <c r="N585" t="n">
        <v>0</v>
      </c>
      <c r="O585" t="n">
        <v>0</v>
      </c>
      <c r="P585" t="n">
        <v>0</v>
      </c>
      <c r="Q585" t="n">
        <v>0</v>
      </c>
      <c r="R585" s="2" t="inlineStr"/>
    </row>
    <row r="586" ht="15" customHeight="1">
      <c r="A586" t="inlineStr">
        <is>
          <t>A 6929-2026</t>
        </is>
      </c>
      <c r="B586" s="1" t="n">
        <v>46057.55269675926</v>
      </c>
      <c r="C586" s="1" t="n">
        <v>46076</v>
      </c>
      <c r="D586" t="inlineStr">
        <is>
          <t>JÄMTLANDS LÄN</t>
        </is>
      </c>
      <c r="E586" t="inlineStr">
        <is>
          <t>ÖSTERSUND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6761-2026</t>
        </is>
      </c>
      <c r="B587" s="1" t="n">
        <v>46056.8547337963</v>
      </c>
      <c r="C587" s="1" t="n">
        <v>46076</v>
      </c>
      <c r="D587" t="inlineStr">
        <is>
          <t>JÄMTLANDS LÄN</t>
        </is>
      </c>
      <c r="E587" t="inlineStr">
        <is>
          <t>ÖSTERSUND</t>
        </is>
      </c>
      <c r="G587" t="n">
        <v>2.8</v>
      </c>
      <c r="H587" t="n">
        <v>0</v>
      </c>
      <c r="I587" t="n">
        <v>0</v>
      </c>
      <c r="J587" t="n">
        <v>0</v>
      </c>
      <c r="K587" t="n">
        <v>0</v>
      </c>
      <c r="L587" t="n">
        <v>0</v>
      </c>
      <c r="M587" t="n">
        <v>0</v>
      </c>
      <c r="N587" t="n">
        <v>0</v>
      </c>
      <c r="O587" t="n">
        <v>0</v>
      </c>
      <c r="P587" t="n">
        <v>0</v>
      </c>
      <c r="Q587" t="n">
        <v>0</v>
      </c>
      <c r="R587" s="2" t="inlineStr"/>
    </row>
    <row r="588" ht="15" customHeight="1">
      <c r="A588" t="inlineStr">
        <is>
          <t>A 7439-2026</t>
        </is>
      </c>
      <c r="B588" s="1" t="n">
        <v>46059.44539351852</v>
      </c>
      <c r="C588" s="1" t="n">
        <v>46076</v>
      </c>
      <c r="D588" t="inlineStr">
        <is>
          <t>JÄMTLANDS LÄN</t>
        </is>
      </c>
      <c r="E588" t="inlineStr">
        <is>
          <t>ÖSTERSUND</t>
        </is>
      </c>
      <c r="G588" t="n">
        <v>4.7</v>
      </c>
      <c r="H588" t="n">
        <v>0</v>
      </c>
      <c r="I588" t="n">
        <v>0</v>
      </c>
      <c r="J588" t="n">
        <v>0</v>
      </c>
      <c r="K588" t="n">
        <v>0</v>
      </c>
      <c r="L588" t="n">
        <v>0</v>
      </c>
      <c r="M588" t="n">
        <v>0</v>
      </c>
      <c r="N588" t="n">
        <v>0</v>
      </c>
      <c r="O588" t="n">
        <v>0</v>
      </c>
      <c r="P588" t="n">
        <v>0</v>
      </c>
      <c r="Q588" t="n">
        <v>0</v>
      </c>
      <c r="R588" s="2" t="inlineStr"/>
    </row>
    <row r="589" ht="15" customHeight="1">
      <c r="A589" t="inlineStr">
        <is>
          <t>A 7437-2026</t>
        </is>
      </c>
      <c r="B589" s="1" t="n">
        <v>46059.44135416667</v>
      </c>
      <c r="C589" s="1" t="n">
        <v>46076</v>
      </c>
      <c r="D589" t="inlineStr">
        <is>
          <t>JÄMTLANDS LÄN</t>
        </is>
      </c>
      <c r="E589" t="inlineStr">
        <is>
          <t>ÖSTERSUND</t>
        </is>
      </c>
      <c r="G589" t="n">
        <v>2.3</v>
      </c>
      <c r="H589" t="n">
        <v>0</v>
      </c>
      <c r="I589" t="n">
        <v>0</v>
      </c>
      <c r="J589" t="n">
        <v>0</v>
      </c>
      <c r="K589" t="n">
        <v>0</v>
      </c>
      <c r="L589" t="n">
        <v>0</v>
      </c>
      <c r="M589" t="n">
        <v>0</v>
      </c>
      <c r="N589" t="n">
        <v>0</v>
      </c>
      <c r="O589" t="n">
        <v>0</v>
      </c>
      <c r="P589" t="n">
        <v>0</v>
      </c>
      <c r="Q589" t="n">
        <v>0</v>
      </c>
      <c r="R589" s="2" t="inlineStr"/>
    </row>
    <row r="590" ht="15" customHeight="1">
      <c r="A590" t="inlineStr">
        <is>
          <t>A 55064-2024</t>
        </is>
      </c>
      <c r="B590" s="1" t="n">
        <v>45621.41050925926</v>
      </c>
      <c r="C590" s="1" t="n">
        <v>46076</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41802-2021</t>
        </is>
      </c>
      <c r="B591" s="1" t="n">
        <v>44425</v>
      </c>
      <c r="C591" s="1" t="n">
        <v>46076</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4063-2025</t>
        </is>
      </c>
      <c r="B592" s="1" t="n">
        <v>45684</v>
      </c>
      <c r="C592" s="1" t="n">
        <v>46076</v>
      </c>
      <c r="D592" t="inlineStr">
        <is>
          <t>JÄMTLANDS LÄN</t>
        </is>
      </c>
      <c r="E592" t="inlineStr">
        <is>
          <t>ÖSTERSUND</t>
        </is>
      </c>
      <c r="G592" t="n">
        <v>2.9</v>
      </c>
      <c r="H592" t="n">
        <v>0</v>
      </c>
      <c r="I592" t="n">
        <v>0</v>
      </c>
      <c r="J592" t="n">
        <v>0</v>
      </c>
      <c r="K592" t="n">
        <v>0</v>
      </c>
      <c r="L592" t="n">
        <v>0</v>
      </c>
      <c r="M592" t="n">
        <v>0</v>
      </c>
      <c r="N592" t="n">
        <v>0</v>
      </c>
      <c r="O592" t="n">
        <v>0</v>
      </c>
      <c r="P592" t="n">
        <v>0</v>
      </c>
      <c r="Q592" t="n">
        <v>0</v>
      </c>
      <c r="R592" s="2" t="inlineStr"/>
    </row>
    <row r="593" ht="15" customHeight="1">
      <c r="A593" t="inlineStr">
        <is>
          <t>A 63807-2025</t>
        </is>
      </c>
      <c r="B593" s="1" t="n">
        <v>46019</v>
      </c>
      <c r="C593" s="1" t="n">
        <v>46076</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63981-2025</t>
        </is>
      </c>
      <c r="B594" s="1" t="n">
        <v>46021.34450231482</v>
      </c>
      <c r="C594" s="1" t="n">
        <v>46076</v>
      </c>
      <c r="D594" t="inlineStr">
        <is>
          <t>JÄMTLANDS LÄN</t>
        </is>
      </c>
      <c r="E594" t="inlineStr">
        <is>
          <t>ÖSTERSUND</t>
        </is>
      </c>
      <c r="G594" t="n">
        <v>17.7</v>
      </c>
      <c r="H594" t="n">
        <v>0</v>
      </c>
      <c r="I594" t="n">
        <v>0</v>
      </c>
      <c r="J594" t="n">
        <v>0</v>
      </c>
      <c r="K594" t="n">
        <v>0</v>
      </c>
      <c r="L594" t="n">
        <v>0</v>
      </c>
      <c r="M594" t="n">
        <v>0</v>
      </c>
      <c r="N594" t="n">
        <v>0</v>
      </c>
      <c r="O594" t="n">
        <v>0</v>
      </c>
      <c r="P594" t="n">
        <v>0</v>
      </c>
      <c r="Q594" t="n">
        <v>0</v>
      </c>
      <c r="R594" s="2" t="inlineStr"/>
    </row>
    <row r="595" ht="15" customHeight="1">
      <c r="A595" t="inlineStr">
        <is>
          <t>A 7712-2026</t>
        </is>
      </c>
      <c r="B595" s="1" t="n">
        <v>46062.48398148148</v>
      </c>
      <c r="C595" s="1" t="n">
        <v>46076</v>
      </c>
      <c r="D595" t="inlineStr">
        <is>
          <t>JÄMTLANDS LÄN</t>
        </is>
      </c>
      <c r="E595" t="inlineStr">
        <is>
          <t>ÖSTERSUND</t>
        </is>
      </c>
      <c r="G595" t="n">
        <v>3.2</v>
      </c>
      <c r="H595" t="n">
        <v>0</v>
      </c>
      <c r="I595" t="n">
        <v>0</v>
      </c>
      <c r="J595" t="n">
        <v>0</v>
      </c>
      <c r="K595" t="n">
        <v>0</v>
      </c>
      <c r="L595" t="n">
        <v>0</v>
      </c>
      <c r="M595" t="n">
        <v>0</v>
      </c>
      <c r="N595" t="n">
        <v>0</v>
      </c>
      <c r="O595" t="n">
        <v>0</v>
      </c>
      <c r="P595" t="n">
        <v>0</v>
      </c>
      <c r="Q595" t="n">
        <v>0</v>
      </c>
      <c r="R595" s="2" t="inlineStr"/>
    </row>
    <row r="596" ht="15" customHeight="1">
      <c r="A596" t="inlineStr">
        <is>
          <t>A 64022-2025</t>
        </is>
      </c>
      <c r="B596" s="1" t="n">
        <v>46021.46912037037</v>
      </c>
      <c r="C596" s="1" t="n">
        <v>46076</v>
      </c>
      <c r="D596" t="inlineStr">
        <is>
          <t>JÄMTLANDS LÄN</t>
        </is>
      </c>
      <c r="E596" t="inlineStr">
        <is>
          <t>ÖSTERSUND</t>
        </is>
      </c>
      <c r="G596" t="n">
        <v>2.1</v>
      </c>
      <c r="H596" t="n">
        <v>0</v>
      </c>
      <c r="I596" t="n">
        <v>0</v>
      </c>
      <c r="J596" t="n">
        <v>0</v>
      </c>
      <c r="K596" t="n">
        <v>0</v>
      </c>
      <c r="L596" t="n">
        <v>0</v>
      </c>
      <c r="M596" t="n">
        <v>0</v>
      </c>
      <c r="N596" t="n">
        <v>0</v>
      </c>
      <c r="O596" t="n">
        <v>0</v>
      </c>
      <c r="P596" t="n">
        <v>0</v>
      </c>
      <c r="Q596" t="n">
        <v>0</v>
      </c>
      <c r="R596" s="2" t="inlineStr"/>
    </row>
    <row r="597" ht="15" customHeight="1">
      <c r="A597" t="inlineStr">
        <is>
          <t>A 4382-2026</t>
        </is>
      </c>
      <c r="B597" s="1" t="n">
        <v>46045.56253472222</v>
      </c>
      <c r="C597" s="1" t="n">
        <v>46076</v>
      </c>
      <c r="D597" t="inlineStr">
        <is>
          <t>JÄMTLANDS LÄN</t>
        </is>
      </c>
      <c r="E597" t="inlineStr">
        <is>
          <t>ÖSTERSUND</t>
        </is>
      </c>
      <c r="G597" t="n">
        <v>13.5</v>
      </c>
      <c r="H597" t="n">
        <v>0</v>
      </c>
      <c r="I597" t="n">
        <v>0</v>
      </c>
      <c r="J597" t="n">
        <v>0</v>
      </c>
      <c r="K597" t="n">
        <v>0</v>
      </c>
      <c r="L597" t="n">
        <v>0</v>
      </c>
      <c r="M597" t="n">
        <v>0</v>
      </c>
      <c r="N597" t="n">
        <v>0</v>
      </c>
      <c r="O597" t="n">
        <v>0</v>
      </c>
      <c r="P597" t="n">
        <v>0</v>
      </c>
      <c r="Q597" t="n">
        <v>0</v>
      </c>
      <c r="R597" s="2" t="inlineStr"/>
    </row>
    <row r="598" ht="15" customHeight="1">
      <c r="A598" t="inlineStr">
        <is>
          <t>A 7224-2024</t>
        </is>
      </c>
      <c r="B598" s="1" t="n">
        <v>45344</v>
      </c>
      <c r="C598" s="1" t="n">
        <v>46076</v>
      </c>
      <c r="D598" t="inlineStr">
        <is>
          <t>JÄMTLANDS LÄN</t>
        </is>
      </c>
      <c r="E598" t="inlineStr">
        <is>
          <t>ÖSTERSUND</t>
        </is>
      </c>
      <c r="G598" t="n">
        <v>2.9</v>
      </c>
      <c r="H598" t="n">
        <v>0</v>
      </c>
      <c r="I598" t="n">
        <v>0</v>
      </c>
      <c r="J598" t="n">
        <v>0</v>
      </c>
      <c r="K598" t="n">
        <v>0</v>
      </c>
      <c r="L598" t="n">
        <v>0</v>
      </c>
      <c r="M598" t="n">
        <v>0</v>
      </c>
      <c r="N598" t="n">
        <v>0</v>
      </c>
      <c r="O598" t="n">
        <v>0</v>
      </c>
      <c r="P598" t="n">
        <v>0</v>
      </c>
      <c r="Q598" t="n">
        <v>0</v>
      </c>
      <c r="R598" s="2" t="inlineStr"/>
    </row>
    <row r="599" ht="15" customHeight="1">
      <c r="A599" t="inlineStr">
        <is>
          <t>A 63856-2025</t>
        </is>
      </c>
      <c r="B599" s="1" t="n">
        <v>46020.47796296296</v>
      </c>
      <c r="C599" s="1" t="n">
        <v>46076</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63982-2025</t>
        </is>
      </c>
      <c r="B600" s="1" t="n">
        <v>46021.34454861111</v>
      </c>
      <c r="C600" s="1" t="n">
        <v>46076</v>
      </c>
      <c r="D600" t="inlineStr">
        <is>
          <t>JÄMTLANDS LÄN</t>
        </is>
      </c>
      <c r="E600" t="inlineStr">
        <is>
          <t>ÖSTERSUND</t>
        </is>
      </c>
      <c r="G600" t="n">
        <v>6.5</v>
      </c>
      <c r="H600" t="n">
        <v>0</v>
      </c>
      <c r="I600" t="n">
        <v>0</v>
      </c>
      <c r="J600" t="n">
        <v>0</v>
      </c>
      <c r="K600" t="n">
        <v>0</v>
      </c>
      <c r="L600" t="n">
        <v>0</v>
      </c>
      <c r="M600" t="n">
        <v>0</v>
      </c>
      <c r="N600" t="n">
        <v>0</v>
      </c>
      <c r="O600" t="n">
        <v>0</v>
      </c>
      <c r="P600" t="n">
        <v>0</v>
      </c>
      <c r="Q600" t="n">
        <v>0</v>
      </c>
      <c r="R600" s="2" t="inlineStr"/>
    </row>
    <row r="601" ht="15" customHeight="1">
      <c r="A601" t="inlineStr">
        <is>
          <t>A 4775-2026</t>
        </is>
      </c>
      <c r="B601" s="1" t="n">
        <v>46045</v>
      </c>
      <c r="C601" s="1" t="n">
        <v>46076</v>
      </c>
      <c r="D601" t="inlineStr">
        <is>
          <t>JÄMTLANDS LÄN</t>
        </is>
      </c>
      <c r="E601" t="inlineStr">
        <is>
          <t>ÖSTERSUND</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62222-2022</t>
        </is>
      </c>
      <c r="B602" s="1" t="n">
        <v>44922</v>
      </c>
      <c r="C602" s="1" t="n">
        <v>46076</v>
      </c>
      <c r="D602" t="inlineStr">
        <is>
          <t>JÄMTLANDS LÄN</t>
        </is>
      </c>
      <c r="E602" t="inlineStr">
        <is>
          <t>ÖSTERSUND</t>
        </is>
      </c>
      <c r="G602" t="n">
        <v>4.1</v>
      </c>
      <c r="H602" t="n">
        <v>0</v>
      </c>
      <c r="I602" t="n">
        <v>0</v>
      </c>
      <c r="J602" t="n">
        <v>0</v>
      </c>
      <c r="K602" t="n">
        <v>0</v>
      </c>
      <c r="L602" t="n">
        <v>0</v>
      </c>
      <c r="M602" t="n">
        <v>0</v>
      </c>
      <c r="N602" t="n">
        <v>0</v>
      </c>
      <c r="O602" t="n">
        <v>0</v>
      </c>
      <c r="P602" t="n">
        <v>0</v>
      </c>
      <c r="Q602" t="n">
        <v>0</v>
      </c>
      <c r="R602" s="2" t="inlineStr"/>
    </row>
    <row r="603" ht="15" customHeight="1">
      <c r="A603" t="inlineStr">
        <is>
          <t>A 8076-2026</t>
        </is>
      </c>
      <c r="B603" s="1" t="n">
        <v>46063.65710648148</v>
      </c>
      <c r="C603" s="1" t="n">
        <v>46076</v>
      </c>
      <c r="D603" t="inlineStr">
        <is>
          <t>JÄMTLANDS LÄN</t>
        </is>
      </c>
      <c r="E603" t="inlineStr">
        <is>
          <t>ÖSTERSUND</t>
        </is>
      </c>
      <c r="G603" t="n">
        <v>2.3</v>
      </c>
      <c r="H603" t="n">
        <v>0</v>
      </c>
      <c r="I603" t="n">
        <v>0</v>
      </c>
      <c r="J603" t="n">
        <v>0</v>
      </c>
      <c r="K603" t="n">
        <v>0</v>
      </c>
      <c r="L603" t="n">
        <v>0</v>
      </c>
      <c r="M603" t="n">
        <v>0</v>
      </c>
      <c r="N603" t="n">
        <v>0</v>
      </c>
      <c r="O603" t="n">
        <v>0</v>
      </c>
      <c r="P603" t="n">
        <v>0</v>
      </c>
      <c r="Q603" t="n">
        <v>0</v>
      </c>
      <c r="R603" s="2" t="inlineStr"/>
    </row>
    <row r="604" ht="15" customHeight="1">
      <c r="A604" t="inlineStr">
        <is>
          <t>A 63861-2025</t>
        </is>
      </c>
      <c r="B604" s="1" t="n">
        <v>46020.49056712963</v>
      </c>
      <c r="C604" s="1" t="n">
        <v>46076</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47804-2024</t>
        </is>
      </c>
      <c r="B605" s="1" t="n">
        <v>45588.61498842593</v>
      </c>
      <c r="C605" s="1" t="n">
        <v>46076</v>
      </c>
      <c r="D605" t="inlineStr">
        <is>
          <t>JÄMTLANDS LÄN</t>
        </is>
      </c>
      <c r="E605" t="inlineStr">
        <is>
          <t>ÖSTERSUND</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50218-2024</t>
        </is>
      </c>
      <c r="B606" s="1" t="n">
        <v>45600.53160879629</v>
      </c>
      <c r="C606" s="1" t="n">
        <v>46076</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60780-2023</t>
        </is>
      </c>
      <c r="B607" s="1" t="n">
        <v>45260</v>
      </c>
      <c r="C607" s="1" t="n">
        <v>46076</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60794-2023</t>
        </is>
      </c>
      <c r="B608" s="1" t="n">
        <v>45260</v>
      </c>
      <c r="C608" s="1" t="n">
        <v>46076</v>
      </c>
      <c r="D608" t="inlineStr">
        <is>
          <t>JÄMTLANDS LÄN</t>
        </is>
      </c>
      <c r="E608" t="inlineStr">
        <is>
          <t>ÖSTERSUND</t>
        </is>
      </c>
      <c r="G608" t="n">
        <v>3.6</v>
      </c>
      <c r="H608" t="n">
        <v>0</v>
      </c>
      <c r="I608" t="n">
        <v>0</v>
      </c>
      <c r="J608" t="n">
        <v>0</v>
      </c>
      <c r="K608" t="n">
        <v>0</v>
      </c>
      <c r="L608" t="n">
        <v>0</v>
      </c>
      <c r="M608" t="n">
        <v>0</v>
      </c>
      <c r="N608" t="n">
        <v>0</v>
      </c>
      <c r="O608" t="n">
        <v>0</v>
      </c>
      <c r="P608" t="n">
        <v>0</v>
      </c>
      <c r="Q608" t="n">
        <v>0</v>
      </c>
      <c r="R608" s="2" t="inlineStr"/>
    </row>
    <row r="609" ht="15" customHeight="1">
      <c r="A609" t="inlineStr">
        <is>
          <t>A 11877-2024</t>
        </is>
      </c>
      <c r="B609" s="1" t="n">
        <v>45376</v>
      </c>
      <c r="C609" s="1" t="n">
        <v>46076</v>
      </c>
      <c r="D609" t="inlineStr">
        <is>
          <t>JÄMTLANDS LÄN</t>
        </is>
      </c>
      <c r="E609" t="inlineStr">
        <is>
          <t>ÖSTERSUND</t>
        </is>
      </c>
      <c r="G609" t="n">
        <v>2.6</v>
      </c>
      <c r="H609" t="n">
        <v>0</v>
      </c>
      <c r="I609" t="n">
        <v>0</v>
      </c>
      <c r="J609" t="n">
        <v>0</v>
      </c>
      <c r="K609" t="n">
        <v>0</v>
      </c>
      <c r="L609" t="n">
        <v>0</v>
      </c>
      <c r="M609" t="n">
        <v>0</v>
      </c>
      <c r="N609" t="n">
        <v>0</v>
      </c>
      <c r="O609" t="n">
        <v>0</v>
      </c>
      <c r="P609" t="n">
        <v>0</v>
      </c>
      <c r="Q609" t="n">
        <v>0</v>
      </c>
      <c r="R609" s="2" t="inlineStr"/>
    </row>
    <row r="610" ht="15" customHeight="1">
      <c r="A610" t="inlineStr">
        <is>
          <t>A 53714-2022</t>
        </is>
      </c>
      <c r="B610" s="1" t="n">
        <v>44880</v>
      </c>
      <c r="C610" s="1" t="n">
        <v>46076</v>
      </c>
      <c r="D610" t="inlineStr">
        <is>
          <t>JÄMTLANDS LÄN</t>
        </is>
      </c>
      <c r="E610" t="inlineStr">
        <is>
          <t>ÖSTERSUND</t>
        </is>
      </c>
      <c r="G610" t="n">
        <v>1.3</v>
      </c>
      <c r="H610" t="n">
        <v>0</v>
      </c>
      <c r="I610" t="n">
        <v>0</v>
      </c>
      <c r="J610" t="n">
        <v>0</v>
      </c>
      <c r="K610" t="n">
        <v>0</v>
      </c>
      <c r="L610" t="n">
        <v>0</v>
      </c>
      <c r="M610" t="n">
        <v>0</v>
      </c>
      <c r="N610" t="n">
        <v>0</v>
      </c>
      <c r="O610" t="n">
        <v>0</v>
      </c>
      <c r="P610" t="n">
        <v>0</v>
      </c>
      <c r="Q610" t="n">
        <v>0</v>
      </c>
      <c r="R610" s="2" t="inlineStr"/>
    </row>
    <row r="611" ht="15" customHeight="1">
      <c r="A611" t="inlineStr">
        <is>
          <t>A 52128-2023</t>
        </is>
      </c>
      <c r="B611" s="1" t="n">
        <v>45223</v>
      </c>
      <c r="C611" s="1" t="n">
        <v>46076</v>
      </c>
      <c r="D611" t="inlineStr">
        <is>
          <t>JÄMTLANDS LÄN</t>
        </is>
      </c>
      <c r="E611" t="inlineStr">
        <is>
          <t>ÖSTERSUND</t>
        </is>
      </c>
      <c r="F611" t="inlineStr">
        <is>
          <t>SCA</t>
        </is>
      </c>
      <c r="G611" t="n">
        <v>11.9</v>
      </c>
      <c r="H611" t="n">
        <v>0</v>
      </c>
      <c r="I611" t="n">
        <v>0</v>
      </c>
      <c r="J611" t="n">
        <v>0</v>
      </c>
      <c r="K611" t="n">
        <v>0</v>
      </c>
      <c r="L611" t="n">
        <v>0</v>
      </c>
      <c r="M611" t="n">
        <v>0</v>
      </c>
      <c r="N611" t="n">
        <v>0</v>
      </c>
      <c r="O611" t="n">
        <v>0</v>
      </c>
      <c r="P611" t="n">
        <v>0</v>
      </c>
      <c r="Q611" t="n">
        <v>0</v>
      </c>
      <c r="R611" s="2" t="inlineStr"/>
    </row>
    <row r="612" ht="15" customHeight="1">
      <c r="A612" t="inlineStr">
        <is>
          <t>A 44013-2021</t>
        </is>
      </c>
      <c r="B612" s="1" t="n">
        <v>44434</v>
      </c>
      <c r="C612" s="1" t="n">
        <v>46076</v>
      </c>
      <c r="D612" t="inlineStr">
        <is>
          <t>JÄMTLANDS LÄN</t>
        </is>
      </c>
      <c r="E612" t="inlineStr">
        <is>
          <t>ÖSTERSUND</t>
        </is>
      </c>
      <c r="G612" t="n">
        <v>1.9</v>
      </c>
      <c r="H612" t="n">
        <v>0</v>
      </c>
      <c r="I612" t="n">
        <v>0</v>
      </c>
      <c r="J612" t="n">
        <v>0</v>
      </c>
      <c r="K612" t="n">
        <v>0</v>
      </c>
      <c r="L612" t="n">
        <v>0</v>
      </c>
      <c r="M612" t="n">
        <v>0</v>
      </c>
      <c r="N612" t="n">
        <v>0</v>
      </c>
      <c r="O612" t="n">
        <v>0</v>
      </c>
      <c r="P612" t="n">
        <v>0</v>
      </c>
      <c r="Q612" t="n">
        <v>0</v>
      </c>
      <c r="R612" s="2" t="inlineStr"/>
    </row>
    <row r="613" ht="15" customHeight="1">
      <c r="A613" t="inlineStr">
        <is>
          <t>A 8003-2025</t>
        </is>
      </c>
      <c r="B613" s="1" t="n">
        <v>45707</v>
      </c>
      <c r="C613" s="1" t="n">
        <v>46076</v>
      </c>
      <c r="D613" t="inlineStr">
        <is>
          <t>JÄMTLANDS LÄN</t>
        </is>
      </c>
      <c r="E613" t="inlineStr">
        <is>
          <t>ÖSTERSUND</t>
        </is>
      </c>
      <c r="F613" t="inlineStr">
        <is>
          <t>Övriga Aktiebolag</t>
        </is>
      </c>
      <c r="G613" t="n">
        <v>35.1</v>
      </c>
      <c r="H613" t="n">
        <v>0</v>
      </c>
      <c r="I613" t="n">
        <v>0</v>
      </c>
      <c r="J613" t="n">
        <v>0</v>
      </c>
      <c r="K613" t="n">
        <v>0</v>
      </c>
      <c r="L613" t="n">
        <v>0</v>
      </c>
      <c r="M613" t="n">
        <v>0</v>
      </c>
      <c r="N613" t="n">
        <v>0</v>
      </c>
      <c r="O613" t="n">
        <v>0</v>
      </c>
      <c r="P613" t="n">
        <v>0</v>
      </c>
      <c r="Q613" t="n">
        <v>0</v>
      </c>
      <c r="R613" s="2" t="inlineStr"/>
    </row>
    <row r="614" ht="15" customHeight="1">
      <c r="A614" t="inlineStr">
        <is>
          <t>A 8168-2026</t>
        </is>
      </c>
      <c r="B614" s="1" t="n">
        <v>46064.39027777778</v>
      </c>
      <c r="C614" s="1" t="n">
        <v>46076</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8216-2026</t>
        </is>
      </c>
      <c r="B615" s="1" t="n">
        <v>46064.45548611111</v>
      </c>
      <c r="C615" s="1" t="n">
        <v>46076</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8545-2026</t>
        </is>
      </c>
      <c r="B616" s="1" t="n">
        <v>46065.61449074074</v>
      </c>
      <c r="C616" s="1" t="n">
        <v>46076</v>
      </c>
      <c r="D616" t="inlineStr">
        <is>
          <t>JÄMTLANDS LÄN</t>
        </is>
      </c>
      <c r="E616" t="inlineStr">
        <is>
          <t>ÖSTERSUND</t>
        </is>
      </c>
      <c r="F616" t="inlineStr">
        <is>
          <t>Kyrkan</t>
        </is>
      </c>
      <c r="G616" t="n">
        <v>2.3</v>
      </c>
      <c r="H616" t="n">
        <v>0</v>
      </c>
      <c r="I616" t="n">
        <v>0</v>
      </c>
      <c r="J616" t="n">
        <v>0</v>
      </c>
      <c r="K616" t="n">
        <v>0</v>
      </c>
      <c r="L616" t="n">
        <v>0</v>
      </c>
      <c r="M616" t="n">
        <v>0</v>
      </c>
      <c r="N616" t="n">
        <v>0</v>
      </c>
      <c r="O616" t="n">
        <v>0</v>
      </c>
      <c r="P616" t="n">
        <v>0</v>
      </c>
      <c r="Q616" t="n">
        <v>0</v>
      </c>
      <c r="R616" s="2" t="inlineStr"/>
    </row>
    <row r="617" ht="15" customHeight="1">
      <c r="A617" t="inlineStr">
        <is>
          <t>A 12285-2022</t>
        </is>
      </c>
      <c r="B617" s="1" t="n">
        <v>44637</v>
      </c>
      <c r="C617" s="1" t="n">
        <v>46076</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8733-2026</t>
        </is>
      </c>
      <c r="B618" s="1" t="n">
        <v>46066</v>
      </c>
      <c r="C618" s="1" t="n">
        <v>46076</v>
      </c>
      <c r="D618" t="inlineStr">
        <is>
          <t>JÄMTLANDS LÄN</t>
        </is>
      </c>
      <c r="E618" t="inlineStr">
        <is>
          <t>ÖSTERSUND</t>
        </is>
      </c>
      <c r="G618" t="n">
        <v>2.3</v>
      </c>
      <c r="H618" t="n">
        <v>0</v>
      </c>
      <c r="I618" t="n">
        <v>0</v>
      </c>
      <c r="J618" t="n">
        <v>0</v>
      </c>
      <c r="K618" t="n">
        <v>0</v>
      </c>
      <c r="L618" t="n">
        <v>0</v>
      </c>
      <c r="M618" t="n">
        <v>0</v>
      </c>
      <c r="N618" t="n">
        <v>0</v>
      </c>
      <c r="O618" t="n">
        <v>0</v>
      </c>
      <c r="P618" t="n">
        <v>0</v>
      </c>
      <c r="Q618" t="n">
        <v>0</v>
      </c>
      <c r="R618" s="2" t="inlineStr"/>
    </row>
    <row r="619" ht="15" customHeight="1">
      <c r="A619" t="inlineStr">
        <is>
          <t>A 25385-2024</t>
        </is>
      </c>
      <c r="B619" s="1" t="n">
        <v>45462.96347222223</v>
      </c>
      <c r="C619" s="1" t="n">
        <v>46076</v>
      </c>
      <c r="D619" t="inlineStr">
        <is>
          <t>JÄMTLANDS LÄN</t>
        </is>
      </c>
      <c r="E619" t="inlineStr">
        <is>
          <t>ÖSTERSUND</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8832-2026</t>
        </is>
      </c>
      <c r="B620" s="1" t="n">
        <v>46066.6364699074</v>
      </c>
      <c r="C620" s="1" t="n">
        <v>46076</v>
      </c>
      <c r="D620" t="inlineStr">
        <is>
          <t>JÄMTLANDS LÄN</t>
        </is>
      </c>
      <c r="E620" t="inlineStr">
        <is>
          <t>ÖSTERSUND</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8676-2026</t>
        </is>
      </c>
      <c r="B621" s="1" t="n">
        <v>46066</v>
      </c>
      <c r="C621" s="1" t="n">
        <v>46076</v>
      </c>
      <c r="D621" t="inlineStr">
        <is>
          <t>JÄMTLANDS LÄN</t>
        </is>
      </c>
      <c r="E621" t="inlineStr">
        <is>
          <t>ÖSTERSUND</t>
        </is>
      </c>
      <c r="G621" t="n">
        <v>11.6</v>
      </c>
      <c r="H621" t="n">
        <v>0</v>
      </c>
      <c r="I621" t="n">
        <v>0</v>
      </c>
      <c r="J621" t="n">
        <v>0</v>
      </c>
      <c r="K621" t="n">
        <v>0</v>
      </c>
      <c r="L621" t="n">
        <v>0</v>
      </c>
      <c r="M621" t="n">
        <v>0</v>
      </c>
      <c r="N621" t="n">
        <v>0</v>
      </c>
      <c r="O621" t="n">
        <v>0</v>
      </c>
      <c r="P621" t="n">
        <v>0</v>
      </c>
      <c r="Q621" t="n">
        <v>0</v>
      </c>
      <c r="R621" s="2" t="inlineStr"/>
    </row>
    <row r="622" ht="15" customHeight="1">
      <c r="A622" t="inlineStr">
        <is>
          <t>A 8607-2026</t>
        </is>
      </c>
      <c r="B622" s="1" t="n">
        <v>46065</v>
      </c>
      <c r="C622" s="1" t="n">
        <v>46076</v>
      </c>
      <c r="D622" t="inlineStr">
        <is>
          <t>JÄMTLANDS LÄN</t>
        </is>
      </c>
      <c r="E622" t="inlineStr">
        <is>
          <t>ÖSTERSUND</t>
        </is>
      </c>
      <c r="G622" t="n">
        <v>5.1</v>
      </c>
      <c r="H622" t="n">
        <v>0</v>
      </c>
      <c r="I622" t="n">
        <v>0</v>
      </c>
      <c r="J622" t="n">
        <v>0</v>
      </c>
      <c r="K622" t="n">
        <v>0</v>
      </c>
      <c r="L622" t="n">
        <v>0</v>
      </c>
      <c r="M622" t="n">
        <v>0</v>
      </c>
      <c r="N622" t="n">
        <v>0</v>
      </c>
      <c r="O622" t="n">
        <v>0</v>
      </c>
      <c r="P622" t="n">
        <v>0</v>
      </c>
      <c r="Q622" t="n">
        <v>0</v>
      </c>
      <c r="R622" s="2" t="inlineStr"/>
    </row>
    <row r="623" ht="15" customHeight="1">
      <c r="A623" t="inlineStr">
        <is>
          <t>A 8609-2026</t>
        </is>
      </c>
      <c r="B623" s="1" t="n">
        <v>46065</v>
      </c>
      <c r="C623" s="1" t="n">
        <v>46076</v>
      </c>
      <c r="D623" t="inlineStr">
        <is>
          <t>JÄMTLANDS LÄN</t>
        </is>
      </c>
      <c r="E623" t="inlineStr">
        <is>
          <t>ÖSTERSUND</t>
        </is>
      </c>
      <c r="G623" t="n">
        <v>5.1</v>
      </c>
      <c r="H623" t="n">
        <v>0</v>
      </c>
      <c r="I623" t="n">
        <v>0</v>
      </c>
      <c r="J623" t="n">
        <v>0</v>
      </c>
      <c r="K623" t="n">
        <v>0</v>
      </c>
      <c r="L623" t="n">
        <v>0</v>
      </c>
      <c r="M623" t="n">
        <v>0</v>
      </c>
      <c r="N623" t="n">
        <v>0</v>
      </c>
      <c r="O623" t="n">
        <v>0</v>
      </c>
      <c r="P623" t="n">
        <v>0</v>
      </c>
      <c r="Q623" t="n">
        <v>0</v>
      </c>
      <c r="R623" s="2" t="inlineStr"/>
    </row>
    <row r="624" ht="15" customHeight="1">
      <c r="A624" t="inlineStr">
        <is>
          <t>A 8634-2026</t>
        </is>
      </c>
      <c r="B624" s="1" t="n">
        <v>46066.35408564815</v>
      </c>
      <c r="C624" s="1" t="n">
        <v>46076</v>
      </c>
      <c r="D624" t="inlineStr">
        <is>
          <t>JÄMTLANDS LÄN</t>
        </is>
      </c>
      <c r="E624" t="inlineStr">
        <is>
          <t>ÖSTERSUND</t>
        </is>
      </c>
      <c r="G624" t="n">
        <v>7.6</v>
      </c>
      <c r="H624" t="n">
        <v>0</v>
      </c>
      <c r="I624" t="n">
        <v>0</v>
      </c>
      <c r="J624" t="n">
        <v>0</v>
      </c>
      <c r="K624" t="n">
        <v>0</v>
      </c>
      <c r="L624" t="n">
        <v>0</v>
      </c>
      <c r="M624" t="n">
        <v>0</v>
      </c>
      <c r="N624" t="n">
        <v>0</v>
      </c>
      <c r="O624" t="n">
        <v>0</v>
      </c>
      <c r="P624" t="n">
        <v>0</v>
      </c>
      <c r="Q624" t="n">
        <v>0</v>
      </c>
      <c r="R624" s="2" t="inlineStr"/>
    </row>
    <row r="625" ht="15" customHeight="1">
      <c r="A625" t="inlineStr">
        <is>
          <t>A 8027-2022</t>
        </is>
      </c>
      <c r="B625" s="1" t="n">
        <v>44609</v>
      </c>
      <c r="C625" s="1" t="n">
        <v>46076</v>
      </c>
      <c r="D625" t="inlineStr">
        <is>
          <t>JÄMTLANDS LÄN</t>
        </is>
      </c>
      <c r="E625" t="inlineStr">
        <is>
          <t>ÖSTERSUND</t>
        </is>
      </c>
      <c r="G625" t="n">
        <v>1.6</v>
      </c>
      <c r="H625" t="n">
        <v>0</v>
      </c>
      <c r="I625" t="n">
        <v>0</v>
      </c>
      <c r="J625" t="n">
        <v>0</v>
      </c>
      <c r="K625" t="n">
        <v>0</v>
      </c>
      <c r="L625" t="n">
        <v>0</v>
      </c>
      <c r="M625" t="n">
        <v>0</v>
      </c>
      <c r="N625" t="n">
        <v>0</v>
      </c>
      <c r="O625" t="n">
        <v>0</v>
      </c>
      <c r="P625" t="n">
        <v>0</v>
      </c>
      <c r="Q625" t="n">
        <v>0</v>
      </c>
      <c r="R625" s="2" t="inlineStr"/>
    </row>
    <row r="626" ht="15" customHeight="1">
      <c r="A626" t="inlineStr">
        <is>
          <t>A 11933-2022</t>
        </is>
      </c>
      <c r="B626" s="1" t="n">
        <v>44635</v>
      </c>
      <c r="C626" s="1" t="n">
        <v>46076</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623-2026</t>
        </is>
      </c>
      <c r="B627" s="1" t="n">
        <v>46024</v>
      </c>
      <c r="C627" s="1" t="n">
        <v>46076</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318-2026</t>
        </is>
      </c>
      <c r="B628" s="1" t="n">
        <v>46027.57334490741</v>
      </c>
      <c r="C628" s="1" t="n">
        <v>46076</v>
      </c>
      <c r="D628" t="inlineStr">
        <is>
          <t>JÄMTLANDS LÄN</t>
        </is>
      </c>
      <c r="E628" t="inlineStr">
        <is>
          <t>ÖSTERSUND</t>
        </is>
      </c>
      <c r="G628" t="n">
        <v>2</v>
      </c>
      <c r="H628" t="n">
        <v>0</v>
      </c>
      <c r="I628" t="n">
        <v>0</v>
      </c>
      <c r="J628" t="n">
        <v>0</v>
      </c>
      <c r="K628" t="n">
        <v>0</v>
      </c>
      <c r="L628" t="n">
        <v>0</v>
      </c>
      <c r="M628" t="n">
        <v>0</v>
      </c>
      <c r="N628" t="n">
        <v>0</v>
      </c>
      <c r="O628" t="n">
        <v>0</v>
      </c>
      <c r="P628" t="n">
        <v>0</v>
      </c>
      <c r="Q628" t="n">
        <v>0</v>
      </c>
      <c r="R628" s="2" t="inlineStr"/>
    </row>
    <row r="629" ht="15" customHeight="1">
      <c r="A629" t="inlineStr">
        <is>
          <t>A 8737-2026</t>
        </is>
      </c>
      <c r="B629" s="1" t="n">
        <v>46066</v>
      </c>
      <c r="C629" s="1" t="n">
        <v>46076</v>
      </c>
      <c r="D629" t="inlineStr">
        <is>
          <t>JÄMTLANDS LÄN</t>
        </is>
      </c>
      <c r="E629" t="inlineStr">
        <is>
          <t>ÖSTERSUND</t>
        </is>
      </c>
      <c r="G629" t="n">
        <v>4.9</v>
      </c>
      <c r="H629" t="n">
        <v>0</v>
      </c>
      <c r="I629" t="n">
        <v>0</v>
      </c>
      <c r="J629" t="n">
        <v>0</v>
      </c>
      <c r="K629" t="n">
        <v>0</v>
      </c>
      <c r="L629" t="n">
        <v>0</v>
      </c>
      <c r="M629" t="n">
        <v>0</v>
      </c>
      <c r="N629" t="n">
        <v>0</v>
      </c>
      <c r="O629" t="n">
        <v>0</v>
      </c>
      <c r="P629" t="n">
        <v>0</v>
      </c>
      <c r="Q629" t="n">
        <v>0</v>
      </c>
      <c r="R629" s="2" t="inlineStr"/>
    </row>
    <row r="630" ht="15" customHeight="1">
      <c r="A630" t="inlineStr">
        <is>
          <t>A 330-2026</t>
        </is>
      </c>
      <c r="B630" s="1" t="n">
        <v>46027.59451388889</v>
      </c>
      <c r="C630" s="1" t="n">
        <v>46076</v>
      </c>
      <c r="D630" t="inlineStr">
        <is>
          <t>JÄMTLANDS LÄN</t>
        </is>
      </c>
      <c r="E630" t="inlineStr">
        <is>
          <t>ÖSTERSUND</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8833-2026</t>
        </is>
      </c>
      <c r="B631" s="1" t="n">
        <v>46066.6365625</v>
      </c>
      <c r="C631" s="1" t="n">
        <v>46076</v>
      </c>
      <c r="D631" t="inlineStr">
        <is>
          <t>JÄMTLANDS LÄN</t>
        </is>
      </c>
      <c r="E631" t="inlineStr">
        <is>
          <t>ÖSTERSUND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8610-2026</t>
        </is>
      </c>
      <c r="B632" s="1" t="n">
        <v>46065</v>
      </c>
      <c r="C632" s="1" t="n">
        <v>46076</v>
      </c>
      <c r="D632" t="inlineStr">
        <is>
          <t>JÄMTLANDS LÄN</t>
        </is>
      </c>
      <c r="E632" t="inlineStr">
        <is>
          <t>ÖSTERSUND</t>
        </is>
      </c>
      <c r="G632" t="n">
        <v>2.1</v>
      </c>
      <c r="H632" t="n">
        <v>0</v>
      </c>
      <c r="I632" t="n">
        <v>0</v>
      </c>
      <c r="J632" t="n">
        <v>0</v>
      </c>
      <c r="K632" t="n">
        <v>0</v>
      </c>
      <c r="L632" t="n">
        <v>0</v>
      </c>
      <c r="M632" t="n">
        <v>0</v>
      </c>
      <c r="N632" t="n">
        <v>0</v>
      </c>
      <c r="O632" t="n">
        <v>0</v>
      </c>
      <c r="P632" t="n">
        <v>0</v>
      </c>
      <c r="Q632" t="n">
        <v>0</v>
      </c>
      <c r="R632" s="2" t="inlineStr"/>
    </row>
    <row r="633" ht="15" customHeight="1">
      <c r="A633" t="inlineStr">
        <is>
          <t>A 9191-2026</t>
        </is>
      </c>
      <c r="B633" s="1" t="n">
        <v>46070.38542824074</v>
      </c>
      <c r="C633" s="1" t="n">
        <v>46076</v>
      </c>
      <c r="D633" t="inlineStr">
        <is>
          <t>JÄMTLANDS LÄN</t>
        </is>
      </c>
      <c r="E633" t="inlineStr">
        <is>
          <t>ÖSTERSUND</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14947-2025</t>
        </is>
      </c>
      <c r="B634" s="1" t="n">
        <v>45743.57336805556</v>
      </c>
      <c r="C634" s="1" t="n">
        <v>46076</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2753-2025</t>
        </is>
      </c>
      <c r="B635" s="1" t="n">
        <v>45677.47302083333</v>
      </c>
      <c r="C635" s="1" t="n">
        <v>46076</v>
      </c>
      <c r="D635" t="inlineStr">
        <is>
          <t>JÄMTLANDS LÄN</t>
        </is>
      </c>
      <c r="E635" t="inlineStr">
        <is>
          <t>ÖSTERSUND</t>
        </is>
      </c>
      <c r="G635" t="n">
        <v>6.4</v>
      </c>
      <c r="H635" t="n">
        <v>0</v>
      </c>
      <c r="I635" t="n">
        <v>0</v>
      </c>
      <c r="J635" t="n">
        <v>0</v>
      </c>
      <c r="K635" t="n">
        <v>0</v>
      </c>
      <c r="L635" t="n">
        <v>0</v>
      </c>
      <c r="M635" t="n">
        <v>0</v>
      </c>
      <c r="N635" t="n">
        <v>0</v>
      </c>
      <c r="O635" t="n">
        <v>0</v>
      </c>
      <c r="P635" t="n">
        <v>0</v>
      </c>
      <c r="Q635" t="n">
        <v>0</v>
      </c>
      <c r="R635" s="2" t="inlineStr"/>
    </row>
    <row r="636" ht="15" customHeight="1">
      <c r="A636" t="inlineStr">
        <is>
          <t>A 45533-2025</t>
        </is>
      </c>
      <c r="B636" s="1" t="n">
        <v>45922</v>
      </c>
      <c r="C636" s="1" t="n">
        <v>46076</v>
      </c>
      <c r="D636" t="inlineStr">
        <is>
          <t>JÄMTLANDS LÄN</t>
        </is>
      </c>
      <c r="E636" t="inlineStr">
        <is>
          <t>ÖSTERSUND</t>
        </is>
      </c>
      <c r="F636" t="inlineStr">
        <is>
          <t>Övriga statliga verk och myndigheter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721-2026</t>
        </is>
      </c>
      <c r="B637" s="1" t="n">
        <v>46029</v>
      </c>
      <c r="C637" s="1" t="n">
        <v>46076</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36406-2023</t>
        </is>
      </c>
      <c r="B638" s="1" t="n">
        <v>45149</v>
      </c>
      <c r="C638" s="1" t="n">
        <v>46076</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485-2026</t>
        </is>
      </c>
      <c r="B639" s="1" t="n">
        <v>46029.41560185186</v>
      </c>
      <c r="C639" s="1" t="n">
        <v>46076</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20400-2024</t>
        </is>
      </c>
      <c r="B640" s="1" t="n">
        <v>45435.55372685185</v>
      </c>
      <c r="C640" s="1" t="n">
        <v>46076</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10056-2026</t>
        </is>
      </c>
      <c r="B641" s="1" t="n">
        <v>46073.61809027778</v>
      </c>
      <c r="C641" s="1" t="n">
        <v>46076</v>
      </c>
      <c r="D641" t="inlineStr">
        <is>
          <t>JÄMTLANDS LÄN</t>
        </is>
      </c>
      <c r="E641" t="inlineStr">
        <is>
          <t>ÖSTERSUND</t>
        </is>
      </c>
      <c r="G641" t="n">
        <v>17.2</v>
      </c>
      <c r="H641" t="n">
        <v>0</v>
      </c>
      <c r="I641" t="n">
        <v>0</v>
      </c>
      <c r="J641" t="n">
        <v>0</v>
      </c>
      <c r="K641" t="n">
        <v>0</v>
      </c>
      <c r="L641" t="n">
        <v>0</v>
      </c>
      <c r="M641" t="n">
        <v>0</v>
      </c>
      <c r="N641" t="n">
        <v>0</v>
      </c>
      <c r="O641" t="n">
        <v>0</v>
      </c>
      <c r="P641" t="n">
        <v>0</v>
      </c>
      <c r="Q641" t="n">
        <v>0</v>
      </c>
      <c r="R641" s="2" t="inlineStr"/>
    </row>
    <row r="642" ht="15" customHeight="1">
      <c r="A642" t="inlineStr">
        <is>
          <t>A 20588-2023</t>
        </is>
      </c>
      <c r="B642" s="1" t="n">
        <v>45057</v>
      </c>
      <c r="C642" s="1" t="n">
        <v>46076</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27689-2024</t>
        </is>
      </c>
      <c r="B643" s="1" t="n">
        <v>45475.3378125</v>
      </c>
      <c r="C643" s="1" t="n">
        <v>46076</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1374-2026</t>
        </is>
      </c>
      <c r="B644" s="1" t="n">
        <v>46031.6141087963</v>
      </c>
      <c r="C644" s="1" t="n">
        <v>46076</v>
      </c>
      <c r="D644" t="inlineStr">
        <is>
          <t>JÄMTLANDS LÄN</t>
        </is>
      </c>
      <c r="E644" t="inlineStr">
        <is>
          <t>ÖSTERSUND</t>
        </is>
      </c>
      <c r="G644" t="n">
        <v>2.7</v>
      </c>
      <c r="H644" t="n">
        <v>0</v>
      </c>
      <c r="I644" t="n">
        <v>0</v>
      </c>
      <c r="J644" t="n">
        <v>0</v>
      </c>
      <c r="K644" t="n">
        <v>0</v>
      </c>
      <c r="L644" t="n">
        <v>0</v>
      </c>
      <c r="M644" t="n">
        <v>0</v>
      </c>
      <c r="N644" t="n">
        <v>0</v>
      </c>
      <c r="O644" t="n">
        <v>0</v>
      </c>
      <c r="P644" t="n">
        <v>0</v>
      </c>
      <c r="Q644" t="n">
        <v>0</v>
      </c>
      <c r="R644" s="2" t="inlineStr"/>
    </row>
    <row r="645" ht="15" customHeight="1">
      <c r="A645" t="inlineStr">
        <is>
          <t>A 51818-2024</t>
        </is>
      </c>
      <c r="B645" s="1" t="n">
        <v>45607.49265046296</v>
      </c>
      <c r="C645" s="1" t="n">
        <v>46076</v>
      </c>
      <c r="D645" t="inlineStr">
        <is>
          <t>JÄMTLANDS LÄN</t>
        </is>
      </c>
      <c r="E645" t="inlineStr">
        <is>
          <t>ÖSTERSUND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10048-2026</t>
        </is>
      </c>
      <c r="B646" s="1" t="n">
        <v>46073.60355324074</v>
      </c>
      <c r="C646" s="1" t="n">
        <v>46076</v>
      </c>
      <c r="D646" t="inlineStr">
        <is>
          <t>JÄMTLANDS LÄN</t>
        </is>
      </c>
      <c r="E646" t="inlineStr">
        <is>
          <t>ÖSTERSUND</t>
        </is>
      </c>
      <c r="G646" t="n">
        <v>5.7</v>
      </c>
      <c r="H646" t="n">
        <v>0</v>
      </c>
      <c r="I646" t="n">
        <v>0</v>
      </c>
      <c r="J646" t="n">
        <v>0</v>
      </c>
      <c r="K646" t="n">
        <v>0</v>
      </c>
      <c r="L646" t="n">
        <v>0</v>
      </c>
      <c r="M646" t="n">
        <v>0</v>
      </c>
      <c r="N646" t="n">
        <v>0</v>
      </c>
      <c r="O646" t="n">
        <v>0</v>
      </c>
      <c r="P646" t="n">
        <v>0</v>
      </c>
      <c r="Q646" t="n">
        <v>0</v>
      </c>
      <c r="R646" s="2" t="inlineStr"/>
    </row>
    <row r="647" ht="15" customHeight="1">
      <c r="A647" t="inlineStr">
        <is>
          <t>A 9958-2026</t>
        </is>
      </c>
      <c r="B647" s="1" t="n">
        <v>46073.48990740741</v>
      </c>
      <c r="C647" s="1" t="n">
        <v>46076</v>
      </c>
      <c r="D647" t="inlineStr">
        <is>
          <t>JÄMTLANDS LÄN</t>
        </is>
      </c>
      <c r="E647" t="inlineStr">
        <is>
          <t>ÖSTERSUND</t>
        </is>
      </c>
      <c r="G647" t="n">
        <v>3.2</v>
      </c>
      <c r="H647" t="n">
        <v>0</v>
      </c>
      <c r="I647" t="n">
        <v>0</v>
      </c>
      <c r="J647" t="n">
        <v>0</v>
      </c>
      <c r="K647" t="n">
        <v>0</v>
      </c>
      <c r="L647" t="n">
        <v>0</v>
      </c>
      <c r="M647" t="n">
        <v>0</v>
      </c>
      <c r="N647" t="n">
        <v>0</v>
      </c>
      <c r="O647" t="n">
        <v>0</v>
      </c>
      <c r="P647" t="n">
        <v>0</v>
      </c>
      <c r="Q647" t="n">
        <v>0</v>
      </c>
      <c r="R647" s="2" t="inlineStr"/>
    </row>
    <row r="648" ht="15" customHeight="1">
      <c r="A648" t="inlineStr">
        <is>
          <t>A 9949-2026</t>
        </is>
      </c>
      <c r="B648" s="1" t="n">
        <v>46073.47060185186</v>
      </c>
      <c r="C648" s="1" t="n">
        <v>46076</v>
      </c>
      <c r="D648" t="inlineStr">
        <is>
          <t>JÄMTLANDS LÄN</t>
        </is>
      </c>
      <c r="E648" t="inlineStr">
        <is>
          <t>ÖSTERSUND</t>
        </is>
      </c>
      <c r="G648" t="n">
        <v>2.8</v>
      </c>
      <c r="H648" t="n">
        <v>0</v>
      </c>
      <c r="I648" t="n">
        <v>0</v>
      </c>
      <c r="J648" t="n">
        <v>0</v>
      </c>
      <c r="K648" t="n">
        <v>0</v>
      </c>
      <c r="L648" t="n">
        <v>0</v>
      </c>
      <c r="M648" t="n">
        <v>0</v>
      </c>
      <c r="N648" t="n">
        <v>0</v>
      </c>
      <c r="O648" t="n">
        <v>0</v>
      </c>
      <c r="P648" t="n">
        <v>0</v>
      </c>
      <c r="Q648" t="n">
        <v>0</v>
      </c>
      <c r="R648" s="2" t="inlineStr"/>
    </row>
    <row r="649" ht="15" customHeight="1">
      <c r="A649" t="inlineStr">
        <is>
          <t>A 51479-2023</t>
        </is>
      </c>
      <c r="B649" s="1" t="n">
        <v>45221.92429398148</v>
      </c>
      <c r="C649" s="1" t="n">
        <v>46076</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10058-2026</t>
        </is>
      </c>
      <c r="B650" s="1" t="n">
        <v>46073.62262731481</v>
      </c>
      <c r="C650" s="1" t="n">
        <v>46076</v>
      </c>
      <c r="D650" t="inlineStr">
        <is>
          <t>JÄMTLANDS LÄN</t>
        </is>
      </c>
      <c r="E650" t="inlineStr">
        <is>
          <t>ÖSTERSUND</t>
        </is>
      </c>
      <c r="G650" t="n">
        <v>3.2</v>
      </c>
      <c r="H650" t="n">
        <v>0</v>
      </c>
      <c r="I650" t="n">
        <v>0</v>
      </c>
      <c r="J650" t="n">
        <v>0</v>
      </c>
      <c r="K650" t="n">
        <v>0</v>
      </c>
      <c r="L650" t="n">
        <v>0</v>
      </c>
      <c r="M650" t="n">
        <v>0</v>
      </c>
      <c r="N650" t="n">
        <v>0</v>
      </c>
      <c r="O650" t="n">
        <v>0</v>
      </c>
      <c r="P650" t="n">
        <v>0</v>
      </c>
      <c r="Q650" t="n">
        <v>0</v>
      </c>
      <c r="R650" s="2" t="inlineStr"/>
    </row>
    <row r="651" ht="15" customHeight="1">
      <c r="A651" t="inlineStr">
        <is>
          <t>A 9819-2026</t>
        </is>
      </c>
      <c r="B651" s="1" t="n">
        <v>46072.6378587963</v>
      </c>
      <c r="C651" s="1" t="n">
        <v>46076</v>
      </c>
      <c r="D651" t="inlineStr">
        <is>
          <t>JÄMTLANDS LÄN</t>
        </is>
      </c>
      <c r="E651" t="inlineStr">
        <is>
          <t>ÖSTERSUND</t>
        </is>
      </c>
      <c r="G651" t="n">
        <v>5.9</v>
      </c>
      <c r="H651" t="n">
        <v>0</v>
      </c>
      <c r="I651" t="n">
        <v>0</v>
      </c>
      <c r="J651" t="n">
        <v>0</v>
      </c>
      <c r="K651" t="n">
        <v>0</v>
      </c>
      <c r="L651" t="n">
        <v>0</v>
      </c>
      <c r="M651" t="n">
        <v>0</v>
      </c>
      <c r="N651" t="n">
        <v>0</v>
      </c>
      <c r="O651" t="n">
        <v>0</v>
      </c>
      <c r="P651" t="n">
        <v>0</v>
      </c>
      <c r="Q651" t="n">
        <v>0</v>
      </c>
      <c r="R651" s="2" t="inlineStr"/>
    </row>
    <row r="652" ht="15" customHeight="1">
      <c r="A652" t="inlineStr">
        <is>
          <t>A 2978-2024</t>
        </is>
      </c>
      <c r="B652" s="1" t="n">
        <v>45315</v>
      </c>
      <c r="C652" s="1" t="n">
        <v>46076</v>
      </c>
      <c r="D652" t="inlineStr">
        <is>
          <t>JÄMTLANDS LÄN</t>
        </is>
      </c>
      <c r="E652" t="inlineStr">
        <is>
          <t>ÖSTERSUND</t>
        </is>
      </c>
      <c r="G652" t="n">
        <v>1.7</v>
      </c>
      <c r="H652" t="n">
        <v>0</v>
      </c>
      <c r="I652" t="n">
        <v>0</v>
      </c>
      <c r="J652" t="n">
        <v>0</v>
      </c>
      <c r="K652" t="n">
        <v>0</v>
      </c>
      <c r="L652" t="n">
        <v>0</v>
      </c>
      <c r="M652" t="n">
        <v>0</v>
      </c>
      <c r="N652" t="n">
        <v>0</v>
      </c>
      <c r="O652" t="n">
        <v>0</v>
      </c>
      <c r="P652" t="n">
        <v>0</v>
      </c>
      <c r="Q652" t="n">
        <v>0</v>
      </c>
      <c r="R652" s="2" t="inlineStr"/>
    </row>
    <row r="653" ht="15" customHeight="1">
      <c r="A653" t="inlineStr">
        <is>
          <t>A 28181-2024</t>
        </is>
      </c>
      <c r="B653" s="1" t="n">
        <v>45477.28482638889</v>
      </c>
      <c r="C653" s="1" t="n">
        <v>46076</v>
      </c>
      <c r="D653" t="inlineStr">
        <is>
          <t>JÄMTLANDS LÄN</t>
        </is>
      </c>
      <c r="E653" t="inlineStr">
        <is>
          <t>ÖSTERSUND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61002-2024</t>
        </is>
      </c>
      <c r="B654" s="1" t="n">
        <v>45645.44158564815</v>
      </c>
      <c r="C654" s="1" t="n">
        <v>46076</v>
      </c>
      <c r="D654" t="inlineStr">
        <is>
          <t>JÄMTLANDS LÄN</t>
        </is>
      </c>
      <c r="E654" t="inlineStr">
        <is>
          <t>ÖSTERSUND</t>
        </is>
      </c>
      <c r="G654" t="n">
        <v>4.1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45166.9569675926</v>
      </c>
      <c r="C655" s="1" t="n">
        <v>46076</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54883-2023</t>
        </is>
      </c>
      <c r="B656" s="1" t="n">
        <v>45236.62300925926</v>
      </c>
      <c r="C656" s="1" t="n">
        <v>46076</v>
      </c>
      <c r="D656" t="inlineStr">
        <is>
          <t>JÄMTLANDS LÄN</t>
        </is>
      </c>
      <c r="E656" t="inlineStr">
        <is>
          <t>ÖSTERSUND</t>
        </is>
      </c>
      <c r="F656" t="inlineStr">
        <is>
          <t>Övriga Aktiebolag</t>
        </is>
      </c>
      <c r="G656" t="n">
        <v>3.2</v>
      </c>
      <c r="H656" t="n">
        <v>0</v>
      </c>
      <c r="I656" t="n">
        <v>0</v>
      </c>
      <c r="J656" t="n">
        <v>0</v>
      </c>
      <c r="K656" t="n">
        <v>0</v>
      </c>
      <c r="L656" t="n">
        <v>0</v>
      </c>
      <c r="M656" t="n">
        <v>0</v>
      </c>
      <c r="N656" t="n">
        <v>0</v>
      </c>
      <c r="O656" t="n">
        <v>0</v>
      </c>
      <c r="P656" t="n">
        <v>0</v>
      </c>
      <c r="Q656" t="n">
        <v>0</v>
      </c>
      <c r="R656" s="2" t="inlineStr"/>
    </row>
    <row r="657" ht="15" customHeight="1">
      <c r="A657" t="inlineStr">
        <is>
          <t>A 2730-2025</t>
        </is>
      </c>
      <c r="B657" s="1" t="n">
        <v>45677.44393518518</v>
      </c>
      <c r="C657" s="1" t="n">
        <v>46076</v>
      </c>
      <c r="D657" t="inlineStr">
        <is>
          <t>JÄMTLANDS LÄN</t>
        </is>
      </c>
      <c r="E657" t="inlineStr">
        <is>
          <t>ÖSTERSUND</t>
        </is>
      </c>
      <c r="G657" t="n">
        <v>2.5</v>
      </c>
      <c r="H657" t="n">
        <v>0</v>
      </c>
      <c r="I657" t="n">
        <v>0</v>
      </c>
      <c r="J657" t="n">
        <v>0</v>
      </c>
      <c r="K657" t="n">
        <v>0</v>
      </c>
      <c r="L657" t="n">
        <v>0</v>
      </c>
      <c r="M657" t="n">
        <v>0</v>
      </c>
      <c r="N657" t="n">
        <v>0</v>
      </c>
      <c r="O657" t="n">
        <v>0</v>
      </c>
      <c r="P657" t="n">
        <v>0</v>
      </c>
      <c r="Q657" t="n">
        <v>0</v>
      </c>
      <c r="R657" s="2" t="inlineStr"/>
    </row>
    <row r="658" ht="15" customHeight="1">
      <c r="A658" t="inlineStr">
        <is>
          <t>A 62225-2022</t>
        </is>
      </c>
      <c r="B658" s="1" t="n">
        <v>44922</v>
      </c>
      <c r="C658" s="1" t="n">
        <v>46076</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8216-2025</t>
        </is>
      </c>
      <c r="B659" s="1" t="n">
        <v>45708.44947916667</v>
      </c>
      <c r="C659" s="1" t="n">
        <v>46076</v>
      </c>
      <c r="D659" t="inlineStr">
        <is>
          <t>JÄMTLANDS LÄN</t>
        </is>
      </c>
      <c r="E659" t="inlineStr">
        <is>
          <t>ÖSTERSUND</t>
        </is>
      </c>
      <c r="F659" t="inlineStr">
        <is>
          <t>Övriga Aktiebolag</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20634-2023</t>
        </is>
      </c>
      <c r="B660" s="1" t="n">
        <v>45057.9441087963</v>
      </c>
      <c r="C660" s="1" t="n">
        <v>46076</v>
      </c>
      <c r="D660" t="inlineStr">
        <is>
          <t>JÄMTLANDS LÄN</t>
        </is>
      </c>
      <c r="E660" t="inlineStr">
        <is>
          <t>ÖSTERSUND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10306-2023</t>
        </is>
      </c>
      <c r="B661" s="1" t="n">
        <v>44986.94196759259</v>
      </c>
      <c r="C661" s="1" t="n">
        <v>46076</v>
      </c>
      <c r="D661" t="inlineStr">
        <is>
          <t>JÄMTLANDS LÄN</t>
        </is>
      </c>
      <c r="E661" t="inlineStr">
        <is>
          <t>ÖSTERSUND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16306-2025</t>
        </is>
      </c>
      <c r="B662" s="1" t="n">
        <v>45751.34664351852</v>
      </c>
      <c r="C662" s="1" t="n">
        <v>46076</v>
      </c>
      <c r="D662" t="inlineStr">
        <is>
          <t>JÄMTLANDS LÄN</t>
        </is>
      </c>
      <c r="E662" t="inlineStr">
        <is>
          <t>ÖSTERSUND</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26321-2022</t>
        </is>
      </c>
      <c r="B663" s="1" t="n">
        <v>44735</v>
      </c>
      <c r="C663" s="1" t="n">
        <v>46076</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43252-2023</t>
        </is>
      </c>
      <c r="B664" s="1" t="n">
        <v>45183</v>
      </c>
      <c r="C664" s="1" t="n">
        <v>46076</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22126-2021</t>
        </is>
      </c>
      <c r="B665" s="1" t="n">
        <v>44323</v>
      </c>
      <c r="C665" s="1" t="n">
        <v>46076</v>
      </c>
      <c r="D665" t="inlineStr">
        <is>
          <t>JÄMTLANDS LÄN</t>
        </is>
      </c>
      <c r="E665" t="inlineStr">
        <is>
          <t>ÖSTERSUND</t>
        </is>
      </c>
      <c r="G665" t="n">
        <v>1.4</v>
      </c>
      <c r="H665" t="n">
        <v>0</v>
      </c>
      <c r="I665" t="n">
        <v>0</v>
      </c>
      <c r="J665" t="n">
        <v>0</v>
      </c>
      <c r="K665" t="n">
        <v>0</v>
      </c>
      <c r="L665" t="n">
        <v>0</v>
      </c>
      <c r="M665" t="n">
        <v>0</v>
      </c>
      <c r="N665" t="n">
        <v>0</v>
      </c>
      <c r="O665" t="n">
        <v>0</v>
      </c>
      <c r="P665" t="n">
        <v>0</v>
      </c>
      <c r="Q665" t="n">
        <v>0</v>
      </c>
      <c r="R665" s="2" t="inlineStr"/>
    </row>
    <row r="666" ht="15" customHeight="1">
      <c r="A666" t="inlineStr">
        <is>
          <t>A 30217-2022</t>
        </is>
      </c>
      <c r="B666" s="1" t="n">
        <v>44757.92671296297</v>
      </c>
      <c r="C666" s="1" t="n">
        <v>46076</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55140-2023</t>
        </is>
      </c>
      <c r="B667" s="1" t="n">
        <v>45237.50966435186</v>
      </c>
      <c r="C667" s="1" t="n">
        <v>46076</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54663-2022</t>
        </is>
      </c>
      <c r="B668" s="1" t="n">
        <v>44883.44737268519</v>
      </c>
      <c r="C668" s="1" t="n">
        <v>46076</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11052-2024</t>
        </is>
      </c>
      <c r="B669" s="1" t="n">
        <v>45370</v>
      </c>
      <c r="C669" s="1" t="n">
        <v>46076</v>
      </c>
      <c r="D669" t="inlineStr">
        <is>
          <t>JÄMTLANDS LÄN</t>
        </is>
      </c>
      <c r="E669" t="inlineStr">
        <is>
          <t>ÖSTERSUND</t>
        </is>
      </c>
      <c r="G669" t="n">
        <v>2.3</v>
      </c>
      <c r="H669" t="n">
        <v>0</v>
      </c>
      <c r="I669" t="n">
        <v>0</v>
      </c>
      <c r="J669" t="n">
        <v>0</v>
      </c>
      <c r="K669" t="n">
        <v>0</v>
      </c>
      <c r="L669" t="n">
        <v>0</v>
      </c>
      <c r="M669" t="n">
        <v>0</v>
      </c>
      <c r="N669" t="n">
        <v>0</v>
      </c>
      <c r="O669" t="n">
        <v>0</v>
      </c>
      <c r="P669" t="n">
        <v>0</v>
      </c>
      <c r="Q669" t="n">
        <v>0</v>
      </c>
      <c r="R669" s="2" t="inlineStr"/>
    </row>
    <row r="670" ht="15" customHeight="1">
      <c r="A670" t="inlineStr">
        <is>
          <t>A 37597-2023</t>
        </is>
      </c>
      <c r="B670" s="1" t="n">
        <v>45159.42180555555</v>
      </c>
      <c r="C670" s="1" t="n">
        <v>46076</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55365-2024</t>
        </is>
      </c>
      <c r="B671" s="1" t="n">
        <v>45621.86827546296</v>
      </c>
      <c r="C671" s="1" t="n">
        <v>46076</v>
      </c>
      <c r="D671" t="inlineStr">
        <is>
          <t>JÄMTLANDS LÄN</t>
        </is>
      </c>
      <c r="E671" t="inlineStr">
        <is>
          <t>ÖSTERSUND</t>
        </is>
      </c>
      <c r="G671" t="n">
        <v>1.6</v>
      </c>
      <c r="H671" t="n">
        <v>0</v>
      </c>
      <c r="I671" t="n">
        <v>0</v>
      </c>
      <c r="J671" t="n">
        <v>0</v>
      </c>
      <c r="K671" t="n">
        <v>0</v>
      </c>
      <c r="L671" t="n">
        <v>0</v>
      </c>
      <c r="M671" t="n">
        <v>0</v>
      </c>
      <c r="N671" t="n">
        <v>0</v>
      </c>
      <c r="O671" t="n">
        <v>0</v>
      </c>
      <c r="P671" t="n">
        <v>0</v>
      </c>
      <c r="Q671" t="n">
        <v>0</v>
      </c>
      <c r="R671" s="2" t="inlineStr"/>
    </row>
    <row r="672" ht="15" customHeight="1">
      <c r="A672" t="inlineStr">
        <is>
          <t>A 44048-2024</t>
        </is>
      </c>
      <c r="B672" s="1" t="n">
        <v>45572.59430555555</v>
      </c>
      <c r="C672" s="1" t="n">
        <v>46076</v>
      </c>
      <c r="D672" t="inlineStr">
        <is>
          <t>JÄMTLANDS LÄN</t>
        </is>
      </c>
      <c r="E672" t="inlineStr">
        <is>
          <t>ÖSTERSUND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18429-2025</t>
        </is>
      </c>
      <c r="B673" s="1" t="n">
        <v>45762.63375</v>
      </c>
      <c r="C673" s="1" t="n">
        <v>46076</v>
      </c>
      <c r="D673" t="inlineStr">
        <is>
          <t>JÄMTLANDS LÄN</t>
        </is>
      </c>
      <c r="E673" t="inlineStr">
        <is>
          <t>ÖSTERSUND</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60349-2024</t>
        </is>
      </c>
      <c r="B674" s="1" t="n">
        <v>45643.42986111111</v>
      </c>
      <c r="C674" s="1" t="n">
        <v>46076</v>
      </c>
      <c r="D674" t="inlineStr">
        <is>
          <t>JÄMTLANDS LÄN</t>
        </is>
      </c>
      <c r="E674" t="inlineStr">
        <is>
          <t>ÖSTERSUND</t>
        </is>
      </c>
      <c r="F674" t="inlineStr">
        <is>
          <t>Sveaskog</t>
        </is>
      </c>
      <c r="G674" t="n">
        <v>16.6</v>
      </c>
      <c r="H674" t="n">
        <v>0</v>
      </c>
      <c r="I674" t="n">
        <v>0</v>
      </c>
      <c r="J674" t="n">
        <v>0</v>
      </c>
      <c r="K674" t="n">
        <v>0</v>
      </c>
      <c r="L674" t="n">
        <v>0</v>
      </c>
      <c r="M674" t="n">
        <v>0</v>
      </c>
      <c r="N674" t="n">
        <v>0</v>
      </c>
      <c r="O674" t="n">
        <v>0</v>
      </c>
      <c r="P674" t="n">
        <v>0</v>
      </c>
      <c r="Q674" t="n">
        <v>0</v>
      </c>
      <c r="R674" s="2" t="inlineStr"/>
    </row>
    <row r="675" ht="15" customHeight="1">
      <c r="A675" t="inlineStr">
        <is>
          <t>A 17574-2022</t>
        </is>
      </c>
      <c r="B675" s="1" t="n">
        <v>44679.92574074074</v>
      </c>
      <c r="C675" s="1" t="n">
        <v>46076</v>
      </c>
      <c r="D675" t="inlineStr">
        <is>
          <t>JÄMTLANDS LÄN</t>
        </is>
      </c>
      <c r="E675" t="inlineStr">
        <is>
          <t>ÖSTERSUND</t>
        </is>
      </c>
      <c r="G675" t="n">
        <v>0.8</v>
      </c>
      <c r="H675" t="n">
        <v>0</v>
      </c>
      <c r="I675" t="n">
        <v>0</v>
      </c>
      <c r="J675" t="n">
        <v>0</v>
      </c>
      <c r="K675" t="n">
        <v>0</v>
      </c>
      <c r="L675" t="n">
        <v>0</v>
      </c>
      <c r="M675" t="n">
        <v>0</v>
      </c>
      <c r="N675" t="n">
        <v>0</v>
      </c>
      <c r="O675" t="n">
        <v>0</v>
      </c>
      <c r="P675" t="n">
        <v>0</v>
      </c>
      <c r="Q675" t="n">
        <v>0</v>
      </c>
      <c r="R675" s="2" t="inlineStr"/>
    </row>
    <row r="676" ht="15" customHeight="1">
      <c r="A676" t="inlineStr">
        <is>
          <t>A 61332-2024</t>
        </is>
      </c>
      <c r="B676" s="1" t="n">
        <v>45646.35685185185</v>
      </c>
      <c r="C676" s="1" t="n">
        <v>46076</v>
      </c>
      <c r="D676" t="inlineStr">
        <is>
          <t>JÄMTLANDS LÄN</t>
        </is>
      </c>
      <c r="E676" t="inlineStr">
        <is>
          <t>ÖSTERSUND</t>
        </is>
      </c>
      <c r="G676" t="n">
        <v>3.2</v>
      </c>
      <c r="H676" t="n">
        <v>0</v>
      </c>
      <c r="I676" t="n">
        <v>0</v>
      </c>
      <c r="J676" t="n">
        <v>0</v>
      </c>
      <c r="K676" t="n">
        <v>0</v>
      </c>
      <c r="L676" t="n">
        <v>0</v>
      </c>
      <c r="M676" t="n">
        <v>0</v>
      </c>
      <c r="N676" t="n">
        <v>0</v>
      </c>
      <c r="O676" t="n">
        <v>0</v>
      </c>
      <c r="P676" t="n">
        <v>0</v>
      </c>
      <c r="Q676" t="n">
        <v>0</v>
      </c>
      <c r="R676" s="2" t="inlineStr"/>
    </row>
    <row r="677" ht="15" customHeight="1">
      <c r="A677" t="inlineStr">
        <is>
          <t>A 32998-2021</t>
        </is>
      </c>
      <c r="B677" s="1" t="n">
        <v>44375</v>
      </c>
      <c r="C677" s="1" t="n">
        <v>46076</v>
      </c>
      <c r="D677" t="inlineStr">
        <is>
          <t>JÄMTLANDS LÄN</t>
        </is>
      </c>
      <c r="E677" t="inlineStr">
        <is>
          <t>ÖSTERSUND</t>
        </is>
      </c>
      <c r="G677" t="n">
        <v>0.1</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46076</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33831-2021</t>
        </is>
      </c>
      <c r="B679" s="1" t="n">
        <v>44378</v>
      </c>
      <c r="C679" s="1" t="n">
        <v>46076</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51936-2023</t>
        </is>
      </c>
      <c r="B680" s="1" t="n">
        <v>45223.5036574074</v>
      </c>
      <c r="C680" s="1" t="n">
        <v>46076</v>
      </c>
      <c r="D680" t="inlineStr">
        <is>
          <t>JÄMTLANDS LÄN</t>
        </is>
      </c>
      <c r="E680" t="inlineStr">
        <is>
          <t>ÖSTERSUND</t>
        </is>
      </c>
      <c r="G680" t="n">
        <v>8.4</v>
      </c>
      <c r="H680" t="n">
        <v>0</v>
      </c>
      <c r="I680" t="n">
        <v>0</v>
      </c>
      <c r="J680" t="n">
        <v>0</v>
      </c>
      <c r="K680" t="n">
        <v>0</v>
      </c>
      <c r="L680" t="n">
        <v>0</v>
      </c>
      <c r="M680" t="n">
        <v>0</v>
      </c>
      <c r="N680" t="n">
        <v>0</v>
      </c>
      <c r="O680" t="n">
        <v>0</v>
      </c>
      <c r="P680" t="n">
        <v>0</v>
      </c>
      <c r="Q680" t="n">
        <v>0</v>
      </c>
      <c r="R680" s="2" t="inlineStr"/>
    </row>
    <row r="681" ht="15" customHeight="1">
      <c r="A681" t="inlineStr">
        <is>
          <t>A 54973-2023</t>
        </is>
      </c>
      <c r="B681" s="1" t="n">
        <v>45236.92776620371</v>
      </c>
      <c r="C681" s="1" t="n">
        <v>46076</v>
      </c>
      <c r="D681" t="inlineStr">
        <is>
          <t>JÄMTLANDS LÄN</t>
        </is>
      </c>
      <c r="E681" t="inlineStr">
        <is>
          <t>ÖSTERSUND</t>
        </is>
      </c>
      <c r="G681" t="n">
        <v>15.4</v>
      </c>
      <c r="H681" t="n">
        <v>0</v>
      </c>
      <c r="I681" t="n">
        <v>0</v>
      </c>
      <c r="J681" t="n">
        <v>0</v>
      </c>
      <c r="K681" t="n">
        <v>0</v>
      </c>
      <c r="L681" t="n">
        <v>0</v>
      </c>
      <c r="M681" t="n">
        <v>0</v>
      </c>
      <c r="N681" t="n">
        <v>0</v>
      </c>
      <c r="O681" t="n">
        <v>0</v>
      </c>
      <c r="P681" t="n">
        <v>0</v>
      </c>
      <c r="Q681" t="n">
        <v>0</v>
      </c>
      <c r="R681" s="2" t="inlineStr"/>
    </row>
    <row r="682" ht="15" customHeight="1">
      <c r="A682" t="inlineStr">
        <is>
          <t>A 28179-2024</t>
        </is>
      </c>
      <c r="B682" s="1" t="n">
        <v>45477.26746527778</v>
      </c>
      <c r="C682" s="1" t="n">
        <v>46076</v>
      </c>
      <c r="D682" t="inlineStr">
        <is>
          <t>JÄMTLANDS LÄN</t>
        </is>
      </c>
      <c r="E682" t="inlineStr">
        <is>
          <t>ÖSTERSUND</t>
        </is>
      </c>
      <c r="G682" t="n">
        <v>2.2</v>
      </c>
      <c r="H682" t="n">
        <v>0</v>
      </c>
      <c r="I682" t="n">
        <v>0</v>
      </c>
      <c r="J682" t="n">
        <v>0</v>
      </c>
      <c r="K682" t="n">
        <v>0</v>
      </c>
      <c r="L682" t="n">
        <v>0</v>
      </c>
      <c r="M682" t="n">
        <v>0</v>
      </c>
      <c r="N682" t="n">
        <v>0</v>
      </c>
      <c r="O682" t="n">
        <v>0</v>
      </c>
      <c r="P682" t="n">
        <v>0</v>
      </c>
      <c r="Q682" t="n">
        <v>0</v>
      </c>
      <c r="R682" s="2" t="inlineStr"/>
    </row>
    <row r="683" ht="15" customHeight="1">
      <c r="A683" t="inlineStr">
        <is>
          <t>A 13921-2023</t>
        </is>
      </c>
      <c r="B683" s="1" t="n">
        <v>45008</v>
      </c>
      <c r="C683" s="1" t="n">
        <v>46076</v>
      </c>
      <c r="D683" t="inlineStr">
        <is>
          <t>JÄMTLANDS LÄN</t>
        </is>
      </c>
      <c r="E683" t="inlineStr">
        <is>
          <t>ÖSTERSUND</t>
        </is>
      </c>
      <c r="G683" t="n">
        <v>0.3</v>
      </c>
      <c r="H683" t="n">
        <v>0</v>
      </c>
      <c r="I683" t="n">
        <v>0</v>
      </c>
      <c r="J683" t="n">
        <v>0</v>
      </c>
      <c r="K683" t="n">
        <v>0</v>
      </c>
      <c r="L683" t="n">
        <v>0</v>
      </c>
      <c r="M683" t="n">
        <v>0</v>
      </c>
      <c r="N683" t="n">
        <v>0</v>
      </c>
      <c r="O683" t="n">
        <v>0</v>
      </c>
      <c r="P683" t="n">
        <v>0</v>
      </c>
      <c r="Q683" t="n">
        <v>0</v>
      </c>
      <c r="R683" s="2" t="inlineStr"/>
    </row>
    <row r="684" ht="15" customHeight="1">
      <c r="A684" t="inlineStr">
        <is>
          <t>A 207-2025</t>
        </is>
      </c>
      <c r="B684" s="1" t="n">
        <v>45660.32672453704</v>
      </c>
      <c r="C684" s="1" t="n">
        <v>46076</v>
      </c>
      <c r="D684" t="inlineStr">
        <is>
          <t>JÄMTLANDS LÄN</t>
        </is>
      </c>
      <c r="E684" t="inlineStr">
        <is>
          <t>ÖSTERSUND</t>
        </is>
      </c>
      <c r="G684" t="n">
        <v>4</v>
      </c>
      <c r="H684" t="n">
        <v>0</v>
      </c>
      <c r="I684" t="n">
        <v>0</v>
      </c>
      <c r="J684" t="n">
        <v>0</v>
      </c>
      <c r="K684" t="n">
        <v>0</v>
      </c>
      <c r="L684" t="n">
        <v>0</v>
      </c>
      <c r="M684" t="n">
        <v>0</v>
      </c>
      <c r="N684" t="n">
        <v>0</v>
      </c>
      <c r="O684" t="n">
        <v>0</v>
      </c>
      <c r="P684" t="n">
        <v>0</v>
      </c>
      <c r="Q684" t="n">
        <v>0</v>
      </c>
      <c r="R684" s="2" t="inlineStr"/>
    </row>
    <row r="685" ht="15" customHeight="1">
      <c r="A685" t="inlineStr">
        <is>
          <t>A 13738-2025</t>
        </is>
      </c>
      <c r="B685" s="1" t="n">
        <v>45737.40131944444</v>
      </c>
      <c r="C685" s="1" t="n">
        <v>46076</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18577-2025</t>
        </is>
      </c>
      <c r="B686" s="1" t="n">
        <v>45763</v>
      </c>
      <c r="C686" s="1" t="n">
        <v>46076</v>
      </c>
      <c r="D686" t="inlineStr">
        <is>
          <t>JÄMTLANDS LÄN</t>
        </is>
      </c>
      <c r="E686" t="inlineStr">
        <is>
          <t>ÖSTERSUND</t>
        </is>
      </c>
      <c r="G686" t="n">
        <v>3.5</v>
      </c>
      <c r="H686" t="n">
        <v>0</v>
      </c>
      <c r="I686" t="n">
        <v>0</v>
      </c>
      <c r="J686" t="n">
        <v>0</v>
      </c>
      <c r="K686" t="n">
        <v>0</v>
      </c>
      <c r="L686" t="n">
        <v>0</v>
      </c>
      <c r="M686" t="n">
        <v>0</v>
      </c>
      <c r="N686" t="n">
        <v>0</v>
      </c>
      <c r="O686" t="n">
        <v>0</v>
      </c>
      <c r="P686" t="n">
        <v>0</v>
      </c>
      <c r="Q686" t="n">
        <v>0</v>
      </c>
      <c r="R686" s="2" t="inlineStr"/>
    </row>
    <row r="687" ht="15" customHeight="1">
      <c r="A687" t="inlineStr">
        <is>
          <t>A 18578-2025</t>
        </is>
      </c>
      <c r="B687" s="1" t="n">
        <v>45763</v>
      </c>
      <c r="C687" s="1" t="n">
        <v>46076</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59691-2024</t>
        </is>
      </c>
      <c r="B688" s="1" t="n">
        <v>45639.40684027778</v>
      </c>
      <c r="C688" s="1" t="n">
        <v>46076</v>
      </c>
      <c r="D688" t="inlineStr">
        <is>
          <t>JÄMTLANDS LÄN</t>
        </is>
      </c>
      <c r="E688" t="inlineStr">
        <is>
          <t>ÖSTERSUND</t>
        </is>
      </c>
      <c r="F688" t="inlineStr">
        <is>
          <t>SCA</t>
        </is>
      </c>
      <c r="G688" t="n">
        <v>15.9</v>
      </c>
      <c r="H688" t="n">
        <v>0</v>
      </c>
      <c r="I688" t="n">
        <v>0</v>
      </c>
      <c r="J688" t="n">
        <v>0</v>
      </c>
      <c r="K688" t="n">
        <v>0</v>
      </c>
      <c r="L688" t="n">
        <v>0</v>
      </c>
      <c r="M688" t="n">
        <v>0</v>
      </c>
      <c r="N688" t="n">
        <v>0</v>
      </c>
      <c r="O688" t="n">
        <v>0</v>
      </c>
      <c r="P688" t="n">
        <v>0</v>
      </c>
      <c r="Q688" t="n">
        <v>0</v>
      </c>
      <c r="R688" s="2" t="inlineStr"/>
    </row>
    <row r="689" ht="15" customHeight="1">
      <c r="A689" t="inlineStr">
        <is>
          <t>A 13655-2025</t>
        </is>
      </c>
      <c r="B689" s="1" t="n">
        <v>45736.71956018519</v>
      </c>
      <c r="C689" s="1" t="n">
        <v>46076</v>
      </c>
      <c r="D689" t="inlineStr">
        <is>
          <t>JÄMTLANDS LÄN</t>
        </is>
      </c>
      <c r="E689" t="inlineStr">
        <is>
          <t>ÖSTERSUND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23563-2022</t>
        </is>
      </c>
      <c r="B690" s="1" t="n">
        <v>44721.47241898148</v>
      </c>
      <c r="C690" s="1" t="n">
        <v>46076</v>
      </c>
      <c r="D690" t="inlineStr">
        <is>
          <t>JÄMTLANDS LÄN</t>
        </is>
      </c>
      <c r="E690" t="inlineStr">
        <is>
          <t>ÖSTERSUND</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27118-2023</t>
        </is>
      </c>
      <c r="B691" s="1" t="n">
        <v>45096</v>
      </c>
      <c r="C691" s="1" t="n">
        <v>46076</v>
      </c>
      <c r="D691" t="inlineStr">
        <is>
          <t>JÄMTLANDS LÄN</t>
        </is>
      </c>
      <c r="E691" t="inlineStr">
        <is>
          <t>ÖSTERSUND</t>
        </is>
      </c>
      <c r="G691" t="n">
        <v>1.2</v>
      </c>
      <c r="H691" t="n">
        <v>0</v>
      </c>
      <c r="I691" t="n">
        <v>0</v>
      </c>
      <c r="J691" t="n">
        <v>0</v>
      </c>
      <c r="K691" t="n">
        <v>0</v>
      </c>
      <c r="L691" t="n">
        <v>0</v>
      </c>
      <c r="M691" t="n">
        <v>0</v>
      </c>
      <c r="N691" t="n">
        <v>0</v>
      </c>
      <c r="O691" t="n">
        <v>0</v>
      </c>
      <c r="P691" t="n">
        <v>0</v>
      </c>
      <c r="Q691" t="n">
        <v>0</v>
      </c>
      <c r="R691" s="2" t="inlineStr"/>
    </row>
    <row r="692" ht="15" customHeight="1">
      <c r="A692" t="inlineStr">
        <is>
          <t>A 8972-2022</t>
        </is>
      </c>
      <c r="B692" s="1" t="n">
        <v>44614.91989583334</v>
      </c>
      <c r="C692" s="1" t="n">
        <v>46076</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10305-2023</t>
        </is>
      </c>
      <c r="B693" s="1" t="n">
        <v>44986</v>
      </c>
      <c r="C693" s="1" t="n">
        <v>46076</v>
      </c>
      <c r="D693" t="inlineStr">
        <is>
          <t>JÄMTLANDS LÄN</t>
        </is>
      </c>
      <c r="E693" t="inlineStr">
        <is>
          <t>ÖSTERSUND</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51865-2024</t>
        </is>
      </c>
      <c r="B694" s="1" t="n">
        <v>45607.55260416667</v>
      </c>
      <c r="C694" s="1" t="n">
        <v>46076</v>
      </c>
      <c r="D694" t="inlineStr">
        <is>
          <t>JÄMTLANDS LÄN</t>
        </is>
      </c>
      <c r="E694" t="inlineStr">
        <is>
          <t>ÖSTERSUND</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55235-2023</t>
        </is>
      </c>
      <c r="B695" s="1" t="n">
        <v>45231</v>
      </c>
      <c r="C695" s="1" t="n">
        <v>46076</v>
      </c>
      <c r="D695" t="inlineStr">
        <is>
          <t>JÄMTLANDS LÄN</t>
        </is>
      </c>
      <c r="E695" t="inlineStr">
        <is>
          <t>ÖSTERSUND</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7953-2025</t>
        </is>
      </c>
      <c r="B696" s="1" t="n">
        <v>45707.42392361111</v>
      </c>
      <c r="C696" s="1" t="n">
        <v>46076</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4350-2024</t>
        </is>
      </c>
      <c r="B697" s="1" t="n">
        <v>45324.93804398148</v>
      </c>
      <c r="C697" s="1" t="n">
        <v>46076</v>
      </c>
      <c r="D697" t="inlineStr">
        <is>
          <t>JÄMTLANDS LÄN</t>
        </is>
      </c>
      <c r="E697" t="inlineStr">
        <is>
          <t>ÖSTERSUND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2756-2024</t>
        </is>
      </c>
      <c r="B698" s="1" t="n">
        <v>45314.58785879629</v>
      </c>
      <c r="C698" s="1" t="n">
        <v>46076</v>
      </c>
      <c r="D698" t="inlineStr">
        <is>
          <t>JÄMTLANDS LÄN</t>
        </is>
      </c>
      <c r="E698" t="inlineStr">
        <is>
          <t>ÖSTERSUND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70256-2021</t>
        </is>
      </c>
      <c r="B699" s="1" t="n">
        <v>44533</v>
      </c>
      <c r="C699" s="1" t="n">
        <v>46076</v>
      </c>
      <c r="D699" t="inlineStr">
        <is>
          <t>JÄMTLANDS LÄN</t>
        </is>
      </c>
      <c r="E699" t="inlineStr">
        <is>
          <t>ÖSTERSUND</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4136-2023</t>
        </is>
      </c>
      <c r="B700" s="1" t="n">
        <v>44952</v>
      </c>
      <c r="C700" s="1" t="n">
        <v>46076</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1893-2023</t>
        </is>
      </c>
      <c r="B701" s="1" t="n">
        <v>44937</v>
      </c>
      <c r="C701" s="1" t="n">
        <v>46076</v>
      </c>
      <c r="D701" t="inlineStr">
        <is>
          <t>JÄMTLANDS LÄN</t>
        </is>
      </c>
      <c r="E701" t="inlineStr">
        <is>
          <t>ÖSTERSUND</t>
        </is>
      </c>
      <c r="G701" t="n">
        <v>11</v>
      </c>
      <c r="H701" t="n">
        <v>0</v>
      </c>
      <c r="I701" t="n">
        <v>0</v>
      </c>
      <c r="J701" t="n">
        <v>0</v>
      </c>
      <c r="K701" t="n">
        <v>0</v>
      </c>
      <c r="L701" t="n">
        <v>0</v>
      </c>
      <c r="M701" t="n">
        <v>0</v>
      </c>
      <c r="N701" t="n">
        <v>0</v>
      </c>
      <c r="O701" t="n">
        <v>0</v>
      </c>
      <c r="P701" t="n">
        <v>0</v>
      </c>
      <c r="Q701" t="n">
        <v>0</v>
      </c>
      <c r="R701" s="2" t="inlineStr"/>
    </row>
    <row r="702" ht="15" customHeight="1">
      <c r="A702" t="inlineStr">
        <is>
          <t>A 57556-2024</t>
        </is>
      </c>
      <c r="B702" s="1" t="n">
        <v>45630</v>
      </c>
      <c r="C702" s="1" t="n">
        <v>46076</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19566-2024</t>
        </is>
      </c>
      <c r="B703" s="1" t="n">
        <v>45429.92313657407</v>
      </c>
      <c r="C703" s="1" t="n">
        <v>46076</v>
      </c>
      <c r="D703" t="inlineStr">
        <is>
          <t>JÄMTLANDS LÄN</t>
        </is>
      </c>
      <c r="E703" t="inlineStr">
        <is>
          <t>ÖSTERSUND</t>
        </is>
      </c>
      <c r="G703" t="n">
        <v>0</v>
      </c>
      <c r="H703" t="n">
        <v>0</v>
      </c>
      <c r="I703" t="n">
        <v>0</v>
      </c>
      <c r="J703" t="n">
        <v>0</v>
      </c>
      <c r="K703" t="n">
        <v>0</v>
      </c>
      <c r="L703" t="n">
        <v>0</v>
      </c>
      <c r="M703" t="n">
        <v>0</v>
      </c>
      <c r="N703" t="n">
        <v>0</v>
      </c>
      <c r="O703" t="n">
        <v>0</v>
      </c>
      <c r="P703" t="n">
        <v>0</v>
      </c>
      <c r="Q703" t="n">
        <v>0</v>
      </c>
      <c r="R703" s="2" t="inlineStr"/>
    </row>
    <row r="704" ht="15" customHeight="1">
      <c r="A704" t="inlineStr">
        <is>
          <t>A 9552-2025</t>
        </is>
      </c>
      <c r="B704" s="1" t="n">
        <v>45715.59545138889</v>
      </c>
      <c r="C704" s="1" t="n">
        <v>46076</v>
      </c>
      <c r="D704" t="inlineStr">
        <is>
          <t>JÄMTLANDS LÄN</t>
        </is>
      </c>
      <c r="E704" t="inlineStr">
        <is>
          <t>ÖSTERSUND</t>
        </is>
      </c>
      <c r="G704" t="n">
        <v>1.6</v>
      </c>
      <c r="H704" t="n">
        <v>0</v>
      </c>
      <c r="I704" t="n">
        <v>0</v>
      </c>
      <c r="J704" t="n">
        <v>0</v>
      </c>
      <c r="K704" t="n">
        <v>0</v>
      </c>
      <c r="L704" t="n">
        <v>0</v>
      </c>
      <c r="M704" t="n">
        <v>0</v>
      </c>
      <c r="N704" t="n">
        <v>0</v>
      </c>
      <c r="O704" t="n">
        <v>0</v>
      </c>
      <c r="P704" t="n">
        <v>0</v>
      </c>
      <c r="Q704" t="n">
        <v>0</v>
      </c>
      <c r="R704" s="2" t="inlineStr"/>
    </row>
    <row r="705" ht="15" customHeight="1">
      <c r="A705" t="inlineStr">
        <is>
          <t>A 13024-2022</t>
        </is>
      </c>
      <c r="B705" s="1" t="n">
        <v>44643</v>
      </c>
      <c r="C705" s="1" t="n">
        <v>46076</v>
      </c>
      <c r="D705" t="inlineStr">
        <is>
          <t>JÄMTLANDS LÄN</t>
        </is>
      </c>
      <c r="E705" t="inlineStr">
        <is>
          <t>ÖSTERSUND</t>
        </is>
      </c>
      <c r="G705" t="n">
        <v>0.9</v>
      </c>
      <c r="H705" t="n">
        <v>0</v>
      </c>
      <c r="I705" t="n">
        <v>0</v>
      </c>
      <c r="J705" t="n">
        <v>0</v>
      </c>
      <c r="K705" t="n">
        <v>0</v>
      </c>
      <c r="L705" t="n">
        <v>0</v>
      </c>
      <c r="M705" t="n">
        <v>0</v>
      </c>
      <c r="N705" t="n">
        <v>0</v>
      </c>
      <c r="O705" t="n">
        <v>0</v>
      </c>
      <c r="P705" t="n">
        <v>0</v>
      </c>
      <c r="Q705" t="n">
        <v>0</v>
      </c>
      <c r="R705" s="2" t="inlineStr"/>
    </row>
    <row r="706" ht="15" customHeight="1">
      <c r="A706" t="inlineStr">
        <is>
          <t>A 7233-2025</t>
        </is>
      </c>
      <c r="B706" s="1" t="n">
        <v>45702.51765046296</v>
      </c>
      <c r="C706" s="1" t="n">
        <v>46076</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4966-2025</t>
        </is>
      </c>
      <c r="B707" s="1" t="n">
        <v>45690.63628472222</v>
      </c>
      <c r="C707" s="1" t="n">
        <v>46076</v>
      </c>
      <c r="D707" t="inlineStr">
        <is>
          <t>JÄMTLANDS LÄN</t>
        </is>
      </c>
      <c r="E707" t="inlineStr">
        <is>
          <t>ÖSTERSUND</t>
        </is>
      </c>
      <c r="G707" t="n">
        <v>3.4</v>
      </c>
      <c r="H707" t="n">
        <v>0</v>
      </c>
      <c r="I707" t="n">
        <v>0</v>
      </c>
      <c r="J707" t="n">
        <v>0</v>
      </c>
      <c r="K707" t="n">
        <v>0</v>
      </c>
      <c r="L707" t="n">
        <v>0</v>
      </c>
      <c r="M707" t="n">
        <v>0</v>
      </c>
      <c r="N707" t="n">
        <v>0</v>
      </c>
      <c r="O707" t="n">
        <v>0</v>
      </c>
      <c r="P707" t="n">
        <v>0</v>
      </c>
      <c r="Q707" t="n">
        <v>0</v>
      </c>
      <c r="R707" s="2" t="inlineStr"/>
    </row>
    <row r="708" ht="15" customHeight="1">
      <c r="A708" t="inlineStr">
        <is>
          <t>A 2615-2024</t>
        </is>
      </c>
      <c r="B708" s="1" t="n">
        <v>45313</v>
      </c>
      <c r="C708" s="1" t="n">
        <v>46076</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33002-2021</t>
        </is>
      </c>
      <c r="B709" s="1" t="n">
        <v>44375</v>
      </c>
      <c r="C709" s="1" t="n">
        <v>46076</v>
      </c>
      <c r="D709" t="inlineStr">
        <is>
          <t>JÄMTLANDS LÄN</t>
        </is>
      </c>
      <c r="E709" t="inlineStr">
        <is>
          <t>ÖSTERSUND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14542-2025</t>
        </is>
      </c>
      <c r="B710" s="1" t="n">
        <v>45741.68631944444</v>
      </c>
      <c r="C710" s="1" t="n">
        <v>46076</v>
      </c>
      <c r="D710" t="inlineStr">
        <is>
          <t>JÄMTLANDS LÄN</t>
        </is>
      </c>
      <c r="E710" t="inlineStr">
        <is>
          <t>ÖSTERSUND</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24786-2024</t>
        </is>
      </c>
      <c r="B711" s="1" t="n">
        <v>45460.81277777778</v>
      </c>
      <c r="C711" s="1" t="n">
        <v>46076</v>
      </c>
      <c r="D711" t="inlineStr">
        <is>
          <t>JÄMTLANDS LÄN</t>
        </is>
      </c>
      <c r="E711" t="inlineStr">
        <is>
          <t>ÖSTERSUND</t>
        </is>
      </c>
      <c r="G711" t="n">
        <v>0.1</v>
      </c>
      <c r="H711" t="n">
        <v>0</v>
      </c>
      <c r="I711" t="n">
        <v>0</v>
      </c>
      <c r="J711" t="n">
        <v>0</v>
      </c>
      <c r="K711" t="n">
        <v>0</v>
      </c>
      <c r="L711" t="n">
        <v>0</v>
      </c>
      <c r="M711" t="n">
        <v>0</v>
      </c>
      <c r="N711" t="n">
        <v>0</v>
      </c>
      <c r="O711" t="n">
        <v>0</v>
      </c>
      <c r="P711" t="n">
        <v>0</v>
      </c>
      <c r="Q711" t="n">
        <v>0</v>
      </c>
      <c r="R711" s="2" t="inlineStr"/>
    </row>
    <row r="712" ht="15" customHeight="1">
      <c r="A712" t="inlineStr">
        <is>
          <t>A 53660-2024</t>
        </is>
      </c>
      <c r="B712" s="1" t="n">
        <v>45615.31297453704</v>
      </c>
      <c r="C712" s="1" t="n">
        <v>46076</v>
      </c>
      <c r="D712" t="inlineStr">
        <is>
          <t>JÄMTLANDS LÄN</t>
        </is>
      </c>
      <c r="E712" t="inlineStr">
        <is>
          <t>ÖSTERSUND</t>
        </is>
      </c>
      <c r="G712" t="n">
        <v>1.1</v>
      </c>
      <c r="H712" t="n">
        <v>0</v>
      </c>
      <c r="I712" t="n">
        <v>0</v>
      </c>
      <c r="J712" t="n">
        <v>0</v>
      </c>
      <c r="K712" t="n">
        <v>0</v>
      </c>
      <c r="L712" t="n">
        <v>0</v>
      </c>
      <c r="M712" t="n">
        <v>0</v>
      </c>
      <c r="N712" t="n">
        <v>0</v>
      </c>
      <c r="O712" t="n">
        <v>0</v>
      </c>
      <c r="P712" t="n">
        <v>0</v>
      </c>
      <c r="Q712" t="n">
        <v>0</v>
      </c>
      <c r="R712" s="2" t="inlineStr"/>
    </row>
    <row r="713" ht="15" customHeight="1">
      <c r="A713" t="inlineStr">
        <is>
          <t>A 16682-2023</t>
        </is>
      </c>
      <c r="B713" s="1" t="n">
        <v>45028</v>
      </c>
      <c r="C713" s="1" t="n">
        <v>46076</v>
      </c>
      <c r="D713" t="inlineStr">
        <is>
          <t>JÄMTLANDS LÄN</t>
        </is>
      </c>
      <c r="E713" t="inlineStr">
        <is>
          <t>ÖSTERSUND</t>
        </is>
      </c>
      <c r="G713" t="n">
        <v>7.9</v>
      </c>
      <c r="H713" t="n">
        <v>0</v>
      </c>
      <c r="I713" t="n">
        <v>0</v>
      </c>
      <c r="J713" t="n">
        <v>0</v>
      </c>
      <c r="K713" t="n">
        <v>0</v>
      </c>
      <c r="L713" t="n">
        <v>0</v>
      </c>
      <c r="M713" t="n">
        <v>0</v>
      </c>
      <c r="N713" t="n">
        <v>0</v>
      </c>
      <c r="O713" t="n">
        <v>0</v>
      </c>
      <c r="P713" t="n">
        <v>0</v>
      </c>
      <c r="Q713" t="n">
        <v>0</v>
      </c>
      <c r="R713" s="2" t="inlineStr"/>
    </row>
    <row r="714" ht="15" customHeight="1">
      <c r="A714" t="inlineStr">
        <is>
          <t>A 1670-2024</t>
        </is>
      </c>
      <c r="B714" s="1" t="n">
        <v>45306</v>
      </c>
      <c r="C714" s="1" t="n">
        <v>46076</v>
      </c>
      <c r="D714" t="inlineStr">
        <is>
          <t>JÄMTLANDS LÄN</t>
        </is>
      </c>
      <c r="E714" t="inlineStr">
        <is>
          <t>ÖSTERSUND</t>
        </is>
      </c>
      <c r="G714" t="n">
        <v>1.2</v>
      </c>
      <c r="H714" t="n">
        <v>0</v>
      </c>
      <c r="I714" t="n">
        <v>0</v>
      </c>
      <c r="J714" t="n">
        <v>0</v>
      </c>
      <c r="K714" t="n">
        <v>0</v>
      </c>
      <c r="L714" t="n">
        <v>0</v>
      </c>
      <c r="M714" t="n">
        <v>0</v>
      </c>
      <c r="N714" t="n">
        <v>0</v>
      </c>
      <c r="O714" t="n">
        <v>0</v>
      </c>
      <c r="P714" t="n">
        <v>0</v>
      </c>
      <c r="Q714" t="n">
        <v>0</v>
      </c>
      <c r="R714" s="2" t="inlineStr"/>
    </row>
    <row r="715" ht="15" customHeight="1">
      <c r="A715" t="inlineStr">
        <is>
          <t>A 56111-2022</t>
        </is>
      </c>
      <c r="B715" s="1" t="n">
        <v>44889</v>
      </c>
      <c r="C715" s="1" t="n">
        <v>46076</v>
      </c>
      <c r="D715" t="inlineStr">
        <is>
          <t>JÄMTLANDS LÄN</t>
        </is>
      </c>
      <c r="E715" t="inlineStr">
        <is>
          <t>ÖSTERSUND</t>
        </is>
      </c>
      <c r="G715" t="n">
        <v>2.5</v>
      </c>
      <c r="H715" t="n">
        <v>0</v>
      </c>
      <c r="I715" t="n">
        <v>0</v>
      </c>
      <c r="J715" t="n">
        <v>0</v>
      </c>
      <c r="K715" t="n">
        <v>0</v>
      </c>
      <c r="L715" t="n">
        <v>0</v>
      </c>
      <c r="M715" t="n">
        <v>0</v>
      </c>
      <c r="N715" t="n">
        <v>0</v>
      </c>
      <c r="O715" t="n">
        <v>0</v>
      </c>
      <c r="P715" t="n">
        <v>0</v>
      </c>
      <c r="Q715" t="n">
        <v>0</v>
      </c>
      <c r="R715" s="2" t="inlineStr"/>
    </row>
    <row r="716" ht="15" customHeight="1">
      <c r="A716" t="inlineStr">
        <is>
          <t>A 14867-2025</t>
        </is>
      </c>
      <c r="B716" s="1" t="n">
        <v>45743.44207175926</v>
      </c>
      <c r="C716" s="1" t="n">
        <v>46076</v>
      </c>
      <c r="D716" t="inlineStr">
        <is>
          <t>JÄMTLANDS LÄN</t>
        </is>
      </c>
      <c r="E716" t="inlineStr">
        <is>
          <t>ÖSTERSUND</t>
        </is>
      </c>
      <c r="G716" t="n">
        <v>3.3</v>
      </c>
      <c r="H716" t="n">
        <v>0</v>
      </c>
      <c r="I716" t="n">
        <v>0</v>
      </c>
      <c r="J716" t="n">
        <v>0</v>
      </c>
      <c r="K716" t="n">
        <v>0</v>
      </c>
      <c r="L716" t="n">
        <v>0</v>
      </c>
      <c r="M716" t="n">
        <v>0</v>
      </c>
      <c r="N716" t="n">
        <v>0</v>
      </c>
      <c r="O716" t="n">
        <v>0</v>
      </c>
      <c r="P716" t="n">
        <v>0</v>
      </c>
      <c r="Q716" t="n">
        <v>0</v>
      </c>
      <c r="R716" s="2" t="inlineStr"/>
    </row>
    <row r="717" ht="15" customHeight="1">
      <c r="A717" t="inlineStr">
        <is>
          <t>A 5544-2025</t>
        </is>
      </c>
      <c r="B717" s="1" t="n">
        <v>45693</v>
      </c>
      <c r="C717" s="1" t="n">
        <v>46076</v>
      </c>
      <c r="D717" t="inlineStr">
        <is>
          <t>JÄMTLANDS LÄN</t>
        </is>
      </c>
      <c r="E717" t="inlineStr">
        <is>
          <t>ÖSTERSUND</t>
        </is>
      </c>
      <c r="G717" t="n">
        <v>5.8</v>
      </c>
      <c r="H717" t="n">
        <v>0</v>
      </c>
      <c r="I717" t="n">
        <v>0</v>
      </c>
      <c r="J717" t="n">
        <v>0</v>
      </c>
      <c r="K717" t="n">
        <v>0</v>
      </c>
      <c r="L717" t="n">
        <v>0</v>
      </c>
      <c r="M717" t="n">
        <v>0</v>
      </c>
      <c r="N717" t="n">
        <v>0</v>
      </c>
      <c r="O717" t="n">
        <v>0</v>
      </c>
      <c r="P717" t="n">
        <v>0</v>
      </c>
      <c r="Q717" t="n">
        <v>0</v>
      </c>
      <c r="R717" s="2" t="inlineStr"/>
    </row>
    <row r="718" ht="15" customHeight="1">
      <c r="A718" t="inlineStr">
        <is>
          <t>A 4707-2024</t>
        </is>
      </c>
      <c r="B718" s="1" t="n">
        <v>45328</v>
      </c>
      <c r="C718" s="1" t="n">
        <v>46076</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231-2022</t>
        </is>
      </c>
      <c r="B719" s="1" t="n">
        <v>44564.93909722222</v>
      </c>
      <c r="C719" s="1" t="n">
        <v>46076</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58952-2024</t>
        </is>
      </c>
      <c r="B720" s="1" t="n">
        <v>45636.5674537037</v>
      </c>
      <c r="C720" s="1" t="n">
        <v>46076</v>
      </c>
      <c r="D720" t="inlineStr">
        <is>
          <t>JÄMTLANDS LÄN</t>
        </is>
      </c>
      <c r="E720" t="inlineStr">
        <is>
          <t>ÖSTERSUND</t>
        </is>
      </c>
      <c r="G720" t="n">
        <v>3.7</v>
      </c>
      <c r="H720" t="n">
        <v>0</v>
      </c>
      <c r="I720" t="n">
        <v>0</v>
      </c>
      <c r="J720" t="n">
        <v>0</v>
      </c>
      <c r="K720" t="n">
        <v>0</v>
      </c>
      <c r="L720" t="n">
        <v>0</v>
      </c>
      <c r="M720" t="n">
        <v>0</v>
      </c>
      <c r="N720" t="n">
        <v>0</v>
      </c>
      <c r="O720" t="n">
        <v>0</v>
      </c>
      <c r="P720" t="n">
        <v>0</v>
      </c>
      <c r="Q720" t="n">
        <v>0</v>
      </c>
      <c r="R720" s="2" t="inlineStr"/>
    </row>
    <row r="721" ht="15" customHeight="1">
      <c r="A721" t="inlineStr">
        <is>
          <t>A 46748-2023</t>
        </is>
      </c>
      <c r="B721" s="1" t="n">
        <v>45198</v>
      </c>
      <c r="C721" s="1" t="n">
        <v>46076</v>
      </c>
      <c r="D721" t="inlineStr">
        <is>
          <t>JÄMTLANDS LÄN</t>
        </is>
      </c>
      <c r="E721" t="inlineStr">
        <is>
          <t>ÖSTERSUND</t>
        </is>
      </c>
      <c r="F721" t="inlineStr">
        <is>
          <t>Sveaskog</t>
        </is>
      </c>
      <c r="G721" t="n">
        <v>2.7</v>
      </c>
      <c r="H721" t="n">
        <v>0</v>
      </c>
      <c r="I721" t="n">
        <v>0</v>
      </c>
      <c r="J721" t="n">
        <v>0</v>
      </c>
      <c r="K721" t="n">
        <v>0</v>
      </c>
      <c r="L721" t="n">
        <v>0</v>
      </c>
      <c r="M721" t="n">
        <v>0</v>
      </c>
      <c r="N721" t="n">
        <v>0</v>
      </c>
      <c r="O721" t="n">
        <v>0</v>
      </c>
      <c r="P721" t="n">
        <v>0</v>
      </c>
      <c r="Q721" t="n">
        <v>0</v>
      </c>
      <c r="R721" s="2" t="inlineStr"/>
    </row>
    <row r="722" ht="15" customHeight="1">
      <c r="A722" t="inlineStr">
        <is>
          <t>A 46763-2023</t>
        </is>
      </c>
      <c r="B722" s="1" t="n">
        <v>45198</v>
      </c>
      <c r="C722" s="1" t="n">
        <v>46076</v>
      </c>
      <c r="D722" t="inlineStr">
        <is>
          <t>JÄMTLANDS LÄN</t>
        </is>
      </c>
      <c r="E722" t="inlineStr">
        <is>
          <t>ÖSTERSUND</t>
        </is>
      </c>
      <c r="F722" t="inlineStr">
        <is>
          <t>Sveaskog</t>
        </is>
      </c>
      <c r="G722" t="n">
        <v>13.3</v>
      </c>
      <c r="H722" t="n">
        <v>0</v>
      </c>
      <c r="I722" t="n">
        <v>0</v>
      </c>
      <c r="J722" t="n">
        <v>0</v>
      </c>
      <c r="K722" t="n">
        <v>0</v>
      </c>
      <c r="L722" t="n">
        <v>0</v>
      </c>
      <c r="M722" t="n">
        <v>0</v>
      </c>
      <c r="N722" t="n">
        <v>0</v>
      </c>
      <c r="O722" t="n">
        <v>0</v>
      </c>
      <c r="P722" t="n">
        <v>0</v>
      </c>
      <c r="Q722" t="n">
        <v>0</v>
      </c>
      <c r="R722" s="2" t="inlineStr"/>
    </row>
    <row r="723" ht="15" customHeight="1">
      <c r="A723" t="inlineStr">
        <is>
          <t>A 5341-2025</t>
        </is>
      </c>
      <c r="B723" s="1" t="n">
        <v>45692.55256944444</v>
      </c>
      <c r="C723" s="1" t="n">
        <v>46076</v>
      </c>
      <c r="D723" t="inlineStr">
        <is>
          <t>JÄMTLANDS LÄN</t>
        </is>
      </c>
      <c r="E723" t="inlineStr">
        <is>
          <t>ÖSTERSUND</t>
        </is>
      </c>
      <c r="G723" t="n">
        <v>2.6</v>
      </c>
      <c r="H723" t="n">
        <v>0</v>
      </c>
      <c r="I723" t="n">
        <v>0</v>
      </c>
      <c r="J723" t="n">
        <v>0</v>
      </c>
      <c r="K723" t="n">
        <v>0</v>
      </c>
      <c r="L723" t="n">
        <v>0</v>
      </c>
      <c r="M723" t="n">
        <v>0</v>
      </c>
      <c r="N723" t="n">
        <v>0</v>
      </c>
      <c r="O723" t="n">
        <v>0</v>
      </c>
      <c r="P723" t="n">
        <v>0</v>
      </c>
      <c r="Q723" t="n">
        <v>0</v>
      </c>
      <c r="R723" s="2" t="inlineStr"/>
    </row>
    <row r="724" ht="15" customHeight="1">
      <c r="A724" t="inlineStr">
        <is>
          <t>A 21060-2025</t>
        </is>
      </c>
      <c r="B724" s="1" t="n">
        <v>45777.58025462963</v>
      </c>
      <c r="C724" s="1" t="n">
        <v>46076</v>
      </c>
      <c r="D724" t="inlineStr">
        <is>
          <t>JÄMTLANDS LÄN</t>
        </is>
      </c>
      <c r="E724" t="inlineStr">
        <is>
          <t>ÖSTERSUND</t>
        </is>
      </c>
      <c r="G724" t="n">
        <v>2.9</v>
      </c>
      <c r="H724" t="n">
        <v>0</v>
      </c>
      <c r="I724" t="n">
        <v>0</v>
      </c>
      <c r="J724" t="n">
        <v>0</v>
      </c>
      <c r="K724" t="n">
        <v>0</v>
      </c>
      <c r="L724" t="n">
        <v>0</v>
      </c>
      <c r="M724" t="n">
        <v>0</v>
      </c>
      <c r="N724" t="n">
        <v>0</v>
      </c>
      <c r="O724" t="n">
        <v>0</v>
      </c>
      <c r="P724" t="n">
        <v>0</v>
      </c>
      <c r="Q724" t="n">
        <v>0</v>
      </c>
      <c r="R724" s="2" t="inlineStr"/>
    </row>
    <row r="725" ht="15" customHeight="1">
      <c r="A725" t="inlineStr">
        <is>
          <t>A 21094-2025</t>
        </is>
      </c>
      <c r="B725" s="1" t="n">
        <v>45777.62665509259</v>
      </c>
      <c r="C725" s="1" t="n">
        <v>46076</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21237-2025</t>
        </is>
      </c>
      <c r="B726" s="1" t="n">
        <v>45779</v>
      </c>
      <c r="C726" s="1" t="n">
        <v>46076</v>
      </c>
      <c r="D726" t="inlineStr">
        <is>
          <t>JÄMTLANDS LÄN</t>
        </is>
      </c>
      <c r="E726" t="inlineStr">
        <is>
          <t>ÖSTERSUND</t>
        </is>
      </c>
      <c r="G726" t="n">
        <v>0.4</v>
      </c>
      <c r="H726" t="n">
        <v>0</v>
      </c>
      <c r="I726" t="n">
        <v>0</v>
      </c>
      <c r="J726" t="n">
        <v>0</v>
      </c>
      <c r="K726" t="n">
        <v>0</v>
      </c>
      <c r="L726" t="n">
        <v>0</v>
      </c>
      <c r="M726" t="n">
        <v>0</v>
      </c>
      <c r="N726" t="n">
        <v>0</v>
      </c>
      <c r="O726" t="n">
        <v>0</v>
      </c>
      <c r="P726" t="n">
        <v>0</v>
      </c>
      <c r="Q726" t="n">
        <v>0</v>
      </c>
      <c r="R726" s="2" t="inlineStr"/>
    </row>
    <row r="727" ht="15" customHeight="1">
      <c r="A727" t="inlineStr">
        <is>
          <t>A 16812-2025</t>
        </is>
      </c>
      <c r="B727" s="1" t="n">
        <v>45754</v>
      </c>
      <c r="C727" s="1" t="n">
        <v>46076</v>
      </c>
      <c r="D727" t="inlineStr">
        <is>
          <t>JÄMTLANDS LÄN</t>
        </is>
      </c>
      <c r="E727" t="inlineStr">
        <is>
          <t>ÖSTERSUND</t>
        </is>
      </c>
      <c r="F727" t="inlineStr">
        <is>
          <t>Övriga statliga verk och myndigheter</t>
        </is>
      </c>
      <c r="G727" t="n">
        <v>3.7</v>
      </c>
      <c r="H727" t="n">
        <v>0</v>
      </c>
      <c r="I727" t="n">
        <v>0</v>
      </c>
      <c r="J727" t="n">
        <v>0</v>
      </c>
      <c r="K727" t="n">
        <v>0</v>
      </c>
      <c r="L727" t="n">
        <v>0</v>
      </c>
      <c r="M727" t="n">
        <v>0</v>
      </c>
      <c r="N727" t="n">
        <v>0</v>
      </c>
      <c r="O727" t="n">
        <v>0</v>
      </c>
      <c r="P727" t="n">
        <v>0</v>
      </c>
      <c r="Q727" t="n">
        <v>0</v>
      </c>
      <c r="R727" s="2" t="inlineStr"/>
    </row>
    <row r="728" ht="15" customHeight="1">
      <c r="A728" t="inlineStr">
        <is>
          <t>A 14848-2025</t>
        </is>
      </c>
      <c r="B728" s="1" t="n">
        <v>45743.39528935185</v>
      </c>
      <c r="C728" s="1" t="n">
        <v>46076</v>
      </c>
      <c r="D728" t="inlineStr">
        <is>
          <t>JÄMTLANDS LÄN</t>
        </is>
      </c>
      <c r="E728" t="inlineStr">
        <is>
          <t>ÖSTERSUND</t>
        </is>
      </c>
      <c r="G728" t="n">
        <v>12.1</v>
      </c>
      <c r="H728" t="n">
        <v>0</v>
      </c>
      <c r="I728" t="n">
        <v>0</v>
      </c>
      <c r="J728" t="n">
        <v>0</v>
      </c>
      <c r="K728" t="n">
        <v>0</v>
      </c>
      <c r="L728" t="n">
        <v>0</v>
      </c>
      <c r="M728" t="n">
        <v>0</v>
      </c>
      <c r="N728" t="n">
        <v>0</v>
      </c>
      <c r="O728" t="n">
        <v>0</v>
      </c>
      <c r="P728" t="n">
        <v>0</v>
      </c>
      <c r="Q728" t="n">
        <v>0</v>
      </c>
      <c r="R728" s="2" t="inlineStr"/>
    </row>
    <row r="729" ht="15" customHeight="1">
      <c r="A729" t="inlineStr">
        <is>
          <t>A 16725-2025</t>
        </is>
      </c>
      <c r="B729" s="1" t="n">
        <v>45754</v>
      </c>
      <c r="C729" s="1" t="n">
        <v>46076</v>
      </c>
      <c r="D729" t="inlineStr">
        <is>
          <t>JÄMTLANDS LÄN</t>
        </is>
      </c>
      <c r="E729" t="inlineStr">
        <is>
          <t>ÖSTERSUND</t>
        </is>
      </c>
      <c r="F729" t="inlineStr">
        <is>
          <t>Övriga statliga verk och myndigheter</t>
        </is>
      </c>
      <c r="G729" t="n">
        <v>3.7</v>
      </c>
      <c r="H729" t="n">
        <v>0</v>
      </c>
      <c r="I729" t="n">
        <v>0</v>
      </c>
      <c r="J729" t="n">
        <v>0</v>
      </c>
      <c r="K729" t="n">
        <v>0</v>
      </c>
      <c r="L729" t="n">
        <v>0</v>
      </c>
      <c r="M729" t="n">
        <v>0</v>
      </c>
      <c r="N729" t="n">
        <v>0</v>
      </c>
      <c r="O729" t="n">
        <v>0</v>
      </c>
      <c r="P729" t="n">
        <v>0</v>
      </c>
      <c r="Q729" t="n">
        <v>0</v>
      </c>
      <c r="R729" s="2" t="inlineStr"/>
    </row>
    <row r="730" ht="15" customHeight="1">
      <c r="A730" t="inlineStr">
        <is>
          <t>A 4480-2025</t>
        </is>
      </c>
      <c r="B730" s="1" t="n">
        <v>45686.64175925926</v>
      </c>
      <c r="C730" s="1" t="n">
        <v>46076</v>
      </c>
      <c r="D730" t="inlineStr">
        <is>
          <t>JÄMTLANDS LÄN</t>
        </is>
      </c>
      <c r="E730" t="inlineStr">
        <is>
          <t>ÖSTERSUND</t>
        </is>
      </c>
      <c r="G730" t="n">
        <v>27.7</v>
      </c>
      <c r="H730" t="n">
        <v>0</v>
      </c>
      <c r="I730" t="n">
        <v>0</v>
      </c>
      <c r="J730" t="n">
        <v>0</v>
      </c>
      <c r="K730" t="n">
        <v>0</v>
      </c>
      <c r="L730" t="n">
        <v>0</v>
      </c>
      <c r="M730" t="n">
        <v>0</v>
      </c>
      <c r="N730" t="n">
        <v>0</v>
      </c>
      <c r="O730" t="n">
        <v>0</v>
      </c>
      <c r="P730" t="n">
        <v>0</v>
      </c>
      <c r="Q730" t="n">
        <v>0</v>
      </c>
      <c r="R730" s="2" t="inlineStr"/>
    </row>
    <row r="731" ht="15" customHeight="1">
      <c r="A731" t="inlineStr">
        <is>
          <t>A 22612-2025</t>
        </is>
      </c>
      <c r="B731" s="1" t="n">
        <v>45789.42538194444</v>
      </c>
      <c r="C731" s="1" t="n">
        <v>46076</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17948-2025</t>
        </is>
      </c>
      <c r="B732" s="1" t="n">
        <v>45760.66995370371</v>
      </c>
      <c r="C732" s="1" t="n">
        <v>46076</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4520-2025</t>
        </is>
      </c>
      <c r="B733" s="1" t="n">
        <v>45686.92384259259</v>
      </c>
      <c r="C733" s="1" t="n">
        <v>46076</v>
      </c>
      <c r="D733" t="inlineStr">
        <is>
          <t>JÄMTLANDS LÄN</t>
        </is>
      </c>
      <c r="E733" t="inlineStr">
        <is>
          <t>ÖSTERSUND</t>
        </is>
      </c>
      <c r="G733" t="n">
        <v>15.2</v>
      </c>
      <c r="H733" t="n">
        <v>0</v>
      </c>
      <c r="I733" t="n">
        <v>0</v>
      </c>
      <c r="J733" t="n">
        <v>0</v>
      </c>
      <c r="K733" t="n">
        <v>0</v>
      </c>
      <c r="L733" t="n">
        <v>0</v>
      </c>
      <c r="M733" t="n">
        <v>0</v>
      </c>
      <c r="N733" t="n">
        <v>0</v>
      </c>
      <c r="O733" t="n">
        <v>0</v>
      </c>
      <c r="P733" t="n">
        <v>0</v>
      </c>
      <c r="Q733" t="n">
        <v>0</v>
      </c>
      <c r="R733" s="2" t="inlineStr"/>
    </row>
    <row r="734" ht="15" customHeight="1">
      <c r="A734" t="inlineStr">
        <is>
          <t>A 4523-2025</t>
        </is>
      </c>
      <c r="B734" s="1" t="n">
        <v>45686.92864583333</v>
      </c>
      <c r="C734" s="1" t="n">
        <v>46076</v>
      </c>
      <c r="D734" t="inlineStr">
        <is>
          <t>JÄMTLANDS LÄN</t>
        </is>
      </c>
      <c r="E734" t="inlineStr">
        <is>
          <t>ÖSTERSUND</t>
        </is>
      </c>
      <c r="G734" t="n">
        <v>15.2</v>
      </c>
      <c r="H734" t="n">
        <v>0</v>
      </c>
      <c r="I734" t="n">
        <v>0</v>
      </c>
      <c r="J734" t="n">
        <v>0</v>
      </c>
      <c r="K734" t="n">
        <v>0</v>
      </c>
      <c r="L734" t="n">
        <v>0</v>
      </c>
      <c r="M734" t="n">
        <v>0</v>
      </c>
      <c r="N734" t="n">
        <v>0</v>
      </c>
      <c r="O734" t="n">
        <v>0</v>
      </c>
      <c r="P734" t="n">
        <v>0</v>
      </c>
      <c r="Q734" t="n">
        <v>0</v>
      </c>
      <c r="R734" s="2" t="inlineStr"/>
    </row>
    <row r="735" ht="15" customHeight="1">
      <c r="A735" t="inlineStr">
        <is>
          <t>A 22713-2025</t>
        </is>
      </c>
      <c r="B735" s="1" t="n">
        <v>45789.56414351852</v>
      </c>
      <c r="C735" s="1" t="n">
        <v>46076</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22822-2025</t>
        </is>
      </c>
      <c r="B736" s="1" t="n">
        <v>45789</v>
      </c>
      <c r="C736" s="1" t="n">
        <v>46076</v>
      </c>
      <c r="D736" t="inlineStr">
        <is>
          <t>JÄMTLANDS LÄN</t>
        </is>
      </c>
      <c r="E736" t="inlineStr">
        <is>
          <t>ÖSTERSUND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22384-2025</t>
        </is>
      </c>
      <c r="B737" s="1" t="n">
        <v>45786</v>
      </c>
      <c r="C737" s="1" t="n">
        <v>46076</v>
      </c>
      <c r="D737" t="inlineStr">
        <is>
          <t>JÄMTLANDS LÄN</t>
        </is>
      </c>
      <c r="E737" t="inlineStr">
        <is>
          <t>ÖSTERSUND</t>
        </is>
      </c>
      <c r="G737" t="n">
        <v>1.4</v>
      </c>
      <c r="H737" t="n">
        <v>0</v>
      </c>
      <c r="I737" t="n">
        <v>0</v>
      </c>
      <c r="J737" t="n">
        <v>0</v>
      </c>
      <c r="K737" t="n">
        <v>0</v>
      </c>
      <c r="L737" t="n">
        <v>0</v>
      </c>
      <c r="M737" t="n">
        <v>0</v>
      </c>
      <c r="N737" t="n">
        <v>0</v>
      </c>
      <c r="O737" t="n">
        <v>0</v>
      </c>
      <c r="P737" t="n">
        <v>0</v>
      </c>
      <c r="Q737" t="n">
        <v>0</v>
      </c>
      <c r="R737" s="2" t="inlineStr"/>
    </row>
    <row r="738" ht="15" customHeight="1">
      <c r="A738" t="inlineStr">
        <is>
          <t>A 23249-2025</t>
        </is>
      </c>
      <c r="B738" s="1" t="n">
        <v>45791</v>
      </c>
      <c r="C738" s="1" t="n">
        <v>46076</v>
      </c>
      <c r="D738" t="inlineStr">
        <is>
          <t>JÄMTLANDS LÄN</t>
        </is>
      </c>
      <c r="E738" t="inlineStr">
        <is>
          <t>ÖSTERSUND</t>
        </is>
      </c>
      <c r="G738" t="n">
        <v>10</v>
      </c>
      <c r="H738" t="n">
        <v>0</v>
      </c>
      <c r="I738" t="n">
        <v>0</v>
      </c>
      <c r="J738" t="n">
        <v>0</v>
      </c>
      <c r="K738" t="n">
        <v>0</v>
      </c>
      <c r="L738" t="n">
        <v>0</v>
      </c>
      <c r="M738" t="n">
        <v>0</v>
      </c>
      <c r="N738" t="n">
        <v>0</v>
      </c>
      <c r="O738" t="n">
        <v>0</v>
      </c>
      <c r="P738" t="n">
        <v>0</v>
      </c>
      <c r="Q738" t="n">
        <v>0</v>
      </c>
      <c r="R738" s="2" t="inlineStr"/>
    </row>
    <row r="739" ht="15" customHeight="1">
      <c r="A739" t="inlineStr">
        <is>
          <t>A 7938-2025</t>
        </is>
      </c>
      <c r="B739" s="1" t="n">
        <v>45707</v>
      </c>
      <c r="C739" s="1" t="n">
        <v>46076</v>
      </c>
      <c r="D739" t="inlineStr">
        <is>
          <t>JÄMTLANDS LÄN</t>
        </is>
      </c>
      <c r="E739" t="inlineStr">
        <is>
          <t>ÖSTERSUND</t>
        </is>
      </c>
      <c r="G739" t="n">
        <v>3</v>
      </c>
      <c r="H739" t="n">
        <v>0</v>
      </c>
      <c r="I739" t="n">
        <v>0</v>
      </c>
      <c r="J739" t="n">
        <v>0</v>
      </c>
      <c r="K739" t="n">
        <v>0</v>
      </c>
      <c r="L739" t="n">
        <v>0</v>
      </c>
      <c r="M739" t="n">
        <v>0</v>
      </c>
      <c r="N739" t="n">
        <v>0</v>
      </c>
      <c r="O739" t="n">
        <v>0</v>
      </c>
      <c r="P739" t="n">
        <v>0</v>
      </c>
      <c r="Q739" t="n">
        <v>0</v>
      </c>
      <c r="R739" s="2" t="inlineStr"/>
    </row>
    <row r="740" ht="15" customHeight="1">
      <c r="A740" t="inlineStr">
        <is>
          <t>A 23100-2025</t>
        </is>
      </c>
      <c r="B740" s="1" t="n">
        <v>45791.35212962963</v>
      </c>
      <c r="C740" s="1" t="n">
        <v>46076</v>
      </c>
      <c r="D740" t="inlineStr">
        <is>
          <t>JÄMTLANDS LÄN</t>
        </is>
      </c>
      <c r="E740" t="inlineStr">
        <is>
          <t>ÖSTERSUND</t>
        </is>
      </c>
      <c r="G740" t="n">
        <v>4.5</v>
      </c>
      <c r="H740" t="n">
        <v>0</v>
      </c>
      <c r="I740" t="n">
        <v>0</v>
      </c>
      <c r="J740" t="n">
        <v>0</v>
      </c>
      <c r="K740" t="n">
        <v>0</v>
      </c>
      <c r="L740" t="n">
        <v>0</v>
      </c>
      <c r="M740" t="n">
        <v>0</v>
      </c>
      <c r="N740" t="n">
        <v>0</v>
      </c>
      <c r="O740" t="n">
        <v>0</v>
      </c>
      <c r="P740" t="n">
        <v>0</v>
      </c>
      <c r="Q740" t="n">
        <v>0</v>
      </c>
      <c r="R740" s="2" t="inlineStr"/>
    </row>
    <row r="741" ht="15" customHeight="1">
      <c r="A741" t="inlineStr">
        <is>
          <t>A 23110-2025</t>
        </is>
      </c>
      <c r="B741" s="1" t="n">
        <v>45791.36526620371</v>
      </c>
      <c r="C741" s="1" t="n">
        <v>46076</v>
      </c>
      <c r="D741" t="inlineStr">
        <is>
          <t>JÄMTLANDS LÄN</t>
        </is>
      </c>
      <c r="E741" t="inlineStr">
        <is>
          <t>ÖSTERSUND</t>
        </is>
      </c>
      <c r="G741" t="n">
        <v>1</v>
      </c>
      <c r="H741" t="n">
        <v>0</v>
      </c>
      <c r="I741" t="n">
        <v>0</v>
      </c>
      <c r="J741" t="n">
        <v>0</v>
      </c>
      <c r="K741" t="n">
        <v>0</v>
      </c>
      <c r="L741" t="n">
        <v>0</v>
      </c>
      <c r="M741" t="n">
        <v>0</v>
      </c>
      <c r="N741" t="n">
        <v>0</v>
      </c>
      <c r="O741" t="n">
        <v>0</v>
      </c>
      <c r="P741" t="n">
        <v>0</v>
      </c>
      <c r="Q741" t="n">
        <v>0</v>
      </c>
      <c r="R741" s="2" t="inlineStr"/>
    </row>
    <row r="742" ht="15" customHeight="1">
      <c r="A742" t="inlineStr">
        <is>
          <t>A 22920-2025</t>
        </is>
      </c>
      <c r="B742" s="1" t="n">
        <v>45790.43905092592</v>
      </c>
      <c r="C742" s="1" t="n">
        <v>46076</v>
      </c>
      <c r="D742" t="inlineStr">
        <is>
          <t>JÄMTLANDS LÄN</t>
        </is>
      </c>
      <c r="E742" t="inlineStr">
        <is>
          <t>ÖSTERSUND</t>
        </is>
      </c>
      <c r="G742" t="n">
        <v>0.4</v>
      </c>
      <c r="H742" t="n">
        <v>0</v>
      </c>
      <c r="I742" t="n">
        <v>0</v>
      </c>
      <c r="J742" t="n">
        <v>0</v>
      </c>
      <c r="K742" t="n">
        <v>0</v>
      </c>
      <c r="L742" t="n">
        <v>0</v>
      </c>
      <c r="M742" t="n">
        <v>0</v>
      </c>
      <c r="N742" t="n">
        <v>0</v>
      </c>
      <c r="O742" t="n">
        <v>0</v>
      </c>
      <c r="P742" t="n">
        <v>0</v>
      </c>
      <c r="Q742" t="n">
        <v>0</v>
      </c>
      <c r="R742" s="2" t="inlineStr"/>
    </row>
    <row r="743" ht="15" customHeight="1">
      <c r="A743" t="inlineStr">
        <is>
          <t>A 23078-2025</t>
        </is>
      </c>
      <c r="B743" s="1" t="n">
        <v>45791.27984953704</v>
      </c>
      <c r="C743" s="1" t="n">
        <v>46076</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23877-2025</t>
        </is>
      </c>
      <c r="B744" s="1" t="n">
        <v>45793.68469907407</v>
      </c>
      <c r="C744" s="1" t="n">
        <v>46076</v>
      </c>
      <c r="D744" t="inlineStr">
        <is>
          <t>JÄMTLANDS LÄN</t>
        </is>
      </c>
      <c r="E744" t="inlineStr">
        <is>
          <t>ÖSTERSUND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24403-2025</t>
        </is>
      </c>
      <c r="B745" s="1" t="n">
        <v>45797.65025462963</v>
      </c>
      <c r="C745" s="1" t="n">
        <v>46076</v>
      </c>
      <c r="D745" t="inlineStr">
        <is>
          <t>JÄMTLANDS LÄN</t>
        </is>
      </c>
      <c r="E745" t="inlineStr">
        <is>
          <t>ÖSTERSUND</t>
        </is>
      </c>
      <c r="G745" t="n">
        <v>1.3</v>
      </c>
      <c r="H745" t="n">
        <v>0</v>
      </c>
      <c r="I745" t="n">
        <v>0</v>
      </c>
      <c r="J745" t="n">
        <v>0</v>
      </c>
      <c r="K745" t="n">
        <v>0</v>
      </c>
      <c r="L745" t="n">
        <v>0</v>
      </c>
      <c r="M745" t="n">
        <v>0</v>
      </c>
      <c r="N745" t="n">
        <v>0</v>
      </c>
      <c r="O745" t="n">
        <v>0</v>
      </c>
      <c r="P745" t="n">
        <v>0</v>
      </c>
      <c r="Q745" t="n">
        <v>0</v>
      </c>
      <c r="R745" s="2" t="inlineStr"/>
    </row>
    <row r="746" ht="15" customHeight="1">
      <c r="A746" t="inlineStr">
        <is>
          <t>A 41780-2024</t>
        </is>
      </c>
      <c r="B746" s="1" t="n">
        <v>45561.34908564815</v>
      </c>
      <c r="C746" s="1" t="n">
        <v>46076</v>
      </c>
      <c r="D746" t="inlineStr">
        <is>
          <t>JÄMTLANDS LÄN</t>
        </is>
      </c>
      <c r="E746" t="inlineStr">
        <is>
          <t>ÖSTERSUND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24568-2025</t>
        </is>
      </c>
      <c r="B747" s="1" t="n">
        <v>45798.46913194445</v>
      </c>
      <c r="C747" s="1" t="n">
        <v>46076</v>
      </c>
      <c r="D747" t="inlineStr">
        <is>
          <t>JÄMTLANDS LÄN</t>
        </is>
      </c>
      <c r="E747" t="inlineStr">
        <is>
          <t>ÖSTERSUND</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24523-2025</t>
        </is>
      </c>
      <c r="B748" s="1" t="n">
        <v>45798.42108796296</v>
      </c>
      <c r="C748" s="1" t="n">
        <v>46076</v>
      </c>
      <c r="D748" t="inlineStr">
        <is>
          <t>JÄMTLANDS LÄN</t>
        </is>
      </c>
      <c r="E748" t="inlineStr">
        <is>
          <t>ÖSTERSUND</t>
        </is>
      </c>
      <c r="G748" t="n">
        <v>13.7</v>
      </c>
      <c r="H748" t="n">
        <v>0</v>
      </c>
      <c r="I748" t="n">
        <v>0</v>
      </c>
      <c r="J748" t="n">
        <v>0</v>
      </c>
      <c r="K748" t="n">
        <v>0</v>
      </c>
      <c r="L748" t="n">
        <v>0</v>
      </c>
      <c r="M748" t="n">
        <v>0</v>
      </c>
      <c r="N748" t="n">
        <v>0</v>
      </c>
      <c r="O748" t="n">
        <v>0</v>
      </c>
      <c r="P748" t="n">
        <v>0</v>
      </c>
      <c r="Q748" t="n">
        <v>0</v>
      </c>
      <c r="R748" s="2" t="inlineStr"/>
    </row>
    <row r="749" ht="15" customHeight="1">
      <c r="A749" t="inlineStr">
        <is>
          <t>A 25058-2025</t>
        </is>
      </c>
      <c r="B749" s="1" t="n">
        <v>45799.68418981481</v>
      </c>
      <c r="C749" s="1" t="n">
        <v>46076</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53176-2024</t>
        </is>
      </c>
      <c r="B750" s="1" t="n">
        <v>45611.66655092593</v>
      </c>
      <c r="C750" s="1" t="n">
        <v>46076</v>
      </c>
      <c r="D750" t="inlineStr">
        <is>
          <t>JÄMTLANDS LÄN</t>
        </is>
      </c>
      <c r="E750" t="inlineStr">
        <is>
          <t>ÖSTERSUND</t>
        </is>
      </c>
      <c r="G750" t="n">
        <v>1.1</v>
      </c>
      <c r="H750" t="n">
        <v>0</v>
      </c>
      <c r="I750" t="n">
        <v>0</v>
      </c>
      <c r="J750" t="n">
        <v>0</v>
      </c>
      <c r="K750" t="n">
        <v>0</v>
      </c>
      <c r="L750" t="n">
        <v>0</v>
      </c>
      <c r="M750" t="n">
        <v>0</v>
      </c>
      <c r="N750" t="n">
        <v>0</v>
      </c>
      <c r="O750" t="n">
        <v>0</v>
      </c>
      <c r="P750" t="n">
        <v>0</v>
      </c>
      <c r="Q750" t="n">
        <v>0</v>
      </c>
      <c r="R750" s="2" t="inlineStr"/>
    </row>
    <row r="751" ht="15" customHeight="1">
      <c r="A751" t="inlineStr">
        <is>
          <t>A 25069-2025</t>
        </is>
      </c>
      <c r="B751" s="1" t="n">
        <v>45799.7372337963</v>
      </c>
      <c r="C751" s="1" t="n">
        <v>46076</v>
      </c>
      <c r="D751" t="inlineStr">
        <is>
          <t>JÄMTLANDS LÄN</t>
        </is>
      </c>
      <c r="E751" t="inlineStr">
        <is>
          <t>ÖSTERSUND</t>
        </is>
      </c>
      <c r="G751" t="n">
        <v>3.5</v>
      </c>
      <c r="H751" t="n">
        <v>0</v>
      </c>
      <c r="I751" t="n">
        <v>0</v>
      </c>
      <c r="J751" t="n">
        <v>0</v>
      </c>
      <c r="K751" t="n">
        <v>0</v>
      </c>
      <c r="L751" t="n">
        <v>0</v>
      </c>
      <c r="M751" t="n">
        <v>0</v>
      </c>
      <c r="N751" t="n">
        <v>0</v>
      </c>
      <c r="O751" t="n">
        <v>0</v>
      </c>
      <c r="P751" t="n">
        <v>0</v>
      </c>
      <c r="Q751" t="n">
        <v>0</v>
      </c>
      <c r="R751" s="2" t="inlineStr"/>
    </row>
    <row r="752" ht="15" customHeight="1">
      <c r="A752" t="inlineStr">
        <is>
          <t>A 24946-2025</t>
        </is>
      </c>
      <c r="B752" s="1" t="n">
        <v>45799.56515046296</v>
      </c>
      <c r="C752" s="1" t="n">
        <v>46076</v>
      </c>
      <c r="D752" t="inlineStr">
        <is>
          <t>JÄMTLANDS LÄN</t>
        </is>
      </c>
      <c r="E752" t="inlineStr">
        <is>
          <t>ÖSTERSUND</t>
        </is>
      </c>
      <c r="G752" t="n">
        <v>4.8</v>
      </c>
      <c r="H752" t="n">
        <v>0</v>
      </c>
      <c r="I752" t="n">
        <v>0</v>
      </c>
      <c r="J752" t="n">
        <v>0</v>
      </c>
      <c r="K752" t="n">
        <v>0</v>
      </c>
      <c r="L752" t="n">
        <v>0</v>
      </c>
      <c r="M752" t="n">
        <v>0</v>
      </c>
      <c r="N752" t="n">
        <v>0</v>
      </c>
      <c r="O752" t="n">
        <v>0</v>
      </c>
      <c r="P752" t="n">
        <v>0</v>
      </c>
      <c r="Q752" t="n">
        <v>0</v>
      </c>
      <c r="R752" s="2" t="inlineStr"/>
    </row>
    <row r="753" ht="15" customHeight="1">
      <c r="A753" t="inlineStr">
        <is>
          <t>A 25059-2025</t>
        </is>
      </c>
      <c r="B753" s="1" t="n">
        <v>45799.69116898148</v>
      </c>
      <c r="C753" s="1" t="n">
        <v>46076</v>
      </c>
      <c r="D753" t="inlineStr">
        <is>
          <t>JÄMTLANDS LÄN</t>
        </is>
      </c>
      <c r="E753" t="inlineStr">
        <is>
          <t>ÖSTERSUND</t>
        </is>
      </c>
      <c r="G753" t="n">
        <v>2.7</v>
      </c>
      <c r="H753" t="n">
        <v>0</v>
      </c>
      <c r="I753" t="n">
        <v>0</v>
      </c>
      <c r="J753" t="n">
        <v>0</v>
      </c>
      <c r="K753" t="n">
        <v>0</v>
      </c>
      <c r="L753" t="n">
        <v>0</v>
      </c>
      <c r="M753" t="n">
        <v>0</v>
      </c>
      <c r="N753" t="n">
        <v>0</v>
      </c>
      <c r="O753" t="n">
        <v>0</v>
      </c>
      <c r="P753" t="n">
        <v>0</v>
      </c>
      <c r="Q753" t="n">
        <v>0</v>
      </c>
      <c r="R753" s="2" t="inlineStr"/>
    </row>
    <row r="754" ht="15" customHeight="1">
      <c r="A754" t="inlineStr">
        <is>
          <t>A 25572-2025</t>
        </is>
      </c>
      <c r="B754" s="1" t="n">
        <v>45803</v>
      </c>
      <c r="C754" s="1" t="n">
        <v>46076</v>
      </c>
      <c r="D754" t="inlineStr">
        <is>
          <t>JÄMTLANDS LÄN</t>
        </is>
      </c>
      <c r="E754" t="inlineStr">
        <is>
          <t>ÖSTERSUND</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25252-2025</t>
        </is>
      </c>
      <c r="B755" s="1" t="n">
        <v>45800.50355324074</v>
      </c>
      <c r="C755" s="1" t="n">
        <v>46076</v>
      </c>
      <c r="D755" t="inlineStr">
        <is>
          <t>JÄMTLANDS LÄN</t>
        </is>
      </c>
      <c r="E755" t="inlineStr">
        <is>
          <t>ÖSTERSUND</t>
        </is>
      </c>
      <c r="G755" t="n">
        <v>2.7</v>
      </c>
      <c r="H755" t="n">
        <v>0</v>
      </c>
      <c r="I755" t="n">
        <v>0</v>
      </c>
      <c r="J755" t="n">
        <v>0</v>
      </c>
      <c r="K755" t="n">
        <v>0</v>
      </c>
      <c r="L755" t="n">
        <v>0</v>
      </c>
      <c r="M755" t="n">
        <v>0</v>
      </c>
      <c r="N755" t="n">
        <v>0</v>
      </c>
      <c r="O755" t="n">
        <v>0</v>
      </c>
      <c r="P755" t="n">
        <v>0</v>
      </c>
      <c r="Q755" t="n">
        <v>0</v>
      </c>
      <c r="R755" s="2" t="inlineStr"/>
    </row>
    <row r="756" ht="15" customHeight="1">
      <c r="A756" t="inlineStr">
        <is>
          <t>A 25210-2025</t>
        </is>
      </c>
      <c r="B756" s="1" t="n">
        <v>45800.46960648148</v>
      </c>
      <c r="C756" s="1" t="n">
        <v>46076</v>
      </c>
      <c r="D756" t="inlineStr">
        <is>
          <t>JÄMTLANDS LÄN</t>
        </is>
      </c>
      <c r="E756" t="inlineStr">
        <is>
          <t>ÖSTERSUND</t>
        </is>
      </c>
      <c r="G756" t="n">
        <v>3.5</v>
      </c>
      <c r="H756" t="n">
        <v>0</v>
      </c>
      <c r="I756" t="n">
        <v>0</v>
      </c>
      <c r="J756" t="n">
        <v>0</v>
      </c>
      <c r="K756" t="n">
        <v>0</v>
      </c>
      <c r="L756" t="n">
        <v>0</v>
      </c>
      <c r="M756" t="n">
        <v>0</v>
      </c>
      <c r="N756" t="n">
        <v>0</v>
      </c>
      <c r="O756" t="n">
        <v>0</v>
      </c>
      <c r="P756" t="n">
        <v>0</v>
      </c>
      <c r="Q756" t="n">
        <v>0</v>
      </c>
      <c r="R756" s="2" t="inlineStr"/>
    </row>
    <row r="757" ht="15" customHeight="1">
      <c r="A757" t="inlineStr">
        <is>
          <t>A 26144-2025</t>
        </is>
      </c>
      <c r="B757" s="1" t="n">
        <v>45805.42827546296</v>
      </c>
      <c r="C757" s="1" t="n">
        <v>46076</v>
      </c>
      <c r="D757" t="inlineStr">
        <is>
          <t>JÄMTLANDS LÄN</t>
        </is>
      </c>
      <c r="E757" t="inlineStr">
        <is>
          <t>ÖSTERSUND</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47357-2024</t>
        </is>
      </c>
      <c r="B758" s="1" t="n">
        <v>45587.42835648148</v>
      </c>
      <c r="C758" s="1" t="n">
        <v>46076</v>
      </c>
      <c r="D758" t="inlineStr">
        <is>
          <t>JÄMTLANDS LÄN</t>
        </is>
      </c>
      <c r="E758" t="inlineStr">
        <is>
          <t>ÖSTERSUND</t>
        </is>
      </c>
      <c r="G758" t="n">
        <v>2.4</v>
      </c>
      <c r="H758" t="n">
        <v>0</v>
      </c>
      <c r="I758" t="n">
        <v>0</v>
      </c>
      <c r="J758" t="n">
        <v>0</v>
      </c>
      <c r="K758" t="n">
        <v>0</v>
      </c>
      <c r="L758" t="n">
        <v>0</v>
      </c>
      <c r="M758" t="n">
        <v>0</v>
      </c>
      <c r="N758" t="n">
        <v>0</v>
      </c>
      <c r="O758" t="n">
        <v>0</v>
      </c>
      <c r="P758" t="n">
        <v>0</v>
      </c>
      <c r="Q758" t="n">
        <v>0</v>
      </c>
      <c r="R758" s="2" t="inlineStr"/>
    </row>
    <row r="759" ht="15" customHeight="1">
      <c r="A759" t="inlineStr">
        <is>
          <t>A 26492-2025</t>
        </is>
      </c>
      <c r="B759" s="1" t="n">
        <v>45807</v>
      </c>
      <c r="C759" s="1" t="n">
        <v>46076</v>
      </c>
      <c r="D759" t="inlineStr">
        <is>
          <t>JÄMTLANDS LÄN</t>
        </is>
      </c>
      <c r="E759" t="inlineStr">
        <is>
          <t>ÖSTERSUND</t>
        </is>
      </c>
      <c r="G759" t="n">
        <v>7</v>
      </c>
      <c r="H759" t="n">
        <v>0</v>
      </c>
      <c r="I759" t="n">
        <v>0</v>
      </c>
      <c r="J759" t="n">
        <v>0</v>
      </c>
      <c r="K759" t="n">
        <v>0</v>
      </c>
      <c r="L759" t="n">
        <v>0</v>
      </c>
      <c r="M759" t="n">
        <v>0</v>
      </c>
      <c r="N759" t="n">
        <v>0</v>
      </c>
      <c r="O759" t="n">
        <v>0</v>
      </c>
      <c r="P759" t="n">
        <v>0</v>
      </c>
      <c r="Q759" t="n">
        <v>0</v>
      </c>
      <c r="R759" s="2" t="inlineStr"/>
    </row>
    <row r="760" ht="15" customHeight="1">
      <c r="A760" t="inlineStr">
        <is>
          <t>A 26500-2025</t>
        </is>
      </c>
      <c r="B760" s="1" t="n">
        <v>45807</v>
      </c>
      <c r="C760" s="1" t="n">
        <v>46076</v>
      </c>
      <c r="D760" t="inlineStr">
        <is>
          <t>JÄMTLANDS LÄN</t>
        </is>
      </c>
      <c r="E760" t="inlineStr">
        <is>
          <t>ÖSTERSUND</t>
        </is>
      </c>
      <c r="G760" t="n">
        <v>1.7</v>
      </c>
      <c r="H760" t="n">
        <v>0</v>
      </c>
      <c r="I760" t="n">
        <v>0</v>
      </c>
      <c r="J760" t="n">
        <v>0</v>
      </c>
      <c r="K760" t="n">
        <v>0</v>
      </c>
      <c r="L760" t="n">
        <v>0</v>
      </c>
      <c r="M760" t="n">
        <v>0</v>
      </c>
      <c r="N760" t="n">
        <v>0</v>
      </c>
      <c r="O760" t="n">
        <v>0</v>
      </c>
      <c r="P760" t="n">
        <v>0</v>
      </c>
      <c r="Q760" t="n">
        <v>0</v>
      </c>
      <c r="R760" s="2" t="inlineStr"/>
    </row>
    <row r="761" ht="15" customHeight="1">
      <c r="A761" t="inlineStr">
        <is>
          <t>A 5135-2025</t>
        </is>
      </c>
      <c r="B761" s="1" t="n">
        <v>45691</v>
      </c>
      <c r="C761" s="1" t="n">
        <v>46076</v>
      </c>
      <c r="D761" t="inlineStr">
        <is>
          <t>JÄMTLANDS LÄN</t>
        </is>
      </c>
      <c r="E761" t="inlineStr">
        <is>
          <t>ÖSTERSUND</t>
        </is>
      </c>
      <c r="F761" t="inlineStr">
        <is>
          <t>Övriga Aktiebolag</t>
        </is>
      </c>
      <c r="G761" t="n">
        <v>126.9</v>
      </c>
      <c r="H761" t="n">
        <v>0</v>
      </c>
      <c r="I761" t="n">
        <v>0</v>
      </c>
      <c r="J761" t="n">
        <v>0</v>
      </c>
      <c r="K761" t="n">
        <v>0</v>
      </c>
      <c r="L761" t="n">
        <v>0</v>
      </c>
      <c r="M761" t="n">
        <v>0</v>
      </c>
      <c r="N761" t="n">
        <v>0</v>
      </c>
      <c r="O761" t="n">
        <v>0</v>
      </c>
      <c r="P761" t="n">
        <v>0</v>
      </c>
      <c r="Q761" t="n">
        <v>0</v>
      </c>
      <c r="R761" s="2" t="inlineStr"/>
    </row>
    <row r="762" ht="15" customHeight="1">
      <c r="A762" t="inlineStr">
        <is>
          <t>A 3610-2024</t>
        </is>
      </c>
      <c r="B762" s="1" t="n">
        <v>45320.92060185185</v>
      </c>
      <c r="C762" s="1" t="n">
        <v>46076</v>
      </c>
      <c r="D762" t="inlineStr">
        <is>
          <t>JÄMTLANDS LÄN</t>
        </is>
      </c>
      <c r="E762" t="inlineStr">
        <is>
          <t>ÖSTERSUND</t>
        </is>
      </c>
      <c r="G762" t="n">
        <v>6.2</v>
      </c>
      <c r="H762" t="n">
        <v>0</v>
      </c>
      <c r="I762" t="n">
        <v>0</v>
      </c>
      <c r="J762" t="n">
        <v>0</v>
      </c>
      <c r="K762" t="n">
        <v>0</v>
      </c>
      <c r="L762" t="n">
        <v>0</v>
      </c>
      <c r="M762" t="n">
        <v>0</v>
      </c>
      <c r="N762" t="n">
        <v>0</v>
      </c>
      <c r="O762" t="n">
        <v>0</v>
      </c>
      <c r="P762" t="n">
        <v>0</v>
      </c>
      <c r="Q762" t="n">
        <v>0</v>
      </c>
      <c r="R762" s="2" t="inlineStr"/>
    </row>
    <row r="763" ht="15" customHeight="1">
      <c r="A763" t="inlineStr">
        <is>
          <t>A 27034-2025</t>
        </is>
      </c>
      <c r="B763" s="1" t="n">
        <v>45811.59258101852</v>
      </c>
      <c r="C763" s="1" t="n">
        <v>46076</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26587-2025</t>
        </is>
      </c>
      <c r="B764" s="1" t="n">
        <v>45807.75076388889</v>
      </c>
      <c r="C764" s="1" t="n">
        <v>46076</v>
      </c>
      <c r="D764" t="inlineStr">
        <is>
          <t>JÄMTLANDS LÄN</t>
        </is>
      </c>
      <c r="E764" t="inlineStr">
        <is>
          <t>ÖSTERSUND</t>
        </is>
      </c>
      <c r="G764" t="n">
        <v>0.5</v>
      </c>
      <c r="H764" t="n">
        <v>0</v>
      </c>
      <c r="I764" t="n">
        <v>0</v>
      </c>
      <c r="J764" t="n">
        <v>0</v>
      </c>
      <c r="K764" t="n">
        <v>0</v>
      </c>
      <c r="L764" t="n">
        <v>0</v>
      </c>
      <c r="M764" t="n">
        <v>0</v>
      </c>
      <c r="N764" t="n">
        <v>0</v>
      </c>
      <c r="O764" t="n">
        <v>0</v>
      </c>
      <c r="P764" t="n">
        <v>0</v>
      </c>
      <c r="Q764" t="n">
        <v>0</v>
      </c>
      <c r="R764" s="2" t="inlineStr"/>
    </row>
    <row r="765" ht="15" customHeight="1">
      <c r="A765" t="inlineStr">
        <is>
          <t>A 10064-2024</t>
        </is>
      </c>
      <c r="B765" s="1" t="n">
        <v>45364.3874074074</v>
      </c>
      <c r="C765" s="1" t="n">
        <v>46076</v>
      </c>
      <c r="D765" t="inlineStr">
        <is>
          <t>JÄMTLANDS LÄN</t>
        </is>
      </c>
      <c r="E765" t="inlineStr">
        <is>
          <t>ÖSTERSUND</t>
        </is>
      </c>
      <c r="G765" t="n">
        <v>13.9</v>
      </c>
      <c r="H765" t="n">
        <v>0</v>
      </c>
      <c r="I765" t="n">
        <v>0</v>
      </c>
      <c r="J765" t="n">
        <v>0</v>
      </c>
      <c r="K765" t="n">
        <v>0</v>
      </c>
      <c r="L765" t="n">
        <v>0</v>
      </c>
      <c r="M765" t="n">
        <v>0</v>
      </c>
      <c r="N765" t="n">
        <v>0</v>
      </c>
      <c r="O765" t="n">
        <v>0</v>
      </c>
      <c r="P765" t="n">
        <v>0</v>
      </c>
      <c r="Q765" t="n">
        <v>0</v>
      </c>
      <c r="R765" s="2" t="inlineStr"/>
    </row>
    <row r="766" ht="15" customHeight="1">
      <c r="A766" t="inlineStr">
        <is>
          <t>A 13651-2025</t>
        </is>
      </c>
      <c r="B766" s="1" t="n">
        <v>45736.71818287037</v>
      </c>
      <c r="C766" s="1" t="n">
        <v>46076</v>
      </c>
      <c r="D766" t="inlineStr">
        <is>
          <t>JÄMTLANDS LÄN</t>
        </is>
      </c>
      <c r="E766" t="inlineStr">
        <is>
          <t>ÖSTERSUND</t>
        </is>
      </c>
      <c r="G766" t="n">
        <v>3.7</v>
      </c>
      <c r="H766" t="n">
        <v>0</v>
      </c>
      <c r="I766" t="n">
        <v>0</v>
      </c>
      <c r="J766" t="n">
        <v>0</v>
      </c>
      <c r="K766" t="n">
        <v>0</v>
      </c>
      <c r="L766" t="n">
        <v>0</v>
      </c>
      <c r="M766" t="n">
        <v>0</v>
      </c>
      <c r="N766" t="n">
        <v>0</v>
      </c>
      <c r="O766" t="n">
        <v>0</v>
      </c>
      <c r="P766" t="n">
        <v>0</v>
      </c>
      <c r="Q766" t="n">
        <v>0</v>
      </c>
      <c r="R766" s="2" t="inlineStr"/>
    </row>
    <row r="767" ht="15" customHeight="1">
      <c r="A767" t="inlineStr">
        <is>
          <t>A 39510-2024</t>
        </is>
      </c>
      <c r="B767" s="1" t="n">
        <v>45551.67761574074</v>
      </c>
      <c r="C767" s="1" t="n">
        <v>46076</v>
      </c>
      <c r="D767" t="inlineStr">
        <is>
          <t>JÄMTLANDS LÄN</t>
        </is>
      </c>
      <c r="E767" t="inlineStr">
        <is>
          <t>ÖSTERSUND</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27035-2025</t>
        </is>
      </c>
      <c r="B768" s="1" t="n">
        <v>45811.5928587963</v>
      </c>
      <c r="C768" s="1" t="n">
        <v>46076</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10266-2025</t>
        </is>
      </c>
      <c r="B769" s="1" t="n">
        <v>45720.38576388889</v>
      </c>
      <c r="C769" s="1" t="n">
        <v>46076</v>
      </c>
      <c r="D769" t="inlineStr">
        <is>
          <t>JÄMTLANDS LÄN</t>
        </is>
      </c>
      <c r="E769" t="inlineStr">
        <is>
          <t>ÖSTERSUND</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27517-2025</t>
        </is>
      </c>
      <c r="B770" s="1" t="n">
        <v>45813.43966435185</v>
      </c>
      <c r="C770" s="1" t="n">
        <v>46076</v>
      </c>
      <c r="D770" t="inlineStr">
        <is>
          <t>JÄMTLANDS LÄN</t>
        </is>
      </c>
      <c r="E770" t="inlineStr">
        <is>
          <t>ÖSTERSUND</t>
        </is>
      </c>
      <c r="G770" t="n">
        <v>2.2</v>
      </c>
      <c r="H770" t="n">
        <v>0</v>
      </c>
      <c r="I770" t="n">
        <v>0</v>
      </c>
      <c r="J770" t="n">
        <v>0</v>
      </c>
      <c r="K770" t="n">
        <v>0</v>
      </c>
      <c r="L770" t="n">
        <v>0</v>
      </c>
      <c r="M770" t="n">
        <v>0</v>
      </c>
      <c r="N770" t="n">
        <v>0</v>
      </c>
      <c r="O770" t="n">
        <v>0</v>
      </c>
      <c r="P770" t="n">
        <v>0</v>
      </c>
      <c r="Q770" t="n">
        <v>0</v>
      </c>
      <c r="R770" s="2" t="inlineStr"/>
    </row>
    <row r="771">
      <c r="A771" t="inlineStr">
        <is>
          <t>A 7956-2025</t>
        </is>
      </c>
      <c r="B771" s="1" t="n">
        <v>45707.42825231481</v>
      </c>
      <c r="C771" s="1" t="n">
        <v>46076</v>
      </c>
      <c r="D771" t="inlineStr">
        <is>
          <t>JÄMTLANDS LÄN</t>
        </is>
      </c>
      <c r="E771" t="inlineStr">
        <is>
          <t>ÖSTERSUND</t>
        </is>
      </c>
      <c r="F771" t="inlineStr">
        <is>
          <t>Övriga Aktiebolag</t>
        </is>
      </c>
      <c r="G771" t="n">
        <v>111.2</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2026-02-23T11:09:17Z</dcterms:created>
  <dcterms:modified xmlns:dcterms="http://purl.org/dc/terms/" xmlns:xsi="http://www.w3.org/2001/XMLSchema-instance" xsi:type="dcterms:W3CDTF">2026-02-23T11:09:18Z</dcterms:modified>
</cp:coreProperties>
</file>