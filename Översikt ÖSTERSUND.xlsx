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45984</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45984</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45984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45984</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45984</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45984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45984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45984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45984</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44532-2025</t>
        </is>
      </c>
      <c r="B15" s="1" t="n">
        <v>45916.80152777778</v>
      </c>
      <c r="C15" s="1" t="n">
        <v>45984</v>
      </c>
      <c r="D15" t="inlineStr">
        <is>
          <t>JÄMTLANDS LÄN</t>
        </is>
      </c>
      <c r="E15" t="inlineStr">
        <is>
          <t>ÖSTERSUND</t>
        </is>
      </c>
      <c r="G15" t="n">
        <v>2.9</v>
      </c>
      <c r="H15" t="n">
        <v>2</v>
      </c>
      <c r="I15" t="n">
        <v>3</v>
      </c>
      <c r="J15" t="n">
        <v>9</v>
      </c>
      <c r="K15" t="n">
        <v>2</v>
      </c>
      <c r="L15" t="n">
        <v>0</v>
      </c>
      <c r="M15" t="n">
        <v>0</v>
      </c>
      <c r="N15" t="n">
        <v>0</v>
      </c>
      <c r="O15" t="n">
        <v>11</v>
      </c>
      <c r="P15" t="n">
        <v>2</v>
      </c>
      <c r="Q15" t="n">
        <v>14</v>
      </c>
      <c r="R15" s="2" t="inlineStr">
        <is>
          <t>Knärot
Rynkskinn
Garnlav
Harticka
Liten svartspik
Rosenticka
Talltita
Ullticka
Vedtrappmossa
Vitgrynig nållav
Äggvaxskivling
Svavelriska
Trådticka
Vedticka</t>
        </is>
      </c>
      <c r="S15">
        <f>HYPERLINK("https://klasma.github.io/Logging_2380/artfynd/A 44532-2025 artfynd.xlsx", "A 44532-2025")</f>
        <v/>
      </c>
      <c r="T15">
        <f>HYPERLINK("https://klasma.github.io/Logging_2380/kartor/A 44532-2025 karta.png", "A 44532-2025")</f>
        <v/>
      </c>
      <c r="U15">
        <f>HYPERLINK("https://klasma.github.io/Logging_2380/knärot/A 44532-2025 karta knärot.png", "A 44532-2025")</f>
        <v/>
      </c>
      <c r="V15">
        <f>HYPERLINK("https://klasma.github.io/Logging_2380/klagomål/A 44532-2025 FSC-klagomål.docx", "A 44532-2025")</f>
        <v/>
      </c>
      <c r="W15">
        <f>HYPERLINK("https://klasma.github.io/Logging_2380/klagomålsmail/A 44532-2025 FSC-klagomål mail.docx", "A 44532-2025")</f>
        <v/>
      </c>
      <c r="X15">
        <f>HYPERLINK("https://klasma.github.io/Logging_2380/tillsyn/A 44532-2025 tillsynsbegäran.docx", "A 44532-2025")</f>
        <v/>
      </c>
      <c r="Y15">
        <f>HYPERLINK("https://klasma.github.io/Logging_2380/tillsynsmail/A 44532-2025 tillsynsbegäran mail.docx", "A 44532-2025")</f>
        <v/>
      </c>
      <c r="Z15">
        <f>HYPERLINK("https://klasma.github.io/Logging_2380/fåglar/A 44532-2025 prioriterade fågelarter.docx", "A 44532-2025")</f>
        <v/>
      </c>
    </row>
    <row r="16" ht="15" customHeight="1">
      <c r="A16" t="inlineStr">
        <is>
          <t>A 2979-2023</t>
        </is>
      </c>
      <c r="B16" s="1" t="n">
        <v>44945</v>
      </c>
      <c r="C16" s="1" t="n">
        <v>45984</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45984</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45984</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45984</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49928-2025</t>
        </is>
      </c>
      <c r="B20" s="1" t="n">
        <v>45940.65138888889</v>
      </c>
      <c r="C20" s="1" t="n">
        <v>45984</v>
      </c>
      <c r="D20" t="inlineStr">
        <is>
          <t>JÄMTLANDS LÄN</t>
        </is>
      </c>
      <c r="E20" t="inlineStr">
        <is>
          <t>ÖSTERSUND</t>
        </is>
      </c>
      <c r="G20" t="n">
        <v>6.4</v>
      </c>
      <c r="H20" t="n">
        <v>4</v>
      </c>
      <c r="I20" t="n">
        <v>2</v>
      </c>
      <c r="J20" t="n">
        <v>7</v>
      </c>
      <c r="K20" t="n">
        <v>1</v>
      </c>
      <c r="L20" t="n">
        <v>1</v>
      </c>
      <c r="M20" t="n">
        <v>0</v>
      </c>
      <c r="N20" t="n">
        <v>0</v>
      </c>
      <c r="O20" t="n">
        <v>9</v>
      </c>
      <c r="P20" t="n">
        <v>2</v>
      </c>
      <c r="Q20" t="n">
        <v>12</v>
      </c>
      <c r="R20" s="2" t="inlineStr">
        <is>
          <t>Mikroskapania
Knärot
Doftskinn
Garnlav
Granticka
Harticka
Platt spretmossa
Tretåig hackspett
Ullticka
Rödgul trumpetsvamp
Trådticka
Revlummer</t>
        </is>
      </c>
      <c r="S20">
        <f>HYPERLINK("https://klasma.github.io/Logging_2380/artfynd/A 49928-2025 artfynd.xlsx", "A 49928-2025")</f>
        <v/>
      </c>
      <c r="T20">
        <f>HYPERLINK("https://klasma.github.io/Logging_2380/kartor/A 49928-2025 karta.png", "A 49928-2025")</f>
        <v/>
      </c>
      <c r="U20">
        <f>HYPERLINK("https://klasma.github.io/Logging_2380/knärot/A 49928-2025 karta knärot.png", "A 49928-2025")</f>
        <v/>
      </c>
      <c r="V20">
        <f>HYPERLINK("https://klasma.github.io/Logging_2380/klagomål/A 49928-2025 FSC-klagomål.docx", "A 49928-2025")</f>
        <v/>
      </c>
      <c r="W20">
        <f>HYPERLINK("https://klasma.github.io/Logging_2380/klagomålsmail/A 49928-2025 FSC-klagomål mail.docx", "A 49928-2025")</f>
        <v/>
      </c>
      <c r="X20">
        <f>HYPERLINK("https://klasma.github.io/Logging_2380/tillsyn/A 49928-2025 tillsynsbegäran.docx", "A 49928-2025")</f>
        <v/>
      </c>
      <c r="Y20">
        <f>HYPERLINK("https://klasma.github.io/Logging_2380/tillsynsmail/A 49928-2025 tillsynsbegäran mail.docx", "A 49928-2025")</f>
        <v/>
      </c>
      <c r="Z20">
        <f>HYPERLINK("https://klasma.github.io/Logging_2380/fåglar/A 49928-2025 prioriterade fågelarter.docx", "A 49928-2025")</f>
        <v/>
      </c>
    </row>
    <row r="21" ht="15" customHeight="1">
      <c r="A21" t="inlineStr">
        <is>
          <t>A 55314-2024</t>
        </is>
      </c>
      <c r="B21" s="1" t="n">
        <v>45621</v>
      </c>
      <c r="C21" s="1" t="n">
        <v>45984</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48030-2025</t>
        </is>
      </c>
      <c r="B22" s="1" t="n">
        <v>45932.65210648148</v>
      </c>
      <c r="C22" s="1" t="n">
        <v>45984</v>
      </c>
      <c r="D22" t="inlineStr">
        <is>
          <t>JÄMTLANDS LÄN</t>
        </is>
      </c>
      <c r="E22" t="inlineStr">
        <is>
          <t>ÖSTERSUND</t>
        </is>
      </c>
      <c r="G22" t="n">
        <v>6.4</v>
      </c>
      <c r="H22" t="n">
        <v>4</v>
      </c>
      <c r="I22" t="n">
        <v>4</v>
      </c>
      <c r="J22" t="n">
        <v>5</v>
      </c>
      <c r="K22" t="n">
        <v>1</v>
      </c>
      <c r="L22" t="n">
        <v>0</v>
      </c>
      <c r="M22" t="n">
        <v>0</v>
      </c>
      <c r="N22" t="n">
        <v>0</v>
      </c>
      <c r="O22" t="n">
        <v>6</v>
      </c>
      <c r="P22" t="n">
        <v>1</v>
      </c>
      <c r="Q22" t="n">
        <v>11</v>
      </c>
      <c r="R22" s="2" t="inlineStr">
        <is>
          <t>Knärot
Garnlav
Lunglav
Skrovellav
Talltita
Tretåig hackspett
Luddlav
Stuplav
Svavelriska
Trådticka
Fläcknycklar</t>
        </is>
      </c>
      <c r="S22">
        <f>HYPERLINK("https://klasma.github.io/Logging_2380/artfynd/A 48030-2025 artfynd.xlsx", "A 48030-2025")</f>
        <v/>
      </c>
      <c r="T22">
        <f>HYPERLINK("https://klasma.github.io/Logging_2380/kartor/A 48030-2025 karta.png", "A 48030-2025")</f>
        <v/>
      </c>
      <c r="U22">
        <f>HYPERLINK("https://klasma.github.io/Logging_2380/knärot/A 48030-2025 karta knärot.png", "A 48030-2025")</f>
        <v/>
      </c>
      <c r="V22">
        <f>HYPERLINK("https://klasma.github.io/Logging_2380/klagomål/A 48030-2025 FSC-klagomål.docx", "A 48030-2025")</f>
        <v/>
      </c>
      <c r="W22">
        <f>HYPERLINK("https://klasma.github.io/Logging_2380/klagomålsmail/A 48030-2025 FSC-klagomål mail.docx", "A 48030-2025")</f>
        <v/>
      </c>
      <c r="X22">
        <f>HYPERLINK("https://klasma.github.io/Logging_2380/tillsyn/A 48030-2025 tillsynsbegäran.docx", "A 48030-2025")</f>
        <v/>
      </c>
      <c r="Y22">
        <f>HYPERLINK("https://klasma.github.io/Logging_2380/tillsynsmail/A 48030-2025 tillsynsbegäran mail.docx", "A 48030-2025")</f>
        <v/>
      </c>
      <c r="Z22">
        <f>HYPERLINK("https://klasma.github.io/Logging_2380/fåglar/A 48030-2025 prioriterade fågelarter.docx", "A 48030-2025")</f>
        <v/>
      </c>
    </row>
    <row r="23" ht="15" customHeight="1">
      <c r="A23" t="inlineStr">
        <is>
          <t>A 48959-2025</t>
        </is>
      </c>
      <c r="B23" s="1" t="n">
        <v>45937.55055555556</v>
      </c>
      <c r="C23" s="1" t="n">
        <v>45984</v>
      </c>
      <c r="D23" t="inlineStr">
        <is>
          <t>JÄMTLANDS LÄN</t>
        </is>
      </c>
      <c r="E23" t="inlineStr">
        <is>
          <t>ÖSTERSUND</t>
        </is>
      </c>
      <c r="G23" t="n">
        <v>10.5</v>
      </c>
      <c r="H23" t="n">
        <v>6</v>
      </c>
      <c r="I23" t="n">
        <v>2</v>
      </c>
      <c r="J23" t="n">
        <v>7</v>
      </c>
      <c r="K23" t="n">
        <v>1</v>
      </c>
      <c r="L23" t="n">
        <v>0</v>
      </c>
      <c r="M23" t="n">
        <v>0</v>
      </c>
      <c r="N23" t="n">
        <v>0</v>
      </c>
      <c r="O23" t="n">
        <v>8</v>
      </c>
      <c r="P23" t="n">
        <v>1</v>
      </c>
      <c r="Q23" t="n">
        <v>11</v>
      </c>
      <c r="R23" s="2" t="inlineStr">
        <is>
          <t>Knärot
Garnlav
Granticka
Harticka
Spillkråka
Talltita
Tretåig hackspett
Ullticka
Korallrot
Trådticka
Fläcknycklar</t>
        </is>
      </c>
      <c r="S23">
        <f>HYPERLINK("https://klasma.github.io/Logging_2380/artfynd/A 48959-2025 artfynd.xlsx", "A 48959-2025")</f>
        <v/>
      </c>
      <c r="T23">
        <f>HYPERLINK("https://klasma.github.io/Logging_2380/kartor/A 48959-2025 karta.png", "A 48959-2025")</f>
        <v/>
      </c>
      <c r="U23">
        <f>HYPERLINK("https://klasma.github.io/Logging_2380/knärot/A 48959-2025 karta knärot.png", "A 48959-2025")</f>
        <v/>
      </c>
      <c r="V23">
        <f>HYPERLINK("https://klasma.github.io/Logging_2380/klagomål/A 48959-2025 FSC-klagomål.docx", "A 48959-2025")</f>
        <v/>
      </c>
      <c r="W23">
        <f>HYPERLINK("https://klasma.github.io/Logging_2380/klagomålsmail/A 48959-2025 FSC-klagomål mail.docx", "A 48959-2025")</f>
        <v/>
      </c>
      <c r="X23">
        <f>HYPERLINK("https://klasma.github.io/Logging_2380/tillsyn/A 48959-2025 tillsynsbegäran.docx", "A 48959-2025")</f>
        <v/>
      </c>
      <c r="Y23">
        <f>HYPERLINK("https://klasma.github.io/Logging_2380/tillsynsmail/A 48959-2025 tillsynsbegäran mail.docx", "A 48959-2025")</f>
        <v/>
      </c>
      <c r="Z23">
        <f>HYPERLINK("https://klasma.github.io/Logging_2380/fåglar/A 48959-2025 prioriterade fågelarter.docx", "A 48959-2025")</f>
        <v/>
      </c>
    </row>
    <row r="24" ht="15" customHeight="1">
      <c r="A24" t="inlineStr">
        <is>
          <t>A 61766-2024</t>
        </is>
      </c>
      <c r="B24" s="1" t="n">
        <v>45649</v>
      </c>
      <c r="C24" s="1" t="n">
        <v>45984</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49056-2025</t>
        </is>
      </c>
      <c r="B25" s="1" t="n">
        <v>45937.64063657408</v>
      </c>
      <c r="C25" s="1" t="n">
        <v>45984</v>
      </c>
      <c r="D25" t="inlineStr">
        <is>
          <t>JÄMTLANDS LÄN</t>
        </is>
      </c>
      <c r="E25" t="inlineStr">
        <is>
          <t>ÖSTERSUND</t>
        </is>
      </c>
      <c r="G25" t="n">
        <v>6.1</v>
      </c>
      <c r="H25" t="n">
        <v>5</v>
      </c>
      <c r="I25" t="n">
        <v>3</v>
      </c>
      <c r="J25" t="n">
        <v>5</v>
      </c>
      <c r="K25" t="n">
        <v>1</v>
      </c>
      <c r="L25" t="n">
        <v>0</v>
      </c>
      <c r="M25" t="n">
        <v>0</v>
      </c>
      <c r="N25" t="n">
        <v>0</v>
      </c>
      <c r="O25" t="n">
        <v>6</v>
      </c>
      <c r="P25" t="n">
        <v>1</v>
      </c>
      <c r="Q25" t="n">
        <v>10</v>
      </c>
      <c r="R25" s="2" t="inlineStr">
        <is>
          <t>Knärot
Garnlav
Granticka
Harticka
Spillkråka
Tretåig hackspett
Grönkulla
Kransrams
Norrlandslav
Blåsippa</t>
        </is>
      </c>
      <c r="S25">
        <f>HYPERLINK("https://klasma.github.io/Logging_2380/artfynd/A 49056-2025 artfynd.xlsx", "A 49056-2025")</f>
        <v/>
      </c>
      <c r="T25">
        <f>HYPERLINK("https://klasma.github.io/Logging_2380/kartor/A 49056-2025 karta.png", "A 49056-2025")</f>
        <v/>
      </c>
      <c r="U25">
        <f>HYPERLINK("https://klasma.github.io/Logging_2380/knärot/A 49056-2025 karta knärot.png", "A 49056-2025")</f>
        <v/>
      </c>
      <c r="V25">
        <f>HYPERLINK("https://klasma.github.io/Logging_2380/klagomål/A 49056-2025 FSC-klagomål.docx", "A 49056-2025")</f>
        <v/>
      </c>
      <c r="W25">
        <f>HYPERLINK("https://klasma.github.io/Logging_2380/klagomålsmail/A 49056-2025 FSC-klagomål mail.docx", "A 49056-2025")</f>
        <v/>
      </c>
      <c r="X25">
        <f>HYPERLINK("https://klasma.github.io/Logging_2380/tillsyn/A 49056-2025 tillsynsbegäran.docx", "A 49056-2025")</f>
        <v/>
      </c>
      <c r="Y25">
        <f>HYPERLINK("https://klasma.github.io/Logging_2380/tillsynsmail/A 49056-2025 tillsynsbegäran mail.docx", "A 49056-2025")</f>
        <v/>
      </c>
      <c r="Z25">
        <f>HYPERLINK("https://klasma.github.io/Logging_2380/fåglar/A 49056-2025 prioriterade fågelarter.docx", "A 49056-2025")</f>
        <v/>
      </c>
    </row>
    <row r="26" ht="15" customHeight="1">
      <c r="A26" t="inlineStr">
        <is>
          <t>A 26796-2024</t>
        </is>
      </c>
      <c r="B26" s="1" t="n">
        <v>45470</v>
      </c>
      <c r="C26" s="1" t="n">
        <v>45984</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7457-2023</t>
        </is>
      </c>
      <c r="B27" s="1" t="n">
        <v>44971</v>
      </c>
      <c r="C27" s="1" t="n">
        <v>45984</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16845-2025</t>
        </is>
      </c>
      <c r="B28" s="1" t="n">
        <v>45754.67761574074</v>
      </c>
      <c r="C28" s="1" t="n">
        <v>45984</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HYPERLINK("https://klasma.github.io/Logging_2380/artfynd/A 16845-2025 artfynd.xlsx", "A 16845-2025")</f>
        <v/>
      </c>
      <c r="T28">
        <f>HYPERLINK("https://klasma.github.io/Logging_2380/kartor/A 16845-2025 karta.png", "A 16845-2025")</f>
        <v/>
      </c>
      <c r="V28">
        <f>HYPERLINK("https://klasma.github.io/Logging_2380/klagomål/A 16845-2025 FSC-klagomål.docx", "A 16845-2025")</f>
        <v/>
      </c>
      <c r="W28">
        <f>HYPERLINK("https://klasma.github.io/Logging_2380/klagomålsmail/A 16845-2025 FSC-klagomål mail.docx", "A 16845-2025")</f>
        <v/>
      </c>
      <c r="X28">
        <f>HYPERLINK("https://klasma.github.io/Logging_2380/tillsyn/A 16845-2025 tillsynsbegäran.docx", "A 16845-2025")</f>
        <v/>
      </c>
      <c r="Y28">
        <f>HYPERLINK("https://klasma.github.io/Logging_2380/tillsynsmail/A 16845-2025 tillsynsbegäran mail.docx", "A 16845-2025")</f>
        <v/>
      </c>
    </row>
    <row r="29" ht="15" customHeight="1">
      <c r="A29" t="inlineStr">
        <is>
          <t>A 34816-2024</t>
        </is>
      </c>
      <c r="B29" s="1" t="n">
        <v>45526</v>
      </c>
      <c r="C29" s="1" t="n">
        <v>45984</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45224-2024</t>
        </is>
      </c>
      <c r="B30" s="1" t="n">
        <v>45575.77440972222</v>
      </c>
      <c r="C30" s="1" t="n">
        <v>45984</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27907-2024</t>
        </is>
      </c>
      <c r="B31" s="1" t="n">
        <v>45475.94597222222</v>
      </c>
      <c r="C31" s="1" t="n">
        <v>45984</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17716-2024</t>
        </is>
      </c>
      <c r="B32" s="1" t="n">
        <v>45415</v>
      </c>
      <c r="C32" s="1" t="n">
        <v>45984</v>
      </c>
      <c r="D32" t="inlineStr">
        <is>
          <t>JÄMTLANDS LÄN</t>
        </is>
      </c>
      <c r="E32" t="inlineStr">
        <is>
          <t>ÖSTERSUND</t>
        </is>
      </c>
      <c r="G32" t="n">
        <v>1.4</v>
      </c>
      <c r="H32" t="n">
        <v>8</v>
      </c>
      <c r="I32" t="n">
        <v>2</v>
      </c>
      <c r="J32" t="n">
        <v>1</v>
      </c>
      <c r="K32" t="n">
        <v>1</v>
      </c>
      <c r="L32" t="n">
        <v>1</v>
      </c>
      <c r="M32" t="n">
        <v>0</v>
      </c>
      <c r="N32" t="n">
        <v>0</v>
      </c>
      <c r="O32" t="n">
        <v>3</v>
      </c>
      <c r="P32" t="n">
        <v>2</v>
      </c>
      <c r="Q32" t="n">
        <v>8</v>
      </c>
      <c r="R32" s="2" t="inlineStr">
        <is>
          <t>Storspov
Knärot
Spillkråka
Spindelblomster
Tvåblad
Tjäder
Fläcknycklar
Blåsippa</t>
        </is>
      </c>
      <c r="S32">
        <f>HYPERLINK("https://klasma.github.io/Logging_2380/artfynd/A 17716-2024 artfynd.xlsx", "A 17716-2024")</f>
        <v/>
      </c>
      <c r="T32">
        <f>HYPERLINK("https://klasma.github.io/Logging_2380/kartor/A 17716-2024 karta.png", "A 17716-2024")</f>
        <v/>
      </c>
      <c r="U32">
        <f>HYPERLINK("https://klasma.github.io/Logging_2380/knärot/A 17716-2024 karta knärot.png", "A 17716-2024")</f>
        <v/>
      </c>
      <c r="V32">
        <f>HYPERLINK("https://klasma.github.io/Logging_2380/klagomål/A 17716-2024 FSC-klagomål.docx", "A 17716-2024")</f>
        <v/>
      </c>
      <c r="W32">
        <f>HYPERLINK("https://klasma.github.io/Logging_2380/klagomålsmail/A 17716-2024 FSC-klagomål mail.docx", "A 17716-2024")</f>
        <v/>
      </c>
      <c r="X32">
        <f>HYPERLINK("https://klasma.github.io/Logging_2380/tillsyn/A 17716-2024 tillsynsbegäran.docx", "A 17716-2024")</f>
        <v/>
      </c>
      <c r="Y32">
        <f>HYPERLINK("https://klasma.github.io/Logging_2380/tillsynsmail/A 17716-2024 tillsynsbegäran mail.docx", "A 17716-2024")</f>
        <v/>
      </c>
      <c r="Z32">
        <f>HYPERLINK("https://klasma.github.io/Logging_2380/fåglar/A 17716-2024 prioriterade fågelarter.docx", "A 17716-2024")</f>
        <v/>
      </c>
    </row>
    <row r="33" ht="15" customHeight="1">
      <c r="A33" t="inlineStr">
        <is>
          <t>A 21753-2023</t>
        </is>
      </c>
      <c r="B33" s="1" t="n">
        <v>45063</v>
      </c>
      <c r="C33" s="1" t="n">
        <v>45984</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45984</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40777-2023</t>
        </is>
      </c>
      <c r="B35" s="1" t="n">
        <v>45170</v>
      </c>
      <c r="C35" s="1" t="n">
        <v>45984</v>
      </c>
      <c r="D35" t="inlineStr">
        <is>
          <t>JÄMTLANDS LÄN</t>
        </is>
      </c>
      <c r="E35" t="inlineStr">
        <is>
          <t>ÖSTERSUND</t>
        </is>
      </c>
      <c r="F35" t="inlineStr">
        <is>
          <t>SCA</t>
        </is>
      </c>
      <c r="G35" t="n">
        <v>16.4</v>
      </c>
      <c r="H35" t="n">
        <v>3</v>
      </c>
      <c r="I35" t="n">
        <v>1</v>
      </c>
      <c r="J35" t="n">
        <v>5</v>
      </c>
      <c r="K35" t="n">
        <v>1</v>
      </c>
      <c r="L35" t="n">
        <v>0</v>
      </c>
      <c r="M35" t="n">
        <v>0</v>
      </c>
      <c r="N35" t="n">
        <v>0</v>
      </c>
      <c r="O35" t="n">
        <v>6</v>
      </c>
      <c r="P35" t="n">
        <v>1</v>
      </c>
      <c r="Q35" t="n">
        <v>8</v>
      </c>
      <c r="R35" s="2" t="inlineStr">
        <is>
          <t>Doftticka
Kungsörn
Lunglav
Stiftgelélav
Veckticka
Vedtrappmossa
Korallblylav
Blåsippa</t>
        </is>
      </c>
      <c r="S35">
        <f>HYPERLINK("https://klasma.github.io/Logging_2380/artfynd/A 40777-2023 artfynd.xlsx", "A 40777-2023")</f>
        <v/>
      </c>
      <c r="T35">
        <f>HYPERLINK("https://klasma.github.io/Logging_2380/kartor/A 40777-2023 karta.png", "A 40777-2023")</f>
        <v/>
      </c>
      <c r="V35">
        <f>HYPERLINK("https://klasma.github.io/Logging_2380/klagomål/A 40777-2023 FSC-klagomål.docx", "A 40777-2023")</f>
        <v/>
      </c>
      <c r="W35">
        <f>HYPERLINK("https://klasma.github.io/Logging_2380/klagomålsmail/A 40777-2023 FSC-klagomål mail.docx", "A 40777-2023")</f>
        <v/>
      </c>
      <c r="X35">
        <f>HYPERLINK("https://klasma.github.io/Logging_2380/tillsyn/A 40777-2023 tillsynsbegäran.docx", "A 40777-2023")</f>
        <v/>
      </c>
      <c r="Y35">
        <f>HYPERLINK("https://klasma.github.io/Logging_2380/tillsynsmail/A 40777-2023 tillsynsbegäran mail.docx", "A 40777-2023")</f>
        <v/>
      </c>
      <c r="Z35">
        <f>HYPERLINK("https://klasma.github.io/Logging_2380/fåglar/A 40777-2023 prioriterade fågelarter.docx", "A 40777-2023")</f>
        <v/>
      </c>
    </row>
    <row r="36" ht="15" customHeight="1">
      <c r="A36" t="inlineStr">
        <is>
          <t>A 10744-2024</t>
        </is>
      </c>
      <c r="B36" s="1" t="n">
        <v>45369</v>
      </c>
      <c r="C36" s="1" t="n">
        <v>45984</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39735-2021</t>
        </is>
      </c>
      <c r="B37" s="1" t="n">
        <v>44414</v>
      </c>
      <c r="C37" s="1" t="n">
        <v>45984</v>
      </c>
      <c r="D37" t="inlineStr">
        <is>
          <t>JÄMTLANDS LÄN</t>
        </is>
      </c>
      <c r="E37" t="inlineStr">
        <is>
          <t>ÖSTERSUND</t>
        </is>
      </c>
      <c r="G37" t="n">
        <v>4.5</v>
      </c>
      <c r="H37" t="n">
        <v>2</v>
      </c>
      <c r="I37" t="n">
        <v>0</v>
      </c>
      <c r="J37" t="n">
        <v>7</v>
      </c>
      <c r="K37" t="n">
        <v>0</v>
      </c>
      <c r="L37" t="n">
        <v>0</v>
      </c>
      <c r="M37" t="n">
        <v>0</v>
      </c>
      <c r="N37" t="n">
        <v>0</v>
      </c>
      <c r="O37" t="n">
        <v>7</v>
      </c>
      <c r="P37" t="n">
        <v>0</v>
      </c>
      <c r="Q37" t="n">
        <v>7</v>
      </c>
      <c r="R37" s="2" t="inlineStr">
        <is>
          <t>Gammelgransskål
Garnlav
Harticka
Talltita
Tretåig hackspett
Vitgrynig nållav
Äggvaxskivling</t>
        </is>
      </c>
      <c r="S37">
        <f>HYPERLINK("https://klasma.github.io/Logging_2380/artfynd/A 39735-2021 artfynd.xlsx", "A 39735-2021")</f>
        <v/>
      </c>
      <c r="T37">
        <f>HYPERLINK("https://klasma.github.io/Logging_2380/kartor/A 39735-2021 karta.png", "A 39735-2021")</f>
        <v/>
      </c>
      <c r="V37">
        <f>HYPERLINK("https://klasma.github.io/Logging_2380/klagomål/A 39735-2021 FSC-klagomål.docx", "A 39735-2021")</f>
        <v/>
      </c>
      <c r="W37">
        <f>HYPERLINK("https://klasma.github.io/Logging_2380/klagomålsmail/A 39735-2021 FSC-klagomål mail.docx", "A 39735-2021")</f>
        <v/>
      </c>
      <c r="X37">
        <f>HYPERLINK("https://klasma.github.io/Logging_2380/tillsyn/A 39735-2021 tillsynsbegäran.docx", "A 39735-2021")</f>
        <v/>
      </c>
      <c r="Y37">
        <f>HYPERLINK("https://klasma.github.io/Logging_2380/tillsynsmail/A 39735-2021 tillsynsbegäran mail.docx", "A 39735-2021")</f>
        <v/>
      </c>
      <c r="Z37">
        <f>HYPERLINK("https://klasma.github.io/Logging_2380/fåglar/A 39735-2021 prioriterade fågelarter.docx", "A 39735-2021")</f>
        <v/>
      </c>
    </row>
    <row r="38" ht="15" customHeight="1">
      <c r="A38" t="inlineStr">
        <is>
          <t>A 53292-2025</t>
        </is>
      </c>
      <c r="B38" s="1" t="n">
        <v>45958</v>
      </c>
      <c r="C38" s="1" t="n">
        <v>45984</v>
      </c>
      <c r="D38" t="inlineStr">
        <is>
          <t>JÄMTLANDS LÄN</t>
        </is>
      </c>
      <c r="E38" t="inlineStr">
        <is>
          <t>ÖSTERSUND</t>
        </is>
      </c>
      <c r="G38" t="n">
        <v>3</v>
      </c>
      <c r="H38" t="n">
        <v>5</v>
      </c>
      <c r="I38" t="n">
        <v>0</v>
      </c>
      <c r="J38" t="n">
        <v>3</v>
      </c>
      <c r="K38" t="n">
        <v>1</v>
      </c>
      <c r="L38" t="n">
        <v>0</v>
      </c>
      <c r="M38" t="n">
        <v>0</v>
      </c>
      <c r="N38" t="n">
        <v>0</v>
      </c>
      <c r="O38" t="n">
        <v>4</v>
      </c>
      <c r="P38" t="n">
        <v>1</v>
      </c>
      <c r="Q38" t="n">
        <v>7</v>
      </c>
      <c r="R38" s="2" t="inlineStr">
        <is>
          <t>Knärot
Garnlav
Granticka
Talltita
Kungsfågel
Blåsippa
Revlummer</t>
        </is>
      </c>
      <c r="S38">
        <f>HYPERLINK("https://klasma.github.io/Logging_2380/artfynd/A 53292-2025 artfynd.xlsx", "A 53292-2025")</f>
        <v/>
      </c>
      <c r="T38">
        <f>HYPERLINK("https://klasma.github.io/Logging_2380/kartor/A 53292-2025 karta.png", "A 53292-2025")</f>
        <v/>
      </c>
      <c r="U38">
        <f>HYPERLINK("https://klasma.github.io/Logging_2380/knärot/A 53292-2025 karta knärot.png", "A 53292-2025")</f>
        <v/>
      </c>
      <c r="V38">
        <f>HYPERLINK("https://klasma.github.io/Logging_2380/klagomål/A 53292-2025 FSC-klagomål.docx", "A 53292-2025")</f>
        <v/>
      </c>
      <c r="W38">
        <f>HYPERLINK("https://klasma.github.io/Logging_2380/klagomålsmail/A 53292-2025 FSC-klagomål mail.docx", "A 53292-2025")</f>
        <v/>
      </c>
      <c r="X38">
        <f>HYPERLINK("https://klasma.github.io/Logging_2380/tillsyn/A 53292-2025 tillsynsbegäran.docx", "A 53292-2025")</f>
        <v/>
      </c>
      <c r="Y38">
        <f>HYPERLINK("https://klasma.github.io/Logging_2380/tillsynsmail/A 53292-2025 tillsynsbegäran mail.docx", "A 53292-2025")</f>
        <v/>
      </c>
      <c r="Z38">
        <f>HYPERLINK("https://klasma.github.io/Logging_2380/fåglar/A 53292-2025 prioriterade fågelarter.docx", "A 53292-2025")</f>
        <v/>
      </c>
    </row>
    <row r="39" ht="15" customHeight="1">
      <c r="A39" t="inlineStr">
        <is>
          <t>A 44741-2025</t>
        </is>
      </c>
      <c r="B39" s="1" t="n">
        <v>45917.66619212963</v>
      </c>
      <c r="C39" s="1" t="n">
        <v>45984</v>
      </c>
      <c r="D39" t="inlineStr">
        <is>
          <t>JÄMTLANDS LÄN</t>
        </is>
      </c>
      <c r="E39" t="inlineStr">
        <is>
          <t>ÖSTERSUND</t>
        </is>
      </c>
      <c r="G39" t="n">
        <v>14.4</v>
      </c>
      <c r="H39" t="n">
        <v>3</v>
      </c>
      <c r="I39" t="n">
        <v>2</v>
      </c>
      <c r="J39" t="n">
        <v>3</v>
      </c>
      <c r="K39" t="n">
        <v>1</v>
      </c>
      <c r="L39" t="n">
        <v>0</v>
      </c>
      <c r="M39" t="n">
        <v>0</v>
      </c>
      <c r="N39" t="n">
        <v>0</v>
      </c>
      <c r="O39" t="n">
        <v>4</v>
      </c>
      <c r="P39" t="n">
        <v>1</v>
      </c>
      <c r="Q39" t="n">
        <v>7</v>
      </c>
      <c r="R39" s="2" t="inlineStr">
        <is>
          <t>Knärot
Garnlav
Talltita
Ullticka
Kransrams
Svavelriska
Revlummer</t>
        </is>
      </c>
      <c r="S39">
        <f>HYPERLINK("https://klasma.github.io/Logging_2380/artfynd/A 44741-2025 artfynd.xlsx", "A 44741-2025")</f>
        <v/>
      </c>
      <c r="T39">
        <f>HYPERLINK("https://klasma.github.io/Logging_2380/kartor/A 44741-2025 karta.png", "A 44741-2025")</f>
        <v/>
      </c>
      <c r="U39">
        <f>HYPERLINK("https://klasma.github.io/Logging_2380/knärot/A 44741-2025 karta knärot.png", "A 44741-2025")</f>
        <v/>
      </c>
      <c r="V39">
        <f>HYPERLINK("https://klasma.github.io/Logging_2380/klagomål/A 44741-2025 FSC-klagomål.docx", "A 44741-2025")</f>
        <v/>
      </c>
      <c r="W39">
        <f>HYPERLINK("https://klasma.github.io/Logging_2380/klagomålsmail/A 44741-2025 FSC-klagomål mail.docx", "A 44741-2025")</f>
        <v/>
      </c>
      <c r="X39">
        <f>HYPERLINK("https://klasma.github.io/Logging_2380/tillsyn/A 44741-2025 tillsynsbegäran.docx", "A 44741-2025")</f>
        <v/>
      </c>
      <c r="Y39">
        <f>HYPERLINK("https://klasma.github.io/Logging_2380/tillsynsmail/A 44741-2025 tillsynsbegäran mail.docx", "A 44741-2025")</f>
        <v/>
      </c>
      <c r="Z39">
        <f>HYPERLINK("https://klasma.github.io/Logging_2380/fåglar/A 44741-2025 prioriterade fågelarter.docx", "A 44741-2025")</f>
        <v/>
      </c>
    </row>
    <row r="40" ht="15" customHeight="1">
      <c r="A40" t="inlineStr">
        <is>
          <t>A 39586-2025</t>
        </is>
      </c>
      <c r="B40" s="1" t="n">
        <v>45890.50260416666</v>
      </c>
      <c r="C40" s="1" t="n">
        <v>45984</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31122-2025</t>
        </is>
      </c>
      <c r="B41" s="1" t="n">
        <v>45831</v>
      </c>
      <c r="C41" s="1" t="n">
        <v>45984</v>
      </c>
      <c r="D41" t="inlineStr">
        <is>
          <t>JÄMTLANDS LÄN</t>
        </is>
      </c>
      <c r="E41" t="inlineStr">
        <is>
          <t>ÖSTERSUND</t>
        </is>
      </c>
      <c r="G41" t="n">
        <v>5.5</v>
      </c>
      <c r="H41" t="n">
        <v>3</v>
      </c>
      <c r="I41" t="n">
        <v>2</v>
      </c>
      <c r="J41" t="n">
        <v>4</v>
      </c>
      <c r="K41" t="n">
        <v>0</v>
      </c>
      <c r="L41" t="n">
        <v>0</v>
      </c>
      <c r="M41" t="n">
        <v>0</v>
      </c>
      <c r="N41" t="n">
        <v>0</v>
      </c>
      <c r="O41" t="n">
        <v>4</v>
      </c>
      <c r="P41" t="n">
        <v>0</v>
      </c>
      <c r="Q41" t="n">
        <v>7</v>
      </c>
      <c r="R41" s="2" t="inlineStr">
        <is>
          <t>Granticka
Kråka
Talltita
Ullticka
Stuplav
Vedticka
Revlummer</t>
        </is>
      </c>
      <c r="S41">
        <f>HYPERLINK("https://klasma.github.io/Logging_2380/artfynd/A 31122-2025 artfynd.xlsx", "A 31122-2025")</f>
        <v/>
      </c>
      <c r="T41">
        <f>HYPERLINK("https://klasma.github.io/Logging_2380/kartor/A 31122-2025 karta.png", "A 31122-2025")</f>
        <v/>
      </c>
      <c r="V41">
        <f>HYPERLINK("https://klasma.github.io/Logging_2380/klagomål/A 31122-2025 FSC-klagomål.docx", "A 31122-2025")</f>
        <v/>
      </c>
      <c r="W41">
        <f>HYPERLINK("https://klasma.github.io/Logging_2380/klagomålsmail/A 31122-2025 FSC-klagomål mail.docx", "A 31122-2025")</f>
        <v/>
      </c>
      <c r="X41">
        <f>HYPERLINK("https://klasma.github.io/Logging_2380/tillsyn/A 31122-2025 tillsynsbegäran.docx", "A 31122-2025")</f>
        <v/>
      </c>
      <c r="Y41">
        <f>HYPERLINK("https://klasma.github.io/Logging_2380/tillsynsmail/A 31122-2025 tillsynsbegäran mail.docx", "A 31122-2025")</f>
        <v/>
      </c>
      <c r="Z41">
        <f>HYPERLINK("https://klasma.github.io/Logging_2380/fåglar/A 31122-2025 prioriterade fågelarter.docx", "A 31122-2025")</f>
        <v/>
      </c>
    </row>
    <row r="42" ht="15" customHeight="1">
      <c r="A42" t="inlineStr">
        <is>
          <t>A 26372-2025</t>
        </is>
      </c>
      <c r="B42" s="1" t="n">
        <v>45806.40675925926</v>
      </c>
      <c r="C42" s="1" t="n">
        <v>45984</v>
      </c>
      <c r="D42" t="inlineStr">
        <is>
          <t>JÄMTLANDS LÄN</t>
        </is>
      </c>
      <c r="E42" t="inlineStr">
        <is>
          <t>ÖSTERSUND</t>
        </is>
      </c>
      <c r="G42" t="n">
        <v>4.3</v>
      </c>
      <c r="H42" t="n">
        <v>4</v>
      </c>
      <c r="I42" t="n">
        <v>2</v>
      </c>
      <c r="J42" t="n">
        <v>3</v>
      </c>
      <c r="K42" t="n">
        <v>1</v>
      </c>
      <c r="L42" t="n">
        <v>0</v>
      </c>
      <c r="M42" t="n">
        <v>0</v>
      </c>
      <c r="N42" t="n">
        <v>0</v>
      </c>
      <c r="O42" t="n">
        <v>4</v>
      </c>
      <c r="P42" t="n">
        <v>1</v>
      </c>
      <c r="Q42" t="n">
        <v>7</v>
      </c>
      <c r="R42" s="2" t="inlineStr">
        <is>
          <t>Knärot
Garnlav
Harticka
Tretåig hackspett
Luddlav
Spindelblomster
Kungsfågel</t>
        </is>
      </c>
      <c r="S42">
        <f>HYPERLINK("https://klasma.github.io/Logging_2380/artfynd/A 26372-2025 artfynd.xlsx", "A 26372-2025")</f>
        <v/>
      </c>
      <c r="T42">
        <f>HYPERLINK("https://klasma.github.io/Logging_2380/kartor/A 26372-2025 karta.png", "A 26372-2025")</f>
        <v/>
      </c>
      <c r="U42">
        <f>HYPERLINK("https://klasma.github.io/Logging_2380/knärot/A 26372-2025 karta knärot.png", "A 26372-2025")</f>
        <v/>
      </c>
      <c r="V42">
        <f>HYPERLINK("https://klasma.github.io/Logging_2380/klagomål/A 26372-2025 FSC-klagomål.docx", "A 26372-2025")</f>
        <v/>
      </c>
      <c r="W42">
        <f>HYPERLINK("https://klasma.github.io/Logging_2380/klagomålsmail/A 26372-2025 FSC-klagomål mail.docx", "A 26372-2025")</f>
        <v/>
      </c>
      <c r="X42">
        <f>HYPERLINK("https://klasma.github.io/Logging_2380/tillsyn/A 26372-2025 tillsynsbegäran.docx", "A 26372-2025")</f>
        <v/>
      </c>
      <c r="Y42">
        <f>HYPERLINK("https://klasma.github.io/Logging_2380/tillsynsmail/A 26372-2025 tillsynsbegäran mail.docx", "A 26372-2025")</f>
        <v/>
      </c>
      <c r="Z42">
        <f>HYPERLINK("https://klasma.github.io/Logging_2380/fåglar/A 26372-2025 prioriterade fågelarter.docx", "A 26372-2025")</f>
        <v/>
      </c>
    </row>
    <row r="43" ht="15" customHeight="1">
      <c r="A43" t="inlineStr">
        <is>
          <t>A 48736-2025</t>
        </is>
      </c>
      <c r="B43" s="1" t="n">
        <v>45936.66547453704</v>
      </c>
      <c r="C43" s="1" t="n">
        <v>45984</v>
      </c>
      <c r="D43" t="inlineStr">
        <is>
          <t>JÄMTLANDS LÄN</t>
        </is>
      </c>
      <c r="E43" t="inlineStr">
        <is>
          <t>ÖSTERSUND</t>
        </is>
      </c>
      <c r="G43" t="n">
        <v>2.8</v>
      </c>
      <c r="H43" t="n">
        <v>3</v>
      </c>
      <c r="I43" t="n">
        <v>3</v>
      </c>
      <c r="J43" t="n">
        <v>2</v>
      </c>
      <c r="K43" t="n">
        <v>1</v>
      </c>
      <c r="L43" t="n">
        <v>0</v>
      </c>
      <c r="M43" t="n">
        <v>0</v>
      </c>
      <c r="N43" t="n">
        <v>0</v>
      </c>
      <c r="O43" t="n">
        <v>3</v>
      </c>
      <c r="P43" t="n">
        <v>1</v>
      </c>
      <c r="Q43" t="n">
        <v>7</v>
      </c>
      <c r="R43" s="2" t="inlineStr">
        <is>
          <t>Knärot
Harticka
Tretåig hackspett
Rödgul trumpetsvamp
Trådticka
Vedticka
Revlummer</t>
        </is>
      </c>
      <c r="S43">
        <f>HYPERLINK("https://klasma.github.io/Logging_2380/artfynd/A 48736-2025 artfynd.xlsx", "A 48736-2025")</f>
        <v/>
      </c>
      <c r="T43">
        <f>HYPERLINK("https://klasma.github.io/Logging_2380/kartor/A 48736-2025 karta.png", "A 48736-2025")</f>
        <v/>
      </c>
      <c r="U43">
        <f>HYPERLINK("https://klasma.github.io/Logging_2380/knärot/A 48736-2025 karta knärot.png", "A 48736-2025")</f>
        <v/>
      </c>
      <c r="V43">
        <f>HYPERLINK("https://klasma.github.io/Logging_2380/klagomål/A 48736-2025 FSC-klagomål.docx", "A 48736-2025")</f>
        <v/>
      </c>
      <c r="W43">
        <f>HYPERLINK("https://klasma.github.io/Logging_2380/klagomålsmail/A 48736-2025 FSC-klagomål mail.docx", "A 48736-2025")</f>
        <v/>
      </c>
      <c r="X43">
        <f>HYPERLINK("https://klasma.github.io/Logging_2380/tillsyn/A 48736-2025 tillsynsbegäran.docx", "A 48736-2025")</f>
        <v/>
      </c>
      <c r="Y43">
        <f>HYPERLINK("https://klasma.github.io/Logging_2380/tillsynsmail/A 48736-2025 tillsynsbegäran mail.docx", "A 48736-2025")</f>
        <v/>
      </c>
      <c r="Z43">
        <f>HYPERLINK("https://klasma.github.io/Logging_2380/fåglar/A 48736-2025 prioriterade fågelarter.docx", "A 48736-2025")</f>
        <v/>
      </c>
    </row>
    <row r="44" ht="15" customHeight="1">
      <c r="A44" t="inlineStr">
        <is>
          <t>A 57729-2025</t>
        </is>
      </c>
      <c r="B44" s="1" t="n">
        <v>45981.50630787037</v>
      </c>
      <c r="C44" s="1" t="n">
        <v>45984</v>
      </c>
      <c r="D44" t="inlineStr">
        <is>
          <t>JÄMTLANDS LÄN</t>
        </is>
      </c>
      <c r="E44" t="inlineStr">
        <is>
          <t>ÖSTERSUND</t>
        </is>
      </c>
      <c r="G44" t="n">
        <v>5.2</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54608-2023</t>
        </is>
      </c>
      <c r="B45" s="1" t="n">
        <v>45233</v>
      </c>
      <c r="C45" s="1" t="n">
        <v>45984</v>
      </c>
      <c r="D45" t="inlineStr">
        <is>
          <t>JÄMTLANDS LÄN</t>
        </is>
      </c>
      <c r="E45" t="inlineStr">
        <is>
          <t>ÖSTERSUND</t>
        </is>
      </c>
      <c r="F45" t="inlineStr">
        <is>
          <t>SCA</t>
        </is>
      </c>
      <c r="G45" t="n">
        <v>4.3</v>
      </c>
      <c r="H45" t="n">
        <v>1</v>
      </c>
      <c r="I45" t="n">
        <v>5</v>
      </c>
      <c r="J45" t="n">
        <v>2</v>
      </c>
      <c r="K45" t="n">
        <v>0</v>
      </c>
      <c r="L45" t="n">
        <v>0</v>
      </c>
      <c r="M45" t="n">
        <v>0</v>
      </c>
      <c r="N45" t="n">
        <v>0</v>
      </c>
      <c r="O45" t="n">
        <v>2</v>
      </c>
      <c r="P45" t="n">
        <v>0</v>
      </c>
      <c r="Q45" t="n">
        <v>7</v>
      </c>
      <c r="R45" s="2" t="inlineStr">
        <is>
          <t>Granticka
Ullticka
Guckusko
Svavelriska
Trådfräken
Trådticka
Underviol</t>
        </is>
      </c>
      <c r="S45">
        <f>HYPERLINK("https://klasma.github.io/Logging_2380/artfynd/A 54608-2023 artfynd.xlsx", "A 54608-2023")</f>
        <v/>
      </c>
      <c r="T45">
        <f>HYPERLINK("https://klasma.github.io/Logging_2380/kartor/A 54608-2023 karta.png", "A 54608-2023")</f>
        <v/>
      </c>
      <c r="V45">
        <f>HYPERLINK("https://klasma.github.io/Logging_2380/klagomål/A 54608-2023 FSC-klagomål.docx", "A 54608-2023")</f>
        <v/>
      </c>
      <c r="W45">
        <f>HYPERLINK("https://klasma.github.io/Logging_2380/klagomålsmail/A 54608-2023 FSC-klagomål mail.docx", "A 54608-2023")</f>
        <v/>
      </c>
      <c r="X45">
        <f>HYPERLINK("https://klasma.github.io/Logging_2380/tillsyn/A 54608-2023 tillsynsbegäran.docx", "A 54608-2023")</f>
        <v/>
      </c>
      <c r="Y45">
        <f>HYPERLINK("https://klasma.github.io/Logging_2380/tillsynsmail/A 54608-2023 tillsynsbegäran mail.docx", "A 54608-2023")</f>
        <v/>
      </c>
    </row>
    <row r="46" ht="15" customHeight="1">
      <c r="A46" t="inlineStr">
        <is>
          <t>A 16369-2023</t>
        </is>
      </c>
      <c r="B46" s="1" t="n">
        <v>45028</v>
      </c>
      <c r="C46" s="1" t="n">
        <v>45984</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28512-2021</t>
        </is>
      </c>
      <c r="B47" s="1" t="n">
        <v>44356</v>
      </c>
      <c r="C47" s="1" t="n">
        <v>45984</v>
      </c>
      <c r="D47" t="inlineStr">
        <is>
          <t>JÄMTLANDS LÄN</t>
        </is>
      </c>
      <c r="E47" t="inlineStr">
        <is>
          <t>ÖSTERSUND</t>
        </is>
      </c>
      <c r="G47" t="n">
        <v>1.5</v>
      </c>
      <c r="H47" t="n">
        <v>2</v>
      </c>
      <c r="I47" t="n">
        <v>1</v>
      </c>
      <c r="J47" t="n">
        <v>5</v>
      </c>
      <c r="K47" t="n">
        <v>0</v>
      </c>
      <c r="L47" t="n">
        <v>0</v>
      </c>
      <c r="M47" t="n">
        <v>0</v>
      </c>
      <c r="N47" t="n">
        <v>0</v>
      </c>
      <c r="O47" t="n">
        <v>5</v>
      </c>
      <c r="P47" t="n">
        <v>0</v>
      </c>
      <c r="Q47" t="n">
        <v>6</v>
      </c>
      <c r="R47" s="2" t="inlineStr">
        <is>
          <t>Garnlav
Lunglav
Skrovellav
Talltita
Tretåig hackspett
Luddlav</t>
        </is>
      </c>
      <c r="S47">
        <f>HYPERLINK("https://klasma.github.io/Logging_2380/artfynd/A 28512-2021 artfynd.xlsx", "A 28512-2021")</f>
        <v/>
      </c>
      <c r="T47">
        <f>HYPERLINK("https://klasma.github.io/Logging_2380/kartor/A 28512-2021 karta.png", "A 28512-2021")</f>
        <v/>
      </c>
      <c r="U47">
        <f>HYPERLINK("https://klasma.github.io/Logging_2380/knärot/A 28512-2021 karta knärot.png", "A 28512-2021")</f>
        <v/>
      </c>
      <c r="V47">
        <f>HYPERLINK("https://klasma.github.io/Logging_2380/klagomål/A 28512-2021 FSC-klagomål.docx", "A 28512-2021")</f>
        <v/>
      </c>
      <c r="W47">
        <f>HYPERLINK("https://klasma.github.io/Logging_2380/klagomålsmail/A 28512-2021 FSC-klagomål mail.docx", "A 28512-2021")</f>
        <v/>
      </c>
      <c r="X47">
        <f>HYPERLINK("https://klasma.github.io/Logging_2380/tillsyn/A 28512-2021 tillsynsbegäran.docx", "A 28512-2021")</f>
        <v/>
      </c>
      <c r="Y47">
        <f>HYPERLINK("https://klasma.github.io/Logging_2380/tillsynsmail/A 28512-2021 tillsynsbegäran mail.docx", "A 28512-2021")</f>
        <v/>
      </c>
      <c r="Z47">
        <f>HYPERLINK("https://klasma.github.io/Logging_2380/fåglar/A 28512-2021 prioriterade fågelarter.docx", "A 28512-2021")</f>
        <v/>
      </c>
    </row>
    <row r="48" ht="15" customHeight="1">
      <c r="A48" t="inlineStr">
        <is>
          <t>A 24523-2021</t>
        </is>
      </c>
      <c r="B48" s="1" t="n">
        <v>44337</v>
      </c>
      <c r="C48" s="1" t="n">
        <v>45984</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47392-2022</t>
        </is>
      </c>
      <c r="B49" s="1" t="n">
        <v>44851</v>
      </c>
      <c r="C49" s="1" t="n">
        <v>45984</v>
      </c>
      <c r="D49" t="inlineStr">
        <is>
          <t>JÄMTLANDS LÄN</t>
        </is>
      </c>
      <c r="E49" t="inlineStr">
        <is>
          <t>ÖSTERSUND</t>
        </is>
      </c>
      <c r="G49" t="n">
        <v>1.6</v>
      </c>
      <c r="H49" t="n">
        <v>4</v>
      </c>
      <c r="I49" t="n">
        <v>3</v>
      </c>
      <c r="J49" t="n">
        <v>1</v>
      </c>
      <c r="K49" t="n">
        <v>1</v>
      </c>
      <c r="L49" t="n">
        <v>0</v>
      </c>
      <c r="M49" t="n">
        <v>0</v>
      </c>
      <c r="N49" t="n">
        <v>0</v>
      </c>
      <c r="O49" t="n">
        <v>2</v>
      </c>
      <c r="P49" t="n">
        <v>1</v>
      </c>
      <c r="Q49" t="n">
        <v>6</v>
      </c>
      <c r="R49" s="2" t="inlineStr">
        <is>
          <t>Knärot
Garnlav
Guckusko
Plattlummer
Trådfräken
Revlummer</t>
        </is>
      </c>
      <c r="S49">
        <f>HYPERLINK("https://klasma.github.io/Logging_2380/artfynd/A 47392-2022 artfynd.xlsx", "A 47392-2022")</f>
        <v/>
      </c>
      <c r="T49">
        <f>HYPERLINK("https://klasma.github.io/Logging_2380/kartor/A 47392-2022 karta.png", "A 47392-2022")</f>
        <v/>
      </c>
      <c r="U49">
        <f>HYPERLINK("https://klasma.github.io/Logging_2380/knärot/A 47392-2022 karta knärot.png", "A 47392-2022")</f>
        <v/>
      </c>
      <c r="V49">
        <f>HYPERLINK("https://klasma.github.io/Logging_2380/klagomål/A 47392-2022 FSC-klagomål.docx", "A 47392-2022")</f>
        <v/>
      </c>
      <c r="W49">
        <f>HYPERLINK("https://klasma.github.io/Logging_2380/klagomålsmail/A 47392-2022 FSC-klagomål mail.docx", "A 47392-2022")</f>
        <v/>
      </c>
      <c r="X49">
        <f>HYPERLINK("https://klasma.github.io/Logging_2380/tillsyn/A 47392-2022 tillsynsbegäran.docx", "A 47392-2022")</f>
        <v/>
      </c>
      <c r="Y49">
        <f>HYPERLINK("https://klasma.github.io/Logging_2380/tillsynsmail/A 47392-2022 tillsynsbegäran mail.docx", "A 47392-2022")</f>
        <v/>
      </c>
    </row>
    <row r="50" ht="15" customHeight="1">
      <c r="A50" t="inlineStr">
        <is>
          <t>A 40815-2025</t>
        </is>
      </c>
      <c r="B50" s="1" t="n">
        <v>45897</v>
      </c>
      <c r="C50" s="1" t="n">
        <v>45984</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376-2023</t>
        </is>
      </c>
      <c r="B51" s="1" t="n">
        <v>44929</v>
      </c>
      <c r="C51" s="1" t="n">
        <v>45984</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45984</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61153-2024</t>
        </is>
      </c>
      <c r="B53" s="1" t="n">
        <v>45645</v>
      </c>
      <c r="C53" s="1" t="n">
        <v>45984</v>
      </c>
      <c r="D53" t="inlineStr">
        <is>
          <t>JÄMTLANDS LÄN</t>
        </is>
      </c>
      <c r="E53" t="inlineStr">
        <is>
          <t>ÖSTERSUND</t>
        </is>
      </c>
      <c r="G53" t="n">
        <v>8.699999999999999</v>
      </c>
      <c r="H53" t="n">
        <v>5</v>
      </c>
      <c r="I53" t="n">
        <v>0</v>
      </c>
      <c r="J53" t="n">
        <v>4</v>
      </c>
      <c r="K53" t="n">
        <v>1</v>
      </c>
      <c r="L53" t="n">
        <v>0</v>
      </c>
      <c r="M53" t="n">
        <v>0</v>
      </c>
      <c r="N53" t="n">
        <v>0</v>
      </c>
      <c r="O53" t="n">
        <v>5</v>
      </c>
      <c r="P53" t="n">
        <v>1</v>
      </c>
      <c r="Q53" t="n">
        <v>6</v>
      </c>
      <c r="R53" s="2" t="inlineStr">
        <is>
          <t>Knärot
Garnlav
Mindre hackspett
Spillkråka
Talltita
Tjäder</t>
        </is>
      </c>
      <c r="S53">
        <f>HYPERLINK("https://klasma.github.io/Logging_2380/artfynd/A 61153-2024 artfynd.xlsx", "A 61153-2024")</f>
        <v/>
      </c>
      <c r="T53">
        <f>HYPERLINK("https://klasma.github.io/Logging_2380/kartor/A 61153-2024 karta.png", "A 61153-2024")</f>
        <v/>
      </c>
      <c r="U53">
        <f>HYPERLINK("https://klasma.github.io/Logging_2380/knärot/A 61153-2024 karta knärot.png", "A 61153-2024")</f>
        <v/>
      </c>
      <c r="V53">
        <f>HYPERLINK("https://klasma.github.io/Logging_2380/klagomål/A 61153-2024 FSC-klagomål.docx", "A 61153-2024")</f>
        <v/>
      </c>
      <c r="W53">
        <f>HYPERLINK("https://klasma.github.io/Logging_2380/klagomålsmail/A 61153-2024 FSC-klagomål mail.docx", "A 61153-2024")</f>
        <v/>
      </c>
      <c r="X53">
        <f>HYPERLINK("https://klasma.github.io/Logging_2380/tillsyn/A 61153-2024 tillsynsbegäran.docx", "A 61153-2024")</f>
        <v/>
      </c>
      <c r="Y53">
        <f>HYPERLINK("https://klasma.github.io/Logging_2380/tillsynsmail/A 61153-2024 tillsynsbegäran mail.docx", "A 61153-2024")</f>
        <v/>
      </c>
      <c r="Z53">
        <f>HYPERLINK("https://klasma.github.io/Logging_2380/fåglar/A 61153-2024 prioriterade fågelarter.docx", "A 61153-2024")</f>
        <v/>
      </c>
    </row>
    <row r="54" ht="15" customHeight="1">
      <c r="A54" t="inlineStr">
        <is>
          <t>A 18338-2025</t>
        </is>
      </c>
      <c r="B54" s="1" t="n">
        <v>45762.51075231482</v>
      </c>
      <c r="C54" s="1" t="n">
        <v>45984</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3995-2025</t>
        </is>
      </c>
      <c r="B55" s="1" t="n">
        <v>45684</v>
      </c>
      <c r="C55" s="1" t="n">
        <v>45984</v>
      </c>
      <c r="D55" t="inlineStr">
        <is>
          <t>JÄMTLANDS LÄN</t>
        </is>
      </c>
      <c r="E55" t="inlineStr">
        <is>
          <t>ÖSTERSUND</t>
        </is>
      </c>
      <c r="G55" t="n">
        <v>6.5</v>
      </c>
      <c r="H55" t="n">
        <v>1</v>
      </c>
      <c r="I55" t="n">
        <v>0</v>
      </c>
      <c r="J55" t="n">
        <v>5</v>
      </c>
      <c r="K55" t="n">
        <v>1</v>
      </c>
      <c r="L55" t="n">
        <v>0</v>
      </c>
      <c r="M55" t="n">
        <v>0</v>
      </c>
      <c r="N55" t="n">
        <v>0</v>
      </c>
      <c r="O55" t="n">
        <v>6</v>
      </c>
      <c r="P55" t="n">
        <v>1</v>
      </c>
      <c r="Q55" t="n">
        <v>6</v>
      </c>
      <c r="R55" s="2" t="inlineStr">
        <is>
          <t>Rynkskinn
Gränsticka
Rosenticka
Tretåig hackspett
Ullticka
Vedtrappmossa</t>
        </is>
      </c>
      <c r="S55">
        <f>HYPERLINK("https://klasma.github.io/Logging_2380/artfynd/A 3995-2025 artfynd.xlsx", "A 3995-2025")</f>
        <v/>
      </c>
      <c r="T55">
        <f>HYPERLINK("https://klasma.github.io/Logging_2380/kartor/A 3995-2025 karta.png", "A 3995-2025")</f>
        <v/>
      </c>
      <c r="V55">
        <f>HYPERLINK("https://klasma.github.io/Logging_2380/klagomål/A 3995-2025 FSC-klagomål.docx", "A 3995-2025")</f>
        <v/>
      </c>
      <c r="W55">
        <f>HYPERLINK("https://klasma.github.io/Logging_2380/klagomålsmail/A 3995-2025 FSC-klagomål mail.docx", "A 3995-2025")</f>
        <v/>
      </c>
      <c r="X55">
        <f>HYPERLINK("https://klasma.github.io/Logging_2380/tillsyn/A 3995-2025 tillsynsbegäran.docx", "A 3995-2025")</f>
        <v/>
      </c>
      <c r="Y55">
        <f>HYPERLINK("https://klasma.github.io/Logging_2380/tillsynsmail/A 3995-2025 tillsynsbegäran mail.docx", "A 3995-2025")</f>
        <v/>
      </c>
      <c r="Z55">
        <f>HYPERLINK("https://klasma.github.io/Logging_2380/fåglar/A 3995-2025 prioriterade fågelarter.docx", "A 3995-2025")</f>
        <v/>
      </c>
    </row>
    <row r="56" ht="15" customHeight="1">
      <c r="A56" t="inlineStr">
        <is>
          <t>A 12712-2021</t>
        </is>
      </c>
      <c r="B56" s="1" t="n">
        <v>44270.58950231481</v>
      </c>
      <c r="C56" s="1" t="n">
        <v>45984</v>
      </c>
      <c r="D56" t="inlineStr">
        <is>
          <t>JÄMTLANDS LÄN</t>
        </is>
      </c>
      <c r="E56" t="inlineStr">
        <is>
          <t>ÖSTERSUND</t>
        </is>
      </c>
      <c r="G56" t="n">
        <v>8</v>
      </c>
      <c r="H56" t="n">
        <v>2</v>
      </c>
      <c r="I56" t="n">
        <v>3</v>
      </c>
      <c r="J56" t="n">
        <v>1</v>
      </c>
      <c r="K56" t="n">
        <v>0</v>
      </c>
      <c r="L56" t="n">
        <v>1</v>
      </c>
      <c r="M56" t="n">
        <v>0</v>
      </c>
      <c r="N56" t="n">
        <v>0</v>
      </c>
      <c r="O56" t="n">
        <v>2</v>
      </c>
      <c r="P56" t="n">
        <v>1</v>
      </c>
      <c r="Q56" t="n">
        <v>6</v>
      </c>
      <c r="R56" s="2" t="inlineStr">
        <is>
          <t>Trolldruvemätare
Talltita
Kransrams
Tibast
Underviol
Blåsippa</t>
        </is>
      </c>
      <c r="S56">
        <f>HYPERLINK("https://klasma.github.io/Logging_2380/artfynd/A 12712-2021 artfynd.xlsx", "A 12712-2021")</f>
        <v/>
      </c>
      <c r="T56">
        <f>HYPERLINK("https://klasma.github.io/Logging_2380/kartor/A 12712-2021 karta.png", "A 12712-2021")</f>
        <v/>
      </c>
      <c r="V56">
        <f>HYPERLINK("https://klasma.github.io/Logging_2380/klagomål/A 12712-2021 FSC-klagomål.docx", "A 12712-2021")</f>
        <v/>
      </c>
      <c r="W56">
        <f>HYPERLINK("https://klasma.github.io/Logging_2380/klagomålsmail/A 12712-2021 FSC-klagomål mail.docx", "A 12712-2021")</f>
        <v/>
      </c>
      <c r="X56">
        <f>HYPERLINK("https://klasma.github.io/Logging_2380/tillsyn/A 12712-2021 tillsynsbegäran.docx", "A 12712-2021")</f>
        <v/>
      </c>
      <c r="Y56">
        <f>HYPERLINK("https://klasma.github.io/Logging_2380/tillsynsmail/A 12712-2021 tillsynsbegäran mail.docx", "A 12712-2021")</f>
        <v/>
      </c>
      <c r="Z56">
        <f>HYPERLINK("https://klasma.github.io/Logging_2380/fåglar/A 12712-2021 prioriterade fågelarter.docx", "A 12712-2021")</f>
        <v/>
      </c>
    </row>
    <row r="57" ht="15" customHeight="1">
      <c r="A57" t="inlineStr">
        <is>
          <t>A 27577-2022</t>
        </is>
      </c>
      <c r="B57" s="1" t="n">
        <v>44742</v>
      </c>
      <c r="C57" s="1" t="n">
        <v>45984</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59537-2023</t>
        </is>
      </c>
      <c r="B58" s="1" t="n">
        <v>45254</v>
      </c>
      <c r="C58" s="1" t="n">
        <v>45984</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29117-2025</t>
        </is>
      </c>
      <c r="B59" s="1" t="n">
        <v>45821.59243055555</v>
      </c>
      <c r="C59" s="1" t="n">
        <v>45984</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52297-2025</t>
        </is>
      </c>
      <c r="B60" s="1" t="n">
        <v>45953.61092592592</v>
      </c>
      <c r="C60" s="1" t="n">
        <v>45984</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39941-2024</t>
        </is>
      </c>
      <c r="B61" s="1" t="n">
        <v>45553</v>
      </c>
      <c r="C61" s="1" t="n">
        <v>45984</v>
      </c>
      <c r="D61" t="inlineStr">
        <is>
          <t>JÄMTLANDS LÄN</t>
        </is>
      </c>
      <c r="E61" t="inlineStr">
        <is>
          <t>ÖSTERSUND</t>
        </is>
      </c>
      <c r="G61" t="n">
        <v>6</v>
      </c>
      <c r="H61" t="n">
        <v>0</v>
      </c>
      <c r="I61" t="n">
        <v>2</v>
      </c>
      <c r="J61" t="n">
        <v>3</v>
      </c>
      <c r="K61" t="n">
        <v>0</v>
      </c>
      <c r="L61" t="n">
        <v>0</v>
      </c>
      <c r="M61" t="n">
        <v>0</v>
      </c>
      <c r="N61" t="n">
        <v>0</v>
      </c>
      <c r="O61" t="n">
        <v>3</v>
      </c>
      <c r="P61" t="n">
        <v>0</v>
      </c>
      <c r="Q61" t="n">
        <v>5</v>
      </c>
      <c r="R61" s="2" t="inlineStr">
        <is>
          <t>Garnlav
Lunglav
Skrovellav
Bårdlav
Luddlav</t>
        </is>
      </c>
      <c r="S61">
        <f>HYPERLINK("https://klasma.github.io/Logging_2380/artfynd/A 39941-2024 artfynd.xlsx", "A 39941-2024")</f>
        <v/>
      </c>
      <c r="T61">
        <f>HYPERLINK("https://klasma.github.io/Logging_2380/kartor/A 39941-2024 karta.png", "A 39941-2024")</f>
        <v/>
      </c>
      <c r="V61">
        <f>HYPERLINK("https://klasma.github.io/Logging_2380/klagomål/A 39941-2024 FSC-klagomål.docx", "A 39941-2024")</f>
        <v/>
      </c>
      <c r="W61">
        <f>HYPERLINK("https://klasma.github.io/Logging_2380/klagomålsmail/A 39941-2024 FSC-klagomål mail.docx", "A 39941-2024")</f>
        <v/>
      </c>
      <c r="X61">
        <f>HYPERLINK("https://klasma.github.io/Logging_2380/tillsyn/A 39941-2024 tillsynsbegäran.docx", "A 39941-2024")</f>
        <v/>
      </c>
      <c r="Y61">
        <f>HYPERLINK("https://klasma.github.io/Logging_2380/tillsynsmail/A 39941-2024 tillsynsbegäran mail.docx", "A 39941-2024")</f>
        <v/>
      </c>
    </row>
    <row r="62" ht="15" customHeight="1">
      <c r="A62" t="inlineStr">
        <is>
          <t>A 45979-2023</t>
        </is>
      </c>
      <c r="B62" s="1" t="n">
        <v>45189</v>
      </c>
      <c r="C62" s="1" t="n">
        <v>45984</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54731-2024</t>
        </is>
      </c>
      <c r="B63" s="1" t="n">
        <v>45618.43853009259</v>
      </c>
      <c r="C63" s="1" t="n">
        <v>45984</v>
      </c>
      <c r="D63" t="inlineStr">
        <is>
          <t>JÄMTLANDS LÄN</t>
        </is>
      </c>
      <c r="E63" t="inlineStr">
        <is>
          <t>ÖSTERSUND</t>
        </is>
      </c>
      <c r="F63" t="inlineStr">
        <is>
          <t>SCA</t>
        </is>
      </c>
      <c r="G63" t="n">
        <v>16.8</v>
      </c>
      <c r="H63" t="n">
        <v>1</v>
      </c>
      <c r="I63" t="n">
        <v>1</v>
      </c>
      <c r="J63" t="n">
        <v>4</v>
      </c>
      <c r="K63" t="n">
        <v>0</v>
      </c>
      <c r="L63" t="n">
        <v>0</v>
      </c>
      <c r="M63" t="n">
        <v>0</v>
      </c>
      <c r="N63" t="n">
        <v>0</v>
      </c>
      <c r="O63" t="n">
        <v>4</v>
      </c>
      <c r="P63" t="n">
        <v>0</v>
      </c>
      <c r="Q63" t="n">
        <v>5</v>
      </c>
      <c r="R63" s="2" t="inlineStr">
        <is>
          <t>Granticka
Lunglav
Rödvingetrast
Ullticka
Kransrams</t>
        </is>
      </c>
      <c r="S63">
        <f>HYPERLINK("https://klasma.github.io/Logging_2380/artfynd/A 54731-2024 artfynd.xlsx", "A 54731-2024")</f>
        <v/>
      </c>
      <c r="T63">
        <f>HYPERLINK("https://klasma.github.io/Logging_2380/kartor/A 54731-2024 karta.png", "A 54731-2024")</f>
        <v/>
      </c>
      <c r="V63">
        <f>HYPERLINK("https://klasma.github.io/Logging_2380/klagomål/A 54731-2024 FSC-klagomål.docx", "A 54731-2024")</f>
        <v/>
      </c>
      <c r="W63">
        <f>HYPERLINK("https://klasma.github.io/Logging_2380/klagomålsmail/A 54731-2024 FSC-klagomål mail.docx", "A 54731-2024")</f>
        <v/>
      </c>
      <c r="X63">
        <f>HYPERLINK("https://klasma.github.io/Logging_2380/tillsyn/A 54731-2024 tillsynsbegäran.docx", "A 54731-2024")</f>
        <v/>
      </c>
      <c r="Y63">
        <f>HYPERLINK("https://klasma.github.io/Logging_2380/tillsynsmail/A 54731-2024 tillsynsbegäran mail.docx", "A 54731-2024")</f>
        <v/>
      </c>
      <c r="Z63">
        <f>HYPERLINK("https://klasma.github.io/Logging_2380/fåglar/A 54731-2024 prioriterade fågelarter.docx", "A 54731-2024")</f>
        <v/>
      </c>
    </row>
    <row r="64" ht="15" customHeight="1">
      <c r="A64" t="inlineStr">
        <is>
          <t>A 38334-2023</t>
        </is>
      </c>
      <c r="B64" s="1" t="n">
        <v>45161</v>
      </c>
      <c r="C64" s="1" t="n">
        <v>45984</v>
      </c>
      <c r="D64" t="inlineStr">
        <is>
          <t>JÄMTLANDS LÄN</t>
        </is>
      </c>
      <c r="E64" t="inlineStr">
        <is>
          <t>ÖSTERSUND</t>
        </is>
      </c>
      <c r="G64" t="n">
        <v>10.5</v>
      </c>
      <c r="H64" t="n">
        <v>1</v>
      </c>
      <c r="I64" t="n">
        <v>0</v>
      </c>
      <c r="J64" t="n">
        <v>3</v>
      </c>
      <c r="K64" t="n">
        <v>2</v>
      </c>
      <c r="L64" t="n">
        <v>0</v>
      </c>
      <c r="M64" t="n">
        <v>0</v>
      </c>
      <c r="N64" t="n">
        <v>0</v>
      </c>
      <c r="O64" t="n">
        <v>5</v>
      </c>
      <c r="P64" t="n">
        <v>2</v>
      </c>
      <c r="Q64" t="n">
        <v>5</v>
      </c>
      <c r="R64" s="2" t="inlineStr">
        <is>
          <t>Rynkskinn
Violett fingersvamp
Granticka
Harticka
Tretåig hackspett</t>
        </is>
      </c>
      <c r="S64">
        <f>HYPERLINK("https://klasma.github.io/Logging_2380/artfynd/A 38334-2023 artfynd.xlsx", "A 38334-2023")</f>
        <v/>
      </c>
      <c r="T64">
        <f>HYPERLINK("https://klasma.github.io/Logging_2380/kartor/A 38334-2023 karta.png", "A 38334-2023")</f>
        <v/>
      </c>
      <c r="V64">
        <f>HYPERLINK("https://klasma.github.io/Logging_2380/klagomål/A 38334-2023 FSC-klagomål.docx", "A 38334-2023")</f>
        <v/>
      </c>
      <c r="W64">
        <f>HYPERLINK("https://klasma.github.io/Logging_2380/klagomålsmail/A 38334-2023 FSC-klagomål mail.docx", "A 38334-2023")</f>
        <v/>
      </c>
      <c r="X64">
        <f>HYPERLINK("https://klasma.github.io/Logging_2380/tillsyn/A 38334-2023 tillsynsbegäran.docx", "A 38334-2023")</f>
        <v/>
      </c>
      <c r="Y64">
        <f>HYPERLINK("https://klasma.github.io/Logging_2380/tillsynsmail/A 38334-2023 tillsynsbegäran mail.docx", "A 38334-2023")</f>
        <v/>
      </c>
      <c r="Z64">
        <f>HYPERLINK("https://klasma.github.io/Logging_2380/fåglar/A 38334-2023 prioriterade fågelarter.docx", "A 38334-2023")</f>
        <v/>
      </c>
    </row>
    <row r="65" ht="15" customHeight="1">
      <c r="A65" t="inlineStr">
        <is>
          <t>A 7717-2024</t>
        </is>
      </c>
      <c r="B65" s="1" t="n">
        <v>45349</v>
      </c>
      <c r="C65" s="1" t="n">
        <v>45984</v>
      </c>
      <c r="D65" t="inlineStr">
        <is>
          <t>JÄMTLANDS LÄN</t>
        </is>
      </c>
      <c r="E65" t="inlineStr">
        <is>
          <t>ÖSTERSUND</t>
        </is>
      </c>
      <c r="F65" t="inlineStr">
        <is>
          <t>Övriga Aktiebolag</t>
        </is>
      </c>
      <c r="G65" t="n">
        <v>2.5</v>
      </c>
      <c r="H65" t="n">
        <v>1</v>
      </c>
      <c r="I65" t="n">
        <v>1</v>
      </c>
      <c r="J65" t="n">
        <v>4</v>
      </c>
      <c r="K65" t="n">
        <v>0</v>
      </c>
      <c r="L65" t="n">
        <v>0</v>
      </c>
      <c r="M65" t="n">
        <v>0</v>
      </c>
      <c r="N65" t="n">
        <v>0</v>
      </c>
      <c r="O65" t="n">
        <v>4</v>
      </c>
      <c r="P65" t="n">
        <v>0</v>
      </c>
      <c r="Q65" t="n">
        <v>5</v>
      </c>
      <c r="R65" s="2" t="inlineStr">
        <is>
          <t>Garnlav
Lunglav
Skrovellav
Talltita
Stuplav</t>
        </is>
      </c>
      <c r="S65">
        <f>HYPERLINK("https://klasma.github.io/Logging_2380/artfynd/A 7717-2024 artfynd.xlsx", "A 7717-2024")</f>
        <v/>
      </c>
      <c r="T65">
        <f>HYPERLINK("https://klasma.github.io/Logging_2380/kartor/A 7717-2024 karta.png", "A 7717-2024")</f>
        <v/>
      </c>
      <c r="V65">
        <f>HYPERLINK("https://klasma.github.io/Logging_2380/klagomål/A 7717-2024 FSC-klagomål.docx", "A 7717-2024")</f>
        <v/>
      </c>
      <c r="W65">
        <f>HYPERLINK("https://klasma.github.io/Logging_2380/klagomålsmail/A 7717-2024 FSC-klagomål mail.docx", "A 7717-2024")</f>
        <v/>
      </c>
      <c r="X65">
        <f>HYPERLINK("https://klasma.github.io/Logging_2380/tillsyn/A 7717-2024 tillsynsbegäran.docx", "A 7717-2024")</f>
        <v/>
      </c>
      <c r="Y65">
        <f>HYPERLINK("https://klasma.github.io/Logging_2380/tillsynsmail/A 7717-2024 tillsynsbegäran mail.docx", "A 7717-2024")</f>
        <v/>
      </c>
      <c r="Z65">
        <f>HYPERLINK("https://klasma.github.io/Logging_2380/fåglar/A 7717-2024 prioriterade fågelarter.docx", "A 7717-2024")</f>
        <v/>
      </c>
    </row>
    <row r="66" ht="15" customHeight="1">
      <c r="A66" t="inlineStr">
        <is>
          <t>A 10747-2024</t>
        </is>
      </c>
      <c r="B66" s="1" t="n">
        <v>45369</v>
      </c>
      <c r="C66" s="1" t="n">
        <v>45984</v>
      </c>
      <c r="D66" t="inlineStr">
        <is>
          <t>JÄMTLANDS LÄN</t>
        </is>
      </c>
      <c r="E66" t="inlineStr">
        <is>
          <t>ÖSTERSUND</t>
        </is>
      </c>
      <c r="G66" t="n">
        <v>4.3</v>
      </c>
      <c r="H66" t="n">
        <v>1</v>
      </c>
      <c r="I66" t="n">
        <v>1</v>
      </c>
      <c r="J66" t="n">
        <v>3</v>
      </c>
      <c r="K66" t="n">
        <v>1</v>
      </c>
      <c r="L66" t="n">
        <v>0</v>
      </c>
      <c r="M66" t="n">
        <v>0</v>
      </c>
      <c r="N66" t="n">
        <v>0</v>
      </c>
      <c r="O66" t="n">
        <v>4</v>
      </c>
      <c r="P66" t="n">
        <v>1</v>
      </c>
      <c r="Q66" t="n">
        <v>5</v>
      </c>
      <c r="R66" s="2" t="inlineStr">
        <is>
          <t>Fjällfotad musseron
Barrviolspindling
Gultoppig fingersvamp
Tretåig hackspett
Fjällig taggsvamp s.str.</t>
        </is>
      </c>
      <c r="S66">
        <f>HYPERLINK("https://klasma.github.io/Logging_2380/artfynd/A 10747-2024 artfynd.xlsx", "A 10747-2024")</f>
        <v/>
      </c>
      <c r="T66">
        <f>HYPERLINK("https://klasma.github.io/Logging_2380/kartor/A 10747-2024 karta.png", "A 10747-2024")</f>
        <v/>
      </c>
      <c r="V66">
        <f>HYPERLINK("https://klasma.github.io/Logging_2380/klagomål/A 10747-2024 FSC-klagomål.docx", "A 10747-2024")</f>
        <v/>
      </c>
      <c r="W66">
        <f>HYPERLINK("https://klasma.github.io/Logging_2380/klagomålsmail/A 10747-2024 FSC-klagomål mail.docx", "A 10747-2024")</f>
        <v/>
      </c>
      <c r="X66">
        <f>HYPERLINK("https://klasma.github.io/Logging_2380/tillsyn/A 10747-2024 tillsynsbegäran.docx", "A 10747-2024")</f>
        <v/>
      </c>
      <c r="Y66">
        <f>HYPERLINK("https://klasma.github.io/Logging_2380/tillsynsmail/A 10747-2024 tillsynsbegäran mail.docx", "A 10747-2024")</f>
        <v/>
      </c>
      <c r="Z66">
        <f>HYPERLINK("https://klasma.github.io/Logging_2380/fåglar/A 10747-2024 prioriterade fågelarter.docx", "A 10747-2024")</f>
        <v/>
      </c>
    </row>
    <row r="67" ht="15" customHeight="1">
      <c r="A67" t="inlineStr">
        <is>
          <t>A 60580-2024</t>
        </is>
      </c>
      <c r="B67" s="1" t="n">
        <v>45644</v>
      </c>
      <c r="C67" s="1" t="n">
        <v>45984</v>
      </c>
      <c r="D67" t="inlineStr">
        <is>
          <t>JÄMTLANDS LÄN</t>
        </is>
      </c>
      <c r="E67" t="inlineStr">
        <is>
          <t>ÖSTERSUND</t>
        </is>
      </c>
      <c r="G67" t="n">
        <v>13.5</v>
      </c>
      <c r="H67" t="n">
        <v>2</v>
      </c>
      <c r="I67" t="n">
        <v>0</v>
      </c>
      <c r="J67" t="n">
        <v>4</v>
      </c>
      <c r="K67" t="n">
        <v>0</v>
      </c>
      <c r="L67" t="n">
        <v>0</v>
      </c>
      <c r="M67" t="n">
        <v>0</v>
      </c>
      <c r="N67" t="n">
        <v>0</v>
      </c>
      <c r="O67" t="n">
        <v>4</v>
      </c>
      <c r="P67" t="n">
        <v>0</v>
      </c>
      <c r="Q67" t="n">
        <v>4</v>
      </c>
      <c r="R67" s="2" t="inlineStr">
        <is>
          <t>Granticka
Lunglav
Spillkråka
Tretåig hackspett</t>
        </is>
      </c>
      <c r="S67">
        <f>HYPERLINK("https://klasma.github.io/Logging_2380/artfynd/A 60580-2024 artfynd.xlsx", "A 60580-2024")</f>
        <v/>
      </c>
      <c r="T67">
        <f>HYPERLINK("https://klasma.github.io/Logging_2380/kartor/A 60580-2024 karta.png", "A 60580-2024")</f>
        <v/>
      </c>
      <c r="V67">
        <f>HYPERLINK("https://klasma.github.io/Logging_2380/klagomål/A 60580-2024 FSC-klagomål.docx", "A 60580-2024")</f>
        <v/>
      </c>
      <c r="W67">
        <f>HYPERLINK("https://klasma.github.io/Logging_2380/klagomålsmail/A 60580-2024 FSC-klagomål mail.docx", "A 60580-2024")</f>
        <v/>
      </c>
      <c r="X67">
        <f>HYPERLINK("https://klasma.github.io/Logging_2380/tillsyn/A 60580-2024 tillsynsbegäran.docx", "A 60580-2024")</f>
        <v/>
      </c>
      <c r="Y67">
        <f>HYPERLINK("https://klasma.github.io/Logging_2380/tillsynsmail/A 60580-2024 tillsynsbegäran mail.docx", "A 60580-2024")</f>
        <v/>
      </c>
      <c r="Z67">
        <f>HYPERLINK("https://klasma.github.io/Logging_2380/fåglar/A 60580-2024 prioriterade fågelarter.docx", "A 60580-2024")</f>
        <v/>
      </c>
    </row>
    <row r="68" ht="15" customHeight="1">
      <c r="A68" t="inlineStr">
        <is>
          <t>A 25369-2024</t>
        </is>
      </c>
      <c r="B68" s="1" t="n">
        <v>45462.95982638889</v>
      </c>
      <c r="C68" s="1" t="n">
        <v>45984</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55344-2023</t>
        </is>
      </c>
      <c r="B69" s="1" t="n">
        <v>45237</v>
      </c>
      <c r="C69" s="1" t="n">
        <v>45984</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7698-2024</t>
        </is>
      </c>
      <c r="B70" s="1" t="n">
        <v>45349</v>
      </c>
      <c r="C70" s="1" t="n">
        <v>45984</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55258-2025</t>
        </is>
      </c>
      <c r="B71" s="1" t="n">
        <v>45968.6444212963</v>
      </c>
      <c r="C71" s="1" t="n">
        <v>45984</v>
      </c>
      <c r="D71" t="inlineStr">
        <is>
          <t>JÄMTLANDS LÄN</t>
        </is>
      </c>
      <c r="E71" t="inlineStr">
        <is>
          <t>ÖSTERSUND</t>
        </is>
      </c>
      <c r="G71" t="n">
        <v>4.2</v>
      </c>
      <c r="H71" t="n">
        <v>2</v>
      </c>
      <c r="I71" t="n">
        <v>1</v>
      </c>
      <c r="J71" t="n">
        <v>2</v>
      </c>
      <c r="K71" t="n">
        <v>0</v>
      </c>
      <c r="L71" t="n">
        <v>0</v>
      </c>
      <c r="M71" t="n">
        <v>0</v>
      </c>
      <c r="N71" t="n">
        <v>0</v>
      </c>
      <c r="O71" t="n">
        <v>2</v>
      </c>
      <c r="P71" t="n">
        <v>0</v>
      </c>
      <c r="Q71" t="n">
        <v>4</v>
      </c>
      <c r="R71" s="2" t="inlineStr">
        <is>
          <t>Granticka
Talltita
Kransrams
Revlummer</t>
        </is>
      </c>
      <c r="S71">
        <f>HYPERLINK("https://klasma.github.io/Logging_2380/artfynd/A 55258-2025 artfynd.xlsx", "A 55258-2025")</f>
        <v/>
      </c>
      <c r="T71">
        <f>HYPERLINK("https://klasma.github.io/Logging_2380/kartor/A 55258-2025 karta.png", "A 55258-2025")</f>
        <v/>
      </c>
      <c r="V71">
        <f>HYPERLINK("https://klasma.github.io/Logging_2380/klagomål/A 55258-2025 FSC-klagomål.docx", "A 55258-2025")</f>
        <v/>
      </c>
      <c r="W71">
        <f>HYPERLINK("https://klasma.github.io/Logging_2380/klagomålsmail/A 55258-2025 FSC-klagomål mail.docx", "A 55258-2025")</f>
        <v/>
      </c>
      <c r="X71">
        <f>HYPERLINK("https://klasma.github.io/Logging_2380/tillsyn/A 55258-2025 tillsynsbegäran.docx", "A 55258-2025")</f>
        <v/>
      </c>
      <c r="Y71">
        <f>HYPERLINK("https://klasma.github.io/Logging_2380/tillsynsmail/A 55258-2025 tillsynsbegäran mail.docx", "A 55258-2025")</f>
        <v/>
      </c>
      <c r="Z71">
        <f>HYPERLINK("https://klasma.github.io/Logging_2380/fåglar/A 55258-2025 prioriterade fågelarter.docx", "A 55258-2025")</f>
        <v/>
      </c>
    </row>
    <row r="72" ht="15" customHeight="1">
      <c r="A72" t="inlineStr">
        <is>
          <t>A 41493-2025</t>
        </is>
      </c>
      <c r="B72" s="1" t="n">
        <v>45901.49171296296</v>
      </c>
      <c r="C72" s="1" t="n">
        <v>45984</v>
      </c>
      <c r="D72" t="inlineStr">
        <is>
          <t>JÄMTLANDS LÄN</t>
        </is>
      </c>
      <c r="E72" t="inlineStr">
        <is>
          <t>ÖSTERSUND</t>
        </is>
      </c>
      <c r="F72" t="inlineStr">
        <is>
          <t>Övriga Aktiebolag</t>
        </is>
      </c>
      <c r="G72" t="n">
        <v>0.8</v>
      </c>
      <c r="H72" t="n">
        <v>1</v>
      </c>
      <c r="I72" t="n">
        <v>1</v>
      </c>
      <c r="J72" t="n">
        <v>2</v>
      </c>
      <c r="K72" t="n">
        <v>0</v>
      </c>
      <c r="L72" t="n">
        <v>0</v>
      </c>
      <c r="M72" t="n">
        <v>0</v>
      </c>
      <c r="N72" t="n">
        <v>0</v>
      </c>
      <c r="O72" t="n">
        <v>2</v>
      </c>
      <c r="P72" t="n">
        <v>0</v>
      </c>
      <c r="Q72" t="n">
        <v>4</v>
      </c>
      <c r="R72" s="2" t="inlineStr">
        <is>
          <t>Granticka
Harticka
Trådticka
Revlummer</t>
        </is>
      </c>
      <c r="S72">
        <f>HYPERLINK("https://klasma.github.io/Logging_2380/artfynd/A 41493-2025 artfynd.xlsx", "A 41493-2025")</f>
        <v/>
      </c>
      <c r="T72">
        <f>HYPERLINK("https://klasma.github.io/Logging_2380/kartor/A 41493-2025 karta.png", "A 41493-2025")</f>
        <v/>
      </c>
      <c r="V72">
        <f>HYPERLINK("https://klasma.github.io/Logging_2380/klagomål/A 41493-2025 FSC-klagomål.docx", "A 41493-2025")</f>
        <v/>
      </c>
      <c r="W72">
        <f>HYPERLINK("https://klasma.github.io/Logging_2380/klagomålsmail/A 41493-2025 FSC-klagomål mail.docx", "A 41493-2025")</f>
        <v/>
      </c>
      <c r="X72">
        <f>HYPERLINK("https://klasma.github.io/Logging_2380/tillsyn/A 41493-2025 tillsynsbegäran.docx", "A 41493-2025")</f>
        <v/>
      </c>
      <c r="Y72">
        <f>HYPERLINK("https://klasma.github.io/Logging_2380/tillsynsmail/A 41493-2025 tillsynsbegäran mail.docx", "A 41493-2025")</f>
        <v/>
      </c>
    </row>
    <row r="73" ht="15" customHeight="1">
      <c r="A73" t="inlineStr">
        <is>
          <t>A 31127-2025</t>
        </is>
      </c>
      <c r="B73" s="1" t="n">
        <v>45831</v>
      </c>
      <c r="C73" s="1" t="n">
        <v>45984</v>
      </c>
      <c r="D73" t="inlineStr">
        <is>
          <t>JÄMTLANDS LÄN</t>
        </is>
      </c>
      <c r="E73" t="inlineStr">
        <is>
          <t>ÖSTERSUND</t>
        </is>
      </c>
      <c r="G73" t="n">
        <v>4.3</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31127-2025 artfynd.xlsx", "A 31127-2025")</f>
        <v/>
      </c>
      <c r="T73">
        <f>HYPERLINK("https://klasma.github.io/Logging_2380/kartor/A 31127-2025 karta.png", "A 31127-2025")</f>
        <v/>
      </c>
      <c r="V73">
        <f>HYPERLINK("https://klasma.github.io/Logging_2380/klagomål/A 31127-2025 FSC-klagomål.docx", "A 31127-2025")</f>
        <v/>
      </c>
      <c r="W73">
        <f>HYPERLINK("https://klasma.github.io/Logging_2380/klagomålsmail/A 31127-2025 FSC-klagomål mail.docx", "A 31127-2025")</f>
        <v/>
      </c>
      <c r="X73">
        <f>HYPERLINK("https://klasma.github.io/Logging_2380/tillsyn/A 31127-2025 tillsynsbegäran.docx", "A 31127-2025")</f>
        <v/>
      </c>
      <c r="Y73">
        <f>HYPERLINK("https://klasma.github.io/Logging_2380/tillsynsmail/A 31127-2025 tillsynsbegäran mail.docx", "A 31127-2025")</f>
        <v/>
      </c>
      <c r="Z73">
        <f>HYPERLINK("https://klasma.github.io/Logging_2380/fåglar/A 31127-2025 prioriterade fågelarter.docx", "A 31127-2025")</f>
        <v/>
      </c>
    </row>
    <row r="74" ht="15" customHeight="1">
      <c r="A74" t="inlineStr">
        <is>
          <t>A 49192-2025</t>
        </is>
      </c>
      <c r="B74" s="1" t="n">
        <v>45938.40790509259</v>
      </c>
      <c r="C74" s="1" t="n">
        <v>45984</v>
      </c>
      <c r="D74" t="inlineStr">
        <is>
          <t>JÄMTLANDS LÄN</t>
        </is>
      </c>
      <c r="E74" t="inlineStr">
        <is>
          <t>ÖSTERSUND</t>
        </is>
      </c>
      <c r="F74" t="inlineStr">
        <is>
          <t>SCA</t>
        </is>
      </c>
      <c r="G74" t="n">
        <v>2.6</v>
      </c>
      <c r="H74" t="n">
        <v>2</v>
      </c>
      <c r="I74" t="n">
        <v>2</v>
      </c>
      <c r="J74" t="n">
        <v>1</v>
      </c>
      <c r="K74" t="n">
        <v>0</v>
      </c>
      <c r="L74" t="n">
        <v>0</v>
      </c>
      <c r="M74" t="n">
        <v>0</v>
      </c>
      <c r="N74" t="n">
        <v>0</v>
      </c>
      <c r="O74" t="n">
        <v>1</v>
      </c>
      <c r="P74" t="n">
        <v>0</v>
      </c>
      <c r="Q74" t="n">
        <v>4</v>
      </c>
      <c r="R74" s="2" t="inlineStr">
        <is>
          <t>Kolflarnlav
Guckusko
Tibast
Blåsippa</t>
        </is>
      </c>
      <c r="S74">
        <f>HYPERLINK("https://klasma.github.io/Logging_2380/artfynd/A 49192-2025 artfynd.xlsx", "A 49192-2025")</f>
        <v/>
      </c>
      <c r="T74">
        <f>HYPERLINK("https://klasma.github.io/Logging_2380/kartor/A 49192-2025 karta.png", "A 49192-2025")</f>
        <v/>
      </c>
      <c r="V74">
        <f>HYPERLINK("https://klasma.github.io/Logging_2380/klagomål/A 49192-2025 FSC-klagomål.docx", "A 49192-2025")</f>
        <v/>
      </c>
      <c r="W74">
        <f>HYPERLINK("https://klasma.github.io/Logging_2380/klagomålsmail/A 49192-2025 FSC-klagomål mail.docx", "A 49192-2025")</f>
        <v/>
      </c>
      <c r="X74">
        <f>HYPERLINK("https://klasma.github.io/Logging_2380/tillsyn/A 49192-2025 tillsynsbegäran.docx", "A 49192-2025")</f>
        <v/>
      </c>
      <c r="Y74">
        <f>HYPERLINK("https://klasma.github.io/Logging_2380/tillsynsmail/A 49192-2025 tillsynsbegäran mail.docx", "A 49192-2025")</f>
        <v/>
      </c>
    </row>
    <row r="75" ht="15" customHeight="1">
      <c r="A75" t="inlineStr">
        <is>
          <t>A 57711-2025</t>
        </is>
      </c>
      <c r="B75" s="1" t="n">
        <v>45981.47217592593</v>
      </c>
      <c r="C75" s="1" t="n">
        <v>45984</v>
      </c>
      <c r="D75" t="inlineStr">
        <is>
          <t>JÄMTLANDS LÄN</t>
        </is>
      </c>
      <c r="E75" t="inlineStr">
        <is>
          <t>ÖSTERSUND</t>
        </is>
      </c>
      <c r="F75" t="inlineStr">
        <is>
          <t>Övriga Aktiebolag</t>
        </is>
      </c>
      <c r="G75" t="n">
        <v>2.6</v>
      </c>
      <c r="H75" t="n">
        <v>0</v>
      </c>
      <c r="I75" t="n">
        <v>4</v>
      </c>
      <c r="J75" t="n">
        <v>0</v>
      </c>
      <c r="K75" t="n">
        <v>0</v>
      </c>
      <c r="L75" t="n">
        <v>0</v>
      </c>
      <c r="M75" t="n">
        <v>0</v>
      </c>
      <c r="N75" t="n">
        <v>0</v>
      </c>
      <c r="O75" t="n">
        <v>0</v>
      </c>
      <c r="P75" t="n">
        <v>0</v>
      </c>
      <c r="Q75" t="n">
        <v>4</v>
      </c>
      <c r="R75" s="2" t="inlineStr">
        <is>
          <t>Diskvaxskivling
Fjällig taggsvamp s.str.
Kransrams
Kryddspindling</t>
        </is>
      </c>
      <c r="S75">
        <f>HYPERLINK("https://klasma.github.io/Logging_2380/artfynd/A 57711-2025 artfynd.xlsx", "A 57711-2025")</f>
        <v/>
      </c>
      <c r="T75">
        <f>HYPERLINK("https://klasma.github.io/Logging_2380/kartor/A 57711-2025 karta.png", "A 57711-2025")</f>
        <v/>
      </c>
      <c r="V75">
        <f>HYPERLINK("https://klasma.github.io/Logging_2380/klagomål/A 57711-2025 FSC-klagomål.docx", "A 57711-2025")</f>
        <v/>
      </c>
      <c r="W75">
        <f>HYPERLINK("https://klasma.github.io/Logging_2380/klagomålsmail/A 57711-2025 FSC-klagomål mail.docx", "A 57711-2025")</f>
        <v/>
      </c>
      <c r="X75">
        <f>HYPERLINK("https://klasma.github.io/Logging_2380/tillsyn/A 57711-2025 tillsynsbegäran.docx", "A 57711-2025")</f>
        <v/>
      </c>
      <c r="Y75">
        <f>HYPERLINK("https://klasma.github.io/Logging_2380/tillsynsmail/A 57711-2025 tillsynsbegäran mail.docx", "A 57711-2025")</f>
        <v/>
      </c>
    </row>
    <row r="76" ht="15" customHeight="1">
      <c r="A76" t="inlineStr">
        <is>
          <t>A 2962-2023</t>
        </is>
      </c>
      <c r="B76" s="1" t="n">
        <v>44945</v>
      </c>
      <c r="C76" s="1" t="n">
        <v>45984</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38335-2023</t>
        </is>
      </c>
      <c r="B77" s="1" t="n">
        <v>45161</v>
      </c>
      <c r="C77" s="1" t="n">
        <v>45984</v>
      </c>
      <c r="D77" t="inlineStr">
        <is>
          <t>JÄMTLANDS LÄN</t>
        </is>
      </c>
      <c r="E77" t="inlineStr">
        <is>
          <t>ÖSTERSUND</t>
        </is>
      </c>
      <c r="G77" t="n">
        <v>15.1</v>
      </c>
      <c r="H77" t="n">
        <v>3</v>
      </c>
      <c r="I77" t="n">
        <v>0</v>
      </c>
      <c r="J77" t="n">
        <v>2</v>
      </c>
      <c r="K77" t="n">
        <v>1</v>
      </c>
      <c r="L77" t="n">
        <v>0</v>
      </c>
      <c r="M77" t="n">
        <v>0</v>
      </c>
      <c r="N77" t="n">
        <v>0</v>
      </c>
      <c r="O77" t="n">
        <v>3</v>
      </c>
      <c r="P77" t="n">
        <v>1</v>
      </c>
      <c r="Q77" t="n">
        <v>4</v>
      </c>
      <c r="R77" s="2" t="inlineStr">
        <is>
          <t>Tallbit
Rosenticka
Tretåig hackspett
Lavskrika</t>
        </is>
      </c>
      <c r="S77">
        <f>HYPERLINK("https://klasma.github.io/Logging_2380/artfynd/A 38335-2023 artfynd.xlsx", "A 38335-2023")</f>
        <v/>
      </c>
      <c r="T77">
        <f>HYPERLINK("https://klasma.github.io/Logging_2380/kartor/A 38335-2023 karta.png", "A 38335-2023")</f>
        <v/>
      </c>
      <c r="V77">
        <f>HYPERLINK("https://klasma.github.io/Logging_2380/klagomål/A 38335-2023 FSC-klagomål.docx", "A 38335-2023")</f>
        <v/>
      </c>
      <c r="W77">
        <f>HYPERLINK("https://klasma.github.io/Logging_2380/klagomålsmail/A 38335-2023 FSC-klagomål mail.docx", "A 38335-2023")</f>
        <v/>
      </c>
      <c r="X77">
        <f>HYPERLINK("https://klasma.github.io/Logging_2380/tillsyn/A 38335-2023 tillsynsbegäran.docx", "A 38335-2023")</f>
        <v/>
      </c>
      <c r="Y77">
        <f>HYPERLINK("https://klasma.github.io/Logging_2380/tillsynsmail/A 38335-2023 tillsynsbegäran mail.docx", "A 38335-2023")</f>
        <v/>
      </c>
      <c r="Z77">
        <f>HYPERLINK("https://klasma.github.io/Logging_2380/fåglar/A 38335-2023 prioriterade fågelarter.docx", "A 38335-2023")</f>
        <v/>
      </c>
    </row>
    <row r="78" ht="15" customHeight="1">
      <c r="A78" t="inlineStr">
        <is>
          <t>A 29135-2022</t>
        </is>
      </c>
      <c r="B78" s="1" t="n">
        <v>44750</v>
      </c>
      <c r="C78" s="1" t="n">
        <v>45984</v>
      </c>
      <c r="D78" t="inlineStr">
        <is>
          <t>JÄMTLANDS LÄN</t>
        </is>
      </c>
      <c r="E78" t="inlineStr">
        <is>
          <t>ÖSTERSUND</t>
        </is>
      </c>
      <c r="G78" t="n">
        <v>2.3</v>
      </c>
      <c r="H78" t="n">
        <v>3</v>
      </c>
      <c r="I78" t="n">
        <v>2</v>
      </c>
      <c r="J78" t="n">
        <v>0</v>
      </c>
      <c r="K78" t="n">
        <v>0</v>
      </c>
      <c r="L78" t="n">
        <v>0</v>
      </c>
      <c r="M78" t="n">
        <v>0</v>
      </c>
      <c r="N78" t="n">
        <v>0</v>
      </c>
      <c r="O78" t="n">
        <v>0</v>
      </c>
      <c r="P78" t="n">
        <v>0</v>
      </c>
      <c r="Q78" t="n">
        <v>4</v>
      </c>
      <c r="R78" s="2" t="inlineStr">
        <is>
          <t>Finbräken
Grönkulla
Fläcknycklar
Blåsippa</t>
        </is>
      </c>
      <c r="S78">
        <f>HYPERLINK("https://klasma.github.io/Logging_2380/artfynd/A 29135-2022 artfynd.xlsx", "A 29135-2022")</f>
        <v/>
      </c>
      <c r="T78">
        <f>HYPERLINK("https://klasma.github.io/Logging_2380/kartor/A 29135-2022 karta.png", "A 29135-2022")</f>
        <v/>
      </c>
      <c r="V78">
        <f>HYPERLINK("https://klasma.github.io/Logging_2380/klagomål/A 29135-2022 FSC-klagomål.docx", "A 29135-2022")</f>
        <v/>
      </c>
      <c r="W78">
        <f>HYPERLINK("https://klasma.github.io/Logging_2380/klagomålsmail/A 29135-2022 FSC-klagomål mail.docx", "A 29135-2022")</f>
        <v/>
      </c>
      <c r="X78">
        <f>HYPERLINK("https://klasma.github.io/Logging_2380/tillsyn/A 29135-2022 tillsynsbegäran.docx", "A 29135-2022")</f>
        <v/>
      </c>
      <c r="Y78">
        <f>HYPERLINK("https://klasma.github.io/Logging_2380/tillsynsmail/A 29135-2022 tillsynsbegäran mail.docx", "A 29135-2022")</f>
        <v/>
      </c>
    </row>
    <row r="79" ht="15" customHeight="1">
      <c r="A79" t="inlineStr">
        <is>
          <t>A 59291-2022</t>
        </is>
      </c>
      <c r="B79" s="1" t="n">
        <v>44904</v>
      </c>
      <c r="C79" s="1" t="n">
        <v>45984</v>
      </c>
      <c r="D79" t="inlineStr">
        <is>
          <t>JÄMTLANDS LÄN</t>
        </is>
      </c>
      <c r="E79" t="inlineStr">
        <is>
          <t>ÖSTERSUND</t>
        </is>
      </c>
      <c r="G79" t="n">
        <v>9.199999999999999</v>
      </c>
      <c r="H79" t="n">
        <v>1</v>
      </c>
      <c r="I79" t="n">
        <v>0</v>
      </c>
      <c r="J79" t="n">
        <v>3</v>
      </c>
      <c r="K79" t="n">
        <v>0</v>
      </c>
      <c r="L79" t="n">
        <v>0</v>
      </c>
      <c r="M79" t="n">
        <v>0</v>
      </c>
      <c r="N79" t="n">
        <v>0</v>
      </c>
      <c r="O79" t="n">
        <v>3</v>
      </c>
      <c r="P79" t="n">
        <v>0</v>
      </c>
      <c r="Q79" t="n">
        <v>4</v>
      </c>
      <c r="R79" s="2" t="inlineStr">
        <is>
          <t>Garnlav
Lunglav
Skrovellav
Revlummer</t>
        </is>
      </c>
      <c r="S79">
        <f>HYPERLINK("https://klasma.github.io/Logging_2380/artfynd/A 59291-2022 artfynd.xlsx", "A 59291-2022")</f>
        <v/>
      </c>
      <c r="T79">
        <f>HYPERLINK("https://klasma.github.io/Logging_2380/kartor/A 59291-2022 karta.png", "A 59291-2022")</f>
        <v/>
      </c>
      <c r="V79">
        <f>HYPERLINK("https://klasma.github.io/Logging_2380/klagomål/A 59291-2022 FSC-klagomål.docx", "A 59291-2022")</f>
        <v/>
      </c>
      <c r="W79">
        <f>HYPERLINK("https://klasma.github.io/Logging_2380/klagomålsmail/A 59291-2022 FSC-klagomål mail.docx", "A 59291-2022")</f>
        <v/>
      </c>
      <c r="X79">
        <f>HYPERLINK("https://klasma.github.io/Logging_2380/tillsyn/A 59291-2022 tillsynsbegäran.docx", "A 59291-2022")</f>
        <v/>
      </c>
      <c r="Y79">
        <f>HYPERLINK("https://klasma.github.io/Logging_2380/tillsynsmail/A 59291-2022 tillsynsbegäran mail.docx", "A 59291-2022")</f>
        <v/>
      </c>
    </row>
    <row r="80" ht="15" customHeight="1">
      <c r="A80" t="inlineStr">
        <is>
          <t>A 54421-2021</t>
        </is>
      </c>
      <c r="B80" s="1" t="n">
        <v>44473.43114583333</v>
      </c>
      <c r="C80" s="1" t="n">
        <v>45984</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60565-2022</t>
        </is>
      </c>
      <c r="B81" s="1" t="n">
        <v>44904</v>
      </c>
      <c r="C81" s="1" t="n">
        <v>45984</v>
      </c>
      <c r="D81" t="inlineStr">
        <is>
          <t>JÄMTLANDS LÄN</t>
        </is>
      </c>
      <c r="E81" t="inlineStr">
        <is>
          <t>ÖSTERSUND</t>
        </is>
      </c>
      <c r="G81" t="n">
        <v>2.5</v>
      </c>
      <c r="H81" t="n">
        <v>2</v>
      </c>
      <c r="I81" t="n">
        <v>0</v>
      </c>
      <c r="J81" t="n">
        <v>2</v>
      </c>
      <c r="K81" t="n">
        <v>0</v>
      </c>
      <c r="L81" t="n">
        <v>0</v>
      </c>
      <c r="M81" t="n">
        <v>0</v>
      </c>
      <c r="N81" t="n">
        <v>0</v>
      </c>
      <c r="O81" t="n">
        <v>2</v>
      </c>
      <c r="P81" t="n">
        <v>0</v>
      </c>
      <c r="Q81" t="n">
        <v>3</v>
      </c>
      <c r="R81" s="2" t="inlineStr">
        <is>
          <t>Garnlav
Talltita
Revlummer</t>
        </is>
      </c>
      <c r="S81">
        <f>HYPERLINK("https://klasma.github.io/Logging_2380/artfynd/A 60565-2022 artfynd.xlsx", "A 60565-2022")</f>
        <v/>
      </c>
      <c r="T81">
        <f>HYPERLINK("https://klasma.github.io/Logging_2380/kartor/A 60565-2022 karta.png", "A 60565-2022")</f>
        <v/>
      </c>
      <c r="V81">
        <f>HYPERLINK("https://klasma.github.io/Logging_2380/klagomål/A 60565-2022 FSC-klagomål.docx", "A 60565-2022")</f>
        <v/>
      </c>
      <c r="W81">
        <f>HYPERLINK("https://klasma.github.io/Logging_2380/klagomålsmail/A 60565-2022 FSC-klagomål mail.docx", "A 60565-2022")</f>
        <v/>
      </c>
      <c r="X81">
        <f>HYPERLINK("https://klasma.github.io/Logging_2380/tillsyn/A 60565-2022 tillsynsbegäran.docx", "A 60565-2022")</f>
        <v/>
      </c>
      <c r="Y81">
        <f>HYPERLINK("https://klasma.github.io/Logging_2380/tillsynsmail/A 60565-2022 tillsynsbegäran mail.docx", "A 60565-2022")</f>
        <v/>
      </c>
      <c r="Z81">
        <f>HYPERLINK("https://klasma.github.io/Logging_2380/fåglar/A 60565-2022 prioriterade fågelarter.docx", "A 60565-2022")</f>
        <v/>
      </c>
    </row>
    <row r="82" ht="15" customHeight="1">
      <c r="A82" t="inlineStr">
        <is>
          <t>A 7965-2025</t>
        </is>
      </c>
      <c r="B82" s="1" t="n">
        <v>45707.45219907408</v>
      </c>
      <c r="C82" s="1" t="n">
        <v>45984</v>
      </c>
      <c r="D82" t="inlineStr">
        <is>
          <t>JÄMTLANDS LÄN</t>
        </is>
      </c>
      <c r="E82" t="inlineStr">
        <is>
          <t>ÖSTERSUND</t>
        </is>
      </c>
      <c r="G82" t="n">
        <v>3.7</v>
      </c>
      <c r="H82" t="n">
        <v>2</v>
      </c>
      <c r="I82" t="n">
        <v>1</v>
      </c>
      <c r="J82" t="n">
        <v>0</v>
      </c>
      <c r="K82" t="n">
        <v>0</v>
      </c>
      <c r="L82" t="n">
        <v>0</v>
      </c>
      <c r="M82" t="n">
        <v>0</v>
      </c>
      <c r="N82" t="n">
        <v>0</v>
      </c>
      <c r="O82" t="n">
        <v>0</v>
      </c>
      <c r="P82" t="n">
        <v>0</v>
      </c>
      <c r="Q82" t="n">
        <v>3</v>
      </c>
      <c r="R82" s="2" t="inlineStr">
        <is>
          <t>Finbräken
Fläcknycklar
Blåsippa</t>
        </is>
      </c>
      <c r="S82">
        <f>HYPERLINK("https://klasma.github.io/Logging_2380/artfynd/A 7965-2025 artfynd.xlsx", "A 7965-2025")</f>
        <v/>
      </c>
      <c r="T82">
        <f>HYPERLINK("https://klasma.github.io/Logging_2380/kartor/A 7965-2025 karta.png", "A 7965-2025")</f>
        <v/>
      </c>
      <c r="V82">
        <f>HYPERLINK("https://klasma.github.io/Logging_2380/klagomål/A 7965-2025 FSC-klagomål.docx", "A 7965-2025")</f>
        <v/>
      </c>
      <c r="W82">
        <f>HYPERLINK("https://klasma.github.io/Logging_2380/klagomålsmail/A 7965-2025 FSC-klagomål mail.docx", "A 7965-2025")</f>
        <v/>
      </c>
      <c r="X82">
        <f>HYPERLINK("https://klasma.github.io/Logging_2380/tillsyn/A 7965-2025 tillsynsbegäran.docx", "A 7965-2025")</f>
        <v/>
      </c>
      <c r="Y82">
        <f>HYPERLINK("https://klasma.github.io/Logging_2380/tillsynsmail/A 7965-2025 tillsynsbegäran mail.docx", "A 7965-2025")</f>
        <v/>
      </c>
    </row>
    <row r="83" ht="15" customHeight="1">
      <c r="A83" t="inlineStr">
        <is>
          <t>A 36742-2024</t>
        </is>
      </c>
      <c r="B83" s="1" t="n">
        <v>45538.33584490741</v>
      </c>
      <c r="C83" s="1" t="n">
        <v>45984</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53652-2024</t>
        </is>
      </c>
      <c r="B84" s="1" t="n">
        <v>45615.29761574074</v>
      </c>
      <c r="C84" s="1" t="n">
        <v>45984</v>
      </c>
      <c r="D84" t="inlineStr">
        <is>
          <t>JÄMTLANDS LÄN</t>
        </is>
      </c>
      <c r="E84" t="inlineStr">
        <is>
          <t>ÖSTERSUND</t>
        </is>
      </c>
      <c r="G84" t="n">
        <v>4.2</v>
      </c>
      <c r="H84" t="n">
        <v>1</v>
      </c>
      <c r="I84" t="n">
        <v>1</v>
      </c>
      <c r="J84" t="n">
        <v>1</v>
      </c>
      <c r="K84" t="n">
        <v>0</v>
      </c>
      <c r="L84" t="n">
        <v>0</v>
      </c>
      <c r="M84" t="n">
        <v>0</v>
      </c>
      <c r="N84" t="n">
        <v>0</v>
      </c>
      <c r="O84" t="n">
        <v>1</v>
      </c>
      <c r="P84" t="n">
        <v>0</v>
      </c>
      <c r="Q84" t="n">
        <v>3</v>
      </c>
      <c r="R84" s="2" t="inlineStr">
        <is>
          <t>Flattoppad klubbsvamp
Kransrams
Revlummer</t>
        </is>
      </c>
      <c r="S84">
        <f>HYPERLINK("https://klasma.github.io/Logging_2380/artfynd/A 53652-2024 artfynd.xlsx", "A 53652-2024")</f>
        <v/>
      </c>
      <c r="T84">
        <f>HYPERLINK("https://klasma.github.io/Logging_2380/kartor/A 53652-2024 karta.png", "A 53652-2024")</f>
        <v/>
      </c>
      <c r="V84">
        <f>HYPERLINK("https://klasma.github.io/Logging_2380/klagomål/A 53652-2024 FSC-klagomål.docx", "A 53652-2024")</f>
        <v/>
      </c>
      <c r="W84">
        <f>HYPERLINK("https://klasma.github.io/Logging_2380/klagomålsmail/A 53652-2024 FSC-klagomål mail.docx", "A 53652-2024")</f>
        <v/>
      </c>
      <c r="X84">
        <f>HYPERLINK("https://klasma.github.io/Logging_2380/tillsyn/A 53652-2024 tillsynsbegäran.docx", "A 53652-2024")</f>
        <v/>
      </c>
      <c r="Y84">
        <f>HYPERLINK("https://klasma.github.io/Logging_2380/tillsynsmail/A 53652-2024 tillsynsbegäran mail.docx", "A 53652-2024")</f>
        <v/>
      </c>
    </row>
    <row r="85" ht="15" customHeight="1">
      <c r="A85" t="inlineStr">
        <is>
          <t>A 36806-2025</t>
        </is>
      </c>
      <c r="B85" s="1" t="n">
        <v>45873.69988425926</v>
      </c>
      <c r="C85" s="1" t="n">
        <v>45984</v>
      </c>
      <c r="D85" t="inlineStr">
        <is>
          <t>JÄMTLANDS LÄN</t>
        </is>
      </c>
      <c r="E85" t="inlineStr">
        <is>
          <t>ÖSTERSUND</t>
        </is>
      </c>
      <c r="G85" t="n">
        <v>9.800000000000001</v>
      </c>
      <c r="H85" t="n">
        <v>2</v>
      </c>
      <c r="I85" t="n">
        <v>2</v>
      </c>
      <c r="J85" t="n">
        <v>0</v>
      </c>
      <c r="K85" t="n">
        <v>0</v>
      </c>
      <c r="L85" t="n">
        <v>0</v>
      </c>
      <c r="M85" t="n">
        <v>0</v>
      </c>
      <c r="N85" t="n">
        <v>0</v>
      </c>
      <c r="O85" t="n">
        <v>0</v>
      </c>
      <c r="P85" t="n">
        <v>0</v>
      </c>
      <c r="Q85" t="n">
        <v>3</v>
      </c>
      <c r="R85" s="2" t="inlineStr">
        <is>
          <t>Grönkulla
Vårärt
Blåsippa</t>
        </is>
      </c>
      <c r="S85">
        <f>HYPERLINK("https://klasma.github.io/Logging_2380/artfynd/A 36806-2025 artfynd.xlsx", "A 36806-2025")</f>
        <v/>
      </c>
      <c r="T85">
        <f>HYPERLINK("https://klasma.github.io/Logging_2380/kartor/A 36806-2025 karta.png", "A 36806-2025")</f>
        <v/>
      </c>
      <c r="V85">
        <f>HYPERLINK("https://klasma.github.io/Logging_2380/klagomål/A 36806-2025 FSC-klagomål.docx", "A 36806-2025")</f>
        <v/>
      </c>
      <c r="W85">
        <f>HYPERLINK("https://klasma.github.io/Logging_2380/klagomålsmail/A 36806-2025 FSC-klagomål mail.docx", "A 36806-2025")</f>
        <v/>
      </c>
      <c r="X85">
        <f>HYPERLINK("https://klasma.github.io/Logging_2380/tillsyn/A 36806-2025 tillsynsbegäran.docx", "A 36806-2025")</f>
        <v/>
      </c>
      <c r="Y85">
        <f>HYPERLINK("https://klasma.github.io/Logging_2380/tillsynsmail/A 36806-2025 tillsynsbegäran mail.docx", "A 36806-2025")</f>
        <v/>
      </c>
    </row>
    <row r="86" ht="15" customHeight="1">
      <c r="A86" t="inlineStr">
        <is>
          <t>A 5100-2023</t>
        </is>
      </c>
      <c r="B86" s="1" t="n">
        <v>44956</v>
      </c>
      <c r="C86" s="1" t="n">
        <v>45984</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46705-2023</t>
        </is>
      </c>
      <c r="B87" s="1" t="n">
        <v>45198</v>
      </c>
      <c r="C87" s="1" t="n">
        <v>45984</v>
      </c>
      <c r="D87" t="inlineStr">
        <is>
          <t>JÄMTLANDS LÄN</t>
        </is>
      </c>
      <c r="E87" t="inlineStr">
        <is>
          <t>ÖSTERSUND</t>
        </is>
      </c>
      <c r="F87" t="inlineStr">
        <is>
          <t>Sveaskog</t>
        </is>
      </c>
      <c r="G87" t="n">
        <v>7.5</v>
      </c>
      <c r="H87" t="n">
        <v>1</v>
      </c>
      <c r="I87" t="n">
        <v>3</v>
      </c>
      <c r="J87" t="n">
        <v>0</v>
      </c>
      <c r="K87" t="n">
        <v>0</v>
      </c>
      <c r="L87" t="n">
        <v>0</v>
      </c>
      <c r="M87" t="n">
        <v>0</v>
      </c>
      <c r="N87" t="n">
        <v>0</v>
      </c>
      <c r="O87" t="n">
        <v>0</v>
      </c>
      <c r="P87" t="n">
        <v>0</v>
      </c>
      <c r="Q87" t="n">
        <v>3</v>
      </c>
      <c r="R87" s="2" t="inlineStr">
        <is>
          <t>Finbräken
Guckusko
Ögonpyrola</t>
        </is>
      </c>
      <c r="S87">
        <f>HYPERLINK("https://klasma.github.io/Logging_2380/artfynd/A 46705-2023 artfynd.xlsx", "A 46705-2023")</f>
        <v/>
      </c>
      <c r="T87">
        <f>HYPERLINK("https://klasma.github.io/Logging_2380/kartor/A 46705-2023 karta.png", "A 46705-2023")</f>
        <v/>
      </c>
      <c r="V87">
        <f>HYPERLINK("https://klasma.github.io/Logging_2380/klagomål/A 46705-2023 FSC-klagomål.docx", "A 46705-2023")</f>
        <v/>
      </c>
      <c r="W87">
        <f>HYPERLINK("https://klasma.github.io/Logging_2380/klagomålsmail/A 46705-2023 FSC-klagomål mail.docx", "A 46705-2023")</f>
        <v/>
      </c>
      <c r="X87">
        <f>HYPERLINK("https://klasma.github.io/Logging_2380/tillsyn/A 46705-2023 tillsynsbegäran.docx", "A 46705-2023")</f>
        <v/>
      </c>
      <c r="Y87">
        <f>HYPERLINK("https://klasma.github.io/Logging_2380/tillsynsmail/A 46705-2023 tillsynsbegäran mail.docx", "A 46705-2023")</f>
        <v/>
      </c>
    </row>
    <row r="88" ht="15" customHeight="1">
      <c r="A88" t="inlineStr">
        <is>
          <t>A 43981-2023</t>
        </is>
      </c>
      <c r="B88" s="1" t="n">
        <v>45187</v>
      </c>
      <c r="C88" s="1" t="n">
        <v>45984</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19520-2023</t>
        </is>
      </c>
      <c r="B89" s="1" t="n">
        <v>45049</v>
      </c>
      <c r="C89" s="1" t="n">
        <v>45984</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3846-2024</t>
        </is>
      </c>
      <c r="B90" s="1" t="n">
        <v>45321</v>
      </c>
      <c r="C90" s="1" t="n">
        <v>45984</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60565-2022</t>
        </is>
      </c>
      <c r="B91" s="1" t="n">
        <v>44904</v>
      </c>
      <c r="C91" s="1" t="n">
        <v>45984</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50895-2024</t>
        </is>
      </c>
      <c r="B92" s="1" t="n">
        <v>45602</v>
      </c>
      <c r="C92" s="1" t="n">
        <v>45984</v>
      </c>
      <c r="D92" t="inlineStr">
        <is>
          <t>JÄMTLANDS LÄN</t>
        </is>
      </c>
      <c r="E92" t="inlineStr">
        <is>
          <t>ÖSTERSUND</t>
        </is>
      </c>
      <c r="F92" t="inlineStr">
        <is>
          <t>Kommuner</t>
        </is>
      </c>
      <c r="G92" t="n">
        <v>6</v>
      </c>
      <c r="H92" t="n">
        <v>2</v>
      </c>
      <c r="I92" t="n">
        <v>0</v>
      </c>
      <c r="J92" t="n">
        <v>2</v>
      </c>
      <c r="K92" t="n">
        <v>1</v>
      </c>
      <c r="L92" t="n">
        <v>0</v>
      </c>
      <c r="M92" t="n">
        <v>0</v>
      </c>
      <c r="N92" t="n">
        <v>0</v>
      </c>
      <c r="O92" t="n">
        <v>3</v>
      </c>
      <c r="P92" t="n">
        <v>1</v>
      </c>
      <c r="Q92" t="n">
        <v>3</v>
      </c>
      <c r="R92" s="2" t="inlineStr">
        <is>
          <t>Knärot
Garnlav
Tretåig hackspett</t>
        </is>
      </c>
      <c r="S92">
        <f>HYPERLINK("https://klasma.github.io/Logging_2380/artfynd/A 50895-2024 artfynd.xlsx", "A 50895-2024")</f>
        <v/>
      </c>
      <c r="T92">
        <f>HYPERLINK("https://klasma.github.io/Logging_2380/kartor/A 50895-2024 karta.png", "A 50895-2024")</f>
        <v/>
      </c>
      <c r="U92">
        <f>HYPERLINK("https://klasma.github.io/Logging_2380/knärot/A 50895-2024 karta knärot.png", "A 50895-2024")</f>
        <v/>
      </c>
      <c r="V92">
        <f>HYPERLINK("https://klasma.github.io/Logging_2380/klagomål/A 50895-2024 FSC-klagomål.docx", "A 50895-2024")</f>
        <v/>
      </c>
      <c r="W92">
        <f>HYPERLINK("https://klasma.github.io/Logging_2380/klagomålsmail/A 50895-2024 FSC-klagomål mail.docx", "A 50895-2024")</f>
        <v/>
      </c>
      <c r="X92">
        <f>HYPERLINK("https://klasma.github.io/Logging_2380/tillsyn/A 50895-2024 tillsynsbegäran.docx", "A 50895-2024")</f>
        <v/>
      </c>
      <c r="Y92">
        <f>HYPERLINK("https://klasma.github.io/Logging_2380/tillsynsmail/A 50895-2024 tillsynsbegäran mail.docx", "A 50895-2024")</f>
        <v/>
      </c>
      <c r="Z92">
        <f>HYPERLINK("https://klasma.github.io/Logging_2380/fåglar/A 50895-2024 prioriterade fågelarter.docx", "A 50895-2024")</f>
        <v/>
      </c>
    </row>
    <row r="93" ht="15" customHeight="1">
      <c r="A93" t="inlineStr">
        <is>
          <t>A 40695-2024</t>
        </is>
      </c>
      <c r="B93" s="1" t="n">
        <v>45558</v>
      </c>
      <c r="C93" s="1" t="n">
        <v>45984</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52129-2023</t>
        </is>
      </c>
      <c r="B94" s="1" t="n">
        <v>45223</v>
      </c>
      <c r="C94" s="1" t="n">
        <v>45984</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13795-2025</t>
        </is>
      </c>
      <c r="B95" s="1" t="n">
        <v>45737</v>
      </c>
      <c r="C95" s="1" t="n">
        <v>45984</v>
      </c>
      <c r="D95" t="inlineStr">
        <is>
          <t>JÄMTLANDS LÄN</t>
        </is>
      </c>
      <c r="E95" t="inlineStr">
        <is>
          <t>ÖSTERSUND</t>
        </is>
      </c>
      <c r="G95" t="n">
        <v>13.4</v>
      </c>
      <c r="H95" t="n">
        <v>1</v>
      </c>
      <c r="I95" t="n">
        <v>0</v>
      </c>
      <c r="J95" t="n">
        <v>1</v>
      </c>
      <c r="K95" t="n">
        <v>1</v>
      </c>
      <c r="L95" t="n">
        <v>0</v>
      </c>
      <c r="M95" t="n">
        <v>0</v>
      </c>
      <c r="N95" t="n">
        <v>0</v>
      </c>
      <c r="O95" t="n">
        <v>2</v>
      </c>
      <c r="P95" t="n">
        <v>1</v>
      </c>
      <c r="Q95" t="n">
        <v>2</v>
      </c>
      <c r="R95" s="2" t="inlineStr">
        <is>
          <t>Knärot
Lunglav</t>
        </is>
      </c>
      <c r="S95">
        <f>HYPERLINK("https://klasma.github.io/Logging_2380/artfynd/A 13795-2025 artfynd.xlsx", "A 13795-2025")</f>
        <v/>
      </c>
      <c r="T95">
        <f>HYPERLINK("https://klasma.github.io/Logging_2380/kartor/A 13795-2025 karta.png", "A 13795-2025")</f>
        <v/>
      </c>
      <c r="U95">
        <f>HYPERLINK("https://klasma.github.io/Logging_2380/knärot/A 13795-2025 karta knärot.png", "A 13795-2025")</f>
        <v/>
      </c>
      <c r="V95">
        <f>HYPERLINK("https://klasma.github.io/Logging_2380/klagomål/A 13795-2025 FSC-klagomål.docx", "A 13795-2025")</f>
        <v/>
      </c>
      <c r="W95">
        <f>HYPERLINK("https://klasma.github.io/Logging_2380/klagomålsmail/A 13795-2025 FSC-klagomål mail.docx", "A 13795-2025")</f>
        <v/>
      </c>
      <c r="X95">
        <f>HYPERLINK("https://klasma.github.io/Logging_2380/tillsyn/A 13795-2025 tillsynsbegäran.docx", "A 13795-2025")</f>
        <v/>
      </c>
      <c r="Y95">
        <f>HYPERLINK("https://klasma.github.io/Logging_2380/tillsynsmail/A 13795-2025 tillsynsbegäran mail.docx", "A 13795-2025")</f>
        <v/>
      </c>
    </row>
    <row r="96" ht="15" customHeight="1">
      <c r="A96" t="inlineStr">
        <is>
          <t>A 63930-2023</t>
        </is>
      </c>
      <c r="B96" s="1" t="n">
        <v>45278</v>
      </c>
      <c r="C96" s="1" t="n">
        <v>45984</v>
      </c>
      <c r="D96" t="inlineStr">
        <is>
          <t>JÄMTLANDS LÄN</t>
        </is>
      </c>
      <c r="E96" t="inlineStr">
        <is>
          <t>ÖSTERSUND</t>
        </is>
      </c>
      <c r="G96" t="n">
        <v>2.1</v>
      </c>
      <c r="H96" t="n">
        <v>0</v>
      </c>
      <c r="I96" t="n">
        <v>2</v>
      </c>
      <c r="J96" t="n">
        <v>0</v>
      </c>
      <c r="K96" t="n">
        <v>0</v>
      </c>
      <c r="L96" t="n">
        <v>0</v>
      </c>
      <c r="M96" t="n">
        <v>0</v>
      </c>
      <c r="N96" t="n">
        <v>0</v>
      </c>
      <c r="O96" t="n">
        <v>0</v>
      </c>
      <c r="P96" t="n">
        <v>0</v>
      </c>
      <c r="Q96" t="n">
        <v>2</v>
      </c>
      <c r="R96" s="2" t="inlineStr">
        <is>
          <t>Strimspindling
Svavelriska</t>
        </is>
      </c>
      <c r="S96">
        <f>HYPERLINK("https://klasma.github.io/Logging_2380/artfynd/A 63930-2023 artfynd.xlsx", "A 63930-2023")</f>
        <v/>
      </c>
      <c r="T96">
        <f>HYPERLINK("https://klasma.github.io/Logging_2380/kartor/A 63930-2023 karta.png", "A 63930-2023")</f>
        <v/>
      </c>
      <c r="V96">
        <f>HYPERLINK("https://klasma.github.io/Logging_2380/klagomål/A 63930-2023 FSC-klagomål.docx", "A 63930-2023")</f>
        <v/>
      </c>
      <c r="W96">
        <f>HYPERLINK("https://klasma.github.io/Logging_2380/klagomålsmail/A 63930-2023 FSC-klagomål mail.docx", "A 63930-2023")</f>
        <v/>
      </c>
      <c r="X96">
        <f>HYPERLINK("https://klasma.github.io/Logging_2380/tillsyn/A 63930-2023 tillsynsbegäran.docx", "A 63930-2023")</f>
        <v/>
      </c>
      <c r="Y96">
        <f>HYPERLINK("https://klasma.github.io/Logging_2380/tillsynsmail/A 63930-2023 tillsynsbegäran mail.docx", "A 63930-2023")</f>
        <v/>
      </c>
    </row>
    <row r="97" ht="15" customHeight="1">
      <c r="A97" t="inlineStr">
        <is>
          <t>A 40207-2025</t>
        </is>
      </c>
      <c r="B97" s="1" t="n">
        <v>45894.67988425926</v>
      </c>
      <c r="C97" s="1" t="n">
        <v>45984</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26612-2025</t>
        </is>
      </c>
      <c r="B98" s="1" t="n">
        <v>45810</v>
      </c>
      <c r="C98" s="1" t="n">
        <v>45984</v>
      </c>
      <c r="D98" t="inlineStr">
        <is>
          <t>JÄMTLANDS LÄN</t>
        </is>
      </c>
      <c r="E98" t="inlineStr">
        <is>
          <t>ÖSTERSUND</t>
        </is>
      </c>
      <c r="G98" t="n">
        <v>20.6</v>
      </c>
      <c r="H98" t="n">
        <v>1</v>
      </c>
      <c r="I98" t="n">
        <v>0</v>
      </c>
      <c r="J98" t="n">
        <v>0</v>
      </c>
      <c r="K98" t="n">
        <v>1</v>
      </c>
      <c r="L98" t="n">
        <v>1</v>
      </c>
      <c r="M98" t="n">
        <v>0</v>
      </c>
      <c r="N98" t="n">
        <v>0</v>
      </c>
      <c r="O98" t="n">
        <v>2</v>
      </c>
      <c r="P98" t="n">
        <v>2</v>
      </c>
      <c r="Q98" t="n">
        <v>2</v>
      </c>
      <c r="R98" s="2" t="inlineStr">
        <is>
          <t>Violett guldvinge
Turkos blåvinge</t>
        </is>
      </c>
      <c r="S98">
        <f>HYPERLINK("https://klasma.github.io/Logging_2380/artfynd/A 26612-2025 artfynd.xlsx", "A 26612-2025")</f>
        <v/>
      </c>
      <c r="T98">
        <f>HYPERLINK("https://klasma.github.io/Logging_2380/kartor/A 26612-2025 karta.png", "A 26612-2025")</f>
        <v/>
      </c>
      <c r="V98">
        <f>HYPERLINK("https://klasma.github.io/Logging_2380/klagomål/A 26612-2025 FSC-klagomål.docx", "A 26612-2025")</f>
        <v/>
      </c>
      <c r="W98">
        <f>HYPERLINK("https://klasma.github.io/Logging_2380/klagomålsmail/A 26612-2025 FSC-klagomål mail.docx", "A 26612-2025")</f>
        <v/>
      </c>
      <c r="X98">
        <f>HYPERLINK("https://klasma.github.io/Logging_2380/tillsyn/A 26612-2025 tillsynsbegäran.docx", "A 26612-2025")</f>
        <v/>
      </c>
      <c r="Y98">
        <f>HYPERLINK("https://klasma.github.io/Logging_2380/tillsynsmail/A 26612-2025 tillsynsbegäran mail.docx", "A 26612-2025")</f>
        <v/>
      </c>
    </row>
    <row r="99" ht="15" customHeight="1">
      <c r="A99" t="inlineStr">
        <is>
          <t>A 59793-2022</t>
        </is>
      </c>
      <c r="B99" s="1" t="n">
        <v>44908</v>
      </c>
      <c r="C99" s="1" t="n">
        <v>45984</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39968-2024</t>
        </is>
      </c>
      <c r="B100" s="1" t="n">
        <v>45553.59296296296</v>
      </c>
      <c r="C100" s="1" t="n">
        <v>45984</v>
      </c>
      <c r="D100" t="inlineStr">
        <is>
          <t>JÄMTLANDS LÄN</t>
        </is>
      </c>
      <c r="E100" t="inlineStr">
        <is>
          <t>ÖSTERSUND</t>
        </is>
      </c>
      <c r="G100" t="n">
        <v>1.8</v>
      </c>
      <c r="H100" t="n">
        <v>2</v>
      </c>
      <c r="I100" t="n">
        <v>1</v>
      </c>
      <c r="J100" t="n">
        <v>0</v>
      </c>
      <c r="K100" t="n">
        <v>1</v>
      </c>
      <c r="L100" t="n">
        <v>0</v>
      </c>
      <c r="M100" t="n">
        <v>0</v>
      </c>
      <c r="N100" t="n">
        <v>0</v>
      </c>
      <c r="O100" t="n">
        <v>1</v>
      </c>
      <c r="P100" t="n">
        <v>1</v>
      </c>
      <c r="Q100" t="n">
        <v>2</v>
      </c>
      <c r="R100" s="2" t="inlineStr">
        <is>
          <t>Knärot
Spindelblomster</t>
        </is>
      </c>
      <c r="S100">
        <f>HYPERLINK("https://klasma.github.io/Logging_2380/artfynd/A 39968-2024 artfynd.xlsx", "A 39968-2024")</f>
        <v/>
      </c>
      <c r="T100">
        <f>HYPERLINK("https://klasma.github.io/Logging_2380/kartor/A 39968-2024 karta.png", "A 39968-2024")</f>
        <v/>
      </c>
      <c r="U100">
        <f>HYPERLINK("https://klasma.github.io/Logging_2380/knärot/A 39968-2024 karta knärot.png", "A 39968-2024")</f>
        <v/>
      </c>
      <c r="V100">
        <f>HYPERLINK("https://klasma.github.io/Logging_2380/klagomål/A 39968-2024 FSC-klagomål.docx", "A 39968-2024")</f>
        <v/>
      </c>
      <c r="W100">
        <f>HYPERLINK("https://klasma.github.io/Logging_2380/klagomålsmail/A 39968-2024 FSC-klagomål mail.docx", "A 39968-2024")</f>
        <v/>
      </c>
      <c r="X100">
        <f>HYPERLINK("https://klasma.github.io/Logging_2380/tillsyn/A 39968-2024 tillsynsbegäran.docx", "A 39968-2024")</f>
        <v/>
      </c>
      <c r="Y100">
        <f>HYPERLINK("https://klasma.github.io/Logging_2380/tillsynsmail/A 39968-2024 tillsynsbegäran mail.docx", "A 39968-2024")</f>
        <v/>
      </c>
    </row>
    <row r="101" ht="15" customHeight="1">
      <c r="A101" t="inlineStr">
        <is>
          <t>A 45237-2025</t>
        </is>
      </c>
      <c r="B101" s="1" t="n">
        <v>45919.59467592592</v>
      </c>
      <c r="C101" s="1" t="n">
        <v>45984</v>
      </c>
      <c r="D101" t="inlineStr">
        <is>
          <t>JÄMTLANDS LÄN</t>
        </is>
      </c>
      <c r="E101" t="inlineStr">
        <is>
          <t>ÖSTERSUND</t>
        </is>
      </c>
      <c r="F101" t="inlineStr">
        <is>
          <t>SCA</t>
        </is>
      </c>
      <c r="G101" t="n">
        <v>1.5</v>
      </c>
      <c r="H101" t="n">
        <v>0</v>
      </c>
      <c r="I101" t="n">
        <v>0</v>
      </c>
      <c r="J101" t="n">
        <v>2</v>
      </c>
      <c r="K101" t="n">
        <v>0</v>
      </c>
      <c r="L101" t="n">
        <v>0</v>
      </c>
      <c r="M101" t="n">
        <v>0</v>
      </c>
      <c r="N101" t="n">
        <v>0</v>
      </c>
      <c r="O101" t="n">
        <v>2</v>
      </c>
      <c r="P101" t="n">
        <v>0</v>
      </c>
      <c r="Q101" t="n">
        <v>2</v>
      </c>
      <c r="R101" s="2" t="inlineStr">
        <is>
          <t>Dvärgbägarlav
Mörk kolflarnlav</t>
        </is>
      </c>
      <c r="S101">
        <f>HYPERLINK("https://klasma.github.io/Logging_2380/artfynd/A 45237-2025 artfynd.xlsx", "A 45237-2025")</f>
        <v/>
      </c>
      <c r="T101">
        <f>HYPERLINK("https://klasma.github.io/Logging_2380/kartor/A 45237-2025 karta.png", "A 45237-2025")</f>
        <v/>
      </c>
      <c r="V101">
        <f>HYPERLINK("https://klasma.github.io/Logging_2380/klagomål/A 45237-2025 FSC-klagomål.docx", "A 45237-2025")</f>
        <v/>
      </c>
      <c r="W101">
        <f>HYPERLINK("https://klasma.github.io/Logging_2380/klagomålsmail/A 45237-2025 FSC-klagomål mail.docx", "A 45237-2025")</f>
        <v/>
      </c>
      <c r="X101">
        <f>HYPERLINK("https://klasma.github.io/Logging_2380/tillsyn/A 45237-2025 tillsynsbegäran.docx", "A 45237-2025")</f>
        <v/>
      </c>
      <c r="Y101">
        <f>HYPERLINK("https://klasma.github.io/Logging_2380/tillsynsmail/A 45237-2025 tillsynsbegäran mail.docx", "A 45237-2025")</f>
        <v/>
      </c>
    </row>
    <row r="102" ht="15" customHeight="1">
      <c r="A102" t="inlineStr">
        <is>
          <t>A 15700-2025</t>
        </is>
      </c>
      <c r="B102" s="1" t="n">
        <v>45748.47314814815</v>
      </c>
      <c r="C102" s="1" t="n">
        <v>45984</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60614-2022</t>
        </is>
      </c>
      <c r="B103" s="1" t="n">
        <v>44911</v>
      </c>
      <c r="C103" s="1" t="n">
        <v>45984</v>
      </c>
      <c r="D103" t="inlineStr">
        <is>
          <t>JÄMTLANDS LÄN</t>
        </is>
      </c>
      <c r="E103" t="inlineStr">
        <is>
          <t>ÖSTERSUND</t>
        </is>
      </c>
      <c r="G103" t="n">
        <v>17.6</v>
      </c>
      <c r="H103" t="n">
        <v>1</v>
      </c>
      <c r="I103" t="n">
        <v>1</v>
      </c>
      <c r="J103" t="n">
        <v>0</v>
      </c>
      <c r="K103" t="n">
        <v>0</v>
      </c>
      <c r="L103" t="n">
        <v>0</v>
      </c>
      <c r="M103" t="n">
        <v>0</v>
      </c>
      <c r="N103" t="n">
        <v>0</v>
      </c>
      <c r="O103" t="n">
        <v>0</v>
      </c>
      <c r="P103" t="n">
        <v>0</v>
      </c>
      <c r="Q103" t="n">
        <v>2</v>
      </c>
      <c r="R103" s="2" t="inlineStr">
        <is>
          <t>Dropptaggsvamp
Blåsippa</t>
        </is>
      </c>
      <c r="S103">
        <f>HYPERLINK("https://klasma.github.io/Logging_2380/artfynd/A 60614-2022 artfynd.xlsx", "A 60614-2022")</f>
        <v/>
      </c>
      <c r="T103">
        <f>HYPERLINK("https://klasma.github.io/Logging_2380/kartor/A 60614-2022 karta.png", "A 60614-2022")</f>
        <v/>
      </c>
      <c r="V103">
        <f>HYPERLINK("https://klasma.github.io/Logging_2380/klagomål/A 60614-2022 FSC-klagomål.docx", "A 60614-2022")</f>
        <v/>
      </c>
      <c r="W103">
        <f>HYPERLINK("https://klasma.github.io/Logging_2380/klagomålsmail/A 60614-2022 FSC-klagomål mail.docx", "A 60614-2022")</f>
        <v/>
      </c>
      <c r="X103">
        <f>HYPERLINK("https://klasma.github.io/Logging_2380/tillsyn/A 60614-2022 tillsynsbegäran.docx", "A 60614-2022")</f>
        <v/>
      </c>
      <c r="Y103">
        <f>HYPERLINK("https://klasma.github.io/Logging_2380/tillsynsmail/A 60614-2022 tillsynsbegäran mail.docx", "A 60614-2022")</f>
        <v/>
      </c>
    </row>
    <row r="104" ht="15" customHeight="1">
      <c r="A104" t="inlineStr">
        <is>
          <t>A 54872-2025</t>
        </is>
      </c>
      <c r="B104" s="1" t="n">
        <v>45966.94104166667</v>
      </c>
      <c r="C104" s="1" t="n">
        <v>45984</v>
      </c>
      <c r="D104" t="inlineStr">
        <is>
          <t>JÄMTLANDS LÄN</t>
        </is>
      </c>
      <c r="E104" t="inlineStr">
        <is>
          <t>ÖSTERSUND</t>
        </is>
      </c>
      <c r="G104" t="n">
        <v>2.4</v>
      </c>
      <c r="H104" t="n">
        <v>1</v>
      </c>
      <c r="I104" t="n">
        <v>1</v>
      </c>
      <c r="J104" t="n">
        <v>1</v>
      </c>
      <c r="K104" t="n">
        <v>0</v>
      </c>
      <c r="L104" t="n">
        <v>0</v>
      </c>
      <c r="M104" t="n">
        <v>0</v>
      </c>
      <c r="N104" t="n">
        <v>0</v>
      </c>
      <c r="O104" t="n">
        <v>1</v>
      </c>
      <c r="P104" t="n">
        <v>0</v>
      </c>
      <c r="Q104" t="n">
        <v>2</v>
      </c>
      <c r="R104" s="2" t="inlineStr">
        <is>
          <t>Slåtterfibbla
Korallrot</t>
        </is>
      </c>
      <c r="S104">
        <f>HYPERLINK("https://klasma.github.io/Logging_2380/artfynd/A 54872-2025 artfynd.xlsx", "A 54872-2025")</f>
        <v/>
      </c>
      <c r="T104">
        <f>HYPERLINK("https://klasma.github.io/Logging_2380/kartor/A 54872-2025 karta.png", "A 54872-2025")</f>
        <v/>
      </c>
      <c r="V104">
        <f>HYPERLINK("https://klasma.github.io/Logging_2380/klagomål/A 54872-2025 FSC-klagomål.docx", "A 54872-2025")</f>
        <v/>
      </c>
      <c r="W104">
        <f>HYPERLINK("https://klasma.github.io/Logging_2380/klagomålsmail/A 54872-2025 FSC-klagomål mail.docx", "A 54872-2025")</f>
        <v/>
      </c>
      <c r="X104">
        <f>HYPERLINK("https://klasma.github.io/Logging_2380/tillsyn/A 54872-2025 tillsynsbegäran.docx", "A 54872-2025")</f>
        <v/>
      </c>
      <c r="Y104">
        <f>HYPERLINK("https://klasma.github.io/Logging_2380/tillsynsmail/A 54872-2025 tillsynsbegäran mail.docx", "A 54872-2025")</f>
        <v/>
      </c>
    </row>
    <row r="105" ht="15" customHeight="1">
      <c r="A105" t="inlineStr">
        <is>
          <t>A 47385-2022</t>
        </is>
      </c>
      <c r="B105" s="1" t="n">
        <v>44853</v>
      </c>
      <c r="C105" s="1" t="n">
        <v>45984</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60446-2024</t>
        </is>
      </c>
      <c r="B106" s="1" t="n">
        <v>45643.59420138889</v>
      </c>
      <c r="C106" s="1" t="n">
        <v>45984</v>
      </c>
      <c r="D106" t="inlineStr">
        <is>
          <t>JÄMTLANDS LÄN</t>
        </is>
      </c>
      <c r="E106" t="inlineStr">
        <is>
          <t>ÖSTERSUND</t>
        </is>
      </c>
      <c r="F106" t="inlineStr">
        <is>
          <t>SCA</t>
        </is>
      </c>
      <c r="G106" t="n">
        <v>3.6</v>
      </c>
      <c r="H106" t="n">
        <v>0</v>
      </c>
      <c r="I106" t="n">
        <v>1</v>
      </c>
      <c r="J106" t="n">
        <v>1</v>
      </c>
      <c r="K106" t="n">
        <v>0</v>
      </c>
      <c r="L106" t="n">
        <v>0</v>
      </c>
      <c r="M106" t="n">
        <v>0</v>
      </c>
      <c r="N106" t="n">
        <v>0</v>
      </c>
      <c r="O106" t="n">
        <v>1</v>
      </c>
      <c r="P106" t="n">
        <v>0</v>
      </c>
      <c r="Q106" t="n">
        <v>2</v>
      </c>
      <c r="R106" s="2" t="inlineStr">
        <is>
          <t>Ullticka
Vedticka</t>
        </is>
      </c>
      <c r="S106">
        <f>HYPERLINK("https://klasma.github.io/Logging_2380/artfynd/A 60446-2024 artfynd.xlsx", "A 60446-2024")</f>
        <v/>
      </c>
      <c r="T106">
        <f>HYPERLINK("https://klasma.github.io/Logging_2380/kartor/A 60446-2024 karta.png", "A 60446-2024")</f>
        <v/>
      </c>
      <c r="V106">
        <f>HYPERLINK("https://klasma.github.io/Logging_2380/klagomål/A 60446-2024 FSC-klagomål.docx", "A 60446-2024")</f>
        <v/>
      </c>
      <c r="W106">
        <f>HYPERLINK("https://klasma.github.io/Logging_2380/klagomålsmail/A 60446-2024 FSC-klagomål mail.docx", "A 60446-2024")</f>
        <v/>
      </c>
      <c r="X106">
        <f>HYPERLINK("https://klasma.github.io/Logging_2380/tillsyn/A 60446-2024 tillsynsbegäran.docx", "A 60446-2024")</f>
        <v/>
      </c>
      <c r="Y106">
        <f>HYPERLINK("https://klasma.github.io/Logging_2380/tillsynsmail/A 60446-2024 tillsynsbegäran mail.docx", "A 60446-2024")</f>
        <v/>
      </c>
    </row>
    <row r="107" ht="15" customHeight="1">
      <c r="A107" t="inlineStr">
        <is>
          <t>A 21615-2024</t>
        </is>
      </c>
      <c r="B107" s="1" t="n">
        <v>45441.95357638889</v>
      </c>
      <c r="C107" s="1" t="n">
        <v>45984</v>
      </c>
      <c r="D107" t="inlineStr">
        <is>
          <t>JÄMTLANDS LÄN</t>
        </is>
      </c>
      <c r="E107" t="inlineStr">
        <is>
          <t>ÖSTERSUND</t>
        </is>
      </c>
      <c r="F107" t="inlineStr">
        <is>
          <t>SCA</t>
        </is>
      </c>
      <c r="G107" t="n">
        <v>4.9</v>
      </c>
      <c r="H107" t="n">
        <v>2</v>
      </c>
      <c r="I107" t="n">
        <v>0</v>
      </c>
      <c r="J107" t="n">
        <v>0</v>
      </c>
      <c r="K107" t="n">
        <v>1</v>
      </c>
      <c r="L107" t="n">
        <v>0</v>
      </c>
      <c r="M107" t="n">
        <v>0</v>
      </c>
      <c r="N107" t="n">
        <v>0</v>
      </c>
      <c r="O107" t="n">
        <v>1</v>
      </c>
      <c r="P107" t="n">
        <v>1</v>
      </c>
      <c r="Q107" t="n">
        <v>2</v>
      </c>
      <c r="R107" s="2" t="inlineStr">
        <is>
          <t>Lappuggla
Blåsippa</t>
        </is>
      </c>
      <c r="S107">
        <f>HYPERLINK("https://klasma.github.io/Logging_2380/artfynd/A 21615-2024 artfynd.xlsx", "A 21615-2024")</f>
        <v/>
      </c>
      <c r="T107">
        <f>HYPERLINK("https://klasma.github.io/Logging_2380/kartor/A 21615-2024 karta.png", "A 21615-2024")</f>
        <v/>
      </c>
      <c r="V107">
        <f>HYPERLINK("https://klasma.github.io/Logging_2380/klagomål/A 21615-2024 FSC-klagomål.docx", "A 21615-2024")</f>
        <v/>
      </c>
      <c r="W107">
        <f>HYPERLINK("https://klasma.github.io/Logging_2380/klagomålsmail/A 21615-2024 FSC-klagomål mail.docx", "A 21615-2024")</f>
        <v/>
      </c>
      <c r="X107">
        <f>HYPERLINK("https://klasma.github.io/Logging_2380/tillsyn/A 21615-2024 tillsynsbegäran.docx", "A 21615-2024")</f>
        <v/>
      </c>
      <c r="Y107">
        <f>HYPERLINK("https://klasma.github.io/Logging_2380/tillsynsmail/A 21615-2024 tillsynsbegäran mail.docx", "A 21615-2024")</f>
        <v/>
      </c>
      <c r="Z107">
        <f>HYPERLINK("https://klasma.github.io/Logging_2380/fåglar/A 21615-2024 prioriterade fågelarter.docx", "A 21615-2024")</f>
        <v/>
      </c>
    </row>
    <row r="108" ht="15" customHeight="1">
      <c r="A108" t="inlineStr">
        <is>
          <t>A 35977-2024</t>
        </is>
      </c>
      <c r="B108" s="1" t="n">
        <v>45533.49601851852</v>
      </c>
      <c r="C108" s="1" t="n">
        <v>45984</v>
      </c>
      <c r="D108" t="inlineStr">
        <is>
          <t>JÄMTLANDS LÄN</t>
        </is>
      </c>
      <c r="E108" t="inlineStr">
        <is>
          <t>ÖSTERSUND</t>
        </is>
      </c>
      <c r="G108" t="n">
        <v>0.7</v>
      </c>
      <c r="H108" t="n">
        <v>0</v>
      </c>
      <c r="I108" t="n">
        <v>2</v>
      </c>
      <c r="J108" t="n">
        <v>0</v>
      </c>
      <c r="K108" t="n">
        <v>0</v>
      </c>
      <c r="L108" t="n">
        <v>0</v>
      </c>
      <c r="M108" t="n">
        <v>0</v>
      </c>
      <c r="N108" t="n">
        <v>0</v>
      </c>
      <c r="O108" t="n">
        <v>0</v>
      </c>
      <c r="P108" t="n">
        <v>0</v>
      </c>
      <c r="Q108" t="n">
        <v>2</v>
      </c>
      <c r="R108" s="2" t="inlineStr">
        <is>
          <t>Tibast
Trådticka</t>
        </is>
      </c>
      <c r="S108">
        <f>HYPERLINK("https://klasma.github.io/Logging_2380/artfynd/A 35977-2024 artfynd.xlsx", "A 35977-2024")</f>
        <v/>
      </c>
      <c r="T108">
        <f>HYPERLINK("https://klasma.github.io/Logging_2380/kartor/A 35977-2024 karta.png", "A 35977-2024")</f>
        <v/>
      </c>
      <c r="V108">
        <f>HYPERLINK("https://klasma.github.io/Logging_2380/klagomål/A 35977-2024 FSC-klagomål.docx", "A 35977-2024")</f>
        <v/>
      </c>
      <c r="W108">
        <f>HYPERLINK("https://klasma.github.io/Logging_2380/klagomålsmail/A 35977-2024 FSC-klagomål mail.docx", "A 35977-2024")</f>
        <v/>
      </c>
      <c r="X108">
        <f>HYPERLINK("https://klasma.github.io/Logging_2380/tillsyn/A 35977-2024 tillsynsbegäran.docx", "A 35977-2024")</f>
        <v/>
      </c>
      <c r="Y108">
        <f>HYPERLINK("https://klasma.github.io/Logging_2380/tillsynsmail/A 35977-2024 tillsynsbegäran mail.docx", "A 35977-2024")</f>
        <v/>
      </c>
    </row>
    <row r="109" ht="15" customHeight="1">
      <c r="A109" t="inlineStr">
        <is>
          <t>A 50125-2024</t>
        </is>
      </c>
      <c r="B109" s="1" t="n">
        <v>45600.42737268518</v>
      </c>
      <c r="C109" s="1" t="n">
        <v>45984</v>
      </c>
      <c r="D109" t="inlineStr">
        <is>
          <t>JÄMTLANDS LÄN</t>
        </is>
      </c>
      <c r="E109" t="inlineStr">
        <is>
          <t>ÖSTERSUND</t>
        </is>
      </c>
      <c r="F109" t="inlineStr">
        <is>
          <t>SCA</t>
        </is>
      </c>
      <c r="G109" t="n">
        <v>2.4</v>
      </c>
      <c r="H109" t="n">
        <v>0</v>
      </c>
      <c r="I109" t="n">
        <v>1</v>
      </c>
      <c r="J109" t="n">
        <v>1</v>
      </c>
      <c r="K109" t="n">
        <v>0</v>
      </c>
      <c r="L109" t="n">
        <v>0</v>
      </c>
      <c r="M109" t="n">
        <v>0</v>
      </c>
      <c r="N109" t="n">
        <v>0</v>
      </c>
      <c r="O109" t="n">
        <v>1</v>
      </c>
      <c r="P109" t="n">
        <v>0</v>
      </c>
      <c r="Q109" t="n">
        <v>2</v>
      </c>
      <c r="R109" s="2" t="inlineStr">
        <is>
          <t>Dvärgbägarlav
Skinnlav</t>
        </is>
      </c>
      <c r="S109">
        <f>HYPERLINK("https://klasma.github.io/Logging_2380/artfynd/A 50125-2024 artfynd.xlsx", "A 50125-2024")</f>
        <v/>
      </c>
      <c r="T109">
        <f>HYPERLINK("https://klasma.github.io/Logging_2380/kartor/A 50125-2024 karta.png", "A 50125-2024")</f>
        <v/>
      </c>
      <c r="V109">
        <f>HYPERLINK("https://klasma.github.io/Logging_2380/klagomål/A 50125-2024 FSC-klagomål.docx", "A 50125-2024")</f>
        <v/>
      </c>
      <c r="W109">
        <f>HYPERLINK("https://klasma.github.io/Logging_2380/klagomålsmail/A 50125-2024 FSC-klagomål mail.docx", "A 50125-2024")</f>
        <v/>
      </c>
      <c r="X109">
        <f>HYPERLINK("https://klasma.github.io/Logging_2380/tillsyn/A 50125-2024 tillsynsbegäran.docx", "A 50125-2024")</f>
        <v/>
      </c>
      <c r="Y109">
        <f>HYPERLINK("https://klasma.github.io/Logging_2380/tillsynsmail/A 50125-2024 tillsynsbegäran mail.docx", "A 50125-2024")</f>
        <v/>
      </c>
    </row>
    <row r="110" ht="15" customHeight="1">
      <c r="A110" t="inlineStr">
        <is>
          <t>A 10529-2025</t>
        </is>
      </c>
      <c r="B110" s="1" t="n">
        <v>45721.44840277778</v>
      </c>
      <c r="C110" s="1" t="n">
        <v>45984</v>
      </c>
      <c r="D110" t="inlineStr">
        <is>
          <t>JÄMTLANDS LÄN</t>
        </is>
      </c>
      <c r="E110" t="inlineStr">
        <is>
          <t>ÖSTERSUND</t>
        </is>
      </c>
      <c r="F110" t="inlineStr">
        <is>
          <t>SCA</t>
        </is>
      </c>
      <c r="G110" t="n">
        <v>1.4</v>
      </c>
      <c r="H110" t="n">
        <v>0</v>
      </c>
      <c r="I110" t="n">
        <v>2</v>
      </c>
      <c r="J110" t="n">
        <v>0</v>
      </c>
      <c r="K110" t="n">
        <v>0</v>
      </c>
      <c r="L110" t="n">
        <v>0</v>
      </c>
      <c r="M110" t="n">
        <v>0</v>
      </c>
      <c r="N110" t="n">
        <v>0</v>
      </c>
      <c r="O110" t="n">
        <v>0</v>
      </c>
      <c r="P110" t="n">
        <v>0</v>
      </c>
      <c r="Q110" t="n">
        <v>2</v>
      </c>
      <c r="R110" s="2" t="inlineStr">
        <is>
          <t>Gräsull
Ögonpyrola</t>
        </is>
      </c>
      <c r="S110">
        <f>HYPERLINK("https://klasma.github.io/Logging_2380/artfynd/A 10529-2025 artfynd.xlsx", "A 10529-2025")</f>
        <v/>
      </c>
      <c r="T110">
        <f>HYPERLINK("https://klasma.github.io/Logging_2380/kartor/A 10529-2025 karta.png", "A 10529-2025")</f>
        <v/>
      </c>
      <c r="V110">
        <f>HYPERLINK("https://klasma.github.io/Logging_2380/klagomål/A 10529-2025 FSC-klagomål.docx", "A 10529-2025")</f>
        <v/>
      </c>
      <c r="W110">
        <f>HYPERLINK("https://klasma.github.io/Logging_2380/klagomålsmail/A 10529-2025 FSC-klagomål mail.docx", "A 10529-2025")</f>
        <v/>
      </c>
      <c r="X110">
        <f>HYPERLINK("https://klasma.github.io/Logging_2380/tillsyn/A 10529-2025 tillsynsbegäran.docx", "A 10529-2025")</f>
        <v/>
      </c>
      <c r="Y110">
        <f>HYPERLINK("https://klasma.github.io/Logging_2380/tillsynsmail/A 10529-2025 tillsynsbegäran mail.docx", "A 10529-2025")</f>
        <v/>
      </c>
    </row>
    <row r="111" ht="15" customHeight="1">
      <c r="A111" t="inlineStr">
        <is>
          <t>A 56006-2023</t>
        </is>
      </c>
      <c r="B111" s="1" t="n">
        <v>45233</v>
      </c>
      <c r="C111" s="1" t="n">
        <v>45984</v>
      </c>
      <c r="D111" t="inlineStr">
        <is>
          <t>JÄMTLANDS LÄN</t>
        </is>
      </c>
      <c r="E111" t="inlineStr">
        <is>
          <t>ÖSTERSUND</t>
        </is>
      </c>
      <c r="G111" t="n">
        <v>2.3</v>
      </c>
      <c r="H111" t="n">
        <v>0</v>
      </c>
      <c r="I111" t="n">
        <v>2</v>
      </c>
      <c r="J111" t="n">
        <v>0</v>
      </c>
      <c r="K111" t="n">
        <v>0</v>
      </c>
      <c r="L111" t="n">
        <v>0</v>
      </c>
      <c r="M111" t="n">
        <v>0</v>
      </c>
      <c r="N111" t="n">
        <v>0</v>
      </c>
      <c r="O111" t="n">
        <v>0</v>
      </c>
      <c r="P111" t="n">
        <v>0</v>
      </c>
      <c r="Q111" t="n">
        <v>2</v>
      </c>
      <c r="R111" s="2" t="inlineStr">
        <is>
          <t>Korallblylav
Skinnlav</t>
        </is>
      </c>
      <c r="S111">
        <f>HYPERLINK("https://klasma.github.io/Logging_2380/artfynd/A 56006-2023 artfynd.xlsx", "A 56006-2023")</f>
        <v/>
      </c>
      <c r="T111">
        <f>HYPERLINK("https://klasma.github.io/Logging_2380/kartor/A 56006-2023 karta.png", "A 56006-2023")</f>
        <v/>
      </c>
      <c r="V111">
        <f>HYPERLINK("https://klasma.github.io/Logging_2380/klagomål/A 56006-2023 FSC-klagomål.docx", "A 56006-2023")</f>
        <v/>
      </c>
      <c r="W111">
        <f>HYPERLINK("https://klasma.github.io/Logging_2380/klagomålsmail/A 56006-2023 FSC-klagomål mail.docx", "A 56006-2023")</f>
        <v/>
      </c>
      <c r="X111">
        <f>HYPERLINK("https://klasma.github.io/Logging_2380/tillsyn/A 56006-2023 tillsynsbegäran.docx", "A 56006-2023")</f>
        <v/>
      </c>
      <c r="Y111">
        <f>HYPERLINK("https://klasma.github.io/Logging_2380/tillsynsmail/A 56006-2023 tillsynsbegäran mail.docx", "A 56006-2023")</f>
        <v/>
      </c>
    </row>
    <row r="112" ht="15" customHeight="1">
      <c r="A112" t="inlineStr">
        <is>
          <t>A 4916-2023</t>
        </is>
      </c>
      <c r="B112" s="1" t="n">
        <v>44956</v>
      </c>
      <c r="C112" s="1" t="n">
        <v>45984</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46105-2021</t>
        </is>
      </c>
      <c r="B113" s="1" t="n">
        <v>44441</v>
      </c>
      <c r="C113" s="1" t="n">
        <v>45984</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60534-2022</t>
        </is>
      </c>
      <c r="B114" s="1" t="n">
        <v>44904</v>
      </c>
      <c r="C114" s="1" t="n">
        <v>45984</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33137-2021</t>
        </is>
      </c>
      <c r="B115" s="1" t="n">
        <v>44376</v>
      </c>
      <c r="C115" s="1" t="n">
        <v>45984</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10336-2022</t>
        </is>
      </c>
      <c r="B116" s="1" t="n">
        <v>44623</v>
      </c>
      <c r="C116" s="1" t="n">
        <v>45984</v>
      </c>
      <c r="D116" t="inlineStr">
        <is>
          <t>JÄMTLANDS LÄN</t>
        </is>
      </c>
      <c r="E116" t="inlineStr">
        <is>
          <t>ÖSTERSUND</t>
        </is>
      </c>
      <c r="G116" t="n">
        <v>0.9</v>
      </c>
      <c r="H116" t="n">
        <v>0</v>
      </c>
      <c r="I116" t="n">
        <v>1</v>
      </c>
      <c r="J116" t="n">
        <v>0</v>
      </c>
      <c r="K116" t="n">
        <v>0</v>
      </c>
      <c r="L116" t="n">
        <v>0</v>
      </c>
      <c r="M116" t="n">
        <v>0</v>
      </c>
      <c r="N116" t="n">
        <v>0</v>
      </c>
      <c r="O116" t="n">
        <v>0</v>
      </c>
      <c r="P116" t="n">
        <v>0</v>
      </c>
      <c r="Q116" t="n">
        <v>1</v>
      </c>
      <c r="R116" s="2" t="inlineStr">
        <is>
          <t>Underviol</t>
        </is>
      </c>
      <c r="S116">
        <f>HYPERLINK("https://klasma.github.io/Logging_2380/artfynd/A 10336-2022 artfynd.xlsx", "A 10336-2022")</f>
        <v/>
      </c>
      <c r="T116">
        <f>HYPERLINK("https://klasma.github.io/Logging_2380/kartor/A 10336-2022 karta.png", "A 10336-2022")</f>
        <v/>
      </c>
      <c r="V116">
        <f>HYPERLINK("https://klasma.github.io/Logging_2380/klagomål/A 10336-2022 FSC-klagomål.docx", "A 10336-2022")</f>
        <v/>
      </c>
      <c r="W116">
        <f>HYPERLINK("https://klasma.github.io/Logging_2380/klagomålsmail/A 10336-2022 FSC-klagomål mail.docx", "A 10336-2022")</f>
        <v/>
      </c>
      <c r="X116">
        <f>HYPERLINK("https://klasma.github.io/Logging_2380/tillsyn/A 10336-2022 tillsynsbegäran.docx", "A 10336-2022")</f>
        <v/>
      </c>
      <c r="Y116">
        <f>HYPERLINK("https://klasma.github.io/Logging_2380/tillsynsmail/A 10336-2022 tillsynsbegäran mail.docx", "A 10336-2022")</f>
        <v/>
      </c>
    </row>
    <row r="117" ht="15" customHeight="1">
      <c r="A117" t="inlineStr">
        <is>
          <t>A 19798-2022</t>
        </is>
      </c>
      <c r="B117" s="1" t="n">
        <v>44694</v>
      </c>
      <c r="C117" s="1" t="n">
        <v>45984</v>
      </c>
      <c r="D117" t="inlineStr">
        <is>
          <t>JÄMTLANDS LÄN</t>
        </is>
      </c>
      <c r="E117" t="inlineStr">
        <is>
          <t>ÖSTERSUND</t>
        </is>
      </c>
      <c r="F117" t="inlineStr">
        <is>
          <t>SCA</t>
        </is>
      </c>
      <c r="G117" t="n">
        <v>1</v>
      </c>
      <c r="H117" t="n">
        <v>1</v>
      </c>
      <c r="I117" t="n">
        <v>1</v>
      </c>
      <c r="J117" t="n">
        <v>0</v>
      </c>
      <c r="K117" t="n">
        <v>0</v>
      </c>
      <c r="L117" t="n">
        <v>0</v>
      </c>
      <c r="M117" t="n">
        <v>0</v>
      </c>
      <c r="N117" t="n">
        <v>0</v>
      </c>
      <c r="O117" t="n">
        <v>0</v>
      </c>
      <c r="P117" t="n">
        <v>0</v>
      </c>
      <c r="Q117" t="n">
        <v>1</v>
      </c>
      <c r="R117" s="2" t="inlineStr">
        <is>
          <t>Guckusko</t>
        </is>
      </c>
      <c r="S117">
        <f>HYPERLINK("https://klasma.github.io/Logging_2380/artfynd/A 19798-2022 artfynd.xlsx", "A 19798-2022")</f>
        <v/>
      </c>
      <c r="T117">
        <f>HYPERLINK("https://klasma.github.io/Logging_2380/kartor/A 19798-2022 karta.png", "A 19798-2022")</f>
        <v/>
      </c>
      <c r="V117">
        <f>HYPERLINK("https://klasma.github.io/Logging_2380/klagomål/A 19798-2022 FSC-klagomål.docx", "A 19798-2022")</f>
        <v/>
      </c>
      <c r="W117">
        <f>HYPERLINK("https://klasma.github.io/Logging_2380/klagomålsmail/A 19798-2022 FSC-klagomål mail.docx", "A 19798-2022")</f>
        <v/>
      </c>
      <c r="X117">
        <f>HYPERLINK("https://klasma.github.io/Logging_2380/tillsyn/A 19798-2022 tillsynsbegäran.docx", "A 19798-2022")</f>
        <v/>
      </c>
      <c r="Y117">
        <f>HYPERLINK("https://klasma.github.io/Logging_2380/tillsynsmail/A 19798-2022 tillsynsbegäran mail.docx", "A 19798-2022")</f>
        <v/>
      </c>
    </row>
    <row r="118" ht="15" customHeight="1">
      <c r="A118" t="inlineStr">
        <is>
          <t>A 27578-2022</t>
        </is>
      </c>
      <c r="B118" s="1" t="n">
        <v>44742</v>
      </c>
      <c r="C118" s="1" t="n">
        <v>45984</v>
      </c>
      <c r="D118" t="inlineStr">
        <is>
          <t>JÄMTLANDS LÄN</t>
        </is>
      </c>
      <c r="E118" t="inlineStr">
        <is>
          <t>ÖSTERSUND</t>
        </is>
      </c>
      <c r="F118" t="inlineStr">
        <is>
          <t>SCA</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HYPERLINK("https://klasma.github.io/Logging_2380/artfynd/A 27578-2022 artfynd.xlsx", "A 27578-2022")</f>
        <v/>
      </c>
      <c r="T118">
        <f>HYPERLINK("https://klasma.github.io/Logging_2380/kartor/A 27578-2022 karta.png", "A 27578-2022")</f>
        <v/>
      </c>
      <c r="V118">
        <f>HYPERLINK("https://klasma.github.io/Logging_2380/klagomål/A 27578-2022 FSC-klagomål.docx", "A 27578-2022")</f>
        <v/>
      </c>
      <c r="W118">
        <f>HYPERLINK("https://klasma.github.io/Logging_2380/klagomålsmail/A 27578-2022 FSC-klagomål mail.docx", "A 27578-2022")</f>
        <v/>
      </c>
      <c r="X118">
        <f>HYPERLINK("https://klasma.github.io/Logging_2380/tillsyn/A 27578-2022 tillsynsbegäran.docx", "A 27578-2022")</f>
        <v/>
      </c>
      <c r="Y118">
        <f>HYPERLINK("https://klasma.github.io/Logging_2380/tillsynsmail/A 27578-2022 tillsynsbegäran mail.docx", "A 27578-2022")</f>
        <v/>
      </c>
    </row>
    <row r="119" ht="15" customHeight="1">
      <c r="A119" t="inlineStr">
        <is>
          <t>A 40694-2024</t>
        </is>
      </c>
      <c r="B119" s="1" t="n">
        <v>45558</v>
      </c>
      <c r="C119" s="1" t="n">
        <v>45984</v>
      </c>
      <c r="D119" t="inlineStr">
        <is>
          <t>JÄMTLANDS LÄN</t>
        </is>
      </c>
      <c r="E119" t="inlineStr">
        <is>
          <t>ÖSTERSUND</t>
        </is>
      </c>
      <c r="F119" t="inlineStr">
        <is>
          <t>SCA</t>
        </is>
      </c>
      <c r="G119" t="n">
        <v>6.2</v>
      </c>
      <c r="H119" t="n">
        <v>0</v>
      </c>
      <c r="I119" t="n">
        <v>0</v>
      </c>
      <c r="J119" t="n">
        <v>1</v>
      </c>
      <c r="K119" t="n">
        <v>0</v>
      </c>
      <c r="L119" t="n">
        <v>0</v>
      </c>
      <c r="M119" t="n">
        <v>0</v>
      </c>
      <c r="N119" t="n">
        <v>0</v>
      </c>
      <c r="O119" t="n">
        <v>1</v>
      </c>
      <c r="P119" t="n">
        <v>0</v>
      </c>
      <c r="Q119" t="n">
        <v>1</v>
      </c>
      <c r="R119" s="2" t="inlineStr">
        <is>
          <t>Reliktbock</t>
        </is>
      </c>
      <c r="S119">
        <f>HYPERLINK("https://klasma.github.io/Logging_2380/artfynd/A 40694-2024 artfynd.xlsx", "A 40694-2024")</f>
        <v/>
      </c>
      <c r="T119">
        <f>HYPERLINK("https://klasma.github.io/Logging_2380/kartor/A 40694-2024 karta.png", "A 40694-2024")</f>
        <v/>
      </c>
      <c r="V119">
        <f>HYPERLINK("https://klasma.github.io/Logging_2380/klagomål/A 40694-2024 FSC-klagomål.docx", "A 40694-2024")</f>
        <v/>
      </c>
      <c r="W119">
        <f>HYPERLINK("https://klasma.github.io/Logging_2380/klagomålsmail/A 40694-2024 FSC-klagomål mail.docx", "A 40694-2024")</f>
        <v/>
      </c>
      <c r="X119">
        <f>HYPERLINK("https://klasma.github.io/Logging_2380/tillsyn/A 40694-2024 tillsynsbegäran.docx", "A 40694-2024")</f>
        <v/>
      </c>
      <c r="Y119">
        <f>HYPERLINK("https://klasma.github.io/Logging_2380/tillsynsmail/A 40694-2024 tillsynsbegäran mail.docx", "A 40694-2024")</f>
        <v/>
      </c>
    </row>
    <row r="120" ht="15" customHeight="1">
      <c r="A120" t="inlineStr">
        <is>
          <t>A 40781-2025</t>
        </is>
      </c>
      <c r="B120" s="1" t="n">
        <v>45897</v>
      </c>
      <c r="C120" s="1" t="n">
        <v>45984</v>
      </c>
      <c r="D120" t="inlineStr">
        <is>
          <t>JÄMTLANDS LÄN</t>
        </is>
      </c>
      <c r="E120" t="inlineStr">
        <is>
          <t>ÖSTERSUND</t>
        </is>
      </c>
      <c r="F120" t="inlineStr">
        <is>
          <t>Övriga Aktiebolag</t>
        </is>
      </c>
      <c r="G120" t="n">
        <v>2.2</v>
      </c>
      <c r="H120" t="n">
        <v>1</v>
      </c>
      <c r="I120" t="n">
        <v>0</v>
      </c>
      <c r="J120" t="n">
        <v>0</v>
      </c>
      <c r="K120" t="n">
        <v>0</v>
      </c>
      <c r="L120" t="n">
        <v>0</v>
      </c>
      <c r="M120" t="n">
        <v>0</v>
      </c>
      <c r="N120" t="n">
        <v>0</v>
      </c>
      <c r="O120" t="n">
        <v>0</v>
      </c>
      <c r="P120" t="n">
        <v>0</v>
      </c>
      <c r="Q120" t="n">
        <v>1</v>
      </c>
      <c r="R120" s="2" t="inlineStr">
        <is>
          <t>Blåsippa</t>
        </is>
      </c>
      <c r="S120">
        <f>HYPERLINK("https://klasma.github.io/Logging_2380/artfynd/A 40781-2025 artfynd.xlsx", "A 40781-2025")</f>
        <v/>
      </c>
      <c r="T120">
        <f>HYPERLINK("https://klasma.github.io/Logging_2380/kartor/A 40781-2025 karta.png", "A 40781-2025")</f>
        <v/>
      </c>
      <c r="V120">
        <f>HYPERLINK("https://klasma.github.io/Logging_2380/klagomål/A 40781-2025 FSC-klagomål.docx", "A 40781-2025")</f>
        <v/>
      </c>
      <c r="W120">
        <f>HYPERLINK("https://klasma.github.io/Logging_2380/klagomålsmail/A 40781-2025 FSC-klagomål mail.docx", "A 40781-2025")</f>
        <v/>
      </c>
      <c r="X120">
        <f>HYPERLINK("https://klasma.github.io/Logging_2380/tillsyn/A 40781-2025 tillsynsbegäran.docx", "A 40781-2025")</f>
        <v/>
      </c>
      <c r="Y120">
        <f>HYPERLINK("https://klasma.github.io/Logging_2380/tillsynsmail/A 40781-2025 tillsynsbegäran mail.docx", "A 40781-2025")</f>
        <v/>
      </c>
    </row>
    <row r="121" ht="15" customHeight="1">
      <c r="A121" t="inlineStr">
        <is>
          <t>A 41279-2024</t>
        </is>
      </c>
      <c r="B121" s="1" t="n">
        <v>45559</v>
      </c>
      <c r="C121" s="1" t="n">
        <v>45984</v>
      </c>
      <c r="D121" t="inlineStr">
        <is>
          <t>JÄMTLANDS LÄN</t>
        </is>
      </c>
      <c r="E121" t="inlineStr">
        <is>
          <t>ÖSTERSUND</t>
        </is>
      </c>
      <c r="F121" t="inlineStr">
        <is>
          <t>SCA</t>
        </is>
      </c>
      <c r="G121" t="n">
        <v>1.6</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58181-2022</t>
        </is>
      </c>
      <c r="B122" s="1" t="n">
        <v>44900</v>
      </c>
      <c r="C122" s="1" t="n">
        <v>45984</v>
      </c>
      <c r="D122" t="inlineStr">
        <is>
          <t>JÄMTLANDS LÄN</t>
        </is>
      </c>
      <c r="E122" t="inlineStr">
        <is>
          <t>ÖSTERSUND</t>
        </is>
      </c>
      <c r="G122" t="n">
        <v>14.8</v>
      </c>
      <c r="H122" t="n">
        <v>0</v>
      </c>
      <c r="I122" t="n">
        <v>1</v>
      </c>
      <c r="J122" t="n">
        <v>0</v>
      </c>
      <c r="K122" t="n">
        <v>0</v>
      </c>
      <c r="L122" t="n">
        <v>0</v>
      </c>
      <c r="M122" t="n">
        <v>0</v>
      </c>
      <c r="N122" t="n">
        <v>0</v>
      </c>
      <c r="O122" t="n">
        <v>0</v>
      </c>
      <c r="P122" t="n">
        <v>0</v>
      </c>
      <c r="Q122" t="n">
        <v>1</v>
      </c>
      <c r="R122" s="2" t="inlineStr">
        <is>
          <t>Finbräken</t>
        </is>
      </c>
      <c r="S122">
        <f>HYPERLINK("https://klasma.github.io/Logging_2380/artfynd/A 58181-2022 artfynd.xlsx", "A 58181-2022")</f>
        <v/>
      </c>
      <c r="T122">
        <f>HYPERLINK("https://klasma.github.io/Logging_2380/kartor/A 58181-2022 karta.png", "A 58181-2022")</f>
        <v/>
      </c>
      <c r="V122">
        <f>HYPERLINK("https://klasma.github.io/Logging_2380/klagomål/A 58181-2022 FSC-klagomål.docx", "A 58181-2022")</f>
        <v/>
      </c>
      <c r="W122">
        <f>HYPERLINK("https://klasma.github.io/Logging_2380/klagomålsmail/A 58181-2022 FSC-klagomål mail.docx", "A 58181-2022")</f>
        <v/>
      </c>
      <c r="X122">
        <f>HYPERLINK("https://klasma.github.io/Logging_2380/tillsyn/A 58181-2022 tillsynsbegäran.docx", "A 58181-2022")</f>
        <v/>
      </c>
      <c r="Y122">
        <f>HYPERLINK("https://klasma.github.io/Logging_2380/tillsynsmail/A 58181-2022 tillsynsbegäran mail.docx", "A 58181-2022")</f>
        <v/>
      </c>
    </row>
    <row r="123" ht="15" customHeight="1">
      <c r="A123" t="inlineStr">
        <is>
          <t>A 57065-2024</t>
        </is>
      </c>
      <c r="B123" s="1" t="n">
        <v>45629.35344907407</v>
      </c>
      <c r="C123" s="1" t="n">
        <v>45984</v>
      </c>
      <c r="D123" t="inlineStr">
        <is>
          <t>JÄMTLANDS LÄN</t>
        </is>
      </c>
      <c r="E123" t="inlineStr">
        <is>
          <t>ÖSTERSUND</t>
        </is>
      </c>
      <c r="F123" t="inlineStr">
        <is>
          <t>SCA</t>
        </is>
      </c>
      <c r="G123" t="n">
        <v>6.3</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57065-2024 artfynd.xlsx", "A 57065-2024")</f>
        <v/>
      </c>
      <c r="T123">
        <f>HYPERLINK("https://klasma.github.io/Logging_2380/kartor/A 57065-2024 karta.png", "A 57065-2024")</f>
        <v/>
      </c>
      <c r="V123">
        <f>HYPERLINK("https://klasma.github.io/Logging_2380/klagomål/A 57065-2024 FSC-klagomål.docx", "A 57065-2024")</f>
        <v/>
      </c>
      <c r="W123">
        <f>HYPERLINK("https://klasma.github.io/Logging_2380/klagomålsmail/A 57065-2024 FSC-klagomål mail.docx", "A 57065-2024")</f>
        <v/>
      </c>
      <c r="X123">
        <f>HYPERLINK("https://klasma.github.io/Logging_2380/tillsyn/A 57065-2024 tillsynsbegäran.docx", "A 57065-2024")</f>
        <v/>
      </c>
      <c r="Y123">
        <f>HYPERLINK("https://klasma.github.io/Logging_2380/tillsynsmail/A 57065-2024 tillsynsbegäran mail.docx", "A 57065-2024")</f>
        <v/>
      </c>
      <c r="Z123">
        <f>HYPERLINK("https://klasma.github.io/Logging_2380/fåglar/A 57065-2024 prioriterade fågelarter.docx", "A 57065-2024")</f>
        <v/>
      </c>
    </row>
    <row r="124" ht="15" customHeight="1">
      <c r="A124" t="inlineStr">
        <is>
          <t>A 40692-2024</t>
        </is>
      </c>
      <c r="B124" s="1" t="n">
        <v>45558</v>
      </c>
      <c r="C124" s="1" t="n">
        <v>45984</v>
      </c>
      <c r="D124" t="inlineStr">
        <is>
          <t>JÄMTLANDS LÄN</t>
        </is>
      </c>
      <c r="E124" t="inlineStr">
        <is>
          <t>ÖSTERSUND</t>
        </is>
      </c>
      <c r="F124" t="inlineStr">
        <is>
          <t>SCA</t>
        </is>
      </c>
      <c r="G124" t="n">
        <v>0.9</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40692-2024 artfynd.xlsx", "A 40692-2024")</f>
        <v/>
      </c>
      <c r="T124">
        <f>HYPERLINK("https://klasma.github.io/Logging_2380/kartor/A 40692-2024 karta.png", "A 40692-2024")</f>
        <v/>
      </c>
      <c r="V124">
        <f>HYPERLINK("https://klasma.github.io/Logging_2380/klagomål/A 40692-2024 FSC-klagomål.docx", "A 40692-2024")</f>
        <v/>
      </c>
      <c r="W124">
        <f>HYPERLINK("https://klasma.github.io/Logging_2380/klagomålsmail/A 40692-2024 FSC-klagomål mail.docx", "A 40692-2024")</f>
        <v/>
      </c>
      <c r="X124">
        <f>HYPERLINK("https://klasma.github.io/Logging_2380/tillsyn/A 40692-2024 tillsynsbegäran.docx", "A 40692-2024")</f>
        <v/>
      </c>
      <c r="Y124">
        <f>HYPERLINK("https://klasma.github.io/Logging_2380/tillsynsmail/A 40692-2024 tillsynsbegäran mail.docx", "A 40692-2024")</f>
        <v/>
      </c>
    </row>
    <row r="125" ht="15" customHeight="1">
      <c r="A125" t="inlineStr">
        <is>
          <t>A 63775-2020</t>
        </is>
      </c>
      <c r="B125" s="1" t="n">
        <v>44165</v>
      </c>
      <c r="C125" s="1" t="n">
        <v>45984</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43188-2025</t>
        </is>
      </c>
      <c r="B126" s="1" t="n">
        <v>45910.41201388889</v>
      </c>
      <c r="C126" s="1" t="n">
        <v>45984</v>
      </c>
      <c r="D126" t="inlineStr">
        <is>
          <t>JÄMTLANDS LÄN</t>
        </is>
      </c>
      <c r="E126" t="inlineStr">
        <is>
          <t>ÖSTERSUND</t>
        </is>
      </c>
      <c r="G126" t="n">
        <v>8.6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43188-2025 artfynd.xlsx", "A 43188-2025")</f>
        <v/>
      </c>
      <c r="T126">
        <f>HYPERLINK("https://klasma.github.io/Logging_2380/kartor/A 43188-2025 karta.png", "A 43188-2025")</f>
        <v/>
      </c>
      <c r="V126">
        <f>HYPERLINK("https://klasma.github.io/Logging_2380/klagomål/A 43188-2025 FSC-klagomål.docx", "A 43188-2025")</f>
        <v/>
      </c>
      <c r="W126">
        <f>HYPERLINK("https://klasma.github.io/Logging_2380/klagomålsmail/A 43188-2025 FSC-klagomål mail.docx", "A 43188-2025")</f>
        <v/>
      </c>
      <c r="X126">
        <f>HYPERLINK("https://klasma.github.io/Logging_2380/tillsyn/A 43188-2025 tillsynsbegäran.docx", "A 43188-2025")</f>
        <v/>
      </c>
      <c r="Y126">
        <f>HYPERLINK("https://klasma.github.io/Logging_2380/tillsynsmail/A 43188-2025 tillsynsbegäran mail.docx", "A 43188-2025")</f>
        <v/>
      </c>
      <c r="Z126">
        <f>HYPERLINK("https://klasma.github.io/Logging_2380/fåglar/A 43188-2025 prioriterade fågelarter.docx", "A 43188-2025")</f>
        <v/>
      </c>
    </row>
    <row r="127" ht="15" customHeight="1">
      <c r="A127" t="inlineStr">
        <is>
          <t>A 43883-2024</t>
        </is>
      </c>
      <c r="B127" s="1" t="n">
        <v>45570</v>
      </c>
      <c r="C127" s="1" t="n">
        <v>45984</v>
      </c>
      <c r="D127" t="inlineStr">
        <is>
          <t>JÄMTLANDS LÄN</t>
        </is>
      </c>
      <c r="E127" t="inlineStr">
        <is>
          <t>ÖSTERSUND</t>
        </is>
      </c>
      <c r="G127" t="n">
        <v>3.8</v>
      </c>
      <c r="H127" t="n">
        <v>0</v>
      </c>
      <c r="I127" t="n">
        <v>0</v>
      </c>
      <c r="J127" t="n">
        <v>0</v>
      </c>
      <c r="K127" t="n">
        <v>1</v>
      </c>
      <c r="L127" t="n">
        <v>0</v>
      </c>
      <c r="M127" t="n">
        <v>0</v>
      </c>
      <c r="N127" t="n">
        <v>0</v>
      </c>
      <c r="O127" t="n">
        <v>1</v>
      </c>
      <c r="P127" t="n">
        <v>1</v>
      </c>
      <c r="Q127" t="n">
        <v>1</v>
      </c>
      <c r="R127" s="2" t="inlineStr">
        <is>
          <t>Frösöstarr</t>
        </is>
      </c>
      <c r="S127">
        <f>HYPERLINK("https://klasma.github.io/Logging_2380/artfynd/A 43883-2024 artfynd.xlsx", "A 43883-2024")</f>
        <v/>
      </c>
      <c r="T127">
        <f>HYPERLINK("https://klasma.github.io/Logging_2380/kartor/A 43883-2024 karta.png", "A 43883-2024")</f>
        <v/>
      </c>
      <c r="V127">
        <f>HYPERLINK("https://klasma.github.io/Logging_2380/klagomål/A 43883-2024 FSC-klagomål.docx", "A 43883-2024")</f>
        <v/>
      </c>
      <c r="W127">
        <f>HYPERLINK("https://klasma.github.io/Logging_2380/klagomålsmail/A 43883-2024 FSC-klagomål mail.docx", "A 43883-2024")</f>
        <v/>
      </c>
      <c r="X127">
        <f>HYPERLINK("https://klasma.github.io/Logging_2380/tillsyn/A 43883-2024 tillsynsbegäran.docx", "A 43883-2024")</f>
        <v/>
      </c>
      <c r="Y127">
        <f>HYPERLINK("https://klasma.github.io/Logging_2380/tillsynsmail/A 43883-2024 tillsynsbegäran mail.docx", "A 43883-2024")</f>
        <v/>
      </c>
    </row>
    <row r="128" ht="15" customHeight="1">
      <c r="A128" t="inlineStr">
        <is>
          <t>A 28980-2023</t>
        </is>
      </c>
      <c r="B128" s="1" t="n">
        <v>45096</v>
      </c>
      <c r="C128" s="1" t="n">
        <v>45984</v>
      </c>
      <c r="D128" t="inlineStr">
        <is>
          <t>JÄMTLANDS LÄN</t>
        </is>
      </c>
      <c r="E128" t="inlineStr">
        <is>
          <t>ÖSTERSUND</t>
        </is>
      </c>
      <c r="G128" t="n">
        <v>2.7</v>
      </c>
      <c r="H128" t="n">
        <v>0</v>
      </c>
      <c r="I128" t="n">
        <v>1</v>
      </c>
      <c r="J128" t="n">
        <v>0</v>
      </c>
      <c r="K128" t="n">
        <v>0</v>
      </c>
      <c r="L128" t="n">
        <v>0</v>
      </c>
      <c r="M128" t="n">
        <v>0</v>
      </c>
      <c r="N128" t="n">
        <v>0</v>
      </c>
      <c r="O128" t="n">
        <v>0</v>
      </c>
      <c r="P128" t="n">
        <v>0</v>
      </c>
      <c r="Q128" t="n">
        <v>1</v>
      </c>
      <c r="R128" s="2" t="inlineStr">
        <is>
          <t>Finbräken</t>
        </is>
      </c>
      <c r="S128">
        <f>HYPERLINK("https://klasma.github.io/Logging_2380/artfynd/A 28980-2023 artfynd.xlsx", "A 28980-2023")</f>
        <v/>
      </c>
      <c r="T128">
        <f>HYPERLINK("https://klasma.github.io/Logging_2380/kartor/A 28980-2023 karta.png", "A 28980-2023")</f>
        <v/>
      </c>
      <c r="V128">
        <f>HYPERLINK("https://klasma.github.io/Logging_2380/klagomål/A 28980-2023 FSC-klagomål.docx", "A 28980-2023")</f>
        <v/>
      </c>
      <c r="W128">
        <f>HYPERLINK("https://klasma.github.io/Logging_2380/klagomålsmail/A 28980-2023 FSC-klagomål mail.docx", "A 28980-2023")</f>
        <v/>
      </c>
      <c r="X128">
        <f>HYPERLINK("https://klasma.github.io/Logging_2380/tillsyn/A 28980-2023 tillsynsbegäran.docx", "A 28980-2023")</f>
        <v/>
      </c>
      <c r="Y128">
        <f>HYPERLINK("https://klasma.github.io/Logging_2380/tillsynsmail/A 28980-2023 tillsynsbegäran mail.docx", "A 28980-2023")</f>
        <v/>
      </c>
    </row>
    <row r="129" ht="15" customHeight="1">
      <c r="A129" t="inlineStr">
        <is>
          <t>A 53300-2025</t>
        </is>
      </c>
      <c r="B129" s="1" t="n">
        <v>45959.32394675926</v>
      </c>
      <c r="C129" s="1" t="n">
        <v>45984</v>
      </c>
      <c r="D129" t="inlineStr">
        <is>
          <t>JÄMTLANDS LÄN</t>
        </is>
      </c>
      <c r="E129" t="inlineStr">
        <is>
          <t>ÖSTERSUND</t>
        </is>
      </c>
      <c r="F129" t="inlineStr">
        <is>
          <t>Sveaskog</t>
        </is>
      </c>
      <c r="G129" t="n">
        <v>12.2</v>
      </c>
      <c r="H129" t="n">
        <v>0</v>
      </c>
      <c r="I129" t="n">
        <v>1</v>
      </c>
      <c r="J129" t="n">
        <v>0</v>
      </c>
      <c r="K129" t="n">
        <v>0</v>
      </c>
      <c r="L129" t="n">
        <v>0</v>
      </c>
      <c r="M129" t="n">
        <v>0</v>
      </c>
      <c r="N129" t="n">
        <v>0</v>
      </c>
      <c r="O129" t="n">
        <v>0</v>
      </c>
      <c r="P129" t="n">
        <v>0</v>
      </c>
      <c r="Q129" t="n">
        <v>1</v>
      </c>
      <c r="R129" s="2" t="inlineStr">
        <is>
          <t>Rödgul trumpetsvamp</t>
        </is>
      </c>
      <c r="S129">
        <f>HYPERLINK("https://klasma.github.io/Logging_2380/artfynd/A 53300-2025 artfynd.xlsx", "A 53300-2025")</f>
        <v/>
      </c>
      <c r="T129">
        <f>HYPERLINK("https://klasma.github.io/Logging_2380/kartor/A 53300-2025 karta.png", "A 53300-2025")</f>
        <v/>
      </c>
      <c r="V129">
        <f>HYPERLINK("https://klasma.github.io/Logging_2380/klagomål/A 53300-2025 FSC-klagomål.docx", "A 53300-2025")</f>
        <v/>
      </c>
      <c r="W129">
        <f>HYPERLINK("https://klasma.github.io/Logging_2380/klagomålsmail/A 53300-2025 FSC-klagomål mail.docx", "A 53300-2025")</f>
        <v/>
      </c>
      <c r="X129">
        <f>HYPERLINK("https://klasma.github.io/Logging_2380/tillsyn/A 53300-2025 tillsynsbegäran.docx", "A 53300-2025")</f>
        <v/>
      </c>
      <c r="Y129">
        <f>HYPERLINK("https://klasma.github.io/Logging_2380/tillsynsmail/A 53300-2025 tillsynsbegäran mail.docx", "A 53300-2025")</f>
        <v/>
      </c>
    </row>
    <row r="130" ht="15" customHeight="1">
      <c r="A130" t="inlineStr">
        <is>
          <t>A 33550-2025</t>
        </is>
      </c>
      <c r="B130" s="1" t="n">
        <v>45841.57331018519</v>
      </c>
      <c r="C130" s="1" t="n">
        <v>45984</v>
      </c>
      <c r="D130" t="inlineStr">
        <is>
          <t>JÄMTLANDS LÄN</t>
        </is>
      </c>
      <c r="E130" t="inlineStr">
        <is>
          <t>ÖSTERSUND</t>
        </is>
      </c>
      <c r="F130" t="inlineStr">
        <is>
          <t>SCA</t>
        </is>
      </c>
      <c r="G130" t="n">
        <v>7.3</v>
      </c>
      <c r="H130" t="n">
        <v>0</v>
      </c>
      <c r="I130" t="n">
        <v>1</v>
      </c>
      <c r="J130" t="n">
        <v>0</v>
      </c>
      <c r="K130" t="n">
        <v>0</v>
      </c>
      <c r="L130" t="n">
        <v>0</v>
      </c>
      <c r="M130" t="n">
        <v>0</v>
      </c>
      <c r="N130" t="n">
        <v>0</v>
      </c>
      <c r="O130" t="n">
        <v>0</v>
      </c>
      <c r="P130" t="n">
        <v>0</v>
      </c>
      <c r="Q130" t="n">
        <v>1</v>
      </c>
      <c r="R130" s="2" t="inlineStr">
        <is>
          <t>Dropptaggsvamp</t>
        </is>
      </c>
      <c r="S130">
        <f>HYPERLINK("https://klasma.github.io/Logging_2380/artfynd/A 33550-2025 artfynd.xlsx", "A 33550-2025")</f>
        <v/>
      </c>
      <c r="T130">
        <f>HYPERLINK("https://klasma.github.io/Logging_2380/kartor/A 33550-2025 karta.png", "A 33550-2025")</f>
        <v/>
      </c>
      <c r="V130">
        <f>HYPERLINK("https://klasma.github.io/Logging_2380/klagomål/A 33550-2025 FSC-klagomål.docx", "A 33550-2025")</f>
        <v/>
      </c>
      <c r="W130">
        <f>HYPERLINK("https://klasma.github.io/Logging_2380/klagomålsmail/A 33550-2025 FSC-klagomål mail.docx", "A 33550-2025")</f>
        <v/>
      </c>
      <c r="X130">
        <f>HYPERLINK("https://klasma.github.io/Logging_2380/tillsyn/A 33550-2025 tillsynsbegäran.docx", "A 33550-2025")</f>
        <v/>
      </c>
      <c r="Y130">
        <f>HYPERLINK("https://klasma.github.io/Logging_2380/tillsynsmail/A 33550-2025 tillsynsbegäran mail.docx", "A 33550-2025")</f>
        <v/>
      </c>
    </row>
    <row r="131" ht="15" customHeight="1">
      <c r="A131" t="inlineStr">
        <is>
          <t>A 41312-2024</t>
        </is>
      </c>
      <c r="B131" s="1" t="n">
        <v>45559.63584490741</v>
      </c>
      <c r="C131" s="1" t="n">
        <v>45984</v>
      </c>
      <c r="D131" t="inlineStr">
        <is>
          <t>JÄMTLANDS LÄN</t>
        </is>
      </c>
      <c r="E131" t="inlineStr">
        <is>
          <t>ÖSTERSUND</t>
        </is>
      </c>
      <c r="F131" t="inlineStr">
        <is>
          <t>SCA</t>
        </is>
      </c>
      <c r="G131" t="n">
        <v>2.6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41312-2024 artfynd.xlsx", "A 41312-2024")</f>
        <v/>
      </c>
      <c r="T131">
        <f>HYPERLINK("https://klasma.github.io/Logging_2380/kartor/A 41312-2024 karta.png", "A 41312-2024")</f>
        <v/>
      </c>
      <c r="V131">
        <f>HYPERLINK("https://klasma.github.io/Logging_2380/klagomål/A 41312-2024 FSC-klagomål.docx", "A 41312-2024")</f>
        <v/>
      </c>
      <c r="W131">
        <f>HYPERLINK("https://klasma.github.io/Logging_2380/klagomålsmail/A 41312-2024 FSC-klagomål mail.docx", "A 41312-2024")</f>
        <v/>
      </c>
      <c r="X131">
        <f>HYPERLINK("https://klasma.github.io/Logging_2380/tillsyn/A 41312-2024 tillsynsbegäran.docx", "A 41312-2024")</f>
        <v/>
      </c>
      <c r="Y131">
        <f>HYPERLINK("https://klasma.github.io/Logging_2380/tillsynsmail/A 41312-2024 tillsynsbegäran mail.docx", "A 41312-2024")</f>
        <v/>
      </c>
    </row>
    <row r="132" ht="15" customHeight="1">
      <c r="A132" t="inlineStr">
        <is>
          <t>A 56201-2024</t>
        </is>
      </c>
      <c r="B132" s="1" t="n">
        <v>45624.59462962963</v>
      </c>
      <c r="C132" s="1" t="n">
        <v>45984</v>
      </c>
      <c r="D132" t="inlineStr">
        <is>
          <t>JÄMTLANDS LÄN</t>
        </is>
      </c>
      <c r="E132" t="inlineStr">
        <is>
          <t>ÖSTERSUND</t>
        </is>
      </c>
      <c r="F132" t="inlineStr">
        <is>
          <t>SCA</t>
        </is>
      </c>
      <c r="G132" t="n">
        <v>5.9</v>
      </c>
      <c r="H132" t="n">
        <v>1</v>
      </c>
      <c r="I132" t="n">
        <v>0</v>
      </c>
      <c r="J132" t="n">
        <v>0</v>
      </c>
      <c r="K132" t="n">
        <v>1</v>
      </c>
      <c r="L132" t="n">
        <v>0</v>
      </c>
      <c r="M132" t="n">
        <v>0</v>
      </c>
      <c r="N132" t="n">
        <v>0</v>
      </c>
      <c r="O132" t="n">
        <v>1</v>
      </c>
      <c r="P132" t="n">
        <v>1</v>
      </c>
      <c r="Q132" t="n">
        <v>1</v>
      </c>
      <c r="R132" s="2" t="inlineStr">
        <is>
          <t>Doftticka</t>
        </is>
      </c>
      <c r="S132">
        <f>HYPERLINK("https://klasma.github.io/Logging_2380/artfynd/A 56201-2024 artfynd.xlsx", "A 56201-2024")</f>
        <v/>
      </c>
      <c r="T132">
        <f>HYPERLINK("https://klasma.github.io/Logging_2380/kartor/A 56201-2024 karta.png", "A 56201-2024")</f>
        <v/>
      </c>
      <c r="V132">
        <f>HYPERLINK("https://klasma.github.io/Logging_2380/klagomål/A 56201-2024 FSC-klagomål.docx", "A 56201-2024")</f>
        <v/>
      </c>
      <c r="W132">
        <f>HYPERLINK("https://klasma.github.io/Logging_2380/klagomålsmail/A 56201-2024 FSC-klagomål mail.docx", "A 56201-2024")</f>
        <v/>
      </c>
      <c r="X132">
        <f>HYPERLINK("https://klasma.github.io/Logging_2380/tillsyn/A 56201-2024 tillsynsbegäran.docx", "A 56201-2024")</f>
        <v/>
      </c>
      <c r="Y132">
        <f>HYPERLINK("https://klasma.github.io/Logging_2380/tillsynsmail/A 56201-2024 tillsynsbegäran mail.docx", "A 56201-2024")</f>
        <v/>
      </c>
    </row>
    <row r="133" ht="15" customHeight="1">
      <c r="A133" t="inlineStr">
        <is>
          <t>A 59108-2024</t>
        </is>
      </c>
      <c r="B133" s="1" t="n">
        <v>45637.34469907408</v>
      </c>
      <c r="C133" s="1" t="n">
        <v>45984</v>
      </c>
      <c r="D133" t="inlineStr">
        <is>
          <t>JÄMTLANDS LÄN</t>
        </is>
      </c>
      <c r="E133" t="inlineStr">
        <is>
          <t>ÖSTERSUND</t>
        </is>
      </c>
      <c r="F133" t="inlineStr">
        <is>
          <t>SCA</t>
        </is>
      </c>
      <c r="G133" t="n">
        <v>10.6</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59108-2024 artfynd.xlsx", "A 59108-2024")</f>
        <v/>
      </c>
      <c r="T133">
        <f>HYPERLINK("https://klasma.github.io/Logging_2380/kartor/A 59108-2024 karta.png", "A 59108-2024")</f>
        <v/>
      </c>
      <c r="V133">
        <f>HYPERLINK("https://klasma.github.io/Logging_2380/klagomål/A 59108-2024 FSC-klagomål.docx", "A 59108-2024")</f>
        <v/>
      </c>
      <c r="W133">
        <f>HYPERLINK("https://klasma.github.io/Logging_2380/klagomålsmail/A 59108-2024 FSC-klagomål mail.docx", "A 59108-2024")</f>
        <v/>
      </c>
      <c r="X133">
        <f>HYPERLINK("https://klasma.github.io/Logging_2380/tillsyn/A 59108-2024 tillsynsbegäran.docx", "A 59108-2024")</f>
        <v/>
      </c>
      <c r="Y133">
        <f>HYPERLINK("https://klasma.github.io/Logging_2380/tillsynsmail/A 59108-2024 tillsynsbegäran mail.docx", "A 59108-2024")</f>
        <v/>
      </c>
      <c r="Z133">
        <f>HYPERLINK("https://klasma.github.io/Logging_2380/fåglar/A 59108-2024 prioriterade fågelarter.docx", "A 59108-2024")</f>
        <v/>
      </c>
    </row>
    <row r="134" ht="15" customHeight="1">
      <c r="A134" t="inlineStr">
        <is>
          <t>A 36225-2025</t>
        </is>
      </c>
      <c r="B134" s="1" t="n">
        <v>45867.51128472222</v>
      </c>
      <c r="C134" s="1" t="n">
        <v>45984</v>
      </c>
      <c r="D134" t="inlineStr">
        <is>
          <t>JÄMTLANDS LÄN</t>
        </is>
      </c>
      <c r="E134" t="inlineStr">
        <is>
          <t>ÖSTERSUND</t>
        </is>
      </c>
      <c r="F134" t="inlineStr">
        <is>
          <t>SCA</t>
        </is>
      </c>
      <c r="G134" t="n">
        <v>1.8</v>
      </c>
      <c r="H134" t="n">
        <v>0</v>
      </c>
      <c r="I134" t="n">
        <v>0</v>
      </c>
      <c r="J134" t="n">
        <v>1</v>
      </c>
      <c r="K134" t="n">
        <v>0</v>
      </c>
      <c r="L134" t="n">
        <v>0</v>
      </c>
      <c r="M134" t="n">
        <v>0</v>
      </c>
      <c r="N134" t="n">
        <v>0</v>
      </c>
      <c r="O134" t="n">
        <v>1</v>
      </c>
      <c r="P134" t="n">
        <v>0</v>
      </c>
      <c r="Q134" t="n">
        <v>1</v>
      </c>
      <c r="R134" s="2" t="inlineStr">
        <is>
          <t>Kolflarnlav</t>
        </is>
      </c>
      <c r="S134">
        <f>HYPERLINK("https://klasma.github.io/Logging_2380/artfynd/A 36225-2025 artfynd.xlsx", "A 36225-2025")</f>
        <v/>
      </c>
      <c r="T134">
        <f>HYPERLINK("https://klasma.github.io/Logging_2380/kartor/A 36225-2025 karta.png", "A 36225-2025")</f>
        <v/>
      </c>
      <c r="V134">
        <f>HYPERLINK("https://klasma.github.io/Logging_2380/klagomål/A 36225-2025 FSC-klagomål.docx", "A 36225-2025")</f>
        <v/>
      </c>
      <c r="W134">
        <f>HYPERLINK("https://klasma.github.io/Logging_2380/klagomålsmail/A 36225-2025 FSC-klagomål mail.docx", "A 36225-2025")</f>
        <v/>
      </c>
      <c r="X134">
        <f>HYPERLINK("https://klasma.github.io/Logging_2380/tillsyn/A 36225-2025 tillsynsbegäran.docx", "A 36225-2025")</f>
        <v/>
      </c>
      <c r="Y134">
        <f>HYPERLINK("https://klasma.github.io/Logging_2380/tillsynsmail/A 36225-2025 tillsynsbegäran mail.docx", "A 36225-2025")</f>
        <v/>
      </c>
    </row>
    <row r="135" ht="15" customHeight="1">
      <c r="A135" t="inlineStr">
        <is>
          <t>A 47580-2025</t>
        </is>
      </c>
      <c r="B135" s="1" t="n">
        <v>45931.40935185185</v>
      </c>
      <c r="C135" s="1" t="n">
        <v>45984</v>
      </c>
      <c r="D135" t="inlineStr">
        <is>
          <t>JÄMTLANDS LÄN</t>
        </is>
      </c>
      <c r="E135" t="inlineStr">
        <is>
          <t>ÖSTERSUND</t>
        </is>
      </c>
      <c r="G135" t="n">
        <v>4.1</v>
      </c>
      <c r="H135" t="n">
        <v>1</v>
      </c>
      <c r="I135" t="n">
        <v>0</v>
      </c>
      <c r="J135" t="n">
        <v>0</v>
      </c>
      <c r="K135" t="n">
        <v>0</v>
      </c>
      <c r="L135" t="n">
        <v>0</v>
      </c>
      <c r="M135" t="n">
        <v>0</v>
      </c>
      <c r="N135" t="n">
        <v>0</v>
      </c>
      <c r="O135" t="n">
        <v>0</v>
      </c>
      <c r="P135" t="n">
        <v>0</v>
      </c>
      <c r="Q135" t="n">
        <v>1</v>
      </c>
      <c r="R135" s="2" t="inlineStr">
        <is>
          <t>Revlummer</t>
        </is>
      </c>
      <c r="S135">
        <f>HYPERLINK("https://klasma.github.io/Logging_2380/artfynd/A 47580-2025 artfynd.xlsx", "A 47580-2025")</f>
        <v/>
      </c>
      <c r="T135">
        <f>HYPERLINK("https://klasma.github.io/Logging_2380/kartor/A 47580-2025 karta.png", "A 47580-2025")</f>
        <v/>
      </c>
      <c r="V135">
        <f>HYPERLINK("https://klasma.github.io/Logging_2380/klagomål/A 47580-2025 FSC-klagomål.docx", "A 47580-2025")</f>
        <v/>
      </c>
      <c r="W135">
        <f>HYPERLINK("https://klasma.github.io/Logging_2380/klagomålsmail/A 47580-2025 FSC-klagomål mail.docx", "A 47580-2025")</f>
        <v/>
      </c>
      <c r="X135">
        <f>HYPERLINK("https://klasma.github.io/Logging_2380/tillsyn/A 47580-2025 tillsynsbegäran.docx", "A 47580-2025")</f>
        <v/>
      </c>
      <c r="Y135">
        <f>HYPERLINK("https://klasma.github.io/Logging_2380/tillsynsmail/A 47580-2025 tillsynsbegäran mail.docx", "A 47580-2025")</f>
        <v/>
      </c>
    </row>
    <row r="136" ht="15" customHeight="1">
      <c r="A136" t="inlineStr">
        <is>
          <t>A 9739-2022</t>
        </is>
      </c>
      <c r="B136" s="1" t="n">
        <v>44617</v>
      </c>
      <c r="C136" s="1" t="n">
        <v>45984</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31883-2024</t>
        </is>
      </c>
      <c r="B137" s="1" t="n">
        <v>45509.9572800926</v>
      </c>
      <c r="C137" s="1" t="n">
        <v>45984</v>
      </c>
      <c r="D137" t="inlineStr">
        <is>
          <t>JÄMTLANDS LÄN</t>
        </is>
      </c>
      <c r="E137" t="inlineStr">
        <is>
          <t>ÖSTERSUND</t>
        </is>
      </c>
      <c r="F137" t="inlineStr">
        <is>
          <t>SCA</t>
        </is>
      </c>
      <c r="G137" t="n">
        <v>3.3</v>
      </c>
      <c r="H137" t="n">
        <v>1</v>
      </c>
      <c r="I137" t="n">
        <v>0</v>
      </c>
      <c r="J137" t="n">
        <v>0</v>
      </c>
      <c r="K137" t="n">
        <v>1</v>
      </c>
      <c r="L137" t="n">
        <v>0</v>
      </c>
      <c r="M137" t="n">
        <v>0</v>
      </c>
      <c r="N137" t="n">
        <v>0</v>
      </c>
      <c r="O137" t="n">
        <v>1</v>
      </c>
      <c r="P137" t="n">
        <v>1</v>
      </c>
      <c r="Q137" t="n">
        <v>1</v>
      </c>
      <c r="R137" s="2" t="inlineStr">
        <is>
          <t>Doftticka</t>
        </is>
      </c>
      <c r="S137">
        <f>HYPERLINK("https://klasma.github.io/Logging_2380/artfynd/A 31883-2024 artfynd.xlsx", "A 31883-2024")</f>
        <v/>
      </c>
      <c r="T137">
        <f>HYPERLINK("https://klasma.github.io/Logging_2380/kartor/A 31883-2024 karta.png", "A 31883-2024")</f>
        <v/>
      </c>
      <c r="V137">
        <f>HYPERLINK("https://klasma.github.io/Logging_2380/klagomål/A 31883-2024 FSC-klagomål.docx", "A 31883-2024")</f>
        <v/>
      </c>
      <c r="W137">
        <f>HYPERLINK("https://klasma.github.io/Logging_2380/klagomålsmail/A 31883-2024 FSC-klagomål mail.docx", "A 31883-2024")</f>
        <v/>
      </c>
      <c r="X137">
        <f>HYPERLINK("https://klasma.github.io/Logging_2380/tillsyn/A 31883-2024 tillsynsbegäran.docx", "A 31883-2024")</f>
        <v/>
      </c>
      <c r="Y137">
        <f>HYPERLINK("https://klasma.github.io/Logging_2380/tillsynsmail/A 31883-2024 tillsynsbegäran mail.docx", "A 31883-2024")</f>
        <v/>
      </c>
    </row>
    <row r="138" ht="15" customHeight="1">
      <c r="A138" t="inlineStr">
        <is>
          <t>A 24368-2025</t>
        </is>
      </c>
      <c r="B138" s="1" t="n">
        <v>45797.60623842593</v>
      </c>
      <c r="C138" s="1" t="n">
        <v>45984</v>
      </c>
      <c r="D138" t="inlineStr">
        <is>
          <t>JÄMTLANDS LÄN</t>
        </is>
      </c>
      <c r="E138" t="inlineStr">
        <is>
          <t>ÖSTERSUND</t>
        </is>
      </c>
      <c r="G138" t="n">
        <v>2.9</v>
      </c>
      <c r="H138" t="n">
        <v>0</v>
      </c>
      <c r="I138" t="n">
        <v>0</v>
      </c>
      <c r="J138" t="n">
        <v>0</v>
      </c>
      <c r="K138" t="n">
        <v>1</v>
      </c>
      <c r="L138" t="n">
        <v>0</v>
      </c>
      <c r="M138" t="n">
        <v>0</v>
      </c>
      <c r="N138" t="n">
        <v>0</v>
      </c>
      <c r="O138" t="n">
        <v>1</v>
      </c>
      <c r="P138" t="n">
        <v>1</v>
      </c>
      <c r="Q138" t="n">
        <v>1</v>
      </c>
      <c r="R138" s="2" t="inlineStr">
        <is>
          <t>Fjällfotad fingersvamp</t>
        </is>
      </c>
      <c r="S138">
        <f>HYPERLINK("https://klasma.github.io/Logging_2380/artfynd/A 24368-2025 artfynd.xlsx", "A 24368-2025")</f>
        <v/>
      </c>
      <c r="T138">
        <f>HYPERLINK("https://klasma.github.io/Logging_2380/kartor/A 24368-2025 karta.png", "A 24368-2025")</f>
        <v/>
      </c>
      <c r="V138">
        <f>HYPERLINK("https://klasma.github.io/Logging_2380/klagomål/A 24368-2025 FSC-klagomål.docx", "A 24368-2025")</f>
        <v/>
      </c>
      <c r="W138">
        <f>HYPERLINK("https://klasma.github.io/Logging_2380/klagomålsmail/A 24368-2025 FSC-klagomål mail.docx", "A 24368-2025")</f>
        <v/>
      </c>
      <c r="X138">
        <f>HYPERLINK("https://klasma.github.io/Logging_2380/tillsyn/A 24368-2025 tillsynsbegäran.docx", "A 24368-2025")</f>
        <v/>
      </c>
      <c r="Y138">
        <f>HYPERLINK("https://klasma.github.io/Logging_2380/tillsynsmail/A 24368-2025 tillsynsbegäran mail.docx", "A 24368-2025")</f>
        <v/>
      </c>
    </row>
    <row r="139" ht="15" customHeight="1">
      <c r="A139" t="inlineStr">
        <is>
          <t>A 56647-2025</t>
        </is>
      </c>
      <c r="B139" s="1" t="n">
        <v>45975.63585648148</v>
      </c>
      <c r="C139" s="1" t="n">
        <v>45984</v>
      </c>
      <c r="D139" t="inlineStr">
        <is>
          <t>JÄMTLANDS LÄN</t>
        </is>
      </c>
      <c r="E139" t="inlineStr">
        <is>
          <t>ÖSTERSUND</t>
        </is>
      </c>
      <c r="G139" t="n">
        <v>12.1</v>
      </c>
      <c r="H139" t="n">
        <v>0</v>
      </c>
      <c r="I139" t="n">
        <v>0</v>
      </c>
      <c r="J139" t="n">
        <v>0</v>
      </c>
      <c r="K139" t="n">
        <v>1</v>
      </c>
      <c r="L139" t="n">
        <v>0</v>
      </c>
      <c r="M139" t="n">
        <v>0</v>
      </c>
      <c r="N139" t="n">
        <v>0</v>
      </c>
      <c r="O139" t="n">
        <v>1</v>
      </c>
      <c r="P139" t="n">
        <v>1</v>
      </c>
      <c r="Q139" t="n">
        <v>1</v>
      </c>
      <c r="R139" s="2" t="inlineStr">
        <is>
          <t>Rynkskinn</t>
        </is>
      </c>
      <c r="S139">
        <f>HYPERLINK("https://klasma.github.io/Logging_2380/artfynd/A 56647-2025 artfynd.xlsx", "A 56647-2025")</f>
        <v/>
      </c>
      <c r="T139">
        <f>HYPERLINK("https://klasma.github.io/Logging_2380/kartor/A 56647-2025 karta.png", "A 56647-2025")</f>
        <v/>
      </c>
      <c r="V139">
        <f>HYPERLINK("https://klasma.github.io/Logging_2380/klagomål/A 56647-2025 FSC-klagomål.docx", "A 56647-2025")</f>
        <v/>
      </c>
      <c r="W139">
        <f>HYPERLINK("https://klasma.github.io/Logging_2380/klagomålsmail/A 56647-2025 FSC-klagomål mail.docx", "A 56647-2025")</f>
        <v/>
      </c>
      <c r="X139">
        <f>HYPERLINK("https://klasma.github.io/Logging_2380/tillsyn/A 56647-2025 tillsynsbegäran.docx", "A 56647-2025")</f>
        <v/>
      </c>
      <c r="Y139">
        <f>HYPERLINK("https://klasma.github.io/Logging_2380/tillsynsmail/A 56647-2025 tillsynsbegäran mail.docx", "A 56647-2025")</f>
        <v/>
      </c>
    </row>
    <row r="140" ht="15" customHeight="1">
      <c r="A140" t="inlineStr">
        <is>
          <t>A 56648-2025</t>
        </is>
      </c>
      <c r="B140" s="1" t="n">
        <v>45975.63604166666</v>
      </c>
      <c r="C140" s="1" t="n">
        <v>45984</v>
      </c>
      <c r="D140" t="inlineStr">
        <is>
          <t>JÄMTLANDS LÄN</t>
        </is>
      </c>
      <c r="E140" t="inlineStr">
        <is>
          <t>ÖSTERSUND</t>
        </is>
      </c>
      <c r="G140" t="n">
        <v>4.3</v>
      </c>
      <c r="H140" t="n">
        <v>0</v>
      </c>
      <c r="I140" t="n">
        <v>0</v>
      </c>
      <c r="J140" t="n">
        <v>1</v>
      </c>
      <c r="K140" t="n">
        <v>0</v>
      </c>
      <c r="L140" t="n">
        <v>0</v>
      </c>
      <c r="M140" t="n">
        <v>0</v>
      </c>
      <c r="N140" t="n">
        <v>0</v>
      </c>
      <c r="O140" t="n">
        <v>1</v>
      </c>
      <c r="P140" t="n">
        <v>0</v>
      </c>
      <c r="Q140" t="n">
        <v>1</v>
      </c>
      <c r="R140" s="2" t="inlineStr">
        <is>
          <t>Granticka</t>
        </is>
      </c>
      <c r="S140">
        <f>HYPERLINK("https://klasma.github.io/Logging_2380/artfynd/A 56648-2025 artfynd.xlsx", "A 56648-2025")</f>
        <v/>
      </c>
      <c r="T140">
        <f>HYPERLINK("https://klasma.github.io/Logging_2380/kartor/A 56648-2025 karta.png", "A 56648-2025")</f>
        <v/>
      </c>
      <c r="V140">
        <f>HYPERLINK("https://klasma.github.io/Logging_2380/klagomål/A 56648-2025 FSC-klagomål.docx", "A 56648-2025")</f>
        <v/>
      </c>
      <c r="W140">
        <f>HYPERLINK("https://klasma.github.io/Logging_2380/klagomålsmail/A 56648-2025 FSC-klagomål mail.docx", "A 56648-2025")</f>
        <v/>
      </c>
      <c r="X140">
        <f>HYPERLINK("https://klasma.github.io/Logging_2380/tillsyn/A 56648-2025 tillsynsbegäran.docx", "A 56648-2025")</f>
        <v/>
      </c>
      <c r="Y140">
        <f>HYPERLINK("https://klasma.github.io/Logging_2380/tillsynsmail/A 56648-2025 tillsynsbegäran mail.docx", "A 56648-2025")</f>
        <v/>
      </c>
    </row>
    <row r="141" ht="15" customHeight="1">
      <c r="A141" t="inlineStr">
        <is>
          <t>A 46163-2021</t>
        </is>
      </c>
      <c r="B141" s="1" t="n">
        <v>44441</v>
      </c>
      <c r="C141" s="1" t="n">
        <v>45984</v>
      </c>
      <c r="D141" t="inlineStr">
        <is>
          <t>JÄMTLANDS LÄN</t>
        </is>
      </c>
      <c r="E141" t="inlineStr">
        <is>
          <t>ÖSTERSUND</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46163-2021 artfynd.xlsx", "A 46163-2021")</f>
        <v/>
      </c>
      <c r="T141">
        <f>HYPERLINK("https://klasma.github.io/Logging_2380/kartor/A 46163-2021 karta.png", "A 46163-2021")</f>
        <v/>
      </c>
      <c r="V141">
        <f>HYPERLINK("https://klasma.github.io/Logging_2380/klagomål/A 46163-2021 FSC-klagomål.docx", "A 46163-2021")</f>
        <v/>
      </c>
      <c r="W141">
        <f>HYPERLINK("https://klasma.github.io/Logging_2380/klagomålsmail/A 46163-2021 FSC-klagomål mail.docx", "A 46163-2021")</f>
        <v/>
      </c>
      <c r="X141">
        <f>HYPERLINK("https://klasma.github.io/Logging_2380/tillsyn/A 46163-2021 tillsynsbegäran.docx", "A 46163-2021")</f>
        <v/>
      </c>
      <c r="Y141">
        <f>HYPERLINK("https://klasma.github.io/Logging_2380/tillsynsmail/A 46163-2021 tillsynsbegäran mail.docx", "A 46163-2021")</f>
        <v/>
      </c>
      <c r="Z141">
        <f>HYPERLINK("https://klasma.github.io/Logging_2380/fåglar/A 46163-2021 prioriterade fågelarter.docx", "A 46163-2021")</f>
        <v/>
      </c>
    </row>
    <row r="142" ht="15" customHeight="1">
      <c r="A142" t="inlineStr">
        <is>
          <t>A 64380-2023</t>
        </is>
      </c>
      <c r="B142" s="1" t="n">
        <v>45280.56451388889</v>
      </c>
      <c r="C142" s="1" t="n">
        <v>45984</v>
      </c>
      <c r="D142" t="inlineStr">
        <is>
          <t>JÄMTLANDS LÄN</t>
        </is>
      </c>
      <c r="E142" t="inlineStr">
        <is>
          <t>ÖSTERSUND</t>
        </is>
      </c>
      <c r="G142" t="n">
        <v>12.4</v>
      </c>
      <c r="H142" t="n">
        <v>0</v>
      </c>
      <c r="I142" t="n">
        <v>0</v>
      </c>
      <c r="J142" t="n">
        <v>1</v>
      </c>
      <c r="K142" t="n">
        <v>0</v>
      </c>
      <c r="L142" t="n">
        <v>0</v>
      </c>
      <c r="M142" t="n">
        <v>0</v>
      </c>
      <c r="N142" t="n">
        <v>0</v>
      </c>
      <c r="O142" t="n">
        <v>1</v>
      </c>
      <c r="P142" t="n">
        <v>0</v>
      </c>
      <c r="Q142" t="n">
        <v>1</v>
      </c>
      <c r="R142" s="2" t="inlineStr">
        <is>
          <t>Luddfingersvamp</t>
        </is>
      </c>
      <c r="S142">
        <f>HYPERLINK("https://klasma.github.io/Logging_2380/artfynd/A 64380-2023 artfynd.xlsx", "A 64380-2023")</f>
        <v/>
      </c>
      <c r="T142">
        <f>HYPERLINK("https://klasma.github.io/Logging_2380/kartor/A 64380-2023 karta.png", "A 64380-2023")</f>
        <v/>
      </c>
      <c r="V142">
        <f>HYPERLINK("https://klasma.github.io/Logging_2380/klagomål/A 64380-2023 FSC-klagomål.docx", "A 64380-2023")</f>
        <v/>
      </c>
      <c r="W142">
        <f>HYPERLINK("https://klasma.github.io/Logging_2380/klagomålsmail/A 64380-2023 FSC-klagomål mail.docx", "A 64380-2023")</f>
        <v/>
      </c>
      <c r="X142">
        <f>HYPERLINK("https://klasma.github.io/Logging_2380/tillsyn/A 64380-2023 tillsynsbegäran.docx", "A 64380-2023")</f>
        <v/>
      </c>
      <c r="Y142">
        <f>HYPERLINK("https://klasma.github.io/Logging_2380/tillsynsmail/A 64380-2023 tillsynsbegäran mail.docx", "A 64380-2023")</f>
        <v/>
      </c>
    </row>
    <row r="143" ht="15" customHeight="1">
      <c r="A143" t="inlineStr">
        <is>
          <t>A 40696-2024</t>
        </is>
      </c>
      <c r="B143" s="1" t="n">
        <v>45558</v>
      </c>
      <c r="C143" s="1" t="n">
        <v>45984</v>
      </c>
      <c r="D143" t="inlineStr">
        <is>
          <t>JÄMTLANDS LÄN</t>
        </is>
      </c>
      <c r="E143" t="inlineStr">
        <is>
          <t>ÖSTERSUND</t>
        </is>
      </c>
      <c r="F143" t="inlineStr">
        <is>
          <t>SCA</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HYPERLINK("https://klasma.github.io/Logging_2380/artfynd/A 40696-2024 artfynd.xlsx", "A 40696-2024")</f>
        <v/>
      </c>
      <c r="T143">
        <f>HYPERLINK("https://klasma.github.io/Logging_2380/kartor/A 40696-2024 karta.png", "A 40696-2024")</f>
        <v/>
      </c>
      <c r="V143">
        <f>HYPERLINK("https://klasma.github.io/Logging_2380/klagomål/A 40696-2024 FSC-klagomål.docx", "A 40696-2024")</f>
        <v/>
      </c>
      <c r="W143">
        <f>HYPERLINK("https://klasma.github.io/Logging_2380/klagomålsmail/A 40696-2024 FSC-klagomål mail.docx", "A 40696-2024")</f>
        <v/>
      </c>
      <c r="X143">
        <f>HYPERLINK("https://klasma.github.io/Logging_2380/tillsyn/A 40696-2024 tillsynsbegäran.docx", "A 40696-2024")</f>
        <v/>
      </c>
      <c r="Y143">
        <f>HYPERLINK("https://klasma.github.io/Logging_2380/tillsynsmail/A 40696-2024 tillsynsbegäran mail.docx", "A 40696-2024")</f>
        <v/>
      </c>
    </row>
    <row r="144" ht="15" customHeight="1">
      <c r="A144" t="inlineStr">
        <is>
          <t>A 59433-2021</t>
        </is>
      </c>
      <c r="B144" s="1" t="n">
        <v>44491</v>
      </c>
      <c r="C144" s="1" t="n">
        <v>45984</v>
      </c>
      <c r="D144" t="inlineStr">
        <is>
          <t>JÄMTLANDS LÄN</t>
        </is>
      </c>
      <c r="E144" t="inlineStr">
        <is>
          <t>ÖSTERSUND</t>
        </is>
      </c>
      <c r="F144" t="inlineStr">
        <is>
          <t>Övriga statliga verk och myndigheter</t>
        </is>
      </c>
      <c r="G144" t="n">
        <v>1.6</v>
      </c>
      <c r="H144" t="n">
        <v>0</v>
      </c>
      <c r="I144" t="n">
        <v>0</v>
      </c>
      <c r="J144" t="n">
        <v>1</v>
      </c>
      <c r="K144" t="n">
        <v>0</v>
      </c>
      <c r="L144" t="n">
        <v>0</v>
      </c>
      <c r="M144" t="n">
        <v>0</v>
      </c>
      <c r="N144" t="n">
        <v>0</v>
      </c>
      <c r="O144" t="n">
        <v>1</v>
      </c>
      <c r="P144" t="n">
        <v>0</v>
      </c>
      <c r="Q144" t="n">
        <v>1</v>
      </c>
      <c r="R144" s="2" t="inlineStr">
        <is>
          <t>Brunpudrad nållav</t>
        </is>
      </c>
      <c r="S144">
        <f>HYPERLINK("https://klasma.github.io/Logging_2380/artfynd/A 59433-2021 artfynd.xlsx", "A 59433-2021")</f>
        <v/>
      </c>
      <c r="T144">
        <f>HYPERLINK("https://klasma.github.io/Logging_2380/kartor/A 59433-2021 karta.png", "A 59433-2021")</f>
        <v/>
      </c>
      <c r="V144">
        <f>HYPERLINK("https://klasma.github.io/Logging_2380/klagomål/A 59433-2021 FSC-klagomål.docx", "A 59433-2021")</f>
        <v/>
      </c>
      <c r="W144">
        <f>HYPERLINK("https://klasma.github.io/Logging_2380/klagomålsmail/A 59433-2021 FSC-klagomål mail.docx", "A 59433-2021")</f>
        <v/>
      </c>
      <c r="X144">
        <f>HYPERLINK("https://klasma.github.io/Logging_2380/tillsyn/A 59433-2021 tillsynsbegäran.docx", "A 59433-2021")</f>
        <v/>
      </c>
      <c r="Y144">
        <f>HYPERLINK("https://klasma.github.io/Logging_2380/tillsynsmail/A 59433-2021 tillsynsbegäran mail.docx", "A 59433-2021")</f>
        <v/>
      </c>
    </row>
    <row r="145" ht="15" customHeight="1">
      <c r="A145" t="inlineStr">
        <is>
          <t>A 55821-2021</t>
        </is>
      </c>
      <c r="B145" s="1" t="n">
        <v>44476</v>
      </c>
      <c r="C145" s="1" t="n">
        <v>45984</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54354-2024</t>
        </is>
      </c>
      <c r="B146" s="1" t="n">
        <v>45617.40244212963</v>
      </c>
      <c r="C146" s="1" t="n">
        <v>45984</v>
      </c>
      <c r="D146" t="inlineStr">
        <is>
          <t>JÄMTLANDS LÄN</t>
        </is>
      </c>
      <c r="E146" t="inlineStr">
        <is>
          <t>ÖSTERSUND</t>
        </is>
      </c>
      <c r="G146" t="n">
        <v>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54354-2024 artfynd.xlsx", "A 54354-2024")</f>
        <v/>
      </c>
      <c r="T146">
        <f>HYPERLINK("https://klasma.github.io/Logging_2380/kartor/A 54354-2024 karta.png", "A 54354-2024")</f>
        <v/>
      </c>
      <c r="V146">
        <f>HYPERLINK("https://klasma.github.io/Logging_2380/klagomål/A 54354-2024 FSC-klagomål.docx", "A 54354-2024")</f>
        <v/>
      </c>
      <c r="W146">
        <f>HYPERLINK("https://klasma.github.io/Logging_2380/klagomålsmail/A 54354-2024 FSC-klagomål mail.docx", "A 54354-2024")</f>
        <v/>
      </c>
      <c r="X146">
        <f>HYPERLINK("https://klasma.github.io/Logging_2380/tillsyn/A 54354-2024 tillsynsbegäran.docx", "A 54354-2024")</f>
        <v/>
      </c>
      <c r="Y146">
        <f>HYPERLINK("https://klasma.github.io/Logging_2380/tillsynsmail/A 54354-2024 tillsynsbegäran mail.docx", "A 54354-2024")</f>
        <v/>
      </c>
      <c r="Z146">
        <f>HYPERLINK("https://klasma.github.io/Logging_2380/fåglar/A 54354-2024 prioriterade fågelarter.docx", "A 54354-2024")</f>
        <v/>
      </c>
    </row>
    <row r="147" ht="15" customHeight="1">
      <c r="A147" t="inlineStr">
        <is>
          <t>A 44049-2024</t>
        </is>
      </c>
      <c r="B147" s="1" t="n">
        <v>45572.59462962963</v>
      </c>
      <c r="C147" s="1" t="n">
        <v>45984</v>
      </c>
      <c r="D147" t="inlineStr">
        <is>
          <t>JÄMTLANDS LÄN</t>
        </is>
      </c>
      <c r="E147" t="inlineStr">
        <is>
          <t>ÖSTERSUND</t>
        </is>
      </c>
      <c r="F147" t="inlineStr">
        <is>
          <t>SCA</t>
        </is>
      </c>
      <c r="G147" t="n">
        <v>4.5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44049-2024 artfynd.xlsx", "A 44049-2024")</f>
        <v/>
      </c>
      <c r="T147">
        <f>HYPERLINK("https://klasma.github.io/Logging_2380/kartor/A 44049-2024 karta.png", "A 44049-2024")</f>
        <v/>
      </c>
      <c r="V147">
        <f>HYPERLINK("https://klasma.github.io/Logging_2380/klagomål/A 44049-2024 FSC-klagomål.docx", "A 44049-2024")</f>
        <v/>
      </c>
      <c r="W147">
        <f>HYPERLINK("https://klasma.github.io/Logging_2380/klagomålsmail/A 44049-2024 FSC-klagomål mail.docx", "A 44049-2024")</f>
        <v/>
      </c>
      <c r="X147">
        <f>HYPERLINK("https://klasma.github.io/Logging_2380/tillsyn/A 44049-2024 tillsynsbegäran.docx", "A 44049-2024")</f>
        <v/>
      </c>
      <c r="Y147">
        <f>HYPERLINK("https://klasma.github.io/Logging_2380/tillsynsmail/A 44049-2024 tillsynsbegäran mail.docx", "A 44049-2024")</f>
        <v/>
      </c>
    </row>
    <row r="148" ht="15" customHeight="1">
      <c r="A148" t="inlineStr">
        <is>
          <t>A 11513-2024</t>
        </is>
      </c>
      <c r="B148" s="1" t="n">
        <v>45372</v>
      </c>
      <c r="C148" s="1" t="n">
        <v>45984</v>
      </c>
      <c r="D148" t="inlineStr">
        <is>
          <t>JÄMTLANDS LÄN</t>
        </is>
      </c>
      <c r="E148" t="inlineStr">
        <is>
          <t>ÖSTERSUND</t>
        </is>
      </c>
      <c r="G148" t="n">
        <v>21.2</v>
      </c>
      <c r="H148" t="n">
        <v>0</v>
      </c>
      <c r="I148" t="n">
        <v>1</v>
      </c>
      <c r="J148" t="n">
        <v>0</v>
      </c>
      <c r="K148" t="n">
        <v>0</v>
      </c>
      <c r="L148" t="n">
        <v>0</v>
      </c>
      <c r="M148" t="n">
        <v>0</v>
      </c>
      <c r="N148" t="n">
        <v>0</v>
      </c>
      <c r="O148" t="n">
        <v>0</v>
      </c>
      <c r="P148" t="n">
        <v>0</v>
      </c>
      <c r="Q148" t="n">
        <v>1</v>
      </c>
      <c r="R148" s="2" t="inlineStr">
        <is>
          <t>Tibast</t>
        </is>
      </c>
      <c r="S148">
        <f>HYPERLINK("https://klasma.github.io/Logging_2380/artfynd/A 11513-2024 artfynd.xlsx", "A 11513-2024")</f>
        <v/>
      </c>
      <c r="T148">
        <f>HYPERLINK("https://klasma.github.io/Logging_2380/kartor/A 11513-2024 karta.png", "A 11513-2024")</f>
        <v/>
      </c>
      <c r="V148">
        <f>HYPERLINK("https://klasma.github.io/Logging_2380/klagomål/A 11513-2024 FSC-klagomål.docx", "A 11513-2024")</f>
        <v/>
      </c>
      <c r="W148">
        <f>HYPERLINK("https://klasma.github.io/Logging_2380/klagomålsmail/A 11513-2024 FSC-klagomål mail.docx", "A 11513-2024")</f>
        <v/>
      </c>
      <c r="X148">
        <f>HYPERLINK("https://klasma.github.io/Logging_2380/tillsyn/A 11513-2024 tillsynsbegäran.docx", "A 11513-2024")</f>
        <v/>
      </c>
      <c r="Y148">
        <f>HYPERLINK("https://klasma.github.io/Logging_2380/tillsynsmail/A 11513-2024 tillsynsbegäran mail.docx", "A 11513-2024")</f>
        <v/>
      </c>
    </row>
    <row r="149" ht="15" customHeight="1">
      <c r="A149" t="inlineStr">
        <is>
          <t>A 41770-2024</t>
        </is>
      </c>
      <c r="B149" s="1" t="n">
        <v>45561.34641203703</v>
      </c>
      <c r="C149" s="1" t="n">
        <v>45984</v>
      </c>
      <c r="D149" t="inlineStr">
        <is>
          <t>JÄMTLANDS LÄN</t>
        </is>
      </c>
      <c r="E149" t="inlineStr">
        <is>
          <t>ÖSTERSUND</t>
        </is>
      </c>
      <c r="F149" t="inlineStr">
        <is>
          <t>SCA</t>
        </is>
      </c>
      <c r="G149" t="n">
        <v>4.4</v>
      </c>
      <c r="H149" t="n">
        <v>0</v>
      </c>
      <c r="I149" t="n">
        <v>1</v>
      </c>
      <c r="J149" t="n">
        <v>0</v>
      </c>
      <c r="K149" t="n">
        <v>0</v>
      </c>
      <c r="L149" t="n">
        <v>0</v>
      </c>
      <c r="M149" t="n">
        <v>0</v>
      </c>
      <c r="N149" t="n">
        <v>0</v>
      </c>
      <c r="O149" t="n">
        <v>0</v>
      </c>
      <c r="P149" t="n">
        <v>0</v>
      </c>
      <c r="Q149" t="n">
        <v>1</v>
      </c>
      <c r="R149" s="2" t="inlineStr">
        <is>
          <t>Vedticka</t>
        </is>
      </c>
      <c r="S149">
        <f>HYPERLINK("https://klasma.github.io/Logging_2380/artfynd/A 41770-2024 artfynd.xlsx", "A 41770-2024")</f>
        <v/>
      </c>
      <c r="T149">
        <f>HYPERLINK("https://klasma.github.io/Logging_2380/kartor/A 41770-2024 karta.png", "A 41770-2024")</f>
        <v/>
      </c>
      <c r="V149">
        <f>HYPERLINK("https://klasma.github.io/Logging_2380/klagomål/A 41770-2024 FSC-klagomål.docx", "A 41770-2024")</f>
        <v/>
      </c>
      <c r="W149">
        <f>HYPERLINK("https://klasma.github.io/Logging_2380/klagomålsmail/A 41770-2024 FSC-klagomål mail.docx", "A 41770-2024")</f>
        <v/>
      </c>
      <c r="X149">
        <f>HYPERLINK("https://klasma.github.io/Logging_2380/tillsyn/A 41770-2024 tillsynsbegäran.docx", "A 41770-2024")</f>
        <v/>
      </c>
      <c r="Y149">
        <f>HYPERLINK("https://klasma.github.io/Logging_2380/tillsynsmail/A 41770-2024 tillsynsbegäran mail.docx", "A 41770-2024")</f>
        <v/>
      </c>
    </row>
    <row r="150" ht="15" customHeight="1">
      <c r="A150" t="inlineStr">
        <is>
          <t>A 33267-2022</t>
        </is>
      </c>
      <c r="B150" s="1" t="n">
        <v>44785</v>
      </c>
      <c r="C150" s="1" t="n">
        <v>45984</v>
      </c>
      <c r="D150" t="inlineStr">
        <is>
          <t>JÄMTLANDS LÄN</t>
        </is>
      </c>
      <c r="E150" t="inlineStr">
        <is>
          <t>ÖSTERSUND</t>
        </is>
      </c>
      <c r="G150" t="n">
        <v>0.9</v>
      </c>
      <c r="H150" t="n">
        <v>1</v>
      </c>
      <c r="I150" t="n">
        <v>0</v>
      </c>
      <c r="J150" t="n">
        <v>1</v>
      </c>
      <c r="K150" t="n">
        <v>0</v>
      </c>
      <c r="L150" t="n">
        <v>0</v>
      </c>
      <c r="M150" t="n">
        <v>0</v>
      </c>
      <c r="N150" t="n">
        <v>0</v>
      </c>
      <c r="O150" t="n">
        <v>1</v>
      </c>
      <c r="P150" t="n">
        <v>0</v>
      </c>
      <c r="Q150" t="n">
        <v>1</v>
      </c>
      <c r="R150" s="2" t="inlineStr">
        <is>
          <t>Talltita</t>
        </is>
      </c>
      <c r="S150">
        <f>HYPERLINK("https://klasma.github.io/Logging_2380/artfynd/A 33267-2022 artfynd.xlsx", "A 33267-2022")</f>
        <v/>
      </c>
      <c r="T150">
        <f>HYPERLINK("https://klasma.github.io/Logging_2380/kartor/A 33267-2022 karta.png", "A 33267-2022")</f>
        <v/>
      </c>
      <c r="V150">
        <f>HYPERLINK("https://klasma.github.io/Logging_2380/klagomål/A 33267-2022 FSC-klagomål.docx", "A 33267-2022")</f>
        <v/>
      </c>
      <c r="W150">
        <f>HYPERLINK("https://klasma.github.io/Logging_2380/klagomålsmail/A 33267-2022 FSC-klagomål mail.docx", "A 33267-2022")</f>
        <v/>
      </c>
      <c r="X150">
        <f>HYPERLINK("https://klasma.github.io/Logging_2380/tillsyn/A 33267-2022 tillsynsbegäran.docx", "A 33267-2022")</f>
        <v/>
      </c>
      <c r="Y150">
        <f>HYPERLINK("https://klasma.github.io/Logging_2380/tillsynsmail/A 33267-2022 tillsynsbegäran mail.docx", "A 33267-2022")</f>
        <v/>
      </c>
      <c r="Z150">
        <f>HYPERLINK("https://klasma.github.io/Logging_2380/fåglar/A 33267-2022 prioriterade fågelarter.docx", "A 33267-2022")</f>
        <v/>
      </c>
    </row>
    <row r="151" ht="15" customHeight="1">
      <c r="A151" t="inlineStr">
        <is>
          <t>A 55-2023</t>
        </is>
      </c>
      <c r="B151" s="1" t="n">
        <v>44928</v>
      </c>
      <c r="C151" s="1" t="n">
        <v>45984</v>
      </c>
      <c r="D151" t="inlineStr">
        <is>
          <t>JÄMTLANDS LÄN</t>
        </is>
      </c>
      <c r="E151" t="inlineStr">
        <is>
          <t>ÖSTERSUND</t>
        </is>
      </c>
      <c r="G151" t="n">
        <v>4</v>
      </c>
      <c r="H151" t="n">
        <v>1</v>
      </c>
      <c r="I151" t="n">
        <v>0</v>
      </c>
      <c r="J151" t="n">
        <v>0</v>
      </c>
      <c r="K151" t="n">
        <v>1</v>
      </c>
      <c r="L151" t="n">
        <v>0</v>
      </c>
      <c r="M151" t="n">
        <v>0</v>
      </c>
      <c r="N151" t="n">
        <v>0</v>
      </c>
      <c r="O151" t="n">
        <v>1</v>
      </c>
      <c r="P151" t="n">
        <v>1</v>
      </c>
      <c r="Q151" t="n">
        <v>1</v>
      </c>
      <c r="R151" s="2" t="inlineStr">
        <is>
          <t>Knärot</t>
        </is>
      </c>
      <c r="S151">
        <f>HYPERLINK("https://klasma.github.io/Logging_2380/artfynd/A 55-2023 artfynd.xlsx", "A 55-2023")</f>
        <v/>
      </c>
      <c r="T151">
        <f>HYPERLINK("https://klasma.github.io/Logging_2380/kartor/A 55-2023 karta.png", "A 55-2023")</f>
        <v/>
      </c>
      <c r="U151">
        <f>HYPERLINK("https://klasma.github.io/Logging_2380/knärot/A 55-2023 karta knärot.png", "A 55-2023")</f>
        <v/>
      </c>
      <c r="V151">
        <f>HYPERLINK("https://klasma.github.io/Logging_2380/klagomål/A 55-2023 FSC-klagomål.docx", "A 55-2023")</f>
        <v/>
      </c>
      <c r="W151">
        <f>HYPERLINK("https://klasma.github.io/Logging_2380/klagomålsmail/A 55-2023 FSC-klagomål mail.docx", "A 55-2023")</f>
        <v/>
      </c>
      <c r="X151">
        <f>HYPERLINK("https://klasma.github.io/Logging_2380/tillsyn/A 55-2023 tillsynsbegäran.docx", "A 55-2023")</f>
        <v/>
      </c>
      <c r="Y151">
        <f>HYPERLINK("https://klasma.github.io/Logging_2380/tillsynsmail/A 55-2023 tillsynsbegäran mail.docx", "A 55-2023")</f>
        <v/>
      </c>
    </row>
    <row r="152" ht="15" customHeight="1">
      <c r="A152" t="inlineStr">
        <is>
          <t>A 17217-2021</t>
        </is>
      </c>
      <c r="B152" s="1" t="n">
        <v>44298</v>
      </c>
      <c r="C152" s="1" t="n">
        <v>45984</v>
      </c>
      <c r="D152" t="inlineStr">
        <is>
          <t>JÄMTLANDS LÄN</t>
        </is>
      </c>
      <c r="E152" t="inlineStr">
        <is>
          <t>ÖSTERSUND</t>
        </is>
      </c>
      <c r="G152" t="n">
        <v>10.4</v>
      </c>
      <c r="H152" t="n">
        <v>0</v>
      </c>
      <c r="I152" t="n">
        <v>0</v>
      </c>
      <c r="J152" t="n">
        <v>1</v>
      </c>
      <c r="K152" t="n">
        <v>0</v>
      </c>
      <c r="L152" t="n">
        <v>0</v>
      </c>
      <c r="M152" t="n">
        <v>0</v>
      </c>
      <c r="N152" t="n">
        <v>0</v>
      </c>
      <c r="O152" t="n">
        <v>1</v>
      </c>
      <c r="P152" t="n">
        <v>0</v>
      </c>
      <c r="Q152" t="n">
        <v>1</v>
      </c>
      <c r="R152" s="2" t="inlineStr">
        <is>
          <t>Rödbrun klubbdyna</t>
        </is>
      </c>
      <c r="S152">
        <f>HYPERLINK("https://klasma.github.io/Logging_2380/artfynd/A 17217-2021 artfynd.xlsx", "A 17217-2021")</f>
        <v/>
      </c>
      <c r="T152">
        <f>HYPERLINK("https://klasma.github.io/Logging_2380/kartor/A 17217-2021 karta.png", "A 17217-2021")</f>
        <v/>
      </c>
      <c r="V152">
        <f>HYPERLINK("https://klasma.github.io/Logging_2380/klagomål/A 17217-2021 FSC-klagomål.docx", "A 17217-2021")</f>
        <v/>
      </c>
      <c r="W152">
        <f>HYPERLINK("https://klasma.github.io/Logging_2380/klagomålsmail/A 17217-2021 FSC-klagomål mail.docx", "A 17217-2021")</f>
        <v/>
      </c>
      <c r="X152">
        <f>HYPERLINK("https://klasma.github.io/Logging_2380/tillsyn/A 17217-2021 tillsynsbegäran.docx", "A 17217-2021")</f>
        <v/>
      </c>
      <c r="Y152">
        <f>HYPERLINK("https://klasma.github.io/Logging_2380/tillsynsmail/A 17217-2021 tillsynsbegäran mail.docx", "A 17217-2021")</f>
        <v/>
      </c>
    </row>
    <row r="153" ht="15" customHeight="1">
      <c r="A153" t="inlineStr">
        <is>
          <t>A 20620-2021</t>
        </is>
      </c>
      <c r="B153" s="1" t="n">
        <v>44316</v>
      </c>
      <c r="C153" s="1" t="n">
        <v>45984</v>
      </c>
      <c r="D153" t="inlineStr">
        <is>
          <t>JÄMTLANDS LÄN</t>
        </is>
      </c>
      <c r="E153" t="inlineStr">
        <is>
          <t>ÖSTERSUND</t>
        </is>
      </c>
      <c r="G153" t="n">
        <v>1.1</v>
      </c>
      <c r="H153" t="n">
        <v>0</v>
      </c>
      <c r="I153" t="n">
        <v>0</v>
      </c>
      <c r="J153" t="n">
        <v>0</v>
      </c>
      <c r="K153" t="n">
        <v>0</v>
      </c>
      <c r="L153" t="n">
        <v>0</v>
      </c>
      <c r="M153" t="n">
        <v>0</v>
      </c>
      <c r="N153" t="n">
        <v>0</v>
      </c>
      <c r="O153" t="n">
        <v>0</v>
      </c>
      <c r="P153" t="n">
        <v>0</v>
      </c>
      <c r="Q153" t="n">
        <v>0</v>
      </c>
      <c r="R153" s="2" t="inlineStr"/>
    </row>
    <row r="154" ht="15" customHeight="1">
      <c r="A154" t="inlineStr">
        <is>
          <t>A 66288-2020</t>
        </is>
      </c>
      <c r="B154" s="1" t="n">
        <v>44174</v>
      </c>
      <c r="C154" s="1" t="n">
        <v>45984</v>
      </c>
      <c r="D154" t="inlineStr">
        <is>
          <t>JÄMTLANDS LÄN</t>
        </is>
      </c>
      <c r="E154" t="inlineStr">
        <is>
          <t>ÖSTERSUND</t>
        </is>
      </c>
      <c r="F154" t="inlineStr">
        <is>
          <t>Övriga statliga verk och myndigheter</t>
        </is>
      </c>
      <c r="G154" t="n">
        <v>1.2</v>
      </c>
      <c r="H154" t="n">
        <v>0</v>
      </c>
      <c r="I154" t="n">
        <v>0</v>
      </c>
      <c r="J154" t="n">
        <v>0</v>
      </c>
      <c r="K154" t="n">
        <v>0</v>
      </c>
      <c r="L154" t="n">
        <v>0</v>
      </c>
      <c r="M154" t="n">
        <v>0</v>
      </c>
      <c r="N154" t="n">
        <v>0</v>
      </c>
      <c r="O154" t="n">
        <v>0</v>
      </c>
      <c r="P154" t="n">
        <v>0</v>
      </c>
      <c r="Q154" t="n">
        <v>0</v>
      </c>
      <c r="R154" s="2" t="inlineStr"/>
    </row>
    <row r="155" ht="15" customHeight="1">
      <c r="A155" t="inlineStr">
        <is>
          <t>A 43310-2021</t>
        </is>
      </c>
      <c r="B155" s="1" t="n">
        <v>44432</v>
      </c>
      <c r="C155" s="1" t="n">
        <v>45984</v>
      </c>
      <c r="D155" t="inlineStr">
        <is>
          <t>JÄMTLANDS LÄN</t>
        </is>
      </c>
      <c r="E155" t="inlineStr">
        <is>
          <t>ÖSTERSUND</t>
        </is>
      </c>
      <c r="F155" t="inlineStr">
        <is>
          <t>Sveaskog</t>
        </is>
      </c>
      <c r="G155" t="n">
        <v>2.1</v>
      </c>
      <c r="H155" t="n">
        <v>0</v>
      </c>
      <c r="I155" t="n">
        <v>0</v>
      </c>
      <c r="J155" t="n">
        <v>0</v>
      </c>
      <c r="K155" t="n">
        <v>0</v>
      </c>
      <c r="L155" t="n">
        <v>0</v>
      </c>
      <c r="M155" t="n">
        <v>0</v>
      </c>
      <c r="N155" t="n">
        <v>0</v>
      </c>
      <c r="O155" t="n">
        <v>0</v>
      </c>
      <c r="P155" t="n">
        <v>0</v>
      </c>
      <c r="Q155" t="n">
        <v>0</v>
      </c>
      <c r="R155" s="2" t="inlineStr"/>
    </row>
    <row r="156" ht="15" customHeight="1">
      <c r="A156" t="inlineStr">
        <is>
          <t>A 501-2021</t>
        </is>
      </c>
      <c r="B156" s="1" t="n">
        <v>44200</v>
      </c>
      <c r="C156" s="1" t="n">
        <v>45984</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23187-2021</t>
        </is>
      </c>
      <c r="B157" s="1" t="n">
        <v>44328</v>
      </c>
      <c r="C157" s="1" t="n">
        <v>45984</v>
      </c>
      <c r="D157" t="inlineStr">
        <is>
          <t>JÄMTLANDS LÄN</t>
        </is>
      </c>
      <c r="E157" t="inlineStr">
        <is>
          <t>ÖSTERSUND</t>
        </is>
      </c>
      <c r="G157" t="n">
        <v>1.8</v>
      </c>
      <c r="H157" t="n">
        <v>0</v>
      </c>
      <c r="I157" t="n">
        <v>0</v>
      </c>
      <c r="J157" t="n">
        <v>0</v>
      </c>
      <c r="K157" t="n">
        <v>0</v>
      </c>
      <c r="L157" t="n">
        <v>0</v>
      </c>
      <c r="M157" t="n">
        <v>0</v>
      </c>
      <c r="N157" t="n">
        <v>0</v>
      </c>
      <c r="O157" t="n">
        <v>0</v>
      </c>
      <c r="P157" t="n">
        <v>0</v>
      </c>
      <c r="Q157" t="n">
        <v>0</v>
      </c>
      <c r="R157" s="2" t="inlineStr"/>
    </row>
    <row r="158" ht="15" customHeight="1">
      <c r="A158" t="inlineStr">
        <is>
          <t>A 53453-2022</t>
        </is>
      </c>
      <c r="B158" s="1" t="n">
        <v>44879.49488425926</v>
      </c>
      <c r="C158" s="1" t="n">
        <v>45984</v>
      </c>
      <c r="D158" t="inlineStr">
        <is>
          <t>JÄMTLANDS LÄN</t>
        </is>
      </c>
      <c r="E158" t="inlineStr">
        <is>
          <t>ÖSTERSUND</t>
        </is>
      </c>
      <c r="G158" t="n">
        <v>22.2</v>
      </c>
      <c r="H158" t="n">
        <v>0</v>
      </c>
      <c r="I158" t="n">
        <v>0</v>
      </c>
      <c r="J158" t="n">
        <v>0</v>
      </c>
      <c r="K158" t="n">
        <v>0</v>
      </c>
      <c r="L158" t="n">
        <v>0</v>
      </c>
      <c r="M158" t="n">
        <v>0</v>
      </c>
      <c r="N158" t="n">
        <v>0</v>
      </c>
      <c r="O158" t="n">
        <v>0</v>
      </c>
      <c r="P158" t="n">
        <v>0</v>
      </c>
      <c r="Q158" t="n">
        <v>0</v>
      </c>
      <c r="R158" s="2" t="inlineStr"/>
    </row>
    <row r="159" ht="15" customHeight="1">
      <c r="A159" t="inlineStr">
        <is>
          <t>A 8396-2021</t>
        </is>
      </c>
      <c r="B159" s="1" t="n">
        <v>44238</v>
      </c>
      <c r="C159" s="1" t="n">
        <v>45984</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64092-2021</t>
        </is>
      </c>
      <c r="B160" s="1" t="n">
        <v>44510.44064814815</v>
      </c>
      <c r="C160" s="1" t="n">
        <v>45984</v>
      </c>
      <c r="D160" t="inlineStr">
        <is>
          <t>JÄMTLANDS LÄN</t>
        </is>
      </c>
      <c r="E160" t="inlineStr">
        <is>
          <t>ÖSTERSUND</t>
        </is>
      </c>
      <c r="G160" t="n">
        <v>5.6</v>
      </c>
      <c r="H160" t="n">
        <v>0</v>
      </c>
      <c r="I160" t="n">
        <v>0</v>
      </c>
      <c r="J160" t="n">
        <v>0</v>
      </c>
      <c r="K160" t="n">
        <v>0</v>
      </c>
      <c r="L160" t="n">
        <v>0</v>
      </c>
      <c r="M160" t="n">
        <v>0</v>
      </c>
      <c r="N160" t="n">
        <v>0</v>
      </c>
      <c r="O160" t="n">
        <v>0</v>
      </c>
      <c r="P160" t="n">
        <v>0</v>
      </c>
      <c r="Q160" t="n">
        <v>0</v>
      </c>
      <c r="R160" s="2" t="inlineStr"/>
    </row>
    <row r="161" ht="15" customHeight="1">
      <c r="A161" t="inlineStr">
        <is>
          <t>A 40038-2021</t>
        </is>
      </c>
      <c r="B161" s="1" t="n">
        <v>44418.45925925926</v>
      </c>
      <c r="C161" s="1" t="n">
        <v>45984</v>
      </c>
      <c r="D161" t="inlineStr">
        <is>
          <t>JÄMTLANDS LÄN</t>
        </is>
      </c>
      <c r="E161" t="inlineStr">
        <is>
          <t>ÖSTERSUND</t>
        </is>
      </c>
      <c r="G161" t="n">
        <v>7</v>
      </c>
      <c r="H161" t="n">
        <v>0</v>
      </c>
      <c r="I161" t="n">
        <v>0</v>
      </c>
      <c r="J161" t="n">
        <v>0</v>
      </c>
      <c r="K161" t="n">
        <v>0</v>
      </c>
      <c r="L161" t="n">
        <v>0</v>
      </c>
      <c r="M161" t="n">
        <v>0</v>
      </c>
      <c r="N161" t="n">
        <v>0</v>
      </c>
      <c r="O161" t="n">
        <v>0</v>
      </c>
      <c r="P161" t="n">
        <v>0</v>
      </c>
      <c r="Q161" t="n">
        <v>0</v>
      </c>
      <c r="R161" s="2" t="inlineStr"/>
    </row>
    <row r="162" ht="15" customHeight="1">
      <c r="A162" t="inlineStr">
        <is>
          <t>A 67695-2021</t>
        </is>
      </c>
      <c r="B162" s="1" t="n">
        <v>44524.94607638889</v>
      </c>
      <c r="C162" s="1" t="n">
        <v>45984</v>
      </c>
      <c r="D162" t="inlineStr">
        <is>
          <t>JÄMTLANDS LÄN</t>
        </is>
      </c>
      <c r="E162" t="inlineStr">
        <is>
          <t>ÖSTERSUND</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29707-2021</t>
        </is>
      </c>
      <c r="B163" s="1" t="n">
        <v>44362</v>
      </c>
      <c r="C163" s="1" t="n">
        <v>45984</v>
      </c>
      <c r="D163" t="inlineStr">
        <is>
          <t>JÄMTLANDS LÄN</t>
        </is>
      </c>
      <c r="E163" t="inlineStr">
        <is>
          <t>ÖSTERSUND</t>
        </is>
      </c>
      <c r="G163" t="n">
        <v>4</v>
      </c>
      <c r="H163" t="n">
        <v>0</v>
      </c>
      <c r="I163" t="n">
        <v>0</v>
      </c>
      <c r="J163" t="n">
        <v>0</v>
      </c>
      <c r="K163" t="n">
        <v>0</v>
      </c>
      <c r="L163" t="n">
        <v>0</v>
      </c>
      <c r="M163" t="n">
        <v>0</v>
      </c>
      <c r="N163" t="n">
        <v>0</v>
      </c>
      <c r="O163" t="n">
        <v>0</v>
      </c>
      <c r="P163" t="n">
        <v>0</v>
      </c>
      <c r="Q163" t="n">
        <v>0</v>
      </c>
      <c r="R163" s="2" t="inlineStr"/>
    </row>
    <row r="164" ht="15" customHeight="1">
      <c r="A164" t="inlineStr">
        <is>
          <t>A 32986-2021</t>
        </is>
      </c>
      <c r="B164" s="1" t="n">
        <v>44375</v>
      </c>
      <c r="C164" s="1" t="n">
        <v>45984</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43951-2022</t>
        </is>
      </c>
      <c r="B165" s="1" t="n">
        <v>44838</v>
      </c>
      <c r="C165" s="1" t="n">
        <v>45984</v>
      </c>
      <c r="D165" t="inlineStr">
        <is>
          <t>JÄMTLANDS LÄN</t>
        </is>
      </c>
      <c r="E165" t="inlineStr">
        <is>
          <t>ÖSTERSUND</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67646-2020</t>
        </is>
      </c>
      <c r="B166" s="1" t="n">
        <v>44180</v>
      </c>
      <c r="C166" s="1" t="n">
        <v>45984</v>
      </c>
      <c r="D166" t="inlineStr">
        <is>
          <t>JÄMTLANDS LÄN</t>
        </is>
      </c>
      <c r="E166" t="inlineStr">
        <is>
          <t>ÖSTERSUND</t>
        </is>
      </c>
      <c r="G166" t="n">
        <v>1.9</v>
      </c>
      <c r="H166" t="n">
        <v>0</v>
      </c>
      <c r="I166" t="n">
        <v>0</v>
      </c>
      <c r="J166" t="n">
        <v>0</v>
      </c>
      <c r="K166" t="n">
        <v>0</v>
      </c>
      <c r="L166" t="n">
        <v>0</v>
      </c>
      <c r="M166" t="n">
        <v>0</v>
      </c>
      <c r="N166" t="n">
        <v>0</v>
      </c>
      <c r="O166" t="n">
        <v>0</v>
      </c>
      <c r="P166" t="n">
        <v>0</v>
      </c>
      <c r="Q166" t="n">
        <v>0</v>
      </c>
      <c r="R166" s="2" t="inlineStr"/>
    </row>
    <row r="167" ht="15" customHeight="1">
      <c r="A167" t="inlineStr">
        <is>
          <t>A 72089-2021</t>
        </is>
      </c>
      <c r="B167" s="1" t="n">
        <v>44540</v>
      </c>
      <c r="C167" s="1" t="n">
        <v>45984</v>
      </c>
      <c r="D167" t="inlineStr">
        <is>
          <t>JÄMTLANDS LÄN</t>
        </is>
      </c>
      <c r="E167" t="inlineStr">
        <is>
          <t>ÖSTERSUND</t>
        </is>
      </c>
      <c r="G167" t="n">
        <v>0.9</v>
      </c>
      <c r="H167" t="n">
        <v>0</v>
      </c>
      <c r="I167" t="n">
        <v>0</v>
      </c>
      <c r="J167" t="n">
        <v>0</v>
      </c>
      <c r="K167" t="n">
        <v>0</v>
      </c>
      <c r="L167" t="n">
        <v>0</v>
      </c>
      <c r="M167" t="n">
        <v>0</v>
      </c>
      <c r="N167" t="n">
        <v>0</v>
      </c>
      <c r="O167" t="n">
        <v>0</v>
      </c>
      <c r="P167" t="n">
        <v>0</v>
      </c>
      <c r="Q167" t="n">
        <v>0</v>
      </c>
      <c r="R167" s="2" t="inlineStr"/>
    </row>
    <row r="168" ht="15" customHeight="1">
      <c r="A168" t="inlineStr">
        <is>
          <t>A 33808-2022</t>
        </is>
      </c>
      <c r="B168" s="1" t="n">
        <v>44790</v>
      </c>
      <c r="C168" s="1" t="n">
        <v>45984</v>
      </c>
      <c r="D168" t="inlineStr">
        <is>
          <t>JÄMTLANDS LÄN</t>
        </is>
      </c>
      <c r="E168" t="inlineStr">
        <is>
          <t>ÖSTERSUND</t>
        </is>
      </c>
      <c r="G168" t="n">
        <v>4.1</v>
      </c>
      <c r="H168" t="n">
        <v>0</v>
      </c>
      <c r="I168" t="n">
        <v>0</v>
      </c>
      <c r="J168" t="n">
        <v>0</v>
      </c>
      <c r="K168" t="n">
        <v>0</v>
      </c>
      <c r="L168" t="n">
        <v>0</v>
      </c>
      <c r="M168" t="n">
        <v>0</v>
      </c>
      <c r="N168" t="n">
        <v>0</v>
      </c>
      <c r="O168" t="n">
        <v>0</v>
      </c>
      <c r="P168" t="n">
        <v>0</v>
      </c>
      <c r="Q168" t="n">
        <v>0</v>
      </c>
      <c r="R168" s="2" t="inlineStr"/>
    </row>
    <row r="169" ht="15" customHeight="1">
      <c r="A169" t="inlineStr">
        <is>
          <t>A 8647-2022</t>
        </is>
      </c>
      <c r="B169" s="1" t="n">
        <v>44613</v>
      </c>
      <c r="C169" s="1" t="n">
        <v>45984</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66286-2020</t>
        </is>
      </c>
      <c r="B170" s="1" t="n">
        <v>44174</v>
      </c>
      <c r="C170" s="1" t="n">
        <v>45984</v>
      </c>
      <c r="D170" t="inlineStr">
        <is>
          <t>JÄMTLANDS LÄN</t>
        </is>
      </c>
      <c r="E170" t="inlineStr">
        <is>
          <t>ÖSTERSUND</t>
        </is>
      </c>
      <c r="F170" t="inlineStr">
        <is>
          <t>Övriga statliga verk och myndigheter</t>
        </is>
      </c>
      <c r="G170" t="n">
        <v>1.1</v>
      </c>
      <c r="H170" t="n">
        <v>0</v>
      </c>
      <c r="I170" t="n">
        <v>0</v>
      </c>
      <c r="J170" t="n">
        <v>0</v>
      </c>
      <c r="K170" t="n">
        <v>0</v>
      </c>
      <c r="L170" t="n">
        <v>0</v>
      </c>
      <c r="M170" t="n">
        <v>0</v>
      </c>
      <c r="N170" t="n">
        <v>0</v>
      </c>
      <c r="O170" t="n">
        <v>0</v>
      </c>
      <c r="P170" t="n">
        <v>0</v>
      </c>
      <c r="Q170" t="n">
        <v>0</v>
      </c>
      <c r="R170" s="2" t="inlineStr"/>
    </row>
    <row r="171" ht="15" customHeight="1">
      <c r="A171" t="inlineStr">
        <is>
          <t>A 126-2021</t>
        </is>
      </c>
      <c r="B171" s="1" t="n">
        <v>44200</v>
      </c>
      <c r="C171" s="1" t="n">
        <v>45984</v>
      </c>
      <c r="D171" t="inlineStr">
        <is>
          <t>JÄMTLANDS LÄN</t>
        </is>
      </c>
      <c r="E171" t="inlineStr">
        <is>
          <t>ÖSTERSUND</t>
        </is>
      </c>
      <c r="G171" t="n">
        <v>1.6</v>
      </c>
      <c r="H171" t="n">
        <v>0</v>
      </c>
      <c r="I171" t="n">
        <v>0</v>
      </c>
      <c r="J171" t="n">
        <v>0</v>
      </c>
      <c r="K171" t="n">
        <v>0</v>
      </c>
      <c r="L171" t="n">
        <v>0</v>
      </c>
      <c r="M171" t="n">
        <v>0</v>
      </c>
      <c r="N171" t="n">
        <v>0</v>
      </c>
      <c r="O171" t="n">
        <v>0</v>
      </c>
      <c r="P171" t="n">
        <v>0</v>
      </c>
      <c r="Q171" t="n">
        <v>0</v>
      </c>
      <c r="R171" s="2" t="inlineStr"/>
    </row>
    <row r="172" ht="15" customHeight="1">
      <c r="A172" t="inlineStr">
        <is>
          <t>A 19541-2021</t>
        </is>
      </c>
      <c r="B172" s="1" t="n">
        <v>44312.41724537037</v>
      </c>
      <c r="C172" s="1" t="n">
        <v>45984</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2880-2022</t>
        </is>
      </c>
      <c r="B173" s="1" t="n">
        <v>44581</v>
      </c>
      <c r="C173" s="1" t="n">
        <v>45984</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10834-2021</t>
        </is>
      </c>
      <c r="B174" s="1" t="n">
        <v>44259</v>
      </c>
      <c r="C174" s="1" t="n">
        <v>45984</v>
      </c>
      <c r="D174" t="inlineStr">
        <is>
          <t>JÄMTLANDS LÄN</t>
        </is>
      </c>
      <c r="E174" t="inlineStr">
        <is>
          <t>ÖSTERSUND</t>
        </is>
      </c>
      <c r="G174" t="n">
        <v>12.2</v>
      </c>
      <c r="H174" t="n">
        <v>0</v>
      </c>
      <c r="I174" t="n">
        <v>0</v>
      </c>
      <c r="J174" t="n">
        <v>0</v>
      </c>
      <c r="K174" t="n">
        <v>0</v>
      </c>
      <c r="L174" t="n">
        <v>0</v>
      </c>
      <c r="M174" t="n">
        <v>0</v>
      </c>
      <c r="N174" t="n">
        <v>0</v>
      </c>
      <c r="O174" t="n">
        <v>0</v>
      </c>
      <c r="P174" t="n">
        <v>0</v>
      </c>
      <c r="Q174" t="n">
        <v>0</v>
      </c>
      <c r="R174" s="2" t="inlineStr"/>
    </row>
    <row r="175" ht="15" customHeight="1">
      <c r="A175" t="inlineStr">
        <is>
          <t>A 47295-2022</t>
        </is>
      </c>
      <c r="B175" s="1" t="n">
        <v>44852</v>
      </c>
      <c r="C175" s="1" t="n">
        <v>45984</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67400-2020</t>
        </is>
      </c>
      <c r="B176" s="1" t="n">
        <v>44181</v>
      </c>
      <c r="C176" s="1" t="n">
        <v>45984</v>
      </c>
      <c r="D176" t="inlineStr">
        <is>
          <t>JÄMTLANDS LÄN</t>
        </is>
      </c>
      <c r="E176" t="inlineStr">
        <is>
          <t>ÖSTERSUND</t>
        </is>
      </c>
      <c r="G176" t="n">
        <v>0.7</v>
      </c>
      <c r="H176" t="n">
        <v>0</v>
      </c>
      <c r="I176" t="n">
        <v>0</v>
      </c>
      <c r="J176" t="n">
        <v>0</v>
      </c>
      <c r="K176" t="n">
        <v>0</v>
      </c>
      <c r="L176" t="n">
        <v>0</v>
      </c>
      <c r="M176" t="n">
        <v>0</v>
      </c>
      <c r="N176" t="n">
        <v>0</v>
      </c>
      <c r="O176" t="n">
        <v>0</v>
      </c>
      <c r="P176" t="n">
        <v>0</v>
      </c>
      <c r="Q176" t="n">
        <v>0</v>
      </c>
      <c r="R176" s="2" t="inlineStr"/>
    </row>
    <row r="177" ht="15" customHeight="1">
      <c r="A177" t="inlineStr">
        <is>
          <t>A 154-2022</t>
        </is>
      </c>
      <c r="B177" s="1" t="n">
        <v>44561</v>
      </c>
      <c r="C177" s="1" t="n">
        <v>45984</v>
      </c>
      <c r="D177" t="inlineStr">
        <is>
          <t>JÄMTLANDS LÄN</t>
        </is>
      </c>
      <c r="E177" t="inlineStr">
        <is>
          <t>ÖSTERSUND</t>
        </is>
      </c>
      <c r="G177" t="n">
        <v>4.2</v>
      </c>
      <c r="H177" t="n">
        <v>0</v>
      </c>
      <c r="I177" t="n">
        <v>0</v>
      </c>
      <c r="J177" t="n">
        <v>0</v>
      </c>
      <c r="K177" t="n">
        <v>0</v>
      </c>
      <c r="L177" t="n">
        <v>0</v>
      </c>
      <c r="M177" t="n">
        <v>0</v>
      </c>
      <c r="N177" t="n">
        <v>0</v>
      </c>
      <c r="O177" t="n">
        <v>0</v>
      </c>
      <c r="P177" t="n">
        <v>0</v>
      </c>
      <c r="Q177" t="n">
        <v>0</v>
      </c>
      <c r="R177" s="2" t="inlineStr"/>
    </row>
    <row r="178" ht="15" customHeight="1">
      <c r="A178" t="inlineStr">
        <is>
          <t>A 14155-2021</t>
        </is>
      </c>
      <c r="B178" s="1" t="n">
        <v>44278.42459490741</v>
      </c>
      <c r="C178" s="1" t="n">
        <v>45984</v>
      </c>
      <c r="D178" t="inlineStr">
        <is>
          <t>JÄMTLANDS LÄN</t>
        </is>
      </c>
      <c r="E178" t="inlineStr">
        <is>
          <t>ÖSTERSUND</t>
        </is>
      </c>
      <c r="G178" t="n">
        <v>2.6</v>
      </c>
      <c r="H178" t="n">
        <v>0</v>
      </c>
      <c r="I178" t="n">
        <v>0</v>
      </c>
      <c r="J178" t="n">
        <v>0</v>
      </c>
      <c r="K178" t="n">
        <v>0</v>
      </c>
      <c r="L178" t="n">
        <v>0</v>
      </c>
      <c r="M178" t="n">
        <v>0</v>
      </c>
      <c r="N178" t="n">
        <v>0</v>
      </c>
      <c r="O178" t="n">
        <v>0</v>
      </c>
      <c r="P178" t="n">
        <v>0</v>
      </c>
      <c r="Q178" t="n">
        <v>0</v>
      </c>
      <c r="R178" s="2" t="inlineStr"/>
    </row>
    <row r="179" ht="15" customHeight="1">
      <c r="A179" t="inlineStr">
        <is>
          <t>A 35032-2021</t>
        </is>
      </c>
      <c r="B179" s="1" t="n">
        <v>44383.85295138889</v>
      </c>
      <c r="C179" s="1" t="n">
        <v>45984</v>
      </c>
      <c r="D179" t="inlineStr">
        <is>
          <t>JÄMTLANDS LÄN</t>
        </is>
      </c>
      <c r="E179" t="inlineStr">
        <is>
          <t>ÖSTERSUND</t>
        </is>
      </c>
      <c r="G179" t="n">
        <v>0.9</v>
      </c>
      <c r="H179" t="n">
        <v>0</v>
      </c>
      <c r="I179" t="n">
        <v>0</v>
      </c>
      <c r="J179" t="n">
        <v>0</v>
      </c>
      <c r="K179" t="n">
        <v>0</v>
      </c>
      <c r="L179" t="n">
        <v>0</v>
      </c>
      <c r="M179" t="n">
        <v>0</v>
      </c>
      <c r="N179" t="n">
        <v>0</v>
      </c>
      <c r="O179" t="n">
        <v>0</v>
      </c>
      <c r="P179" t="n">
        <v>0</v>
      </c>
      <c r="Q179" t="n">
        <v>0</v>
      </c>
      <c r="R179" s="2" t="inlineStr"/>
    </row>
    <row r="180" ht="15" customHeight="1">
      <c r="A180" t="inlineStr">
        <is>
          <t>A 46002-2021</t>
        </is>
      </c>
      <c r="B180" s="1" t="n">
        <v>44441.80453703704</v>
      </c>
      <c r="C180" s="1" t="n">
        <v>45984</v>
      </c>
      <c r="D180" t="inlineStr">
        <is>
          <t>JÄMTLANDS LÄN</t>
        </is>
      </c>
      <c r="E180" t="inlineStr">
        <is>
          <t>ÖSTERSUND</t>
        </is>
      </c>
      <c r="G180" t="n">
        <v>3.6</v>
      </c>
      <c r="H180" t="n">
        <v>0</v>
      </c>
      <c r="I180" t="n">
        <v>0</v>
      </c>
      <c r="J180" t="n">
        <v>0</v>
      </c>
      <c r="K180" t="n">
        <v>0</v>
      </c>
      <c r="L180" t="n">
        <v>0</v>
      </c>
      <c r="M180" t="n">
        <v>0</v>
      </c>
      <c r="N180" t="n">
        <v>0</v>
      </c>
      <c r="O180" t="n">
        <v>0</v>
      </c>
      <c r="P180" t="n">
        <v>0</v>
      </c>
      <c r="Q180" t="n">
        <v>0</v>
      </c>
      <c r="R180" s="2" t="inlineStr"/>
    </row>
    <row r="181" ht="15" customHeight="1">
      <c r="A181" t="inlineStr">
        <is>
          <t>A 26254-2021</t>
        </is>
      </c>
      <c r="B181" s="1" t="n">
        <v>44347</v>
      </c>
      <c r="C181" s="1" t="n">
        <v>45984</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24706-2021</t>
        </is>
      </c>
      <c r="B182" s="1" t="n">
        <v>44340</v>
      </c>
      <c r="C182" s="1" t="n">
        <v>45984</v>
      </c>
      <c r="D182" t="inlineStr">
        <is>
          <t>JÄMTLANDS LÄN</t>
        </is>
      </c>
      <c r="E182" t="inlineStr">
        <is>
          <t>ÖSTERSUND</t>
        </is>
      </c>
      <c r="G182" t="n">
        <v>5.6</v>
      </c>
      <c r="H182" t="n">
        <v>0</v>
      </c>
      <c r="I182" t="n">
        <v>0</v>
      </c>
      <c r="J182" t="n">
        <v>0</v>
      </c>
      <c r="K182" t="n">
        <v>0</v>
      </c>
      <c r="L182" t="n">
        <v>0</v>
      </c>
      <c r="M182" t="n">
        <v>0</v>
      </c>
      <c r="N182" t="n">
        <v>0</v>
      </c>
      <c r="O182" t="n">
        <v>0</v>
      </c>
      <c r="P182" t="n">
        <v>0</v>
      </c>
      <c r="Q182" t="n">
        <v>0</v>
      </c>
      <c r="R182" s="2" t="inlineStr"/>
    </row>
    <row r="183" ht="15" customHeight="1">
      <c r="A183" t="inlineStr">
        <is>
          <t>A 48947-2021</t>
        </is>
      </c>
      <c r="B183" s="1" t="n">
        <v>44453</v>
      </c>
      <c r="C183" s="1" t="n">
        <v>45984</v>
      </c>
      <c r="D183" t="inlineStr">
        <is>
          <t>JÄMTLANDS LÄN</t>
        </is>
      </c>
      <c r="E183" t="inlineStr">
        <is>
          <t>ÖSTERSUND</t>
        </is>
      </c>
      <c r="G183" t="n">
        <v>22.3</v>
      </c>
      <c r="H183" t="n">
        <v>0</v>
      </c>
      <c r="I183" t="n">
        <v>0</v>
      </c>
      <c r="J183" t="n">
        <v>0</v>
      </c>
      <c r="K183" t="n">
        <v>0</v>
      </c>
      <c r="L183" t="n">
        <v>0</v>
      </c>
      <c r="M183" t="n">
        <v>0</v>
      </c>
      <c r="N183" t="n">
        <v>0</v>
      </c>
      <c r="O183" t="n">
        <v>0</v>
      </c>
      <c r="P183" t="n">
        <v>0</v>
      </c>
      <c r="Q183" t="n">
        <v>0</v>
      </c>
      <c r="R183" s="2" t="inlineStr"/>
    </row>
    <row r="184" ht="15" customHeight="1">
      <c r="A184" t="inlineStr">
        <is>
          <t>A 27061-2021</t>
        </is>
      </c>
      <c r="B184" s="1" t="n">
        <v>44349</v>
      </c>
      <c r="C184" s="1" t="n">
        <v>45984</v>
      </c>
      <c r="D184" t="inlineStr">
        <is>
          <t>JÄMTLANDS LÄN</t>
        </is>
      </c>
      <c r="E184" t="inlineStr">
        <is>
          <t>ÖSTERSUND</t>
        </is>
      </c>
      <c r="G184" t="n">
        <v>3.2</v>
      </c>
      <c r="H184" t="n">
        <v>0</v>
      </c>
      <c r="I184" t="n">
        <v>0</v>
      </c>
      <c r="J184" t="n">
        <v>0</v>
      </c>
      <c r="K184" t="n">
        <v>0</v>
      </c>
      <c r="L184" t="n">
        <v>0</v>
      </c>
      <c r="M184" t="n">
        <v>0</v>
      </c>
      <c r="N184" t="n">
        <v>0</v>
      </c>
      <c r="O184" t="n">
        <v>0</v>
      </c>
      <c r="P184" t="n">
        <v>0</v>
      </c>
      <c r="Q184" t="n">
        <v>0</v>
      </c>
      <c r="R184" s="2" t="inlineStr"/>
    </row>
    <row r="185" ht="15" customHeight="1">
      <c r="A185" t="inlineStr">
        <is>
          <t>A 26259-2021</t>
        </is>
      </c>
      <c r="B185" s="1" t="n">
        <v>44347</v>
      </c>
      <c r="C185" s="1" t="n">
        <v>45984</v>
      </c>
      <c r="D185" t="inlineStr">
        <is>
          <t>JÄMTLANDS LÄN</t>
        </is>
      </c>
      <c r="E185" t="inlineStr">
        <is>
          <t>ÖSTERSUND</t>
        </is>
      </c>
      <c r="G185" t="n">
        <v>4.3</v>
      </c>
      <c r="H185" t="n">
        <v>0</v>
      </c>
      <c r="I185" t="n">
        <v>0</v>
      </c>
      <c r="J185" t="n">
        <v>0</v>
      </c>
      <c r="K185" t="n">
        <v>0</v>
      </c>
      <c r="L185" t="n">
        <v>0</v>
      </c>
      <c r="M185" t="n">
        <v>0</v>
      </c>
      <c r="N185" t="n">
        <v>0</v>
      </c>
      <c r="O185" t="n">
        <v>0</v>
      </c>
      <c r="P185" t="n">
        <v>0</v>
      </c>
      <c r="Q185" t="n">
        <v>0</v>
      </c>
      <c r="R185" s="2" t="inlineStr"/>
    </row>
    <row r="186" ht="15" customHeight="1">
      <c r="A186" t="inlineStr">
        <is>
          <t>A 17362-2021</t>
        </is>
      </c>
      <c r="B186" s="1" t="n">
        <v>44298</v>
      </c>
      <c r="C186" s="1" t="n">
        <v>45984</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695-2022</t>
        </is>
      </c>
      <c r="B187" s="1" t="n">
        <v>44566</v>
      </c>
      <c r="C187" s="1" t="n">
        <v>45984</v>
      </c>
      <c r="D187" t="inlineStr">
        <is>
          <t>JÄMTLANDS LÄN</t>
        </is>
      </c>
      <c r="E187" t="inlineStr">
        <is>
          <t>ÖSTERSUND</t>
        </is>
      </c>
      <c r="G187" t="n">
        <v>14.9</v>
      </c>
      <c r="H187" t="n">
        <v>0</v>
      </c>
      <c r="I187" t="n">
        <v>0</v>
      </c>
      <c r="J187" t="n">
        <v>0</v>
      </c>
      <c r="K187" t="n">
        <v>0</v>
      </c>
      <c r="L187" t="n">
        <v>0</v>
      </c>
      <c r="M187" t="n">
        <v>0</v>
      </c>
      <c r="N187" t="n">
        <v>0</v>
      </c>
      <c r="O187" t="n">
        <v>0</v>
      </c>
      <c r="P187" t="n">
        <v>0</v>
      </c>
      <c r="Q187" t="n">
        <v>0</v>
      </c>
      <c r="R187" s="2" t="inlineStr"/>
    </row>
    <row r="188" ht="15" customHeight="1">
      <c r="A188" t="inlineStr">
        <is>
          <t>A 29828-2022</t>
        </is>
      </c>
      <c r="B188" s="1" t="n">
        <v>44755</v>
      </c>
      <c r="C188" s="1" t="n">
        <v>45984</v>
      </c>
      <c r="D188" t="inlineStr">
        <is>
          <t>JÄMTLANDS LÄN</t>
        </is>
      </c>
      <c r="E188" t="inlineStr">
        <is>
          <t>ÖSTERSUND</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44267-2021</t>
        </is>
      </c>
      <c r="B189" s="1" t="n">
        <v>44434</v>
      </c>
      <c r="C189" s="1" t="n">
        <v>45984</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47296-2022</t>
        </is>
      </c>
      <c r="B190" s="1" t="n">
        <v>44852.95248842592</v>
      </c>
      <c r="C190" s="1" t="n">
        <v>45984</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72041-2021</t>
        </is>
      </c>
      <c r="B191" s="1" t="n">
        <v>44540</v>
      </c>
      <c r="C191" s="1" t="n">
        <v>45984</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17596-2021</t>
        </is>
      </c>
      <c r="B192" s="1" t="n">
        <v>44299</v>
      </c>
      <c r="C192" s="1" t="n">
        <v>45984</v>
      </c>
      <c r="D192" t="inlineStr">
        <is>
          <t>JÄMTLANDS LÄN</t>
        </is>
      </c>
      <c r="E192" t="inlineStr">
        <is>
          <t>ÖSTERSUND</t>
        </is>
      </c>
      <c r="G192" t="n">
        <v>3.7</v>
      </c>
      <c r="H192" t="n">
        <v>0</v>
      </c>
      <c r="I192" t="n">
        <v>0</v>
      </c>
      <c r="J192" t="n">
        <v>0</v>
      </c>
      <c r="K192" t="n">
        <v>0</v>
      </c>
      <c r="L192" t="n">
        <v>0</v>
      </c>
      <c r="M192" t="n">
        <v>0</v>
      </c>
      <c r="N192" t="n">
        <v>0</v>
      </c>
      <c r="O192" t="n">
        <v>0</v>
      </c>
      <c r="P192" t="n">
        <v>0</v>
      </c>
      <c r="Q192" t="n">
        <v>0</v>
      </c>
      <c r="R192" s="2" t="inlineStr"/>
    </row>
    <row r="193" ht="15" customHeight="1">
      <c r="A193" t="inlineStr">
        <is>
          <t>A 70816-2021</t>
        </is>
      </c>
      <c r="B193" s="1" t="n">
        <v>44537.935</v>
      </c>
      <c r="C193" s="1" t="n">
        <v>45984</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23895-2021</t>
        </is>
      </c>
      <c r="B194" s="1" t="n">
        <v>44335</v>
      </c>
      <c r="C194" s="1" t="n">
        <v>45984</v>
      </c>
      <c r="D194" t="inlineStr">
        <is>
          <t>JÄMTLANDS LÄN</t>
        </is>
      </c>
      <c r="E194" t="inlineStr">
        <is>
          <t>ÖSTERSUND</t>
        </is>
      </c>
      <c r="G194" t="n">
        <v>0.6</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45984</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56148-2022</t>
        </is>
      </c>
      <c r="B196" s="1" t="n">
        <v>44889.89929398148</v>
      </c>
      <c r="C196" s="1" t="n">
        <v>45984</v>
      </c>
      <c r="D196" t="inlineStr">
        <is>
          <t>JÄMTLANDS LÄN</t>
        </is>
      </c>
      <c r="E196" t="inlineStr">
        <is>
          <t>ÖSTERSUND</t>
        </is>
      </c>
      <c r="G196" t="n">
        <v>1.4</v>
      </c>
      <c r="H196" t="n">
        <v>0</v>
      </c>
      <c r="I196" t="n">
        <v>0</v>
      </c>
      <c r="J196" t="n">
        <v>0</v>
      </c>
      <c r="K196" t="n">
        <v>0</v>
      </c>
      <c r="L196" t="n">
        <v>0</v>
      </c>
      <c r="M196" t="n">
        <v>0</v>
      </c>
      <c r="N196" t="n">
        <v>0</v>
      </c>
      <c r="O196" t="n">
        <v>0</v>
      </c>
      <c r="P196" t="n">
        <v>0</v>
      </c>
      <c r="Q196" t="n">
        <v>0</v>
      </c>
      <c r="R196" s="2" t="inlineStr"/>
    </row>
    <row r="197" ht="15" customHeight="1">
      <c r="A197" t="inlineStr">
        <is>
          <t>A 66269-2020</t>
        </is>
      </c>
      <c r="B197" s="1" t="n">
        <v>44174</v>
      </c>
      <c r="C197" s="1" t="n">
        <v>45984</v>
      </c>
      <c r="D197" t="inlineStr">
        <is>
          <t>JÄMTLANDS LÄN</t>
        </is>
      </c>
      <c r="E197" t="inlineStr">
        <is>
          <t>ÖSTERSUND</t>
        </is>
      </c>
      <c r="F197" t="inlineStr">
        <is>
          <t>Övriga statliga verk och myndigheter</t>
        </is>
      </c>
      <c r="G197" t="n">
        <v>10</v>
      </c>
      <c r="H197" t="n">
        <v>0</v>
      </c>
      <c r="I197" t="n">
        <v>0</v>
      </c>
      <c r="J197" t="n">
        <v>0</v>
      </c>
      <c r="K197" t="n">
        <v>0</v>
      </c>
      <c r="L197" t="n">
        <v>0</v>
      </c>
      <c r="M197" t="n">
        <v>0</v>
      </c>
      <c r="N197" t="n">
        <v>0</v>
      </c>
      <c r="O197" t="n">
        <v>0</v>
      </c>
      <c r="P197" t="n">
        <v>0</v>
      </c>
      <c r="Q197" t="n">
        <v>0</v>
      </c>
      <c r="R197" s="2" t="inlineStr"/>
    </row>
    <row r="198" ht="15" customHeight="1">
      <c r="A198" t="inlineStr">
        <is>
          <t>A 65866-2021</t>
        </is>
      </c>
      <c r="B198" s="1" t="n">
        <v>44516</v>
      </c>
      <c r="C198" s="1" t="n">
        <v>45984</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45984</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32994-2021</t>
        </is>
      </c>
      <c r="B200" s="1" t="n">
        <v>44375</v>
      </c>
      <c r="C200" s="1" t="n">
        <v>45984</v>
      </c>
      <c r="D200" t="inlineStr">
        <is>
          <t>JÄMTLANDS LÄN</t>
        </is>
      </c>
      <c r="E200" t="inlineStr">
        <is>
          <t>ÖSTERSUND</t>
        </is>
      </c>
      <c r="G200" t="n">
        <v>0.1</v>
      </c>
      <c r="H200" t="n">
        <v>0</v>
      </c>
      <c r="I200" t="n">
        <v>0</v>
      </c>
      <c r="J200" t="n">
        <v>0</v>
      </c>
      <c r="K200" t="n">
        <v>0</v>
      </c>
      <c r="L200" t="n">
        <v>0</v>
      </c>
      <c r="M200" t="n">
        <v>0</v>
      </c>
      <c r="N200" t="n">
        <v>0</v>
      </c>
      <c r="O200" t="n">
        <v>0</v>
      </c>
      <c r="P200" t="n">
        <v>0</v>
      </c>
      <c r="Q200" t="n">
        <v>0</v>
      </c>
      <c r="R200" s="2" t="inlineStr"/>
    </row>
    <row r="201" ht="15" customHeight="1">
      <c r="A201" t="inlineStr">
        <is>
          <t>A 68408-2020</t>
        </is>
      </c>
      <c r="B201" s="1" t="n">
        <v>44186</v>
      </c>
      <c r="C201" s="1" t="n">
        <v>45984</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52898-2022</t>
        </is>
      </c>
      <c r="B202" s="1" t="n">
        <v>44875</v>
      </c>
      <c r="C202" s="1" t="n">
        <v>45984</v>
      </c>
      <c r="D202" t="inlineStr">
        <is>
          <t>JÄMTLANDS LÄN</t>
        </is>
      </c>
      <c r="E202" t="inlineStr">
        <is>
          <t>ÖSTERSUND</t>
        </is>
      </c>
      <c r="F202" t="inlineStr">
        <is>
          <t>Övriga Aktiebolag</t>
        </is>
      </c>
      <c r="G202" t="n">
        <v>12.1</v>
      </c>
      <c r="H202" t="n">
        <v>0</v>
      </c>
      <c r="I202" t="n">
        <v>0</v>
      </c>
      <c r="J202" t="n">
        <v>0</v>
      </c>
      <c r="K202" t="n">
        <v>0</v>
      </c>
      <c r="L202" t="n">
        <v>0</v>
      </c>
      <c r="M202" t="n">
        <v>0</v>
      </c>
      <c r="N202" t="n">
        <v>0</v>
      </c>
      <c r="O202" t="n">
        <v>0</v>
      </c>
      <c r="P202" t="n">
        <v>0</v>
      </c>
      <c r="Q202" t="n">
        <v>0</v>
      </c>
      <c r="R202" s="2" t="inlineStr"/>
    </row>
    <row r="203" ht="15" customHeight="1">
      <c r="A203" t="inlineStr">
        <is>
          <t>A 55105-2022</t>
        </is>
      </c>
      <c r="B203" s="1" t="n">
        <v>44886.63148148148</v>
      </c>
      <c r="C203" s="1" t="n">
        <v>45984</v>
      </c>
      <c r="D203" t="inlineStr">
        <is>
          <t>JÄMTLANDS LÄN</t>
        </is>
      </c>
      <c r="E203" t="inlineStr">
        <is>
          <t>ÖSTERSUND</t>
        </is>
      </c>
      <c r="F203" t="inlineStr">
        <is>
          <t>Övriga Aktiebolag</t>
        </is>
      </c>
      <c r="G203" t="n">
        <v>2.4</v>
      </c>
      <c r="H203" t="n">
        <v>0</v>
      </c>
      <c r="I203" t="n">
        <v>0</v>
      </c>
      <c r="J203" t="n">
        <v>0</v>
      </c>
      <c r="K203" t="n">
        <v>0</v>
      </c>
      <c r="L203" t="n">
        <v>0</v>
      </c>
      <c r="M203" t="n">
        <v>0</v>
      </c>
      <c r="N203" t="n">
        <v>0</v>
      </c>
      <c r="O203" t="n">
        <v>0</v>
      </c>
      <c r="P203" t="n">
        <v>0</v>
      </c>
      <c r="Q203" t="n">
        <v>0</v>
      </c>
      <c r="R203" s="2" t="inlineStr"/>
      <c r="U203">
        <f>HYPERLINK("https://klasma.github.io/Logging_2380/knärot/A 55105-2022 karta knärot.png", "A 55105-2022")</f>
        <v/>
      </c>
      <c r="V203">
        <f>HYPERLINK("https://klasma.github.io/Logging_2380/klagomål/A 55105-2022 FSC-klagomål.docx", "A 55105-2022")</f>
        <v/>
      </c>
      <c r="W203">
        <f>HYPERLINK("https://klasma.github.io/Logging_2380/klagomålsmail/A 55105-2022 FSC-klagomål mail.docx", "A 55105-2022")</f>
        <v/>
      </c>
      <c r="X203">
        <f>HYPERLINK("https://klasma.github.io/Logging_2380/tillsyn/A 55105-2022 tillsynsbegäran.docx", "A 55105-2022")</f>
        <v/>
      </c>
      <c r="Y203">
        <f>HYPERLINK("https://klasma.github.io/Logging_2380/tillsynsmail/A 55105-2022 tillsynsbegäran mail.docx", "A 55105-2022")</f>
        <v/>
      </c>
    </row>
    <row r="204" ht="15" customHeight="1">
      <c r="A204" t="inlineStr">
        <is>
          <t>A 65428-2021</t>
        </is>
      </c>
      <c r="B204" s="1" t="n">
        <v>44515</v>
      </c>
      <c r="C204" s="1" t="n">
        <v>45984</v>
      </c>
      <c r="D204" t="inlineStr">
        <is>
          <t>JÄMTLANDS LÄN</t>
        </is>
      </c>
      <c r="E204" t="inlineStr">
        <is>
          <t>ÖSTERSUND</t>
        </is>
      </c>
      <c r="F204" t="inlineStr">
        <is>
          <t>SCA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29094-2022</t>
        </is>
      </c>
      <c r="B205" s="1" t="n">
        <v>44750</v>
      </c>
      <c r="C205" s="1" t="n">
        <v>45984</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71956-2021</t>
        </is>
      </c>
      <c r="B206" s="1" t="n">
        <v>44544</v>
      </c>
      <c r="C206" s="1" t="n">
        <v>45984</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27575-2022</t>
        </is>
      </c>
      <c r="B207" s="1" t="n">
        <v>44742</v>
      </c>
      <c r="C207" s="1" t="n">
        <v>45984</v>
      </c>
      <c r="D207" t="inlineStr">
        <is>
          <t>JÄMTLANDS LÄN</t>
        </is>
      </c>
      <c r="E207" t="inlineStr">
        <is>
          <t>ÖSTERSUND</t>
        </is>
      </c>
      <c r="F207" t="inlineStr">
        <is>
          <t>SCA</t>
        </is>
      </c>
      <c r="G207" t="n">
        <v>2.4</v>
      </c>
      <c r="H207" t="n">
        <v>0</v>
      </c>
      <c r="I207" t="n">
        <v>0</v>
      </c>
      <c r="J207" t="n">
        <v>0</v>
      </c>
      <c r="K207" t="n">
        <v>0</v>
      </c>
      <c r="L207" t="n">
        <v>0</v>
      </c>
      <c r="M207" t="n">
        <v>0</v>
      </c>
      <c r="N207" t="n">
        <v>0</v>
      </c>
      <c r="O207" t="n">
        <v>0</v>
      </c>
      <c r="P207" t="n">
        <v>0</v>
      </c>
      <c r="Q207" t="n">
        <v>0</v>
      </c>
      <c r="R207" s="2" t="inlineStr"/>
      <c r="U207">
        <f>HYPERLINK("https://klasma.github.io/Logging_2380/knärot/A 27575-2022 karta knärot.png", "A 27575-2022")</f>
        <v/>
      </c>
      <c r="V207">
        <f>HYPERLINK("https://klasma.github.io/Logging_2380/klagomål/A 27575-2022 FSC-klagomål.docx", "A 27575-2022")</f>
        <v/>
      </c>
      <c r="W207">
        <f>HYPERLINK("https://klasma.github.io/Logging_2380/klagomålsmail/A 27575-2022 FSC-klagomål mail.docx", "A 27575-2022")</f>
        <v/>
      </c>
      <c r="X207">
        <f>HYPERLINK("https://klasma.github.io/Logging_2380/tillsyn/A 27575-2022 tillsynsbegäran.docx", "A 27575-2022")</f>
        <v/>
      </c>
      <c r="Y207">
        <f>HYPERLINK("https://klasma.github.io/Logging_2380/tillsynsmail/A 27575-2022 tillsynsbegäran mail.docx", "A 27575-2022")</f>
        <v/>
      </c>
    </row>
    <row r="208" ht="15" customHeight="1">
      <c r="A208" t="inlineStr">
        <is>
          <t>A 65991-2021</t>
        </is>
      </c>
      <c r="B208" s="1" t="n">
        <v>44517.55134259259</v>
      </c>
      <c r="C208" s="1" t="n">
        <v>45984</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6458-2022</t>
        </is>
      </c>
      <c r="B209" s="1" t="n">
        <v>44601.36165509259</v>
      </c>
      <c r="C209" s="1" t="n">
        <v>45984</v>
      </c>
      <c r="D209" t="inlineStr">
        <is>
          <t>JÄMTLANDS LÄN</t>
        </is>
      </c>
      <c r="E209" t="inlineStr">
        <is>
          <t>ÖSTERSUND</t>
        </is>
      </c>
      <c r="G209" t="n">
        <v>3.1</v>
      </c>
      <c r="H209" t="n">
        <v>0</v>
      </c>
      <c r="I209" t="n">
        <v>0</v>
      </c>
      <c r="J209" t="n">
        <v>0</v>
      </c>
      <c r="K209" t="n">
        <v>0</v>
      </c>
      <c r="L209" t="n">
        <v>0</v>
      </c>
      <c r="M209" t="n">
        <v>0</v>
      </c>
      <c r="N209" t="n">
        <v>0</v>
      </c>
      <c r="O209" t="n">
        <v>0</v>
      </c>
      <c r="P209" t="n">
        <v>0</v>
      </c>
      <c r="Q209" t="n">
        <v>0</v>
      </c>
      <c r="R209" s="2" t="inlineStr"/>
    </row>
    <row r="210" ht="15" customHeight="1">
      <c r="A210" t="inlineStr">
        <is>
          <t>A 23992-2022</t>
        </is>
      </c>
      <c r="B210" s="1" t="n">
        <v>44722</v>
      </c>
      <c r="C210" s="1" t="n">
        <v>45984</v>
      </c>
      <c r="D210" t="inlineStr">
        <is>
          <t>JÄMTLANDS LÄN</t>
        </is>
      </c>
      <c r="E210" t="inlineStr">
        <is>
          <t>ÖSTERSUND</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23993-2022</t>
        </is>
      </c>
      <c r="B211" s="1" t="n">
        <v>44722.94023148148</v>
      </c>
      <c r="C211" s="1" t="n">
        <v>45984</v>
      </c>
      <c r="D211" t="inlineStr">
        <is>
          <t>JÄMTLANDS LÄN</t>
        </is>
      </c>
      <c r="E211" t="inlineStr">
        <is>
          <t>ÖSTERSUND</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45984</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45654-2022</t>
        </is>
      </c>
      <c r="B213" s="1" t="n">
        <v>44845.67710648148</v>
      </c>
      <c r="C213" s="1" t="n">
        <v>45984</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42832-2021</t>
        </is>
      </c>
      <c r="B214" s="1" t="n">
        <v>44430</v>
      </c>
      <c r="C214" s="1" t="n">
        <v>45984</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35755-2021</t>
        </is>
      </c>
      <c r="B215" s="1" t="n">
        <v>44385</v>
      </c>
      <c r="C215" s="1" t="n">
        <v>45984</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65410-2020</t>
        </is>
      </c>
      <c r="B216" s="1" t="n">
        <v>44173</v>
      </c>
      <c r="C216" s="1" t="n">
        <v>45984</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2627-2024</t>
        </is>
      </c>
      <c r="B217" s="1" t="n">
        <v>45313.9496875</v>
      </c>
      <c r="C217" s="1" t="n">
        <v>45984</v>
      </c>
      <c r="D217" t="inlineStr">
        <is>
          <t>JÄMTLANDS LÄN</t>
        </is>
      </c>
      <c r="E217" t="inlineStr">
        <is>
          <t>ÖSTERSUND</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10590-2021</t>
        </is>
      </c>
      <c r="B218" s="1" t="n">
        <v>44258</v>
      </c>
      <c r="C218" s="1" t="n">
        <v>45984</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32990-2021</t>
        </is>
      </c>
      <c r="B219" s="1" t="n">
        <v>44375</v>
      </c>
      <c r="C219" s="1" t="n">
        <v>45984</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24721-2021</t>
        </is>
      </c>
      <c r="B220" s="1" t="n">
        <v>44340</v>
      </c>
      <c r="C220" s="1" t="n">
        <v>45984</v>
      </c>
      <c r="D220" t="inlineStr">
        <is>
          <t>JÄMTLANDS LÄN</t>
        </is>
      </c>
      <c r="E220" t="inlineStr">
        <is>
          <t>ÖSTERSUND</t>
        </is>
      </c>
      <c r="G220" t="n">
        <v>2.7</v>
      </c>
      <c r="H220" t="n">
        <v>0</v>
      </c>
      <c r="I220" t="n">
        <v>0</v>
      </c>
      <c r="J220" t="n">
        <v>0</v>
      </c>
      <c r="K220" t="n">
        <v>0</v>
      </c>
      <c r="L220" t="n">
        <v>0</v>
      </c>
      <c r="M220" t="n">
        <v>0</v>
      </c>
      <c r="N220" t="n">
        <v>0</v>
      </c>
      <c r="O220" t="n">
        <v>0</v>
      </c>
      <c r="P220" t="n">
        <v>0</v>
      </c>
      <c r="Q220" t="n">
        <v>0</v>
      </c>
      <c r="R220" s="2" t="inlineStr"/>
    </row>
    <row r="221" ht="15" customHeight="1">
      <c r="A221" t="inlineStr">
        <is>
          <t>A 21849-2021</t>
        </is>
      </c>
      <c r="B221" s="1" t="n">
        <v>44322</v>
      </c>
      <c r="C221" s="1" t="n">
        <v>45984</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45984</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14657-2022</t>
        </is>
      </c>
      <c r="B223" s="1" t="n">
        <v>44655</v>
      </c>
      <c r="C223" s="1" t="n">
        <v>45984</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5145-2022</t>
        </is>
      </c>
      <c r="B224" s="1" t="n">
        <v>44594</v>
      </c>
      <c r="C224" s="1" t="n">
        <v>45984</v>
      </c>
      <c r="D224" t="inlineStr">
        <is>
          <t>JÄMTLANDS LÄN</t>
        </is>
      </c>
      <c r="E224" t="inlineStr">
        <is>
          <t>ÖSTERSUND</t>
        </is>
      </c>
      <c r="G224" t="n">
        <v>2.6</v>
      </c>
      <c r="H224" t="n">
        <v>0</v>
      </c>
      <c r="I224" t="n">
        <v>0</v>
      </c>
      <c r="J224" t="n">
        <v>0</v>
      </c>
      <c r="K224" t="n">
        <v>0</v>
      </c>
      <c r="L224" t="n">
        <v>0</v>
      </c>
      <c r="M224" t="n">
        <v>0</v>
      </c>
      <c r="N224" t="n">
        <v>0</v>
      </c>
      <c r="O224" t="n">
        <v>0</v>
      </c>
      <c r="P224" t="n">
        <v>0</v>
      </c>
      <c r="Q224" t="n">
        <v>0</v>
      </c>
      <c r="R224" s="2" t="inlineStr"/>
    </row>
    <row r="225" ht="15" customHeight="1">
      <c r="A225" t="inlineStr">
        <is>
          <t>A 21211-2022</t>
        </is>
      </c>
      <c r="B225" s="1" t="n">
        <v>44704.94370370371</v>
      </c>
      <c r="C225" s="1" t="n">
        <v>45984</v>
      </c>
      <c r="D225" t="inlineStr">
        <is>
          <t>JÄMTLANDS LÄN</t>
        </is>
      </c>
      <c r="E225" t="inlineStr">
        <is>
          <t>ÖSTERSUND</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55002-2024</t>
        </is>
      </c>
      <c r="B226" s="1" t="n">
        <v>45621</v>
      </c>
      <c r="C226" s="1" t="n">
        <v>45984</v>
      </c>
      <c r="D226" t="inlineStr">
        <is>
          <t>JÄMTLANDS LÄN</t>
        </is>
      </c>
      <c r="E226" t="inlineStr">
        <is>
          <t>ÖSTERSUND</t>
        </is>
      </c>
      <c r="F226" t="inlineStr">
        <is>
          <t>Övriga Aktiebolag</t>
        </is>
      </c>
      <c r="G226" t="n">
        <v>0.3</v>
      </c>
      <c r="H226" t="n">
        <v>0</v>
      </c>
      <c r="I226" t="n">
        <v>0</v>
      </c>
      <c r="J226" t="n">
        <v>0</v>
      </c>
      <c r="K226" t="n">
        <v>0</v>
      </c>
      <c r="L226" t="n">
        <v>0</v>
      </c>
      <c r="M226" t="n">
        <v>0</v>
      </c>
      <c r="N226" t="n">
        <v>0</v>
      </c>
      <c r="O226" t="n">
        <v>0</v>
      </c>
      <c r="P226" t="n">
        <v>0</v>
      </c>
      <c r="Q226" t="n">
        <v>0</v>
      </c>
      <c r="R226" s="2" t="inlineStr"/>
    </row>
    <row r="227" ht="15" customHeight="1">
      <c r="A227" t="inlineStr">
        <is>
          <t>A 11182-2025</t>
        </is>
      </c>
      <c r="B227" s="1" t="n">
        <v>45725.44297453704</v>
      </c>
      <c r="C227" s="1" t="n">
        <v>45984</v>
      </c>
      <c r="D227" t="inlineStr">
        <is>
          <t>JÄMTLANDS LÄN</t>
        </is>
      </c>
      <c r="E227" t="inlineStr">
        <is>
          <t>ÖSTERSUND</t>
        </is>
      </c>
      <c r="G227" t="n">
        <v>3.3</v>
      </c>
      <c r="H227" t="n">
        <v>0</v>
      </c>
      <c r="I227" t="n">
        <v>0</v>
      </c>
      <c r="J227" t="n">
        <v>0</v>
      </c>
      <c r="K227" t="n">
        <v>0</v>
      </c>
      <c r="L227" t="n">
        <v>0</v>
      </c>
      <c r="M227" t="n">
        <v>0</v>
      </c>
      <c r="N227" t="n">
        <v>0</v>
      </c>
      <c r="O227" t="n">
        <v>0</v>
      </c>
      <c r="P227" t="n">
        <v>0</v>
      </c>
      <c r="Q227" t="n">
        <v>0</v>
      </c>
      <c r="R227" s="2" t="inlineStr"/>
    </row>
    <row r="228" ht="15" customHeight="1">
      <c r="A228" t="inlineStr">
        <is>
          <t>A 52128-2023</t>
        </is>
      </c>
      <c r="B228" s="1" t="n">
        <v>45223</v>
      </c>
      <c r="C228" s="1" t="n">
        <v>45984</v>
      </c>
      <c r="D228" t="inlineStr">
        <is>
          <t>JÄMTLANDS LÄN</t>
        </is>
      </c>
      <c r="E228" t="inlineStr">
        <is>
          <t>ÖSTERSUND</t>
        </is>
      </c>
      <c r="F228" t="inlineStr">
        <is>
          <t>SCA</t>
        </is>
      </c>
      <c r="G228" t="n">
        <v>11.9</v>
      </c>
      <c r="H228" t="n">
        <v>0</v>
      </c>
      <c r="I228" t="n">
        <v>0</v>
      </c>
      <c r="J228" t="n">
        <v>0</v>
      </c>
      <c r="K228" t="n">
        <v>0</v>
      </c>
      <c r="L228" t="n">
        <v>0</v>
      </c>
      <c r="M228" t="n">
        <v>0</v>
      </c>
      <c r="N228" t="n">
        <v>0</v>
      </c>
      <c r="O228" t="n">
        <v>0</v>
      </c>
      <c r="P228" t="n">
        <v>0</v>
      </c>
      <c r="Q228" t="n">
        <v>0</v>
      </c>
      <c r="R228" s="2" t="inlineStr"/>
    </row>
    <row r="229" ht="15" customHeight="1">
      <c r="A229" t="inlineStr">
        <is>
          <t>A 6351-2024</t>
        </is>
      </c>
      <c r="B229" s="1" t="n">
        <v>45338</v>
      </c>
      <c r="C229" s="1" t="n">
        <v>45984</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44013-2021</t>
        </is>
      </c>
      <c r="B230" s="1" t="n">
        <v>44434</v>
      </c>
      <c r="C230" s="1" t="n">
        <v>45984</v>
      </c>
      <c r="D230" t="inlineStr">
        <is>
          <t>JÄMTLANDS LÄN</t>
        </is>
      </c>
      <c r="E230" t="inlineStr">
        <is>
          <t>ÖSTERSUND</t>
        </is>
      </c>
      <c r="G230" t="n">
        <v>1.9</v>
      </c>
      <c r="H230" t="n">
        <v>0</v>
      </c>
      <c r="I230" t="n">
        <v>0</v>
      </c>
      <c r="J230" t="n">
        <v>0</v>
      </c>
      <c r="K230" t="n">
        <v>0</v>
      </c>
      <c r="L230" t="n">
        <v>0</v>
      </c>
      <c r="M230" t="n">
        <v>0</v>
      </c>
      <c r="N230" t="n">
        <v>0</v>
      </c>
      <c r="O230" t="n">
        <v>0</v>
      </c>
      <c r="P230" t="n">
        <v>0</v>
      </c>
      <c r="Q230" t="n">
        <v>0</v>
      </c>
      <c r="R230" s="2" t="inlineStr"/>
    </row>
    <row r="231" ht="15" customHeight="1">
      <c r="A231" t="inlineStr">
        <is>
          <t>A 14867-2025</t>
        </is>
      </c>
      <c r="B231" s="1" t="n">
        <v>45743.44207175926</v>
      </c>
      <c r="C231" s="1" t="n">
        <v>45984</v>
      </c>
      <c r="D231" t="inlineStr">
        <is>
          <t>JÄMTLANDS LÄN</t>
        </is>
      </c>
      <c r="E231" t="inlineStr">
        <is>
          <t>ÖSTERSUND</t>
        </is>
      </c>
      <c r="G231" t="n">
        <v>3.3</v>
      </c>
      <c r="H231" t="n">
        <v>0</v>
      </c>
      <c r="I231" t="n">
        <v>0</v>
      </c>
      <c r="J231" t="n">
        <v>0</v>
      </c>
      <c r="K231" t="n">
        <v>0</v>
      </c>
      <c r="L231" t="n">
        <v>0</v>
      </c>
      <c r="M231" t="n">
        <v>0</v>
      </c>
      <c r="N231" t="n">
        <v>0</v>
      </c>
      <c r="O231" t="n">
        <v>0</v>
      </c>
      <c r="P231" t="n">
        <v>0</v>
      </c>
      <c r="Q231" t="n">
        <v>0</v>
      </c>
      <c r="R231" s="2" t="inlineStr"/>
    </row>
    <row r="232" ht="15" customHeight="1">
      <c r="A232" t="inlineStr">
        <is>
          <t>A 14947-2025</t>
        </is>
      </c>
      <c r="B232" s="1" t="n">
        <v>45743.57336805556</v>
      </c>
      <c r="C232" s="1" t="n">
        <v>45984</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17066-2024</t>
        </is>
      </c>
      <c r="B233" s="1" t="n">
        <v>45412.46636574074</v>
      </c>
      <c r="C233" s="1" t="n">
        <v>45984</v>
      </c>
      <c r="D233" t="inlineStr">
        <is>
          <t>JÄMTLANDS LÄN</t>
        </is>
      </c>
      <c r="E233" t="inlineStr">
        <is>
          <t>ÖSTERSUND</t>
        </is>
      </c>
      <c r="G233" t="n">
        <v>4.2</v>
      </c>
      <c r="H233" t="n">
        <v>0</v>
      </c>
      <c r="I233" t="n">
        <v>0</v>
      </c>
      <c r="J233" t="n">
        <v>0</v>
      </c>
      <c r="K233" t="n">
        <v>0</v>
      </c>
      <c r="L233" t="n">
        <v>0</v>
      </c>
      <c r="M233" t="n">
        <v>0</v>
      </c>
      <c r="N233" t="n">
        <v>0</v>
      </c>
      <c r="O233" t="n">
        <v>0</v>
      </c>
      <c r="P233" t="n">
        <v>0</v>
      </c>
      <c r="Q233" t="n">
        <v>0</v>
      </c>
      <c r="R233" s="2" t="inlineStr"/>
    </row>
    <row r="234" ht="15" customHeight="1">
      <c r="A234" t="inlineStr">
        <is>
          <t>A 30217-2022</t>
        </is>
      </c>
      <c r="B234" s="1" t="n">
        <v>44757.92671296297</v>
      </c>
      <c r="C234" s="1" t="n">
        <v>45984</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4350-2024</t>
        </is>
      </c>
      <c r="B235" s="1" t="n">
        <v>45324.93804398148</v>
      </c>
      <c r="C235" s="1" t="n">
        <v>45984</v>
      </c>
      <c r="D235" t="inlineStr">
        <is>
          <t>JÄMTLANDS LÄN</t>
        </is>
      </c>
      <c r="E235" t="inlineStr">
        <is>
          <t>ÖSTERSUND</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38142-2021</t>
        </is>
      </c>
      <c r="B236" s="1" t="n">
        <v>44405</v>
      </c>
      <c r="C236" s="1" t="n">
        <v>45984</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7233-2025</t>
        </is>
      </c>
      <c r="B237" s="1" t="n">
        <v>45702.51765046296</v>
      </c>
      <c r="C237" s="1" t="n">
        <v>45984</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11052-2024</t>
        </is>
      </c>
      <c r="B238" s="1" t="n">
        <v>45370</v>
      </c>
      <c r="C238" s="1" t="n">
        <v>45984</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22384-2025</t>
        </is>
      </c>
      <c r="B239" s="1" t="n">
        <v>45786</v>
      </c>
      <c r="C239" s="1" t="n">
        <v>45984</v>
      </c>
      <c r="D239" t="inlineStr">
        <is>
          <t>JÄMTLANDS LÄN</t>
        </is>
      </c>
      <c r="E239" t="inlineStr">
        <is>
          <t>ÖSTERSUND</t>
        </is>
      </c>
      <c r="G239" t="n">
        <v>1.4</v>
      </c>
      <c r="H239" t="n">
        <v>0</v>
      </c>
      <c r="I239" t="n">
        <v>0</v>
      </c>
      <c r="J239" t="n">
        <v>0</v>
      </c>
      <c r="K239" t="n">
        <v>0</v>
      </c>
      <c r="L239" t="n">
        <v>0</v>
      </c>
      <c r="M239" t="n">
        <v>0</v>
      </c>
      <c r="N239" t="n">
        <v>0</v>
      </c>
      <c r="O239" t="n">
        <v>0</v>
      </c>
      <c r="P239" t="n">
        <v>0</v>
      </c>
      <c r="Q239" t="n">
        <v>0</v>
      </c>
      <c r="R239" s="2" t="inlineStr"/>
    </row>
    <row r="240" ht="15" customHeight="1">
      <c r="A240" t="inlineStr">
        <is>
          <t>A 17948-2025</t>
        </is>
      </c>
      <c r="B240" s="1" t="n">
        <v>45760.66995370371</v>
      </c>
      <c r="C240" s="1" t="n">
        <v>45984</v>
      </c>
      <c r="D240" t="inlineStr">
        <is>
          <t>JÄMTLANDS LÄN</t>
        </is>
      </c>
      <c r="E240" t="inlineStr">
        <is>
          <t>ÖSTERSUND</t>
        </is>
      </c>
      <c r="G240" t="n">
        <v>3.9</v>
      </c>
      <c r="H240" t="n">
        <v>0</v>
      </c>
      <c r="I240" t="n">
        <v>0</v>
      </c>
      <c r="J240" t="n">
        <v>0</v>
      </c>
      <c r="K240" t="n">
        <v>0</v>
      </c>
      <c r="L240" t="n">
        <v>0</v>
      </c>
      <c r="M240" t="n">
        <v>0</v>
      </c>
      <c r="N240" t="n">
        <v>0</v>
      </c>
      <c r="O240" t="n">
        <v>0</v>
      </c>
      <c r="P240" t="n">
        <v>0</v>
      </c>
      <c r="Q240" t="n">
        <v>0</v>
      </c>
      <c r="R240" s="2" t="inlineStr"/>
    </row>
    <row r="241" ht="15" customHeight="1">
      <c r="A241" t="inlineStr">
        <is>
          <t>A 4520-2025</t>
        </is>
      </c>
      <c r="B241" s="1" t="n">
        <v>45686.92384259259</v>
      </c>
      <c r="C241" s="1" t="n">
        <v>45984</v>
      </c>
      <c r="D241" t="inlineStr">
        <is>
          <t>JÄMTLANDS LÄN</t>
        </is>
      </c>
      <c r="E241" t="inlineStr">
        <is>
          <t>ÖSTERSUND</t>
        </is>
      </c>
      <c r="G241" t="n">
        <v>15.2</v>
      </c>
      <c r="H241" t="n">
        <v>0</v>
      </c>
      <c r="I241" t="n">
        <v>0</v>
      </c>
      <c r="J241" t="n">
        <v>0</v>
      </c>
      <c r="K241" t="n">
        <v>0</v>
      </c>
      <c r="L241" t="n">
        <v>0</v>
      </c>
      <c r="M241" t="n">
        <v>0</v>
      </c>
      <c r="N241" t="n">
        <v>0</v>
      </c>
      <c r="O241" t="n">
        <v>0</v>
      </c>
      <c r="P241" t="n">
        <v>0</v>
      </c>
      <c r="Q241" t="n">
        <v>0</v>
      </c>
      <c r="R241" s="2" t="inlineStr"/>
    </row>
    <row r="242" ht="15" customHeight="1">
      <c r="A242" t="inlineStr">
        <is>
          <t>A 4523-2025</t>
        </is>
      </c>
      <c r="B242" s="1" t="n">
        <v>45686.92864583333</v>
      </c>
      <c r="C242" s="1" t="n">
        <v>45984</v>
      </c>
      <c r="D242" t="inlineStr">
        <is>
          <t>JÄMTLANDS LÄN</t>
        </is>
      </c>
      <c r="E242" t="inlineStr">
        <is>
          <t>ÖSTERSUND</t>
        </is>
      </c>
      <c r="G242" t="n">
        <v>15.2</v>
      </c>
      <c r="H242" t="n">
        <v>0</v>
      </c>
      <c r="I242" t="n">
        <v>0</v>
      </c>
      <c r="J242" t="n">
        <v>0</v>
      </c>
      <c r="K242" t="n">
        <v>0</v>
      </c>
      <c r="L242" t="n">
        <v>0</v>
      </c>
      <c r="M242" t="n">
        <v>0</v>
      </c>
      <c r="N242" t="n">
        <v>0</v>
      </c>
      <c r="O242" t="n">
        <v>0</v>
      </c>
      <c r="P242" t="n">
        <v>0</v>
      </c>
      <c r="Q242" t="n">
        <v>0</v>
      </c>
      <c r="R242" s="2" t="inlineStr"/>
    </row>
    <row r="243" ht="15" customHeight="1">
      <c r="A243" t="inlineStr">
        <is>
          <t>A 22713-2025</t>
        </is>
      </c>
      <c r="B243" s="1" t="n">
        <v>45789.56414351852</v>
      </c>
      <c r="C243" s="1" t="n">
        <v>45984</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22822-2025</t>
        </is>
      </c>
      <c r="B244" s="1" t="n">
        <v>45789</v>
      </c>
      <c r="C244" s="1" t="n">
        <v>45984</v>
      </c>
      <c r="D244" t="inlineStr">
        <is>
          <t>JÄMTLANDS LÄN</t>
        </is>
      </c>
      <c r="E244" t="inlineStr">
        <is>
          <t>ÖSTERSUND</t>
        </is>
      </c>
      <c r="G244" t="n">
        <v>2.2</v>
      </c>
      <c r="H244" t="n">
        <v>0</v>
      </c>
      <c r="I244" t="n">
        <v>0</v>
      </c>
      <c r="J244" t="n">
        <v>0</v>
      </c>
      <c r="K244" t="n">
        <v>0</v>
      </c>
      <c r="L244" t="n">
        <v>0</v>
      </c>
      <c r="M244" t="n">
        <v>0</v>
      </c>
      <c r="N244" t="n">
        <v>0</v>
      </c>
      <c r="O244" t="n">
        <v>0</v>
      </c>
      <c r="P244" t="n">
        <v>0</v>
      </c>
      <c r="Q244" t="n">
        <v>0</v>
      </c>
      <c r="R244" s="2" t="inlineStr"/>
    </row>
    <row r="245" ht="15" customHeight="1">
      <c r="A245" t="inlineStr">
        <is>
          <t>A 22920-2025</t>
        </is>
      </c>
      <c r="B245" s="1" t="n">
        <v>45790.43905092592</v>
      </c>
      <c r="C245" s="1" t="n">
        <v>45984</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15669-2025</t>
        </is>
      </c>
      <c r="B246" s="1" t="n">
        <v>45748.4396412037</v>
      </c>
      <c r="C246" s="1" t="n">
        <v>45984</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2984-2024</t>
        </is>
      </c>
      <c r="B247" s="1" t="n">
        <v>45315</v>
      </c>
      <c r="C247" s="1" t="n">
        <v>45984</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23249-2025</t>
        </is>
      </c>
      <c r="B248" s="1" t="n">
        <v>45791</v>
      </c>
      <c r="C248" s="1" t="n">
        <v>45984</v>
      </c>
      <c r="D248" t="inlineStr">
        <is>
          <t>JÄMTLANDS LÄN</t>
        </is>
      </c>
      <c r="E248" t="inlineStr">
        <is>
          <t>ÖSTERSUND</t>
        </is>
      </c>
      <c r="G248" t="n">
        <v>10</v>
      </c>
      <c r="H248" t="n">
        <v>0</v>
      </c>
      <c r="I248" t="n">
        <v>0</v>
      </c>
      <c r="J248" t="n">
        <v>0</v>
      </c>
      <c r="K248" t="n">
        <v>0</v>
      </c>
      <c r="L248" t="n">
        <v>0</v>
      </c>
      <c r="M248" t="n">
        <v>0</v>
      </c>
      <c r="N248" t="n">
        <v>0</v>
      </c>
      <c r="O248" t="n">
        <v>0</v>
      </c>
      <c r="P248" t="n">
        <v>0</v>
      </c>
      <c r="Q248" t="n">
        <v>0</v>
      </c>
      <c r="R248" s="2" t="inlineStr"/>
    </row>
    <row r="249" ht="15" customHeight="1">
      <c r="A249" t="inlineStr">
        <is>
          <t>A 23100-2025</t>
        </is>
      </c>
      <c r="B249" s="1" t="n">
        <v>45791.35212962963</v>
      </c>
      <c r="C249" s="1" t="n">
        <v>45984</v>
      </c>
      <c r="D249" t="inlineStr">
        <is>
          <t>JÄMTLANDS LÄN</t>
        </is>
      </c>
      <c r="E249" t="inlineStr">
        <is>
          <t>ÖSTERSUND</t>
        </is>
      </c>
      <c r="G249" t="n">
        <v>4.5</v>
      </c>
      <c r="H249" t="n">
        <v>0</v>
      </c>
      <c r="I249" t="n">
        <v>0</v>
      </c>
      <c r="J249" t="n">
        <v>0</v>
      </c>
      <c r="K249" t="n">
        <v>0</v>
      </c>
      <c r="L249" t="n">
        <v>0</v>
      </c>
      <c r="M249" t="n">
        <v>0</v>
      </c>
      <c r="N249" t="n">
        <v>0</v>
      </c>
      <c r="O249" t="n">
        <v>0</v>
      </c>
      <c r="P249" t="n">
        <v>0</v>
      </c>
      <c r="Q249" t="n">
        <v>0</v>
      </c>
      <c r="R249" s="2" t="inlineStr"/>
    </row>
    <row r="250" ht="15" customHeight="1">
      <c r="A250" t="inlineStr">
        <is>
          <t>A 25385-2024</t>
        </is>
      </c>
      <c r="B250" s="1" t="n">
        <v>45462.96347222223</v>
      </c>
      <c r="C250" s="1" t="n">
        <v>45984</v>
      </c>
      <c r="D250" t="inlineStr">
        <is>
          <t>JÄMTLANDS LÄN</t>
        </is>
      </c>
      <c r="E250" t="inlineStr">
        <is>
          <t>ÖSTERSUND</t>
        </is>
      </c>
      <c r="F250" t="inlineStr">
        <is>
          <t>SCA</t>
        </is>
      </c>
      <c r="G250" t="n">
        <v>5.2</v>
      </c>
      <c r="H250" t="n">
        <v>0</v>
      </c>
      <c r="I250" t="n">
        <v>0</v>
      </c>
      <c r="J250" t="n">
        <v>0</v>
      </c>
      <c r="K250" t="n">
        <v>0</v>
      </c>
      <c r="L250" t="n">
        <v>0</v>
      </c>
      <c r="M250" t="n">
        <v>0</v>
      </c>
      <c r="N250" t="n">
        <v>0</v>
      </c>
      <c r="O250" t="n">
        <v>0</v>
      </c>
      <c r="P250" t="n">
        <v>0</v>
      </c>
      <c r="Q250" t="n">
        <v>0</v>
      </c>
      <c r="R250" s="2" t="inlineStr"/>
    </row>
    <row r="251" ht="15" customHeight="1">
      <c r="A251" t="inlineStr">
        <is>
          <t>A 23078-2025</t>
        </is>
      </c>
      <c r="B251" s="1" t="n">
        <v>45791.27984953704</v>
      </c>
      <c r="C251" s="1" t="n">
        <v>45984</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38871-2025</t>
        </is>
      </c>
      <c r="B252" s="1" t="n">
        <v>45887.57407407407</v>
      </c>
      <c r="C252" s="1" t="n">
        <v>45984</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23110-2025</t>
        </is>
      </c>
      <c r="B253" s="1" t="n">
        <v>45791.36526620371</v>
      </c>
      <c r="C253" s="1" t="n">
        <v>45984</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39030-2025</t>
        </is>
      </c>
      <c r="B254" s="1" t="n">
        <v>45888.40700231482</v>
      </c>
      <c r="C254" s="1" t="n">
        <v>45984</v>
      </c>
      <c r="D254" t="inlineStr">
        <is>
          <t>JÄMTLANDS LÄN</t>
        </is>
      </c>
      <c r="E254" t="inlineStr">
        <is>
          <t>ÖSTERSUND</t>
        </is>
      </c>
      <c r="G254" t="n">
        <v>1.8</v>
      </c>
      <c r="H254" t="n">
        <v>0</v>
      </c>
      <c r="I254" t="n">
        <v>0</v>
      </c>
      <c r="J254" t="n">
        <v>0</v>
      </c>
      <c r="K254" t="n">
        <v>0</v>
      </c>
      <c r="L254" t="n">
        <v>0</v>
      </c>
      <c r="M254" t="n">
        <v>0</v>
      </c>
      <c r="N254" t="n">
        <v>0</v>
      </c>
      <c r="O254" t="n">
        <v>0</v>
      </c>
      <c r="P254" t="n">
        <v>0</v>
      </c>
      <c r="Q254" t="n">
        <v>0</v>
      </c>
      <c r="R254" s="2" t="inlineStr"/>
    </row>
    <row r="255" ht="15" customHeight="1">
      <c r="A255" t="inlineStr">
        <is>
          <t>A 33002-2021</t>
        </is>
      </c>
      <c r="B255" s="1" t="n">
        <v>44375</v>
      </c>
      <c r="C255" s="1" t="n">
        <v>45984</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7938-2025</t>
        </is>
      </c>
      <c r="B256" s="1" t="n">
        <v>45707</v>
      </c>
      <c r="C256" s="1" t="n">
        <v>45984</v>
      </c>
      <c r="D256" t="inlineStr">
        <is>
          <t>JÄMTLANDS LÄN</t>
        </is>
      </c>
      <c r="E256" t="inlineStr">
        <is>
          <t>ÖSTERSUND</t>
        </is>
      </c>
      <c r="G256" t="n">
        <v>3</v>
      </c>
      <c r="H256" t="n">
        <v>0</v>
      </c>
      <c r="I256" t="n">
        <v>0</v>
      </c>
      <c r="J256" t="n">
        <v>0</v>
      </c>
      <c r="K256" t="n">
        <v>0</v>
      </c>
      <c r="L256" t="n">
        <v>0</v>
      </c>
      <c r="M256" t="n">
        <v>0</v>
      </c>
      <c r="N256" t="n">
        <v>0</v>
      </c>
      <c r="O256" t="n">
        <v>0</v>
      </c>
      <c r="P256" t="n">
        <v>0</v>
      </c>
      <c r="Q256" t="n">
        <v>0</v>
      </c>
      <c r="R256" s="2" t="inlineStr"/>
    </row>
    <row r="257" ht="15" customHeight="1">
      <c r="A257" t="inlineStr">
        <is>
          <t>A 38853-2025</t>
        </is>
      </c>
      <c r="B257" s="1" t="n">
        <v>45887.55666666666</v>
      </c>
      <c r="C257" s="1" t="n">
        <v>45984</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16335-2025</t>
        </is>
      </c>
      <c r="B258" s="1" t="n">
        <v>45751.36518518518</v>
      </c>
      <c r="C258" s="1" t="n">
        <v>45984</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56646-2024</t>
        </is>
      </c>
      <c r="B259" s="1" t="n">
        <v>45625</v>
      </c>
      <c r="C259" s="1" t="n">
        <v>45984</v>
      </c>
      <c r="D259" t="inlineStr">
        <is>
          <t>JÄMTLANDS LÄN</t>
        </is>
      </c>
      <c r="E259" t="inlineStr">
        <is>
          <t>ÖSTERSUND</t>
        </is>
      </c>
      <c r="G259" t="n">
        <v>18.9</v>
      </c>
      <c r="H259" t="n">
        <v>0</v>
      </c>
      <c r="I259" t="n">
        <v>0</v>
      </c>
      <c r="J259" t="n">
        <v>0</v>
      </c>
      <c r="K259" t="n">
        <v>0</v>
      </c>
      <c r="L259" t="n">
        <v>0</v>
      </c>
      <c r="M259" t="n">
        <v>0</v>
      </c>
      <c r="N259" t="n">
        <v>0</v>
      </c>
      <c r="O259" t="n">
        <v>0</v>
      </c>
      <c r="P259" t="n">
        <v>0</v>
      </c>
      <c r="Q259" t="n">
        <v>0</v>
      </c>
      <c r="R259" s="2" t="inlineStr"/>
    </row>
    <row r="260" ht="15" customHeight="1">
      <c r="A260" t="inlineStr">
        <is>
          <t>A 15686-2025</t>
        </is>
      </c>
      <c r="B260" s="1" t="n">
        <v>45748.46021990741</v>
      </c>
      <c r="C260" s="1" t="n">
        <v>45984</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39103-2025</t>
        </is>
      </c>
      <c r="B261" s="1" t="n">
        <v>45888.52440972222</v>
      </c>
      <c r="C261" s="1" t="n">
        <v>45984</v>
      </c>
      <c r="D261" t="inlineStr">
        <is>
          <t>JÄMTLANDS LÄN</t>
        </is>
      </c>
      <c r="E261" t="inlineStr">
        <is>
          <t>ÖSTERSUND</t>
        </is>
      </c>
      <c r="G261" t="n">
        <v>23.9</v>
      </c>
      <c r="H261" t="n">
        <v>0</v>
      </c>
      <c r="I261" t="n">
        <v>0</v>
      </c>
      <c r="J261" t="n">
        <v>0</v>
      </c>
      <c r="K261" t="n">
        <v>0</v>
      </c>
      <c r="L261" t="n">
        <v>0</v>
      </c>
      <c r="M261" t="n">
        <v>0</v>
      </c>
      <c r="N261" t="n">
        <v>0</v>
      </c>
      <c r="O261" t="n">
        <v>0</v>
      </c>
      <c r="P261" t="n">
        <v>0</v>
      </c>
      <c r="Q261" t="n">
        <v>0</v>
      </c>
      <c r="R261" s="2" t="inlineStr"/>
    </row>
    <row r="262" ht="15" customHeight="1">
      <c r="A262" t="inlineStr">
        <is>
          <t>A 25221-2025</t>
        </is>
      </c>
      <c r="B262" s="1" t="n">
        <v>45800.47802083333</v>
      </c>
      <c r="C262" s="1" t="n">
        <v>45984</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41780-2024</t>
        </is>
      </c>
      <c r="B263" s="1" t="n">
        <v>45561.34908564815</v>
      </c>
      <c r="C263" s="1" t="n">
        <v>45984</v>
      </c>
      <c r="D263" t="inlineStr">
        <is>
          <t>JÄMTLANDS LÄN</t>
        </is>
      </c>
      <c r="E263" t="inlineStr">
        <is>
          <t>ÖSTERSUND</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11181-2025</t>
        </is>
      </c>
      <c r="B264" s="1" t="n">
        <v>45725.44039351852</v>
      </c>
      <c r="C264" s="1" t="n">
        <v>45984</v>
      </c>
      <c r="D264" t="inlineStr">
        <is>
          <t>JÄMTLANDS LÄN</t>
        </is>
      </c>
      <c r="E264" t="inlineStr">
        <is>
          <t>ÖSTERSUND</t>
        </is>
      </c>
      <c r="G264" t="n">
        <v>15.4</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45984</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23877-2025</t>
        </is>
      </c>
      <c r="B266" s="1" t="n">
        <v>45793.68469907407</v>
      </c>
      <c r="C266" s="1" t="n">
        <v>45984</v>
      </c>
      <c r="D266" t="inlineStr">
        <is>
          <t>JÄMTLANDS LÄN</t>
        </is>
      </c>
      <c r="E266" t="inlineStr">
        <is>
          <t>ÖSTERSUND</t>
        </is>
      </c>
      <c r="G266" t="n">
        <v>0.5</v>
      </c>
      <c r="H266" t="n">
        <v>0</v>
      </c>
      <c r="I266" t="n">
        <v>0</v>
      </c>
      <c r="J266" t="n">
        <v>0</v>
      </c>
      <c r="K266" t="n">
        <v>0</v>
      </c>
      <c r="L266" t="n">
        <v>0</v>
      </c>
      <c r="M266" t="n">
        <v>0</v>
      </c>
      <c r="N266" t="n">
        <v>0</v>
      </c>
      <c r="O266" t="n">
        <v>0</v>
      </c>
      <c r="P266" t="n">
        <v>0</v>
      </c>
      <c r="Q266" t="n">
        <v>0</v>
      </c>
      <c r="R266" s="2" t="inlineStr"/>
    </row>
    <row r="267" ht="15" customHeight="1">
      <c r="A267" t="inlineStr">
        <is>
          <t>A 24403-2025</t>
        </is>
      </c>
      <c r="B267" s="1" t="n">
        <v>45797.65025462963</v>
      </c>
      <c r="C267" s="1" t="n">
        <v>45984</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24523-2025</t>
        </is>
      </c>
      <c r="B268" s="1" t="n">
        <v>45798.42108796296</v>
      </c>
      <c r="C268" s="1" t="n">
        <v>45984</v>
      </c>
      <c r="D268" t="inlineStr">
        <is>
          <t>JÄMTLANDS LÄN</t>
        </is>
      </c>
      <c r="E268" t="inlineStr">
        <is>
          <t>ÖSTERSUND</t>
        </is>
      </c>
      <c r="G268" t="n">
        <v>13.7</v>
      </c>
      <c r="H268" t="n">
        <v>0</v>
      </c>
      <c r="I268" t="n">
        <v>0</v>
      </c>
      <c r="J268" t="n">
        <v>0</v>
      </c>
      <c r="K268" t="n">
        <v>0</v>
      </c>
      <c r="L268" t="n">
        <v>0</v>
      </c>
      <c r="M268" t="n">
        <v>0</v>
      </c>
      <c r="N268" t="n">
        <v>0</v>
      </c>
      <c r="O268" t="n">
        <v>0</v>
      </c>
      <c r="P268" t="n">
        <v>0</v>
      </c>
      <c r="Q268" t="n">
        <v>0</v>
      </c>
      <c r="R268" s="2" t="inlineStr"/>
    </row>
    <row r="269" ht="15" customHeight="1">
      <c r="A269" t="inlineStr">
        <is>
          <t>A 40360-2025</t>
        </is>
      </c>
      <c r="B269" s="1" t="n">
        <v>45895.49024305555</v>
      </c>
      <c r="C269" s="1" t="n">
        <v>45984</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24568-2025</t>
        </is>
      </c>
      <c r="B270" s="1" t="n">
        <v>45798.46913194445</v>
      </c>
      <c r="C270" s="1" t="n">
        <v>45984</v>
      </c>
      <c r="D270" t="inlineStr">
        <is>
          <t>JÄMTLANDS LÄN</t>
        </is>
      </c>
      <c r="E270" t="inlineStr">
        <is>
          <t>ÖSTERSUND</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40325-2025</t>
        </is>
      </c>
      <c r="B271" s="1" t="n">
        <v>45895.4484837963</v>
      </c>
      <c r="C271" s="1" t="n">
        <v>45984</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53176-2024</t>
        </is>
      </c>
      <c r="B272" s="1" t="n">
        <v>45611.66655092593</v>
      </c>
      <c r="C272" s="1" t="n">
        <v>45984</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2228-2024</t>
        </is>
      </c>
      <c r="B273" s="1" t="n">
        <v>45309</v>
      </c>
      <c r="C273" s="1" t="n">
        <v>45984</v>
      </c>
      <c r="D273" t="inlineStr">
        <is>
          <t>JÄMTLANDS LÄN</t>
        </is>
      </c>
      <c r="E273" t="inlineStr">
        <is>
          <t>ÖSTERSUND</t>
        </is>
      </c>
      <c r="G273" t="n">
        <v>2.5</v>
      </c>
      <c r="H273" t="n">
        <v>0</v>
      </c>
      <c r="I273" t="n">
        <v>0</v>
      </c>
      <c r="J273" t="n">
        <v>0</v>
      </c>
      <c r="K273" t="n">
        <v>0</v>
      </c>
      <c r="L273" t="n">
        <v>0</v>
      </c>
      <c r="M273" t="n">
        <v>0</v>
      </c>
      <c r="N273" t="n">
        <v>0</v>
      </c>
      <c r="O273" t="n">
        <v>0</v>
      </c>
      <c r="P273" t="n">
        <v>0</v>
      </c>
      <c r="Q273" t="n">
        <v>0</v>
      </c>
      <c r="R273" s="2" t="inlineStr"/>
    </row>
    <row r="274" ht="15" customHeight="1">
      <c r="A274" t="inlineStr">
        <is>
          <t>A 24946-2025</t>
        </is>
      </c>
      <c r="B274" s="1" t="n">
        <v>45799.56515046296</v>
      </c>
      <c r="C274" s="1" t="n">
        <v>45984</v>
      </c>
      <c r="D274" t="inlineStr">
        <is>
          <t>JÄMTLANDS LÄN</t>
        </is>
      </c>
      <c r="E274" t="inlineStr">
        <is>
          <t>ÖSTERSUND</t>
        </is>
      </c>
      <c r="G274" t="n">
        <v>4.8</v>
      </c>
      <c r="H274" t="n">
        <v>0</v>
      </c>
      <c r="I274" t="n">
        <v>0</v>
      </c>
      <c r="J274" t="n">
        <v>0</v>
      </c>
      <c r="K274" t="n">
        <v>0</v>
      </c>
      <c r="L274" t="n">
        <v>0</v>
      </c>
      <c r="M274" t="n">
        <v>0</v>
      </c>
      <c r="N274" t="n">
        <v>0</v>
      </c>
      <c r="O274" t="n">
        <v>0</v>
      </c>
      <c r="P274" t="n">
        <v>0</v>
      </c>
      <c r="Q274" t="n">
        <v>0</v>
      </c>
      <c r="R274" s="2" t="inlineStr"/>
    </row>
    <row r="275" ht="15" customHeight="1">
      <c r="A275" t="inlineStr">
        <is>
          <t>A 40361-2025</t>
        </is>
      </c>
      <c r="B275" s="1" t="n">
        <v>45895.49026620371</v>
      </c>
      <c r="C275" s="1" t="n">
        <v>45984</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20400-2024</t>
        </is>
      </c>
      <c r="B276" s="1" t="n">
        <v>45435.55372685185</v>
      </c>
      <c r="C276" s="1" t="n">
        <v>45984</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40326-2025</t>
        </is>
      </c>
      <c r="B277" s="1" t="n">
        <v>45895.44856481482</v>
      </c>
      <c r="C277" s="1" t="n">
        <v>45984</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25210-2025</t>
        </is>
      </c>
      <c r="B278" s="1" t="n">
        <v>45800.46960648148</v>
      </c>
      <c r="C278" s="1" t="n">
        <v>45984</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14182-2025</t>
        </is>
      </c>
      <c r="B279" s="1" t="n">
        <v>45740.54168981482</v>
      </c>
      <c r="C279" s="1" t="n">
        <v>45984</v>
      </c>
      <c r="D279" t="inlineStr">
        <is>
          <t>JÄMTLANDS LÄN</t>
        </is>
      </c>
      <c r="E279" t="inlineStr">
        <is>
          <t>ÖSTERSUND</t>
        </is>
      </c>
      <c r="F279" t="inlineStr">
        <is>
          <t>Övriga Aktiebolag</t>
        </is>
      </c>
      <c r="G279" t="n">
        <v>20.1</v>
      </c>
      <c r="H279" t="n">
        <v>0</v>
      </c>
      <c r="I279" t="n">
        <v>0</v>
      </c>
      <c r="J279" t="n">
        <v>0</v>
      </c>
      <c r="K279" t="n">
        <v>0</v>
      </c>
      <c r="L279" t="n">
        <v>0</v>
      </c>
      <c r="M279" t="n">
        <v>0</v>
      </c>
      <c r="N279" t="n">
        <v>0</v>
      </c>
      <c r="O279" t="n">
        <v>0</v>
      </c>
      <c r="P279" t="n">
        <v>0</v>
      </c>
      <c r="Q279" t="n">
        <v>0</v>
      </c>
      <c r="R279" s="2" t="inlineStr"/>
    </row>
    <row r="280" ht="15" customHeight="1">
      <c r="A280" t="inlineStr">
        <is>
          <t>A 25058-2025</t>
        </is>
      </c>
      <c r="B280" s="1" t="n">
        <v>45799.68418981481</v>
      </c>
      <c r="C280" s="1" t="n">
        <v>45984</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25252-2025</t>
        </is>
      </c>
      <c r="B281" s="1" t="n">
        <v>45800.50355324074</v>
      </c>
      <c r="C281" s="1" t="n">
        <v>45984</v>
      </c>
      <c r="D281" t="inlineStr">
        <is>
          <t>JÄMTLANDS LÄN</t>
        </is>
      </c>
      <c r="E281" t="inlineStr">
        <is>
          <t>ÖSTERSUND</t>
        </is>
      </c>
      <c r="G281" t="n">
        <v>2.7</v>
      </c>
      <c r="H281" t="n">
        <v>0</v>
      </c>
      <c r="I281" t="n">
        <v>0</v>
      </c>
      <c r="J281" t="n">
        <v>0</v>
      </c>
      <c r="K281" t="n">
        <v>0</v>
      </c>
      <c r="L281" t="n">
        <v>0</v>
      </c>
      <c r="M281" t="n">
        <v>0</v>
      </c>
      <c r="N281" t="n">
        <v>0</v>
      </c>
      <c r="O281" t="n">
        <v>0</v>
      </c>
      <c r="P281" t="n">
        <v>0</v>
      </c>
      <c r="Q281" t="n">
        <v>0</v>
      </c>
      <c r="R281" s="2" t="inlineStr"/>
    </row>
    <row r="282" ht="15" customHeight="1">
      <c r="A282" t="inlineStr">
        <is>
          <t>A 28179-2024</t>
        </is>
      </c>
      <c r="B282" s="1" t="n">
        <v>45477.26746527778</v>
      </c>
      <c r="C282" s="1" t="n">
        <v>45984</v>
      </c>
      <c r="D282" t="inlineStr">
        <is>
          <t>JÄMTLANDS LÄN</t>
        </is>
      </c>
      <c r="E282" t="inlineStr">
        <is>
          <t>ÖSTERSUND</t>
        </is>
      </c>
      <c r="G282" t="n">
        <v>2.2</v>
      </c>
      <c r="H282" t="n">
        <v>0</v>
      </c>
      <c r="I282" t="n">
        <v>0</v>
      </c>
      <c r="J282" t="n">
        <v>0</v>
      </c>
      <c r="K282" t="n">
        <v>0</v>
      </c>
      <c r="L282" t="n">
        <v>0</v>
      </c>
      <c r="M282" t="n">
        <v>0</v>
      </c>
      <c r="N282" t="n">
        <v>0</v>
      </c>
      <c r="O282" t="n">
        <v>0</v>
      </c>
      <c r="P282" t="n">
        <v>0</v>
      </c>
      <c r="Q282" t="n">
        <v>0</v>
      </c>
      <c r="R282" s="2" t="inlineStr"/>
    </row>
    <row r="283" ht="15" customHeight="1">
      <c r="A283" t="inlineStr">
        <is>
          <t>A 14518-2023</t>
        </is>
      </c>
      <c r="B283" s="1" t="n">
        <v>45012</v>
      </c>
      <c r="C283" s="1" t="n">
        <v>45984</v>
      </c>
      <c r="D283" t="inlineStr">
        <is>
          <t>JÄMTLANDS LÄN</t>
        </is>
      </c>
      <c r="E283" t="inlineStr">
        <is>
          <t>ÖSTERSUND</t>
        </is>
      </c>
      <c r="G283" t="n">
        <v>14.4</v>
      </c>
      <c r="H283" t="n">
        <v>0</v>
      </c>
      <c r="I283" t="n">
        <v>0</v>
      </c>
      <c r="J283" t="n">
        <v>0</v>
      </c>
      <c r="K283" t="n">
        <v>0</v>
      </c>
      <c r="L283" t="n">
        <v>0</v>
      </c>
      <c r="M283" t="n">
        <v>0</v>
      </c>
      <c r="N283" t="n">
        <v>0</v>
      </c>
      <c r="O283" t="n">
        <v>0</v>
      </c>
      <c r="P283" t="n">
        <v>0</v>
      </c>
      <c r="Q283" t="n">
        <v>0</v>
      </c>
      <c r="R283" s="2" t="inlineStr"/>
    </row>
    <row r="284" ht="15" customHeight="1">
      <c r="A284" t="inlineStr">
        <is>
          <t>A 25059-2025</t>
        </is>
      </c>
      <c r="B284" s="1" t="n">
        <v>45799.69116898148</v>
      </c>
      <c r="C284" s="1" t="n">
        <v>45984</v>
      </c>
      <c r="D284" t="inlineStr">
        <is>
          <t>JÄMTLANDS LÄN</t>
        </is>
      </c>
      <c r="E284" t="inlineStr">
        <is>
          <t>ÖSTERSUND</t>
        </is>
      </c>
      <c r="G284" t="n">
        <v>2.7</v>
      </c>
      <c r="H284" t="n">
        <v>0</v>
      </c>
      <c r="I284" t="n">
        <v>0</v>
      </c>
      <c r="J284" t="n">
        <v>0</v>
      </c>
      <c r="K284" t="n">
        <v>0</v>
      </c>
      <c r="L284" t="n">
        <v>0</v>
      </c>
      <c r="M284" t="n">
        <v>0</v>
      </c>
      <c r="N284" t="n">
        <v>0</v>
      </c>
      <c r="O284" t="n">
        <v>0</v>
      </c>
      <c r="P284" t="n">
        <v>0</v>
      </c>
      <c r="Q284" t="n">
        <v>0</v>
      </c>
      <c r="R284" s="2" t="inlineStr"/>
    </row>
    <row r="285" ht="15" customHeight="1">
      <c r="A285" t="inlineStr">
        <is>
          <t>A 27906-2024</t>
        </is>
      </c>
      <c r="B285" s="1" t="n">
        <v>45475.94585648148</v>
      </c>
      <c r="C285" s="1" t="n">
        <v>45984</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25069-2025</t>
        </is>
      </c>
      <c r="B286" s="1" t="n">
        <v>45799.7372337963</v>
      </c>
      <c r="C286" s="1" t="n">
        <v>45984</v>
      </c>
      <c r="D286" t="inlineStr">
        <is>
          <t>JÄMTLANDS LÄN</t>
        </is>
      </c>
      <c r="E286" t="inlineStr">
        <is>
          <t>ÖSTERSUND</t>
        </is>
      </c>
      <c r="G286" t="n">
        <v>3.5</v>
      </c>
      <c r="H286" t="n">
        <v>0</v>
      </c>
      <c r="I286" t="n">
        <v>0</v>
      </c>
      <c r="J286" t="n">
        <v>0</v>
      </c>
      <c r="K286" t="n">
        <v>0</v>
      </c>
      <c r="L286" t="n">
        <v>0</v>
      </c>
      <c r="M286" t="n">
        <v>0</v>
      </c>
      <c r="N286" t="n">
        <v>0</v>
      </c>
      <c r="O286" t="n">
        <v>0</v>
      </c>
      <c r="P286" t="n">
        <v>0</v>
      </c>
      <c r="Q286" t="n">
        <v>0</v>
      </c>
      <c r="R286" s="2" t="inlineStr"/>
    </row>
    <row r="287" ht="15" customHeight="1">
      <c r="A287" t="inlineStr">
        <is>
          <t>A 25572-2025</t>
        </is>
      </c>
      <c r="B287" s="1" t="n">
        <v>45803</v>
      </c>
      <c r="C287" s="1" t="n">
        <v>45984</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13166-2023</t>
        </is>
      </c>
      <c r="B288" s="1" t="n">
        <v>45002</v>
      </c>
      <c r="C288" s="1" t="n">
        <v>45984</v>
      </c>
      <c r="D288" t="inlineStr">
        <is>
          <t>JÄMTLANDS LÄN</t>
        </is>
      </c>
      <c r="E288" t="inlineStr">
        <is>
          <t>ÖSTERSUND</t>
        </is>
      </c>
      <c r="F288" t="inlineStr">
        <is>
          <t>Övriga statliga verk och myndigheter</t>
        </is>
      </c>
      <c r="G288" t="n">
        <v>1</v>
      </c>
      <c r="H288" t="n">
        <v>0</v>
      </c>
      <c r="I288" t="n">
        <v>0</v>
      </c>
      <c r="J288" t="n">
        <v>0</v>
      </c>
      <c r="K288" t="n">
        <v>0</v>
      </c>
      <c r="L288" t="n">
        <v>0</v>
      </c>
      <c r="M288" t="n">
        <v>0</v>
      </c>
      <c r="N288" t="n">
        <v>0</v>
      </c>
      <c r="O288" t="n">
        <v>0</v>
      </c>
      <c r="P288" t="n">
        <v>0</v>
      </c>
      <c r="Q288" t="n">
        <v>0</v>
      </c>
      <c r="R288" s="2" t="inlineStr"/>
    </row>
    <row r="289" ht="15" customHeight="1">
      <c r="A289" t="inlineStr">
        <is>
          <t>A 50168-2025</t>
        </is>
      </c>
      <c r="B289" s="1" t="n">
        <v>45943.59442129629</v>
      </c>
      <c r="C289" s="1" t="n">
        <v>45984</v>
      </c>
      <c r="D289" t="inlineStr">
        <is>
          <t>JÄMTLANDS LÄN</t>
        </is>
      </c>
      <c r="E289" t="inlineStr">
        <is>
          <t>ÖSTERSUND</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41675-2025</t>
        </is>
      </c>
      <c r="B290" s="1" t="n">
        <v>45902.36641203704</v>
      </c>
      <c r="C290" s="1" t="n">
        <v>45984</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41708-2025</t>
        </is>
      </c>
      <c r="B291" s="1" t="n">
        <v>45902.42280092592</v>
      </c>
      <c r="C291" s="1" t="n">
        <v>45984</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9109-2024</t>
        </is>
      </c>
      <c r="B292" s="1" t="n">
        <v>45357.96106481482</v>
      </c>
      <c r="C292" s="1" t="n">
        <v>45984</v>
      </c>
      <c r="D292" t="inlineStr">
        <is>
          <t>JÄMTLANDS LÄN</t>
        </is>
      </c>
      <c r="E292" t="inlineStr">
        <is>
          <t>ÖSTERSUND</t>
        </is>
      </c>
      <c r="G292" t="n">
        <v>17.1</v>
      </c>
      <c r="H292" t="n">
        <v>0</v>
      </c>
      <c r="I292" t="n">
        <v>0</v>
      </c>
      <c r="J292" t="n">
        <v>0</v>
      </c>
      <c r="K292" t="n">
        <v>0</v>
      </c>
      <c r="L292" t="n">
        <v>0</v>
      </c>
      <c r="M292" t="n">
        <v>0</v>
      </c>
      <c r="N292" t="n">
        <v>0</v>
      </c>
      <c r="O292" t="n">
        <v>0</v>
      </c>
      <c r="P292" t="n">
        <v>0</v>
      </c>
      <c r="Q292" t="n">
        <v>0</v>
      </c>
      <c r="R292" s="2" t="inlineStr"/>
    </row>
    <row r="293" ht="15" customHeight="1">
      <c r="A293" t="inlineStr">
        <is>
          <t>A 26144-2025</t>
        </is>
      </c>
      <c r="B293" s="1" t="n">
        <v>45805.42827546296</v>
      </c>
      <c r="C293" s="1" t="n">
        <v>45984</v>
      </c>
      <c r="D293" t="inlineStr">
        <is>
          <t>JÄMTLANDS LÄN</t>
        </is>
      </c>
      <c r="E293" t="inlineStr">
        <is>
          <t>ÖSTERSUND</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47357-2024</t>
        </is>
      </c>
      <c r="B294" s="1" t="n">
        <v>45587.42835648148</v>
      </c>
      <c r="C294" s="1" t="n">
        <v>45984</v>
      </c>
      <c r="D294" t="inlineStr">
        <is>
          <t>JÄMTLANDS LÄN</t>
        </is>
      </c>
      <c r="E294" t="inlineStr">
        <is>
          <t>ÖSTERSUND</t>
        </is>
      </c>
      <c r="G294" t="n">
        <v>2.4</v>
      </c>
      <c r="H294" t="n">
        <v>0</v>
      </c>
      <c r="I294" t="n">
        <v>0</v>
      </c>
      <c r="J294" t="n">
        <v>0</v>
      </c>
      <c r="K294" t="n">
        <v>0</v>
      </c>
      <c r="L294" t="n">
        <v>0</v>
      </c>
      <c r="M294" t="n">
        <v>0</v>
      </c>
      <c r="N294" t="n">
        <v>0</v>
      </c>
      <c r="O294" t="n">
        <v>0</v>
      </c>
      <c r="P294" t="n">
        <v>0</v>
      </c>
      <c r="Q294" t="n">
        <v>0</v>
      </c>
      <c r="R294" s="2" t="inlineStr"/>
    </row>
    <row r="295" ht="15" customHeight="1">
      <c r="A295" t="inlineStr">
        <is>
          <t>A 41582-2025</t>
        </is>
      </c>
      <c r="B295" s="1" t="n">
        <v>45901</v>
      </c>
      <c r="C295" s="1" t="n">
        <v>45984</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50428-2025</t>
        </is>
      </c>
      <c r="B296" s="1" t="n">
        <v>45944.67787037037</v>
      </c>
      <c r="C296" s="1" t="n">
        <v>45984</v>
      </c>
      <c r="D296" t="inlineStr">
        <is>
          <t>JÄMTLANDS LÄN</t>
        </is>
      </c>
      <c r="E296" t="inlineStr">
        <is>
          <t>ÖSTERSUND</t>
        </is>
      </c>
      <c r="F296" t="inlineStr">
        <is>
          <t>SCA</t>
        </is>
      </c>
      <c r="G296" t="n">
        <v>4.9</v>
      </c>
      <c r="H296" t="n">
        <v>0</v>
      </c>
      <c r="I296" t="n">
        <v>0</v>
      </c>
      <c r="J296" t="n">
        <v>0</v>
      </c>
      <c r="K296" t="n">
        <v>0</v>
      </c>
      <c r="L296" t="n">
        <v>0</v>
      </c>
      <c r="M296" t="n">
        <v>0</v>
      </c>
      <c r="N296" t="n">
        <v>0</v>
      </c>
      <c r="O296" t="n">
        <v>0</v>
      </c>
      <c r="P296" t="n">
        <v>0</v>
      </c>
      <c r="Q296" t="n">
        <v>0</v>
      </c>
      <c r="R296" s="2" t="inlineStr"/>
    </row>
    <row r="297" ht="15" customHeight="1">
      <c r="A297" t="inlineStr">
        <is>
          <t>A 5135-2025</t>
        </is>
      </c>
      <c r="B297" s="1" t="n">
        <v>45691</v>
      </c>
      <c r="C297" s="1" t="n">
        <v>45984</v>
      </c>
      <c r="D297" t="inlineStr">
        <is>
          <t>JÄMTLANDS LÄN</t>
        </is>
      </c>
      <c r="E297" t="inlineStr">
        <is>
          <t>ÖSTERSUND</t>
        </is>
      </c>
      <c r="F297" t="inlineStr">
        <is>
          <t>Övriga Aktiebolag</t>
        </is>
      </c>
      <c r="G297" t="n">
        <v>126.9</v>
      </c>
      <c r="H297" t="n">
        <v>0</v>
      </c>
      <c r="I297" t="n">
        <v>0</v>
      </c>
      <c r="J297" t="n">
        <v>0</v>
      </c>
      <c r="K297" t="n">
        <v>0</v>
      </c>
      <c r="L297" t="n">
        <v>0</v>
      </c>
      <c r="M297" t="n">
        <v>0</v>
      </c>
      <c r="N297" t="n">
        <v>0</v>
      </c>
      <c r="O297" t="n">
        <v>0</v>
      </c>
      <c r="P297" t="n">
        <v>0</v>
      </c>
      <c r="Q297" t="n">
        <v>0</v>
      </c>
      <c r="R297" s="2" t="inlineStr"/>
    </row>
    <row r="298" ht="15" customHeight="1">
      <c r="A298" t="inlineStr">
        <is>
          <t>A 61256-2022</t>
        </is>
      </c>
      <c r="B298" s="1" t="n">
        <v>44909</v>
      </c>
      <c r="C298" s="1" t="n">
        <v>45984</v>
      </c>
      <c r="D298" t="inlineStr">
        <is>
          <t>JÄMTLANDS LÄN</t>
        </is>
      </c>
      <c r="E298" t="inlineStr">
        <is>
          <t>ÖSTERSUND</t>
        </is>
      </c>
      <c r="G298" t="n">
        <v>3.9</v>
      </c>
      <c r="H298" t="n">
        <v>0</v>
      </c>
      <c r="I298" t="n">
        <v>0</v>
      </c>
      <c r="J298" t="n">
        <v>0</v>
      </c>
      <c r="K298" t="n">
        <v>0</v>
      </c>
      <c r="L298" t="n">
        <v>0</v>
      </c>
      <c r="M298" t="n">
        <v>0</v>
      </c>
      <c r="N298" t="n">
        <v>0</v>
      </c>
      <c r="O298" t="n">
        <v>0</v>
      </c>
      <c r="P298" t="n">
        <v>0</v>
      </c>
      <c r="Q298" t="n">
        <v>0</v>
      </c>
      <c r="R298" s="2" t="inlineStr"/>
    </row>
    <row r="299" ht="15" customHeight="1">
      <c r="A299" t="inlineStr">
        <is>
          <t>A 39510-2024</t>
        </is>
      </c>
      <c r="B299" s="1" t="n">
        <v>45551.67761574074</v>
      </c>
      <c r="C299" s="1" t="n">
        <v>45984</v>
      </c>
      <c r="D299" t="inlineStr">
        <is>
          <t>JÄMTLANDS LÄN</t>
        </is>
      </c>
      <c r="E299" t="inlineStr">
        <is>
          <t>ÖSTERSUND</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10064-2024</t>
        </is>
      </c>
      <c r="B300" s="1" t="n">
        <v>45364.3874074074</v>
      </c>
      <c r="C300" s="1" t="n">
        <v>45984</v>
      </c>
      <c r="D300" t="inlineStr">
        <is>
          <t>JÄMTLANDS LÄN</t>
        </is>
      </c>
      <c r="E300" t="inlineStr">
        <is>
          <t>ÖSTERSUND</t>
        </is>
      </c>
      <c r="G300" t="n">
        <v>13.9</v>
      </c>
      <c r="H300" t="n">
        <v>0</v>
      </c>
      <c r="I300" t="n">
        <v>0</v>
      </c>
      <c r="J300" t="n">
        <v>0</v>
      </c>
      <c r="K300" t="n">
        <v>0</v>
      </c>
      <c r="L300" t="n">
        <v>0</v>
      </c>
      <c r="M300" t="n">
        <v>0</v>
      </c>
      <c r="N300" t="n">
        <v>0</v>
      </c>
      <c r="O300" t="n">
        <v>0</v>
      </c>
      <c r="P300" t="n">
        <v>0</v>
      </c>
      <c r="Q300" t="n">
        <v>0</v>
      </c>
      <c r="R300" s="2" t="inlineStr"/>
    </row>
    <row r="301" ht="15" customHeight="1">
      <c r="A301" t="inlineStr">
        <is>
          <t>A 3610-2024</t>
        </is>
      </c>
      <c r="B301" s="1" t="n">
        <v>45320.92060185185</v>
      </c>
      <c r="C301" s="1" t="n">
        <v>45984</v>
      </c>
      <c r="D301" t="inlineStr">
        <is>
          <t>JÄMTLANDS LÄN</t>
        </is>
      </c>
      <c r="E301" t="inlineStr">
        <is>
          <t>ÖSTERSUND</t>
        </is>
      </c>
      <c r="G301" t="n">
        <v>6.2</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45984</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26492-2025</t>
        </is>
      </c>
      <c r="B303" s="1" t="n">
        <v>45807</v>
      </c>
      <c r="C303" s="1" t="n">
        <v>45984</v>
      </c>
      <c r="D303" t="inlineStr">
        <is>
          <t>JÄMTLANDS LÄN</t>
        </is>
      </c>
      <c r="E303" t="inlineStr">
        <is>
          <t>ÖSTERSUND</t>
        </is>
      </c>
      <c r="G303" t="n">
        <v>7</v>
      </c>
      <c r="H303" t="n">
        <v>0</v>
      </c>
      <c r="I303" t="n">
        <v>0</v>
      </c>
      <c r="J303" t="n">
        <v>0</v>
      </c>
      <c r="K303" t="n">
        <v>0</v>
      </c>
      <c r="L303" t="n">
        <v>0</v>
      </c>
      <c r="M303" t="n">
        <v>0</v>
      </c>
      <c r="N303" t="n">
        <v>0</v>
      </c>
      <c r="O303" t="n">
        <v>0</v>
      </c>
      <c r="P303" t="n">
        <v>0</v>
      </c>
      <c r="Q303" t="n">
        <v>0</v>
      </c>
      <c r="R303" s="2" t="inlineStr"/>
    </row>
    <row r="304" ht="15" customHeight="1">
      <c r="A304" t="inlineStr">
        <is>
          <t>A 26500-2025</t>
        </is>
      </c>
      <c r="B304" s="1" t="n">
        <v>45807</v>
      </c>
      <c r="C304" s="1" t="n">
        <v>45984</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25187-2024</t>
        </is>
      </c>
      <c r="B305" s="1" t="n">
        <v>45462.56172453704</v>
      </c>
      <c r="C305" s="1" t="n">
        <v>45984</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26587-2025</t>
        </is>
      </c>
      <c r="B306" s="1" t="n">
        <v>45807.75076388889</v>
      </c>
      <c r="C306" s="1" t="n">
        <v>45984</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42129-2025</t>
        </is>
      </c>
      <c r="B307" s="1" t="n">
        <v>45904.3452662037</v>
      </c>
      <c r="C307" s="1" t="n">
        <v>45984</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50528-2025</t>
        </is>
      </c>
      <c r="B308" s="1" t="n">
        <v>45945.47097222223</v>
      </c>
      <c r="C308" s="1" t="n">
        <v>45984</v>
      </c>
      <c r="D308" t="inlineStr">
        <is>
          <t>JÄMTLANDS LÄN</t>
        </is>
      </c>
      <c r="E308" t="inlineStr">
        <is>
          <t>ÖSTERSUND</t>
        </is>
      </c>
      <c r="G308" t="n">
        <v>3.4</v>
      </c>
      <c r="H308" t="n">
        <v>0</v>
      </c>
      <c r="I308" t="n">
        <v>0</v>
      </c>
      <c r="J308" t="n">
        <v>0</v>
      </c>
      <c r="K308" t="n">
        <v>0</v>
      </c>
      <c r="L308" t="n">
        <v>0</v>
      </c>
      <c r="M308" t="n">
        <v>0</v>
      </c>
      <c r="N308" t="n">
        <v>0</v>
      </c>
      <c r="O308" t="n">
        <v>0</v>
      </c>
      <c r="P308" t="n">
        <v>0</v>
      </c>
      <c r="Q308" t="n">
        <v>0</v>
      </c>
      <c r="R308" s="2" t="inlineStr"/>
    </row>
    <row r="309" ht="15" customHeight="1">
      <c r="A309" t="inlineStr">
        <is>
          <t>A 50529-2025</t>
        </is>
      </c>
      <c r="B309" s="1" t="n">
        <v>45945.47331018518</v>
      </c>
      <c r="C309" s="1" t="n">
        <v>45984</v>
      </c>
      <c r="D309" t="inlineStr">
        <is>
          <t>JÄMTLANDS LÄN</t>
        </is>
      </c>
      <c r="E309" t="inlineStr">
        <is>
          <t>ÖSTERSUND</t>
        </is>
      </c>
      <c r="G309" t="n">
        <v>7</v>
      </c>
      <c r="H309" t="n">
        <v>0</v>
      </c>
      <c r="I309" t="n">
        <v>0</v>
      </c>
      <c r="J309" t="n">
        <v>0</v>
      </c>
      <c r="K309" t="n">
        <v>0</v>
      </c>
      <c r="L309" t="n">
        <v>0</v>
      </c>
      <c r="M309" t="n">
        <v>0</v>
      </c>
      <c r="N309" t="n">
        <v>0</v>
      </c>
      <c r="O309" t="n">
        <v>0</v>
      </c>
      <c r="P309" t="n">
        <v>0</v>
      </c>
      <c r="Q309" t="n">
        <v>0</v>
      </c>
      <c r="R309" s="2" t="inlineStr"/>
    </row>
    <row r="310" ht="15" customHeight="1">
      <c r="A310" t="inlineStr">
        <is>
          <t>A 26605-2025</t>
        </is>
      </c>
      <c r="B310" s="1" t="n">
        <v>45809.86790509259</v>
      </c>
      <c r="C310" s="1" t="n">
        <v>45984</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13651-2025</t>
        </is>
      </c>
      <c r="B311" s="1" t="n">
        <v>45736.71818287037</v>
      </c>
      <c r="C311" s="1" t="n">
        <v>45984</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27035-2025</t>
        </is>
      </c>
      <c r="B312" s="1" t="n">
        <v>45811.5928587963</v>
      </c>
      <c r="C312" s="1" t="n">
        <v>45984</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61449-2024</t>
        </is>
      </c>
      <c r="B313" s="1" t="n">
        <v>45646.48988425926</v>
      </c>
      <c r="C313" s="1" t="n">
        <v>45984</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61450-2024</t>
        </is>
      </c>
      <c r="B314" s="1" t="n">
        <v>45646.49012731481</v>
      </c>
      <c r="C314" s="1" t="n">
        <v>45984</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61451-2024</t>
        </is>
      </c>
      <c r="B315" s="1" t="n">
        <v>45646.49017361111</v>
      </c>
      <c r="C315" s="1" t="n">
        <v>45984</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25995-2025</t>
        </is>
      </c>
      <c r="B316" s="1" t="n">
        <v>45804.656875</v>
      </c>
      <c r="C316" s="1" t="n">
        <v>45984</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18627-2024</t>
        </is>
      </c>
      <c r="B317" s="1" t="n">
        <v>45425.96443287037</v>
      </c>
      <c r="C317" s="1" t="n">
        <v>45984</v>
      </c>
      <c r="D317" t="inlineStr">
        <is>
          <t>JÄMTLANDS LÄN</t>
        </is>
      </c>
      <c r="E317" t="inlineStr">
        <is>
          <t>ÖSTERSUND</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27034-2025</t>
        </is>
      </c>
      <c r="B318" s="1" t="n">
        <v>45811.59258101852</v>
      </c>
      <c r="C318" s="1" t="n">
        <v>45984</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27517-2025</t>
        </is>
      </c>
      <c r="B319" s="1" t="n">
        <v>45813.43966435185</v>
      </c>
      <c r="C319" s="1" t="n">
        <v>45984</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10266-2025</t>
        </is>
      </c>
      <c r="B320" s="1" t="n">
        <v>45720.38576388889</v>
      </c>
      <c r="C320" s="1" t="n">
        <v>45984</v>
      </c>
      <c r="D320" t="inlineStr">
        <is>
          <t>JÄMTLANDS LÄN</t>
        </is>
      </c>
      <c r="E320" t="inlineStr">
        <is>
          <t>ÖSTERSUND</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28181-2024</t>
        </is>
      </c>
      <c r="B321" s="1" t="n">
        <v>45477.28482638889</v>
      </c>
      <c r="C321" s="1" t="n">
        <v>45984</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45984</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36099-2025</t>
        </is>
      </c>
      <c r="B323" s="1" t="n">
        <v>45866.51630787037</v>
      </c>
      <c r="C323" s="1" t="n">
        <v>45984</v>
      </c>
      <c r="D323" t="inlineStr">
        <is>
          <t>JÄMTLANDS LÄN</t>
        </is>
      </c>
      <c r="E323" t="inlineStr">
        <is>
          <t>ÖSTERSUND</t>
        </is>
      </c>
      <c r="G323" t="n">
        <v>1.9</v>
      </c>
      <c r="H323" t="n">
        <v>0</v>
      </c>
      <c r="I323" t="n">
        <v>0</v>
      </c>
      <c r="J323" t="n">
        <v>0</v>
      </c>
      <c r="K323" t="n">
        <v>0</v>
      </c>
      <c r="L323" t="n">
        <v>0</v>
      </c>
      <c r="M323" t="n">
        <v>0</v>
      </c>
      <c r="N323" t="n">
        <v>0</v>
      </c>
      <c r="O323" t="n">
        <v>0</v>
      </c>
      <c r="P323" t="n">
        <v>0</v>
      </c>
      <c r="Q323" t="n">
        <v>0</v>
      </c>
      <c r="R323" s="2" t="inlineStr"/>
    </row>
    <row r="324" ht="15" customHeight="1">
      <c r="A324" t="inlineStr">
        <is>
          <t>A 7956-2025</t>
        </is>
      </c>
      <c r="B324" s="1" t="n">
        <v>45707.42825231481</v>
      </c>
      <c r="C324" s="1" t="n">
        <v>45984</v>
      </c>
      <c r="D324" t="inlineStr">
        <is>
          <t>JÄMTLANDS LÄN</t>
        </is>
      </c>
      <c r="E324" t="inlineStr">
        <is>
          <t>ÖSTERSUND</t>
        </is>
      </c>
      <c r="F324" t="inlineStr">
        <is>
          <t>Övriga Aktiebolag</t>
        </is>
      </c>
      <c r="G324" t="n">
        <v>111.2</v>
      </c>
      <c r="H324" t="n">
        <v>0</v>
      </c>
      <c r="I324" t="n">
        <v>0</v>
      </c>
      <c r="J324" t="n">
        <v>0</v>
      </c>
      <c r="K324" t="n">
        <v>0</v>
      </c>
      <c r="L324" t="n">
        <v>0</v>
      </c>
      <c r="M324" t="n">
        <v>0</v>
      </c>
      <c r="N324" t="n">
        <v>0</v>
      </c>
      <c r="O324" t="n">
        <v>0</v>
      </c>
      <c r="P324" t="n">
        <v>0</v>
      </c>
      <c r="Q324" t="n">
        <v>0</v>
      </c>
      <c r="R324" s="2" t="inlineStr"/>
    </row>
    <row r="325" ht="15" customHeight="1">
      <c r="A325" t="inlineStr">
        <is>
          <t>A 846-2024</t>
        </is>
      </c>
      <c r="B325" s="1" t="n">
        <v>45300</v>
      </c>
      <c r="C325" s="1" t="n">
        <v>45984</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28025-2025</t>
        </is>
      </c>
      <c r="B326" s="1" t="n">
        <v>45817</v>
      </c>
      <c r="C326" s="1" t="n">
        <v>45984</v>
      </c>
      <c r="D326" t="inlineStr">
        <is>
          <t>JÄMTLANDS LÄN</t>
        </is>
      </c>
      <c r="E326" t="inlineStr">
        <is>
          <t>ÖSTERSUND</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28185-2025</t>
        </is>
      </c>
      <c r="B327" s="1" t="n">
        <v>45818.40337962963</v>
      </c>
      <c r="C327" s="1" t="n">
        <v>45984</v>
      </c>
      <c r="D327" t="inlineStr">
        <is>
          <t>JÄMTLANDS LÄN</t>
        </is>
      </c>
      <c r="E327" t="inlineStr">
        <is>
          <t>ÖSTERSUND</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53060-2024</t>
        </is>
      </c>
      <c r="B328" s="1" t="n">
        <v>45611.46912037037</v>
      </c>
      <c r="C328" s="1" t="n">
        <v>45984</v>
      </c>
      <c r="D328" t="inlineStr">
        <is>
          <t>JÄMTLANDS LÄN</t>
        </is>
      </c>
      <c r="E328" t="inlineStr">
        <is>
          <t>ÖSTERSUND</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42989-2025</t>
        </is>
      </c>
      <c r="B329" s="1" t="n">
        <v>45909.44971064815</v>
      </c>
      <c r="C329" s="1" t="n">
        <v>45984</v>
      </c>
      <c r="D329" t="inlineStr">
        <is>
          <t>JÄMTLANDS LÄN</t>
        </is>
      </c>
      <c r="E329" t="inlineStr">
        <is>
          <t>ÖSTERSUND</t>
        </is>
      </c>
      <c r="G329" t="n">
        <v>3</v>
      </c>
      <c r="H329" t="n">
        <v>0</v>
      </c>
      <c r="I329" t="n">
        <v>0</v>
      </c>
      <c r="J329" t="n">
        <v>0</v>
      </c>
      <c r="K329" t="n">
        <v>0</v>
      </c>
      <c r="L329" t="n">
        <v>0</v>
      </c>
      <c r="M329" t="n">
        <v>0</v>
      </c>
      <c r="N329" t="n">
        <v>0</v>
      </c>
      <c r="O329" t="n">
        <v>0</v>
      </c>
      <c r="P329" t="n">
        <v>0</v>
      </c>
      <c r="Q329" t="n">
        <v>0</v>
      </c>
      <c r="R329" s="2" t="inlineStr"/>
    </row>
    <row r="330" ht="15" customHeight="1">
      <c r="A330" t="inlineStr">
        <is>
          <t>A 52003-2025</t>
        </is>
      </c>
      <c r="B330" s="1" t="n">
        <v>45952.5909375</v>
      </c>
      <c r="C330" s="1" t="n">
        <v>45984</v>
      </c>
      <c r="D330" t="inlineStr">
        <is>
          <t>JÄMTLANDS LÄN</t>
        </is>
      </c>
      <c r="E330" t="inlineStr">
        <is>
          <t>ÖSTERSUND</t>
        </is>
      </c>
      <c r="G330" t="n">
        <v>5.7</v>
      </c>
      <c r="H330" t="n">
        <v>0</v>
      </c>
      <c r="I330" t="n">
        <v>0</v>
      </c>
      <c r="J330" t="n">
        <v>0</v>
      </c>
      <c r="K330" t="n">
        <v>0</v>
      </c>
      <c r="L330" t="n">
        <v>0</v>
      </c>
      <c r="M330" t="n">
        <v>0</v>
      </c>
      <c r="N330" t="n">
        <v>0</v>
      </c>
      <c r="O330" t="n">
        <v>0</v>
      </c>
      <c r="P330" t="n">
        <v>0</v>
      </c>
      <c r="Q330" t="n">
        <v>0</v>
      </c>
      <c r="R330" s="2" t="inlineStr"/>
    </row>
    <row r="331" ht="15" customHeight="1">
      <c r="A331" t="inlineStr">
        <is>
          <t>A 28595-2025</t>
        </is>
      </c>
      <c r="B331" s="1" t="n">
        <v>45819.59429398148</v>
      </c>
      <c r="C331" s="1" t="n">
        <v>45984</v>
      </c>
      <c r="D331" t="inlineStr">
        <is>
          <t>JÄMTLANDS LÄN</t>
        </is>
      </c>
      <c r="E331" t="inlineStr">
        <is>
          <t>ÖSTERSUND</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6013-2022</t>
        </is>
      </c>
      <c r="B332" s="1" t="n">
        <v>44599.45850694444</v>
      </c>
      <c r="C332" s="1" t="n">
        <v>45984</v>
      </c>
      <c r="D332" t="inlineStr">
        <is>
          <t>JÄMTLANDS LÄN</t>
        </is>
      </c>
      <c r="E332" t="inlineStr">
        <is>
          <t>ÖSTERSUND</t>
        </is>
      </c>
      <c r="G332" t="n">
        <v>2.5</v>
      </c>
      <c r="H332" t="n">
        <v>0</v>
      </c>
      <c r="I332" t="n">
        <v>0</v>
      </c>
      <c r="J332" t="n">
        <v>0</v>
      </c>
      <c r="K332" t="n">
        <v>0</v>
      </c>
      <c r="L332" t="n">
        <v>0</v>
      </c>
      <c r="M332" t="n">
        <v>0</v>
      </c>
      <c r="N332" t="n">
        <v>0</v>
      </c>
      <c r="O332" t="n">
        <v>0</v>
      </c>
      <c r="P332" t="n">
        <v>0</v>
      </c>
      <c r="Q332" t="n">
        <v>0</v>
      </c>
      <c r="R332" s="2" t="inlineStr"/>
    </row>
    <row r="333" ht="15" customHeight="1">
      <c r="A333" t="inlineStr">
        <is>
          <t>A 43225-2025</t>
        </is>
      </c>
      <c r="B333" s="1" t="n">
        <v>45910.4900462963</v>
      </c>
      <c r="C333" s="1" t="n">
        <v>45984</v>
      </c>
      <c r="D333" t="inlineStr">
        <is>
          <t>JÄMTLANDS LÄN</t>
        </is>
      </c>
      <c r="E333" t="inlineStr">
        <is>
          <t>ÖSTERSUND</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24781-2024</t>
        </is>
      </c>
      <c r="B334" s="1" t="n">
        <v>45460.7772800926</v>
      </c>
      <c r="C334" s="1" t="n">
        <v>45984</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58952-2024</t>
        </is>
      </c>
      <c r="B335" s="1" t="n">
        <v>45636.5674537037</v>
      </c>
      <c r="C335" s="1" t="n">
        <v>45984</v>
      </c>
      <c r="D335" t="inlineStr">
        <is>
          <t>JÄMTLANDS LÄN</t>
        </is>
      </c>
      <c r="E335" t="inlineStr">
        <is>
          <t>ÖSTERSUND</t>
        </is>
      </c>
      <c r="G335" t="n">
        <v>3.7</v>
      </c>
      <c r="H335" t="n">
        <v>0</v>
      </c>
      <c r="I335" t="n">
        <v>0</v>
      </c>
      <c r="J335" t="n">
        <v>0</v>
      </c>
      <c r="K335" t="n">
        <v>0</v>
      </c>
      <c r="L335" t="n">
        <v>0</v>
      </c>
      <c r="M335" t="n">
        <v>0</v>
      </c>
      <c r="N335" t="n">
        <v>0</v>
      </c>
      <c r="O335" t="n">
        <v>0</v>
      </c>
      <c r="P335" t="n">
        <v>0</v>
      </c>
      <c r="Q335" t="n">
        <v>0</v>
      </c>
      <c r="R335" s="2" t="inlineStr"/>
    </row>
    <row r="336" ht="15" customHeight="1">
      <c r="A336" t="inlineStr">
        <is>
          <t>A 52286-2025</t>
        </is>
      </c>
      <c r="B336" s="1" t="n">
        <v>45953.58497685185</v>
      </c>
      <c r="C336" s="1" t="n">
        <v>45984</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43082-2024</t>
        </is>
      </c>
      <c r="B337" s="1" t="n">
        <v>45567.51068287037</v>
      </c>
      <c r="C337" s="1" t="n">
        <v>45984</v>
      </c>
      <c r="D337" t="inlineStr">
        <is>
          <t>JÄMTLANDS LÄN</t>
        </is>
      </c>
      <c r="E337" t="inlineStr">
        <is>
          <t>ÖSTERSUND</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5544-2025</t>
        </is>
      </c>
      <c r="B338" s="1" t="n">
        <v>45693</v>
      </c>
      <c r="C338" s="1" t="n">
        <v>45984</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52247-2025</t>
        </is>
      </c>
      <c r="B339" s="1" t="n">
        <v>45953.47575231481</v>
      </c>
      <c r="C339" s="1" t="n">
        <v>45984</v>
      </c>
      <c r="D339" t="inlineStr">
        <is>
          <t>JÄMTLANDS LÄN</t>
        </is>
      </c>
      <c r="E339" t="inlineStr">
        <is>
          <t>ÖSTERSUND</t>
        </is>
      </c>
      <c r="G339" t="n">
        <v>8.4</v>
      </c>
      <c r="H339" t="n">
        <v>0</v>
      </c>
      <c r="I339" t="n">
        <v>0</v>
      </c>
      <c r="J339" t="n">
        <v>0</v>
      </c>
      <c r="K339" t="n">
        <v>0</v>
      </c>
      <c r="L339" t="n">
        <v>0</v>
      </c>
      <c r="M339" t="n">
        <v>0</v>
      </c>
      <c r="N339" t="n">
        <v>0</v>
      </c>
      <c r="O339" t="n">
        <v>0</v>
      </c>
      <c r="P339" t="n">
        <v>0</v>
      </c>
      <c r="Q339" t="n">
        <v>0</v>
      </c>
      <c r="R339" s="2" t="inlineStr"/>
    </row>
    <row r="340" ht="15" customHeight="1">
      <c r="A340" t="inlineStr">
        <is>
          <t>A 30320-2025</t>
        </is>
      </c>
      <c r="B340" s="1" t="n">
        <v>45827.49415509259</v>
      </c>
      <c r="C340" s="1" t="n">
        <v>45984</v>
      </c>
      <c r="D340" t="inlineStr">
        <is>
          <t>JÄMTLANDS LÄN</t>
        </is>
      </c>
      <c r="E340" t="inlineStr">
        <is>
          <t>ÖSTERSUND</t>
        </is>
      </c>
      <c r="G340" t="n">
        <v>4.6</v>
      </c>
      <c r="H340" t="n">
        <v>0</v>
      </c>
      <c r="I340" t="n">
        <v>0</v>
      </c>
      <c r="J340" t="n">
        <v>0</v>
      </c>
      <c r="K340" t="n">
        <v>0</v>
      </c>
      <c r="L340" t="n">
        <v>0</v>
      </c>
      <c r="M340" t="n">
        <v>0</v>
      </c>
      <c r="N340" t="n">
        <v>0</v>
      </c>
      <c r="O340" t="n">
        <v>0</v>
      </c>
      <c r="P340" t="n">
        <v>0</v>
      </c>
      <c r="Q340" t="n">
        <v>0</v>
      </c>
      <c r="R340" s="2" t="inlineStr"/>
    </row>
    <row r="341" ht="15" customHeight="1">
      <c r="A341" t="inlineStr">
        <is>
          <t>A 43411-2025</t>
        </is>
      </c>
      <c r="B341" s="1" t="n">
        <v>45911.40074074074</v>
      </c>
      <c r="C341" s="1" t="n">
        <v>45984</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52280-2025</t>
        </is>
      </c>
      <c r="B342" s="1" t="n">
        <v>45953.56976851852</v>
      </c>
      <c r="C342" s="1" t="n">
        <v>45984</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43548-2025</t>
        </is>
      </c>
      <c r="B343" s="1" t="n">
        <v>45911.61579861111</v>
      </c>
      <c r="C343" s="1" t="n">
        <v>45984</v>
      </c>
      <c r="D343" t="inlineStr">
        <is>
          <t>JÄMTLANDS LÄN</t>
        </is>
      </c>
      <c r="E343" t="inlineStr">
        <is>
          <t>ÖSTERSUND</t>
        </is>
      </c>
      <c r="F343" t="inlineStr">
        <is>
          <t>SCA</t>
        </is>
      </c>
      <c r="G343" t="n">
        <v>17.3</v>
      </c>
      <c r="H343" t="n">
        <v>0</v>
      </c>
      <c r="I343" t="n">
        <v>0</v>
      </c>
      <c r="J343" t="n">
        <v>0</v>
      </c>
      <c r="K343" t="n">
        <v>0</v>
      </c>
      <c r="L343" t="n">
        <v>0</v>
      </c>
      <c r="M343" t="n">
        <v>0</v>
      </c>
      <c r="N343" t="n">
        <v>0</v>
      </c>
      <c r="O343" t="n">
        <v>0</v>
      </c>
      <c r="P343" t="n">
        <v>0</v>
      </c>
      <c r="Q343" t="n">
        <v>0</v>
      </c>
      <c r="R343" s="2" t="inlineStr"/>
    </row>
    <row r="344" ht="15" customHeight="1">
      <c r="A344" t="inlineStr">
        <is>
          <t>A 43519-2025</t>
        </is>
      </c>
      <c r="B344" s="1" t="n">
        <v>45911.57349537037</v>
      </c>
      <c r="C344" s="1" t="n">
        <v>45984</v>
      </c>
      <c r="D344" t="inlineStr">
        <is>
          <t>JÄMTLANDS LÄN</t>
        </is>
      </c>
      <c r="E344" t="inlineStr">
        <is>
          <t>ÖSTERSUND</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52620-2025</t>
        </is>
      </c>
      <c r="B345" s="1" t="n">
        <v>45954.68207175926</v>
      </c>
      <c r="C345" s="1" t="n">
        <v>45984</v>
      </c>
      <c r="D345" t="inlineStr">
        <is>
          <t>JÄMTLANDS LÄN</t>
        </is>
      </c>
      <c r="E345" t="inlineStr">
        <is>
          <t>ÖSTERSUND</t>
        </is>
      </c>
      <c r="G345" t="n">
        <v>4.6</v>
      </c>
      <c r="H345" t="n">
        <v>0</v>
      </c>
      <c r="I345" t="n">
        <v>0</v>
      </c>
      <c r="J345" t="n">
        <v>0</v>
      </c>
      <c r="K345" t="n">
        <v>0</v>
      </c>
      <c r="L345" t="n">
        <v>0</v>
      </c>
      <c r="M345" t="n">
        <v>0</v>
      </c>
      <c r="N345" t="n">
        <v>0</v>
      </c>
      <c r="O345" t="n">
        <v>0</v>
      </c>
      <c r="P345" t="n">
        <v>0</v>
      </c>
      <c r="Q345" t="n">
        <v>0</v>
      </c>
      <c r="R345" s="2" t="inlineStr"/>
    </row>
    <row r="346" ht="15" customHeight="1">
      <c r="A346" t="inlineStr">
        <is>
          <t>A 30210-2025</t>
        </is>
      </c>
      <c r="B346" s="1" t="n">
        <v>45827.36590277778</v>
      </c>
      <c r="C346" s="1" t="n">
        <v>45984</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58407-2024</t>
        </is>
      </c>
      <c r="B347" s="1" t="n">
        <v>45634.72633101852</v>
      </c>
      <c r="C347" s="1" t="n">
        <v>45984</v>
      </c>
      <c r="D347" t="inlineStr">
        <is>
          <t>JÄMTLANDS LÄN</t>
        </is>
      </c>
      <c r="E347" t="inlineStr">
        <is>
          <t>ÖSTERSUND</t>
        </is>
      </c>
      <c r="G347" t="n">
        <v>2.8</v>
      </c>
      <c r="H347" t="n">
        <v>0</v>
      </c>
      <c r="I347" t="n">
        <v>0</v>
      </c>
      <c r="J347" t="n">
        <v>0</v>
      </c>
      <c r="K347" t="n">
        <v>0</v>
      </c>
      <c r="L347" t="n">
        <v>0</v>
      </c>
      <c r="M347" t="n">
        <v>0</v>
      </c>
      <c r="N347" t="n">
        <v>0</v>
      </c>
      <c r="O347" t="n">
        <v>0</v>
      </c>
      <c r="P347" t="n">
        <v>0</v>
      </c>
      <c r="Q347" t="n">
        <v>0</v>
      </c>
      <c r="R347" s="2" t="inlineStr"/>
    </row>
    <row r="348" ht="15" customHeight="1">
      <c r="A348" t="inlineStr">
        <is>
          <t>A 52975-2025</t>
        </is>
      </c>
      <c r="B348" s="1" t="n">
        <v>45957.67876157408</v>
      </c>
      <c r="C348" s="1" t="n">
        <v>45984</v>
      </c>
      <c r="D348" t="inlineStr">
        <is>
          <t>JÄMTLANDS LÄN</t>
        </is>
      </c>
      <c r="E348" t="inlineStr">
        <is>
          <t>ÖSTERSUND</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44446-2025</t>
        </is>
      </c>
      <c r="B349" s="1" t="n">
        <v>45916.59773148148</v>
      </c>
      <c r="C349" s="1" t="n">
        <v>45984</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52935-2025</t>
        </is>
      </c>
      <c r="B350" s="1" t="n">
        <v>45957.62978009259</v>
      </c>
      <c r="C350" s="1" t="n">
        <v>45984</v>
      </c>
      <c r="D350" t="inlineStr">
        <is>
          <t>JÄMTLANDS LÄN</t>
        </is>
      </c>
      <c r="E350" t="inlineStr">
        <is>
          <t>ÖSTERSUND</t>
        </is>
      </c>
      <c r="G350" t="n">
        <v>0.8</v>
      </c>
      <c r="H350" t="n">
        <v>0</v>
      </c>
      <c r="I350" t="n">
        <v>0</v>
      </c>
      <c r="J350" t="n">
        <v>0</v>
      </c>
      <c r="K350" t="n">
        <v>0</v>
      </c>
      <c r="L350" t="n">
        <v>0</v>
      </c>
      <c r="M350" t="n">
        <v>0</v>
      </c>
      <c r="N350" t="n">
        <v>0</v>
      </c>
      <c r="O350" t="n">
        <v>0</v>
      </c>
      <c r="P350" t="n">
        <v>0</v>
      </c>
      <c r="Q350" t="n">
        <v>0</v>
      </c>
      <c r="R350" s="2" t="inlineStr"/>
    </row>
    <row r="351" ht="15" customHeight="1">
      <c r="A351" t="inlineStr">
        <is>
          <t>A 17732-2022</t>
        </is>
      </c>
      <c r="B351" s="1" t="n">
        <v>44680.92873842592</v>
      </c>
      <c r="C351" s="1" t="n">
        <v>45984</v>
      </c>
      <c r="D351" t="inlineStr">
        <is>
          <t>JÄMTLANDS LÄN</t>
        </is>
      </c>
      <c r="E351" t="inlineStr">
        <is>
          <t>ÖSTERSUND</t>
        </is>
      </c>
      <c r="G351" t="n">
        <v>5.4</v>
      </c>
      <c r="H351" t="n">
        <v>0</v>
      </c>
      <c r="I351" t="n">
        <v>0</v>
      </c>
      <c r="J351" t="n">
        <v>0</v>
      </c>
      <c r="K351" t="n">
        <v>0</v>
      </c>
      <c r="L351" t="n">
        <v>0</v>
      </c>
      <c r="M351" t="n">
        <v>0</v>
      </c>
      <c r="N351" t="n">
        <v>0</v>
      </c>
      <c r="O351" t="n">
        <v>0</v>
      </c>
      <c r="P351" t="n">
        <v>0</v>
      </c>
      <c r="Q351" t="n">
        <v>0</v>
      </c>
      <c r="R351" s="2" t="inlineStr"/>
    </row>
    <row r="352" ht="15" customHeight="1">
      <c r="A352" t="inlineStr">
        <is>
          <t>A 44429-2025</t>
        </is>
      </c>
      <c r="B352" s="1" t="n">
        <v>45916.57010416667</v>
      </c>
      <c r="C352" s="1" t="n">
        <v>45984</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52913-2021</t>
        </is>
      </c>
      <c r="B353" s="1" t="n">
        <v>44466</v>
      </c>
      <c r="C353" s="1" t="n">
        <v>45984</v>
      </c>
      <c r="D353" t="inlineStr">
        <is>
          <t>JÄMTLANDS LÄN</t>
        </is>
      </c>
      <c r="E353" t="inlineStr">
        <is>
          <t>ÖSTERSUND</t>
        </is>
      </c>
      <c r="G353" t="n">
        <v>4.2</v>
      </c>
      <c r="H353" t="n">
        <v>0</v>
      </c>
      <c r="I353" t="n">
        <v>0</v>
      </c>
      <c r="J353" t="n">
        <v>0</v>
      </c>
      <c r="K353" t="n">
        <v>0</v>
      </c>
      <c r="L353" t="n">
        <v>0</v>
      </c>
      <c r="M353" t="n">
        <v>0</v>
      </c>
      <c r="N353" t="n">
        <v>0</v>
      </c>
      <c r="O353" t="n">
        <v>0</v>
      </c>
      <c r="P353" t="n">
        <v>0</v>
      </c>
      <c r="Q353" t="n">
        <v>0</v>
      </c>
      <c r="R353" s="2" t="inlineStr"/>
    </row>
    <row r="354" ht="15" customHeight="1">
      <c r="A354" t="inlineStr">
        <is>
          <t>A 53054-2025</t>
        </is>
      </c>
      <c r="B354" s="1" t="n">
        <v>45958.36498842593</v>
      </c>
      <c r="C354" s="1" t="n">
        <v>45984</v>
      </c>
      <c r="D354" t="inlineStr">
        <is>
          <t>JÄMTLANDS LÄN</t>
        </is>
      </c>
      <c r="E354" t="inlineStr">
        <is>
          <t>ÖSTERSUND</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53057-2025</t>
        </is>
      </c>
      <c r="B355" s="1" t="n">
        <v>45958.36537037037</v>
      </c>
      <c r="C355" s="1" t="n">
        <v>45984</v>
      </c>
      <c r="D355" t="inlineStr">
        <is>
          <t>JÄMTLANDS LÄN</t>
        </is>
      </c>
      <c r="E355" t="inlineStr">
        <is>
          <t>ÖSTERSUND</t>
        </is>
      </c>
      <c r="F355" t="inlineStr">
        <is>
          <t>SCA</t>
        </is>
      </c>
      <c r="G355" t="n">
        <v>47.8</v>
      </c>
      <c r="H355" t="n">
        <v>0</v>
      </c>
      <c r="I355" t="n">
        <v>0</v>
      </c>
      <c r="J355" t="n">
        <v>0</v>
      </c>
      <c r="K355" t="n">
        <v>0</v>
      </c>
      <c r="L355" t="n">
        <v>0</v>
      </c>
      <c r="M355" t="n">
        <v>0</v>
      </c>
      <c r="N355" t="n">
        <v>0</v>
      </c>
      <c r="O355" t="n">
        <v>0</v>
      </c>
      <c r="P355" t="n">
        <v>0</v>
      </c>
      <c r="Q355" t="n">
        <v>0</v>
      </c>
      <c r="R355" s="2" t="inlineStr"/>
    </row>
    <row r="356" ht="15" customHeight="1">
      <c r="A356" t="inlineStr">
        <is>
          <t>A 54883-2023</t>
        </is>
      </c>
      <c r="B356" s="1" t="n">
        <v>45236.62300925926</v>
      </c>
      <c r="C356" s="1" t="n">
        <v>45984</v>
      </c>
      <c r="D356" t="inlineStr">
        <is>
          <t>JÄMTLANDS LÄN</t>
        </is>
      </c>
      <c r="E356" t="inlineStr">
        <is>
          <t>ÖSTERSUND</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3122-2025</t>
        </is>
      </c>
      <c r="B357" s="1" t="n">
        <v>45678</v>
      </c>
      <c r="C357" s="1" t="n">
        <v>45984</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51908-2025</t>
        </is>
      </c>
      <c r="B358" s="1" t="n">
        <v>45952.46650462963</v>
      </c>
      <c r="C358" s="1" t="n">
        <v>45984</v>
      </c>
      <c r="D358" t="inlineStr">
        <is>
          <t>JÄMTLANDS LÄN</t>
        </is>
      </c>
      <c r="E358" t="inlineStr">
        <is>
          <t>ÖSTERSUND</t>
        </is>
      </c>
      <c r="G358" t="n">
        <v>14.4</v>
      </c>
      <c r="H358" t="n">
        <v>0</v>
      </c>
      <c r="I358" t="n">
        <v>0</v>
      </c>
      <c r="J358" t="n">
        <v>0</v>
      </c>
      <c r="K358" t="n">
        <v>0</v>
      </c>
      <c r="L358" t="n">
        <v>0</v>
      </c>
      <c r="M358" t="n">
        <v>0</v>
      </c>
      <c r="N358" t="n">
        <v>0</v>
      </c>
      <c r="O358" t="n">
        <v>0</v>
      </c>
      <c r="P358" t="n">
        <v>0</v>
      </c>
      <c r="Q358" t="n">
        <v>0</v>
      </c>
      <c r="R358" s="2" t="inlineStr"/>
    </row>
    <row r="359" ht="15" customHeight="1">
      <c r="A359" t="inlineStr">
        <is>
          <t>A 62222-2022</t>
        </is>
      </c>
      <c r="B359" s="1" t="n">
        <v>44922</v>
      </c>
      <c r="C359" s="1" t="n">
        <v>45984</v>
      </c>
      <c r="D359" t="inlineStr">
        <is>
          <t>JÄMTLANDS LÄN</t>
        </is>
      </c>
      <c r="E359" t="inlineStr">
        <is>
          <t>ÖSTERSUND</t>
        </is>
      </c>
      <c r="G359" t="n">
        <v>4.1</v>
      </c>
      <c r="H359" t="n">
        <v>0</v>
      </c>
      <c r="I359" t="n">
        <v>0</v>
      </c>
      <c r="J359" t="n">
        <v>0</v>
      </c>
      <c r="K359" t="n">
        <v>0</v>
      </c>
      <c r="L359" t="n">
        <v>0</v>
      </c>
      <c r="M359" t="n">
        <v>0</v>
      </c>
      <c r="N359" t="n">
        <v>0</v>
      </c>
      <c r="O359" t="n">
        <v>0</v>
      </c>
      <c r="P359" t="n">
        <v>0</v>
      </c>
      <c r="Q359" t="n">
        <v>0</v>
      </c>
      <c r="R359" s="2" t="inlineStr"/>
    </row>
    <row r="360" ht="15" customHeight="1">
      <c r="A360" t="inlineStr">
        <is>
          <t>A 41280-2024</t>
        </is>
      </c>
      <c r="B360" s="1" t="n">
        <v>45559.59476851852</v>
      </c>
      <c r="C360" s="1" t="n">
        <v>45984</v>
      </c>
      <c r="D360" t="inlineStr">
        <is>
          <t>JÄMTLANDS LÄN</t>
        </is>
      </c>
      <c r="E360" t="inlineStr">
        <is>
          <t>ÖSTERSUND</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32279-2025</t>
        </is>
      </c>
      <c r="B361" s="1" t="n">
        <v>45835.67109953704</v>
      </c>
      <c r="C361" s="1" t="n">
        <v>45984</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32353-2025</t>
        </is>
      </c>
      <c r="B362" s="1" t="n">
        <v>45837.51741898148</v>
      </c>
      <c r="C362" s="1" t="n">
        <v>45984</v>
      </c>
      <c r="D362" t="inlineStr">
        <is>
          <t>JÄMTLANDS LÄN</t>
        </is>
      </c>
      <c r="E362" t="inlineStr">
        <is>
          <t>ÖSTERSUND</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7224-2024</t>
        </is>
      </c>
      <c r="B363" s="1" t="n">
        <v>45344</v>
      </c>
      <c r="C363" s="1" t="n">
        <v>45984</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32358-2025</t>
        </is>
      </c>
      <c r="B364" s="1" t="n">
        <v>45837.57481481481</v>
      </c>
      <c r="C364" s="1" t="n">
        <v>45984</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32369-2025</t>
        </is>
      </c>
      <c r="B365" s="1" t="n">
        <v>45837.67381944445</v>
      </c>
      <c r="C365" s="1" t="n">
        <v>45984</v>
      </c>
      <c r="D365" t="inlineStr">
        <is>
          <t>JÄMTLANDS LÄN</t>
        </is>
      </c>
      <c r="E365" t="inlineStr">
        <is>
          <t>ÖSTERSUND</t>
        </is>
      </c>
      <c r="F365" t="inlineStr">
        <is>
          <t>Övriga Aktiebolag</t>
        </is>
      </c>
      <c r="G365" t="n">
        <v>5.7</v>
      </c>
      <c r="H365" t="n">
        <v>0</v>
      </c>
      <c r="I365" t="n">
        <v>0</v>
      </c>
      <c r="J365" t="n">
        <v>0</v>
      </c>
      <c r="K365" t="n">
        <v>0</v>
      </c>
      <c r="L365" t="n">
        <v>0</v>
      </c>
      <c r="M365" t="n">
        <v>0</v>
      </c>
      <c r="N365" t="n">
        <v>0</v>
      </c>
      <c r="O365" t="n">
        <v>0</v>
      </c>
      <c r="P365" t="n">
        <v>0</v>
      </c>
      <c r="Q365" t="n">
        <v>0</v>
      </c>
      <c r="R365" s="2" t="inlineStr"/>
    </row>
    <row r="366" ht="15" customHeight="1">
      <c r="A366" t="inlineStr">
        <is>
          <t>A 8675-2023</t>
        </is>
      </c>
      <c r="B366" s="1" t="n">
        <v>44977.98629629629</v>
      </c>
      <c r="C366" s="1" t="n">
        <v>45984</v>
      </c>
      <c r="D366" t="inlineStr">
        <is>
          <t>JÄMTLANDS LÄN</t>
        </is>
      </c>
      <c r="E366" t="inlineStr">
        <is>
          <t>ÖSTERSUND</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12-2023</t>
        </is>
      </c>
      <c r="B367" s="1" t="n">
        <v>44927.88021990741</v>
      </c>
      <c r="C367" s="1" t="n">
        <v>45984</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55666-2023</t>
        </is>
      </c>
      <c r="B368" s="1" t="n">
        <v>45238.96770833333</v>
      </c>
      <c r="C368" s="1" t="n">
        <v>45984</v>
      </c>
      <c r="D368" t="inlineStr">
        <is>
          <t>JÄMTLANDS LÄN</t>
        </is>
      </c>
      <c r="E368" t="inlineStr">
        <is>
          <t>ÖSTERSUND</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32368-2025</t>
        </is>
      </c>
      <c r="B369" s="1" t="n">
        <v>45837.66230324074</v>
      </c>
      <c r="C369" s="1" t="n">
        <v>45984</v>
      </c>
      <c r="D369" t="inlineStr">
        <is>
          <t>JÄMTLANDS LÄN</t>
        </is>
      </c>
      <c r="E369" t="inlineStr">
        <is>
          <t>ÖSTERSUND</t>
        </is>
      </c>
      <c r="F369" t="inlineStr">
        <is>
          <t>Övriga Aktiebolag</t>
        </is>
      </c>
      <c r="G369" t="n">
        <v>19.5</v>
      </c>
      <c r="H369" t="n">
        <v>0</v>
      </c>
      <c r="I369" t="n">
        <v>0</v>
      </c>
      <c r="J369" t="n">
        <v>0</v>
      </c>
      <c r="K369" t="n">
        <v>0</v>
      </c>
      <c r="L369" t="n">
        <v>0</v>
      </c>
      <c r="M369" t="n">
        <v>0</v>
      </c>
      <c r="N369" t="n">
        <v>0</v>
      </c>
      <c r="O369" t="n">
        <v>0</v>
      </c>
      <c r="P369" t="n">
        <v>0</v>
      </c>
      <c r="Q369" t="n">
        <v>0</v>
      </c>
      <c r="R369" s="2" t="inlineStr"/>
    </row>
    <row r="370" ht="15" customHeight="1">
      <c r="A370" t="inlineStr">
        <is>
          <t>A 51481-2023</t>
        </is>
      </c>
      <c r="B370" s="1" t="n">
        <v>45221.92440972223</v>
      </c>
      <c r="C370" s="1" t="n">
        <v>45984</v>
      </c>
      <c r="D370" t="inlineStr">
        <is>
          <t>JÄMTLANDS LÄN</t>
        </is>
      </c>
      <c r="E370" t="inlineStr">
        <is>
          <t>ÖSTERSUND</t>
        </is>
      </c>
      <c r="G370" t="n">
        <v>1.5</v>
      </c>
      <c r="H370" t="n">
        <v>0</v>
      </c>
      <c r="I370" t="n">
        <v>0</v>
      </c>
      <c r="J370" t="n">
        <v>0</v>
      </c>
      <c r="K370" t="n">
        <v>0</v>
      </c>
      <c r="L370" t="n">
        <v>0</v>
      </c>
      <c r="M370" t="n">
        <v>0</v>
      </c>
      <c r="N370" t="n">
        <v>0</v>
      </c>
      <c r="O370" t="n">
        <v>0</v>
      </c>
      <c r="P370" t="n">
        <v>0</v>
      </c>
      <c r="Q370" t="n">
        <v>0</v>
      </c>
      <c r="R370" s="2" t="inlineStr"/>
    </row>
    <row r="371" ht="15" customHeight="1">
      <c r="A371" t="inlineStr">
        <is>
          <t>A 32071-2025</t>
        </is>
      </c>
      <c r="B371" s="1" t="n">
        <v>45835.4491087963</v>
      </c>
      <c r="C371" s="1" t="n">
        <v>45984</v>
      </c>
      <c r="D371" t="inlineStr">
        <is>
          <t>JÄMTLANDS LÄN</t>
        </is>
      </c>
      <c r="E371" t="inlineStr">
        <is>
          <t>ÖSTERSUND</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55140-2023</t>
        </is>
      </c>
      <c r="B372" s="1" t="n">
        <v>45237.50966435186</v>
      </c>
      <c r="C372" s="1" t="n">
        <v>45984</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60623-2022</t>
        </is>
      </c>
      <c r="B373" s="1" t="n">
        <v>44911.6459837963</v>
      </c>
      <c r="C373" s="1" t="n">
        <v>45984</v>
      </c>
      <c r="D373" t="inlineStr">
        <is>
          <t>JÄMTLANDS LÄN</t>
        </is>
      </c>
      <c r="E373" t="inlineStr">
        <is>
          <t>ÖSTERSUND</t>
        </is>
      </c>
      <c r="G373" t="n">
        <v>10.9</v>
      </c>
      <c r="H373" t="n">
        <v>0</v>
      </c>
      <c r="I373" t="n">
        <v>0</v>
      </c>
      <c r="J373" t="n">
        <v>0</v>
      </c>
      <c r="K373" t="n">
        <v>0</v>
      </c>
      <c r="L373" t="n">
        <v>0</v>
      </c>
      <c r="M373" t="n">
        <v>0</v>
      </c>
      <c r="N373" t="n">
        <v>0</v>
      </c>
      <c r="O373" t="n">
        <v>0</v>
      </c>
      <c r="P373" t="n">
        <v>0</v>
      </c>
      <c r="Q373" t="n">
        <v>0</v>
      </c>
      <c r="R373" s="2" t="inlineStr"/>
    </row>
    <row r="374" ht="15" customHeight="1">
      <c r="A374" t="inlineStr">
        <is>
          <t>A 45391-2025</t>
        </is>
      </c>
      <c r="B374" s="1" t="n">
        <v>45922.4077662037</v>
      </c>
      <c r="C374" s="1" t="n">
        <v>45984</v>
      </c>
      <c r="D374" t="inlineStr">
        <is>
          <t>JÄMTLANDS LÄN</t>
        </is>
      </c>
      <c r="E374" t="inlineStr">
        <is>
          <t>ÖSTERSUND</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45984</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51818-2024</t>
        </is>
      </c>
      <c r="B376" s="1" t="n">
        <v>45607.49265046296</v>
      </c>
      <c r="C376" s="1" t="n">
        <v>45984</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14653-2022</t>
        </is>
      </c>
      <c r="B377" s="1" t="n">
        <v>44655.69303240741</v>
      </c>
      <c r="C377" s="1" t="n">
        <v>45984</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48106-2024</t>
        </is>
      </c>
      <c r="B378" s="1" t="n">
        <v>45589.62625</v>
      </c>
      <c r="C378" s="1" t="n">
        <v>45984</v>
      </c>
      <c r="D378" t="inlineStr">
        <is>
          <t>JÄMTLANDS LÄN</t>
        </is>
      </c>
      <c r="E378" t="inlineStr">
        <is>
          <t>ÖSTERSUND</t>
        </is>
      </c>
      <c r="G378" t="n">
        <v>3.5</v>
      </c>
      <c r="H378" t="n">
        <v>0</v>
      </c>
      <c r="I378" t="n">
        <v>0</v>
      </c>
      <c r="J378" t="n">
        <v>0</v>
      </c>
      <c r="K378" t="n">
        <v>0</v>
      </c>
      <c r="L378" t="n">
        <v>0</v>
      </c>
      <c r="M378" t="n">
        <v>0</v>
      </c>
      <c r="N378" t="n">
        <v>0</v>
      </c>
      <c r="O378" t="n">
        <v>0</v>
      </c>
      <c r="P378" t="n">
        <v>0</v>
      </c>
      <c r="Q378" t="n">
        <v>0</v>
      </c>
      <c r="R378" s="2" t="inlineStr"/>
    </row>
    <row r="379" ht="15" customHeight="1">
      <c r="A379" t="inlineStr">
        <is>
          <t>A 20960-2022</t>
        </is>
      </c>
      <c r="B379" s="1" t="n">
        <v>44701.94034722223</v>
      </c>
      <c r="C379" s="1" t="n">
        <v>45984</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33358-2025</t>
        </is>
      </c>
      <c r="B380" s="1" t="n">
        <v>45841.38054398148</v>
      </c>
      <c r="C380" s="1" t="n">
        <v>45984</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60780-2023</t>
        </is>
      </c>
      <c r="B381" s="1" t="n">
        <v>45260</v>
      </c>
      <c r="C381" s="1" t="n">
        <v>45984</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54133-2025</t>
        </is>
      </c>
      <c r="B382" s="1" t="n">
        <v>45964.46944444445</v>
      </c>
      <c r="C382" s="1" t="n">
        <v>45984</v>
      </c>
      <c r="D382" t="inlineStr">
        <is>
          <t>JÄMTLANDS LÄN</t>
        </is>
      </c>
      <c r="E382" t="inlineStr">
        <is>
          <t>ÖSTERSUND</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45558-2025</t>
        </is>
      </c>
      <c r="B383" s="1" t="n">
        <v>45922</v>
      </c>
      <c r="C383" s="1" t="n">
        <v>45984</v>
      </c>
      <c r="D383" t="inlineStr">
        <is>
          <t>JÄMTLANDS LÄN</t>
        </is>
      </c>
      <c r="E383" t="inlineStr">
        <is>
          <t>ÖSTERSUND</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45297-2025</t>
        </is>
      </c>
      <c r="B384" s="1" t="n">
        <v>45920.8446412037</v>
      </c>
      <c r="C384" s="1" t="n">
        <v>45984</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57589-2024</t>
        </is>
      </c>
      <c r="B385" s="1" t="n">
        <v>45630.49710648148</v>
      </c>
      <c r="C385" s="1" t="n">
        <v>45984</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45386-2025</t>
        </is>
      </c>
      <c r="B386" s="1" t="n">
        <v>45922.40697916667</v>
      </c>
      <c r="C386" s="1" t="n">
        <v>45984</v>
      </c>
      <c r="D386" t="inlineStr">
        <is>
          <t>JÄMTLANDS LÄN</t>
        </is>
      </c>
      <c r="E386" t="inlineStr">
        <is>
          <t>ÖSTERSUND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45388-2025</t>
        </is>
      </c>
      <c r="B387" s="1" t="n">
        <v>45922.4074537037</v>
      </c>
      <c r="C387" s="1" t="n">
        <v>45984</v>
      </c>
      <c r="D387" t="inlineStr">
        <is>
          <t>JÄMTLANDS LÄN</t>
        </is>
      </c>
      <c r="E387" t="inlineStr">
        <is>
          <t>ÖSTERSUND</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11740-2022</t>
        </is>
      </c>
      <c r="B388" s="1" t="n">
        <v>44634.52982638889</v>
      </c>
      <c r="C388" s="1" t="n">
        <v>45984</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45385-2025</t>
        </is>
      </c>
      <c r="B389" s="1" t="n">
        <v>45922.40680555555</v>
      </c>
      <c r="C389" s="1" t="n">
        <v>45984</v>
      </c>
      <c r="D389" t="inlineStr">
        <is>
          <t>JÄMTLANDS LÄN</t>
        </is>
      </c>
      <c r="E389" t="inlineStr">
        <is>
          <t>ÖSTERSUND</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45481-2025</t>
        </is>
      </c>
      <c r="B390" s="1" t="n">
        <v>45922.53217592592</v>
      </c>
      <c r="C390" s="1" t="n">
        <v>45984</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38926-2024</t>
        </is>
      </c>
      <c r="B391" s="1" t="n">
        <v>45547.90777777778</v>
      </c>
      <c r="C391" s="1" t="n">
        <v>45984</v>
      </c>
      <c r="D391" t="inlineStr">
        <is>
          <t>JÄMTLANDS LÄN</t>
        </is>
      </c>
      <c r="E391" t="inlineStr">
        <is>
          <t>ÖSTERSUND</t>
        </is>
      </c>
      <c r="G391" t="n">
        <v>0.4</v>
      </c>
      <c r="H391" t="n">
        <v>0</v>
      </c>
      <c r="I391" t="n">
        <v>0</v>
      </c>
      <c r="J391" t="n">
        <v>0</v>
      </c>
      <c r="K391" t="n">
        <v>0</v>
      </c>
      <c r="L391" t="n">
        <v>0</v>
      </c>
      <c r="M391" t="n">
        <v>0</v>
      </c>
      <c r="N391" t="n">
        <v>0</v>
      </c>
      <c r="O391" t="n">
        <v>0</v>
      </c>
      <c r="P391" t="n">
        <v>0</v>
      </c>
      <c r="Q391" t="n">
        <v>0</v>
      </c>
      <c r="R391" s="2" t="inlineStr"/>
    </row>
    <row r="392" ht="15" customHeight="1">
      <c r="A392" t="inlineStr">
        <is>
          <t>A 20588-2023</t>
        </is>
      </c>
      <c r="B392" s="1" t="n">
        <v>45057</v>
      </c>
      <c r="C392" s="1" t="n">
        <v>45984</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26321-2022</t>
        </is>
      </c>
      <c r="B393" s="1" t="n">
        <v>44735</v>
      </c>
      <c r="C393" s="1" t="n">
        <v>45984</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14542-2025</t>
        </is>
      </c>
      <c r="B394" s="1" t="n">
        <v>45741.68631944444</v>
      </c>
      <c r="C394" s="1" t="n">
        <v>45984</v>
      </c>
      <c r="D394" t="inlineStr">
        <is>
          <t>JÄMTLANDS LÄN</t>
        </is>
      </c>
      <c r="E394" t="inlineStr">
        <is>
          <t>ÖSTERSUND</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34331-2025</t>
        </is>
      </c>
      <c r="B395" s="1" t="n">
        <v>45846.44827546296</v>
      </c>
      <c r="C395" s="1" t="n">
        <v>45984</v>
      </c>
      <c r="D395" t="inlineStr">
        <is>
          <t>JÄMTLANDS LÄN</t>
        </is>
      </c>
      <c r="E395" t="inlineStr">
        <is>
          <t>ÖSTERSUND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46152-2025</t>
        </is>
      </c>
      <c r="B396" s="1" t="n">
        <v>45924.61512731481</v>
      </c>
      <c r="C396" s="1" t="n">
        <v>45984</v>
      </c>
      <c r="D396" t="inlineStr">
        <is>
          <t>JÄMTLANDS LÄN</t>
        </is>
      </c>
      <c r="E396" t="inlineStr">
        <is>
          <t>ÖSTERSUND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34490-2025</t>
        </is>
      </c>
      <c r="B397" s="1" t="n">
        <v>45847.40722222222</v>
      </c>
      <c r="C397" s="1" t="n">
        <v>45984</v>
      </c>
      <c r="D397" t="inlineStr">
        <is>
          <t>JÄMTLANDS LÄN</t>
        </is>
      </c>
      <c r="E397" t="inlineStr">
        <is>
          <t>ÖSTERSUND</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54528-2025</t>
        </is>
      </c>
      <c r="B398" s="1" t="n">
        <v>45965.63496527778</v>
      </c>
      <c r="C398" s="1" t="n">
        <v>45984</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34589-2025</t>
        </is>
      </c>
      <c r="B399" s="1" t="n">
        <v>45847.61561342593</v>
      </c>
      <c r="C399" s="1" t="n">
        <v>45984</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34587-2025</t>
        </is>
      </c>
      <c r="B400" s="1" t="n">
        <v>45847.61533564814</v>
      </c>
      <c r="C400" s="1" t="n">
        <v>45984</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4936-2025</t>
        </is>
      </c>
      <c r="B401" s="1" t="n">
        <v>45688.69356481481</v>
      </c>
      <c r="C401" s="1" t="n">
        <v>45984</v>
      </c>
      <c r="D401" t="inlineStr">
        <is>
          <t>JÄMTLANDS LÄN</t>
        </is>
      </c>
      <c r="E401" t="inlineStr">
        <is>
          <t>ÖSTERSUND</t>
        </is>
      </c>
      <c r="G401" t="n">
        <v>8.1</v>
      </c>
      <c r="H401" t="n">
        <v>0</v>
      </c>
      <c r="I401" t="n">
        <v>0</v>
      </c>
      <c r="J401" t="n">
        <v>0</v>
      </c>
      <c r="K401" t="n">
        <v>0</v>
      </c>
      <c r="L401" t="n">
        <v>0</v>
      </c>
      <c r="M401" t="n">
        <v>0</v>
      </c>
      <c r="N401" t="n">
        <v>0</v>
      </c>
      <c r="O401" t="n">
        <v>0</v>
      </c>
      <c r="P401" t="n">
        <v>0</v>
      </c>
      <c r="Q401" t="n">
        <v>0</v>
      </c>
      <c r="R401" s="2" t="inlineStr"/>
    </row>
    <row r="402" ht="15" customHeight="1">
      <c r="A402" t="inlineStr">
        <is>
          <t>A 46202-2025</t>
        </is>
      </c>
      <c r="B402" s="1" t="n">
        <v>45924.70346064815</v>
      </c>
      <c r="C402" s="1" t="n">
        <v>45984</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45984</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54667-2025</t>
        </is>
      </c>
      <c r="B404" s="1" t="n">
        <v>45966.4077662037</v>
      </c>
      <c r="C404" s="1" t="n">
        <v>45984</v>
      </c>
      <c r="D404" t="inlineStr">
        <is>
          <t>JÄMTLANDS LÄN</t>
        </is>
      </c>
      <c r="E404" t="inlineStr">
        <is>
          <t>ÖSTERSUND</t>
        </is>
      </c>
      <c r="G404" t="n">
        <v>6.8</v>
      </c>
      <c r="H404" t="n">
        <v>0</v>
      </c>
      <c r="I404" t="n">
        <v>0</v>
      </c>
      <c r="J404" t="n">
        <v>0</v>
      </c>
      <c r="K404" t="n">
        <v>0</v>
      </c>
      <c r="L404" t="n">
        <v>0</v>
      </c>
      <c r="M404" t="n">
        <v>0</v>
      </c>
      <c r="N404" t="n">
        <v>0</v>
      </c>
      <c r="O404" t="n">
        <v>0</v>
      </c>
      <c r="P404" t="n">
        <v>0</v>
      </c>
      <c r="Q404" t="n">
        <v>0</v>
      </c>
      <c r="R404" s="2" t="inlineStr"/>
    </row>
    <row r="405" ht="15" customHeight="1">
      <c r="A405" t="inlineStr">
        <is>
          <t>A 55039-2025</t>
        </is>
      </c>
      <c r="B405" s="1" t="n">
        <v>45967.65594907408</v>
      </c>
      <c r="C405" s="1" t="n">
        <v>45984</v>
      </c>
      <c r="D405" t="inlineStr">
        <is>
          <t>JÄMTLANDS LÄN</t>
        </is>
      </c>
      <c r="E405" t="inlineStr">
        <is>
          <t>ÖSTERSUND</t>
        </is>
      </c>
      <c r="G405" t="n">
        <v>19.6</v>
      </c>
      <c r="H405" t="n">
        <v>0</v>
      </c>
      <c r="I405" t="n">
        <v>0</v>
      </c>
      <c r="J405" t="n">
        <v>0</v>
      </c>
      <c r="K405" t="n">
        <v>0</v>
      </c>
      <c r="L405" t="n">
        <v>0</v>
      </c>
      <c r="M405" t="n">
        <v>0</v>
      </c>
      <c r="N405" t="n">
        <v>0</v>
      </c>
      <c r="O405" t="n">
        <v>0</v>
      </c>
      <c r="P405" t="n">
        <v>0</v>
      </c>
      <c r="Q405" t="n">
        <v>0</v>
      </c>
      <c r="R405" s="2" t="inlineStr"/>
    </row>
    <row r="406" ht="15" customHeight="1">
      <c r="A406" t="inlineStr">
        <is>
          <t>A 54965-2025</t>
        </is>
      </c>
      <c r="B406" s="1" t="n">
        <v>45967.49037037037</v>
      </c>
      <c r="C406" s="1" t="n">
        <v>45984</v>
      </c>
      <c r="D406" t="inlineStr">
        <is>
          <t>JÄMTLANDS LÄN</t>
        </is>
      </c>
      <c r="E406" t="inlineStr">
        <is>
          <t>ÖSTERSUND</t>
        </is>
      </c>
      <c r="G406" t="n">
        <v>4.3</v>
      </c>
      <c r="H406" t="n">
        <v>0</v>
      </c>
      <c r="I406" t="n">
        <v>0</v>
      </c>
      <c r="J406" t="n">
        <v>0</v>
      </c>
      <c r="K406" t="n">
        <v>0</v>
      </c>
      <c r="L406" t="n">
        <v>0</v>
      </c>
      <c r="M406" t="n">
        <v>0</v>
      </c>
      <c r="N406" t="n">
        <v>0</v>
      </c>
      <c r="O406" t="n">
        <v>0</v>
      </c>
      <c r="P406" t="n">
        <v>0</v>
      </c>
      <c r="Q406" t="n">
        <v>0</v>
      </c>
      <c r="R406" s="2" t="inlineStr"/>
    </row>
    <row r="407" ht="15" customHeight="1">
      <c r="A407" t="inlineStr">
        <is>
          <t>A 25228-2025</t>
        </is>
      </c>
      <c r="B407" s="1" t="n">
        <v>45800.48368055555</v>
      </c>
      <c r="C407" s="1" t="n">
        <v>45984</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12821-2023</t>
        </is>
      </c>
      <c r="B408" s="1" t="n">
        <v>45000</v>
      </c>
      <c r="C408" s="1" t="n">
        <v>45984</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50088-2024</t>
        </is>
      </c>
      <c r="B409" s="1" t="n">
        <v>45600.38585648148</v>
      </c>
      <c r="C409" s="1" t="n">
        <v>45984</v>
      </c>
      <c r="D409" t="inlineStr">
        <is>
          <t>JÄMTLANDS LÄN</t>
        </is>
      </c>
      <c r="E409" t="inlineStr">
        <is>
          <t>ÖSTERSUND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54931-2025</t>
        </is>
      </c>
      <c r="B410" s="1" t="n">
        <v>45967.42462962963</v>
      </c>
      <c r="C410" s="1" t="n">
        <v>45984</v>
      </c>
      <c r="D410" t="inlineStr">
        <is>
          <t>JÄMTLANDS LÄN</t>
        </is>
      </c>
      <c r="E410" t="inlineStr">
        <is>
          <t>ÖSTERSUND</t>
        </is>
      </c>
      <c r="G410" t="n">
        <v>7.1</v>
      </c>
      <c r="H410" t="n">
        <v>0</v>
      </c>
      <c r="I410" t="n">
        <v>0</v>
      </c>
      <c r="J410" t="n">
        <v>0</v>
      </c>
      <c r="K410" t="n">
        <v>0</v>
      </c>
      <c r="L410" t="n">
        <v>0</v>
      </c>
      <c r="M410" t="n">
        <v>0</v>
      </c>
      <c r="N410" t="n">
        <v>0</v>
      </c>
      <c r="O410" t="n">
        <v>0</v>
      </c>
      <c r="P410" t="n">
        <v>0</v>
      </c>
      <c r="Q410" t="n">
        <v>0</v>
      </c>
      <c r="R410" s="2" t="inlineStr"/>
    </row>
    <row r="411" ht="15" customHeight="1">
      <c r="A411" t="inlineStr">
        <is>
          <t>A 34923-2025</t>
        </is>
      </c>
      <c r="B411" s="1" t="n">
        <v>45849.55601851852</v>
      </c>
      <c r="C411" s="1" t="n">
        <v>45984</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36098-2025</t>
        </is>
      </c>
      <c r="B412" s="1" t="n">
        <v>45866.50549768518</v>
      </c>
      <c r="C412" s="1" t="n">
        <v>45984</v>
      </c>
      <c r="D412" t="inlineStr">
        <is>
          <t>JÄMTLANDS LÄN</t>
        </is>
      </c>
      <c r="E412" t="inlineStr">
        <is>
          <t>ÖSTERSUND</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24786-2024</t>
        </is>
      </c>
      <c r="B413" s="1" t="n">
        <v>45460.81277777778</v>
      </c>
      <c r="C413" s="1" t="n">
        <v>45984</v>
      </c>
      <c r="D413" t="inlineStr">
        <is>
          <t>JÄMTLANDS LÄN</t>
        </is>
      </c>
      <c r="E413" t="inlineStr">
        <is>
          <t>ÖSTERSUND</t>
        </is>
      </c>
      <c r="G413" t="n">
        <v>0.1</v>
      </c>
      <c r="H413" t="n">
        <v>0</v>
      </c>
      <c r="I413" t="n">
        <v>0</v>
      </c>
      <c r="J413" t="n">
        <v>0</v>
      </c>
      <c r="K413" t="n">
        <v>0</v>
      </c>
      <c r="L413" t="n">
        <v>0</v>
      </c>
      <c r="M413" t="n">
        <v>0</v>
      </c>
      <c r="N413" t="n">
        <v>0</v>
      </c>
      <c r="O413" t="n">
        <v>0</v>
      </c>
      <c r="P413" t="n">
        <v>0</v>
      </c>
      <c r="Q413" t="n">
        <v>0</v>
      </c>
      <c r="R413" s="2" t="inlineStr"/>
    </row>
    <row r="414" ht="15" customHeight="1">
      <c r="A414" t="inlineStr">
        <is>
          <t>A 26586-2025</t>
        </is>
      </c>
      <c r="B414" s="1" t="n">
        <v>45807.74140046296</v>
      </c>
      <c r="C414" s="1" t="n">
        <v>45984</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47128-2025</t>
        </is>
      </c>
      <c r="B415" s="1" t="n">
        <v>45929.69074074074</v>
      </c>
      <c r="C415" s="1" t="n">
        <v>45984</v>
      </c>
      <c r="D415" t="inlineStr">
        <is>
          <t>JÄMTLANDS LÄN</t>
        </is>
      </c>
      <c r="E415" t="inlineStr">
        <is>
          <t>ÖSTERSUND</t>
        </is>
      </c>
      <c r="G415" t="n">
        <v>4.1</v>
      </c>
      <c r="H415" t="n">
        <v>0</v>
      </c>
      <c r="I415" t="n">
        <v>0</v>
      </c>
      <c r="J415" t="n">
        <v>0</v>
      </c>
      <c r="K415" t="n">
        <v>0</v>
      </c>
      <c r="L415" t="n">
        <v>0</v>
      </c>
      <c r="M415" t="n">
        <v>0</v>
      </c>
      <c r="N415" t="n">
        <v>0</v>
      </c>
      <c r="O415" t="n">
        <v>0</v>
      </c>
      <c r="P415" t="n">
        <v>0</v>
      </c>
      <c r="Q415" t="n">
        <v>0</v>
      </c>
      <c r="R415" s="2" t="inlineStr"/>
    </row>
    <row r="416" ht="15" customHeight="1">
      <c r="A416" t="inlineStr">
        <is>
          <t>A 36211-2025</t>
        </is>
      </c>
      <c r="B416" s="1" t="n">
        <v>45867.46946759259</v>
      </c>
      <c r="C416" s="1" t="n">
        <v>45984</v>
      </c>
      <c r="D416" t="inlineStr">
        <is>
          <t>JÄMTLANDS LÄN</t>
        </is>
      </c>
      <c r="E416" t="inlineStr">
        <is>
          <t>ÖSTERSUND</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13024-2022</t>
        </is>
      </c>
      <c r="B417" s="1" t="n">
        <v>44643</v>
      </c>
      <c r="C417" s="1" t="n">
        <v>45984</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36566-2025</t>
        </is>
      </c>
      <c r="B418" s="1" t="n">
        <v>45869</v>
      </c>
      <c r="C418" s="1" t="n">
        <v>45984</v>
      </c>
      <c r="D418" t="inlineStr">
        <is>
          <t>JÄMTLANDS LÄN</t>
        </is>
      </c>
      <c r="E418" t="inlineStr">
        <is>
          <t>ÖSTERSUND</t>
        </is>
      </c>
      <c r="F418" t="inlineStr">
        <is>
          <t>Sveaskog</t>
        </is>
      </c>
      <c r="G418" t="n">
        <v>6.9</v>
      </c>
      <c r="H418" t="n">
        <v>0</v>
      </c>
      <c r="I418" t="n">
        <v>0</v>
      </c>
      <c r="J418" t="n">
        <v>0</v>
      </c>
      <c r="K418" t="n">
        <v>0</v>
      </c>
      <c r="L418" t="n">
        <v>0</v>
      </c>
      <c r="M418" t="n">
        <v>0</v>
      </c>
      <c r="N418" t="n">
        <v>0</v>
      </c>
      <c r="O418" t="n">
        <v>0</v>
      </c>
      <c r="P418" t="n">
        <v>0</v>
      </c>
      <c r="Q418" t="n">
        <v>0</v>
      </c>
      <c r="R418" s="2" t="inlineStr"/>
    </row>
    <row r="419" ht="15" customHeight="1">
      <c r="A419" t="inlineStr">
        <is>
          <t>A 29128-2022</t>
        </is>
      </c>
      <c r="B419" s="1" t="n">
        <v>44750</v>
      </c>
      <c r="C419" s="1" t="n">
        <v>45984</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55179-2025</t>
        </is>
      </c>
      <c r="B420" s="1" t="n">
        <v>45968.53167824074</v>
      </c>
      <c r="C420" s="1" t="n">
        <v>45984</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24312-2021</t>
        </is>
      </c>
      <c r="B421" s="1" t="n">
        <v>44336</v>
      </c>
      <c r="C421" s="1" t="n">
        <v>45984</v>
      </c>
      <c r="D421" t="inlineStr">
        <is>
          <t>JÄMTLANDS LÄN</t>
        </is>
      </c>
      <c r="E421" t="inlineStr">
        <is>
          <t>ÖSTERSUND</t>
        </is>
      </c>
      <c r="G421" t="n">
        <v>10.6</v>
      </c>
      <c r="H421" t="n">
        <v>0</v>
      </c>
      <c r="I421" t="n">
        <v>0</v>
      </c>
      <c r="J421" t="n">
        <v>0</v>
      </c>
      <c r="K421" t="n">
        <v>0</v>
      </c>
      <c r="L421" t="n">
        <v>0</v>
      </c>
      <c r="M421" t="n">
        <v>0</v>
      </c>
      <c r="N421" t="n">
        <v>0</v>
      </c>
      <c r="O421" t="n">
        <v>0</v>
      </c>
      <c r="P421" t="n">
        <v>0</v>
      </c>
      <c r="Q421" t="n">
        <v>0</v>
      </c>
      <c r="R421" s="2" t="inlineStr"/>
    </row>
    <row r="422" ht="15" customHeight="1">
      <c r="A422" t="inlineStr">
        <is>
          <t>A 47575-2025</t>
        </is>
      </c>
      <c r="B422" s="1" t="n">
        <v>45931.40100694444</v>
      </c>
      <c r="C422" s="1" t="n">
        <v>45984</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15659-2021</t>
        </is>
      </c>
      <c r="B423" s="1" t="n">
        <v>44298</v>
      </c>
      <c r="C423" s="1" t="n">
        <v>45984</v>
      </c>
      <c r="D423" t="inlineStr">
        <is>
          <t>JÄMTLANDS LÄN</t>
        </is>
      </c>
      <c r="E423" t="inlineStr">
        <is>
          <t>ÖSTERSUND</t>
        </is>
      </c>
      <c r="G423" t="n">
        <v>13.3</v>
      </c>
      <c r="H423" t="n">
        <v>0</v>
      </c>
      <c r="I423" t="n">
        <v>0</v>
      </c>
      <c r="J423" t="n">
        <v>0</v>
      </c>
      <c r="K423" t="n">
        <v>0</v>
      </c>
      <c r="L423" t="n">
        <v>0</v>
      </c>
      <c r="M423" t="n">
        <v>0</v>
      </c>
      <c r="N423" t="n">
        <v>0</v>
      </c>
      <c r="O423" t="n">
        <v>0</v>
      </c>
      <c r="P423" t="n">
        <v>0</v>
      </c>
      <c r="Q423" t="n">
        <v>0</v>
      </c>
      <c r="R423" s="2" t="inlineStr"/>
    </row>
    <row r="424" ht="15" customHeight="1">
      <c r="A424" t="inlineStr">
        <is>
          <t>A 47805-2024</t>
        </is>
      </c>
      <c r="B424" s="1" t="n">
        <v>45588.61512731481</v>
      </c>
      <c r="C424" s="1" t="n">
        <v>45984</v>
      </c>
      <c r="D424" t="inlineStr">
        <is>
          <t>JÄMTLANDS LÄN</t>
        </is>
      </c>
      <c r="E424" t="inlineStr">
        <is>
          <t>ÖSTERSUND</t>
        </is>
      </c>
      <c r="G424" t="n">
        <v>7.4</v>
      </c>
      <c r="H424" t="n">
        <v>0</v>
      </c>
      <c r="I424" t="n">
        <v>0</v>
      </c>
      <c r="J424" t="n">
        <v>0</v>
      </c>
      <c r="K424" t="n">
        <v>0</v>
      </c>
      <c r="L424" t="n">
        <v>0</v>
      </c>
      <c r="M424" t="n">
        <v>0</v>
      </c>
      <c r="N424" t="n">
        <v>0</v>
      </c>
      <c r="O424" t="n">
        <v>0</v>
      </c>
      <c r="P424" t="n">
        <v>0</v>
      </c>
      <c r="Q424" t="n">
        <v>0</v>
      </c>
      <c r="R424" s="2" t="inlineStr"/>
    </row>
    <row r="425" ht="15" customHeight="1">
      <c r="A425" t="inlineStr">
        <is>
          <t>A 48059-2025</t>
        </is>
      </c>
      <c r="B425" s="1" t="n">
        <v>45932.67961805555</v>
      </c>
      <c r="C425" s="1" t="n">
        <v>45984</v>
      </c>
      <c r="D425" t="inlineStr">
        <is>
          <t>JÄMTLANDS LÄN</t>
        </is>
      </c>
      <c r="E425" t="inlineStr">
        <is>
          <t>ÖSTERSUND</t>
        </is>
      </c>
      <c r="G425" t="n">
        <v>12.2</v>
      </c>
      <c r="H425" t="n">
        <v>0</v>
      </c>
      <c r="I425" t="n">
        <v>0</v>
      </c>
      <c r="J425" t="n">
        <v>0</v>
      </c>
      <c r="K425" t="n">
        <v>0</v>
      </c>
      <c r="L425" t="n">
        <v>0</v>
      </c>
      <c r="M425" t="n">
        <v>0</v>
      </c>
      <c r="N425" t="n">
        <v>0</v>
      </c>
      <c r="O425" t="n">
        <v>0</v>
      </c>
      <c r="P425" t="n">
        <v>0</v>
      </c>
      <c r="Q425" t="n">
        <v>0</v>
      </c>
      <c r="R425" s="2" t="inlineStr"/>
    </row>
    <row r="426" ht="15" customHeight="1">
      <c r="A426" t="inlineStr">
        <is>
          <t>A 26373-2025</t>
        </is>
      </c>
      <c r="B426" s="1" t="n">
        <v>45806.40677083333</v>
      </c>
      <c r="C426" s="1" t="n">
        <v>45984</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2763-2022</t>
        </is>
      </c>
      <c r="B427" s="1" t="n">
        <v>44580</v>
      </c>
      <c r="C427" s="1" t="n">
        <v>45984</v>
      </c>
      <c r="D427" t="inlineStr">
        <is>
          <t>JÄMTLANDS LÄN</t>
        </is>
      </c>
      <c r="E427" t="inlineStr">
        <is>
          <t>ÖSTERSUND</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47563-2025</t>
        </is>
      </c>
      <c r="B428" s="1" t="n">
        <v>45931.38956018518</v>
      </c>
      <c r="C428" s="1" t="n">
        <v>45984</v>
      </c>
      <c r="D428" t="inlineStr">
        <is>
          <t>JÄMTLANDS LÄN</t>
        </is>
      </c>
      <c r="E428" t="inlineStr">
        <is>
          <t>ÖSTERSUND</t>
        </is>
      </c>
      <c r="G428" t="n">
        <v>2.3</v>
      </c>
      <c r="H428" t="n">
        <v>0</v>
      </c>
      <c r="I428" t="n">
        <v>0</v>
      </c>
      <c r="J428" t="n">
        <v>0</v>
      </c>
      <c r="K428" t="n">
        <v>0</v>
      </c>
      <c r="L428" t="n">
        <v>0</v>
      </c>
      <c r="M428" t="n">
        <v>0</v>
      </c>
      <c r="N428" t="n">
        <v>0</v>
      </c>
      <c r="O428" t="n">
        <v>0</v>
      </c>
      <c r="P428" t="n">
        <v>0</v>
      </c>
      <c r="Q428" t="n">
        <v>0</v>
      </c>
      <c r="R428" s="2" t="inlineStr"/>
    </row>
    <row r="429" ht="15" customHeight="1">
      <c r="A429" t="inlineStr">
        <is>
          <t>A 5341-2025</t>
        </is>
      </c>
      <c r="B429" s="1" t="n">
        <v>45692.55256944444</v>
      </c>
      <c r="C429" s="1" t="n">
        <v>45984</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56165-2025</t>
        </is>
      </c>
      <c r="B430" s="1" t="n">
        <v>45974.38310185185</v>
      </c>
      <c r="C430" s="1" t="n">
        <v>45984</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47759-2025</t>
        </is>
      </c>
      <c r="B431" s="1" t="n">
        <v>45931.67381944445</v>
      </c>
      <c r="C431" s="1" t="n">
        <v>45984</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46732-2024</t>
        </is>
      </c>
      <c r="B432" s="1" t="n">
        <v>45583.46936342592</v>
      </c>
      <c r="C432" s="1" t="n">
        <v>45984</v>
      </c>
      <c r="D432" t="inlineStr">
        <is>
          <t>JÄMTLANDS LÄN</t>
        </is>
      </c>
      <c r="E432" t="inlineStr">
        <is>
          <t>ÖSTERSUND</t>
        </is>
      </c>
      <c r="G432" t="n">
        <v>3.3</v>
      </c>
      <c r="H432" t="n">
        <v>0</v>
      </c>
      <c r="I432" t="n">
        <v>0</v>
      </c>
      <c r="J432" t="n">
        <v>0</v>
      </c>
      <c r="K432" t="n">
        <v>0</v>
      </c>
      <c r="L432" t="n">
        <v>0</v>
      </c>
      <c r="M432" t="n">
        <v>0</v>
      </c>
      <c r="N432" t="n">
        <v>0</v>
      </c>
      <c r="O432" t="n">
        <v>0</v>
      </c>
      <c r="P432" t="n">
        <v>0</v>
      </c>
      <c r="Q432" t="n">
        <v>0</v>
      </c>
      <c r="R432" s="2" t="inlineStr"/>
    </row>
    <row r="433" ht="15" customHeight="1">
      <c r="A433" t="inlineStr">
        <is>
          <t>A 37085-2025</t>
        </is>
      </c>
      <c r="B433" s="1" t="n">
        <v>45875.44840277778</v>
      </c>
      <c r="C433" s="1" t="n">
        <v>45984</v>
      </c>
      <c r="D433" t="inlineStr">
        <is>
          <t>JÄMTLANDS LÄN</t>
        </is>
      </c>
      <c r="E433" t="inlineStr">
        <is>
          <t>ÖSTERSUND</t>
        </is>
      </c>
      <c r="G433" t="n">
        <v>5.5</v>
      </c>
      <c r="H433" t="n">
        <v>0</v>
      </c>
      <c r="I433" t="n">
        <v>0</v>
      </c>
      <c r="J433" t="n">
        <v>0</v>
      </c>
      <c r="K433" t="n">
        <v>0</v>
      </c>
      <c r="L433" t="n">
        <v>0</v>
      </c>
      <c r="M433" t="n">
        <v>0</v>
      </c>
      <c r="N433" t="n">
        <v>0</v>
      </c>
      <c r="O433" t="n">
        <v>0</v>
      </c>
      <c r="P433" t="n">
        <v>0</v>
      </c>
      <c r="Q433" t="n">
        <v>0</v>
      </c>
      <c r="R433" s="2" t="inlineStr"/>
    </row>
    <row r="434" ht="15" customHeight="1">
      <c r="A434" t="inlineStr">
        <is>
          <t>A 47579-2025</t>
        </is>
      </c>
      <c r="B434" s="1" t="n">
        <v>45931.40671296296</v>
      </c>
      <c r="C434" s="1" t="n">
        <v>45984</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45338-2024</t>
        </is>
      </c>
      <c r="B435" s="1" t="n">
        <v>45576.46905092592</v>
      </c>
      <c r="C435" s="1" t="n">
        <v>45984</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45895-2024</t>
        </is>
      </c>
      <c r="B436" s="1" t="n">
        <v>45580.42736111111</v>
      </c>
      <c r="C436" s="1" t="n">
        <v>45984</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2686-2021</t>
        </is>
      </c>
      <c r="B437" s="1" t="n">
        <v>44214</v>
      </c>
      <c r="C437" s="1" t="n">
        <v>45984</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56557-2025</t>
        </is>
      </c>
      <c r="B438" s="1" t="n">
        <v>45975.49049768518</v>
      </c>
      <c r="C438" s="1" t="n">
        <v>45984</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56899-2025</t>
        </is>
      </c>
      <c r="B439" s="1" t="n">
        <v>45978.57238425926</v>
      </c>
      <c r="C439" s="1" t="n">
        <v>45984</v>
      </c>
      <c r="D439" t="inlineStr">
        <is>
          <t>JÄMTLANDS LÄN</t>
        </is>
      </c>
      <c r="E439" t="inlineStr">
        <is>
          <t>ÖSTERSUND</t>
        </is>
      </c>
      <c r="G439" t="n">
        <v>23.2</v>
      </c>
      <c r="H439" t="n">
        <v>0</v>
      </c>
      <c r="I439" t="n">
        <v>0</v>
      </c>
      <c r="J439" t="n">
        <v>0</v>
      </c>
      <c r="K439" t="n">
        <v>0</v>
      </c>
      <c r="L439" t="n">
        <v>0</v>
      </c>
      <c r="M439" t="n">
        <v>0</v>
      </c>
      <c r="N439" t="n">
        <v>0</v>
      </c>
      <c r="O439" t="n">
        <v>0</v>
      </c>
      <c r="P439" t="n">
        <v>0</v>
      </c>
      <c r="Q439" t="n">
        <v>0</v>
      </c>
      <c r="R439" s="2" t="inlineStr"/>
    </row>
    <row r="440" ht="15" customHeight="1">
      <c r="A440" t="inlineStr">
        <is>
          <t>A 1255-2025</t>
        </is>
      </c>
      <c r="B440" s="1" t="n">
        <v>45667.46922453704</v>
      </c>
      <c r="C440" s="1" t="n">
        <v>45984</v>
      </c>
      <c r="D440" t="inlineStr">
        <is>
          <t>JÄMTLANDS LÄN</t>
        </is>
      </c>
      <c r="E440" t="inlineStr">
        <is>
          <t>ÖSTERSUND</t>
        </is>
      </c>
      <c r="F440" t="inlineStr">
        <is>
          <t>SCA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56811-2025</t>
        </is>
      </c>
      <c r="B441" s="1" t="n">
        <v>45978.45540509259</v>
      </c>
      <c r="C441" s="1" t="n">
        <v>45984</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5549-2025</t>
        </is>
      </c>
      <c r="B442" s="1" t="n">
        <v>45693</v>
      </c>
      <c r="C442" s="1" t="n">
        <v>45984</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56903-2025</t>
        </is>
      </c>
      <c r="B443" s="1" t="n">
        <v>45978.57414351852</v>
      </c>
      <c r="C443" s="1" t="n">
        <v>45984</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33831-2021</t>
        </is>
      </c>
      <c r="B444" s="1" t="n">
        <v>44378</v>
      </c>
      <c r="C444" s="1" t="n">
        <v>45984</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56934-2025</t>
        </is>
      </c>
      <c r="B445" s="1" t="n">
        <v>45978.61351851852</v>
      </c>
      <c r="C445" s="1" t="n">
        <v>45984</v>
      </c>
      <c r="D445" t="inlineStr">
        <is>
          <t>JÄMTLANDS LÄN</t>
        </is>
      </c>
      <c r="E445" t="inlineStr">
        <is>
          <t>ÖSTERSUND</t>
        </is>
      </c>
      <c r="G445" t="n">
        <v>4.3</v>
      </c>
      <c r="H445" t="n">
        <v>0</v>
      </c>
      <c r="I445" t="n">
        <v>0</v>
      </c>
      <c r="J445" t="n">
        <v>0</v>
      </c>
      <c r="K445" t="n">
        <v>0</v>
      </c>
      <c r="L445" t="n">
        <v>0</v>
      </c>
      <c r="M445" t="n">
        <v>0</v>
      </c>
      <c r="N445" t="n">
        <v>0</v>
      </c>
      <c r="O445" t="n">
        <v>0</v>
      </c>
      <c r="P445" t="n">
        <v>0</v>
      </c>
      <c r="Q445" t="n">
        <v>0</v>
      </c>
      <c r="R445" s="2" t="inlineStr"/>
    </row>
    <row r="446" ht="15" customHeight="1">
      <c r="A446" t="inlineStr">
        <is>
          <t>A 10756-2025</t>
        </is>
      </c>
      <c r="B446" s="1" t="n">
        <v>45722.44892361111</v>
      </c>
      <c r="C446" s="1" t="n">
        <v>45984</v>
      </c>
      <c r="D446" t="inlineStr">
        <is>
          <t>JÄMTLANDS LÄN</t>
        </is>
      </c>
      <c r="E446" t="inlineStr">
        <is>
          <t>ÖSTERSUND</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9971-2025</t>
        </is>
      </c>
      <c r="B447" s="1" t="n">
        <v>45719.38630787037</v>
      </c>
      <c r="C447" s="1" t="n">
        <v>45984</v>
      </c>
      <c r="D447" t="inlineStr">
        <is>
          <t>JÄMTLANDS LÄN</t>
        </is>
      </c>
      <c r="E447" t="inlineStr">
        <is>
          <t>ÖSTERSUND</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46748-2023</t>
        </is>
      </c>
      <c r="B448" s="1" t="n">
        <v>45198</v>
      </c>
      <c r="C448" s="1" t="n">
        <v>45984</v>
      </c>
      <c r="D448" t="inlineStr">
        <is>
          <t>JÄMTLANDS LÄN</t>
        </is>
      </c>
      <c r="E448" t="inlineStr">
        <is>
          <t>ÖSTERSUND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46763-2023</t>
        </is>
      </c>
      <c r="B449" s="1" t="n">
        <v>45198</v>
      </c>
      <c r="C449" s="1" t="n">
        <v>45984</v>
      </c>
      <c r="D449" t="inlineStr">
        <is>
          <t>JÄMTLANDS LÄN</t>
        </is>
      </c>
      <c r="E449" t="inlineStr">
        <is>
          <t>ÖSTERSUND</t>
        </is>
      </c>
      <c r="F449" t="inlineStr">
        <is>
          <t>Sveaskog</t>
        </is>
      </c>
      <c r="G449" t="n">
        <v>13.3</v>
      </c>
      <c r="H449" t="n">
        <v>0</v>
      </c>
      <c r="I449" t="n">
        <v>0</v>
      </c>
      <c r="J449" t="n">
        <v>0</v>
      </c>
      <c r="K449" t="n">
        <v>0</v>
      </c>
      <c r="L449" t="n">
        <v>0</v>
      </c>
      <c r="M449" t="n">
        <v>0</v>
      </c>
      <c r="N449" t="n">
        <v>0</v>
      </c>
      <c r="O449" t="n">
        <v>0</v>
      </c>
      <c r="P449" t="n">
        <v>0</v>
      </c>
      <c r="Q449" t="n">
        <v>0</v>
      </c>
      <c r="R449" s="2" t="inlineStr"/>
    </row>
    <row r="450" ht="15" customHeight="1">
      <c r="A450" t="inlineStr">
        <is>
          <t>A 56539-2025</t>
        </is>
      </c>
      <c r="B450" s="1" t="n">
        <v>45975.47357638889</v>
      </c>
      <c r="C450" s="1" t="n">
        <v>45984</v>
      </c>
      <c r="D450" t="inlineStr">
        <is>
          <t>JÄMTLANDS LÄN</t>
        </is>
      </c>
      <c r="E450" t="inlineStr">
        <is>
          <t>ÖSTERSUND</t>
        </is>
      </c>
      <c r="G450" t="n">
        <v>7.5</v>
      </c>
      <c r="H450" t="n">
        <v>0</v>
      </c>
      <c r="I450" t="n">
        <v>0</v>
      </c>
      <c r="J450" t="n">
        <v>0</v>
      </c>
      <c r="K450" t="n">
        <v>0</v>
      </c>
      <c r="L450" t="n">
        <v>0</v>
      </c>
      <c r="M450" t="n">
        <v>0</v>
      </c>
      <c r="N450" t="n">
        <v>0</v>
      </c>
      <c r="O450" t="n">
        <v>0</v>
      </c>
      <c r="P450" t="n">
        <v>0</v>
      </c>
      <c r="Q450" t="n">
        <v>0</v>
      </c>
      <c r="R450" s="2" t="inlineStr"/>
    </row>
    <row r="451" ht="15" customHeight="1">
      <c r="A451" t="inlineStr">
        <is>
          <t>A 56750-2025</t>
        </is>
      </c>
      <c r="B451" s="1" t="n">
        <v>45975</v>
      </c>
      <c r="C451" s="1" t="n">
        <v>45984</v>
      </c>
      <c r="D451" t="inlineStr">
        <is>
          <t>JÄMTLANDS LÄN</t>
        </is>
      </c>
      <c r="E451" t="inlineStr">
        <is>
          <t>ÖSTERSUND</t>
        </is>
      </c>
      <c r="G451" t="n">
        <v>5.1</v>
      </c>
      <c r="H451" t="n">
        <v>0</v>
      </c>
      <c r="I451" t="n">
        <v>0</v>
      </c>
      <c r="J451" t="n">
        <v>0</v>
      </c>
      <c r="K451" t="n">
        <v>0</v>
      </c>
      <c r="L451" t="n">
        <v>0</v>
      </c>
      <c r="M451" t="n">
        <v>0</v>
      </c>
      <c r="N451" t="n">
        <v>0</v>
      </c>
      <c r="O451" t="n">
        <v>0</v>
      </c>
      <c r="P451" t="n">
        <v>0</v>
      </c>
      <c r="Q451" t="n">
        <v>0</v>
      </c>
      <c r="R451" s="2" t="inlineStr"/>
    </row>
    <row r="452" ht="15" customHeight="1">
      <c r="A452" t="inlineStr">
        <is>
          <t>A 57398-2023</t>
        </is>
      </c>
      <c r="B452" s="1" t="n">
        <v>45245</v>
      </c>
      <c r="C452" s="1" t="n">
        <v>45984</v>
      </c>
      <c r="D452" t="inlineStr">
        <is>
          <t>JÄMTLANDS LÄN</t>
        </is>
      </c>
      <c r="E452" t="inlineStr">
        <is>
          <t>ÖSTERSUND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56499-2025</t>
        </is>
      </c>
      <c r="B453" s="1" t="n">
        <v>45975.43427083334</v>
      </c>
      <c r="C453" s="1" t="n">
        <v>45984</v>
      </c>
      <c r="D453" t="inlineStr">
        <is>
          <t>JÄMTLANDS LÄN</t>
        </is>
      </c>
      <c r="E453" t="inlineStr">
        <is>
          <t>ÖSTERSUND</t>
        </is>
      </c>
      <c r="G453" t="n">
        <v>7.4</v>
      </c>
      <c r="H453" t="n">
        <v>0</v>
      </c>
      <c r="I453" t="n">
        <v>0</v>
      </c>
      <c r="J453" t="n">
        <v>0</v>
      </c>
      <c r="K453" t="n">
        <v>0</v>
      </c>
      <c r="L453" t="n">
        <v>0</v>
      </c>
      <c r="M453" t="n">
        <v>0</v>
      </c>
      <c r="N453" t="n">
        <v>0</v>
      </c>
      <c r="O453" t="n">
        <v>0</v>
      </c>
      <c r="P453" t="n">
        <v>0</v>
      </c>
      <c r="Q453" t="n">
        <v>0</v>
      </c>
      <c r="R453" s="2" t="inlineStr"/>
    </row>
    <row r="454" ht="15" customHeight="1">
      <c r="A454" t="inlineStr">
        <is>
          <t>A 5024-2025</t>
        </is>
      </c>
      <c r="B454" s="1" t="n">
        <v>45691.40832175926</v>
      </c>
      <c r="C454" s="1" t="n">
        <v>45984</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5025-2025</t>
        </is>
      </c>
      <c r="B455" s="1" t="n">
        <v>45691.40836805556</v>
      </c>
      <c r="C455" s="1" t="n">
        <v>45984</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56690-2025</t>
        </is>
      </c>
      <c r="B456" s="1" t="n">
        <v>45976.58684027778</v>
      </c>
      <c r="C456" s="1" t="n">
        <v>45984</v>
      </c>
      <c r="D456" t="inlineStr">
        <is>
          <t>JÄMTLANDS LÄN</t>
        </is>
      </c>
      <c r="E456" t="inlineStr">
        <is>
          <t>ÖSTERSUND</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7327-2023</t>
        </is>
      </c>
      <c r="B457" s="1" t="n">
        <v>44970.97871527778</v>
      </c>
      <c r="C457" s="1" t="n">
        <v>45984</v>
      </c>
      <c r="D457" t="inlineStr">
        <is>
          <t>JÄMTLANDS LÄN</t>
        </is>
      </c>
      <c r="E457" t="inlineStr">
        <is>
          <t>ÖSTERSUND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7022-2025</t>
        </is>
      </c>
      <c r="B458" s="1" t="n">
        <v>45701.61899305556</v>
      </c>
      <c r="C458" s="1" t="n">
        <v>45984</v>
      </c>
      <c r="D458" t="inlineStr">
        <is>
          <t>JÄMTLANDS LÄN</t>
        </is>
      </c>
      <c r="E458" t="inlineStr">
        <is>
          <t>ÖSTERSUND</t>
        </is>
      </c>
      <c r="G458" t="n">
        <v>4.8</v>
      </c>
      <c r="H458" t="n">
        <v>0</v>
      </c>
      <c r="I458" t="n">
        <v>0</v>
      </c>
      <c r="J458" t="n">
        <v>0</v>
      </c>
      <c r="K458" t="n">
        <v>0</v>
      </c>
      <c r="L458" t="n">
        <v>0</v>
      </c>
      <c r="M458" t="n">
        <v>0</v>
      </c>
      <c r="N458" t="n">
        <v>0</v>
      </c>
      <c r="O458" t="n">
        <v>0</v>
      </c>
      <c r="P458" t="n">
        <v>0</v>
      </c>
      <c r="Q458" t="n">
        <v>0</v>
      </c>
      <c r="R458" s="2" t="inlineStr"/>
    </row>
    <row r="459" ht="15" customHeight="1">
      <c r="A459" t="inlineStr">
        <is>
          <t>A 46139-2021</t>
        </is>
      </c>
      <c r="B459" s="1" t="n">
        <v>44441</v>
      </c>
      <c r="C459" s="1" t="n">
        <v>45984</v>
      </c>
      <c r="D459" t="inlineStr">
        <is>
          <t>JÄMTLANDS LÄN</t>
        </is>
      </c>
      <c r="E459" t="inlineStr">
        <is>
          <t>ÖSTERSUND</t>
        </is>
      </c>
      <c r="G459" t="n">
        <v>12.8</v>
      </c>
      <c r="H459" t="n">
        <v>0</v>
      </c>
      <c r="I459" t="n">
        <v>0</v>
      </c>
      <c r="J459" t="n">
        <v>0</v>
      </c>
      <c r="K459" t="n">
        <v>0</v>
      </c>
      <c r="L459" t="n">
        <v>0</v>
      </c>
      <c r="M459" t="n">
        <v>0</v>
      </c>
      <c r="N459" t="n">
        <v>0</v>
      </c>
      <c r="O459" t="n">
        <v>0</v>
      </c>
      <c r="P459" t="n">
        <v>0</v>
      </c>
      <c r="Q459" t="n">
        <v>0</v>
      </c>
      <c r="R459" s="2" t="inlineStr"/>
    </row>
    <row r="460" ht="15" customHeight="1">
      <c r="A460" t="inlineStr">
        <is>
          <t>A 45533-2025</t>
        </is>
      </c>
      <c r="B460" s="1" t="n">
        <v>45922</v>
      </c>
      <c r="C460" s="1" t="n">
        <v>45984</v>
      </c>
      <c r="D460" t="inlineStr">
        <is>
          <t>JÄMTLANDS LÄN</t>
        </is>
      </c>
      <c r="E460" t="inlineStr">
        <is>
          <t>ÖSTERSUND</t>
        </is>
      </c>
      <c r="F460" t="inlineStr">
        <is>
          <t>Övriga statliga verk och myndigheter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57513-2025</t>
        </is>
      </c>
      <c r="B461" s="1" t="n">
        <v>45980.61142361111</v>
      </c>
      <c r="C461" s="1" t="n">
        <v>45984</v>
      </c>
      <c r="D461" t="inlineStr">
        <is>
          <t>JÄMTLANDS LÄN</t>
        </is>
      </c>
      <c r="E461" t="inlineStr">
        <is>
          <t>ÖSTERSUND</t>
        </is>
      </c>
      <c r="G461" t="n">
        <v>3.8</v>
      </c>
      <c r="H461" t="n">
        <v>0</v>
      </c>
      <c r="I461" t="n">
        <v>0</v>
      </c>
      <c r="J461" t="n">
        <v>0</v>
      </c>
      <c r="K461" t="n">
        <v>0</v>
      </c>
      <c r="L461" t="n">
        <v>0</v>
      </c>
      <c r="M461" t="n">
        <v>0</v>
      </c>
      <c r="N461" t="n">
        <v>0</v>
      </c>
      <c r="O461" t="n">
        <v>0</v>
      </c>
      <c r="P461" t="n">
        <v>0</v>
      </c>
      <c r="Q461" t="n">
        <v>0</v>
      </c>
      <c r="R461" s="2" t="inlineStr"/>
    </row>
    <row r="462" ht="15" customHeight="1">
      <c r="A462" t="inlineStr">
        <is>
          <t>A 4311-2025</t>
        </is>
      </c>
      <c r="B462" s="1" t="n">
        <v>45685.69267361111</v>
      </c>
      <c r="C462" s="1" t="n">
        <v>45984</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8003-2025</t>
        </is>
      </c>
      <c r="B463" s="1" t="n">
        <v>45707</v>
      </c>
      <c r="C463" s="1" t="n">
        <v>45984</v>
      </c>
      <c r="D463" t="inlineStr">
        <is>
          <t>JÄMTLANDS LÄN</t>
        </is>
      </c>
      <c r="E463" t="inlineStr">
        <is>
          <t>ÖSTERSUND</t>
        </is>
      </c>
      <c r="F463" t="inlineStr">
        <is>
          <t>Övriga Aktiebolag</t>
        </is>
      </c>
      <c r="G463" t="n">
        <v>35.1</v>
      </c>
      <c r="H463" t="n">
        <v>0</v>
      </c>
      <c r="I463" t="n">
        <v>0</v>
      </c>
      <c r="J463" t="n">
        <v>0</v>
      </c>
      <c r="K463" t="n">
        <v>0</v>
      </c>
      <c r="L463" t="n">
        <v>0</v>
      </c>
      <c r="M463" t="n">
        <v>0</v>
      </c>
      <c r="N463" t="n">
        <v>0</v>
      </c>
      <c r="O463" t="n">
        <v>0</v>
      </c>
      <c r="P463" t="n">
        <v>0</v>
      </c>
      <c r="Q463" t="n">
        <v>0</v>
      </c>
      <c r="R463" s="2" t="inlineStr"/>
    </row>
    <row r="464" ht="15" customHeight="1">
      <c r="A464" t="inlineStr">
        <is>
          <t>A 38644-2021</t>
        </is>
      </c>
      <c r="B464" s="1" t="n">
        <v>44410.35376157407</v>
      </c>
      <c r="C464" s="1" t="n">
        <v>45984</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19581-2025</t>
        </is>
      </c>
      <c r="B465" s="1" t="n">
        <v>45770.56363425926</v>
      </c>
      <c r="C465" s="1" t="n">
        <v>45984</v>
      </c>
      <c r="D465" t="inlineStr">
        <is>
          <t>JÄMTLANDS LÄN</t>
        </is>
      </c>
      <c r="E465" t="inlineStr">
        <is>
          <t>ÖSTERSUND</t>
        </is>
      </c>
      <c r="G465" t="n">
        <v>17.2</v>
      </c>
      <c r="H465" t="n">
        <v>0</v>
      </c>
      <c r="I465" t="n">
        <v>0</v>
      </c>
      <c r="J465" t="n">
        <v>0</v>
      </c>
      <c r="K465" t="n">
        <v>0</v>
      </c>
      <c r="L465" t="n">
        <v>0</v>
      </c>
      <c r="M465" t="n">
        <v>0</v>
      </c>
      <c r="N465" t="n">
        <v>0</v>
      </c>
      <c r="O465" t="n">
        <v>0</v>
      </c>
      <c r="P465" t="n">
        <v>0</v>
      </c>
      <c r="Q465" t="n">
        <v>0</v>
      </c>
      <c r="R465" s="2" t="inlineStr"/>
    </row>
    <row r="466" ht="15" customHeight="1">
      <c r="A466" t="inlineStr">
        <is>
          <t>A 49039-2025</t>
        </is>
      </c>
      <c r="B466" s="1" t="n">
        <v>45937.63275462963</v>
      </c>
      <c r="C466" s="1" t="n">
        <v>45984</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62111-2024</t>
        </is>
      </c>
      <c r="B467" s="1" t="n">
        <v>45656.53215277778</v>
      </c>
      <c r="C467" s="1" t="n">
        <v>45984</v>
      </c>
      <c r="D467" t="inlineStr">
        <is>
          <t>JÄMTLANDS LÄN</t>
        </is>
      </c>
      <c r="E467" t="inlineStr">
        <is>
          <t>ÖSTERSUND</t>
        </is>
      </c>
      <c r="G467" t="n">
        <v>3.4</v>
      </c>
      <c r="H467" t="n">
        <v>0</v>
      </c>
      <c r="I467" t="n">
        <v>0</v>
      </c>
      <c r="J467" t="n">
        <v>0</v>
      </c>
      <c r="K467" t="n">
        <v>0</v>
      </c>
      <c r="L467" t="n">
        <v>0</v>
      </c>
      <c r="M467" t="n">
        <v>0</v>
      </c>
      <c r="N467" t="n">
        <v>0</v>
      </c>
      <c r="O467" t="n">
        <v>0</v>
      </c>
      <c r="P467" t="n">
        <v>0</v>
      </c>
      <c r="Q467" t="n">
        <v>0</v>
      </c>
      <c r="R467" s="2" t="inlineStr"/>
    </row>
    <row r="468" ht="15" customHeight="1">
      <c r="A468" t="inlineStr">
        <is>
          <t>A 57268-2025</t>
        </is>
      </c>
      <c r="B468" s="1" t="n">
        <v>45979.6756712963</v>
      </c>
      <c r="C468" s="1" t="n">
        <v>45984</v>
      </c>
      <c r="D468" t="inlineStr">
        <is>
          <t>JÄMTLANDS LÄN</t>
        </is>
      </c>
      <c r="E468" t="inlineStr">
        <is>
          <t>ÖSTERSUND</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44711.9403587963</v>
      </c>
      <c r="C469" s="1" t="n">
        <v>45984</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48893-2025</t>
        </is>
      </c>
      <c r="B470" s="1" t="n">
        <v>45937.47302083333</v>
      </c>
      <c r="C470" s="1" t="n">
        <v>45984</v>
      </c>
      <c r="D470" t="inlineStr">
        <is>
          <t>JÄMTLANDS LÄN</t>
        </is>
      </c>
      <c r="E470" t="inlineStr">
        <is>
          <t>ÖSTERSUND</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41802-2021</t>
        </is>
      </c>
      <c r="B471" s="1" t="n">
        <v>44425</v>
      </c>
      <c r="C471" s="1" t="n">
        <v>45984</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58099-2025</t>
        </is>
      </c>
      <c r="B472" s="1" t="n">
        <v>45982.5862037037</v>
      </c>
      <c r="C472" s="1" t="n">
        <v>45984</v>
      </c>
      <c r="D472" t="inlineStr">
        <is>
          <t>JÄMTLANDS LÄN</t>
        </is>
      </c>
      <c r="E472" t="inlineStr">
        <is>
          <t>ÖSTERSUND</t>
        </is>
      </c>
      <c r="G472" t="n">
        <v>6.1</v>
      </c>
      <c r="H472" t="n">
        <v>0</v>
      </c>
      <c r="I472" t="n">
        <v>0</v>
      </c>
      <c r="J472" t="n">
        <v>0</v>
      </c>
      <c r="K472" t="n">
        <v>0</v>
      </c>
      <c r="L472" t="n">
        <v>0</v>
      </c>
      <c r="M472" t="n">
        <v>0</v>
      </c>
      <c r="N472" t="n">
        <v>0</v>
      </c>
      <c r="O472" t="n">
        <v>0</v>
      </c>
      <c r="P472" t="n">
        <v>0</v>
      </c>
      <c r="Q472" t="n">
        <v>0</v>
      </c>
      <c r="R472" s="2" t="inlineStr"/>
    </row>
    <row r="473" ht="15" customHeight="1">
      <c r="A473" t="inlineStr">
        <is>
          <t>A 7953-2025</t>
        </is>
      </c>
      <c r="B473" s="1" t="n">
        <v>45707.42392361111</v>
      </c>
      <c r="C473" s="1" t="n">
        <v>45984</v>
      </c>
      <c r="D473" t="inlineStr">
        <is>
          <t>JÄMTLANDS LÄN</t>
        </is>
      </c>
      <c r="E473" t="inlineStr">
        <is>
          <t>ÖSTERSUND</t>
        </is>
      </c>
      <c r="G473" t="n">
        <v>1.8</v>
      </c>
      <c r="H473" t="n">
        <v>0</v>
      </c>
      <c r="I473" t="n">
        <v>0</v>
      </c>
      <c r="J473" t="n">
        <v>0</v>
      </c>
      <c r="K473" t="n">
        <v>0</v>
      </c>
      <c r="L473" t="n">
        <v>0</v>
      </c>
      <c r="M473" t="n">
        <v>0</v>
      </c>
      <c r="N473" t="n">
        <v>0</v>
      </c>
      <c r="O473" t="n">
        <v>0</v>
      </c>
      <c r="P473" t="n">
        <v>0</v>
      </c>
      <c r="Q473" t="n">
        <v>0</v>
      </c>
      <c r="R473" s="2" t="inlineStr"/>
    </row>
    <row r="474" ht="15" customHeight="1">
      <c r="A474" t="inlineStr">
        <is>
          <t>A 13738-2025</t>
        </is>
      </c>
      <c r="B474" s="1" t="n">
        <v>45737.40131944444</v>
      </c>
      <c r="C474" s="1" t="n">
        <v>45984</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49576-2025</t>
        </is>
      </c>
      <c r="B475" s="1" t="n">
        <v>45939</v>
      </c>
      <c r="C475" s="1" t="n">
        <v>45984</v>
      </c>
      <c r="D475" t="inlineStr">
        <is>
          <t>JÄMTLANDS LÄN</t>
        </is>
      </c>
      <c r="E475" t="inlineStr">
        <is>
          <t>ÖSTERSUND</t>
        </is>
      </c>
      <c r="F475" t="inlineStr">
        <is>
          <t>SCA</t>
        </is>
      </c>
      <c r="G475" t="n">
        <v>17.1</v>
      </c>
      <c r="H475" t="n">
        <v>0</v>
      </c>
      <c r="I475" t="n">
        <v>0</v>
      </c>
      <c r="J475" t="n">
        <v>0</v>
      </c>
      <c r="K475" t="n">
        <v>0</v>
      </c>
      <c r="L475" t="n">
        <v>0</v>
      </c>
      <c r="M475" t="n">
        <v>0</v>
      </c>
      <c r="N475" t="n">
        <v>0</v>
      </c>
      <c r="O475" t="n">
        <v>0</v>
      </c>
      <c r="P475" t="n">
        <v>0</v>
      </c>
      <c r="Q475" t="n">
        <v>0</v>
      </c>
      <c r="R475" s="2" t="inlineStr"/>
    </row>
    <row r="476" ht="15" customHeight="1">
      <c r="A476" t="inlineStr">
        <is>
          <t>A 55365-2024</t>
        </is>
      </c>
      <c r="B476" s="1" t="n">
        <v>45621.86827546296</v>
      </c>
      <c r="C476" s="1" t="n">
        <v>45984</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60349-2024</t>
        </is>
      </c>
      <c r="B477" s="1" t="n">
        <v>45643.42986111111</v>
      </c>
      <c r="C477" s="1" t="n">
        <v>45984</v>
      </c>
      <c r="D477" t="inlineStr">
        <is>
          <t>JÄMTLANDS LÄN</t>
        </is>
      </c>
      <c r="E477" t="inlineStr">
        <is>
          <t>ÖSTERSUND</t>
        </is>
      </c>
      <c r="F477" t="inlineStr">
        <is>
          <t>Sveaskog</t>
        </is>
      </c>
      <c r="G477" t="n">
        <v>16.6</v>
      </c>
      <c r="H477" t="n">
        <v>0</v>
      </c>
      <c r="I477" t="n">
        <v>0</v>
      </c>
      <c r="J477" t="n">
        <v>0</v>
      </c>
      <c r="K477" t="n">
        <v>0</v>
      </c>
      <c r="L477" t="n">
        <v>0</v>
      </c>
      <c r="M477" t="n">
        <v>0</v>
      </c>
      <c r="N477" t="n">
        <v>0</v>
      </c>
      <c r="O477" t="n">
        <v>0</v>
      </c>
      <c r="P477" t="n">
        <v>0</v>
      </c>
      <c r="Q477" t="n">
        <v>0</v>
      </c>
      <c r="R477" s="2" t="inlineStr"/>
    </row>
    <row r="478" ht="15" customHeight="1">
      <c r="A478" t="inlineStr">
        <is>
          <t>A 19664-2025</t>
        </is>
      </c>
      <c r="B478" s="1" t="n">
        <v>45770.6925462963</v>
      </c>
      <c r="C478" s="1" t="n">
        <v>45984</v>
      </c>
      <c r="D478" t="inlineStr">
        <is>
          <t>JÄMTLANDS LÄN</t>
        </is>
      </c>
      <c r="E478" t="inlineStr">
        <is>
          <t>ÖSTERSUND</t>
        </is>
      </c>
      <c r="G478" t="n">
        <v>8.6</v>
      </c>
      <c r="H478" t="n">
        <v>0</v>
      </c>
      <c r="I478" t="n">
        <v>0</v>
      </c>
      <c r="J478" t="n">
        <v>0</v>
      </c>
      <c r="K478" t="n">
        <v>0</v>
      </c>
      <c r="L478" t="n">
        <v>0</v>
      </c>
      <c r="M478" t="n">
        <v>0</v>
      </c>
      <c r="N478" t="n">
        <v>0</v>
      </c>
      <c r="O478" t="n">
        <v>0</v>
      </c>
      <c r="P478" t="n">
        <v>0</v>
      </c>
      <c r="Q478" t="n">
        <v>0</v>
      </c>
      <c r="R478" s="2" t="inlineStr"/>
    </row>
    <row r="479" ht="15" customHeight="1">
      <c r="A479" t="inlineStr">
        <is>
          <t>A 31464-2024</t>
        </is>
      </c>
      <c r="B479" s="1" t="n">
        <v>45505.95078703704</v>
      </c>
      <c r="C479" s="1" t="n">
        <v>45984</v>
      </c>
      <c r="D479" t="inlineStr">
        <is>
          <t>JÄMTLANDS LÄN</t>
        </is>
      </c>
      <c r="E479" t="inlineStr">
        <is>
          <t>ÖSTERSUND</t>
        </is>
      </c>
      <c r="F479" t="inlineStr">
        <is>
          <t>SCA</t>
        </is>
      </c>
      <c r="G479" t="n">
        <v>8.1</v>
      </c>
      <c r="H479" t="n">
        <v>0</v>
      </c>
      <c r="I479" t="n">
        <v>0</v>
      </c>
      <c r="J479" t="n">
        <v>0</v>
      </c>
      <c r="K479" t="n">
        <v>0</v>
      </c>
      <c r="L479" t="n">
        <v>0</v>
      </c>
      <c r="M479" t="n">
        <v>0</v>
      </c>
      <c r="N479" t="n">
        <v>0</v>
      </c>
      <c r="O479" t="n">
        <v>0</v>
      </c>
      <c r="P479" t="n">
        <v>0</v>
      </c>
      <c r="Q479" t="n">
        <v>0</v>
      </c>
      <c r="R479" s="2" t="inlineStr"/>
    </row>
    <row r="480" ht="15" customHeight="1">
      <c r="A480" t="inlineStr">
        <is>
          <t>A 58122-2025</t>
        </is>
      </c>
      <c r="B480" s="1" t="n">
        <v>45982.61043981482</v>
      </c>
      <c r="C480" s="1" t="n">
        <v>45984</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47022-2024</t>
        </is>
      </c>
      <c r="B481" s="1" t="n">
        <v>45586.40660879629</v>
      </c>
      <c r="C481" s="1" t="n">
        <v>45984</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49572-2025</t>
        </is>
      </c>
      <c r="B482" s="1" t="n">
        <v>45939.49018518518</v>
      </c>
      <c r="C482" s="1" t="n">
        <v>45984</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45984</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9552-2025</t>
        </is>
      </c>
      <c r="B484" s="1" t="n">
        <v>45715.59545138889</v>
      </c>
      <c r="C484" s="1" t="n">
        <v>45984</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4500-2025</t>
        </is>
      </c>
      <c r="B485" s="1" t="n">
        <v>45686.6859375</v>
      </c>
      <c r="C485" s="1" t="n">
        <v>45984</v>
      </c>
      <c r="D485" t="inlineStr">
        <is>
          <t>JÄMTLANDS LÄN</t>
        </is>
      </c>
      <c r="E485" t="inlineStr">
        <is>
          <t>ÖSTERSUND</t>
        </is>
      </c>
      <c r="G485" t="n">
        <v>28.4</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45984</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16753-2025</t>
        </is>
      </c>
      <c r="B487" s="1" t="n">
        <v>45754.56839120371</v>
      </c>
      <c r="C487" s="1" t="n">
        <v>45984</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45984</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60174-2022</t>
        </is>
      </c>
      <c r="B489" s="1" t="n">
        <v>44909.9640162037</v>
      </c>
      <c r="C489" s="1" t="n">
        <v>45984</v>
      </c>
      <c r="D489" t="inlineStr">
        <is>
          <t>JÄMTLANDS LÄN</t>
        </is>
      </c>
      <c r="E489" t="inlineStr">
        <is>
          <t>ÖSTERSUND</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20634-2023</t>
        </is>
      </c>
      <c r="B490" s="1" t="n">
        <v>45057.9441087963</v>
      </c>
      <c r="C490" s="1" t="n">
        <v>45984</v>
      </c>
      <c r="D490" t="inlineStr">
        <is>
          <t>JÄMTLANDS LÄN</t>
        </is>
      </c>
      <c r="E490" t="inlineStr">
        <is>
          <t>ÖSTERSUND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64309-2023</t>
        </is>
      </c>
      <c r="B491" s="1" t="n">
        <v>45280</v>
      </c>
      <c r="C491" s="1" t="n">
        <v>45984</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27124-2023</t>
        </is>
      </c>
      <c r="B492" s="1" t="n">
        <v>45096</v>
      </c>
      <c r="C492" s="1" t="n">
        <v>45984</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53714-2022</t>
        </is>
      </c>
      <c r="B493" s="1" t="n">
        <v>44880</v>
      </c>
      <c r="C493" s="1" t="n">
        <v>45984</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60767-2022</t>
        </is>
      </c>
      <c r="B494" s="1" t="n">
        <v>44914.35599537037</v>
      </c>
      <c r="C494" s="1" t="n">
        <v>45984</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61530-2023</t>
        </is>
      </c>
      <c r="B495" s="1" t="n">
        <v>45261</v>
      </c>
      <c r="C495" s="1" t="n">
        <v>45984</v>
      </c>
      <c r="D495" t="inlineStr">
        <is>
          <t>JÄMTLANDS LÄN</t>
        </is>
      </c>
      <c r="E495" t="inlineStr">
        <is>
          <t>ÖSTERSUND</t>
        </is>
      </c>
      <c r="F495" t="inlineStr">
        <is>
          <t>Övriga statliga verk och myndigheter</t>
        </is>
      </c>
      <c r="G495" t="n">
        <v>1</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45984</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14118-2025</t>
        </is>
      </c>
      <c r="B497" s="1" t="n">
        <v>45740.46325231482</v>
      </c>
      <c r="C497" s="1" t="n">
        <v>45984</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25535-2023</t>
        </is>
      </c>
      <c r="B498" s="1" t="n">
        <v>45089.54944444444</v>
      </c>
      <c r="C498" s="1" t="n">
        <v>45984</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6048-2024</t>
        </is>
      </c>
      <c r="B499" s="1" t="n">
        <v>45336</v>
      </c>
      <c r="C499" s="1" t="n">
        <v>45984</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7233-2024</t>
        </is>
      </c>
      <c r="B500" s="1" t="n">
        <v>45344</v>
      </c>
      <c r="C500" s="1" t="n">
        <v>45984</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48737-2024</t>
        </is>
      </c>
      <c r="B501" s="1" t="n">
        <v>45593.57327546296</v>
      </c>
      <c r="C501" s="1" t="n">
        <v>45984</v>
      </c>
      <c r="D501" t="inlineStr">
        <is>
          <t>JÄMTLANDS LÄN</t>
        </is>
      </c>
      <c r="E501" t="inlineStr">
        <is>
          <t>ÖSTERSUND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27118-2023</t>
        </is>
      </c>
      <c r="B502" s="1" t="n">
        <v>45096</v>
      </c>
      <c r="C502" s="1" t="n">
        <v>45984</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39493-2023</t>
        </is>
      </c>
      <c r="B503" s="1" t="n">
        <v>45166.9569675926</v>
      </c>
      <c r="C503" s="1" t="n">
        <v>45984</v>
      </c>
      <c r="D503" t="inlineStr">
        <is>
          <t>JÄMTLANDS LÄN</t>
        </is>
      </c>
      <c r="E503" t="inlineStr">
        <is>
          <t>ÖSTERSUND</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16306-2025</t>
        </is>
      </c>
      <c r="B504" s="1" t="n">
        <v>45751.34664351852</v>
      </c>
      <c r="C504" s="1" t="n">
        <v>45984</v>
      </c>
      <c r="D504" t="inlineStr">
        <is>
          <t>JÄMTLANDS LÄN</t>
        </is>
      </c>
      <c r="E504" t="inlineStr">
        <is>
          <t>ÖSTERSUND</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2756-2024</t>
        </is>
      </c>
      <c r="B505" s="1" t="n">
        <v>45314.58785879629</v>
      </c>
      <c r="C505" s="1" t="n">
        <v>45984</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27294-2023</t>
        </is>
      </c>
      <c r="B506" s="1" t="n">
        <v>45092</v>
      </c>
      <c r="C506" s="1" t="n">
        <v>45984</v>
      </c>
      <c r="D506" t="inlineStr">
        <is>
          <t>JÄMTLANDS LÄN</t>
        </is>
      </c>
      <c r="E506" t="inlineStr">
        <is>
          <t>ÖSTERSUND</t>
        </is>
      </c>
      <c r="G506" t="n">
        <v>2.8</v>
      </c>
      <c r="H506" t="n">
        <v>0</v>
      </c>
      <c r="I506" t="n">
        <v>0</v>
      </c>
      <c r="J506" t="n">
        <v>0</v>
      </c>
      <c r="K506" t="n">
        <v>0</v>
      </c>
      <c r="L506" t="n">
        <v>0</v>
      </c>
      <c r="M506" t="n">
        <v>0</v>
      </c>
      <c r="N506" t="n">
        <v>0</v>
      </c>
      <c r="O506" t="n">
        <v>0</v>
      </c>
      <c r="P506" t="n">
        <v>0</v>
      </c>
      <c r="Q506" t="n">
        <v>0</v>
      </c>
      <c r="R506" s="2" t="inlineStr"/>
    </row>
    <row r="507" ht="15" customHeight="1">
      <c r="A507" t="inlineStr">
        <is>
          <t>A 24246-2024</t>
        </is>
      </c>
      <c r="B507" s="1" t="n">
        <v>45457.37893518519</v>
      </c>
      <c r="C507" s="1" t="n">
        <v>45984</v>
      </c>
      <c r="D507" t="inlineStr">
        <is>
          <t>JÄMTLANDS LÄN</t>
        </is>
      </c>
      <c r="E507" t="inlineStr">
        <is>
          <t>ÖSTERSUND</t>
        </is>
      </c>
      <c r="G507" t="n">
        <v>5.3</v>
      </c>
      <c r="H507" t="n">
        <v>0</v>
      </c>
      <c r="I507" t="n">
        <v>0</v>
      </c>
      <c r="J507" t="n">
        <v>0</v>
      </c>
      <c r="K507" t="n">
        <v>0</v>
      </c>
      <c r="L507" t="n">
        <v>0</v>
      </c>
      <c r="M507" t="n">
        <v>0</v>
      </c>
      <c r="N507" t="n">
        <v>0</v>
      </c>
      <c r="O507" t="n">
        <v>0</v>
      </c>
      <c r="P507" t="n">
        <v>0</v>
      </c>
      <c r="Q507" t="n">
        <v>0</v>
      </c>
      <c r="R507" s="2" t="inlineStr"/>
    </row>
    <row r="508" ht="15" customHeight="1">
      <c r="A508" t="inlineStr">
        <is>
          <t>A 1670-2024</t>
        </is>
      </c>
      <c r="B508" s="1" t="n">
        <v>45306</v>
      </c>
      <c r="C508" s="1" t="n">
        <v>45984</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49192-2024</t>
        </is>
      </c>
      <c r="B509" s="1" t="n">
        <v>45595.34762731481</v>
      </c>
      <c r="C509" s="1" t="n">
        <v>45984</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45984</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69190-2021</t>
        </is>
      </c>
      <c r="B511" s="1" t="n">
        <v>44529</v>
      </c>
      <c r="C511" s="1" t="n">
        <v>45984</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4707-2024</t>
        </is>
      </c>
      <c r="B512" s="1" t="n">
        <v>45328</v>
      </c>
      <c r="C512" s="1" t="n">
        <v>45984</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55064-2024</t>
        </is>
      </c>
      <c r="B513" s="1" t="n">
        <v>45621.41050925926</v>
      </c>
      <c r="C513" s="1" t="n">
        <v>45984</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45984</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8027-2022</t>
        </is>
      </c>
      <c r="B515" s="1" t="n">
        <v>44609</v>
      </c>
      <c r="C515" s="1" t="n">
        <v>45984</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19323-2024</t>
        </is>
      </c>
      <c r="B516" s="1" t="n">
        <v>45428.92486111111</v>
      </c>
      <c r="C516" s="1" t="n">
        <v>45984</v>
      </c>
      <c r="D516" t="inlineStr">
        <is>
          <t>JÄMTLANDS LÄN</t>
        </is>
      </c>
      <c r="E516" t="inlineStr">
        <is>
          <t>ÖSTERSUND</t>
        </is>
      </c>
      <c r="F516" t="inlineStr">
        <is>
          <t>Kommuner</t>
        </is>
      </c>
      <c r="G516" t="n">
        <v>0.2</v>
      </c>
      <c r="H516" t="n">
        <v>0</v>
      </c>
      <c r="I516" t="n">
        <v>0</v>
      </c>
      <c r="J516" t="n">
        <v>0</v>
      </c>
      <c r="K516" t="n">
        <v>0</v>
      </c>
      <c r="L516" t="n">
        <v>0</v>
      </c>
      <c r="M516" t="n">
        <v>0</v>
      </c>
      <c r="N516" t="n">
        <v>0</v>
      </c>
      <c r="O516" t="n">
        <v>0</v>
      </c>
      <c r="P516" t="n">
        <v>0</v>
      </c>
      <c r="Q516" t="n">
        <v>0</v>
      </c>
      <c r="R516" s="2" t="inlineStr"/>
    </row>
    <row r="517" ht="15" customHeight="1">
      <c r="A517" t="inlineStr">
        <is>
          <t>A 14831-2025</t>
        </is>
      </c>
      <c r="B517" s="1" t="n">
        <v>45743.37109953703</v>
      </c>
      <c r="C517" s="1" t="n">
        <v>45984</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49592-2024</t>
        </is>
      </c>
      <c r="B518" s="1" t="n">
        <v>45596.55266203704</v>
      </c>
      <c r="C518" s="1" t="n">
        <v>45984</v>
      </c>
      <c r="D518" t="inlineStr">
        <is>
          <t>JÄMTLANDS LÄN</t>
        </is>
      </c>
      <c r="E518" t="inlineStr">
        <is>
          <t>ÖSTERSUND</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56847-2024</t>
        </is>
      </c>
      <c r="B519" s="1" t="n">
        <v>45628.53381944444</v>
      </c>
      <c r="C519" s="1" t="n">
        <v>45984</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44798-2023</t>
        </is>
      </c>
      <c r="B520" s="1" t="n">
        <v>45190</v>
      </c>
      <c r="C520" s="1" t="n">
        <v>45984</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61376-2024</t>
        </is>
      </c>
      <c r="B521" s="1" t="n">
        <v>45646.39434027778</v>
      </c>
      <c r="C521" s="1" t="n">
        <v>45984</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49788-2024</t>
        </is>
      </c>
      <c r="B522" s="1" t="n">
        <v>45597.36623842592</v>
      </c>
      <c r="C522" s="1" t="n">
        <v>45984</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58406-2024</t>
        </is>
      </c>
      <c r="B523" s="1" t="n">
        <v>45634.70898148148</v>
      </c>
      <c r="C523" s="1" t="n">
        <v>45984</v>
      </c>
      <c r="D523" t="inlineStr">
        <is>
          <t>JÄMTLANDS LÄN</t>
        </is>
      </c>
      <c r="E523" t="inlineStr">
        <is>
          <t>ÖSTERSUND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61002-2024</t>
        </is>
      </c>
      <c r="B524" s="1" t="n">
        <v>45645.44158564815</v>
      </c>
      <c r="C524" s="1" t="n">
        <v>45984</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33501-2023</t>
        </is>
      </c>
      <c r="B525" s="1" t="n">
        <v>45118</v>
      </c>
      <c r="C525" s="1" t="n">
        <v>45984</v>
      </c>
      <c r="D525" t="inlineStr">
        <is>
          <t>JÄMTLANDS LÄN</t>
        </is>
      </c>
      <c r="E525" t="inlineStr">
        <is>
          <t>ÖSTERSUND</t>
        </is>
      </c>
      <c r="G525" t="n">
        <v>5.8</v>
      </c>
      <c r="H525" t="n">
        <v>0</v>
      </c>
      <c r="I525" t="n">
        <v>0</v>
      </c>
      <c r="J525" t="n">
        <v>0</v>
      </c>
      <c r="K525" t="n">
        <v>0</v>
      </c>
      <c r="L525" t="n">
        <v>0</v>
      </c>
      <c r="M525" t="n">
        <v>0</v>
      </c>
      <c r="N525" t="n">
        <v>0</v>
      </c>
      <c r="O525" t="n">
        <v>0</v>
      </c>
      <c r="P525" t="n">
        <v>0</v>
      </c>
      <c r="Q525" t="n">
        <v>0</v>
      </c>
      <c r="R525" s="2" t="inlineStr"/>
    </row>
    <row r="526" ht="15" customHeight="1">
      <c r="A526" t="inlineStr">
        <is>
          <t>A 231-2022</t>
        </is>
      </c>
      <c r="B526" s="1" t="n">
        <v>44564.93909722222</v>
      </c>
      <c r="C526" s="1" t="n">
        <v>45984</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52854-2024</t>
        </is>
      </c>
      <c r="B527" s="1" t="n">
        <v>45610.61030092592</v>
      </c>
      <c r="C527" s="1" t="n">
        <v>45984</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8216-2025</t>
        </is>
      </c>
      <c r="B528" s="1" t="n">
        <v>45708.44947916667</v>
      </c>
      <c r="C528" s="1" t="n">
        <v>45984</v>
      </c>
      <c r="D528" t="inlineStr">
        <is>
          <t>JÄMTLANDS LÄN</t>
        </is>
      </c>
      <c r="E528" t="inlineStr">
        <is>
          <t>ÖSTERSUND</t>
        </is>
      </c>
      <c r="F528" t="inlineStr">
        <is>
          <t>Övriga Aktiebolag</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3615-2025</t>
        </is>
      </c>
      <c r="B529" s="1" t="n">
        <v>45681.36493055556</v>
      </c>
      <c r="C529" s="1" t="n">
        <v>45984</v>
      </c>
      <c r="D529" t="inlineStr">
        <is>
          <t>JÄMTLANDS LÄN</t>
        </is>
      </c>
      <c r="E529" t="inlineStr">
        <is>
          <t>ÖSTERSUND</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3651-2025</t>
        </is>
      </c>
      <c r="B530" s="1" t="n">
        <v>45681.40689814815</v>
      </c>
      <c r="C530" s="1" t="n">
        <v>45984</v>
      </c>
      <c r="D530" t="inlineStr">
        <is>
          <t>JÄMTLANDS LÄN</t>
        </is>
      </c>
      <c r="E530" t="inlineStr">
        <is>
          <t>ÖSTERSUND</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3664-2025</t>
        </is>
      </c>
      <c r="B531" s="1" t="n">
        <v>45681.4275462963</v>
      </c>
      <c r="C531" s="1" t="n">
        <v>45984</v>
      </c>
      <c r="D531" t="inlineStr">
        <is>
          <t>JÄMTLANDS LÄN</t>
        </is>
      </c>
      <c r="E531" t="inlineStr">
        <is>
          <t>ÖSTERSUND</t>
        </is>
      </c>
      <c r="F531" t="inlineStr">
        <is>
          <t>SCA</t>
        </is>
      </c>
      <c r="G531" t="n">
        <v>10.9</v>
      </c>
      <c r="H531" t="n">
        <v>0</v>
      </c>
      <c r="I531" t="n">
        <v>0</v>
      </c>
      <c r="J531" t="n">
        <v>0</v>
      </c>
      <c r="K531" t="n">
        <v>0</v>
      </c>
      <c r="L531" t="n">
        <v>0</v>
      </c>
      <c r="M531" t="n">
        <v>0</v>
      </c>
      <c r="N531" t="n">
        <v>0</v>
      </c>
      <c r="O531" t="n">
        <v>0</v>
      </c>
      <c r="P531" t="n">
        <v>0</v>
      </c>
      <c r="Q531" t="n">
        <v>0</v>
      </c>
      <c r="R531" s="2" t="inlineStr"/>
    </row>
    <row r="532" ht="15" customHeight="1">
      <c r="A532" t="inlineStr">
        <is>
          <t>A 12429-2025</t>
        </is>
      </c>
      <c r="B532" s="1" t="n">
        <v>45730.45930555555</v>
      </c>
      <c r="C532" s="1" t="n">
        <v>45984</v>
      </c>
      <c r="D532" t="inlineStr">
        <is>
          <t>JÄMTLANDS LÄN</t>
        </is>
      </c>
      <c r="E532" t="inlineStr">
        <is>
          <t>ÖSTERSUND</t>
        </is>
      </c>
      <c r="F532" t="inlineStr">
        <is>
          <t>Övriga Aktiebolag</t>
        </is>
      </c>
      <c r="G532" t="n">
        <v>4.4</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45984</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45984</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45984</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45984</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45984</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45984</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45984</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45984</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21495-2022</t>
        </is>
      </c>
      <c r="B541" s="1" t="n">
        <v>44706</v>
      </c>
      <c r="C541" s="1" t="n">
        <v>45984</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12102-2025</t>
        </is>
      </c>
      <c r="B542" s="1" t="n">
        <v>45729.3425</v>
      </c>
      <c r="C542" s="1" t="n">
        <v>45984</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7005-2025</t>
        </is>
      </c>
      <c r="B543" s="1" t="n">
        <v>45701.60046296296</v>
      </c>
      <c r="C543" s="1" t="n">
        <v>45984</v>
      </c>
      <c r="D543" t="inlineStr">
        <is>
          <t>JÄMTLANDS LÄN</t>
        </is>
      </c>
      <c r="E543" t="inlineStr">
        <is>
          <t>ÖSTERSUND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57556-2024</t>
        </is>
      </c>
      <c r="B544" s="1" t="n">
        <v>45630</v>
      </c>
      <c r="C544" s="1" t="n">
        <v>45984</v>
      </c>
      <c r="D544" t="inlineStr">
        <is>
          <t>JÄMTLANDS LÄN</t>
        </is>
      </c>
      <c r="E544" t="inlineStr">
        <is>
          <t>ÖSTERSUND</t>
        </is>
      </c>
      <c r="G544" t="n">
        <v>5.5</v>
      </c>
      <c r="H544" t="n">
        <v>0</v>
      </c>
      <c r="I544" t="n">
        <v>0</v>
      </c>
      <c r="J544" t="n">
        <v>0</v>
      </c>
      <c r="K544" t="n">
        <v>0</v>
      </c>
      <c r="L544" t="n">
        <v>0</v>
      </c>
      <c r="M544" t="n">
        <v>0</v>
      </c>
      <c r="N544" t="n">
        <v>0</v>
      </c>
      <c r="O544" t="n">
        <v>0</v>
      </c>
      <c r="P544" t="n">
        <v>0</v>
      </c>
      <c r="Q544" t="n">
        <v>0</v>
      </c>
      <c r="R544" s="2" t="inlineStr"/>
    </row>
    <row r="545" ht="15" customHeight="1">
      <c r="A545" t="inlineStr">
        <is>
          <t>A 8389-2025</t>
        </is>
      </c>
      <c r="B545" s="1" t="n">
        <v>45709.36497685185</v>
      </c>
      <c r="C545" s="1" t="n">
        <v>45984</v>
      </c>
      <c r="D545" t="inlineStr">
        <is>
          <t>JÄMTLANDS LÄN</t>
        </is>
      </c>
      <c r="E545" t="inlineStr">
        <is>
          <t>ÖSTERSUND</t>
        </is>
      </c>
      <c r="F545" t="inlineStr">
        <is>
          <t>SCA</t>
        </is>
      </c>
      <c r="G545" t="n">
        <v>6.3</v>
      </c>
      <c r="H545" t="n">
        <v>0</v>
      </c>
      <c r="I545" t="n">
        <v>0</v>
      </c>
      <c r="J545" t="n">
        <v>0</v>
      </c>
      <c r="K545" t="n">
        <v>0</v>
      </c>
      <c r="L545" t="n">
        <v>0</v>
      </c>
      <c r="M545" t="n">
        <v>0</v>
      </c>
      <c r="N545" t="n">
        <v>0</v>
      </c>
      <c r="O545" t="n">
        <v>0</v>
      </c>
      <c r="P545" t="n">
        <v>0</v>
      </c>
      <c r="Q545" t="n">
        <v>0</v>
      </c>
      <c r="R545" s="2" t="inlineStr"/>
    </row>
    <row r="546" ht="15" customHeight="1">
      <c r="A546" t="inlineStr">
        <is>
          <t>A 44048-2024</t>
        </is>
      </c>
      <c r="B546" s="1" t="n">
        <v>45572.59430555555</v>
      </c>
      <c r="C546" s="1" t="n">
        <v>45984</v>
      </c>
      <c r="D546" t="inlineStr">
        <is>
          <t>JÄMTLANDS LÄN</t>
        </is>
      </c>
      <c r="E546" t="inlineStr">
        <is>
          <t>ÖSTERSUND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45984</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4063-2025</t>
        </is>
      </c>
      <c r="B548" s="1" t="n">
        <v>45684</v>
      </c>
      <c r="C548" s="1" t="n">
        <v>45984</v>
      </c>
      <c r="D548" t="inlineStr">
        <is>
          <t>JÄMTLANDS LÄN</t>
        </is>
      </c>
      <c r="E548" t="inlineStr">
        <is>
          <t>ÖSTERSUND</t>
        </is>
      </c>
      <c r="G548" t="n">
        <v>2.9</v>
      </c>
      <c r="H548" t="n">
        <v>0</v>
      </c>
      <c r="I548" t="n">
        <v>0</v>
      </c>
      <c r="J548" t="n">
        <v>0</v>
      </c>
      <c r="K548" t="n">
        <v>0</v>
      </c>
      <c r="L548" t="n">
        <v>0</v>
      </c>
      <c r="M548" t="n">
        <v>0</v>
      </c>
      <c r="N548" t="n">
        <v>0</v>
      </c>
      <c r="O548" t="n">
        <v>0</v>
      </c>
      <c r="P548" t="n">
        <v>0</v>
      </c>
      <c r="Q548" t="n">
        <v>0</v>
      </c>
      <c r="R548" s="2" t="inlineStr"/>
    </row>
    <row r="549" ht="15" customHeight="1">
      <c r="A549" t="inlineStr">
        <is>
          <t>A 7936-2025</t>
        </is>
      </c>
      <c r="B549" s="1" t="n">
        <v>45707</v>
      </c>
      <c r="C549" s="1" t="n">
        <v>45984</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7940-2025</t>
        </is>
      </c>
      <c r="B550" s="1" t="n">
        <v>45707.40493055555</v>
      </c>
      <c r="C550" s="1" t="n">
        <v>45984</v>
      </c>
      <c r="D550" t="inlineStr">
        <is>
          <t>JÄMTLANDS LÄN</t>
        </is>
      </c>
      <c r="E550" t="inlineStr">
        <is>
          <t>ÖSTERSUND</t>
        </is>
      </c>
      <c r="F550" t="inlineStr">
        <is>
          <t>Övriga Aktiebolag</t>
        </is>
      </c>
      <c r="G550" t="n">
        <v>48.1</v>
      </c>
      <c r="H550" t="n">
        <v>0</v>
      </c>
      <c r="I550" t="n">
        <v>0</v>
      </c>
      <c r="J550" t="n">
        <v>0</v>
      </c>
      <c r="K550" t="n">
        <v>0</v>
      </c>
      <c r="L550" t="n">
        <v>0</v>
      </c>
      <c r="M550" t="n">
        <v>0</v>
      </c>
      <c r="N550" t="n">
        <v>0</v>
      </c>
      <c r="O550" t="n">
        <v>0</v>
      </c>
      <c r="P550" t="n">
        <v>0</v>
      </c>
      <c r="Q550" t="n">
        <v>0</v>
      </c>
      <c r="R550" s="2" t="inlineStr"/>
    </row>
    <row r="551" ht="15" customHeight="1">
      <c r="A551" t="inlineStr">
        <is>
          <t>A 12946-2022</t>
        </is>
      </c>
      <c r="B551" s="1" t="n">
        <v>44642.93471064815</v>
      </c>
      <c r="C551" s="1" t="n">
        <v>45984</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79-2025</t>
        </is>
      </c>
      <c r="B552" s="1" t="n">
        <v>45659.44413194444</v>
      </c>
      <c r="C552" s="1" t="n">
        <v>45984</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45984</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2753-2025</t>
        </is>
      </c>
      <c r="B554" s="1" t="n">
        <v>45677.47302083333</v>
      </c>
      <c r="C554" s="1" t="n">
        <v>45984</v>
      </c>
      <c r="D554" t="inlineStr">
        <is>
          <t>JÄMTLANDS LÄN</t>
        </is>
      </c>
      <c r="E554" t="inlineStr">
        <is>
          <t>ÖSTERSUND</t>
        </is>
      </c>
      <c r="G554" t="n">
        <v>6.4</v>
      </c>
      <c r="H554" t="n">
        <v>0</v>
      </c>
      <c r="I554" t="n">
        <v>0</v>
      </c>
      <c r="J554" t="n">
        <v>0</v>
      </c>
      <c r="K554" t="n">
        <v>0</v>
      </c>
      <c r="L554" t="n">
        <v>0</v>
      </c>
      <c r="M554" t="n">
        <v>0</v>
      </c>
      <c r="N554" t="n">
        <v>0</v>
      </c>
      <c r="O554" t="n">
        <v>0</v>
      </c>
      <c r="P554" t="n">
        <v>0</v>
      </c>
      <c r="Q554" t="n">
        <v>0</v>
      </c>
      <c r="R554" s="2" t="inlineStr"/>
    </row>
    <row r="555" ht="15" customHeight="1">
      <c r="A555" t="inlineStr">
        <is>
          <t>A 44327-2023</t>
        </is>
      </c>
      <c r="B555" s="1" t="n">
        <v>45188</v>
      </c>
      <c r="C555" s="1" t="n">
        <v>45984</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27780-2022</t>
        </is>
      </c>
      <c r="B556" s="1" t="n">
        <v>44743</v>
      </c>
      <c r="C556" s="1" t="n">
        <v>45984</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23555-2022</t>
        </is>
      </c>
      <c r="B557" s="1" t="n">
        <v>44721</v>
      </c>
      <c r="C557" s="1" t="n">
        <v>45984</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10267-2025</t>
        </is>
      </c>
      <c r="B558" s="1" t="n">
        <v>45720.3859375</v>
      </c>
      <c r="C558" s="1" t="n">
        <v>45984</v>
      </c>
      <c r="D558" t="inlineStr">
        <is>
          <t>JÄMTLANDS LÄN</t>
        </is>
      </c>
      <c r="E558" t="inlineStr">
        <is>
          <t>ÖSTERSUND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10493-2025</t>
        </is>
      </c>
      <c r="B559" s="1" t="n">
        <v>45721.36320601852</v>
      </c>
      <c r="C559" s="1" t="n">
        <v>45984</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3844-2024</t>
        </is>
      </c>
      <c r="B560" s="1" t="n">
        <v>45321</v>
      </c>
      <c r="C560" s="1" t="n">
        <v>45984</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59648-2022</t>
        </is>
      </c>
      <c r="B561" s="1" t="n">
        <v>44907</v>
      </c>
      <c r="C561" s="1" t="n">
        <v>45984</v>
      </c>
      <c r="D561" t="inlineStr">
        <is>
          <t>JÄMTLANDS LÄN</t>
        </is>
      </c>
      <c r="E561" t="inlineStr">
        <is>
          <t>ÖSTERSUND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2978-2024</t>
        </is>
      </c>
      <c r="B562" s="1" t="n">
        <v>45315</v>
      </c>
      <c r="C562" s="1" t="n">
        <v>45984</v>
      </c>
      <c r="D562" t="inlineStr">
        <is>
          <t>JÄMTLANDS LÄN</t>
        </is>
      </c>
      <c r="E562" t="inlineStr">
        <is>
          <t>ÖSTERSUND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61791-2023</t>
        </is>
      </c>
      <c r="B563" s="1" t="n">
        <v>45265.95795138889</v>
      </c>
      <c r="C563" s="1" t="n">
        <v>45984</v>
      </c>
      <c r="D563" t="inlineStr">
        <is>
          <t>JÄMTLANDS LÄN</t>
        </is>
      </c>
      <c r="E563" t="inlineStr">
        <is>
          <t>ÖSTERSUND</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3255-2025</t>
        </is>
      </c>
      <c r="B564" s="1" t="n">
        <v>45679.55256944444</v>
      </c>
      <c r="C564" s="1" t="n">
        <v>45984</v>
      </c>
      <c r="D564" t="inlineStr">
        <is>
          <t>JÄMTLANDS LÄN</t>
        </is>
      </c>
      <c r="E564" t="inlineStr">
        <is>
          <t>ÖSTERSUND</t>
        </is>
      </c>
      <c r="F564" t="inlineStr">
        <is>
          <t>SCA</t>
        </is>
      </c>
      <c r="G564" t="n">
        <v>16.7</v>
      </c>
      <c r="H564" t="n">
        <v>0</v>
      </c>
      <c r="I564" t="n">
        <v>0</v>
      </c>
      <c r="J564" t="n">
        <v>0</v>
      </c>
      <c r="K564" t="n">
        <v>0</v>
      </c>
      <c r="L564" t="n">
        <v>0</v>
      </c>
      <c r="M564" t="n">
        <v>0</v>
      </c>
      <c r="N564" t="n">
        <v>0</v>
      </c>
      <c r="O564" t="n">
        <v>0</v>
      </c>
      <c r="P564" t="n">
        <v>0</v>
      </c>
      <c r="Q564" t="n">
        <v>0</v>
      </c>
      <c r="R564" s="2" t="inlineStr"/>
    </row>
    <row r="565" ht="15" customHeight="1">
      <c r="A565" t="inlineStr">
        <is>
          <t>A 2615-2024</t>
        </is>
      </c>
      <c r="B565" s="1" t="n">
        <v>45313</v>
      </c>
      <c r="C565" s="1" t="n">
        <v>45984</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1159-2024</t>
        </is>
      </c>
      <c r="B566" s="1" t="n">
        <v>45302.52006944444</v>
      </c>
      <c r="C566" s="1" t="n">
        <v>45984</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35556-2022</t>
        </is>
      </c>
      <c r="B567" s="1" t="n">
        <v>44799</v>
      </c>
      <c r="C567" s="1" t="n">
        <v>45984</v>
      </c>
      <c r="D567" t="inlineStr">
        <is>
          <t>JÄMTLANDS LÄN</t>
        </is>
      </c>
      <c r="E567" t="inlineStr">
        <is>
          <t>ÖSTERSUND</t>
        </is>
      </c>
      <c r="G567" t="n">
        <v>3.6</v>
      </c>
      <c r="H567" t="n">
        <v>0</v>
      </c>
      <c r="I567" t="n">
        <v>0</v>
      </c>
      <c r="J567" t="n">
        <v>0</v>
      </c>
      <c r="K567" t="n">
        <v>0</v>
      </c>
      <c r="L567" t="n">
        <v>0</v>
      </c>
      <c r="M567" t="n">
        <v>0</v>
      </c>
      <c r="N567" t="n">
        <v>0</v>
      </c>
      <c r="O567" t="n">
        <v>0</v>
      </c>
      <c r="P567" t="n">
        <v>0</v>
      </c>
      <c r="Q567" t="n">
        <v>0</v>
      </c>
      <c r="R567" s="2" t="inlineStr"/>
    </row>
    <row r="568" ht="15" customHeight="1">
      <c r="A568" t="inlineStr">
        <is>
          <t>A 55235-2023</t>
        </is>
      </c>
      <c r="B568" s="1" t="n">
        <v>45231</v>
      </c>
      <c r="C568" s="1" t="n">
        <v>45984</v>
      </c>
      <c r="D568" t="inlineStr">
        <is>
          <t>JÄMTLANDS LÄN</t>
        </is>
      </c>
      <c r="E568" t="inlineStr">
        <is>
          <t>ÖSTERSUND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60794-2023</t>
        </is>
      </c>
      <c r="B569" s="1" t="n">
        <v>45260</v>
      </c>
      <c r="C569" s="1" t="n">
        <v>45984</v>
      </c>
      <c r="D569" t="inlineStr">
        <is>
          <t>JÄMTLANDS LÄN</t>
        </is>
      </c>
      <c r="E569" t="inlineStr">
        <is>
          <t>ÖSTERSUND</t>
        </is>
      </c>
      <c r="G569" t="n">
        <v>3.6</v>
      </c>
      <c r="H569" t="n">
        <v>0</v>
      </c>
      <c r="I569" t="n">
        <v>0</v>
      </c>
      <c r="J569" t="n">
        <v>0</v>
      </c>
      <c r="K569" t="n">
        <v>0</v>
      </c>
      <c r="L569" t="n">
        <v>0</v>
      </c>
      <c r="M569" t="n">
        <v>0</v>
      </c>
      <c r="N569" t="n">
        <v>0</v>
      </c>
      <c r="O569" t="n">
        <v>0</v>
      </c>
      <c r="P569" t="n">
        <v>0</v>
      </c>
      <c r="Q569" t="n">
        <v>0</v>
      </c>
      <c r="R569" s="2" t="inlineStr"/>
    </row>
    <row r="570" ht="15" customHeight="1">
      <c r="A570" t="inlineStr">
        <is>
          <t>A 63099-2023</t>
        </is>
      </c>
      <c r="B570" s="1" t="n">
        <v>45273</v>
      </c>
      <c r="C570" s="1" t="n">
        <v>45984</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45984</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70256-2021</t>
        </is>
      </c>
      <c r="B572" s="1" t="n">
        <v>44533</v>
      </c>
      <c r="C572" s="1" t="n">
        <v>45984</v>
      </c>
      <c r="D572" t="inlineStr">
        <is>
          <t>JÄMTLANDS LÄN</t>
        </is>
      </c>
      <c r="E572" t="inlineStr">
        <is>
          <t>ÖSTERSUND</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8972-2022</t>
        </is>
      </c>
      <c r="B573" s="1" t="n">
        <v>44614.91989583334</v>
      </c>
      <c r="C573" s="1" t="n">
        <v>45984</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47627-2024</t>
        </is>
      </c>
      <c r="B574" s="1" t="n">
        <v>45588.3440625</v>
      </c>
      <c r="C574" s="1" t="n">
        <v>45984</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47628-2024</t>
        </is>
      </c>
      <c r="B575" s="1" t="n">
        <v>45588.34418981482</v>
      </c>
      <c r="C575" s="1" t="n">
        <v>45984</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45004-2022</t>
        </is>
      </c>
      <c r="B576" s="1" t="n">
        <v>44840</v>
      </c>
      <c r="C576" s="1" t="n">
        <v>45984</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53378-2023</t>
        </is>
      </c>
      <c r="B577" s="1" t="n">
        <v>45223</v>
      </c>
      <c r="C577" s="1" t="n">
        <v>45984</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2747-2025</t>
        </is>
      </c>
      <c r="B578" s="1" t="n">
        <v>45677.4649537037</v>
      </c>
      <c r="C578" s="1" t="n">
        <v>45984</v>
      </c>
      <c r="D578" t="inlineStr">
        <is>
          <t>JÄMTLANDS LÄN</t>
        </is>
      </c>
      <c r="E578" t="inlineStr">
        <is>
          <t>ÖSTERSUND</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33801-2022</t>
        </is>
      </c>
      <c r="B579" s="1" t="n">
        <v>44790</v>
      </c>
      <c r="C579" s="1" t="n">
        <v>45984</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27689-2024</t>
        </is>
      </c>
      <c r="B580" s="1" t="n">
        <v>45475.3378125</v>
      </c>
      <c r="C580" s="1" t="n">
        <v>45984</v>
      </c>
      <c r="D580" t="inlineStr">
        <is>
          <t>JÄMTLANDS LÄN</t>
        </is>
      </c>
      <c r="E580" t="inlineStr">
        <is>
          <t>ÖSTERSUND</t>
        </is>
      </c>
      <c r="G580" t="n">
        <v>0.6</v>
      </c>
      <c r="H580" t="n">
        <v>0</v>
      </c>
      <c r="I580" t="n">
        <v>0</v>
      </c>
      <c r="J580" t="n">
        <v>0</v>
      </c>
      <c r="K580" t="n">
        <v>0</v>
      </c>
      <c r="L580" t="n">
        <v>0</v>
      </c>
      <c r="M580" t="n">
        <v>0</v>
      </c>
      <c r="N580" t="n">
        <v>0</v>
      </c>
      <c r="O580" t="n">
        <v>0</v>
      </c>
      <c r="P580" t="n">
        <v>0</v>
      </c>
      <c r="Q580" t="n">
        <v>0</v>
      </c>
      <c r="R580" s="2" t="inlineStr"/>
    </row>
    <row r="581" ht="15" customHeight="1">
      <c r="A581" t="inlineStr">
        <is>
          <t>A 4966-2025</t>
        </is>
      </c>
      <c r="B581" s="1" t="n">
        <v>45690.63628472222</v>
      </c>
      <c r="C581" s="1" t="n">
        <v>45984</v>
      </c>
      <c r="D581" t="inlineStr">
        <is>
          <t>JÄMTLANDS LÄN</t>
        </is>
      </c>
      <c r="E581" t="inlineStr">
        <is>
          <t>ÖSTERSUND</t>
        </is>
      </c>
      <c r="G581" t="n">
        <v>3.4</v>
      </c>
      <c r="H581" t="n">
        <v>0</v>
      </c>
      <c r="I581" t="n">
        <v>0</v>
      </c>
      <c r="J581" t="n">
        <v>0</v>
      </c>
      <c r="K581" t="n">
        <v>0</v>
      </c>
      <c r="L581" t="n">
        <v>0</v>
      </c>
      <c r="M581" t="n">
        <v>0</v>
      </c>
      <c r="N581" t="n">
        <v>0</v>
      </c>
      <c r="O581" t="n">
        <v>0</v>
      </c>
      <c r="P581" t="n">
        <v>0</v>
      </c>
      <c r="Q581" t="n">
        <v>0</v>
      </c>
      <c r="R581" s="2" t="inlineStr"/>
    </row>
    <row r="582" ht="15" customHeight="1">
      <c r="A582" t="inlineStr">
        <is>
          <t>A 6877-2024</t>
        </is>
      </c>
      <c r="B582" s="1" t="n">
        <v>45342</v>
      </c>
      <c r="C582" s="1" t="n">
        <v>45984</v>
      </c>
      <c r="D582" t="inlineStr">
        <is>
          <t>JÄMTLANDS LÄN</t>
        </is>
      </c>
      <c r="E582" t="inlineStr">
        <is>
          <t>ÖSTERSUND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45984</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45984</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45984</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45984</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61653-2022</t>
        </is>
      </c>
      <c r="B587" s="1" t="n">
        <v>44916</v>
      </c>
      <c r="C587" s="1" t="n">
        <v>45984</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12285-2022</t>
        </is>
      </c>
      <c r="B588" s="1" t="n">
        <v>44637</v>
      </c>
      <c r="C588" s="1" t="n">
        <v>45984</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56067-2022</t>
        </is>
      </c>
      <c r="B589" s="1" t="n">
        <v>44889.59378472222</v>
      </c>
      <c r="C589" s="1" t="n">
        <v>45984</v>
      </c>
      <c r="D589" t="inlineStr">
        <is>
          <t>JÄMTLANDS LÄN</t>
        </is>
      </c>
      <c r="E589" t="inlineStr">
        <is>
          <t>ÖSTERSUND</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53802-2022</t>
        </is>
      </c>
      <c r="B590" s="1" t="n">
        <v>44875</v>
      </c>
      <c r="C590" s="1" t="n">
        <v>45984</v>
      </c>
      <c r="D590" t="inlineStr">
        <is>
          <t>JÄMTLANDS LÄN</t>
        </is>
      </c>
      <c r="E590" t="inlineStr">
        <is>
          <t>ÖSTERSUND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45984</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3749-2023</t>
        </is>
      </c>
      <c r="B592" s="1" t="n">
        <v>44949</v>
      </c>
      <c r="C592" s="1" t="n">
        <v>45984</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55678-2023</t>
        </is>
      </c>
      <c r="B593" s="1" t="n">
        <v>45239.33032407407</v>
      </c>
      <c r="C593" s="1" t="n">
        <v>45984</v>
      </c>
      <c r="D593" t="inlineStr">
        <is>
          <t>JÄMTLANDS LÄN</t>
        </is>
      </c>
      <c r="E593" t="inlineStr">
        <is>
          <t>ÖSTERSUND</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23563-2022</t>
        </is>
      </c>
      <c r="B594" s="1" t="n">
        <v>44721.47241898148</v>
      </c>
      <c r="C594" s="1" t="n">
        <v>45984</v>
      </c>
      <c r="D594" t="inlineStr">
        <is>
          <t>JÄMTLANDS LÄN</t>
        </is>
      </c>
      <c r="E594" t="inlineStr">
        <is>
          <t>ÖSTERSUND</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53380-2023</t>
        </is>
      </c>
      <c r="B595" s="1" t="n">
        <v>45223</v>
      </c>
      <c r="C595" s="1" t="n">
        <v>45984</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64645-2021</t>
        </is>
      </c>
      <c r="B596" s="1" t="n">
        <v>44511.94629629629</v>
      </c>
      <c r="C596" s="1" t="n">
        <v>45984</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54913-2024</t>
        </is>
      </c>
      <c r="B597" s="1" t="n">
        <v>45618.6917824074</v>
      </c>
      <c r="C597" s="1" t="n">
        <v>45984</v>
      </c>
      <c r="D597" t="inlineStr">
        <is>
          <t>JÄMTLANDS LÄN</t>
        </is>
      </c>
      <c r="E597" t="inlineStr">
        <is>
          <t>ÖSTERSUND</t>
        </is>
      </c>
      <c r="G597" t="n">
        <v>4.7</v>
      </c>
      <c r="H597" t="n">
        <v>0</v>
      </c>
      <c r="I597" t="n">
        <v>0</v>
      </c>
      <c r="J597" t="n">
        <v>0</v>
      </c>
      <c r="K597" t="n">
        <v>0</v>
      </c>
      <c r="L597" t="n">
        <v>0</v>
      </c>
      <c r="M597" t="n">
        <v>0</v>
      </c>
      <c r="N597" t="n">
        <v>0</v>
      </c>
      <c r="O597" t="n">
        <v>0</v>
      </c>
      <c r="P597" t="n">
        <v>0</v>
      </c>
      <c r="Q597" t="n">
        <v>0</v>
      </c>
      <c r="R597" s="2" t="inlineStr"/>
    </row>
    <row r="598" ht="15" customHeight="1">
      <c r="A598" t="inlineStr">
        <is>
          <t>A 50218-2024</t>
        </is>
      </c>
      <c r="B598" s="1" t="n">
        <v>45600.53160879629</v>
      </c>
      <c r="C598" s="1" t="n">
        <v>45984</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30602-2023</t>
        </is>
      </c>
      <c r="B599" s="1" t="n">
        <v>45112</v>
      </c>
      <c r="C599" s="1" t="n">
        <v>45984</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1893-2023</t>
        </is>
      </c>
      <c r="B600" s="1" t="n">
        <v>44937</v>
      </c>
      <c r="C600" s="1" t="n">
        <v>45984</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17574-2022</t>
        </is>
      </c>
      <c r="B601" s="1" t="n">
        <v>44679.92574074074</v>
      </c>
      <c r="C601" s="1" t="n">
        <v>45984</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45984</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7573-2022</t>
        </is>
      </c>
      <c r="B603" s="1" t="n">
        <v>44607</v>
      </c>
      <c r="C603" s="1" t="n">
        <v>45984</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27343-2022</t>
        </is>
      </c>
      <c r="B604" s="1" t="n">
        <v>44742</v>
      </c>
      <c r="C604" s="1" t="n">
        <v>45984</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43557-2024</t>
        </is>
      </c>
      <c r="B605" s="1" t="n">
        <v>45569.39229166666</v>
      </c>
      <c r="C605" s="1" t="n">
        <v>45984</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36406-2023</t>
        </is>
      </c>
      <c r="B606" s="1" t="n">
        <v>45149</v>
      </c>
      <c r="C606" s="1" t="n">
        <v>45984</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59691-2024</t>
        </is>
      </c>
      <c r="B607" s="1" t="n">
        <v>45639.40684027778</v>
      </c>
      <c r="C607" s="1" t="n">
        <v>45984</v>
      </c>
      <c r="D607" t="inlineStr">
        <is>
          <t>JÄMTLANDS LÄN</t>
        </is>
      </c>
      <c r="E607" t="inlineStr">
        <is>
          <t>ÖSTERSUND</t>
        </is>
      </c>
      <c r="F607" t="inlineStr">
        <is>
          <t>SCA</t>
        </is>
      </c>
      <c r="G607" t="n">
        <v>15.9</v>
      </c>
      <c r="H607" t="n">
        <v>0</v>
      </c>
      <c r="I607" t="n">
        <v>0</v>
      </c>
      <c r="J607" t="n">
        <v>0</v>
      </c>
      <c r="K607" t="n">
        <v>0</v>
      </c>
      <c r="L607" t="n">
        <v>0</v>
      </c>
      <c r="M607" t="n">
        <v>0</v>
      </c>
      <c r="N607" t="n">
        <v>0</v>
      </c>
      <c r="O607" t="n">
        <v>0</v>
      </c>
      <c r="P607" t="n">
        <v>0</v>
      </c>
      <c r="Q607" t="n">
        <v>0</v>
      </c>
      <c r="R607" s="2" t="inlineStr"/>
    </row>
    <row r="608" ht="15" customHeight="1">
      <c r="A608" t="inlineStr">
        <is>
          <t>A 12998-2025</t>
        </is>
      </c>
      <c r="B608" s="1" t="n">
        <v>45734.48991898148</v>
      </c>
      <c r="C608" s="1" t="n">
        <v>45984</v>
      </c>
      <c r="D608" t="inlineStr">
        <is>
          <t>JÄMTLANDS LÄN</t>
        </is>
      </c>
      <c r="E608" t="inlineStr">
        <is>
          <t>ÖSTERSUND</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32225-2024</t>
        </is>
      </c>
      <c r="B609" s="1" t="n">
        <v>45511.92825231481</v>
      </c>
      <c r="C609" s="1" t="n">
        <v>45984</v>
      </c>
      <c r="D609" t="inlineStr">
        <is>
          <t>JÄMTLANDS LÄN</t>
        </is>
      </c>
      <c r="E609" t="inlineStr">
        <is>
          <t>ÖSTERSUND</t>
        </is>
      </c>
      <c r="G609" t="n">
        <v>2</v>
      </c>
      <c r="H609" t="n">
        <v>0</v>
      </c>
      <c r="I609" t="n">
        <v>0</v>
      </c>
      <c r="J609" t="n">
        <v>0</v>
      </c>
      <c r="K609" t="n">
        <v>0</v>
      </c>
      <c r="L609" t="n">
        <v>0</v>
      </c>
      <c r="M609" t="n">
        <v>0</v>
      </c>
      <c r="N609" t="n">
        <v>0</v>
      </c>
      <c r="O609" t="n">
        <v>0</v>
      </c>
      <c r="P609" t="n">
        <v>0</v>
      </c>
      <c r="Q609" t="n">
        <v>0</v>
      </c>
      <c r="R609" s="2" t="inlineStr"/>
    </row>
    <row r="610" ht="15" customHeight="1">
      <c r="A610" t="inlineStr">
        <is>
          <t>A 43252-2023</t>
        </is>
      </c>
      <c r="B610" s="1" t="n">
        <v>45183</v>
      </c>
      <c r="C610" s="1" t="n">
        <v>45984</v>
      </c>
      <c r="D610" t="inlineStr">
        <is>
          <t>JÄMTLANDS LÄN</t>
        </is>
      </c>
      <c r="E610" t="inlineStr">
        <is>
          <t>ÖSTERSUND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60088-2024</t>
        </is>
      </c>
      <c r="B611" s="1" t="n">
        <v>45642.54847222222</v>
      </c>
      <c r="C611" s="1" t="n">
        <v>45984</v>
      </c>
      <c r="D611" t="inlineStr">
        <is>
          <t>JÄMTLANDS LÄN</t>
        </is>
      </c>
      <c r="E611" t="inlineStr">
        <is>
          <t>ÖSTERSUND</t>
        </is>
      </c>
      <c r="G611" t="n">
        <v>5</v>
      </c>
      <c r="H611" t="n">
        <v>0</v>
      </c>
      <c r="I611" t="n">
        <v>0</v>
      </c>
      <c r="J611" t="n">
        <v>0</v>
      </c>
      <c r="K611" t="n">
        <v>0</v>
      </c>
      <c r="L611" t="n">
        <v>0</v>
      </c>
      <c r="M611" t="n">
        <v>0</v>
      </c>
      <c r="N611" t="n">
        <v>0</v>
      </c>
      <c r="O611" t="n">
        <v>0</v>
      </c>
      <c r="P611" t="n">
        <v>0</v>
      </c>
      <c r="Q611" t="n">
        <v>0</v>
      </c>
      <c r="R611" s="2" t="inlineStr"/>
    </row>
    <row r="612" ht="15" customHeight="1">
      <c r="A612" t="inlineStr">
        <is>
          <t>A 4135-2023</t>
        </is>
      </c>
      <c r="B612" s="1" t="n">
        <v>44952</v>
      </c>
      <c r="C612" s="1" t="n">
        <v>45984</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7549-2025</t>
        </is>
      </c>
      <c r="B613" s="1" t="n">
        <v>45705.57454861111</v>
      </c>
      <c r="C613" s="1" t="n">
        <v>45984</v>
      </c>
      <c r="D613" t="inlineStr">
        <is>
          <t>JÄMTLANDS LÄN</t>
        </is>
      </c>
      <c r="E613" t="inlineStr">
        <is>
          <t>ÖSTERSUND</t>
        </is>
      </c>
      <c r="F613" t="inlineStr">
        <is>
          <t>SCA</t>
        </is>
      </c>
      <c r="G613" t="n">
        <v>6.4</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45984</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54663-2022</t>
        </is>
      </c>
      <c r="B615" s="1" t="n">
        <v>44883.44737268519</v>
      </c>
      <c r="C615" s="1" t="n">
        <v>45984</v>
      </c>
      <c r="D615" t="inlineStr">
        <is>
          <t>JÄMTLANDS LÄN</t>
        </is>
      </c>
      <c r="E615" t="inlineStr">
        <is>
          <t>ÖSTERSUND</t>
        </is>
      </c>
      <c r="G615" t="n">
        <v>0.8</v>
      </c>
      <c r="H615" t="n">
        <v>0</v>
      </c>
      <c r="I615" t="n">
        <v>0</v>
      </c>
      <c r="J615" t="n">
        <v>0</v>
      </c>
      <c r="K615" t="n">
        <v>0</v>
      </c>
      <c r="L615" t="n">
        <v>0</v>
      </c>
      <c r="M615" t="n">
        <v>0</v>
      </c>
      <c r="N615" t="n">
        <v>0</v>
      </c>
      <c r="O615" t="n">
        <v>0</v>
      </c>
      <c r="P615" t="n">
        <v>0</v>
      </c>
      <c r="Q615" t="n">
        <v>0</v>
      </c>
      <c r="R615" s="2" t="inlineStr"/>
    </row>
    <row r="616" ht="15" customHeight="1">
      <c r="A616" t="inlineStr">
        <is>
          <t>A 18578-2025</t>
        </is>
      </c>
      <c r="B616" s="1" t="n">
        <v>45763</v>
      </c>
      <c r="C616" s="1" t="n">
        <v>45984</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43511-2022</t>
        </is>
      </c>
      <c r="B617" s="1" t="n">
        <v>44837.36724537037</v>
      </c>
      <c r="C617" s="1" t="n">
        <v>45984</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2730-2025</t>
        </is>
      </c>
      <c r="B618" s="1" t="n">
        <v>45677.44393518518</v>
      </c>
      <c r="C618" s="1" t="n">
        <v>45984</v>
      </c>
      <c r="D618" t="inlineStr">
        <is>
          <t>JÄMTLANDS LÄN</t>
        </is>
      </c>
      <c r="E618" t="inlineStr">
        <is>
          <t>ÖSTERSUND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45177.93612268518</v>
      </c>
      <c r="C619" s="1" t="n">
        <v>45984</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43016-2024</t>
        </is>
      </c>
      <c r="B620" s="1" t="n">
        <v>45567.39192129629</v>
      </c>
      <c r="C620" s="1" t="n">
        <v>45984</v>
      </c>
      <c r="D620" t="inlineStr">
        <is>
          <t>JÄMTLANDS LÄN</t>
        </is>
      </c>
      <c r="E620" t="inlineStr">
        <is>
          <t>ÖSTERSUND</t>
        </is>
      </c>
      <c r="G620" t="n">
        <v>5.3</v>
      </c>
      <c r="H620" t="n">
        <v>0</v>
      </c>
      <c r="I620" t="n">
        <v>0</v>
      </c>
      <c r="J620" t="n">
        <v>0</v>
      </c>
      <c r="K620" t="n">
        <v>0</v>
      </c>
      <c r="L620" t="n">
        <v>0</v>
      </c>
      <c r="M620" t="n">
        <v>0</v>
      </c>
      <c r="N620" t="n">
        <v>0</v>
      </c>
      <c r="O620" t="n">
        <v>0</v>
      </c>
      <c r="P620" t="n">
        <v>0</v>
      </c>
      <c r="Q620" t="n">
        <v>0</v>
      </c>
      <c r="R620" s="2" t="inlineStr"/>
    </row>
    <row r="621" ht="15" customHeight="1">
      <c r="A621" t="inlineStr">
        <is>
          <t>A 51865-2024</t>
        </is>
      </c>
      <c r="B621" s="1" t="n">
        <v>45607.55260416667</v>
      </c>
      <c r="C621" s="1" t="n">
        <v>45984</v>
      </c>
      <c r="D621" t="inlineStr">
        <is>
          <t>JÄMTLANDS LÄN</t>
        </is>
      </c>
      <c r="E621" t="inlineStr">
        <is>
          <t>ÖSTERSUND</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58364-2024</t>
        </is>
      </c>
      <c r="B622" s="1" t="n">
        <v>45632.68814814815</v>
      </c>
      <c r="C622" s="1" t="n">
        <v>45984</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7941-2025</t>
        </is>
      </c>
      <c r="B623" s="1" t="n">
        <v>45707</v>
      </c>
      <c r="C623" s="1" t="n">
        <v>45984</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45984</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56111-2022</t>
        </is>
      </c>
      <c r="B625" s="1" t="n">
        <v>44889</v>
      </c>
      <c r="C625" s="1" t="n">
        <v>45984</v>
      </c>
      <c r="D625" t="inlineStr">
        <is>
          <t>JÄMTLANDS LÄN</t>
        </is>
      </c>
      <c r="E625" t="inlineStr">
        <is>
          <t>ÖSTERSUND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4521-2025</t>
        </is>
      </c>
      <c r="B626" s="1" t="n">
        <v>45686</v>
      </c>
      <c r="C626" s="1" t="n">
        <v>45984</v>
      </c>
      <c r="D626" t="inlineStr">
        <is>
          <t>JÄMTLANDS LÄN</t>
        </is>
      </c>
      <c r="E626" t="inlineStr">
        <is>
          <t>ÖSTERSUND</t>
        </is>
      </c>
      <c r="G626" t="n">
        <v>28.4</v>
      </c>
      <c r="H626" t="n">
        <v>0</v>
      </c>
      <c r="I626" t="n">
        <v>0</v>
      </c>
      <c r="J626" t="n">
        <v>0</v>
      </c>
      <c r="K626" t="n">
        <v>0</v>
      </c>
      <c r="L626" t="n">
        <v>0</v>
      </c>
      <c r="M626" t="n">
        <v>0</v>
      </c>
      <c r="N626" t="n">
        <v>0</v>
      </c>
      <c r="O626" t="n">
        <v>0</v>
      </c>
      <c r="P626" t="n">
        <v>0</v>
      </c>
      <c r="Q626" t="n">
        <v>0</v>
      </c>
      <c r="R626" s="2" t="inlineStr"/>
    </row>
    <row r="627" ht="15" customHeight="1">
      <c r="A627" t="inlineStr">
        <is>
          <t>A 6578-2021</t>
        </is>
      </c>
      <c r="B627" s="1" t="n">
        <v>44236</v>
      </c>
      <c r="C627" s="1" t="n">
        <v>45984</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51826-2024</t>
        </is>
      </c>
      <c r="B628" s="1" t="n">
        <v>45607.50137731482</v>
      </c>
      <c r="C628" s="1" t="n">
        <v>45984</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17570-2025</t>
        </is>
      </c>
      <c r="B629" s="1" t="n">
        <v>45757.64563657407</v>
      </c>
      <c r="C629" s="1" t="n">
        <v>45984</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60681-2022</t>
        </is>
      </c>
      <c r="B630" s="1" t="n">
        <v>44911.93994212963</v>
      </c>
      <c r="C630" s="1" t="n">
        <v>45984</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48696-2024</t>
        </is>
      </c>
      <c r="B631" s="1" t="n">
        <v>45593.51123842593</v>
      </c>
      <c r="C631" s="1" t="n">
        <v>45984</v>
      </c>
      <c r="D631" t="inlineStr">
        <is>
          <t>JÄMTLANDS LÄN</t>
        </is>
      </c>
      <c r="E631" t="inlineStr">
        <is>
          <t>ÖSTERSUND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22126-2021</t>
        </is>
      </c>
      <c r="B632" s="1" t="n">
        <v>44323</v>
      </c>
      <c r="C632" s="1" t="n">
        <v>45984</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39975-2024</t>
        </is>
      </c>
      <c r="B633" s="1" t="n">
        <v>45553.60474537037</v>
      </c>
      <c r="C633" s="1" t="n">
        <v>45984</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51936-2023</t>
        </is>
      </c>
      <c r="B634" s="1" t="n">
        <v>45223.5036574074</v>
      </c>
      <c r="C634" s="1" t="n">
        <v>45984</v>
      </c>
      <c r="D634" t="inlineStr">
        <is>
          <t>JÄMTLANDS LÄN</t>
        </is>
      </c>
      <c r="E634" t="inlineStr">
        <is>
          <t>ÖSTERSUND</t>
        </is>
      </c>
      <c r="G634" t="n">
        <v>8.4</v>
      </c>
      <c r="H634" t="n">
        <v>0</v>
      </c>
      <c r="I634" t="n">
        <v>0</v>
      </c>
      <c r="J634" t="n">
        <v>0</v>
      </c>
      <c r="K634" t="n">
        <v>0</v>
      </c>
      <c r="L634" t="n">
        <v>0</v>
      </c>
      <c r="M634" t="n">
        <v>0</v>
      </c>
      <c r="N634" t="n">
        <v>0</v>
      </c>
      <c r="O634" t="n">
        <v>0</v>
      </c>
      <c r="P634" t="n">
        <v>0</v>
      </c>
      <c r="Q634" t="n">
        <v>0</v>
      </c>
      <c r="R634" s="2" t="inlineStr"/>
    </row>
    <row r="635" ht="15" customHeight="1">
      <c r="A635" t="inlineStr">
        <is>
          <t>A 51941-2023</t>
        </is>
      </c>
      <c r="B635" s="1" t="n">
        <v>45223</v>
      </c>
      <c r="C635" s="1" t="n">
        <v>45984</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14523-2023</t>
        </is>
      </c>
      <c r="B636" s="1" t="n">
        <v>45012</v>
      </c>
      <c r="C636" s="1" t="n">
        <v>45984</v>
      </c>
      <c r="D636" t="inlineStr">
        <is>
          <t>JÄMTLANDS LÄN</t>
        </is>
      </c>
      <c r="E636" t="inlineStr">
        <is>
          <t>ÖSTERSUND</t>
        </is>
      </c>
      <c r="G636" t="n">
        <v>4.5</v>
      </c>
      <c r="H636" t="n">
        <v>0</v>
      </c>
      <c r="I636" t="n">
        <v>0</v>
      </c>
      <c r="J636" t="n">
        <v>0</v>
      </c>
      <c r="K636" t="n">
        <v>0</v>
      </c>
      <c r="L636" t="n">
        <v>0</v>
      </c>
      <c r="M636" t="n">
        <v>0</v>
      </c>
      <c r="N636" t="n">
        <v>0</v>
      </c>
      <c r="O636" t="n">
        <v>0</v>
      </c>
      <c r="P636" t="n">
        <v>0</v>
      </c>
      <c r="Q636" t="n">
        <v>0</v>
      </c>
      <c r="R636" s="2" t="inlineStr"/>
    </row>
    <row r="637" ht="15" customHeight="1">
      <c r="A637" t="inlineStr">
        <is>
          <t>A 13282-2023</t>
        </is>
      </c>
      <c r="B637" s="1" t="n">
        <v>45004</v>
      </c>
      <c r="C637" s="1" t="n">
        <v>45984</v>
      </c>
      <c r="D637" t="inlineStr">
        <is>
          <t>JÄMTLANDS LÄN</t>
        </is>
      </c>
      <c r="E637" t="inlineStr">
        <is>
          <t>ÖSTERSUND</t>
        </is>
      </c>
      <c r="G637" t="n">
        <v>28.5</v>
      </c>
      <c r="H637" t="n">
        <v>0</v>
      </c>
      <c r="I637" t="n">
        <v>0</v>
      </c>
      <c r="J637" t="n">
        <v>0</v>
      </c>
      <c r="K637" t="n">
        <v>0</v>
      </c>
      <c r="L637" t="n">
        <v>0</v>
      </c>
      <c r="M637" t="n">
        <v>0</v>
      </c>
      <c r="N637" t="n">
        <v>0</v>
      </c>
      <c r="O637" t="n">
        <v>0</v>
      </c>
      <c r="P637" t="n">
        <v>0</v>
      </c>
      <c r="Q637" t="n">
        <v>0</v>
      </c>
      <c r="R637" s="2" t="inlineStr"/>
    </row>
    <row r="638" ht="15" customHeight="1">
      <c r="A638" t="inlineStr">
        <is>
          <t>A 54973-2023</t>
        </is>
      </c>
      <c r="B638" s="1" t="n">
        <v>45236.92776620371</v>
      </c>
      <c r="C638" s="1" t="n">
        <v>45984</v>
      </c>
      <c r="D638" t="inlineStr">
        <is>
          <t>JÄMTLANDS LÄN</t>
        </is>
      </c>
      <c r="E638" t="inlineStr">
        <is>
          <t>ÖSTERSUND</t>
        </is>
      </c>
      <c r="G638" t="n">
        <v>15.4</v>
      </c>
      <c r="H638" t="n">
        <v>0</v>
      </c>
      <c r="I638" t="n">
        <v>0</v>
      </c>
      <c r="J638" t="n">
        <v>0</v>
      </c>
      <c r="K638" t="n">
        <v>0</v>
      </c>
      <c r="L638" t="n">
        <v>0</v>
      </c>
      <c r="M638" t="n">
        <v>0</v>
      </c>
      <c r="N638" t="n">
        <v>0</v>
      </c>
      <c r="O638" t="n">
        <v>0</v>
      </c>
      <c r="P638" t="n">
        <v>0</v>
      </c>
      <c r="Q638" t="n">
        <v>0</v>
      </c>
      <c r="R638" s="2" t="inlineStr"/>
    </row>
    <row r="639" ht="15" customHeight="1">
      <c r="A639" t="inlineStr">
        <is>
          <t>A 4901-2025</t>
        </is>
      </c>
      <c r="B639" s="1" t="n">
        <v>45688.67965277778</v>
      </c>
      <c r="C639" s="1" t="n">
        <v>45984</v>
      </c>
      <c r="D639" t="inlineStr">
        <is>
          <t>JÄMTLANDS LÄN</t>
        </is>
      </c>
      <c r="E639" t="inlineStr">
        <is>
          <t>ÖSTERSUND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47727-2023</t>
        </is>
      </c>
      <c r="B640" s="1" t="n">
        <v>45203</v>
      </c>
      <c r="C640" s="1" t="n">
        <v>45984</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45984</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10306-2023</t>
        </is>
      </c>
      <c r="B642" s="1" t="n">
        <v>44986.94196759259</v>
      </c>
      <c r="C642" s="1" t="n">
        <v>45984</v>
      </c>
      <c r="D642" t="inlineStr">
        <is>
          <t>JÄMTLANDS LÄN</t>
        </is>
      </c>
      <c r="E642" t="inlineStr">
        <is>
          <t>ÖSTERSUND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8261-2025</t>
        </is>
      </c>
      <c r="B643" s="1" t="n">
        <v>45708.50256944444</v>
      </c>
      <c r="C643" s="1" t="n">
        <v>45984</v>
      </c>
      <c r="D643" t="inlineStr">
        <is>
          <t>JÄMTLANDS LÄN</t>
        </is>
      </c>
      <c r="E643" t="inlineStr">
        <is>
          <t>ÖSTERSUND</t>
        </is>
      </c>
      <c r="G643" t="n">
        <v>5.4</v>
      </c>
      <c r="H643" t="n">
        <v>0</v>
      </c>
      <c r="I643" t="n">
        <v>0</v>
      </c>
      <c r="J643" t="n">
        <v>0</v>
      </c>
      <c r="K643" t="n">
        <v>0</v>
      </c>
      <c r="L643" t="n">
        <v>0</v>
      </c>
      <c r="M643" t="n">
        <v>0</v>
      </c>
      <c r="N643" t="n">
        <v>0</v>
      </c>
      <c r="O643" t="n">
        <v>0</v>
      </c>
      <c r="P643" t="n">
        <v>0</v>
      </c>
      <c r="Q643" t="n">
        <v>0</v>
      </c>
      <c r="R643" s="2" t="inlineStr"/>
    </row>
    <row r="644" ht="15" customHeight="1">
      <c r="A644" t="inlineStr">
        <is>
          <t>A 12352-2025</t>
        </is>
      </c>
      <c r="B644" s="1" t="n">
        <v>45730.36263888889</v>
      </c>
      <c r="C644" s="1" t="n">
        <v>45984</v>
      </c>
      <c r="D644" t="inlineStr">
        <is>
          <t>JÄMTLANDS LÄN</t>
        </is>
      </c>
      <c r="E644" t="inlineStr">
        <is>
          <t>ÖSTERSUND</t>
        </is>
      </c>
      <c r="G644" t="n">
        <v>7.8</v>
      </c>
      <c r="H644" t="n">
        <v>0</v>
      </c>
      <c r="I644" t="n">
        <v>0</v>
      </c>
      <c r="J644" t="n">
        <v>0</v>
      </c>
      <c r="K644" t="n">
        <v>0</v>
      </c>
      <c r="L644" t="n">
        <v>0</v>
      </c>
      <c r="M644" t="n">
        <v>0</v>
      </c>
      <c r="N644" t="n">
        <v>0</v>
      </c>
      <c r="O644" t="n">
        <v>0</v>
      </c>
      <c r="P644" t="n">
        <v>0</v>
      </c>
      <c r="Q644" t="n">
        <v>0</v>
      </c>
      <c r="R644" s="2" t="inlineStr"/>
    </row>
    <row r="645" ht="15" customHeight="1">
      <c r="A645" t="inlineStr">
        <is>
          <t>A 296-2023</t>
        </is>
      </c>
      <c r="B645" s="1" t="n">
        <v>44922</v>
      </c>
      <c r="C645" s="1" t="n">
        <v>45984</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5553-2025</t>
        </is>
      </c>
      <c r="B646" s="1" t="n">
        <v>45693</v>
      </c>
      <c r="C646" s="1" t="n">
        <v>45984</v>
      </c>
      <c r="D646" t="inlineStr">
        <is>
          <t>JÄMTLANDS LÄN</t>
        </is>
      </c>
      <c r="E646" t="inlineStr">
        <is>
          <t>ÖSTERSUND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64314-2023</t>
        </is>
      </c>
      <c r="B647" s="1" t="n">
        <v>45280</v>
      </c>
      <c r="C647" s="1" t="n">
        <v>45984</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13655-2025</t>
        </is>
      </c>
      <c r="B648" s="1" t="n">
        <v>45736.71956018519</v>
      </c>
      <c r="C648" s="1" t="n">
        <v>45984</v>
      </c>
      <c r="D648" t="inlineStr">
        <is>
          <t>JÄMTLANDS LÄN</t>
        </is>
      </c>
      <c r="E648" t="inlineStr">
        <is>
          <t>ÖSTERSUND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32998-2021</t>
        </is>
      </c>
      <c r="B649" s="1" t="n">
        <v>44375</v>
      </c>
      <c r="C649" s="1" t="n">
        <v>45984</v>
      </c>
      <c r="D649" t="inlineStr">
        <is>
          <t>JÄMTLANDS LÄN</t>
        </is>
      </c>
      <c r="E649" t="inlineStr">
        <is>
          <t>ÖSTERSUND</t>
        </is>
      </c>
      <c r="G649" t="n">
        <v>0.1</v>
      </c>
      <c r="H649" t="n">
        <v>0</v>
      </c>
      <c r="I649" t="n">
        <v>0</v>
      </c>
      <c r="J649" t="n">
        <v>0</v>
      </c>
      <c r="K649" t="n">
        <v>0</v>
      </c>
      <c r="L649" t="n">
        <v>0</v>
      </c>
      <c r="M649" t="n">
        <v>0</v>
      </c>
      <c r="N649" t="n">
        <v>0</v>
      </c>
      <c r="O649" t="n">
        <v>0</v>
      </c>
      <c r="P649" t="n">
        <v>0</v>
      </c>
      <c r="Q649" t="n">
        <v>0</v>
      </c>
      <c r="R649" s="2" t="inlineStr"/>
    </row>
    <row r="650" ht="15" customHeight="1">
      <c r="A650" t="inlineStr">
        <is>
          <t>A 60575-2022</t>
        </is>
      </c>
      <c r="B650" s="1" t="n">
        <v>44911.5662037037</v>
      </c>
      <c r="C650" s="1" t="n">
        <v>45984</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1211-2025</t>
        </is>
      </c>
      <c r="B651" s="1" t="n">
        <v>45667.40662037037</v>
      </c>
      <c r="C651" s="1" t="n">
        <v>45984</v>
      </c>
      <c r="D651" t="inlineStr">
        <is>
          <t>JÄMTLANDS LÄN</t>
        </is>
      </c>
      <c r="E651" t="inlineStr">
        <is>
          <t>ÖSTERSUND</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45159.42180555555</v>
      </c>
      <c r="C652" s="1" t="n">
        <v>45984</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3997-2025</t>
        </is>
      </c>
      <c r="B653" s="1" t="n">
        <v>45684.56725694444</v>
      </c>
      <c r="C653" s="1" t="n">
        <v>45984</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54587-2024</t>
        </is>
      </c>
      <c r="B654" s="1" t="n">
        <v>45617.65800925926</v>
      </c>
      <c r="C654" s="1" t="n">
        <v>45984</v>
      </c>
      <c r="D654" t="inlineStr">
        <is>
          <t>JÄMTLANDS LÄN</t>
        </is>
      </c>
      <c r="E654" t="inlineStr">
        <is>
          <t>ÖSTERSUND</t>
        </is>
      </c>
      <c r="G654" t="n">
        <v>14</v>
      </c>
      <c r="H654" t="n">
        <v>0</v>
      </c>
      <c r="I654" t="n">
        <v>0</v>
      </c>
      <c r="J654" t="n">
        <v>0</v>
      </c>
      <c r="K654" t="n">
        <v>0</v>
      </c>
      <c r="L654" t="n">
        <v>0</v>
      </c>
      <c r="M654" t="n">
        <v>0</v>
      </c>
      <c r="N654" t="n">
        <v>0</v>
      </c>
      <c r="O654" t="n">
        <v>0</v>
      </c>
      <c r="P654" t="n">
        <v>0</v>
      </c>
      <c r="Q654" t="n">
        <v>0</v>
      </c>
      <c r="R654" s="2" t="inlineStr"/>
    </row>
    <row r="655" ht="15" customHeight="1">
      <c r="A655" t="inlineStr">
        <is>
          <t>A 61506-2023</t>
        </is>
      </c>
      <c r="B655" s="1" t="n">
        <v>45264</v>
      </c>
      <c r="C655" s="1" t="n">
        <v>45984</v>
      </c>
      <c r="D655" t="inlineStr">
        <is>
          <t>JÄMTLANDS LÄN</t>
        </is>
      </c>
      <c r="E655" t="inlineStr">
        <is>
          <t>ÖSTERSUND</t>
        </is>
      </c>
      <c r="G655" t="n">
        <v>3</v>
      </c>
      <c r="H655" t="n">
        <v>0</v>
      </c>
      <c r="I655" t="n">
        <v>0</v>
      </c>
      <c r="J655" t="n">
        <v>0</v>
      </c>
      <c r="K655" t="n">
        <v>0</v>
      </c>
      <c r="L655" t="n">
        <v>0</v>
      </c>
      <c r="M655" t="n">
        <v>0</v>
      </c>
      <c r="N655" t="n">
        <v>0</v>
      </c>
      <c r="O655" t="n">
        <v>0</v>
      </c>
      <c r="P655" t="n">
        <v>0</v>
      </c>
      <c r="Q655" t="n">
        <v>0</v>
      </c>
      <c r="R655" s="2" t="inlineStr"/>
    </row>
    <row r="656" ht="15" customHeight="1">
      <c r="A656" t="inlineStr">
        <is>
          <t>A 16336-2025</t>
        </is>
      </c>
      <c r="B656" s="1" t="n">
        <v>45751.36519675926</v>
      </c>
      <c r="C656" s="1" t="n">
        <v>45984</v>
      </c>
      <c r="D656" t="inlineStr">
        <is>
          <t>JÄMTLANDS LÄN</t>
        </is>
      </c>
      <c r="E656" t="inlineStr">
        <is>
          <t>ÖSTERSUND</t>
        </is>
      </c>
      <c r="G656" t="n">
        <v>0.9</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45984</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61332-2024</t>
        </is>
      </c>
      <c r="B658" s="1" t="n">
        <v>45646.35685185185</v>
      </c>
      <c r="C658" s="1" t="n">
        <v>45984</v>
      </c>
      <c r="D658" t="inlineStr">
        <is>
          <t>JÄMTLANDS LÄN</t>
        </is>
      </c>
      <c r="E658" t="inlineStr">
        <is>
          <t>ÖSTERSUND</t>
        </is>
      </c>
      <c r="G658" t="n">
        <v>3.2</v>
      </c>
      <c r="H658" t="n">
        <v>0</v>
      </c>
      <c r="I658" t="n">
        <v>0</v>
      </c>
      <c r="J658" t="n">
        <v>0</v>
      </c>
      <c r="K658" t="n">
        <v>0</v>
      </c>
      <c r="L658" t="n">
        <v>0</v>
      </c>
      <c r="M658" t="n">
        <v>0</v>
      </c>
      <c r="N658" t="n">
        <v>0</v>
      </c>
      <c r="O658" t="n">
        <v>0</v>
      </c>
      <c r="P658" t="n">
        <v>0</v>
      </c>
      <c r="Q658" t="n">
        <v>0</v>
      </c>
      <c r="R658" s="2" t="inlineStr"/>
    </row>
    <row r="659" ht="15" customHeight="1">
      <c r="A659" t="inlineStr">
        <is>
          <t>A 17709-2024</t>
        </is>
      </c>
      <c r="B659" s="1" t="n">
        <v>45418.4843287037</v>
      </c>
      <c r="C659" s="1" t="n">
        <v>45984</v>
      </c>
      <c r="D659" t="inlineStr">
        <is>
          <t>JÄMTLANDS LÄN</t>
        </is>
      </c>
      <c r="E659" t="inlineStr">
        <is>
          <t>ÖSTERSUND</t>
        </is>
      </c>
      <c r="G659" t="n">
        <v>2.9</v>
      </c>
      <c r="H659" t="n">
        <v>0</v>
      </c>
      <c r="I659" t="n">
        <v>0</v>
      </c>
      <c r="J659" t="n">
        <v>0</v>
      </c>
      <c r="K659" t="n">
        <v>0</v>
      </c>
      <c r="L659" t="n">
        <v>0</v>
      </c>
      <c r="M659" t="n">
        <v>0</v>
      </c>
      <c r="N659" t="n">
        <v>0</v>
      </c>
      <c r="O659" t="n">
        <v>0</v>
      </c>
      <c r="P659" t="n">
        <v>0</v>
      </c>
      <c r="Q659" t="n">
        <v>0</v>
      </c>
      <c r="R659" s="2" t="inlineStr"/>
    </row>
    <row r="660" ht="15" customHeight="1">
      <c r="A660" t="inlineStr">
        <is>
          <t>A 21060-2025</t>
        </is>
      </c>
      <c r="B660" s="1" t="n">
        <v>45777.58025462963</v>
      </c>
      <c r="C660" s="1" t="n">
        <v>45984</v>
      </c>
      <c r="D660" t="inlineStr">
        <is>
          <t>JÄMTLANDS LÄN</t>
        </is>
      </c>
      <c r="E660" t="inlineStr">
        <is>
          <t>ÖSTERSUND</t>
        </is>
      </c>
      <c r="G660" t="n">
        <v>2.9</v>
      </c>
      <c r="H660" t="n">
        <v>0</v>
      </c>
      <c r="I660" t="n">
        <v>0</v>
      </c>
      <c r="J660" t="n">
        <v>0</v>
      </c>
      <c r="K660" t="n">
        <v>0</v>
      </c>
      <c r="L660" t="n">
        <v>0</v>
      </c>
      <c r="M660" t="n">
        <v>0</v>
      </c>
      <c r="N660" t="n">
        <v>0</v>
      </c>
      <c r="O660" t="n">
        <v>0</v>
      </c>
      <c r="P660" t="n">
        <v>0</v>
      </c>
      <c r="Q660" t="n">
        <v>0</v>
      </c>
      <c r="R660" s="2" t="inlineStr"/>
    </row>
    <row r="661" ht="15" customHeight="1">
      <c r="A661" t="inlineStr">
        <is>
          <t>A 21094-2025</t>
        </is>
      </c>
      <c r="B661" s="1" t="n">
        <v>45777.62665509259</v>
      </c>
      <c r="C661" s="1" t="n">
        <v>45984</v>
      </c>
      <c r="D661" t="inlineStr">
        <is>
          <t>JÄMTLANDS LÄN</t>
        </is>
      </c>
      <c r="E661" t="inlineStr">
        <is>
          <t>ÖSTERSUND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21237-2025</t>
        </is>
      </c>
      <c r="B662" s="1" t="n">
        <v>45779</v>
      </c>
      <c r="C662" s="1" t="n">
        <v>45984</v>
      </c>
      <c r="D662" t="inlineStr">
        <is>
          <t>JÄMTLANDS LÄN</t>
        </is>
      </c>
      <c r="E662" t="inlineStr">
        <is>
          <t>ÖSTERSUND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14848-2025</t>
        </is>
      </c>
      <c r="B663" s="1" t="n">
        <v>45743.39528935185</v>
      </c>
      <c r="C663" s="1" t="n">
        <v>45984</v>
      </c>
      <c r="D663" t="inlineStr">
        <is>
          <t>JÄMTLANDS LÄN</t>
        </is>
      </c>
      <c r="E663" t="inlineStr">
        <is>
          <t>ÖSTERSUND</t>
        </is>
      </c>
      <c r="G663" t="n">
        <v>12.1</v>
      </c>
      <c r="H663" t="n">
        <v>0</v>
      </c>
      <c r="I663" t="n">
        <v>0</v>
      </c>
      <c r="J663" t="n">
        <v>0</v>
      </c>
      <c r="K663" t="n">
        <v>0</v>
      </c>
      <c r="L663" t="n">
        <v>0</v>
      </c>
      <c r="M663" t="n">
        <v>0</v>
      </c>
      <c r="N663" t="n">
        <v>0</v>
      </c>
      <c r="O663" t="n">
        <v>0</v>
      </c>
      <c r="P663" t="n">
        <v>0</v>
      </c>
      <c r="Q663" t="n">
        <v>0</v>
      </c>
      <c r="R663" s="2" t="inlineStr"/>
    </row>
    <row r="664" ht="15" customHeight="1">
      <c r="A664" t="inlineStr">
        <is>
          <t>A 16812-2025</t>
        </is>
      </c>
      <c r="B664" s="1" t="n">
        <v>45754</v>
      </c>
      <c r="C664" s="1" t="n">
        <v>45984</v>
      </c>
      <c r="D664" t="inlineStr">
        <is>
          <t>JÄMTLANDS LÄN</t>
        </is>
      </c>
      <c r="E664" t="inlineStr">
        <is>
          <t>ÖSTERSUND</t>
        </is>
      </c>
      <c r="F664" t="inlineStr">
        <is>
          <t>Övriga statliga verk och myndigheter</t>
        </is>
      </c>
      <c r="G664" t="n">
        <v>3.7</v>
      </c>
      <c r="H664" t="n">
        <v>0</v>
      </c>
      <c r="I664" t="n">
        <v>0</v>
      </c>
      <c r="J664" t="n">
        <v>0</v>
      </c>
      <c r="K664" t="n">
        <v>0</v>
      </c>
      <c r="L664" t="n">
        <v>0</v>
      </c>
      <c r="M664" t="n">
        <v>0</v>
      </c>
      <c r="N664" t="n">
        <v>0</v>
      </c>
      <c r="O664" t="n">
        <v>0</v>
      </c>
      <c r="P664" t="n">
        <v>0</v>
      </c>
      <c r="Q664" t="n">
        <v>0</v>
      </c>
      <c r="R664" s="2" t="inlineStr"/>
    </row>
    <row r="665" ht="15" customHeight="1">
      <c r="A665" t="inlineStr">
        <is>
          <t>A 16725-2025</t>
        </is>
      </c>
      <c r="B665" s="1" t="n">
        <v>45754</v>
      </c>
      <c r="C665" s="1" t="n">
        <v>45984</v>
      </c>
      <c r="D665" t="inlineStr">
        <is>
          <t>JÄMTLANDS LÄN</t>
        </is>
      </c>
      <c r="E665" t="inlineStr">
        <is>
          <t>ÖSTERSUND</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4480-2025</t>
        </is>
      </c>
      <c r="B666" s="1" t="n">
        <v>45686.64175925926</v>
      </c>
      <c r="C666" s="1" t="n">
        <v>45984</v>
      </c>
      <c r="D666" t="inlineStr">
        <is>
          <t>JÄMTLANDS LÄN</t>
        </is>
      </c>
      <c r="E666" t="inlineStr">
        <is>
          <t>ÖSTERSUND</t>
        </is>
      </c>
      <c r="G666" t="n">
        <v>27.7</v>
      </c>
      <c r="H666" t="n">
        <v>0</v>
      </c>
      <c r="I666" t="n">
        <v>0</v>
      </c>
      <c r="J666" t="n">
        <v>0</v>
      </c>
      <c r="K666" t="n">
        <v>0</v>
      </c>
      <c r="L666" t="n">
        <v>0</v>
      </c>
      <c r="M666" t="n">
        <v>0</v>
      </c>
      <c r="N666" t="n">
        <v>0</v>
      </c>
      <c r="O666" t="n">
        <v>0</v>
      </c>
      <c r="P666" t="n">
        <v>0</v>
      </c>
      <c r="Q666" t="n">
        <v>0</v>
      </c>
      <c r="R666" s="2" t="inlineStr"/>
    </row>
    <row r="667">
      <c r="A667" t="inlineStr">
        <is>
          <t>A 22612-2025</t>
        </is>
      </c>
      <c r="B667" s="1" t="n">
        <v>45789.42538194444</v>
      </c>
      <c r="C667" s="1" t="n">
        <v>45984</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2025-11-23T10:17:47Z</dcterms:created>
  <dcterms:modified xmlns:dcterms="http://purl.org/dc/terms/" xmlns:xsi="http://www.w3.org/2001/XMLSchema-instance" xsi:type="dcterms:W3CDTF">2025-11-23T10:17:47Z</dcterms:modified>
</cp:coreProperties>
</file>