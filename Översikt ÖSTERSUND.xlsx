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45887</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45887</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45887</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45887</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45887</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45887</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45887</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45887</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45887</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45887</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45887</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45887</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34816-2024</t>
        </is>
      </c>
      <c r="B17" s="1" t="n">
        <v>45526</v>
      </c>
      <c r="C17" s="1" t="n">
        <v>45887</v>
      </c>
      <c r="D17" t="inlineStr">
        <is>
          <t>JÄMTLANDS LÄN</t>
        </is>
      </c>
      <c r="E17" t="inlineStr">
        <is>
          <t>ÖSTERSUND</t>
        </is>
      </c>
      <c r="F17" t="inlineStr">
        <is>
          <t>SCA</t>
        </is>
      </c>
      <c r="G17" t="n">
        <v>14.4</v>
      </c>
      <c r="H17" t="n">
        <v>0</v>
      </c>
      <c r="I17" t="n">
        <v>0</v>
      </c>
      <c r="J17" t="n">
        <v>9</v>
      </c>
      <c r="K17" t="n">
        <v>0</v>
      </c>
      <c r="L17" t="n">
        <v>0</v>
      </c>
      <c r="M17" t="n">
        <v>0</v>
      </c>
      <c r="N17" t="n">
        <v>0</v>
      </c>
      <c r="O17" t="n">
        <v>9</v>
      </c>
      <c r="P17" t="n">
        <v>0</v>
      </c>
      <c r="Q17" t="n">
        <v>9</v>
      </c>
      <c r="R17" s="2" t="inlineStr">
        <is>
          <t>Blå taggsvamp
Dvärgbägarlav
Lunglav
Mörk kolflarnlav
Orange taggsvamp
Skrovlig taggsvamp
Stiftgelélav
Svart taggsvamp
Vedskivlav</t>
        </is>
      </c>
      <c r="S17">
        <f>HYPERLINK("https://klasma.github.io/Logging_2380/artfynd/A 34816-2024 artfynd.xlsx", "A 34816-2024")</f>
        <v/>
      </c>
      <c r="T17">
        <f>HYPERLINK("https://klasma.github.io/Logging_2380/kartor/A 34816-2024 karta.png", "A 34816-2024")</f>
        <v/>
      </c>
      <c r="V17">
        <f>HYPERLINK("https://klasma.github.io/Logging_2380/klagomål/A 34816-2024 FSC-klagomål.docx", "A 34816-2024")</f>
        <v/>
      </c>
      <c r="W17">
        <f>HYPERLINK("https://klasma.github.io/Logging_2380/klagomålsmail/A 34816-2024 FSC-klagomål mail.docx", "A 34816-2024")</f>
        <v/>
      </c>
      <c r="X17">
        <f>HYPERLINK("https://klasma.github.io/Logging_2380/tillsyn/A 34816-2024 tillsynsbegäran.docx", "A 34816-2024")</f>
        <v/>
      </c>
      <c r="Y17">
        <f>HYPERLINK("https://klasma.github.io/Logging_2380/tillsynsmail/A 34816-2024 tillsynsbegäran mail.docx", "A 34816-2024")</f>
        <v/>
      </c>
    </row>
    <row r="18" ht="15" customHeight="1">
      <c r="A18" t="inlineStr">
        <is>
          <t>A 27907-2024</t>
        </is>
      </c>
      <c r="B18" s="1" t="n">
        <v>45475.94597222222</v>
      </c>
      <c r="C18" s="1" t="n">
        <v>45887</v>
      </c>
      <c r="D18" t="inlineStr">
        <is>
          <t>JÄMTLANDS LÄN</t>
        </is>
      </c>
      <c r="E18" t="inlineStr">
        <is>
          <t>ÖSTERSUND</t>
        </is>
      </c>
      <c r="F18" t="inlineStr">
        <is>
          <t>SCA</t>
        </is>
      </c>
      <c r="G18" t="n">
        <v>12.7</v>
      </c>
      <c r="H18" t="n">
        <v>0</v>
      </c>
      <c r="I18" t="n">
        <v>1</v>
      </c>
      <c r="J18" t="n">
        <v>6</v>
      </c>
      <c r="K18" t="n">
        <v>2</v>
      </c>
      <c r="L18" t="n">
        <v>0</v>
      </c>
      <c r="M18" t="n">
        <v>0</v>
      </c>
      <c r="N18" t="n">
        <v>0</v>
      </c>
      <c r="O18" t="n">
        <v>8</v>
      </c>
      <c r="P18" t="n">
        <v>2</v>
      </c>
      <c r="Q18" t="n">
        <v>9</v>
      </c>
      <c r="R18" s="2" t="inlineStr">
        <is>
          <t>Goliatmusseron
Jättemusseron
Blå taggsvamp
Dvärgbägarlav
Orange taggsvamp
Skrovlig taggsvamp
Svart taggsvamp
Vedflamlav
Skarp dropptaggsvamp</t>
        </is>
      </c>
      <c r="S18">
        <f>HYPERLINK("https://klasma.github.io/Logging_2380/artfynd/A 27907-2024 artfynd.xlsx", "A 27907-2024")</f>
        <v/>
      </c>
      <c r="T18">
        <f>HYPERLINK("https://klasma.github.io/Logging_2380/kartor/A 27907-2024 karta.png", "A 27907-2024")</f>
        <v/>
      </c>
      <c r="V18">
        <f>HYPERLINK("https://klasma.github.io/Logging_2380/klagomål/A 27907-2024 FSC-klagomål.docx", "A 27907-2024")</f>
        <v/>
      </c>
      <c r="W18">
        <f>HYPERLINK("https://klasma.github.io/Logging_2380/klagomålsmail/A 27907-2024 FSC-klagomål mail.docx", "A 27907-2024")</f>
        <v/>
      </c>
      <c r="X18">
        <f>HYPERLINK("https://klasma.github.io/Logging_2380/tillsyn/A 27907-2024 tillsynsbegäran.docx", "A 27907-2024")</f>
        <v/>
      </c>
      <c r="Y18">
        <f>HYPERLINK("https://klasma.github.io/Logging_2380/tillsynsmail/A 27907-2024 tillsynsbegäran mail.docx", "A 27907-2024")</f>
        <v/>
      </c>
    </row>
    <row r="19" ht="15" customHeight="1">
      <c r="A19" t="inlineStr">
        <is>
          <t>A 45224-2024</t>
        </is>
      </c>
      <c r="B19" s="1" t="n">
        <v>45575.77440972222</v>
      </c>
      <c r="C19" s="1" t="n">
        <v>45887</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7457-2023</t>
        </is>
      </c>
      <c r="B20" s="1" t="n">
        <v>44971</v>
      </c>
      <c r="C20" s="1" t="n">
        <v>45887</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40777-2023</t>
        </is>
      </c>
      <c r="B21" s="1" t="n">
        <v>45170</v>
      </c>
      <c r="C21" s="1" t="n">
        <v>45887</v>
      </c>
      <c r="D21" t="inlineStr">
        <is>
          <t>JÄMTLANDS LÄN</t>
        </is>
      </c>
      <c r="E21" t="inlineStr">
        <is>
          <t>ÖSTERSUND</t>
        </is>
      </c>
      <c r="F21" t="inlineStr">
        <is>
          <t>SCA</t>
        </is>
      </c>
      <c r="G21" t="n">
        <v>16.4</v>
      </c>
      <c r="H21" t="n">
        <v>3</v>
      </c>
      <c r="I21" t="n">
        <v>1</v>
      </c>
      <c r="J21" t="n">
        <v>5</v>
      </c>
      <c r="K21" t="n">
        <v>1</v>
      </c>
      <c r="L21" t="n">
        <v>0</v>
      </c>
      <c r="M21" t="n">
        <v>0</v>
      </c>
      <c r="N21" t="n">
        <v>0</v>
      </c>
      <c r="O21" t="n">
        <v>6</v>
      </c>
      <c r="P21" t="n">
        <v>1</v>
      </c>
      <c r="Q21" t="n">
        <v>8</v>
      </c>
      <c r="R21" s="2" t="inlineStr">
        <is>
          <t>Doftticka
Kungsörn
Lunglav
Stiftgelélav
Veckticka
Vedtrappmossa
Korallblylav
Blåsippa</t>
        </is>
      </c>
      <c r="S21">
        <f>HYPERLINK("https://klasma.github.io/Logging_2380/artfynd/A 40777-2023 artfynd.xlsx", "A 40777-2023")</f>
        <v/>
      </c>
      <c r="T21">
        <f>HYPERLINK("https://klasma.github.io/Logging_2380/kartor/A 40777-2023 karta.png", "A 40777-2023")</f>
        <v/>
      </c>
      <c r="V21">
        <f>HYPERLINK("https://klasma.github.io/Logging_2380/klagomål/A 40777-2023 FSC-klagomål.docx", "A 40777-2023")</f>
        <v/>
      </c>
      <c r="W21">
        <f>HYPERLINK("https://klasma.github.io/Logging_2380/klagomålsmail/A 40777-2023 FSC-klagomål mail.docx", "A 40777-2023")</f>
        <v/>
      </c>
      <c r="X21">
        <f>HYPERLINK("https://klasma.github.io/Logging_2380/tillsyn/A 40777-2023 tillsynsbegäran.docx", "A 40777-2023")</f>
        <v/>
      </c>
      <c r="Y21">
        <f>HYPERLINK("https://klasma.github.io/Logging_2380/tillsynsmail/A 40777-2023 tillsynsbegäran mail.docx", "A 40777-2023")</f>
        <v/>
      </c>
      <c r="Z21">
        <f>HYPERLINK("https://klasma.github.io/Logging_2380/fåglar/A 40777-2023 prioriterade fågelarter.docx", "A 40777-2023")</f>
        <v/>
      </c>
    </row>
    <row r="22" ht="15" customHeight="1">
      <c r="A22" t="inlineStr">
        <is>
          <t>A 17716-2024</t>
        </is>
      </c>
      <c r="B22" s="1" t="n">
        <v>45415</v>
      </c>
      <c r="C22" s="1" t="n">
        <v>45887</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45887</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45887</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45887</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10744-2024</t>
        </is>
      </c>
      <c r="B26" s="1" t="n">
        <v>45369</v>
      </c>
      <c r="C26" s="1" t="n">
        <v>45887</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40751-2020</t>
        </is>
      </c>
      <c r="B27" s="1" t="n">
        <v>44069</v>
      </c>
      <c r="C27" s="1" t="n">
        <v>45887</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45887</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45887</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45887</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45887</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45887</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40555-2024</t>
        </is>
      </c>
      <c r="B33" s="1" t="n">
        <v>45555</v>
      </c>
      <c r="C33" s="1" t="n">
        <v>45887</v>
      </c>
      <c r="D33" t="inlineStr">
        <is>
          <t>JÄMTLANDS LÄN</t>
        </is>
      </c>
      <c r="E33" t="inlineStr">
        <is>
          <t>ÖSTERSUND</t>
        </is>
      </c>
      <c r="G33" t="n">
        <v>7.7</v>
      </c>
      <c r="H33" t="n">
        <v>3</v>
      </c>
      <c r="I33" t="n">
        <v>3</v>
      </c>
      <c r="J33" t="n">
        <v>2</v>
      </c>
      <c r="K33" t="n">
        <v>1</v>
      </c>
      <c r="L33" t="n">
        <v>0</v>
      </c>
      <c r="M33" t="n">
        <v>0</v>
      </c>
      <c r="N33" t="n">
        <v>0</v>
      </c>
      <c r="O33" t="n">
        <v>3</v>
      </c>
      <c r="P33" t="n">
        <v>1</v>
      </c>
      <c r="Q33" t="n">
        <v>6</v>
      </c>
      <c r="R33" s="2" t="inlineStr">
        <is>
          <t>Knärot
Lunglav
Talltita
Guckusko
Luddlav
Skinnlav</t>
        </is>
      </c>
      <c r="S33">
        <f>HYPERLINK("https://klasma.github.io/Logging_2380/artfynd/A 40555-2024 artfynd.xlsx", "A 40555-2024")</f>
        <v/>
      </c>
      <c r="T33">
        <f>HYPERLINK("https://klasma.github.io/Logging_2380/kartor/A 40555-2024 karta.png", "A 40555-2024")</f>
        <v/>
      </c>
      <c r="U33">
        <f>HYPERLINK("https://klasma.github.io/Logging_2380/knärot/A 40555-2024 karta knärot.png", "A 40555-2024")</f>
        <v/>
      </c>
      <c r="V33">
        <f>HYPERLINK("https://klasma.github.io/Logging_2380/klagomål/A 40555-2024 FSC-klagomål.docx", "A 40555-2024")</f>
        <v/>
      </c>
      <c r="W33">
        <f>HYPERLINK("https://klasma.github.io/Logging_2380/klagomålsmail/A 40555-2024 FSC-klagomål mail.docx", "A 40555-2024")</f>
        <v/>
      </c>
      <c r="X33">
        <f>HYPERLINK("https://klasma.github.io/Logging_2380/tillsyn/A 40555-2024 tillsynsbegäran.docx", "A 40555-2024")</f>
        <v/>
      </c>
      <c r="Y33">
        <f>HYPERLINK("https://klasma.github.io/Logging_2380/tillsynsmail/A 40555-2024 tillsynsbegäran mail.docx", "A 40555-2024")</f>
        <v/>
      </c>
      <c r="Z33">
        <f>HYPERLINK("https://klasma.github.io/Logging_2380/fåglar/A 40555-2024 prioriterade fågelarter.docx", "A 40555-2024")</f>
        <v/>
      </c>
    </row>
    <row r="34" ht="15" customHeight="1">
      <c r="A34" t="inlineStr">
        <is>
          <t>A 47392-2022</t>
        </is>
      </c>
      <c r="B34" s="1" t="n">
        <v>44851</v>
      </c>
      <c r="C34" s="1" t="n">
        <v>45887</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45887</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45887</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12712-2021</t>
        </is>
      </c>
      <c r="B37" s="1" t="n">
        <v>44270.58950231481</v>
      </c>
      <c r="C37" s="1" t="n">
        <v>45887</v>
      </c>
      <c r="D37" t="inlineStr">
        <is>
          <t>JÄMTLANDS LÄN</t>
        </is>
      </c>
      <c r="E37" t="inlineStr">
        <is>
          <t>ÖSTERSUND</t>
        </is>
      </c>
      <c r="G37" t="n">
        <v>8</v>
      </c>
      <c r="H37" t="n">
        <v>2</v>
      </c>
      <c r="I37" t="n">
        <v>3</v>
      </c>
      <c r="J37" t="n">
        <v>1</v>
      </c>
      <c r="K37" t="n">
        <v>0</v>
      </c>
      <c r="L37" t="n">
        <v>1</v>
      </c>
      <c r="M37" t="n">
        <v>0</v>
      </c>
      <c r="N37" t="n">
        <v>0</v>
      </c>
      <c r="O37" t="n">
        <v>2</v>
      </c>
      <c r="P37" t="n">
        <v>1</v>
      </c>
      <c r="Q37" t="n">
        <v>6</v>
      </c>
      <c r="R37" s="2" t="inlineStr">
        <is>
          <t>Trolldruvemätare
Talltita
Kransrams
Tibast
Underviol
Blåsippa</t>
        </is>
      </c>
      <c r="S37">
        <f>HYPERLINK("https://klasma.github.io/Logging_2380/artfynd/A 12712-2021 artfynd.xlsx", "A 12712-2021")</f>
        <v/>
      </c>
      <c r="T37">
        <f>HYPERLINK("https://klasma.github.io/Logging_2380/kartor/A 12712-2021 karta.png", "A 12712-2021")</f>
        <v/>
      </c>
      <c r="V37">
        <f>HYPERLINK("https://klasma.github.io/Logging_2380/klagomål/A 12712-2021 FSC-klagomål.docx", "A 12712-2021")</f>
        <v/>
      </c>
      <c r="W37">
        <f>HYPERLINK("https://klasma.github.io/Logging_2380/klagomålsmail/A 12712-2021 FSC-klagomål mail.docx", "A 12712-2021")</f>
        <v/>
      </c>
      <c r="X37">
        <f>HYPERLINK("https://klasma.github.io/Logging_2380/tillsyn/A 12712-2021 tillsynsbegäran.docx", "A 12712-2021")</f>
        <v/>
      </c>
      <c r="Y37">
        <f>HYPERLINK("https://klasma.github.io/Logging_2380/tillsynsmail/A 12712-2021 tillsynsbegäran mail.docx", "A 12712-2021")</f>
        <v/>
      </c>
      <c r="Z37">
        <f>HYPERLINK("https://klasma.github.io/Logging_2380/fåglar/A 12712-2021 prioriterade fågelarter.docx", "A 12712-2021")</f>
        <v/>
      </c>
    </row>
    <row r="38" ht="15" customHeight="1">
      <c r="A38" t="inlineStr">
        <is>
          <t>A 61153-2024</t>
        </is>
      </c>
      <c r="B38" s="1" t="n">
        <v>45645</v>
      </c>
      <c r="C38" s="1" t="n">
        <v>45887</v>
      </c>
      <c r="D38" t="inlineStr">
        <is>
          <t>JÄMTLANDS LÄN</t>
        </is>
      </c>
      <c r="E38" t="inlineStr">
        <is>
          <t>ÖSTERSUND</t>
        </is>
      </c>
      <c r="G38" t="n">
        <v>8.699999999999999</v>
      </c>
      <c r="H38" t="n">
        <v>5</v>
      </c>
      <c r="I38" t="n">
        <v>0</v>
      </c>
      <c r="J38" t="n">
        <v>4</v>
      </c>
      <c r="K38" t="n">
        <v>1</v>
      </c>
      <c r="L38" t="n">
        <v>0</v>
      </c>
      <c r="M38" t="n">
        <v>0</v>
      </c>
      <c r="N38" t="n">
        <v>0</v>
      </c>
      <c r="O38" t="n">
        <v>5</v>
      </c>
      <c r="P38" t="n">
        <v>1</v>
      </c>
      <c r="Q38" t="n">
        <v>6</v>
      </c>
      <c r="R38" s="2" t="inlineStr">
        <is>
          <t>Knärot
Garnlav
Mindre hackspett
Spillkråka
Talltita
Tjäder</t>
        </is>
      </c>
      <c r="S38">
        <f>HYPERLINK("https://klasma.github.io/Logging_2380/artfynd/A 61153-2024 artfynd.xlsx", "A 61153-2024")</f>
        <v/>
      </c>
      <c r="T38">
        <f>HYPERLINK("https://klasma.github.io/Logging_2380/kartor/A 61153-2024 karta.png", "A 61153-2024")</f>
        <v/>
      </c>
      <c r="U38">
        <f>HYPERLINK("https://klasma.github.io/Logging_2380/knärot/A 61153-2024 karta knärot.png", "A 61153-2024")</f>
        <v/>
      </c>
      <c r="V38">
        <f>HYPERLINK("https://klasma.github.io/Logging_2380/klagomål/A 61153-2024 FSC-klagomål.docx", "A 61153-2024")</f>
        <v/>
      </c>
      <c r="W38">
        <f>HYPERLINK("https://klasma.github.io/Logging_2380/klagomålsmail/A 61153-2024 FSC-klagomål mail.docx", "A 61153-2024")</f>
        <v/>
      </c>
      <c r="X38">
        <f>HYPERLINK("https://klasma.github.io/Logging_2380/tillsyn/A 61153-2024 tillsynsbegäran.docx", "A 61153-2024")</f>
        <v/>
      </c>
      <c r="Y38">
        <f>HYPERLINK("https://klasma.github.io/Logging_2380/tillsynsmail/A 61153-2024 tillsynsbegäran mail.docx", "A 61153-2024")</f>
        <v/>
      </c>
      <c r="Z38">
        <f>HYPERLINK("https://klasma.github.io/Logging_2380/fåglar/A 61153-2024 prioriterade fågelarter.docx", "A 61153-2024")</f>
        <v/>
      </c>
    </row>
    <row r="39" ht="15" customHeight="1">
      <c r="A39" t="inlineStr">
        <is>
          <t>A 18338-2025</t>
        </is>
      </c>
      <c r="B39" s="1" t="n">
        <v>45762.51075231482</v>
      </c>
      <c r="C39" s="1" t="n">
        <v>45887</v>
      </c>
      <c r="D39" t="inlineStr">
        <is>
          <t>JÄMTLANDS LÄN</t>
        </is>
      </c>
      <c r="E39" t="inlineStr">
        <is>
          <t>ÖSTERSUND</t>
        </is>
      </c>
      <c r="F39" t="inlineStr">
        <is>
          <t>SCA</t>
        </is>
      </c>
      <c r="G39" t="n">
        <v>5.3</v>
      </c>
      <c r="H39" t="n">
        <v>1</v>
      </c>
      <c r="I39" t="n">
        <v>2</v>
      </c>
      <c r="J39" t="n">
        <v>3</v>
      </c>
      <c r="K39" t="n">
        <v>0</v>
      </c>
      <c r="L39" t="n">
        <v>0</v>
      </c>
      <c r="M39" t="n">
        <v>0</v>
      </c>
      <c r="N39" t="n">
        <v>0</v>
      </c>
      <c r="O39" t="n">
        <v>3</v>
      </c>
      <c r="P39" t="n">
        <v>0</v>
      </c>
      <c r="Q39" t="n">
        <v>6</v>
      </c>
      <c r="R39" s="2" t="inlineStr">
        <is>
          <t>Kolflarnlav
Oljetagging
Vedflamlav
Barkticka
Stor aspticka
Fläcknycklar</t>
        </is>
      </c>
      <c r="S39">
        <f>HYPERLINK("https://klasma.github.io/Logging_2380/artfynd/A 18338-2025 artfynd.xlsx", "A 18338-2025")</f>
        <v/>
      </c>
      <c r="T39">
        <f>HYPERLINK("https://klasma.github.io/Logging_2380/kartor/A 18338-2025 karta.png", "A 18338-2025")</f>
        <v/>
      </c>
      <c r="V39">
        <f>HYPERLINK("https://klasma.github.io/Logging_2380/klagomål/A 18338-2025 FSC-klagomål.docx", "A 18338-2025")</f>
        <v/>
      </c>
      <c r="W39">
        <f>HYPERLINK("https://klasma.github.io/Logging_2380/klagomålsmail/A 18338-2025 FSC-klagomål mail.docx", "A 18338-2025")</f>
        <v/>
      </c>
      <c r="X39">
        <f>HYPERLINK("https://klasma.github.io/Logging_2380/tillsyn/A 18338-2025 tillsynsbegäran.docx", "A 18338-2025")</f>
        <v/>
      </c>
      <c r="Y39">
        <f>HYPERLINK("https://klasma.github.io/Logging_2380/tillsynsmail/A 18338-2025 tillsynsbegäran mail.docx", "A 18338-2025")</f>
        <v/>
      </c>
    </row>
    <row r="40" ht="15" customHeight="1">
      <c r="A40" t="inlineStr">
        <is>
          <t>A 27577-2022</t>
        </is>
      </c>
      <c r="B40" s="1" t="n">
        <v>44742</v>
      </c>
      <c r="C40" s="1" t="n">
        <v>45887</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59537-2023</t>
        </is>
      </c>
      <c r="B41" s="1" t="n">
        <v>45254</v>
      </c>
      <c r="C41" s="1" t="n">
        <v>45887</v>
      </c>
      <c r="D41" t="inlineStr">
        <is>
          <t>JÄMTLANDS LÄN</t>
        </is>
      </c>
      <c r="E41" t="inlineStr">
        <is>
          <t>ÖSTERSUND</t>
        </is>
      </c>
      <c r="G41" t="n">
        <v>4.1</v>
      </c>
      <c r="H41" t="n">
        <v>3</v>
      </c>
      <c r="I41" t="n">
        <v>0</v>
      </c>
      <c r="J41" t="n">
        <v>4</v>
      </c>
      <c r="K41" t="n">
        <v>0</v>
      </c>
      <c r="L41" t="n">
        <v>0</v>
      </c>
      <c r="M41" t="n">
        <v>0</v>
      </c>
      <c r="N41" t="n">
        <v>0</v>
      </c>
      <c r="O41" t="n">
        <v>4</v>
      </c>
      <c r="P41" t="n">
        <v>0</v>
      </c>
      <c r="Q41" t="n">
        <v>5</v>
      </c>
      <c r="R41" s="2" t="inlineStr">
        <is>
          <t>Granticka
Kråka
Talltita
Ullticka
Revlummer</t>
        </is>
      </c>
      <c r="S41">
        <f>HYPERLINK("https://klasma.github.io/Logging_2380/artfynd/A 59537-2023 artfynd.xlsx", "A 59537-2023")</f>
        <v/>
      </c>
      <c r="T41">
        <f>HYPERLINK("https://klasma.github.io/Logging_2380/kartor/A 59537-2023 karta.png", "A 59537-2023")</f>
        <v/>
      </c>
      <c r="V41">
        <f>HYPERLINK("https://klasma.github.io/Logging_2380/klagomål/A 59537-2023 FSC-klagomål.docx", "A 59537-2023")</f>
        <v/>
      </c>
      <c r="W41">
        <f>HYPERLINK("https://klasma.github.io/Logging_2380/klagomålsmail/A 59537-2023 FSC-klagomål mail.docx", "A 59537-2023")</f>
        <v/>
      </c>
      <c r="X41">
        <f>HYPERLINK("https://klasma.github.io/Logging_2380/tillsyn/A 59537-2023 tillsynsbegäran.docx", "A 59537-2023")</f>
        <v/>
      </c>
      <c r="Y41">
        <f>HYPERLINK("https://klasma.github.io/Logging_2380/tillsynsmail/A 59537-2023 tillsynsbegäran mail.docx", "A 59537-2023")</f>
        <v/>
      </c>
      <c r="Z41">
        <f>HYPERLINK("https://klasma.github.io/Logging_2380/fåglar/A 59537-2023 prioriterade fågelarter.docx", "A 59537-2023")</f>
        <v/>
      </c>
    </row>
    <row r="42" ht="15" customHeight="1">
      <c r="A42" t="inlineStr">
        <is>
          <t>A 54731-2024</t>
        </is>
      </c>
      <c r="B42" s="1" t="n">
        <v>45618.43853009259</v>
      </c>
      <c r="C42" s="1" t="n">
        <v>45887</v>
      </c>
      <c r="D42" t="inlineStr">
        <is>
          <t>JÄMTLANDS LÄN</t>
        </is>
      </c>
      <c r="E42" t="inlineStr">
        <is>
          <t>ÖSTERSUND</t>
        </is>
      </c>
      <c r="F42" t="inlineStr">
        <is>
          <t>SCA</t>
        </is>
      </c>
      <c r="G42" t="n">
        <v>16.8</v>
      </c>
      <c r="H42" t="n">
        <v>1</v>
      </c>
      <c r="I42" t="n">
        <v>1</v>
      </c>
      <c r="J42" t="n">
        <v>4</v>
      </c>
      <c r="K42" t="n">
        <v>0</v>
      </c>
      <c r="L42" t="n">
        <v>0</v>
      </c>
      <c r="M42" t="n">
        <v>0</v>
      </c>
      <c r="N42" t="n">
        <v>0</v>
      </c>
      <c r="O42" t="n">
        <v>4</v>
      </c>
      <c r="P42" t="n">
        <v>0</v>
      </c>
      <c r="Q42" t="n">
        <v>5</v>
      </c>
      <c r="R42" s="2" t="inlineStr">
        <is>
          <t>Granticka
Lunglav
Rödvingetrast
Ullticka
Kransrams</t>
        </is>
      </c>
      <c r="S42">
        <f>HYPERLINK("https://klasma.github.io/Logging_2380/artfynd/A 54731-2024 artfynd.xlsx", "A 54731-2024")</f>
        <v/>
      </c>
      <c r="T42">
        <f>HYPERLINK("https://klasma.github.io/Logging_2380/kartor/A 54731-2024 karta.png", "A 54731-2024")</f>
        <v/>
      </c>
      <c r="V42">
        <f>HYPERLINK("https://klasma.github.io/Logging_2380/klagomål/A 54731-2024 FSC-klagomål.docx", "A 54731-2024")</f>
        <v/>
      </c>
      <c r="W42">
        <f>HYPERLINK("https://klasma.github.io/Logging_2380/klagomålsmail/A 54731-2024 FSC-klagomål mail.docx", "A 54731-2024")</f>
        <v/>
      </c>
      <c r="X42">
        <f>HYPERLINK("https://klasma.github.io/Logging_2380/tillsyn/A 54731-2024 tillsynsbegäran.docx", "A 54731-2024")</f>
        <v/>
      </c>
      <c r="Y42">
        <f>HYPERLINK("https://klasma.github.io/Logging_2380/tillsynsmail/A 54731-2024 tillsynsbegäran mail.docx", "A 54731-2024")</f>
        <v/>
      </c>
      <c r="Z42">
        <f>HYPERLINK("https://klasma.github.io/Logging_2380/fåglar/A 54731-2024 prioriterade fågelarter.docx", "A 54731-2024")</f>
        <v/>
      </c>
    </row>
    <row r="43" ht="15" customHeight="1">
      <c r="A43" t="inlineStr">
        <is>
          <t>A 29117-2025</t>
        </is>
      </c>
      <c r="B43" s="1" t="n">
        <v>45821.59243055555</v>
      </c>
      <c r="C43" s="1" t="n">
        <v>45887</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7717-2024</t>
        </is>
      </c>
      <c r="B44" s="1" t="n">
        <v>45349</v>
      </c>
      <c r="C44" s="1" t="n">
        <v>45887</v>
      </c>
      <c r="D44" t="inlineStr">
        <is>
          <t>JÄMTLANDS LÄN</t>
        </is>
      </c>
      <c r="E44" t="inlineStr">
        <is>
          <t>ÖSTERSUND</t>
        </is>
      </c>
      <c r="F44" t="inlineStr">
        <is>
          <t>Övriga Aktiebolag</t>
        </is>
      </c>
      <c r="G44" t="n">
        <v>2.5</v>
      </c>
      <c r="H44" t="n">
        <v>1</v>
      </c>
      <c r="I44" t="n">
        <v>1</v>
      </c>
      <c r="J44" t="n">
        <v>4</v>
      </c>
      <c r="K44" t="n">
        <v>0</v>
      </c>
      <c r="L44" t="n">
        <v>0</v>
      </c>
      <c r="M44" t="n">
        <v>0</v>
      </c>
      <c r="N44" t="n">
        <v>0</v>
      </c>
      <c r="O44" t="n">
        <v>4</v>
      </c>
      <c r="P44" t="n">
        <v>0</v>
      </c>
      <c r="Q44" t="n">
        <v>5</v>
      </c>
      <c r="R44" s="2" t="inlineStr">
        <is>
          <t>Garnlav
Lunglav
Skrovellav
Talltita
Stuplav</t>
        </is>
      </c>
      <c r="S44">
        <f>HYPERLINK("https://klasma.github.io/Logging_2380/artfynd/A 7717-2024 artfynd.xlsx", "A 7717-2024")</f>
        <v/>
      </c>
      <c r="T44">
        <f>HYPERLINK("https://klasma.github.io/Logging_2380/kartor/A 7717-2024 karta.png", "A 7717-2024")</f>
        <v/>
      </c>
      <c r="V44">
        <f>HYPERLINK("https://klasma.github.io/Logging_2380/klagomål/A 7717-2024 FSC-klagomål.docx", "A 7717-2024")</f>
        <v/>
      </c>
      <c r="W44">
        <f>HYPERLINK("https://klasma.github.io/Logging_2380/klagomålsmail/A 7717-2024 FSC-klagomål mail.docx", "A 7717-2024")</f>
        <v/>
      </c>
      <c r="X44">
        <f>HYPERLINK("https://klasma.github.io/Logging_2380/tillsyn/A 7717-2024 tillsynsbegäran.docx", "A 7717-2024")</f>
        <v/>
      </c>
      <c r="Y44">
        <f>HYPERLINK("https://klasma.github.io/Logging_2380/tillsynsmail/A 7717-2024 tillsynsbegäran mail.docx", "A 7717-2024")</f>
        <v/>
      </c>
      <c r="Z44">
        <f>HYPERLINK("https://klasma.github.io/Logging_2380/fåglar/A 7717-2024 prioriterade fågelarter.docx", "A 7717-2024")</f>
        <v/>
      </c>
    </row>
    <row r="45" ht="15" customHeight="1">
      <c r="A45" t="inlineStr">
        <is>
          <t>A 39941-2024</t>
        </is>
      </c>
      <c r="B45" s="1" t="n">
        <v>45553</v>
      </c>
      <c r="C45" s="1" t="n">
        <v>45887</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45979-2023</t>
        </is>
      </c>
      <c r="B46" s="1" t="n">
        <v>45189</v>
      </c>
      <c r="C46" s="1" t="n">
        <v>45887</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10747-2024</t>
        </is>
      </c>
      <c r="B47" s="1" t="n">
        <v>45369</v>
      </c>
      <c r="C47" s="1" t="n">
        <v>45887</v>
      </c>
      <c r="D47" t="inlineStr">
        <is>
          <t>JÄMTLANDS LÄN</t>
        </is>
      </c>
      <c r="E47" t="inlineStr">
        <is>
          <t>ÖSTERSUND</t>
        </is>
      </c>
      <c r="G47" t="n">
        <v>4.3</v>
      </c>
      <c r="H47" t="n">
        <v>1</v>
      </c>
      <c r="I47" t="n">
        <v>1</v>
      </c>
      <c r="J47" t="n">
        <v>3</v>
      </c>
      <c r="K47" t="n">
        <v>1</v>
      </c>
      <c r="L47" t="n">
        <v>0</v>
      </c>
      <c r="M47" t="n">
        <v>0</v>
      </c>
      <c r="N47" t="n">
        <v>0</v>
      </c>
      <c r="O47" t="n">
        <v>4</v>
      </c>
      <c r="P47" t="n">
        <v>1</v>
      </c>
      <c r="Q47" t="n">
        <v>5</v>
      </c>
      <c r="R47" s="2" t="inlineStr">
        <is>
          <t>Fjällfotad musseron
Barrviolspindling
Gultoppig fingersvamp
Tretåig hackspett
Fjällig taggsvamp s.str.</t>
        </is>
      </c>
      <c r="S47">
        <f>HYPERLINK("https://klasma.github.io/Logging_2380/artfynd/A 10747-2024 artfynd.xlsx", "A 10747-2024")</f>
        <v/>
      </c>
      <c r="T47">
        <f>HYPERLINK("https://klasma.github.io/Logging_2380/kartor/A 10747-2024 karta.png", "A 10747-2024")</f>
        <v/>
      </c>
      <c r="V47">
        <f>HYPERLINK("https://klasma.github.io/Logging_2380/klagomål/A 10747-2024 FSC-klagomål.docx", "A 10747-2024")</f>
        <v/>
      </c>
      <c r="W47">
        <f>HYPERLINK("https://klasma.github.io/Logging_2380/klagomålsmail/A 10747-2024 FSC-klagomål mail.docx", "A 10747-2024")</f>
        <v/>
      </c>
      <c r="X47">
        <f>HYPERLINK("https://klasma.github.io/Logging_2380/tillsyn/A 10747-2024 tillsynsbegäran.docx", "A 10747-2024")</f>
        <v/>
      </c>
      <c r="Y47">
        <f>HYPERLINK("https://klasma.github.io/Logging_2380/tillsynsmail/A 10747-2024 tillsynsbegäran mail.docx", "A 10747-2024")</f>
        <v/>
      </c>
      <c r="Z47">
        <f>HYPERLINK("https://klasma.github.io/Logging_2380/fåglar/A 10747-2024 prioriterade fågelarter.docx", "A 10747-2024")</f>
        <v/>
      </c>
    </row>
    <row r="48" ht="15" customHeight="1">
      <c r="A48" t="inlineStr">
        <is>
          <t>A 2962-2023</t>
        </is>
      </c>
      <c r="B48" s="1" t="n">
        <v>44945</v>
      </c>
      <c r="C48" s="1" t="n">
        <v>45887</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31127-2025</t>
        </is>
      </c>
      <c r="B49" s="1" t="n">
        <v>45831</v>
      </c>
      <c r="C49" s="1" t="n">
        <v>45887</v>
      </c>
      <c r="D49" t="inlineStr">
        <is>
          <t>JÄMTLANDS LÄN</t>
        </is>
      </c>
      <c r="E49" t="inlineStr">
        <is>
          <t>ÖSTERSUND</t>
        </is>
      </c>
      <c r="G49" t="n">
        <v>4.3</v>
      </c>
      <c r="H49" t="n">
        <v>2</v>
      </c>
      <c r="I49" t="n">
        <v>1</v>
      </c>
      <c r="J49" t="n">
        <v>2</v>
      </c>
      <c r="K49" t="n">
        <v>0</v>
      </c>
      <c r="L49" t="n">
        <v>0</v>
      </c>
      <c r="M49" t="n">
        <v>0</v>
      </c>
      <c r="N49" t="n">
        <v>0</v>
      </c>
      <c r="O49" t="n">
        <v>2</v>
      </c>
      <c r="P49" t="n">
        <v>0</v>
      </c>
      <c r="Q49" t="n">
        <v>4</v>
      </c>
      <c r="R49" s="2" t="inlineStr">
        <is>
          <t>Granticka
Talltita
Kransrams
Revlummer</t>
        </is>
      </c>
      <c r="S49">
        <f>HYPERLINK("https://klasma.github.io/Logging_2380/artfynd/A 31127-2025 artfynd.xlsx", "A 31127-2025")</f>
        <v/>
      </c>
      <c r="T49">
        <f>HYPERLINK("https://klasma.github.io/Logging_2380/kartor/A 31127-2025 karta.png", "A 31127-2025")</f>
        <v/>
      </c>
      <c r="V49">
        <f>HYPERLINK("https://klasma.github.io/Logging_2380/klagomål/A 31127-2025 FSC-klagomål.docx", "A 31127-2025")</f>
        <v/>
      </c>
      <c r="W49">
        <f>HYPERLINK("https://klasma.github.io/Logging_2380/klagomålsmail/A 31127-2025 FSC-klagomål mail.docx", "A 31127-2025")</f>
        <v/>
      </c>
      <c r="X49">
        <f>HYPERLINK("https://klasma.github.io/Logging_2380/tillsyn/A 31127-2025 tillsynsbegäran.docx", "A 31127-2025")</f>
        <v/>
      </c>
      <c r="Y49">
        <f>HYPERLINK("https://klasma.github.io/Logging_2380/tillsynsmail/A 31127-2025 tillsynsbegäran mail.docx", "A 31127-2025")</f>
        <v/>
      </c>
      <c r="Z49">
        <f>HYPERLINK("https://klasma.github.io/Logging_2380/fåglar/A 31127-2025 prioriterade fågelarter.docx", "A 31127-2025")</f>
        <v/>
      </c>
    </row>
    <row r="50" ht="15" customHeight="1">
      <c r="A50" t="inlineStr">
        <is>
          <t>A 25369-2024</t>
        </is>
      </c>
      <c r="B50" s="1" t="n">
        <v>45462.95982638889</v>
      </c>
      <c r="C50" s="1" t="n">
        <v>45887</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45887</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60580-2024</t>
        </is>
      </c>
      <c r="B52" s="1" t="n">
        <v>45644</v>
      </c>
      <c r="C52" s="1" t="n">
        <v>45887</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29135-2022</t>
        </is>
      </c>
      <c r="B53" s="1" t="n">
        <v>44750</v>
      </c>
      <c r="C53" s="1" t="n">
        <v>45887</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45887</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25279-2025</t>
        </is>
      </c>
      <c r="B55" s="1" t="n">
        <v>45800.55701388889</v>
      </c>
      <c r="C55" s="1" t="n">
        <v>45887</v>
      </c>
      <c r="D55" t="inlineStr">
        <is>
          <t>JÄMTLANDS LÄN</t>
        </is>
      </c>
      <c r="E55" t="inlineStr">
        <is>
          <t>ÖSTERSUND</t>
        </is>
      </c>
      <c r="G55" t="n">
        <v>6.8</v>
      </c>
      <c r="H55" t="n">
        <v>2</v>
      </c>
      <c r="I55" t="n">
        <v>0</v>
      </c>
      <c r="J55" t="n">
        <v>3</v>
      </c>
      <c r="K55" t="n">
        <v>1</v>
      </c>
      <c r="L55" t="n">
        <v>0</v>
      </c>
      <c r="M55" t="n">
        <v>0</v>
      </c>
      <c r="N55" t="n">
        <v>0</v>
      </c>
      <c r="O55" t="n">
        <v>4</v>
      </c>
      <c r="P55" t="n">
        <v>1</v>
      </c>
      <c r="Q55" t="n">
        <v>4</v>
      </c>
      <c r="R55" s="2" t="inlineStr">
        <is>
          <t>Doftticka
Lunglav
Skrovellav
Tretåig hackspett</t>
        </is>
      </c>
      <c r="S55">
        <f>HYPERLINK("https://klasma.github.io/Logging_2380/artfynd/A 25279-2025 artfynd.xlsx", "A 25279-2025")</f>
        <v/>
      </c>
      <c r="T55">
        <f>HYPERLINK("https://klasma.github.io/Logging_2380/kartor/A 25279-2025 karta.png", "A 25279-2025")</f>
        <v/>
      </c>
      <c r="V55">
        <f>HYPERLINK("https://klasma.github.io/Logging_2380/klagomål/A 25279-2025 FSC-klagomål.docx", "A 25279-2025")</f>
        <v/>
      </c>
      <c r="W55">
        <f>HYPERLINK("https://klasma.github.io/Logging_2380/klagomålsmail/A 25279-2025 FSC-klagomål mail.docx", "A 25279-2025")</f>
        <v/>
      </c>
      <c r="X55">
        <f>HYPERLINK("https://klasma.github.io/Logging_2380/tillsyn/A 25279-2025 tillsynsbegäran.docx", "A 25279-2025")</f>
        <v/>
      </c>
      <c r="Y55">
        <f>HYPERLINK("https://klasma.github.io/Logging_2380/tillsynsmail/A 25279-2025 tillsynsbegäran mail.docx", "A 25279-2025")</f>
        <v/>
      </c>
      <c r="Z55">
        <f>HYPERLINK("https://klasma.github.io/Logging_2380/fåglar/A 25279-2025 prioriterade fågelarter.docx", "A 25279-2025")</f>
        <v/>
      </c>
    </row>
    <row r="56" ht="15" customHeight="1">
      <c r="A56" t="inlineStr">
        <is>
          <t>A 55344-2023</t>
        </is>
      </c>
      <c r="B56" s="1" t="n">
        <v>45237</v>
      </c>
      <c r="C56" s="1" t="n">
        <v>45887</v>
      </c>
      <c r="D56" t="inlineStr">
        <is>
          <t>JÄMTLANDS LÄN</t>
        </is>
      </c>
      <c r="E56" t="inlineStr">
        <is>
          <t>ÖSTERSUND</t>
        </is>
      </c>
      <c r="F56" t="inlineStr">
        <is>
          <t>SCA</t>
        </is>
      </c>
      <c r="G56" t="n">
        <v>1.5</v>
      </c>
      <c r="H56" t="n">
        <v>1</v>
      </c>
      <c r="I56" t="n">
        <v>1</v>
      </c>
      <c r="J56" t="n">
        <v>2</v>
      </c>
      <c r="K56" t="n">
        <v>1</v>
      </c>
      <c r="L56" t="n">
        <v>0</v>
      </c>
      <c r="M56" t="n">
        <v>0</v>
      </c>
      <c r="N56" t="n">
        <v>0</v>
      </c>
      <c r="O56" t="n">
        <v>3</v>
      </c>
      <c r="P56" t="n">
        <v>1</v>
      </c>
      <c r="Q56" t="n">
        <v>4</v>
      </c>
      <c r="R56" s="2" t="inlineStr">
        <is>
          <t>Lappuggla
Garnlav
Lunglav
Stuplav</t>
        </is>
      </c>
      <c r="S56">
        <f>HYPERLINK("https://klasma.github.io/Logging_2380/artfynd/A 55344-2023 artfynd.xlsx", "A 55344-2023")</f>
        <v/>
      </c>
      <c r="T56">
        <f>HYPERLINK("https://klasma.github.io/Logging_2380/kartor/A 55344-2023 karta.png", "A 55344-2023")</f>
        <v/>
      </c>
      <c r="V56">
        <f>HYPERLINK("https://klasma.github.io/Logging_2380/klagomål/A 55344-2023 FSC-klagomål.docx", "A 55344-2023")</f>
        <v/>
      </c>
      <c r="W56">
        <f>HYPERLINK("https://klasma.github.io/Logging_2380/klagomålsmail/A 55344-2023 FSC-klagomål mail.docx", "A 55344-2023")</f>
        <v/>
      </c>
      <c r="X56">
        <f>HYPERLINK("https://klasma.github.io/Logging_2380/tillsyn/A 55344-2023 tillsynsbegäran.docx", "A 55344-2023")</f>
        <v/>
      </c>
      <c r="Y56">
        <f>HYPERLINK("https://klasma.github.io/Logging_2380/tillsynsmail/A 55344-2023 tillsynsbegäran mail.docx", "A 55344-2023")</f>
        <v/>
      </c>
      <c r="Z56">
        <f>HYPERLINK("https://klasma.github.io/Logging_2380/fåglar/A 55344-2023 prioriterade fågelarter.docx", "A 55344-2023")</f>
        <v/>
      </c>
    </row>
    <row r="57" ht="15" customHeight="1">
      <c r="A57" t="inlineStr">
        <is>
          <t>A 54421-2021</t>
        </is>
      </c>
      <c r="B57" s="1" t="n">
        <v>44473.43114583333</v>
      </c>
      <c r="C57" s="1" t="n">
        <v>45887</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46705-2023</t>
        </is>
      </c>
      <c r="B58" s="1" t="n">
        <v>45198</v>
      </c>
      <c r="C58" s="1" t="n">
        <v>45887</v>
      </c>
      <c r="D58" t="inlineStr">
        <is>
          <t>JÄMTLANDS LÄN</t>
        </is>
      </c>
      <c r="E58" t="inlineStr">
        <is>
          <t>ÖSTERSUND</t>
        </is>
      </c>
      <c r="F58" t="inlineStr">
        <is>
          <t>Sveaskog</t>
        </is>
      </c>
      <c r="G58" t="n">
        <v>7.5</v>
      </c>
      <c r="H58" t="n">
        <v>1</v>
      </c>
      <c r="I58" t="n">
        <v>3</v>
      </c>
      <c r="J58" t="n">
        <v>0</v>
      </c>
      <c r="K58" t="n">
        <v>0</v>
      </c>
      <c r="L58" t="n">
        <v>0</v>
      </c>
      <c r="M58" t="n">
        <v>0</v>
      </c>
      <c r="N58" t="n">
        <v>0</v>
      </c>
      <c r="O58" t="n">
        <v>0</v>
      </c>
      <c r="P58" t="n">
        <v>0</v>
      </c>
      <c r="Q58" t="n">
        <v>3</v>
      </c>
      <c r="R58" s="2" t="inlineStr">
        <is>
          <t>Finbräken
Guckusko
Ögonpyrola</t>
        </is>
      </c>
      <c r="S58">
        <f>HYPERLINK("https://klasma.github.io/Logging_2380/artfynd/A 46705-2023 artfynd.xlsx", "A 46705-2023")</f>
        <v/>
      </c>
      <c r="T58">
        <f>HYPERLINK("https://klasma.github.io/Logging_2380/kartor/A 46705-2023 karta.png", "A 46705-2023")</f>
        <v/>
      </c>
      <c r="V58">
        <f>HYPERLINK("https://klasma.github.io/Logging_2380/klagomål/A 46705-2023 FSC-klagomål.docx", "A 46705-2023")</f>
        <v/>
      </c>
      <c r="W58">
        <f>HYPERLINK("https://klasma.github.io/Logging_2380/klagomålsmail/A 46705-2023 FSC-klagomål mail.docx", "A 46705-2023")</f>
        <v/>
      </c>
      <c r="X58">
        <f>HYPERLINK("https://klasma.github.io/Logging_2380/tillsyn/A 46705-2023 tillsynsbegäran.docx", "A 46705-2023")</f>
        <v/>
      </c>
      <c r="Y58">
        <f>HYPERLINK("https://klasma.github.io/Logging_2380/tillsynsmail/A 46705-2023 tillsynsbegäran mail.docx", "A 46705-2023")</f>
        <v/>
      </c>
    </row>
    <row r="59" ht="15" customHeight="1">
      <c r="A59" t="inlineStr">
        <is>
          <t>A 7965-2025</t>
        </is>
      </c>
      <c r="B59" s="1" t="n">
        <v>45707.45219907408</v>
      </c>
      <c r="C59" s="1" t="n">
        <v>45887</v>
      </c>
      <c r="D59" t="inlineStr">
        <is>
          <t>JÄMTLANDS LÄN</t>
        </is>
      </c>
      <c r="E59" t="inlineStr">
        <is>
          <t>ÖSTERSUND</t>
        </is>
      </c>
      <c r="G59" t="n">
        <v>3.7</v>
      </c>
      <c r="H59" t="n">
        <v>2</v>
      </c>
      <c r="I59" t="n">
        <v>1</v>
      </c>
      <c r="J59" t="n">
        <v>0</v>
      </c>
      <c r="K59" t="n">
        <v>0</v>
      </c>
      <c r="L59" t="n">
        <v>0</v>
      </c>
      <c r="M59" t="n">
        <v>0</v>
      </c>
      <c r="N59" t="n">
        <v>0</v>
      </c>
      <c r="O59" t="n">
        <v>0</v>
      </c>
      <c r="P59" t="n">
        <v>0</v>
      </c>
      <c r="Q59" t="n">
        <v>3</v>
      </c>
      <c r="R59" s="2" t="inlineStr">
        <is>
          <t>Finbräken
Fläcknycklar
Blåsippa</t>
        </is>
      </c>
      <c r="S59">
        <f>HYPERLINK("https://klasma.github.io/Logging_2380/artfynd/A 7965-2025 artfynd.xlsx", "A 7965-2025")</f>
        <v/>
      </c>
      <c r="T59">
        <f>HYPERLINK("https://klasma.github.io/Logging_2380/kartor/A 7965-2025 karta.png", "A 7965-2025")</f>
        <v/>
      </c>
      <c r="V59">
        <f>HYPERLINK("https://klasma.github.io/Logging_2380/klagomål/A 7965-2025 FSC-klagomål.docx", "A 7965-2025")</f>
        <v/>
      </c>
      <c r="W59">
        <f>HYPERLINK("https://klasma.github.io/Logging_2380/klagomålsmail/A 7965-2025 FSC-klagomål mail.docx", "A 7965-2025")</f>
        <v/>
      </c>
      <c r="X59">
        <f>HYPERLINK("https://klasma.github.io/Logging_2380/tillsyn/A 7965-2025 tillsynsbegäran.docx", "A 7965-2025")</f>
        <v/>
      </c>
      <c r="Y59">
        <f>HYPERLINK("https://klasma.github.io/Logging_2380/tillsynsmail/A 7965-2025 tillsynsbegäran mail.docx", "A 7965-2025")</f>
        <v/>
      </c>
    </row>
    <row r="60" ht="15" customHeight="1">
      <c r="A60" t="inlineStr">
        <is>
          <t>A 43981-2023</t>
        </is>
      </c>
      <c r="B60" s="1" t="n">
        <v>45187</v>
      </c>
      <c r="C60" s="1" t="n">
        <v>45887</v>
      </c>
      <c r="D60" t="inlineStr">
        <is>
          <t>JÄMTLANDS LÄN</t>
        </is>
      </c>
      <c r="E60" t="inlineStr">
        <is>
          <t>ÖSTERSUND</t>
        </is>
      </c>
      <c r="F60" t="inlineStr">
        <is>
          <t>SCA</t>
        </is>
      </c>
      <c r="G60" t="n">
        <v>7.5</v>
      </c>
      <c r="H60" t="n">
        <v>1</v>
      </c>
      <c r="I60" t="n">
        <v>0</v>
      </c>
      <c r="J60" t="n">
        <v>2</v>
      </c>
      <c r="K60" t="n">
        <v>1</v>
      </c>
      <c r="L60" t="n">
        <v>0</v>
      </c>
      <c r="M60" t="n">
        <v>0</v>
      </c>
      <c r="N60" t="n">
        <v>0</v>
      </c>
      <c r="O60" t="n">
        <v>3</v>
      </c>
      <c r="P60" t="n">
        <v>1</v>
      </c>
      <c r="Q60" t="n">
        <v>3</v>
      </c>
      <c r="R60" s="2" t="inlineStr">
        <is>
          <t>Knärot
Lunglav
Ullticka</t>
        </is>
      </c>
      <c r="S60">
        <f>HYPERLINK("https://klasma.github.io/Logging_2380/artfynd/A 43981-2023 artfynd.xlsx", "A 43981-2023")</f>
        <v/>
      </c>
      <c r="T60">
        <f>HYPERLINK("https://klasma.github.io/Logging_2380/kartor/A 43981-2023 karta.png", "A 43981-2023")</f>
        <v/>
      </c>
      <c r="U60">
        <f>HYPERLINK("https://klasma.github.io/Logging_2380/knärot/A 43981-2023 karta knärot.png", "A 43981-2023")</f>
        <v/>
      </c>
      <c r="V60">
        <f>HYPERLINK("https://klasma.github.io/Logging_2380/klagomål/A 43981-2023 FSC-klagomål.docx", "A 43981-2023")</f>
        <v/>
      </c>
      <c r="W60">
        <f>HYPERLINK("https://klasma.github.io/Logging_2380/klagomålsmail/A 43981-2023 FSC-klagomål mail.docx", "A 43981-2023")</f>
        <v/>
      </c>
      <c r="X60">
        <f>HYPERLINK("https://klasma.github.io/Logging_2380/tillsyn/A 43981-2023 tillsynsbegäran.docx", "A 43981-2023")</f>
        <v/>
      </c>
      <c r="Y60">
        <f>HYPERLINK("https://klasma.github.io/Logging_2380/tillsynsmail/A 43981-2023 tillsynsbegäran mail.docx", "A 43981-2023")</f>
        <v/>
      </c>
    </row>
    <row r="61" ht="15" customHeight="1">
      <c r="A61" t="inlineStr">
        <is>
          <t>A 19520-2023</t>
        </is>
      </c>
      <c r="B61" s="1" t="n">
        <v>45049</v>
      </c>
      <c r="C61" s="1" t="n">
        <v>45887</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36742-2024</t>
        </is>
      </c>
      <c r="B62" s="1" t="n">
        <v>45538.33584490741</v>
      </c>
      <c r="C62" s="1" t="n">
        <v>45887</v>
      </c>
      <c r="D62" t="inlineStr">
        <is>
          <t>JÄMTLANDS LÄN</t>
        </is>
      </c>
      <c r="E62" t="inlineStr">
        <is>
          <t>ÖSTERSUND</t>
        </is>
      </c>
      <c r="G62" t="n">
        <v>13.6</v>
      </c>
      <c r="H62" t="n">
        <v>0</v>
      </c>
      <c r="I62" t="n">
        <v>2</v>
      </c>
      <c r="J62" t="n">
        <v>1</v>
      </c>
      <c r="K62" t="n">
        <v>0</v>
      </c>
      <c r="L62" t="n">
        <v>0</v>
      </c>
      <c r="M62" t="n">
        <v>0</v>
      </c>
      <c r="N62" t="n">
        <v>0</v>
      </c>
      <c r="O62" t="n">
        <v>1</v>
      </c>
      <c r="P62" t="n">
        <v>0</v>
      </c>
      <c r="Q62" t="n">
        <v>3</v>
      </c>
      <c r="R62" s="2" t="inlineStr">
        <is>
          <t>Granticka
Skinnlav
Vedticka</t>
        </is>
      </c>
      <c r="S62">
        <f>HYPERLINK("https://klasma.github.io/Logging_2380/artfynd/A 36742-2024 artfynd.xlsx", "A 36742-2024")</f>
        <v/>
      </c>
      <c r="T62">
        <f>HYPERLINK("https://klasma.github.io/Logging_2380/kartor/A 36742-2024 karta.png", "A 36742-2024")</f>
        <v/>
      </c>
      <c r="V62">
        <f>HYPERLINK("https://klasma.github.io/Logging_2380/klagomål/A 36742-2024 FSC-klagomål.docx", "A 36742-2024")</f>
        <v/>
      </c>
      <c r="W62">
        <f>HYPERLINK("https://klasma.github.io/Logging_2380/klagomålsmail/A 36742-2024 FSC-klagomål mail.docx", "A 36742-2024")</f>
        <v/>
      </c>
      <c r="X62">
        <f>HYPERLINK("https://klasma.github.io/Logging_2380/tillsyn/A 36742-2024 tillsynsbegäran.docx", "A 36742-2024")</f>
        <v/>
      </c>
      <c r="Y62">
        <f>HYPERLINK("https://klasma.github.io/Logging_2380/tillsynsmail/A 36742-2024 tillsynsbegäran mail.docx", "A 36742-2024")</f>
        <v/>
      </c>
    </row>
    <row r="63" ht="15" customHeight="1">
      <c r="A63" t="inlineStr">
        <is>
          <t>A 3846-2024</t>
        </is>
      </c>
      <c r="B63" s="1" t="n">
        <v>45321</v>
      </c>
      <c r="C63" s="1" t="n">
        <v>45887</v>
      </c>
      <c r="D63" t="inlineStr">
        <is>
          <t>JÄMTLANDS LÄN</t>
        </is>
      </c>
      <c r="E63" t="inlineStr">
        <is>
          <t>ÖSTERSUND</t>
        </is>
      </c>
      <c r="G63" t="n">
        <v>2.2</v>
      </c>
      <c r="H63" t="n">
        <v>0</v>
      </c>
      <c r="I63" t="n">
        <v>2</v>
      </c>
      <c r="J63" t="n">
        <v>1</v>
      </c>
      <c r="K63" t="n">
        <v>0</v>
      </c>
      <c r="L63" t="n">
        <v>0</v>
      </c>
      <c r="M63" t="n">
        <v>0</v>
      </c>
      <c r="N63" t="n">
        <v>0</v>
      </c>
      <c r="O63" t="n">
        <v>1</v>
      </c>
      <c r="P63" t="n">
        <v>0</v>
      </c>
      <c r="Q63" t="n">
        <v>3</v>
      </c>
      <c r="R63" s="2" t="inlineStr">
        <is>
          <t>Granticka
Olivspindling
Svavelriska</t>
        </is>
      </c>
      <c r="S63">
        <f>HYPERLINK("https://klasma.github.io/Logging_2380/artfynd/A 3846-2024 artfynd.xlsx", "A 3846-2024")</f>
        <v/>
      </c>
      <c r="T63">
        <f>HYPERLINK("https://klasma.github.io/Logging_2380/kartor/A 3846-2024 karta.png", "A 3846-2024")</f>
        <v/>
      </c>
      <c r="V63">
        <f>HYPERLINK("https://klasma.github.io/Logging_2380/klagomål/A 3846-2024 FSC-klagomål.docx", "A 3846-2024")</f>
        <v/>
      </c>
      <c r="W63">
        <f>HYPERLINK("https://klasma.github.io/Logging_2380/klagomålsmail/A 3846-2024 FSC-klagomål mail.docx", "A 3846-2024")</f>
        <v/>
      </c>
      <c r="X63">
        <f>HYPERLINK("https://klasma.github.io/Logging_2380/tillsyn/A 3846-2024 tillsynsbegäran.docx", "A 3846-2024")</f>
        <v/>
      </c>
      <c r="Y63">
        <f>HYPERLINK("https://klasma.github.io/Logging_2380/tillsynsmail/A 3846-2024 tillsynsbegäran mail.docx", "A 3846-2024")</f>
        <v/>
      </c>
    </row>
    <row r="64" ht="15" customHeight="1">
      <c r="A64" t="inlineStr">
        <is>
          <t>A 36806-2025</t>
        </is>
      </c>
      <c r="B64" s="1" t="n">
        <v>45873.69988425926</v>
      </c>
      <c r="C64" s="1" t="n">
        <v>45887</v>
      </c>
      <c r="D64" t="inlineStr">
        <is>
          <t>JÄMTLANDS LÄN</t>
        </is>
      </c>
      <c r="E64" t="inlineStr">
        <is>
          <t>ÖSTERSUND</t>
        </is>
      </c>
      <c r="G64" t="n">
        <v>9.800000000000001</v>
      </c>
      <c r="H64" t="n">
        <v>2</v>
      </c>
      <c r="I64" t="n">
        <v>2</v>
      </c>
      <c r="J64" t="n">
        <v>0</v>
      </c>
      <c r="K64" t="n">
        <v>0</v>
      </c>
      <c r="L64" t="n">
        <v>0</v>
      </c>
      <c r="M64" t="n">
        <v>0</v>
      </c>
      <c r="N64" t="n">
        <v>0</v>
      </c>
      <c r="O64" t="n">
        <v>0</v>
      </c>
      <c r="P64" t="n">
        <v>0</v>
      </c>
      <c r="Q64" t="n">
        <v>3</v>
      </c>
      <c r="R64" s="2" t="inlineStr">
        <is>
          <t>Grönkulla
Vårärt
Blåsippa</t>
        </is>
      </c>
      <c r="S64">
        <f>HYPERLINK("https://klasma.github.io/Logging_2380/artfynd/A 36806-2025 artfynd.xlsx", "A 36806-2025")</f>
        <v/>
      </c>
      <c r="T64">
        <f>HYPERLINK("https://klasma.github.io/Logging_2380/kartor/A 36806-2025 karta.png", "A 36806-2025")</f>
        <v/>
      </c>
      <c r="V64">
        <f>HYPERLINK("https://klasma.github.io/Logging_2380/klagomål/A 36806-2025 FSC-klagomål.docx", "A 36806-2025")</f>
        <v/>
      </c>
      <c r="W64">
        <f>HYPERLINK("https://klasma.github.io/Logging_2380/klagomålsmail/A 36806-2025 FSC-klagomål mail.docx", "A 36806-2025")</f>
        <v/>
      </c>
      <c r="X64">
        <f>HYPERLINK("https://klasma.github.io/Logging_2380/tillsyn/A 36806-2025 tillsynsbegäran.docx", "A 36806-2025")</f>
        <v/>
      </c>
      <c r="Y64">
        <f>HYPERLINK("https://klasma.github.io/Logging_2380/tillsynsmail/A 36806-2025 tillsynsbegäran mail.docx", "A 36806-2025")</f>
        <v/>
      </c>
    </row>
    <row r="65" ht="15" customHeight="1">
      <c r="A65" t="inlineStr">
        <is>
          <t>A 5100-2023</t>
        </is>
      </c>
      <c r="B65" s="1" t="n">
        <v>44956</v>
      </c>
      <c r="C65" s="1" t="n">
        <v>45887</v>
      </c>
      <c r="D65" t="inlineStr">
        <is>
          <t>JÄMTLANDS LÄN</t>
        </is>
      </c>
      <c r="E65" t="inlineStr">
        <is>
          <t>ÖSTERSUND</t>
        </is>
      </c>
      <c r="G65" t="n">
        <v>2.6</v>
      </c>
      <c r="H65" t="n">
        <v>0</v>
      </c>
      <c r="I65" t="n">
        <v>2</v>
      </c>
      <c r="J65" t="n">
        <v>0</v>
      </c>
      <c r="K65" t="n">
        <v>0</v>
      </c>
      <c r="L65" t="n">
        <v>1</v>
      </c>
      <c r="M65" t="n">
        <v>0</v>
      </c>
      <c r="N65" t="n">
        <v>0</v>
      </c>
      <c r="O65" t="n">
        <v>1</v>
      </c>
      <c r="P65" t="n">
        <v>1</v>
      </c>
      <c r="Q65" t="n">
        <v>3</v>
      </c>
      <c r="R65" s="2" t="inlineStr">
        <is>
          <t>Trolldruvemätare
Svart trolldruva
Tibast</t>
        </is>
      </c>
      <c r="S65">
        <f>HYPERLINK("https://klasma.github.io/Logging_2380/artfynd/A 5100-2023 artfynd.xlsx", "A 5100-2023")</f>
        <v/>
      </c>
      <c r="T65">
        <f>HYPERLINK("https://klasma.github.io/Logging_2380/kartor/A 5100-2023 karta.png", "A 5100-2023")</f>
        <v/>
      </c>
      <c r="V65">
        <f>HYPERLINK("https://klasma.github.io/Logging_2380/klagomål/A 5100-2023 FSC-klagomål.docx", "A 5100-2023")</f>
        <v/>
      </c>
      <c r="W65">
        <f>HYPERLINK("https://klasma.github.io/Logging_2380/klagomålsmail/A 5100-2023 FSC-klagomål mail.docx", "A 5100-2023")</f>
        <v/>
      </c>
      <c r="X65">
        <f>HYPERLINK("https://klasma.github.io/Logging_2380/tillsyn/A 5100-2023 tillsynsbegäran.docx", "A 5100-2023")</f>
        <v/>
      </c>
      <c r="Y65">
        <f>HYPERLINK("https://klasma.github.io/Logging_2380/tillsynsmail/A 5100-2023 tillsynsbegäran mail.docx", "A 5100-2023")</f>
        <v/>
      </c>
    </row>
    <row r="66" ht="15" customHeight="1">
      <c r="A66" t="inlineStr">
        <is>
          <t>A 53652-2024</t>
        </is>
      </c>
      <c r="B66" s="1" t="n">
        <v>45615.29761574074</v>
      </c>
      <c r="C66" s="1" t="n">
        <v>45887</v>
      </c>
      <c r="D66" t="inlineStr">
        <is>
          <t>JÄMTLANDS LÄN</t>
        </is>
      </c>
      <c r="E66" t="inlineStr">
        <is>
          <t>ÖSTERSUND</t>
        </is>
      </c>
      <c r="G66" t="n">
        <v>4.2</v>
      </c>
      <c r="H66" t="n">
        <v>1</v>
      </c>
      <c r="I66" t="n">
        <v>1</v>
      </c>
      <c r="J66" t="n">
        <v>1</v>
      </c>
      <c r="K66" t="n">
        <v>0</v>
      </c>
      <c r="L66" t="n">
        <v>0</v>
      </c>
      <c r="M66" t="n">
        <v>0</v>
      </c>
      <c r="N66" t="n">
        <v>0</v>
      </c>
      <c r="O66" t="n">
        <v>1</v>
      </c>
      <c r="P66" t="n">
        <v>0</v>
      </c>
      <c r="Q66" t="n">
        <v>3</v>
      </c>
      <c r="R66" s="2" t="inlineStr">
        <is>
          <t>Flattoppad klubbsvamp
Kransrams
Revlummer</t>
        </is>
      </c>
      <c r="S66">
        <f>HYPERLINK("https://klasma.github.io/Logging_2380/artfynd/A 53652-2024 artfynd.xlsx", "A 53652-2024")</f>
        <v/>
      </c>
      <c r="T66">
        <f>HYPERLINK("https://klasma.github.io/Logging_2380/kartor/A 53652-2024 karta.png", "A 53652-2024")</f>
        <v/>
      </c>
      <c r="V66">
        <f>HYPERLINK("https://klasma.github.io/Logging_2380/klagomål/A 53652-2024 FSC-klagomål.docx", "A 53652-2024")</f>
        <v/>
      </c>
      <c r="W66">
        <f>HYPERLINK("https://klasma.github.io/Logging_2380/klagomålsmail/A 53652-2024 FSC-klagomål mail.docx", "A 53652-2024")</f>
        <v/>
      </c>
      <c r="X66">
        <f>HYPERLINK("https://klasma.github.io/Logging_2380/tillsyn/A 53652-2024 tillsynsbegäran.docx", "A 53652-2024")</f>
        <v/>
      </c>
      <c r="Y66">
        <f>HYPERLINK("https://klasma.github.io/Logging_2380/tillsynsmail/A 53652-2024 tillsynsbegäran mail.docx", "A 53652-2024")</f>
        <v/>
      </c>
    </row>
    <row r="67" ht="15" customHeight="1">
      <c r="A67" t="inlineStr">
        <is>
          <t>A 60565-2022</t>
        </is>
      </c>
      <c r="B67" s="1" t="n">
        <v>44904</v>
      </c>
      <c r="C67" s="1" t="n">
        <v>45887</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40695-2024</t>
        </is>
      </c>
      <c r="B68" s="1" t="n">
        <v>45558</v>
      </c>
      <c r="C68" s="1" t="n">
        <v>45887</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52129-2023</t>
        </is>
      </c>
      <c r="B69" s="1" t="n">
        <v>45223</v>
      </c>
      <c r="C69" s="1" t="n">
        <v>45887</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63930-2023</t>
        </is>
      </c>
      <c r="B70" s="1" t="n">
        <v>45278</v>
      </c>
      <c r="C70" s="1" t="n">
        <v>45887</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60534-2022</t>
        </is>
      </c>
      <c r="B71" s="1" t="n">
        <v>44904</v>
      </c>
      <c r="C71" s="1" t="n">
        <v>45887</v>
      </c>
      <c r="D71" t="inlineStr">
        <is>
          <t>JÄMTLANDS LÄN</t>
        </is>
      </c>
      <c r="E71" t="inlineStr">
        <is>
          <t>ÖSTERSUND</t>
        </is>
      </c>
      <c r="G71" t="n">
        <v>9.9</v>
      </c>
      <c r="H71" t="n">
        <v>0</v>
      </c>
      <c r="I71" t="n">
        <v>0</v>
      </c>
      <c r="J71" t="n">
        <v>2</v>
      </c>
      <c r="K71" t="n">
        <v>0</v>
      </c>
      <c r="L71" t="n">
        <v>0</v>
      </c>
      <c r="M71" t="n">
        <v>0</v>
      </c>
      <c r="N71" t="n">
        <v>0</v>
      </c>
      <c r="O71" t="n">
        <v>2</v>
      </c>
      <c r="P71" t="n">
        <v>0</v>
      </c>
      <c r="Q71" t="n">
        <v>2</v>
      </c>
      <c r="R71" s="2" t="inlineStr">
        <is>
          <t>Rosenticka
Ullticka</t>
        </is>
      </c>
      <c r="S71">
        <f>HYPERLINK("https://klasma.github.io/Logging_2380/artfynd/A 60534-2022 artfynd.xlsx", "A 60534-2022")</f>
        <v/>
      </c>
      <c r="T71">
        <f>HYPERLINK("https://klasma.github.io/Logging_2380/kartor/A 60534-2022 karta.png", "A 60534-2022")</f>
        <v/>
      </c>
      <c r="V71">
        <f>HYPERLINK("https://klasma.github.io/Logging_2380/klagomål/A 60534-2022 FSC-klagomål.docx", "A 60534-2022")</f>
        <v/>
      </c>
      <c r="W71">
        <f>HYPERLINK("https://klasma.github.io/Logging_2380/klagomålsmail/A 60534-2022 FSC-klagomål mail.docx", "A 60534-2022")</f>
        <v/>
      </c>
      <c r="X71">
        <f>HYPERLINK("https://klasma.github.io/Logging_2380/tillsyn/A 60534-2022 tillsynsbegäran.docx", "A 60534-2022")</f>
        <v/>
      </c>
      <c r="Y71">
        <f>HYPERLINK("https://klasma.github.io/Logging_2380/tillsynsmail/A 60534-2022 tillsynsbegäran mail.docx", "A 60534-2022")</f>
        <v/>
      </c>
    </row>
    <row r="72" ht="15" customHeight="1">
      <c r="A72" t="inlineStr">
        <is>
          <t>A 13795-2025</t>
        </is>
      </c>
      <c r="B72" s="1" t="n">
        <v>45737</v>
      </c>
      <c r="C72" s="1" t="n">
        <v>45887</v>
      </c>
      <c r="D72" t="inlineStr">
        <is>
          <t>JÄMTLANDS LÄN</t>
        </is>
      </c>
      <c r="E72" t="inlineStr">
        <is>
          <t>ÖSTERSUND</t>
        </is>
      </c>
      <c r="G72" t="n">
        <v>13.4</v>
      </c>
      <c r="H72" t="n">
        <v>1</v>
      </c>
      <c r="I72" t="n">
        <v>0</v>
      </c>
      <c r="J72" t="n">
        <v>1</v>
      </c>
      <c r="K72" t="n">
        <v>1</v>
      </c>
      <c r="L72" t="n">
        <v>0</v>
      </c>
      <c r="M72" t="n">
        <v>0</v>
      </c>
      <c r="N72" t="n">
        <v>0</v>
      </c>
      <c r="O72" t="n">
        <v>2</v>
      </c>
      <c r="P72" t="n">
        <v>1</v>
      </c>
      <c r="Q72" t="n">
        <v>2</v>
      </c>
      <c r="R72" s="2" t="inlineStr">
        <is>
          <t>Knärot
Lunglav</t>
        </is>
      </c>
      <c r="S72">
        <f>HYPERLINK("https://klasma.github.io/Logging_2380/artfynd/A 13795-2025 artfynd.xlsx", "A 13795-2025")</f>
        <v/>
      </c>
      <c r="T72">
        <f>HYPERLINK("https://klasma.github.io/Logging_2380/kartor/A 13795-2025 karta.png", "A 13795-2025")</f>
        <v/>
      </c>
      <c r="U72">
        <f>HYPERLINK("https://klasma.github.io/Logging_2380/knärot/A 13795-2025 karta knärot.png", "A 13795-2025")</f>
        <v/>
      </c>
      <c r="V72">
        <f>HYPERLINK("https://klasma.github.io/Logging_2380/klagomål/A 13795-2025 FSC-klagomål.docx", "A 13795-2025")</f>
        <v/>
      </c>
      <c r="W72">
        <f>HYPERLINK("https://klasma.github.io/Logging_2380/klagomålsmail/A 13795-2025 FSC-klagomål mail.docx", "A 13795-2025")</f>
        <v/>
      </c>
      <c r="X72">
        <f>HYPERLINK("https://klasma.github.io/Logging_2380/tillsyn/A 13795-2025 tillsynsbegäran.docx", "A 13795-2025")</f>
        <v/>
      </c>
      <c r="Y72">
        <f>HYPERLINK("https://klasma.github.io/Logging_2380/tillsynsmail/A 13795-2025 tillsynsbegäran mail.docx", "A 13795-2025")</f>
        <v/>
      </c>
    </row>
    <row r="73" ht="15" customHeight="1">
      <c r="A73" t="inlineStr">
        <is>
          <t>A 35977-2024</t>
        </is>
      </c>
      <c r="B73" s="1" t="n">
        <v>45533.49601851852</v>
      </c>
      <c r="C73" s="1" t="n">
        <v>45887</v>
      </c>
      <c r="D73" t="inlineStr">
        <is>
          <t>JÄMTLANDS LÄN</t>
        </is>
      </c>
      <c r="E73" t="inlineStr">
        <is>
          <t>ÖSTERSUND</t>
        </is>
      </c>
      <c r="G73" t="n">
        <v>0.7</v>
      </c>
      <c r="H73" t="n">
        <v>0</v>
      </c>
      <c r="I73" t="n">
        <v>2</v>
      </c>
      <c r="J73" t="n">
        <v>0</v>
      </c>
      <c r="K73" t="n">
        <v>0</v>
      </c>
      <c r="L73" t="n">
        <v>0</v>
      </c>
      <c r="M73" t="n">
        <v>0</v>
      </c>
      <c r="N73" t="n">
        <v>0</v>
      </c>
      <c r="O73" t="n">
        <v>0</v>
      </c>
      <c r="P73" t="n">
        <v>0</v>
      </c>
      <c r="Q73" t="n">
        <v>2</v>
      </c>
      <c r="R73" s="2" t="inlineStr">
        <is>
          <t>Tibast
Trådticka</t>
        </is>
      </c>
      <c r="S73">
        <f>HYPERLINK("https://klasma.github.io/Logging_2380/artfynd/A 35977-2024 artfynd.xlsx", "A 35977-2024")</f>
        <v/>
      </c>
      <c r="T73">
        <f>HYPERLINK("https://klasma.github.io/Logging_2380/kartor/A 35977-2024 karta.png", "A 35977-2024")</f>
        <v/>
      </c>
      <c r="V73">
        <f>HYPERLINK("https://klasma.github.io/Logging_2380/klagomål/A 35977-2024 FSC-klagomål.docx", "A 35977-2024")</f>
        <v/>
      </c>
      <c r="W73">
        <f>HYPERLINK("https://klasma.github.io/Logging_2380/klagomålsmail/A 35977-2024 FSC-klagomål mail.docx", "A 35977-2024")</f>
        <v/>
      </c>
      <c r="X73">
        <f>HYPERLINK("https://klasma.github.io/Logging_2380/tillsyn/A 35977-2024 tillsynsbegäran.docx", "A 35977-2024")</f>
        <v/>
      </c>
      <c r="Y73">
        <f>HYPERLINK("https://klasma.github.io/Logging_2380/tillsynsmail/A 35977-2024 tillsynsbegäran mail.docx", "A 35977-2024")</f>
        <v/>
      </c>
    </row>
    <row r="74" ht="15" customHeight="1">
      <c r="A74" t="inlineStr">
        <is>
          <t>A 38334-2023</t>
        </is>
      </c>
      <c r="B74" s="1" t="n">
        <v>45161</v>
      </c>
      <c r="C74" s="1" t="n">
        <v>45887</v>
      </c>
      <c r="D74" t="inlineStr">
        <is>
          <t>JÄMTLANDS LÄN</t>
        </is>
      </c>
      <c r="E74" t="inlineStr">
        <is>
          <t>ÖSTERSUND</t>
        </is>
      </c>
      <c r="G74" t="n">
        <v>10.5</v>
      </c>
      <c r="H74" t="n">
        <v>0</v>
      </c>
      <c r="I74" t="n">
        <v>0</v>
      </c>
      <c r="J74" t="n">
        <v>0</v>
      </c>
      <c r="K74" t="n">
        <v>2</v>
      </c>
      <c r="L74" t="n">
        <v>0</v>
      </c>
      <c r="M74" t="n">
        <v>0</v>
      </c>
      <c r="N74" t="n">
        <v>0</v>
      </c>
      <c r="O74" t="n">
        <v>2</v>
      </c>
      <c r="P74" t="n">
        <v>2</v>
      </c>
      <c r="Q74" t="n">
        <v>2</v>
      </c>
      <c r="R74" s="2" t="inlineStr">
        <is>
          <t>Rynkskinn
Violett fingersvamp</t>
        </is>
      </c>
      <c r="S74">
        <f>HYPERLINK("https://klasma.github.io/Logging_2380/artfynd/A 38334-2023 artfynd.xlsx", "A 38334-2023")</f>
        <v/>
      </c>
      <c r="T74">
        <f>HYPERLINK("https://klasma.github.io/Logging_2380/kartor/A 38334-2023 karta.png", "A 38334-2023")</f>
        <v/>
      </c>
      <c r="V74">
        <f>HYPERLINK("https://klasma.github.io/Logging_2380/klagomål/A 38334-2023 FSC-klagomål.docx", "A 38334-2023")</f>
        <v/>
      </c>
      <c r="W74">
        <f>HYPERLINK("https://klasma.github.io/Logging_2380/klagomålsmail/A 38334-2023 FSC-klagomål mail.docx", "A 38334-2023")</f>
        <v/>
      </c>
      <c r="X74">
        <f>HYPERLINK("https://klasma.github.io/Logging_2380/tillsyn/A 38334-2023 tillsynsbegäran.docx", "A 38334-2023")</f>
        <v/>
      </c>
      <c r="Y74">
        <f>HYPERLINK("https://klasma.github.io/Logging_2380/tillsynsmail/A 38334-2023 tillsynsbegäran mail.docx", "A 38334-2023")</f>
        <v/>
      </c>
    </row>
    <row r="75" ht="15" customHeight="1">
      <c r="A75" t="inlineStr">
        <is>
          <t>A 50125-2024</t>
        </is>
      </c>
      <c r="B75" s="1" t="n">
        <v>45600.42737268518</v>
      </c>
      <c r="C75" s="1" t="n">
        <v>45887</v>
      </c>
      <c r="D75" t="inlineStr">
        <is>
          <t>JÄMTLANDS LÄN</t>
        </is>
      </c>
      <c r="E75" t="inlineStr">
        <is>
          <t>ÖSTERSUND</t>
        </is>
      </c>
      <c r="F75" t="inlineStr">
        <is>
          <t>SCA</t>
        </is>
      </c>
      <c r="G75" t="n">
        <v>2.4</v>
      </c>
      <c r="H75" t="n">
        <v>0</v>
      </c>
      <c r="I75" t="n">
        <v>1</v>
      </c>
      <c r="J75" t="n">
        <v>1</v>
      </c>
      <c r="K75" t="n">
        <v>0</v>
      </c>
      <c r="L75" t="n">
        <v>0</v>
      </c>
      <c r="M75" t="n">
        <v>0</v>
      </c>
      <c r="N75" t="n">
        <v>0</v>
      </c>
      <c r="O75" t="n">
        <v>1</v>
      </c>
      <c r="P75" t="n">
        <v>0</v>
      </c>
      <c r="Q75" t="n">
        <v>2</v>
      </c>
      <c r="R75" s="2" t="inlineStr">
        <is>
          <t>Dvärgbägarlav
Skinnlav</t>
        </is>
      </c>
      <c r="S75">
        <f>HYPERLINK("https://klasma.github.io/Logging_2380/artfynd/A 50125-2024 artfynd.xlsx", "A 50125-2024")</f>
        <v/>
      </c>
      <c r="T75">
        <f>HYPERLINK("https://klasma.github.io/Logging_2380/kartor/A 50125-2024 karta.png", "A 50125-2024")</f>
        <v/>
      </c>
      <c r="V75">
        <f>HYPERLINK("https://klasma.github.io/Logging_2380/klagomål/A 50125-2024 FSC-klagomål.docx", "A 50125-2024")</f>
        <v/>
      </c>
      <c r="W75">
        <f>HYPERLINK("https://klasma.github.io/Logging_2380/klagomålsmail/A 50125-2024 FSC-klagomål mail.docx", "A 50125-2024")</f>
        <v/>
      </c>
      <c r="X75">
        <f>HYPERLINK("https://klasma.github.io/Logging_2380/tillsyn/A 50125-2024 tillsynsbegäran.docx", "A 50125-2024")</f>
        <v/>
      </c>
      <c r="Y75">
        <f>HYPERLINK("https://klasma.github.io/Logging_2380/tillsynsmail/A 50125-2024 tillsynsbegäran mail.docx", "A 50125-2024")</f>
        <v/>
      </c>
    </row>
    <row r="76" ht="15" customHeight="1">
      <c r="A76" t="inlineStr">
        <is>
          <t>A 10529-2025</t>
        </is>
      </c>
      <c r="B76" s="1" t="n">
        <v>45721.44840277778</v>
      </c>
      <c r="C76" s="1" t="n">
        <v>45887</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56006-2023</t>
        </is>
      </c>
      <c r="B77" s="1" t="n">
        <v>45233</v>
      </c>
      <c r="C77" s="1" t="n">
        <v>45887</v>
      </c>
      <c r="D77" t="inlineStr">
        <is>
          <t>JÄMTLANDS LÄN</t>
        </is>
      </c>
      <c r="E77" t="inlineStr">
        <is>
          <t>ÖSTERSUND</t>
        </is>
      </c>
      <c r="G77" t="n">
        <v>2.3</v>
      </c>
      <c r="H77" t="n">
        <v>0</v>
      </c>
      <c r="I77" t="n">
        <v>2</v>
      </c>
      <c r="J77" t="n">
        <v>0</v>
      </c>
      <c r="K77" t="n">
        <v>0</v>
      </c>
      <c r="L77" t="n">
        <v>0</v>
      </c>
      <c r="M77" t="n">
        <v>0</v>
      </c>
      <c r="N77" t="n">
        <v>0</v>
      </c>
      <c r="O77" t="n">
        <v>0</v>
      </c>
      <c r="P77" t="n">
        <v>0</v>
      </c>
      <c r="Q77" t="n">
        <v>2</v>
      </c>
      <c r="R77" s="2" t="inlineStr">
        <is>
          <t>Korallblylav
Skinnlav</t>
        </is>
      </c>
      <c r="S77">
        <f>HYPERLINK("https://klasma.github.io/Logging_2380/artfynd/A 56006-2023 artfynd.xlsx", "A 56006-2023")</f>
        <v/>
      </c>
      <c r="T77">
        <f>HYPERLINK("https://klasma.github.io/Logging_2380/kartor/A 56006-2023 karta.png", "A 56006-2023")</f>
        <v/>
      </c>
      <c r="V77">
        <f>HYPERLINK("https://klasma.github.io/Logging_2380/klagomål/A 56006-2023 FSC-klagomål.docx", "A 56006-2023")</f>
        <v/>
      </c>
      <c r="W77">
        <f>HYPERLINK("https://klasma.github.io/Logging_2380/klagomålsmail/A 56006-2023 FSC-klagomål mail.docx", "A 56006-2023")</f>
        <v/>
      </c>
      <c r="X77">
        <f>HYPERLINK("https://klasma.github.io/Logging_2380/tillsyn/A 56006-2023 tillsynsbegäran.docx", "A 56006-2023")</f>
        <v/>
      </c>
      <c r="Y77">
        <f>HYPERLINK("https://klasma.github.io/Logging_2380/tillsynsmail/A 56006-2023 tillsynsbegäran mail.docx", "A 56006-2023")</f>
        <v/>
      </c>
    </row>
    <row r="78" ht="15" customHeight="1">
      <c r="A78" t="inlineStr">
        <is>
          <t>A 26612-2025</t>
        </is>
      </c>
      <c r="B78" s="1" t="n">
        <v>45810</v>
      </c>
      <c r="C78" s="1" t="n">
        <v>45887</v>
      </c>
      <c r="D78" t="inlineStr">
        <is>
          <t>JÄMTLANDS LÄN</t>
        </is>
      </c>
      <c r="E78" t="inlineStr">
        <is>
          <t>ÖSTERSUND</t>
        </is>
      </c>
      <c r="G78" t="n">
        <v>20.6</v>
      </c>
      <c r="H78" t="n">
        <v>1</v>
      </c>
      <c r="I78" t="n">
        <v>0</v>
      </c>
      <c r="J78" t="n">
        <v>0</v>
      </c>
      <c r="K78" t="n">
        <v>1</v>
      </c>
      <c r="L78" t="n">
        <v>1</v>
      </c>
      <c r="M78" t="n">
        <v>0</v>
      </c>
      <c r="N78" t="n">
        <v>0</v>
      </c>
      <c r="O78" t="n">
        <v>2</v>
      </c>
      <c r="P78" t="n">
        <v>2</v>
      </c>
      <c r="Q78" t="n">
        <v>2</v>
      </c>
      <c r="R78" s="2" t="inlineStr">
        <is>
          <t>Violett guldvinge
Turkos blåvinge</t>
        </is>
      </c>
      <c r="S78">
        <f>HYPERLINK("https://klasma.github.io/Logging_2380/artfynd/A 26612-2025 artfynd.xlsx", "A 26612-2025")</f>
        <v/>
      </c>
      <c r="T78">
        <f>HYPERLINK("https://klasma.github.io/Logging_2380/kartor/A 26612-2025 karta.png", "A 26612-2025")</f>
        <v/>
      </c>
      <c r="V78">
        <f>HYPERLINK("https://klasma.github.io/Logging_2380/klagomål/A 26612-2025 FSC-klagomål.docx", "A 26612-2025")</f>
        <v/>
      </c>
      <c r="W78">
        <f>HYPERLINK("https://klasma.github.io/Logging_2380/klagomålsmail/A 26612-2025 FSC-klagomål mail.docx", "A 26612-2025")</f>
        <v/>
      </c>
      <c r="X78">
        <f>HYPERLINK("https://klasma.github.io/Logging_2380/tillsyn/A 26612-2025 tillsynsbegäran.docx", "A 26612-2025")</f>
        <v/>
      </c>
      <c r="Y78">
        <f>HYPERLINK("https://klasma.github.io/Logging_2380/tillsynsmail/A 26612-2025 tillsynsbegäran mail.docx", "A 26612-2025")</f>
        <v/>
      </c>
    </row>
    <row r="79" ht="15" customHeight="1">
      <c r="A79" t="inlineStr">
        <is>
          <t>A 59793-2022</t>
        </is>
      </c>
      <c r="B79" s="1" t="n">
        <v>44908</v>
      </c>
      <c r="C79" s="1" t="n">
        <v>45887</v>
      </c>
      <c r="D79" t="inlineStr">
        <is>
          <t>JÄMTLANDS LÄN</t>
        </is>
      </c>
      <c r="E79" t="inlineStr">
        <is>
          <t>ÖSTERSUND</t>
        </is>
      </c>
      <c r="G79" t="n">
        <v>23.3</v>
      </c>
      <c r="H79" t="n">
        <v>1</v>
      </c>
      <c r="I79" t="n">
        <v>1</v>
      </c>
      <c r="J79" t="n">
        <v>1</v>
      </c>
      <c r="K79" t="n">
        <v>0</v>
      </c>
      <c r="L79" t="n">
        <v>0</v>
      </c>
      <c r="M79" t="n">
        <v>0</v>
      </c>
      <c r="N79" t="n">
        <v>0</v>
      </c>
      <c r="O79" t="n">
        <v>1</v>
      </c>
      <c r="P79" t="n">
        <v>0</v>
      </c>
      <c r="Q79" t="n">
        <v>2</v>
      </c>
      <c r="R79" s="2" t="inlineStr">
        <is>
          <t>Majviva
Spindelblomster</t>
        </is>
      </c>
      <c r="S79">
        <f>HYPERLINK("https://klasma.github.io/Logging_2380/artfynd/A 59793-2022 artfynd.xlsx", "A 59793-2022")</f>
        <v/>
      </c>
      <c r="T79">
        <f>HYPERLINK("https://klasma.github.io/Logging_2380/kartor/A 59793-2022 karta.png", "A 59793-2022")</f>
        <v/>
      </c>
      <c r="V79">
        <f>HYPERLINK("https://klasma.github.io/Logging_2380/klagomål/A 59793-2022 FSC-klagomål.docx", "A 59793-2022")</f>
        <v/>
      </c>
      <c r="W79">
        <f>HYPERLINK("https://klasma.github.io/Logging_2380/klagomålsmail/A 59793-2022 FSC-klagomål mail.docx", "A 59793-2022")</f>
        <v/>
      </c>
      <c r="X79">
        <f>HYPERLINK("https://klasma.github.io/Logging_2380/tillsyn/A 59793-2022 tillsynsbegäran.docx", "A 59793-2022")</f>
        <v/>
      </c>
      <c r="Y79">
        <f>HYPERLINK("https://klasma.github.io/Logging_2380/tillsynsmail/A 59793-2022 tillsynsbegäran mail.docx", "A 59793-2022")</f>
        <v/>
      </c>
    </row>
    <row r="80" ht="15" customHeight="1">
      <c r="A80" t="inlineStr">
        <is>
          <t>A 39968-2024</t>
        </is>
      </c>
      <c r="B80" s="1" t="n">
        <v>45553.59296296296</v>
      </c>
      <c r="C80" s="1" t="n">
        <v>45887</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15700-2025</t>
        </is>
      </c>
      <c r="B81" s="1" t="n">
        <v>45748.47314814815</v>
      </c>
      <c r="C81" s="1" t="n">
        <v>45887</v>
      </c>
      <c r="D81" t="inlineStr">
        <is>
          <t>JÄMTLANDS LÄN</t>
        </is>
      </c>
      <c r="E81" t="inlineStr">
        <is>
          <t>ÖSTERSUND</t>
        </is>
      </c>
      <c r="G81" t="n">
        <v>0.9</v>
      </c>
      <c r="H81" t="n">
        <v>0</v>
      </c>
      <c r="I81" t="n">
        <v>2</v>
      </c>
      <c r="J81" t="n">
        <v>0</v>
      </c>
      <c r="K81" t="n">
        <v>0</v>
      </c>
      <c r="L81" t="n">
        <v>0</v>
      </c>
      <c r="M81" t="n">
        <v>0</v>
      </c>
      <c r="N81" t="n">
        <v>0</v>
      </c>
      <c r="O81" t="n">
        <v>0</v>
      </c>
      <c r="P81" t="n">
        <v>0</v>
      </c>
      <c r="Q81" t="n">
        <v>2</v>
      </c>
      <c r="R81" s="2" t="inlineStr">
        <is>
          <t>Brun klibbskivling
Droppklibbskivling</t>
        </is>
      </c>
      <c r="S81">
        <f>HYPERLINK("https://klasma.github.io/Logging_2380/artfynd/A 15700-2025 artfynd.xlsx", "A 15700-2025")</f>
        <v/>
      </c>
      <c r="T81">
        <f>HYPERLINK("https://klasma.github.io/Logging_2380/kartor/A 15700-2025 karta.png", "A 15700-2025")</f>
        <v/>
      </c>
      <c r="V81">
        <f>HYPERLINK("https://klasma.github.io/Logging_2380/klagomål/A 15700-2025 FSC-klagomål.docx", "A 15700-2025")</f>
        <v/>
      </c>
      <c r="W81">
        <f>HYPERLINK("https://klasma.github.io/Logging_2380/klagomålsmail/A 15700-2025 FSC-klagomål mail.docx", "A 15700-2025")</f>
        <v/>
      </c>
      <c r="X81">
        <f>HYPERLINK("https://klasma.github.io/Logging_2380/tillsyn/A 15700-2025 tillsynsbegäran.docx", "A 15700-2025")</f>
        <v/>
      </c>
      <c r="Y81">
        <f>HYPERLINK("https://klasma.github.io/Logging_2380/tillsynsmail/A 15700-2025 tillsynsbegäran mail.docx", "A 15700-2025")</f>
        <v/>
      </c>
    </row>
    <row r="82" ht="15" customHeight="1">
      <c r="A82" t="inlineStr">
        <is>
          <t>A 60614-2022</t>
        </is>
      </c>
      <c r="B82" s="1" t="n">
        <v>44911</v>
      </c>
      <c r="C82" s="1" t="n">
        <v>45887</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4916-2023</t>
        </is>
      </c>
      <c r="B83" s="1" t="n">
        <v>44956</v>
      </c>
      <c r="C83" s="1" t="n">
        <v>45887</v>
      </c>
      <c r="D83" t="inlineStr">
        <is>
          <t>JÄMTLANDS LÄN</t>
        </is>
      </c>
      <c r="E83" t="inlineStr">
        <is>
          <t>ÖSTERSUND</t>
        </is>
      </c>
      <c r="G83" t="n">
        <v>1.2</v>
      </c>
      <c r="H83" t="n">
        <v>0</v>
      </c>
      <c r="I83" t="n">
        <v>1</v>
      </c>
      <c r="J83" t="n">
        <v>0</v>
      </c>
      <c r="K83" t="n">
        <v>0</v>
      </c>
      <c r="L83" t="n">
        <v>1</v>
      </c>
      <c r="M83" t="n">
        <v>0</v>
      </c>
      <c r="N83" t="n">
        <v>0</v>
      </c>
      <c r="O83" t="n">
        <v>1</v>
      </c>
      <c r="P83" t="n">
        <v>1</v>
      </c>
      <c r="Q83" t="n">
        <v>2</v>
      </c>
      <c r="R83" s="2" t="inlineStr">
        <is>
          <t>Trolldruvemätare
Svart trolldruva</t>
        </is>
      </c>
      <c r="S83">
        <f>HYPERLINK("https://klasma.github.io/Logging_2380/artfynd/A 4916-2023 artfynd.xlsx", "A 4916-2023")</f>
        <v/>
      </c>
      <c r="T83">
        <f>HYPERLINK("https://klasma.github.io/Logging_2380/kartor/A 4916-2023 karta.png", "A 4916-2023")</f>
        <v/>
      </c>
      <c r="V83">
        <f>HYPERLINK("https://klasma.github.io/Logging_2380/klagomål/A 4916-2023 FSC-klagomål.docx", "A 4916-2023")</f>
        <v/>
      </c>
      <c r="W83">
        <f>HYPERLINK("https://klasma.github.io/Logging_2380/klagomålsmail/A 4916-2023 FSC-klagomål mail.docx", "A 4916-2023")</f>
        <v/>
      </c>
      <c r="X83">
        <f>HYPERLINK("https://klasma.github.io/Logging_2380/tillsyn/A 4916-2023 tillsynsbegäran.docx", "A 4916-2023")</f>
        <v/>
      </c>
      <c r="Y83">
        <f>HYPERLINK("https://klasma.github.io/Logging_2380/tillsynsmail/A 4916-2023 tillsynsbegäran mail.docx", "A 4916-2023")</f>
        <v/>
      </c>
    </row>
    <row r="84" ht="15" customHeight="1">
      <c r="A84" t="inlineStr">
        <is>
          <t>A 46105-2021</t>
        </is>
      </c>
      <c r="B84" s="1" t="n">
        <v>44441</v>
      </c>
      <c r="C84" s="1" t="n">
        <v>45887</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47385-2022</t>
        </is>
      </c>
      <c r="B85" s="1" t="n">
        <v>44853</v>
      </c>
      <c r="C85" s="1" t="n">
        <v>45887</v>
      </c>
      <c r="D85" t="inlineStr">
        <is>
          <t>JÄMTLANDS LÄN</t>
        </is>
      </c>
      <c r="E85" t="inlineStr">
        <is>
          <t>ÖSTERSUND</t>
        </is>
      </c>
      <c r="G85" t="n">
        <v>0.9</v>
      </c>
      <c r="H85" t="n">
        <v>0</v>
      </c>
      <c r="I85" t="n">
        <v>0</v>
      </c>
      <c r="J85" t="n">
        <v>2</v>
      </c>
      <c r="K85" t="n">
        <v>0</v>
      </c>
      <c r="L85" t="n">
        <v>0</v>
      </c>
      <c r="M85" t="n">
        <v>0</v>
      </c>
      <c r="N85" t="n">
        <v>0</v>
      </c>
      <c r="O85" t="n">
        <v>2</v>
      </c>
      <c r="P85" t="n">
        <v>0</v>
      </c>
      <c r="Q85" t="n">
        <v>2</v>
      </c>
      <c r="R85" s="2" t="inlineStr">
        <is>
          <t>Garnlav
Ullticka</t>
        </is>
      </c>
      <c r="S85">
        <f>HYPERLINK("https://klasma.github.io/Logging_2380/artfynd/A 47385-2022 artfynd.xlsx", "A 47385-2022")</f>
        <v/>
      </c>
      <c r="T85">
        <f>HYPERLINK("https://klasma.github.io/Logging_2380/kartor/A 47385-2022 karta.png", "A 47385-2022")</f>
        <v/>
      </c>
      <c r="U85">
        <f>HYPERLINK("https://klasma.github.io/Logging_2380/knärot/A 47385-2022 karta knärot.png", "A 47385-2022")</f>
        <v/>
      </c>
      <c r="V85">
        <f>HYPERLINK("https://klasma.github.io/Logging_2380/klagomål/A 47385-2022 FSC-klagomål.docx", "A 47385-2022")</f>
        <v/>
      </c>
      <c r="W85">
        <f>HYPERLINK("https://klasma.github.io/Logging_2380/klagomålsmail/A 47385-2022 FSC-klagomål mail.docx", "A 47385-2022")</f>
        <v/>
      </c>
      <c r="X85">
        <f>HYPERLINK("https://klasma.github.io/Logging_2380/tillsyn/A 47385-2022 tillsynsbegäran.docx", "A 47385-2022")</f>
        <v/>
      </c>
      <c r="Y85">
        <f>HYPERLINK("https://klasma.github.io/Logging_2380/tillsynsmail/A 47385-2022 tillsynsbegäran mail.docx", "A 47385-2022")</f>
        <v/>
      </c>
    </row>
    <row r="86" ht="15" customHeight="1">
      <c r="A86" t="inlineStr">
        <is>
          <t>A 60446-2024</t>
        </is>
      </c>
      <c r="B86" s="1" t="n">
        <v>45643.59420138889</v>
      </c>
      <c r="C86" s="1" t="n">
        <v>45887</v>
      </c>
      <c r="D86" t="inlineStr">
        <is>
          <t>JÄMTLANDS LÄN</t>
        </is>
      </c>
      <c r="E86" t="inlineStr">
        <is>
          <t>ÖSTERSUND</t>
        </is>
      </c>
      <c r="F86" t="inlineStr">
        <is>
          <t>SCA</t>
        </is>
      </c>
      <c r="G86" t="n">
        <v>3.6</v>
      </c>
      <c r="H86" t="n">
        <v>0</v>
      </c>
      <c r="I86" t="n">
        <v>1</v>
      </c>
      <c r="J86" t="n">
        <v>1</v>
      </c>
      <c r="K86" t="n">
        <v>0</v>
      </c>
      <c r="L86" t="n">
        <v>0</v>
      </c>
      <c r="M86" t="n">
        <v>0</v>
      </c>
      <c r="N86" t="n">
        <v>0</v>
      </c>
      <c r="O86" t="n">
        <v>1</v>
      </c>
      <c r="P86" t="n">
        <v>0</v>
      </c>
      <c r="Q86" t="n">
        <v>2</v>
      </c>
      <c r="R86" s="2" t="inlineStr">
        <is>
          <t>Ullticka
Vedticka</t>
        </is>
      </c>
      <c r="S86">
        <f>HYPERLINK("https://klasma.github.io/Logging_2380/artfynd/A 60446-2024 artfynd.xlsx", "A 60446-2024")</f>
        <v/>
      </c>
      <c r="T86">
        <f>HYPERLINK("https://klasma.github.io/Logging_2380/kartor/A 60446-2024 karta.png", "A 60446-2024")</f>
        <v/>
      </c>
      <c r="V86">
        <f>HYPERLINK("https://klasma.github.io/Logging_2380/klagomål/A 60446-2024 FSC-klagomål.docx", "A 60446-2024")</f>
        <v/>
      </c>
      <c r="W86">
        <f>HYPERLINK("https://klasma.github.io/Logging_2380/klagomålsmail/A 60446-2024 FSC-klagomål mail.docx", "A 60446-2024")</f>
        <v/>
      </c>
      <c r="X86">
        <f>HYPERLINK("https://klasma.github.io/Logging_2380/tillsyn/A 60446-2024 tillsynsbegäran.docx", "A 60446-2024")</f>
        <v/>
      </c>
      <c r="Y86">
        <f>HYPERLINK("https://klasma.github.io/Logging_2380/tillsynsmail/A 60446-2024 tillsynsbegäran mail.docx", "A 60446-2024")</f>
        <v/>
      </c>
    </row>
    <row r="87" ht="15" customHeight="1">
      <c r="A87" t="inlineStr">
        <is>
          <t>A 21615-2024</t>
        </is>
      </c>
      <c r="B87" s="1" t="n">
        <v>45441.95357638889</v>
      </c>
      <c r="C87" s="1" t="n">
        <v>45887</v>
      </c>
      <c r="D87" t="inlineStr">
        <is>
          <t>JÄMTLANDS LÄN</t>
        </is>
      </c>
      <c r="E87" t="inlineStr">
        <is>
          <t>ÖSTERSUND</t>
        </is>
      </c>
      <c r="F87" t="inlineStr">
        <is>
          <t>SCA</t>
        </is>
      </c>
      <c r="G87" t="n">
        <v>4.9</v>
      </c>
      <c r="H87" t="n">
        <v>2</v>
      </c>
      <c r="I87" t="n">
        <v>0</v>
      </c>
      <c r="J87" t="n">
        <v>0</v>
      </c>
      <c r="K87" t="n">
        <v>1</v>
      </c>
      <c r="L87" t="n">
        <v>0</v>
      </c>
      <c r="M87" t="n">
        <v>0</v>
      </c>
      <c r="N87" t="n">
        <v>0</v>
      </c>
      <c r="O87" t="n">
        <v>1</v>
      </c>
      <c r="P87" t="n">
        <v>1</v>
      </c>
      <c r="Q87" t="n">
        <v>2</v>
      </c>
      <c r="R87" s="2" t="inlineStr">
        <is>
          <t>Lappuggla
Blåsippa</t>
        </is>
      </c>
      <c r="S87">
        <f>HYPERLINK("https://klasma.github.io/Logging_2380/artfynd/A 21615-2024 artfynd.xlsx", "A 21615-2024")</f>
        <v/>
      </c>
      <c r="T87">
        <f>HYPERLINK("https://klasma.github.io/Logging_2380/kartor/A 21615-2024 karta.png", "A 21615-2024")</f>
        <v/>
      </c>
      <c r="V87">
        <f>HYPERLINK("https://klasma.github.io/Logging_2380/klagomål/A 21615-2024 FSC-klagomål.docx", "A 21615-2024")</f>
        <v/>
      </c>
      <c r="W87">
        <f>HYPERLINK("https://klasma.github.io/Logging_2380/klagomålsmail/A 21615-2024 FSC-klagomål mail.docx", "A 21615-2024")</f>
        <v/>
      </c>
      <c r="X87">
        <f>HYPERLINK("https://klasma.github.io/Logging_2380/tillsyn/A 21615-2024 tillsynsbegäran.docx", "A 21615-2024")</f>
        <v/>
      </c>
      <c r="Y87">
        <f>HYPERLINK("https://klasma.github.io/Logging_2380/tillsynsmail/A 21615-2024 tillsynsbegäran mail.docx", "A 21615-2024")</f>
        <v/>
      </c>
      <c r="Z87">
        <f>HYPERLINK("https://klasma.github.io/Logging_2380/fåglar/A 21615-2024 prioriterade fågelarter.docx", "A 21615-2024")</f>
        <v/>
      </c>
    </row>
    <row r="88" ht="15" customHeight="1">
      <c r="A88" t="inlineStr">
        <is>
          <t>A 50895-2024</t>
        </is>
      </c>
      <c r="B88" s="1" t="n">
        <v>45602</v>
      </c>
      <c r="C88" s="1" t="n">
        <v>45887</v>
      </c>
      <c r="D88" t="inlineStr">
        <is>
          <t>JÄMTLANDS LÄN</t>
        </is>
      </c>
      <c r="E88" t="inlineStr">
        <is>
          <t>ÖSTERSUND</t>
        </is>
      </c>
      <c r="F88" t="inlineStr">
        <is>
          <t>Kommuner</t>
        </is>
      </c>
      <c r="G88" t="n">
        <v>6</v>
      </c>
      <c r="H88" t="n">
        <v>1</v>
      </c>
      <c r="I88" t="n">
        <v>0</v>
      </c>
      <c r="J88" t="n">
        <v>1</v>
      </c>
      <c r="K88" t="n">
        <v>1</v>
      </c>
      <c r="L88" t="n">
        <v>0</v>
      </c>
      <c r="M88" t="n">
        <v>0</v>
      </c>
      <c r="N88" t="n">
        <v>0</v>
      </c>
      <c r="O88" t="n">
        <v>2</v>
      </c>
      <c r="P88" t="n">
        <v>1</v>
      </c>
      <c r="Q88" t="n">
        <v>2</v>
      </c>
      <c r="R88" s="2" t="inlineStr">
        <is>
          <t>Knärot
Garnlav</t>
        </is>
      </c>
      <c r="S88">
        <f>HYPERLINK("https://klasma.github.io/Logging_2380/artfynd/A 50895-2024 artfynd.xlsx", "A 50895-2024")</f>
        <v/>
      </c>
      <c r="T88">
        <f>HYPERLINK("https://klasma.github.io/Logging_2380/kartor/A 50895-2024 karta.png", "A 50895-2024")</f>
        <v/>
      </c>
      <c r="U88">
        <f>HYPERLINK("https://klasma.github.io/Logging_2380/knärot/A 50895-2024 karta knärot.png", "A 50895-2024")</f>
        <v/>
      </c>
      <c r="V88">
        <f>HYPERLINK("https://klasma.github.io/Logging_2380/klagomål/A 50895-2024 FSC-klagomål.docx", "A 50895-2024")</f>
        <v/>
      </c>
      <c r="W88">
        <f>HYPERLINK("https://klasma.github.io/Logging_2380/klagomålsmail/A 50895-2024 FSC-klagomål mail.docx", "A 50895-2024")</f>
        <v/>
      </c>
      <c r="X88">
        <f>HYPERLINK("https://klasma.github.io/Logging_2380/tillsyn/A 50895-2024 tillsynsbegäran.docx", "A 50895-2024")</f>
        <v/>
      </c>
      <c r="Y88">
        <f>HYPERLINK("https://klasma.github.io/Logging_2380/tillsynsmail/A 50895-2024 tillsynsbegäran mail.docx", "A 50895-2024")</f>
        <v/>
      </c>
    </row>
    <row r="89" ht="15" customHeight="1">
      <c r="A89" t="inlineStr">
        <is>
          <t>A 33137-2021</t>
        </is>
      </c>
      <c r="B89" s="1" t="n">
        <v>44376</v>
      </c>
      <c r="C89" s="1" t="n">
        <v>45887</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10336-2022</t>
        </is>
      </c>
      <c r="B90" s="1" t="n">
        <v>44623</v>
      </c>
      <c r="C90" s="1" t="n">
        <v>45887</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19798-2022</t>
        </is>
      </c>
      <c r="B91" s="1" t="n">
        <v>44694</v>
      </c>
      <c r="C91" s="1" t="n">
        <v>45887</v>
      </c>
      <c r="D91" t="inlineStr">
        <is>
          <t>JÄMTLANDS LÄN</t>
        </is>
      </c>
      <c r="E91" t="inlineStr">
        <is>
          <t>ÖSTERSUND</t>
        </is>
      </c>
      <c r="F91" t="inlineStr">
        <is>
          <t>SCA</t>
        </is>
      </c>
      <c r="G91" t="n">
        <v>1</v>
      </c>
      <c r="H91" t="n">
        <v>1</v>
      </c>
      <c r="I91" t="n">
        <v>1</v>
      </c>
      <c r="J91" t="n">
        <v>0</v>
      </c>
      <c r="K91" t="n">
        <v>0</v>
      </c>
      <c r="L91" t="n">
        <v>0</v>
      </c>
      <c r="M91" t="n">
        <v>0</v>
      </c>
      <c r="N91" t="n">
        <v>0</v>
      </c>
      <c r="O91" t="n">
        <v>0</v>
      </c>
      <c r="P91" t="n">
        <v>0</v>
      </c>
      <c r="Q91" t="n">
        <v>1</v>
      </c>
      <c r="R91" s="2" t="inlineStr">
        <is>
          <t>Guckusko</t>
        </is>
      </c>
      <c r="S91">
        <f>HYPERLINK("https://klasma.github.io/Logging_2380/artfynd/A 19798-2022 artfynd.xlsx", "A 19798-2022")</f>
        <v/>
      </c>
      <c r="T91">
        <f>HYPERLINK("https://klasma.github.io/Logging_2380/kartor/A 19798-2022 karta.png", "A 19798-2022")</f>
        <v/>
      </c>
      <c r="V91">
        <f>HYPERLINK("https://klasma.github.io/Logging_2380/klagomål/A 19798-2022 FSC-klagomål.docx", "A 19798-2022")</f>
        <v/>
      </c>
      <c r="W91">
        <f>HYPERLINK("https://klasma.github.io/Logging_2380/klagomålsmail/A 19798-2022 FSC-klagomål mail.docx", "A 19798-2022")</f>
        <v/>
      </c>
      <c r="X91">
        <f>HYPERLINK("https://klasma.github.io/Logging_2380/tillsyn/A 19798-2022 tillsynsbegäran.docx", "A 19798-2022")</f>
        <v/>
      </c>
      <c r="Y91">
        <f>HYPERLINK("https://klasma.github.io/Logging_2380/tillsynsmail/A 19798-2022 tillsynsbegäran mail.docx", "A 19798-2022")</f>
        <v/>
      </c>
    </row>
    <row r="92" ht="15" customHeight="1">
      <c r="A92" t="inlineStr">
        <is>
          <t>A 59433-2021</t>
        </is>
      </c>
      <c r="B92" s="1" t="n">
        <v>44491</v>
      </c>
      <c r="C92" s="1" t="n">
        <v>45887</v>
      </c>
      <c r="D92" t="inlineStr">
        <is>
          <t>JÄMTLANDS LÄN</t>
        </is>
      </c>
      <c r="E92" t="inlineStr">
        <is>
          <t>ÖSTERSUND</t>
        </is>
      </c>
      <c r="F92" t="inlineStr">
        <is>
          <t>Övriga statliga verk och myndigheter</t>
        </is>
      </c>
      <c r="G92" t="n">
        <v>1.6</v>
      </c>
      <c r="H92" t="n">
        <v>0</v>
      </c>
      <c r="I92" t="n">
        <v>0</v>
      </c>
      <c r="J92" t="n">
        <v>1</v>
      </c>
      <c r="K92" t="n">
        <v>0</v>
      </c>
      <c r="L92" t="n">
        <v>0</v>
      </c>
      <c r="M92" t="n">
        <v>0</v>
      </c>
      <c r="N92" t="n">
        <v>0</v>
      </c>
      <c r="O92" t="n">
        <v>1</v>
      </c>
      <c r="P92" t="n">
        <v>0</v>
      </c>
      <c r="Q92" t="n">
        <v>1</v>
      </c>
      <c r="R92" s="2" t="inlineStr">
        <is>
          <t>Brunpudrad nållav</t>
        </is>
      </c>
      <c r="S92">
        <f>HYPERLINK("https://klasma.github.io/Logging_2380/artfynd/A 59433-2021 artfynd.xlsx", "A 59433-2021")</f>
        <v/>
      </c>
      <c r="T92">
        <f>HYPERLINK("https://klasma.github.io/Logging_2380/kartor/A 59433-2021 karta.png", "A 59433-2021")</f>
        <v/>
      </c>
      <c r="V92">
        <f>HYPERLINK("https://klasma.github.io/Logging_2380/klagomål/A 59433-2021 FSC-klagomål.docx", "A 59433-2021")</f>
        <v/>
      </c>
      <c r="W92">
        <f>HYPERLINK("https://klasma.github.io/Logging_2380/klagomålsmail/A 59433-2021 FSC-klagomål mail.docx", "A 59433-2021")</f>
        <v/>
      </c>
      <c r="X92">
        <f>HYPERLINK("https://klasma.github.io/Logging_2380/tillsyn/A 59433-2021 tillsynsbegäran.docx", "A 59433-2021")</f>
        <v/>
      </c>
      <c r="Y92">
        <f>HYPERLINK("https://klasma.github.io/Logging_2380/tillsynsmail/A 59433-2021 tillsynsbegäran mail.docx", "A 59433-2021")</f>
        <v/>
      </c>
    </row>
    <row r="93" ht="15" customHeight="1">
      <c r="A93" t="inlineStr">
        <is>
          <t>A 27578-2022</t>
        </is>
      </c>
      <c r="B93" s="1" t="n">
        <v>44742</v>
      </c>
      <c r="C93" s="1" t="n">
        <v>45887</v>
      </c>
      <c r="D93" t="inlineStr">
        <is>
          <t>JÄMTLANDS LÄN</t>
        </is>
      </c>
      <c r="E93" t="inlineStr">
        <is>
          <t>ÖSTERSUND</t>
        </is>
      </c>
      <c r="F93" t="inlineStr">
        <is>
          <t>SCA</t>
        </is>
      </c>
      <c r="G93" t="n">
        <v>2</v>
      </c>
      <c r="H93" t="n">
        <v>1</v>
      </c>
      <c r="I93" t="n">
        <v>0</v>
      </c>
      <c r="J93" t="n">
        <v>0</v>
      </c>
      <c r="K93" t="n">
        <v>0</v>
      </c>
      <c r="L93" t="n">
        <v>0</v>
      </c>
      <c r="M93" t="n">
        <v>0</v>
      </c>
      <c r="N93" t="n">
        <v>0</v>
      </c>
      <c r="O93" t="n">
        <v>0</v>
      </c>
      <c r="P93" t="n">
        <v>0</v>
      </c>
      <c r="Q93" t="n">
        <v>1</v>
      </c>
      <c r="R93" s="2" t="inlineStr">
        <is>
          <t>Blåsippa</t>
        </is>
      </c>
      <c r="S93">
        <f>HYPERLINK("https://klasma.github.io/Logging_2380/artfynd/A 27578-2022 artfynd.xlsx", "A 27578-2022")</f>
        <v/>
      </c>
      <c r="T93">
        <f>HYPERLINK("https://klasma.github.io/Logging_2380/kartor/A 27578-2022 karta.png", "A 27578-2022")</f>
        <v/>
      </c>
      <c r="V93">
        <f>HYPERLINK("https://klasma.github.io/Logging_2380/klagomål/A 27578-2022 FSC-klagomål.docx", "A 27578-2022")</f>
        <v/>
      </c>
      <c r="W93">
        <f>HYPERLINK("https://klasma.github.io/Logging_2380/klagomålsmail/A 27578-2022 FSC-klagomål mail.docx", "A 27578-2022")</f>
        <v/>
      </c>
      <c r="X93">
        <f>HYPERLINK("https://klasma.github.io/Logging_2380/tillsyn/A 27578-2022 tillsynsbegäran.docx", "A 27578-2022")</f>
        <v/>
      </c>
      <c r="Y93">
        <f>HYPERLINK("https://klasma.github.io/Logging_2380/tillsynsmail/A 27578-2022 tillsynsbegäran mail.docx", "A 27578-2022")</f>
        <v/>
      </c>
    </row>
    <row r="94" ht="15" customHeight="1">
      <c r="A94" t="inlineStr">
        <is>
          <t>A 31883-2024</t>
        </is>
      </c>
      <c r="B94" s="1" t="n">
        <v>45509.9572800926</v>
      </c>
      <c r="C94" s="1" t="n">
        <v>45887</v>
      </c>
      <c r="D94" t="inlineStr">
        <is>
          <t>JÄMTLANDS LÄN</t>
        </is>
      </c>
      <c r="E94" t="inlineStr">
        <is>
          <t>ÖSTERSUND</t>
        </is>
      </c>
      <c r="F94" t="inlineStr">
        <is>
          <t>SCA</t>
        </is>
      </c>
      <c r="G94" t="n">
        <v>3.3</v>
      </c>
      <c r="H94" t="n">
        <v>1</v>
      </c>
      <c r="I94" t="n">
        <v>0</v>
      </c>
      <c r="J94" t="n">
        <v>0</v>
      </c>
      <c r="K94" t="n">
        <v>1</v>
      </c>
      <c r="L94" t="n">
        <v>0</v>
      </c>
      <c r="M94" t="n">
        <v>0</v>
      </c>
      <c r="N94" t="n">
        <v>0</v>
      </c>
      <c r="O94" t="n">
        <v>1</v>
      </c>
      <c r="P94" t="n">
        <v>1</v>
      </c>
      <c r="Q94" t="n">
        <v>1</v>
      </c>
      <c r="R94" s="2" t="inlineStr">
        <is>
          <t>Doftticka</t>
        </is>
      </c>
      <c r="S94">
        <f>HYPERLINK("https://klasma.github.io/Logging_2380/artfynd/A 31883-2024 artfynd.xlsx", "A 31883-2024")</f>
        <v/>
      </c>
      <c r="T94">
        <f>HYPERLINK("https://klasma.github.io/Logging_2380/kartor/A 31883-2024 karta.png", "A 31883-2024")</f>
        <v/>
      </c>
      <c r="V94">
        <f>HYPERLINK("https://klasma.github.io/Logging_2380/klagomål/A 31883-2024 FSC-klagomål.docx", "A 31883-2024")</f>
        <v/>
      </c>
      <c r="W94">
        <f>HYPERLINK("https://klasma.github.io/Logging_2380/klagomålsmail/A 31883-2024 FSC-klagomål mail.docx", "A 31883-2024")</f>
        <v/>
      </c>
      <c r="X94">
        <f>HYPERLINK("https://klasma.github.io/Logging_2380/tillsyn/A 31883-2024 tillsynsbegäran.docx", "A 31883-2024")</f>
        <v/>
      </c>
      <c r="Y94">
        <f>HYPERLINK("https://klasma.github.io/Logging_2380/tillsynsmail/A 31883-2024 tillsynsbegäran mail.docx", "A 31883-2024")</f>
        <v/>
      </c>
    </row>
    <row r="95" ht="15" customHeight="1">
      <c r="A95" t="inlineStr">
        <is>
          <t>A 55821-2021</t>
        </is>
      </c>
      <c r="B95" s="1" t="n">
        <v>44476</v>
      </c>
      <c r="C95" s="1" t="n">
        <v>45887</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54354-2024</t>
        </is>
      </c>
      <c r="B96" s="1" t="n">
        <v>45617.40244212963</v>
      </c>
      <c r="C96" s="1" t="n">
        <v>45887</v>
      </c>
      <c r="D96" t="inlineStr">
        <is>
          <t>JÄMTLANDS LÄN</t>
        </is>
      </c>
      <c r="E96" t="inlineStr">
        <is>
          <t>ÖSTERSUND</t>
        </is>
      </c>
      <c r="G96" t="n">
        <v>7</v>
      </c>
      <c r="H96" t="n">
        <v>1</v>
      </c>
      <c r="I96" t="n">
        <v>0</v>
      </c>
      <c r="J96" t="n">
        <v>1</v>
      </c>
      <c r="K96" t="n">
        <v>0</v>
      </c>
      <c r="L96" t="n">
        <v>0</v>
      </c>
      <c r="M96" t="n">
        <v>0</v>
      </c>
      <c r="N96" t="n">
        <v>0</v>
      </c>
      <c r="O96" t="n">
        <v>1</v>
      </c>
      <c r="P96" t="n">
        <v>0</v>
      </c>
      <c r="Q96" t="n">
        <v>1</v>
      </c>
      <c r="R96" s="2" t="inlineStr">
        <is>
          <t>Tretåig hackspett</t>
        </is>
      </c>
      <c r="S96">
        <f>HYPERLINK("https://klasma.github.io/Logging_2380/artfynd/A 54354-2024 artfynd.xlsx", "A 54354-2024")</f>
        <v/>
      </c>
      <c r="T96">
        <f>HYPERLINK("https://klasma.github.io/Logging_2380/kartor/A 54354-2024 karta.png", "A 54354-2024")</f>
        <v/>
      </c>
      <c r="V96">
        <f>HYPERLINK("https://klasma.github.io/Logging_2380/klagomål/A 54354-2024 FSC-klagomål.docx", "A 54354-2024")</f>
        <v/>
      </c>
      <c r="W96">
        <f>HYPERLINK("https://klasma.github.io/Logging_2380/klagomålsmail/A 54354-2024 FSC-klagomål mail.docx", "A 54354-2024")</f>
        <v/>
      </c>
      <c r="X96">
        <f>HYPERLINK("https://klasma.github.io/Logging_2380/tillsyn/A 54354-2024 tillsynsbegäran.docx", "A 54354-2024")</f>
        <v/>
      </c>
      <c r="Y96">
        <f>HYPERLINK("https://klasma.github.io/Logging_2380/tillsynsmail/A 54354-2024 tillsynsbegäran mail.docx", "A 54354-2024")</f>
        <v/>
      </c>
      <c r="Z96">
        <f>HYPERLINK("https://klasma.github.io/Logging_2380/fåglar/A 54354-2024 prioriterade fågelarter.docx", "A 54354-2024")</f>
        <v/>
      </c>
    </row>
    <row r="97" ht="15" customHeight="1">
      <c r="A97" t="inlineStr">
        <is>
          <t>A 44049-2024</t>
        </is>
      </c>
      <c r="B97" s="1" t="n">
        <v>45572.59462962963</v>
      </c>
      <c r="C97" s="1" t="n">
        <v>45887</v>
      </c>
      <c r="D97" t="inlineStr">
        <is>
          <t>JÄMTLANDS LÄN</t>
        </is>
      </c>
      <c r="E97" t="inlineStr">
        <is>
          <t>ÖSTERSUND</t>
        </is>
      </c>
      <c r="F97" t="inlineStr">
        <is>
          <t>SCA</t>
        </is>
      </c>
      <c r="G97" t="n">
        <v>4.5</v>
      </c>
      <c r="H97" t="n">
        <v>0</v>
      </c>
      <c r="I97" t="n">
        <v>0</v>
      </c>
      <c r="J97" t="n">
        <v>1</v>
      </c>
      <c r="K97" t="n">
        <v>0</v>
      </c>
      <c r="L97" t="n">
        <v>0</v>
      </c>
      <c r="M97" t="n">
        <v>0</v>
      </c>
      <c r="N97" t="n">
        <v>0</v>
      </c>
      <c r="O97" t="n">
        <v>1</v>
      </c>
      <c r="P97" t="n">
        <v>0</v>
      </c>
      <c r="Q97" t="n">
        <v>1</v>
      </c>
      <c r="R97" s="2" t="inlineStr">
        <is>
          <t>Dvärgbägarlav</t>
        </is>
      </c>
      <c r="S97">
        <f>HYPERLINK("https://klasma.github.io/Logging_2380/artfynd/A 44049-2024 artfynd.xlsx", "A 44049-2024")</f>
        <v/>
      </c>
      <c r="T97">
        <f>HYPERLINK("https://klasma.github.io/Logging_2380/kartor/A 44049-2024 karta.png", "A 44049-2024")</f>
        <v/>
      </c>
      <c r="V97">
        <f>HYPERLINK("https://klasma.github.io/Logging_2380/klagomål/A 44049-2024 FSC-klagomål.docx", "A 44049-2024")</f>
        <v/>
      </c>
      <c r="W97">
        <f>HYPERLINK("https://klasma.github.io/Logging_2380/klagomålsmail/A 44049-2024 FSC-klagomål mail.docx", "A 44049-2024")</f>
        <v/>
      </c>
      <c r="X97">
        <f>HYPERLINK("https://klasma.github.io/Logging_2380/tillsyn/A 44049-2024 tillsynsbegäran.docx", "A 44049-2024")</f>
        <v/>
      </c>
      <c r="Y97">
        <f>HYPERLINK("https://klasma.github.io/Logging_2380/tillsynsmail/A 44049-2024 tillsynsbegäran mail.docx", "A 44049-2024")</f>
        <v/>
      </c>
    </row>
    <row r="98" ht="15" customHeight="1">
      <c r="A98" t="inlineStr">
        <is>
          <t>A 40694-2024</t>
        </is>
      </c>
      <c r="B98" s="1" t="n">
        <v>45558</v>
      </c>
      <c r="C98" s="1" t="n">
        <v>45887</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9739-2022</t>
        </is>
      </c>
      <c r="B99" s="1" t="n">
        <v>44617</v>
      </c>
      <c r="C99" s="1" t="n">
        <v>45887</v>
      </c>
      <c r="D99" t="inlineStr">
        <is>
          <t>JÄMTLANDS LÄN</t>
        </is>
      </c>
      <c r="E99" t="inlineStr">
        <is>
          <t>ÖSTERSUND</t>
        </is>
      </c>
      <c r="F99" t="inlineStr">
        <is>
          <t>SCA</t>
        </is>
      </c>
      <c r="G99" t="n">
        <v>13.5</v>
      </c>
      <c r="H99" t="n">
        <v>0</v>
      </c>
      <c r="I99" t="n">
        <v>0</v>
      </c>
      <c r="J99" t="n">
        <v>1</v>
      </c>
      <c r="K99" t="n">
        <v>0</v>
      </c>
      <c r="L99" t="n">
        <v>0</v>
      </c>
      <c r="M99" t="n">
        <v>0</v>
      </c>
      <c r="N99" t="n">
        <v>0</v>
      </c>
      <c r="O99" t="n">
        <v>1</v>
      </c>
      <c r="P99" t="n">
        <v>0</v>
      </c>
      <c r="Q99" t="n">
        <v>1</v>
      </c>
      <c r="R99" s="2" t="inlineStr">
        <is>
          <t>Dvärgbägarlav</t>
        </is>
      </c>
      <c r="S99">
        <f>HYPERLINK("https://klasma.github.io/Logging_2380/artfynd/A 9739-2022 artfynd.xlsx", "A 9739-2022")</f>
        <v/>
      </c>
      <c r="T99">
        <f>HYPERLINK("https://klasma.github.io/Logging_2380/kartor/A 9739-2022 karta.png", "A 9739-2022")</f>
        <v/>
      </c>
      <c r="V99">
        <f>HYPERLINK("https://klasma.github.io/Logging_2380/klagomål/A 9739-2022 FSC-klagomål.docx", "A 9739-2022")</f>
        <v/>
      </c>
      <c r="W99">
        <f>HYPERLINK("https://klasma.github.io/Logging_2380/klagomålsmail/A 9739-2022 FSC-klagomål mail.docx", "A 9739-2022")</f>
        <v/>
      </c>
      <c r="X99">
        <f>HYPERLINK("https://klasma.github.io/Logging_2380/tillsyn/A 9739-2022 tillsynsbegäran.docx", "A 9739-2022")</f>
        <v/>
      </c>
      <c r="Y99">
        <f>HYPERLINK("https://klasma.github.io/Logging_2380/tillsynsmail/A 9739-2022 tillsynsbegäran mail.docx", "A 9739-2022")</f>
        <v/>
      </c>
    </row>
    <row r="100" ht="15" customHeight="1">
      <c r="A100" t="inlineStr">
        <is>
          <t>A 41279-2024</t>
        </is>
      </c>
      <c r="B100" s="1" t="n">
        <v>45559</v>
      </c>
      <c r="C100" s="1" t="n">
        <v>45887</v>
      </c>
      <c r="D100" t="inlineStr">
        <is>
          <t>JÄMTLANDS LÄN</t>
        </is>
      </c>
      <c r="E100" t="inlineStr">
        <is>
          <t>ÖSTERSUND</t>
        </is>
      </c>
      <c r="F100" t="inlineStr">
        <is>
          <t>SCA</t>
        </is>
      </c>
      <c r="G100" t="n">
        <v>1.6</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41279-2024 artfynd.xlsx", "A 41279-2024")</f>
        <v/>
      </c>
      <c r="T100">
        <f>HYPERLINK("https://klasma.github.io/Logging_2380/kartor/A 41279-2024 karta.png", "A 41279-2024")</f>
        <v/>
      </c>
      <c r="V100">
        <f>HYPERLINK("https://klasma.github.io/Logging_2380/klagomål/A 41279-2024 FSC-klagomål.docx", "A 41279-2024")</f>
        <v/>
      </c>
      <c r="W100">
        <f>HYPERLINK("https://klasma.github.io/Logging_2380/klagomålsmail/A 41279-2024 FSC-klagomål mail.docx", "A 41279-2024")</f>
        <v/>
      </c>
      <c r="X100">
        <f>HYPERLINK("https://klasma.github.io/Logging_2380/tillsyn/A 41279-2024 tillsynsbegäran.docx", "A 41279-2024")</f>
        <v/>
      </c>
      <c r="Y100">
        <f>HYPERLINK("https://klasma.github.io/Logging_2380/tillsynsmail/A 41279-2024 tillsynsbegäran mail.docx", "A 41279-2024")</f>
        <v/>
      </c>
    </row>
    <row r="101" ht="15" customHeight="1">
      <c r="A101" t="inlineStr">
        <is>
          <t>A 58181-2022</t>
        </is>
      </c>
      <c r="B101" s="1" t="n">
        <v>44900</v>
      </c>
      <c r="C101" s="1" t="n">
        <v>45887</v>
      </c>
      <c r="D101" t="inlineStr">
        <is>
          <t>JÄMTLANDS LÄN</t>
        </is>
      </c>
      <c r="E101" t="inlineStr">
        <is>
          <t>ÖSTERSUND</t>
        </is>
      </c>
      <c r="G101" t="n">
        <v>14.8</v>
      </c>
      <c r="H101" t="n">
        <v>0</v>
      </c>
      <c r="I101" t="n">
        <v>1</v>
      </c>
      <c r="J101" t="n">
        <v>0</v>
      </c>
      <c r="K101" t="n">
        <v>0</v>
      </c>
      <c r="L101" t="n">
        <v>0</v>
      </c>
      <c r="M101" t="n">
        <v>0</v>
      </c>
      <c r="N101" t="n">
        <v>0</v>
      </c>
      <c r="O101" t="n">
        <v>0</v>
      </c>
      <c r="P101" t="n">
        <v>0</v>
      </c>
      <c r="Q101" t="n">
        <v>1</v>
      </c>
      <c r="R101" s="2" t="inlineStr">
        <is>
          <t>Finbräken</t>
        </is>
      </c>
      <c r="S101">
        <f>HYPERLINK("https://klasma.github.io/Logging_2380/artfynd/A 58181-2022 artfynd.xlsx", "A 58181-2022")</f>
        <v/>
      </c>
      <c r="T101">
        <f>HYPERLINK("https://klasma.github.io/Logging_2380/kartor/A 58181-2022 karta.png", "A 58181-2022")</f>
        <v/>
      </c>
      <c r="V101">
        <f>HYPERLINK("https://klasma.github.io/Logging_2380/klagomål/A 58181-2022 FSC-klagomål.docx", "A 58181-2022")</f>
        <v/>
      </c>
      <c r="W101">
        <f>HYPERLINK("https://klasma.github.io/Logging_2380/klagomålsmail/A 58181-2022 FSC-klagomål mail.docx", "A 58181-2022")</f>
        <v/>
      </c>
      <c r="X101">
        <f>HYPERLINK("https://klasma.github.io/Logging_2380/tillsyn/A 58181-2022 tillsynsbegäran.docx", "A 58181-2022")</f>
        <v/>
      </c>
      <c r="Y101">
        <f>HYPERLINK("https://klasma.github.io/Logging_2380/tillsynsmail/A 58181-2022 tillsynsbegäran mail.docx", "A 58181-2022")</f>
        <v/>
      </c>
    </row>
    <row r="102" ht="15" customHeight="1">
      <c r="A102" t="inlineStr">
        <is>
          <t>A 57065-2024</t>
        </is>
      </c>
      <c r="B102" s="1" t="n">
        <v>45629.35344907407</v>
      </c>
      <c r="C102" s="1" t="n">
        <v>45887</v>
      </c>
      <c r="D102" t="inlineStr">
        <is>
          <t>JÄMTLANDS LÄN</t>
        </is>
      </c>
      <c r="E102" t="inlineStr">
        <is>
          <t>ÖSTERSUND</t>
        </is>
      </c>
      <c r="F102" t="inlineStr">
        <is>
          <t>SCA</t>
        </is>
      </c>
      <c r="G102" t="n">
        <v>6.3</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57065-2024 artfynd.xlsx", "A 57065-2024")</f>
        <v/>
      </c>
      <c r="T102">
        <f>HYPERLINK("https://klasma.github.io/Logging_2380/kartor/A 57065-2024 karta.png", "A 57065-2024")</f>
        <v/>
      </c>
      <c r="V102">
        <f>HYPERLINK("https://klasma.github.io/Logging_2380/klagomål/A 57065-2024 FSC-klagomål.docx", "A 57065-2024")</f>
        <v/>
      </c>
      <c r="W102">
        <f>HYPERLINK("https://klasma.github.io/Logging_2380/klagomålsmail/A 57065-2024 FSC-klagomål mail.docx", "A 57065-2024")</f>
        <v/>
      </c>
      <c r="X102">
        <f>HYPERLINK("https://klasma.github.io/Logging_2380/tillsyn/A 57065-2024 tillsynsbegäran.docx", "A 57065-2024")</f>
        <v/>
      </c>
      <c r="Y102">
        <f>HYPERLINK("https://klasma.github.io/Logging_2380/tillsynsmail/A 57065-2024 tillsynsbegäran mail.docx", "A 57065-2024")</f>
        <v/>
      </c>
      <c r="Z102">
        <f>HYPERLINK("https://klasma.github.io/Logging_2380/fåglar/A 57065-2024 prioriterade fågelarter.docx", "A 57065-2024")</f>
        <v/>
      </c>
    </row>
    <row r="103" ht="15" customHeight="1">
      <c r="A103" t="inlineStr">
        <is>
          <t>A 36225-2025</t>
        </is>
      </c>
      <c r="B103" s="1" t="n">
        <v>45867.51128472222</v>
      </c>
      <c r="C103" s="1" t="n">
        <v>45887</v>
      </c>
      <c r="D103" t="inlineStr">
        <is>
          <t>JÄMTLANDS LÄN</t>
        </is>
      </c>
      <c r="E103" t="inlineStr">
        <is>
          <t>ÖSTERSUND</t>
        </is>
      </c>
      <c r="F103" t="inlineStr">
        <is>
          <t>SCA</t>
        </is>
      </c>
      <c r="G103" t="n">
        <v>1.8</v>
      </c>
      <c r="H103" t="n">
        <v>0</v>
      </c>
      <c r="I103" t="n">
        <v>0</v>
      </c>
      <c r="J103" t="n">
        <v>1</v>
      </c>
      <c r="K103" t="n">
        <v>0</v>
      </c>
      <c r="L103" t="n">
        <v>0</v>
      </c>
      <c r="M103" t="n">
        <v>0</v>
      </c>
      <c r="N103" t="n">
        <v>0</v>
      </c>
      <c r="O103" t="n">
        <v>1</v>
      </c>
      <c r="P103" t="n">
        <v>0</v>
      </c>
      <c r="Q103" t="n">
        <v>1</v>
      </c>
      <c r="R103" s="2" t="inlineStr">
        <is>
          <t>Kolflarnlav</t>
        </is>
      </c>
      <c r="S103">
        <f>HYPERLINK("https://klasma.github.io/Logging_2380/artfynd/A 36225-2025 artfynd.xlsx", "A 36225-2025")</f>
        <v/>
      </c>
      <c r="T103">
        <f>HYPERLINK("https://klasma.github.io/Logging_2380/kartor/A 36225-2025 karta.png", "A 36225-2025")</f>
        <v/>
      </c>
      <c r="V103">
        <f>HYPERLINK("https://klasma.github.io/Logging_2380/klagomål/A 36225-2025 FSC-klagomål.docx", "A 36225-2025")</f>
        <v/>
      </c>
      <c r="W103">
        <f>HYPERLINK("https://klasma.github.io/Logging_2380/klagomålsmail/A 36225-2025 FSC-klagomål mail.docx", "A 36225-2025")</f>
        <v/>
      </c>
      <c r="X103">
        <f>HYPERLINK("https://klasma.github.io/Logging_2380/tillsyn/A 36225-2025 tillsynsbegäran.docx", "A 36225-2025")</f>
        <v/>
      </c>
      <c r="Y103">
        <f>HYPERLINK("https://klasma.github.io/Logging_2380/tillsynsmail/A 36225-2025 tillsynsbegäran mail.docx", "A 36225-2025")</f>
        <v/>
      </c>
    </row>
    <row r="104" ht="15" customHeight="1">
      <c r="A104" t="inlineStr">
        <is>
          <t>A 40692-2024</t>
        </is>
      </c>
      <c r="B104" s="1" t="n">
        <v>45558</v>
      </c>
      <c r="C104" s="1" t="n">
        <v>45887</v>
      </c>
      <c r="D104" t="inlineStr">
        <is>
          <t>JÄMTLANDS LÄN</t>
        </is>
      </c>
      <c r="E104" t="inlineStr">
        <is>
          <t>ÖSTERSUND</t>
        </is>
      </c>
      <c r="F104" t="inlineStr">
        <is>
          <t>SCA</t>
        </is>
      </c>
      <c r="G104" t="n">
        <v>0.9</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40692-2024 artfynd.xlsx", "A 40692-2024")</f>
        <v/>
      </c>
      <c r="T104">
        <f>HYPERLINK("https://klasma.github.io/Logging_2380/kartor/A 40692-2024 karta.png", "A 40692-2024")</f>
        <v/>
      </c>
      <c r="V104">
        <f>HYPERLINK("https://klasma.github.io/Logging_2380/klagomål/A 40692-2024 FSC-klagomål.docx", "A 40692-2024")</f>
        <v/>
      </c>
      <c r="W104">
        <f>HYPERLINK("https://klasma.github.io/Logging_2380/klagomålsmail/A 40692-2024 FSC-klagomål mail.docx", "A 40692-2024")</f>
        <v/>
      </c>
      <c r="X104">
        <f>HYPERLINK("https://klasma.github.io/Logging_2380/tillsyn/A 40692-2024 tillsynsbegäran.docx", "A 40692-2024")</f>
        <v/>
      </c>
      <c r="Y104">
        <f>HYPERLINK("https://klasma.github.io/Logging_2380/tillsynsmail/A 40692-2024 tillsynsbegäran mail.docx", "A 40692-2024")</f>
        <v/>
      </c>
    </row>
    <row r="105" ht="15" customHeight="1">
      <c r="A105" t="inlineStr">
        <is>
          <t>A 63775-2020</t>
        </is>
      </c>
      <c r="B105" s="1" t="n">
        <v>44165</v>
      </c>
      <c r="C105" s="1" t="n">
        <v>45887</v>
      </c>
      <c r="D105" t="inlineStr">
        <is>
          <t>JÄMTLANDS LÄN</t>
        </is>
      </c>
      <c r="E105" t="inlineStr">
        <is>
          <t>ÖSTERSUND</t>
        </is>
      </c>
      <c r="G105" t="n">
        <v>6.2</v>
      </c>
      <c r="H105" t="n">
        <v>1</v>
      </c>
      <c r="I105" t="n">
        <v>0</v>
      </c>
      <c r="J105" t="n">
        <v>0</v>
      </c>
      <c r="K105" t="n">
        <v>0</v>
      </c>
      <c r="L105" t="n">
        <v>0</v>
      </c>
      <c r="M105" t="n">
        <v>0</v>
      </c>
      <c r="N105" t="n">
        <v>0</v>
      </c>
      <c r="O105" t="n">
        <v>0</v>
      </c>
      <c r="P105" t="n">
        <v>0</v>
      </c>
      <c r="Q105" t="n">
        <v>1</v>
      </c>
      <c r="R105" s="2" t="inlineStr">
        <is>
          <t>Fläcknycklar</t>
        </is>
      </c>
      <c r="S105">
        <f>HYPERLINK("https://klasma.github.io/Logging_2380/artfynd/A 63775-2020 artfynd.xlsx", "A 63775-2020")</f>
        <v/>
      </c>
      <c r="T105">
        <f>HYPERLINK("https://klasma.github.io/Logging_2380/kartor/A 63775-2020 karta.png", "A 63775-2020")</f>
        <v/>
      </c>
      <c r="V105">
        <f>HYPERLINK("https://klasma.github.io/Logging_2380/klagomål/A 63775-2020 FSC-klagomål.docx", "A 63775-2020")</f>
        <v/>
      </c>
      <c r="W105">
        <f>HYPERLINK("https://klasma.github.io/Logging_2380/klagomålsmail/A 63775-2020 FSC-klagomål mail.docx", "A 63775-2020")</f>
        <v/>
      </c>
      <c r="X105">
        <f>HYPERLINK("https://klasma.github.io/Logging_2380/tillsyn/A 63775-2020 tillsynsbegäran.docx", "A 63775-2020")</f>
        <v/>
      </c>
      <c r="Y105">
        <f>HYPERLINK("https://klasma.github.io/Logging_2380/tillsynsmail/A 63775-2020 tillsynsbegäran mail.docx", "A 63775-2020")</f>
        <v/>
      </c>
    </row>
    <row r="106" ht="15" customHeight="1">
      <c r="A106" t="inlineStr">
        <is>
          <t>A 11513-2024</t>
        </is>
      </c>
      <c r="B106" s="1" t="n">
        <v>45372</v>
      </c>
      <c r="C106" s="1" t="n">
        <v>45887</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43883-2024</t>
        </is>
      </c>
      <c r="B107" s="1" t="n">
        <v>45570</v>
      </c>
      <c r="C107" s="1" t="n">
        <v>45887</v>
      </c>
      <c r="D107" t="inlineStr">
        <is>
          <t>JÄMTLANDS LÄN</t>
        </is>
      </c>
      <c r="E107" t="inlineStr">
        <is>
          <t>ÖSTERSUND</t>
        </is>
      </c>
      <c r="G107" t="n">
        <v>3.8</v>
      </c>
      <c r="H107" t="n">
        <v>0</v>
      </c>
      <c r="I107" t="n">
        <v>0</v>
      </c>
      <c r="J107" t="n">
        <v>0</v>
      </c>
      <c r="K107" t="n">
        <v>1</v>
      </c>
      <c r="L107" t="n">
        <v>0</v>
      </c>
      <c r="M107" t="n">
        <v>0</v>
      </c>
      <c r="N107" t="n">
        <v>0</v>
      </c>
      <c r="O107" t="n">
        <v>1</v>
      </c>
      <c r="P107" t="n">
        <v>1</v>
      </c>
      <c r="Q107" t="n">
        <v>1</v>
      </c>
      <c r="R107" s="2" t="inlineStr">
        <is>
          <t>Frösöstarr</t>
        </is>
      </c>
      <c r="S107">
        <f>HYPERLINK("https://klasma.github.io/Logging_2380/artfynd/A 43883-2024 artfynd.xlsx", "A 43883-2024")</f>
        <v/>
      </c>
      <c r="T107">
        <f>HYPERLINK("https://klasma.github.io/Logging_2380/kartor/A 43883-2024 karta.png", "A 43883-2024")</f>
        <v/>
      </c>
      <c r="V107">
        <f>HYPERLINK("https://klasma.github.io/Logging_2380/klagomål/A 43883-2024 FSC-klagomål.docx", "A 43883-2024")</f>
        <v/>
      </c>
      <c r="W107">
        <f>HYPERLINK("https://klasma.github.io/Logging_2380/klagomålsmail/A 43883-2024 FSC-klagomål mail.docx", "A 43883-2024")</f>
        <v/>
      </c>
      <c r="X107">
        <f>HYPERLINK("https://klasma.github.io/Logging_2380/tillsyn/A 43883-2024 tillsynsbegäran.docx", "A 43883-2024")</f>
        <v/>
      </c>
      <c r="Y107">
        <f>HYPERLINK("https://klasma.github.io/Logging_2380/tillsynsmail/A 43883-2024 tillsynsbegäran mail.docx", "A 43883-2024")</f>
        <v/>
      </c>
    </row>
    <row r="108" ht="15" customHeight="1">
      <c r="A108" t="inlineStr">
        <is>
          <t>A 28980-2023</t>
        </is>
      </c>
      <c r="B108" s="1" t="n">
        <v>45096</v>
      </c>
      <c r="C108" s="1" t="n">
        <v>45887</v>
      </c>
      <c r="D108" t="inlineStr">
        <is>
          <t>JÄMTLANDS LÄN</t>
        </is>
      </c>
      <c r="E108" t="inlineStr">
        <is>
          <t>ÖSTERSUND</t>
        </is>
      </c>
      <c r="G108" t="n">
        <v>2.7</v>
      </c>
      <c r="H108" t="n">
        <v>0</v>
      </c>
      <c r="I108" t="n">
        <v>1</v>
      </c>
      <c r="J108" t="n">
        <v>0</v>
      </c>
      <c r="K108" t="n">
        <v>0</v>
      </c>
      <c r="L108" t="n">
        <v>0</v>
      </c>
      <c r="M108" t="n">
        <v>0</v>
      </c>
      <c r="N108" t="n">
        <v>0</v>
      </c>
      <c r="O108" t="n">
        <v>0</v>
      </c>
      <c r="P108" t="n">
        <v>0</v>
      </c>
      <c r="Q108" t="n">
        <v>1</v>
      </c>
      <c r="R108" s="2" t="inlineStr">
        <is>
          <t>Finbräken</t>
        </is>
      </c>
      <c r="S108">
        <f>HYPERLINK("https://klasma.github.io/Logging_2380/artfynd/A 28980-2023 artfynd.xlsx", "A 28980-2023")</f>
        <v/>
      </c>
      <c r="T108">
        <f>HYPERLINK("https://klasma.github.io/Logging_2380/kartor/A 28980-2023 karta.png", "A 28980-2023")</f>
        <v/>
      </c>
      <c r="V108">
        <f>HYPERLINK("https://klasma.github.io/Logging_2380/klagomål/A 28980-2023 FSC-klagomål.docx", "A 28980-2023")</f>
        <v/>
      </c>
      <c r="W108">
        <f>HYPERLINK("https://klasma.github.io/Logging_2380/klagomålsmail/A 28980-2023 FSC-klagomål mail.docx", "A 28980-2023")</f>
        <v/>
      </c>
      <c r="X108">
        <f>HYPERLINK("https://klasma.github.io/Logging_2380/tillsyn/A 28980-2023 tillsynsbegäran.docx", "A 28980-2023")</f>
        <v/>
      </c>
      <c r="Y108">
        <f>HYPERLINK("https://klasma.github.io/Logging_2380/tillsynsmail/A 28980-2023 tillsynsbegäran mail.docx", "A 28980-2023")</f>
        <v/>
      </c>
    </row>
    <row r="109" ht="15" customHeight="1">
      <c r="A109" t="inlineStr">
        <is>
          <t>A 33550-2025</t>
        </is>
      </c>
      <c r="B109" s="1" t="n">
        <v>45841.57331018519</v>
      </c>
      <c r="C109" s="1" t="n">
        <v>45887</v>
      </c>
      <c r="D109" t="inlineStr">
        <is>
          <t>JÄMTLANDS LÄN</t>
        </is>
      </c>
      <c r="E109" t="inlineStr">
        <is>
          <t>ÖSTERSUND</t>
        </is>
      </c>
      <c r="F109" t="inlineStr">
        <is>
          <t>SCA</t>
        </is>
      </c>
      <c r="G109" t="n">
        <v>7.3</v>
      </c>
      <c r="H109" t="n">
        <v>0</v>
      </c>
      <c r="I109" t="n">
        <v>1</v>
      </c>
      <c r="J109" t="n">
        <v>0</v>
      </c>
      <c r="K109" t="n">
        <v>0</v>
      </c>
      <c r="L109" t="n">
        <v>0</v>
      </c>
      <c r="M109" t="n">
        <v>0</v>
      </c>
      <c r="N109" t="n">
        <v>0</v>
      </c>
      <c r="O109" t="n">
        <v>0</v>
      </c>
      <c r="P109" t="n">
        <v>0</v>
      </c>
      <c r="Q109" t="n">
        <v>1</v>
      </c>
      <c r="R109" s="2" t="inlineStr">
        <is>
          <t>Dropptaggsvamp</t>
        </is>
      </c>
      <c r="S109">
        <f>HYPERLINK("https://klasma.github.io/Logging_2380/artfynd/A 33550-2025 artfynd.xlsx", "A 33550-2025")</f>
        <v/>
      </c>
      <c r="T109">
        <f>HYPERLINK("https://klasma.github.io/Logging_2380/kartor/A 33550-2025 karta.png", "A 33550-2025")</f>
        <v/>
      </c>
      <c r="V109">
        <f>HYPERLINK("https://klasma.github.io/Logging_2380/klagomål/A 33550-2025 FSC-klagomål.docx", "A 33550-2025")</f>
        <v/>
      </c>
      <c r="W109">
        <f>HYPERLINK("https://klasma.github.io/Logging_2380/klagomålsmail/A 33550-2025 FSC-klagomål mail.docx", "A 33550-2025")</f>
        <v/>
      </c>
      <c r="X109">
        <f>HYPERLINK("https://klasma.github.io/Logging_2380/tillsyn/A 33550-2025 tillsynsbegäran.docx", "A 33550-2025")</f>
        <v/>
      </c>
      <c r="Y109">
        <f>HYPERLINK("https://klasma.github.io/Logging_2380/tillsynsmail/A 33550-2025 tillsynsbegäran mail.docx", "A 33550-2025")</f>
        <v/>
      </c>
    </row>
    <row r="110" ht="15" customHeight="1">
      <c r="A110" t="inlineStr">
        <is>
          <t>A 25244-2025</t>
        </is>
      </c>
      <c r="B110" s="1" t="n">
        <v>45800.49240740741</v>
      </c>
      <c r="C110" s="1" t="n">
        <v>45887</v>
      </c>
      <c r="D110" t="inlineStr">
        <is>
          <t>JÄMTLANDS LÄN</t>
        </is>
      </c>
      <c r="E110" t="inlineStr">
        <is>
          <t>ÖSTERSUND</t>
        </is>
      </c>
      <c r="G110" t="n">
        <v>5</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25244-2025 artfynd.xlsx", "A 25244-2025")</f>
        <v/>
      </c>
      <c r="T110">
        <f>HYPERLINK("https://klasma.github.io/Logging_2380/kartor/A 25244-2025 karta.png", "A 25244-2025")</f>
        <v/>
      </c>
      <c r="V110">
        <f>HYPERLINK("https://klasma.github.io/Logging_2380/klagomål/A 25244-2025 FSC-klagomål.docx", "A 25244-2025")</f>
        <v/>
      </c>
      <c r="W110">
        <f>HYPERLINK("https://klasma.github.io/Logging_2380/klagomålsmail/A 25244-2025 FSC-klagomål mail.docx", "A 25244-2025")</f>
        <v/>
      </c>
      <c r="X110">
        <f>HYPERLINK("https://klasma.github.io/Logging_2380/tillsyn/A 25244-2025 tillsynsbegäran.docx", "A 25244-2025")</f>
        <v/>
      </c>
      <c r="Y110">
        <f>HYPERLINK("https://klasma.github.io/Logging_2380/tillsynsmail/A 25244-2025 tillsynsbegäran mail.docx", "A 25244-2025")</f>
        <v/>
      </c>
      <c r="Z110">
        <f>HYPERLINK("https://klasma.github.io/Logging_2380/fåglar/A 25244-2025 prioriterade fågelarter.docx", "A 25244-2025")</f>
        <v/>
      </c>
    </row>
    <row r="111" ht="15" customHeight="1">
      <c r="A111" t="inlineStr">
        <is>
          <t>A 41770-2024</t>
        </is>
      </c>
      <c r="B111" s="1" t="n">
        <v>45561.34641203703</v>
      </c>
      <c r="C111" s="1" t="n">
        <v>45887</v>
      </c>
      <c r="D111" t="inlineStr">
        <is>
          <t>JÄMTLANDS LÄN</t>
        </is>
      </c>
      <c r="E111" t="inlineStr">
        <is>
          <t>ÖSTERSUND</t>
        </is>
      </c>
      <c r="F111" t="inlineStr">
        <is>
          <t>SCA</t>
        </is>
      </c>
      <c r="G111" t="n">
        <v>4.4</v>
      </c>
      <c r="H111" t="n">
        <v>0</v>
      </c>
      <c r="I111" t="n">
        <v>1</v>
      </c>
      <c r="J111" t="n">
        <v>0</v>
      </c>
      <c r="K111" t="n">
        <v>0</v>
      </c>
      <c r="L111" t="n">
        <v>0</v>
      </c>
      <c r="M111" t="n">
        <v>0</v>
      </c>
      <c r="N111" t="n">
        <v>0</v>
      </c>
      <c r="O111" t="n">
        <v>0</v>
      </c>
      <c r="P111" t="n">
        <v>0</v>
      </c>
      <c r="Q111" t="n">
        <v>1</v>
      </c>
      <c r="R111" s="2" t="inlineStr">
        <is>
          <t>Vedticka</t>
        </is>
      </c>
      <c r="S111">
        <f>HYPERLINK("https://klasma.github.io/Logging_2380/artfynd/A 41770-2024 artfynd.xlsx", "A 41770-2024")</f>
        <v/>
      </c>
      <c r="T111">
        <f>HYPERLINK("https://klasma.github.io/Logging_2380/kartor/A 41770-2024 karta.png", "A 41770-2024")</f>
        <v/>
      </c>
      <c r="V111">
        <f>HYPERLINK("https://klasma.github.io/Logging_2380/klagomål/A 41770-2024 FSC-klagomål.docx", "A 41770-2024")</f>
        <v/>
      </c>
      <c r="W111">
        <f>HYPERLINK("https://klasma.github.io/Logging_2380/klagomålsmail/A 41770-2024 FSC-klagomål mail.docx", "A 41770-2024")</f>
        <v/>
      </c>
      <c r="X111">
        <f>HYPERLINK("https://klasma.github.io/Logging_2380/tillsyn/A 41770-2024 tillsynsbegäran.docx", "A 41770-2024")</f>
        <v/>
      </c>
      <c r="Y111">
        <f>HYPERLINK("https://klasma.github.io/Logging_2380/tillsynsmail/A 41770-2024 tillsynsbegäran mail.docx", "A 41770-2024")</f>
        <v/>
      </c>
    </row>
    <row r="112" ht="15" customHeight="1">
      <c r="A112" t="inlineStr">
        <is>
          <t>A 41312-2024</t>
        </is>
      </c>
      <c r="B112" s="1" t="n">
        <v>45559.63584490741</v>
      </c>
      <c r="C112" s="1" t="n">
        <v>45887</v>
      </c>
      <c r="D112" t="inlineStr">
        <is>
          <t>JÄMTLANDS LÄN</t>
        </is>
      </c>
      <c r="E112" t="inlineStr">
        <is>
          <t>ÖSTERSUND</t>
        </is>
      </c>
      <c r="F112" t="inlineStr">
        <is>
          <t>SCA</t>
        </is>
      </c>
      <c r="G112" t="n">
        <v>2.6</v>
      </c>
      <c r="H112" t="n">
        <v>0</v>
      </c>
      <c r="I112" t="n">
        <v>0</v>
      </c>
      <c r="J112" t="n">
        <v>1</v>
      </c>
      <c r="K112" t="n">
        <v>0</v>
      </c>
      <c r="L112" t="n">
        <v>0</v>
      </c>
      <c r="M112" t="n">
        <v>0</v>
      </c>
      <c r="N112" t="n">
        <v>0</v>
      </c>
      <c r="O112" t="n">
        <v>1</v>
      </c>
      <c r="P112" t="n">
        <v>0</v>
      </c>
      <c r="Q112" t="n">
        <v>1</v>
      </c>
      <c r="R112" s="2" t="inlineStr">
        <is>
          <t>Dvärgbägarlav</t>
        </is>
      </c>
      <c r="S112">
        <f>HYPERLINK("https://klasma.github.io/Logging_2380/artfynd/A 41312-2024 artfynd.xlsx", "A 41312-2024")</f>
        <v/>
      </c>
      <c r="T112">
        <f>HYPERLINK("https://klasma.github.io/Logging_2380/kartor/A 41312-2024 karta.png", "A 41312-2024")</f>
        <v/>
      </c>
      <c r="V112">
        <f>HYPERLINK("https://klasma.github.io/Logging_2380/klagomål/A 41312-2024 FSC-klagomål.docx", "A 41312-2024")</f>
        <v/>
      </c>
      <c r="W112">
        <f>HYPERLINK("https://klasma.github.io/Logging_2380/klagomålsmail/A 41312-2024 FSC-klagomål mail.docx", "A 41312-2024")</f>
        <v/>
      </c>
      <c r="X112">
        <f>HYPERLINK("https://klasma.github.io/Logging_2380/tillsyn/A 41312-2024 tillsynsbegäran.docx", "A 41312-2024")</f>
        <v/>
      </c>
      <c r="Y112">
        <f>HYPERLINK("https://klasma.github.io/Logging_2380/tillsynsmail/A 41312-2024 tillsynsbegäran mail.docx", "A 41312-2024")</f>
        <v/>
      </c>
    </row>
    <row r="113" ht="15" customHeight="1">
      <c r="A113" t="inlineStr">
        <is>
          <t>A 33267-2022</t>
        </is>
      </c>
      <c r="B113" s="1" t="n">
        <v>44785</v>
      </c>
      <c r="C113" s="1" t="n">
        <v>45887</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56201-2024</t>
        </is>
      </c>
      <c r="B114" s="1" t="n">
        <v>45624.59462962963</v>
      </c>
      <c r="C114" s="1" t="n">
        <v>45887</v>
      </c>
      <c r="D114" t="inlineStr">
        <is>
          <t>JÄMTLANDS LÄN</t>
        </is>
      </c>
      <c r="E114" t="inlineStr">
        <is>
          <t>ÖSTERSUND</t>
        </is>
      </c>
      <c r="F114" t="inlineStr">
        <is>
          <t>SCA</t>
        </is>
      </c>
      <c r="G114" t="n">
        <v>5.9</v>
      </c>
      <c r="H114" t="n">
        <v>1</v>
      </c>
      <c r="I114" t="n">
        <v>0</v>
      </c>
      <c r="J114" t="n">
        <v>0</v>
      </c>
      <c r="K114" t="n">
        <v>1</v>
      </c>
      <c r="L114" t="n">
        <v>0</v>
      </c>
      <c r="M114" t="n">
        <v>0</v>
      </c>
      <c r="N114" t="n">
        <v>0</v>
      </c>
      <c r="O114" t="n">
        <v>1</v>
      </c>
      <c r="P114" t="n">
        <v>1</v>
      </c>
      <c r="Q114" t="n">
        <v>1</v>
      </c>
      <c r="R114" s="2" t="inlineStr">
        <is>
          <t>Doftticka</t>
        </is>
      </c>
      <c r="S114">
        <f>HYPERLINK("https://klasma.github.io/Logging_2380/artfynd/A 56201-2024 artfynd.xlsx", "A 56201-2024")</f>
        <v/>
      </c>
      <c r="T114">
        <f>HYPERLINK("https://klasma.github.io/Logging_2380/kartor/A 56201-2024 karta.png", "A 56201-2024")</f>
        <v/>
      </c>
      <c r="V114">
        <f>HYPERLINK("https://klasma.github.io/Logging_2380/klagomål/A 56201-2024 FSC-klagomål.docx", "A 56201-2024")</f>
        <v/>
      </c>
      <c r="W114">
        <f>HYPERLINK("https://klasma.github.io/Logging_2380/klagomålsmail/A 56201-2024 FSC-klagomål mail.docx", "A 56201-2024")</f>
        <v/>
      </c>
      <c r="X114">
        <f>HYPERLINK("https://klasma.github.io/Logging_2380/tillsyn/A 56201-2024 tillsynsbegäran.docx", "A 56201-2024")</f>
        <v/>
      </c>
      <c r="Y114">
        <f>HYPERLINK("https://klasma.github.io/Logging_2380/tillsynsmail/A 56201-2024 tillsynsbegäran mail.docx", "A 56201-2024")</f>
        <v/>
      </c>
    </row>
    <row r="115" ht="15" customHeight="1">
      <c r="A115" t="inlineStr">
        <is>
          <t>A 59108-2024</t>
        </is>
      </c>
      <c r="B115" s="1" t="n">
        <v>45637.34469907408</v>
      </c>
      <c r="C115" s="1" t="n">
        <v>45887</v>
      </c>
      <c r="D115" t="inlineStr">
        <is>
          <t>JÄMTLANDS LÄN</t>
        </is>
      </c>
      <c r="E115" t="inlineStr">
        <is>
          <t>ÖSTERSUND</t>
        </is>
      </c>
      <c r="F115" t="inlineStr">
        <is>
          <t>SCA</t>
        </is>
      </c>
      <c r="G115" t="n">
        <v>10.6</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59108-2024 artfynd.xlsx", "A 59108-2024")</f>
        <v/>
      </c>
      <c r="T115">
        <f>HYPERLINK("https://klasma.github.io/Logging_2380/kartor/A 59108-2024 karta.png", "A 59108-2024")</f>
        <v/>
      </c>
      <c r="V115">
        <f>HYPERLINK("https://klasma.github.io/Logging_2380/klagomål/A 59108-2024 FSC-klagomål.docx", "A 59108-2024")</f>
        <v/>
      </c>
      <c r="W115">
        <f>HYPERLINK("https://klasma.github.io/Logging_2380/klagomålsmail/A 59108-2024 FSC-klagomål mail.docx", "A 59108-2024")</f>
        <v/>
      </c>
      <c r="X115">
        <f>HYPERLINK("https://klasma.github.io/Logging_2380/tillsyn/A 59108-2024 tillsynsbegäran.docx", "A 59108-2024")</f>
        <v/>
      </c>
      <c r="Y115">
        <f>HYPERLINK("https://klasma.github.io/Logging_2380/tillsynsmail/A 59108-2024 tillsynsbegäran mail.docx", "A 59108-2024")</f>
        <v/>
      </c>
      <c r="Z115">
        <f>HYPERLINK("https://klasma.github.io/Logging_2380/fåglar/A 59108-2024 prioriterade fågelarter.docx", "A 59108-2024")</f>
        <v/>
      </c>
    </row>
    <row r="116" ht="15" customHeight="1">
      <c r="A116" t="inlineStr">
        <is>
          <t>A 17217-2021</t>
        </is>
      </c>
      <c r="B116" s="1" t="n">
        <v>44298</v>
      </c>
      <c r="C116" s="1" t="n">
        <v>45887</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46163-2021</t>
        </is>
      </c>
      <c r="B117" s="1" t="n">
        <v>44441</v>
      </c>
      <c r="C117" s="1" t="n">
        <v>45887</v>
      </c>
      <c r="D117" t="inlineStr">
        <is>
          <t>JÄMTLANDS LÄN</t>
        </is>
      </c>
      <c r="E117" t="inlineStr">
        <is>
          <t>ÖSTERSUND</t>
        </is>
      </c>
      <c r="G117" t="n">
        <v>7.7</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46163-2021 artfynd.xlsx", "A 46163-2021")</f>
        <v/>
      </c>
      <c r="T117">
        <f>HYPERLINK("https://klasma.github.io/Logging_2380/kartor/A 46163-2021 karta.png", "A 46163-2021")</f>
        <v/>
      </c>
      <c r="V117">
        <f>HYPERLINK("https://klasma.github.io/Logging_2380/klagomål/A 46163-2021 FSC-klagomål.docx", "A 46163-2021")</f>
        <v/>
      </c>
      <c r="W117">
        <f>HYPERLINK("https://klasma.github.io/Logging_2380/klagomålsmail/A 46163-2021 FSC-klagomål mail.docx", "A 46163-2021")</f>
        <v/>
      </c>
      <c r="X117">
        <f>HYPERLINK("https://klasma.github.io/Logging_2380/tillsyn/A 46163-2021 tillsynsbegäran.docx", "A 46163-2021")</f>
        <v/>
      </c>
      <c r="Y117">
        <f>HYPERLINK("https://klasma.github.io/Logging_2380/tillsynsmail/A 46163-2021 tillsynsbegäran mail.docx", "A 46163-2021")</f>
        <v/>
      </c>
      <c r="Z117">
        <f>HYPERLINK("https://klasma.github.io/Logging_2380/fåglar/A 46163-2021 prioriterade fågelarter.docx", "A 46163-2021")</f>
        <v/>
      </c>
    </row>
    <row r="118" ht="15" customHeight="1">
      <c r="A118" t="inlineStr">
        <is>
          <t>A 64380-2023</t>
        </is>
      </c>
      <c r="B118" s="1" t="n">
        <v>45280.56451388889</v>
      </c>
      <c r="C118" s="1" t="n">
        <v>45887</v>
      </c>
      <c r="D118" t="inlineStr">
        <is>
          <t>JÄMTLANDS LÄN</t>
        </is>
      </c>
      <c r="E118" t="inlineStr">
        <is>
          <t>ÖSTERSUND</t>
        </is>
      </c>
      <c r="G118" t="n">
        <v>12.4</v>
      </c>
      <c r="H118" t="n">
        <v>0</v>
      </c>
      <c r="I118" t="n">
        <v>0</v>
      </c>
      <c r="J118" t="n">
        <v>1</v>
      </c>
      <c r="K118" t="n">
        <v>0</v>
      </c>
      <c r="L118" t="n">
        <v>0</v>
      </c>
      <c r="M118" t="n">
        <v>0</v>
      </c>
      <c r="N118" t="n">
        <v>0</v>
      </c>
      <c r="O118" t="n">
        <v>1</v>
      </c>
      <c r="P118" t="n">
        <v>0</v>
      </c>
      <c r="Q118" t="n">
        <v>1</v>
      </c>
      <c r="R118" s="2" t="inlineStr">
        <is>
          <t>Luddfingersvamp</t>
        </is>
      </c>
      <c r="S118">
        <f>HYPERLINK("https://klasma.github.io/Logging_2380/artfynd/A 64380-2023 artfynd.xlsx", "A 64380-2023")</f>
        <v/>
      </c>
      <c r="T118">
        <f>HYPERLINK("https://klasma.github.io/Logging_2380/kartor/A 64380-2023 karta.png", "A 64380-2023")</f>
        <v/>
      </c>
      <c r="V118">
        <f>HYPERLINK("https://klasma.github.io/Logging_2380/klagomål/A 64380-2023 FSC-klagomål.docx", "A 64380-2023")</f>
        <v/>
      </c>
      <c r="W118">
        <f>HYPERLINK("https://klasma.github.io/Logging_2380/klagomålsmail/A 64380-2023 FSC-klagomål mail.docx", "A 64380-2023")</f>
        <v/>
      </c>
      <c r="X118">
        <f>HYPERLINK("https://klasma.github.io/Logging_2380/tillsyn/A 64380-2023 tillsynsbegäran.docx", "A 64380-2023")</f>
        <v/>
      </c>
      <c r="Y118">
        <f>HYPERLINK("https://klasma.github.io/Logging_2380/tillsynsmail/A 64380-2023 tillsynsbegäran mail.docx", "A 64380-2023")</f>
        <v/>
      </c>
    </row>
    <row r="119" ht="15" customHeight="1">
      <c r="A119" t="inlineStr">
        <is>
          <t>A 40696-2024</t>
        </is>
      </c>
      <c r="B119" s="1" t="n">
        <v>45558</v>
      </c>
      <c r="C119" s="1" t="n">
        <v>45887</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52535-2020</t>
        </is>
      </c>
      <c r="B120" s="1" t="n">
        <v>44118</v>
      </c>
      <c r="C120" s="1" t="n">
        <v>45887</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20620-2021</t>
        </is>
      </c>
      <c r="B121" s="1" t="n">
        <v>44316</v>
      </c>
      <c r="C121" s="1" t="n">
        <v>45887</v>
      </c>
      <c r="D121" t="inlineStr">
        <is>
          <t>JÄMTLANDS LÄN</t>
        </is>
      </c>
      <c r="E121" t="inlineStr">
        <is>
          <t>ÖSTERSUND</t>
        </is>
      </c>
      <c r="G121" t="n">
        <v>1.1</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45887</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66288-2020</t>
        </is>
      </c>
      <c r="B123" s="1" t="n">
        <v>44174</v>
      </c>
      <c r="C123" s="1" t="n">
        <v>45887</v>
      </c>
      <c r="D123" t="inlineStr">
        <is>
          <t>JÄMTLANDS LÄN</t>
        </is>
      </c>
      <c r="E123" t="inlineStr">
        <is>
          <t>ÖSTERSUND</t>
        </is>
      </c>
      <c r="F123" t="inlineStr">
        <is>
          <t>Övriga statliga verk och myndigheter</t>
        </is>
      </c>
      <c r="G123" t="n">
        <v>1.2</v>
      </c>
      <c r="H123" t="n">
        <v>0</v>
      </c>
      <c r="I123" t="n">
        <v>0</v>
      </c>
      <c r="J123" t="n">
        <v>0</v>
      </c>
      <c r="K123" t="n">
        <v>0</v>
      </c>
      <c r="L123" t="n">
        <v>0</v>
      </c>
      <c r="M123" t="n">
        <v>0</v>
      </c>
      <c r="N123" t="n">
        <v>0</v>
      </c>
      <c r="O123" t="n">
        <v>0</v>
      </c>
      <c r="P123" t="n">
        <v>0</v>
      </c>
      <c r="Q123" t="n">
        <v>0</v>
      </c>
      <c r="R123" s="2" t="inlineStr"/>
    </row>
    <row r="124" ht="15" customHeight="1">
      <c r="A124" t="inlineStr">
        <is>
          <t>A 39735-2021</t>
        </is>
      </c>
      <c r="B124" s="1" t="n">
        <v>44414</v>
      </c>
      <c r="C124" s="1" t="n">
        <v>45887</v>
      </c>
      <c r="D124" t="inlineStr">
        <is>
          <t>JÄMTLANDS LÄN</t>
        </is>
      </c>
      <c r="E124" t="inlineStr">
        <is>
          <t>ÖSTERSUND</t>
        </is>
      </c>
      <c r="G124" t="n">
        <v>4.5</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45887</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45887</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45887</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45887</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45887</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45887</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45887</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45887</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45887</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45887</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45887</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45887</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45887</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45887</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45887</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8647-2022</t>
        </is>
      </c>
      <c r="B140" s="1" t="n">
        <v>44613</v>
      </c>
      <c r="C140" s="1" t="n">
        <v>45887</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50121-2020</t>
        </is>
      </c>
      <c r="B141" s="1" t="n">
        <v>44106</v>
      </c>
      <c r="C141" s="1" t="n">
        <v>45887</v>
      </c>
      <c r="D141" t="inlineStr">
        <is>
          <t>JÄMTLANDS LÄN</t>
        </is>
      </c>
      <c r="E141" t="inlineStr">
        <is>
          <t>ÖSTERSUND</t>
        </is>
      </c>
      <c r="F141" t="inlineStr">
        <is>
          <t>Övriga statliga verk och myndigheter</t>
        </is>
      </c>
      <c r="G141" t="n">
        <v>5.2</v>
      </c>
      <c r="H141" t="n">
        <v>0</v>
      </c>
      <c r="I141" t="n">
        <v>0</v>
      </c>
      <c r="J141" t="n">
        <v>0</v>
      </c>
      <c r="K141" t="n">
        <v>0</v>
      </c>
      <c r="L141" t="n">
        <v>0</v>
      </c>
      <c r="M141" t="n">
        <v>0</v>
      </c>
      <c r="N141" t="n">
        <v>0</v>
      </c>
      <c r="O141" t="n">
        <v>0</v>
      </c>
      <c r="P141" t="n">
        <v>0</v>
      </c>
      <c r="Q141" t="n">
        <v>0</v>
      </c>
      <c r="R141" s="2" t="inlineStr"/>
    </row>
    <row r="142" ht="15" customHeight="1">
      <c r="A142" t="inlineStr">
        <is>
          <t>A 66286-2020</t>
        </is>
      </c>
      <c r="B142" s="1" t="n">
        <v>44174</v>
      </c>
      <c r="C142" s="1" t="n">
        <v>45887</v>
      </c>
      <c r="D142" t="inlineStr">
        <is>
          <t>JÄMTLANDS LÄN</t>
        </is>
      </c>
      <c r="E142" t="inlineStr">
        <is>
          <t>ÖSTERSUND</t>
        </is>
      </c>
      <c r="F142" t="inlineStr">
        <is>
          <t>Övriga statliga verk och myndigheter</t>
        </is>
      </c>
      <c r="G142" t="n">
        <v>1.1</v>
      </c>
      <c r="H142" t="n">
        <v>0</v>
      </c>
      <c r="I142" t="n">
        <v>0</v>
      </c>
      <c r="J142" t="n">
        <v>0</v>
      </c>
      <c r="K142" t="n">
        <v>0</v>
      </c>
      <c r="L142" t="n">
        <v>0</v>
      </c>
      <c r="M142" t="n">
        <v>0</v>
      </c>
      <c r="N142" t="n">
        <v>0</v>
      </c>
      <c r="O142" t="n">
        <v>0</v>
      </c>
      <c r="P142" t="n">
        <v>0</v>
      </c>
      <c r="Q142" t="n">
        <v>0</v>
      </c>
      <c r="R142" s="2" t="inlineStr"/>
    </row>
    <row r="143" ht="15" customHeight="1">
      <c r="A143" t="inlineStr">
        <is>
          <t>A 50144-2020</t>
        </is>
      </c>
      <c r="B143" s="1" t="n">
        <v>44106</v>
      </c>
      <c r="C143" s="1" t="n">
        <v>45887</v>
      </c>
      <c r="D143" t="inlineStr">
        <is>
          <t>JÄMTLANDS LÄN</t>
        </is>
      </c>
      <c r="E143" t="inlineStr">
        <is>
          <t>ÖSTERSUND</t>
        </is>
      </c>
      <c r="F143" t="inlineStr">
        <is>
          <t>Övriga statliga verk och myndigheter</t>
        </is>
      </c>
      <c r="G143" t="n">
        <v>2.2</v>
      </c>
      <c r="H143" t="n">
        <v>0</v>
      </c>
      <c r="I143" t="n">
        <v>0</v>
      </c>
      <c r="J143" t="n">
        <v>0</v>
      </c>
      <c r="K143" t="n">
        <v>0</v>
      </c>
      <c r="L143" t="n">
        <v>0</v>
      </c>
      <c r="M143" t="n">
        <v>0</v>
      </c>
      <c r="N143" t="n">
        <v>0</v>
      </c>
      <c r="O143" t="n">
        <v>0</v>
      </c>
      <c r="P143" t="n">
        <v>0</v>
      </c>
      <c r="Q143" t="n">
        <v>0</v>
      </c>
      <c r="R143" s="2" t="inlineStr"/>
    </row>
    <row r="144" ht="15" customHeight="1">
      <c r="A144" t="inlineStr">
        <is>
          <t>A 126-2021</t>
        </is>
      </c>
      <c r="B144" s="1" t="n">
        <v>44200</v>
      </c>
      <c r="C144" s="1" t="n">
        <v>45887</v>
      </c>
      <c r="D144" t="inlineStr">
        <is>
          <t>JÄMTLANDS LÄN</t>
        </is>
      </c>
      <c r="E144" t="inlineStr">
        <is>
          <t>ÖSTERSUND</t>
        </is>
      </c>
      <c r="G144" t="n">
        <v>1.6</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45887</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19541-2021</t>
        </is>
      </c>
      <c r="B146" s="1" t="n">
        <v>44312.41724537037</v>
      </c>
      <c r="C146" s="1" t="n">
        <v>45887</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2880-2022</t>
        </is>
      </c>
      <c r="B147" s="1" t="n">
        <v>44581</v>
      </c>
      <c r="C147" s="1" t="n">
        <v>45887</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10834-2021</t>
        </is>
      </c>
      <c r="B148" s="1" t="n">
        <v>44259</v>
      </c>
      <c r="C148" s="1" t="n">
        <v>45887</v>
      </c>
      <c r="D148" t="inlineStr">
        <is>
          <t>JÄMTLANDS LÄN</t>
        </is>
      </c>
      <c r="E148" t="inlineStr">
        <is>
          <t>ÖSTERSUND</t>
        </is>
      </c>
      <c r="G148" t="n">
        <v>12.2</v>
      </c>
      <c r="H148" t="n">
        <v>0</v>
      </c>
      <c r="I148" t="n">
        <v>0</v>
      </c>
      <c r="J148" t="n">
        <v>0</v>
      </c>
      <c r="K148" t="n">
        <v>0</v>
      </c>
      <c r="L148" t="n">
        <v>0</v>
      </c>
      <c r="M148" t="n">
        <v>0</v>
      </c>
      <c r="N148" t="n">
        <v>0</v>
      </c>
      <c r="O148" t="n">
        <v>0</v>
      </c>
      <c r="P148" t="n">
        <v>0</v>
      </c>
      <c r="Q148" t="n">
        <v>0</v>
      </c>
      <c r="R148" s="2" t="inlineStr"/>
    </row>
    <row r="149" ht="15" customHeight="1">
      <c r="A149" t="inlineStr">
        <is>
          <t>A 47295-2022</t>
        </is>
      </c>
      <c r="B149" s="1" t="n">
        <v>44852</v>
      </c>
      <c r="C149" s="1" t="n">
        <v>45887</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67400-2020</t>
        </is>
      </c>
      <c r="B150" s="1" t="n">
        <v>44181</v>
      </c>
      <c r="C150" s="1" t="n">
        <v>45887</v>
      </c>
      <c r="D150" t="inlineStr">
        <is>
          <t>JÄMTLANDS LÄN</t>
        </is>
      </c>
      <c r="E150" t="inlineStr">
        <is>
          <t>ÖSTERSUND</t>
        </is>
      </c>
      <c r="G150" t="n">
        <v>0.7</v>
      </c>
      <c r="H150" t="n">
        <v>0</v>
      </c>
      <c r="I150" t="n">
        <v>0</v>
      </c>
      <c r="J150" t="n">
        <v>0</v>
      </c>
      <c r="K150" t="n">
        <v>0</v>
      </c>
      <c r="L150" t="n">
        <v>0</v>
      </c>
      <c r="M150" t="n">
        <v>0</v>
      </c>
      <c r="N150" t="n">
        <v>0</v>
      </c>
      <c r="O150" t="n">
        <v>0</v>
      </c>
      <c r="P150" t="n">
        <v>0</v>
      </c>
      <c r="Q150" t="n">
        <v>0</v>
      </c>
      <c r="R150" s="2" t="inlineStr"/>
    </row>
    <row r="151" ht="15" customHeight="1">
      <c r="A151" t="inlineStr">
        <is>
          <t>A 154-2022</t>
        </is>
      </c>
      <c r="B151" s="1" t="n">
        <v>44561</v>
      </c>
      <c r="C151" s="1" t="n">
        <v>45887</v>
      </c>
      <c r="D151" t="inlineStr">
        <is>
          <t>JÄMTLANDS LÄN</t>
        </is>
      </c>
      <c r="E151" t="inlineStr">
        <is>
          <t>ÖSTERSUND</t>
        </is>
      </c>
      <c r="G151" t="n">
        <v>4.2</v>
      </c>
      <c r="H151" t="n">
        <v>0</v>
      </c>
      <c r="I151" t="n">
        <v>0</v>
      </c>
      <c r="J151" t="n">
        <v>0</v>
      </c>
      <c r="K151" t="n">
        <v>0</v>
      </c>
      <c r="L151" t="n">
        <v>0</v>
      </c>
      <c r="M151" t="n">
        <v>0</v>
      </c>
      <c r="N151" t="n">
        <v>0</v>
      </c>
      <c r="O151" t="n">
        <v>0</v>
      </c>
      <c r="P151" t="n">
        <v>0</v>
      </c>
      <c r="Q151" t="n">
        <v>0</v>
      </c>
      <c r="R151" s="2" t="inlineStr"/>
    </row>
    <row r="152" ht="15" customHeight="1">
      <c r="A152" t="inlineStr">
        <is>
          <t>A 14155-2021</t>
        </is>
      </c>
      <c r="B152" s="1" t="n">
        <v>44278.42459490741</v>
      </c>
      <c r="C152" s="1" t="n">
        <v>45887</v>
      </c>
      <c r="D152" t="inlineStr">
        <is>
          <t>JÄMTLANDS LÄN</t>
        </is>
      </c>
      <c r="E152" t="inlineStr">
        <is>
          <t>ÖSTERSUND</t>
        </is>
      </c>
      <c r="G152" t="n">
        <v>2.6</v>
      </c>
      <c r="H152" t="n">
        <v>0</v>
      </c>
      <c r="I152" t="n">
        <v>0</v>
      </c>
      <c r="J152" t="n">
        <v>0</v>
      </c>
      <c r="K152" t="n">
        <v>0</v>
      </c>
      <c r="L152" t="n">
        <v>0</v>
      </c>
      <c r="M152" t="n">
        <v>0</v>
      </c>
      <c r="N152" t="n">
        <v>0</v>
      </c>
      <c r="O152" t="n">
        <v>0</v>
      </c>
      <c r="P152" t="n">
        <v>0</v>
      </c>
      <c r="Q152" t="n">
        <v>0</v>
      </c>
      <c r="R152" s="2" t="inlineStr"/>
    </row>
    <row r="153" ht="15" customHeight="1">
      <c r="A153" t="inlineStr">
        <is>
          <t>A 35032-2021</t>
        </is>
      </c>
      <c r="B153" s="1" t="n">
        <v>44383.85295138889</v>
      </c>
      <c r="C153" s="1" t="n">
        <v>45887</v>
      </c>
      <c r="D153" t="inlineStr">
        <is>
          <t>JÄMTLANDS LÄN</t>
        </is>
      </c>
      <c r="E153" t="inlineStr">
        <is>
          <t>ÖSTERSUND</t>
        </is>
      </c>
      <c r="G153" t="n">
        <v>0.9</v>
      </c>
      <c r="H153" t="n">
        <v>0</v>
      </c>
      <c r="I153" t="n">
        <v>0</v>
      </c>
      <c r="J153" t="n">
        <v>0</v>
      </c>
      <c r="K153" t="n">
        <v>0</v>
      </c>
      <c r="L153" t="n">
        <v>0</v>
      </c>
      <c r="M153" t="n">
        <v>0</v>
      </c>
      <c r="N153" t="n">
        <v>0</v>
      </c>
      <c r="O153" t="n">
        <v>0</v>
      </c>
      <c r="P153" t="n">
        <v>0</v>
      </c>
      <c r="Q153" t="n">
        <v>0</v>
      </c>
      <c r="R153" s="2" t="inlineStr"/>
    </row>
    <row r="154" ht="15" customHeight="1">
      <c r="A154" t="inlineStr">
        <is>
          <t>A 46002-2021</t>
        </is>
      </c>
      <c r="B154" s="1" t="n">
        <v>44441.80453703704</v>
      </c>
      <c r="C154" s="1" t="n">
        <v>45887</v>
      </c>
      <c r="D154" t="inlineStr">
        <is>
          <t>JÄMTLANDS LÄN</t>
        </is>
      </c>
      <c r="E154" t="inlineStr">
        <is>
          <t>ÖSTERSUND</t>
        </is>
      </c>
      <c r="G154" t="n">
        <v>3.6</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45887</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45887</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45887</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27061-2021</t>
        </is>
      </c>
      <c r="B158" s="1" t="n">
        <v>44349</v>
      </c>
      <c r="C158" s="1" t="n">
        <v>45887</v>
      </c>
      <c r="D158" t="inlineStr">
        <is>
          <t>JÄMTLANDS LÄN</t>
        </is>
      </c>
      <c r="E158" t="inlineStr">
        <is>
          <t>ÖSTERSUND</t>
        </is>
      </c>
      <c r="G158" t="n">
        <v>3.2</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45887</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17362-2021</t>
        </is>
      </c>
      <c r="B160" s="1" t="n">
        <v>44298</v>
      </c>
      <c r="C160" s="1" t="n">
        <v>45887</v>
      </c>
      <c r="D160" t="inlineStr">
        <is>
          <t>JÄMTLANDS LÄN</t>
        </is>
      </c>
      <c r="E160" t="inlineStr">
        <is>
          <t>ÖSTERSUND</t>
        </is>
      </c>
      <c r="G160" t="n">
        <v>3.7</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45887</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45887</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29828-2022</t>
        </is>
      </c>
      <c r="B163" s="1" t="n">
        <v>44755</v>
      </c>
      <c r="C163" s="1" t="n">
        <v>45887</v>
      </c>
      <c r="D163" t="inlineStr">
        <is>
          <t>JÄMTLANDS LÄN</t>
        </is>
      </c>
      <c r="E163" t="inlineStr">
        <is>
          <t>ÖSTERSUND</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44267-2021</t>
        </is>
      </c>
      <c r="B164" s="1" t="n">
        <v>44434</v>
      </c>
      <c r="C164" s="1" t="n">
        <v>45887</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47296-2022</t>
        </is>
      </c>
      <c r="B165" s="1" t="n">
        <v>44852.95248842592</v>
      </c>
      <c r="C165" s="1" t="n">
        <v>45887</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17596-2021</t>
        </is>
      </c>
      <c r="B166" s="1" t="n">
        <v>44299</v>
      </c>
      <c r="C166" s="1" t="n">
        <v>45887</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72041-2021</t>
        </is>
      </c>
      <c r="B167" s="1" t="n">
        <v>44540</v>
      </c>
      <c r="C167" s="1" t="n">
        <v>45887</v>
      </c>
      <c r="D167" t="inlineStr">
        <is>
          <t>JÄMTLANDS LÄN</t>
        </is>
      </c>
      <c r="E167" t="inlineStr">
        <is>
          <t>ÖSTERSUND</t>
        </is>
      </c>
      <c r="G167" t="n">
        <v>0.4</v>
      </c>
      <c r="H167" t="n">
        <v>0</v>
      </c>
      <c r="I167" t="n">
        <v>0</v>
      </c>
      <c r="J167" t="n">
        <v>0</v>
      </c>
      <c r="K167" t="n">
        <v>0</v>
      </c>
      <c r="L167" t="n">
        <v>0</v>
      </c>
      <c r="M167" t="n">
        <v>0</v>
      </c>
      <c r="N167" t="n">
        <v>0</v>
      </c>
      <c r="O167" t="n">
        <v>0</v>
      </c>
      <c r="P167" t="n">
        <v>0</v>
      </c>
      <c r="Q167" t="n">
        <v>0</v>
      </c>
      <c r="R167" s="2" t="inlineStr"/>
    </row>
    <row r="168" ht="15" customHeight="1">
      <c r="A168" t="inlineStr">
        <is>
          <t>A 23895-2021</t>
        </is>
      </c>
      <c r="B168" s="1" t="n">
        <v>44335</v>
      </c>
      <c r="C168" s="1" t="n">
        <v>45887</v>
      </c>
      <c r="D168" t="inlineStr">
        <is>
          <t>JÄMTLANDS LÄN</t>
        </is>
      </c>
      <c r="E168" t="inlineStr">
        <is>
          <t>ÖSTERSUND</t>
        </is>
      </c>
      <c r="G168" t="n">
        <v>0.6</v>
      </c>
      <c r="H168" t="n">
        <v>0</v>
      </c>
      <c r="I168" t="n">
        <v>0</v>
      </c>
      <c r="J168" t="n">
        <v>0</v>
      </c>
      <c r="K168" t="n">
        <v>0</v>
      </c>
      <c r="L168" t="n">
        <v>0</v>
      </c>
      <c r="M168" t="n">
        <v>0</v>
      </c>
      <c r="N168" t="n">
        <v>0</v>
      </c>
      <c r="O168" t="n">
        <v>0</v>
      </c>
      <c r="P168" t="n">
        <v>0</v>
      </c>
      <c r="Q168" t="n">
        <v>0</v>
      </c>
      <c r="R168" s="2" t="inlineStr"/>
    </row>
    <row r="169" ht="15" customHeight="1">
      <c r="A169" t="inlineStr">
        <is>
          <t>A 70816-2021</t>
        </is>
      </c>
      <c r="B169" s="1" t="n">
        <v>44537.935</v>
      </c>
      <c r="C169" s="1" t="n">
        <v>45887</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8227-2022</t>
        </is>
      </c>
      <c r="B170" s="1" t="n">
        <v>44609.93075231482</v>
      </c>
      <c r="C170" s="1" t="n">
        <v>45887</v>
      </c>
      <c r="D170" t="inlineStr">
        <is>
          <t>JÄMTLANDS LÄN</t>
        </is>
      </c>
      <c r="E170" t="inlineStr">
        <is>
          <t>ÖSTERSUND</t>
        </is>
      </c>
      <c r="G170" t="n">
        <v>6.6</v>
      </c>
      <c r="H170" t="n">
        <v>0</v>
      </c>
      <c r="I170" t="n">
        <v>0</v>
      </c>
      <c r="J170" t="n">
        <v>0</v>
      </c>
      <c r="K170" t="n">
        <v>0</v>
      </c>
      <c r="L170" t="n">
        <v>0</v>
      </c>
      <c r="M170" t="n">
        <v>0</v>
      </c>
      <c r="N170" t="n">
        <v>0</v>
      </c>
      <c r="O170" t="n">
        <v>0</v>
      </c>
      <c r="P170" t="n">
        <v>0</v>
      </c>
      <c r="Q170" t="n">
        <v>0</v>
      </c>
      <c r="R170" s="2" t="inlineStr"/>
    </row>
    <row r="171" ht="15" customHeight="1">
      <c r="A171" t="inlineStr">
        <is>
          <t>A 56148-2022</t>
        </is>
      </c>
      <c r="B171" s="1" t="n">
        <v>44889.89929398148</v>
      </c>
      <c r="C171" s="1" t="n">
        <v>45887</v>
      </c>
      <c r="D171" t="inlineStr">
        <is>
          <t>JÄMTLANDS LÄN</t>
        </is>
      </c>
      <c r="E171" t="inlineStr">
        <is>
          <t>ÖSTERSUND</t>
        </is>
      </c>
      <c r="G171" t="n">
        <v>1.4</v>
      </c>
      <c r="H171" t="n">
        <v>0</v>
      </c>
      <c r="I171" t="n">
        <v>0</v>
      </c>
      <c r="J171" t="n">
        <v>0</v>
      </c>
      <c r="K171" t="n">
        <v>0</v>
      </c>
      <c r="L171" t="n">
        <v>0</v>
      </c>
      <c r="M171" t="n">
        <v>0</v>
      </c>
      <c r="N171" t="n">
        <v>0</v>
      </c>
      <c r="O171" t="n">
        <v>0</v>
      </c>
      <c r="P171" t="n">
        <v>0</v>
      </c>
      <c r="Q171" t="n">
        <v>0</v>
      </c>
      <c r="R171" s="2" t="inlineStr"/>
    </row>
    <row r="172" ht="15" customHeight="1">
      <c r="A172" t="inlineStr">
        <is>
          <t>A 43796-2020</t>
        </is>
      </c>
      <c r="B172" s="1" t="n">
        <v>44082</v>
      </c>
      <c r="C172" s="1" t="n">
        <v>45887</v>
      </c>
      <c r="D172" t="inlineStr">
        <is>
          <t>JÄMTLANDS LÄN</t>
        </is>
      </c>
      <c r="E172" t="inlineStr">
        <is>
          <t>ÖSTERSUND</t>
        </is>
      </c>
      <c r="G172" t="n">
        <v>1.5</v>
      </c>
      <c r="H172" t="n">
        <v>0</v>
      </c>
      <c r="I172" t="n">
        <v>0</v>
      </c>
      <c r="J172" t="n">
        <v>0</v>
      </c>
      <c r="K172" t="n">
        <v>0</v>
      </c>
      <c r="L172" t="n">
        <v>0</v>
      </c>
      <c r="M172" t="n">
        <v>0</v>
      </c>
      <c r="N172" t="n">
        <v>0</v>
      </c>
      <c r="O172" t="n">
        <v>0</v>
      </c>
      <c r="P172" t="n">
        <v>0</v>
      </c>
      <c r="Q172" t="n">
        <v>0</v>
      </c>
      <c r="R172" s="2" t="inlineStr"/>
    </row>
    <row r="173" ht="15" customHeight="1">
      <c r="A173" t="inlineStr">
        <is>
          <t>A 42832-2021</t>
        </is>
      </c>
      <c r="B173" s="1" t="n">
        <v>44430</v>
      </c>
      <c r="C173" s="1" t="n">
        <v>45887</v>
      </c>
      <c r="D173" t="inlineStr">
        <is>
          <t>JÄMTLANDS LÄN</t>
        </is>
      </c>
      <c r="E173" t="inlineStr">
        <is>
          <t>ÖSTERSUND</t>
        </is>
      </c>
      <c r="G173" t="n">
        <v>9</v>
      </c>
      <c r="H173" t="n">
        <v>0</v>
      </c>
      <c r="I173" t="n">
        <v>0</v>
      </c>
      <c r="J173" t="n">
        <v>0</v>
      </c>
      <c r="K173" t="n">
        <v>0</v>
      </c>
      <c r="L173" t="n">
        <v>0</v>
      </c>
      <c r="M173" t="n">
        <v>0</v>
      </c>
      <c r="N173" t="n">
        <v>0</v>
      </c>
      <c r="O173" t="n">
        <v>0</v>
      </c>
      <c r="P173" t="n">
        <v>0</v>
      </c>
      <c r="Q173" t="n">
        <v>0</v>
      </c>
      <c r="R173" s="2" t="inlineStr"/>
    </row>
    <row r="174" ht="15" customHeight="1">
      <c r="A174" t="inlineStr">
        <is>
          <t>A 66269-2020</t>
        </is>
      </c>
      <c r="B174" s="1" t="n">
        <v>44174</v>
      </c>
      <c r="C174" s="1" t="n">
        <v>45887</v>
      </c>
      <c r="D174" t="inlineStr">
        <is>
          <t>JÄMTLANDS LÄN</t>
        </is>
      </c>
      <c r="E174" t="inlineStr">
        <is>
          <t>ÖSTERSUND</t>
        </is>
      </c>
      <c r="F174" t="inlineStr">
        <is>
          <t>Övriga statliga verk och myndigheter</t>
        </is>
      </c>
      <c r="G174" t="n">
        <v>10</v>
      </c>
      <c r="H174" t="n">
        <v>0</v>
      </c>
      <c r="I174" t="n">
        <v>0</v>
      </c>
      <c r="J174" t="n">
        <v>0</v>
      </c>
      <c r="K174" t="n">
        <v>0</v>
      </c>
      <c r="L174" t="n">
        <v>0</v>
      </c>
      <c r="M174" t="n">
        <v>0</v>
      </c>
      <c r="N174" t="n">
        <v>0</v>
      </c>
      <c r="O174" t="n">
        <v>0</v>
      </c>
      <c r="P174" t="n">
        <v>0</v>
      </c>
      <c r="Q174" t="n">
        <v>0</v>
      </c>
      <c r="R174" s="2" t="inlineStr"/>
    </row>
    <row r="175" ht="15" customHeight="1">
      <c r="A175" t="inlineStr">
        <is>
          <t>A 35755-2021</t>
        </is>
      </c>
      <c r="B175" s="1" t="n">
        <v>44385</v>
      </c>
      <c r="C175" s="1" t="n">
        <v>45887</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65428-2021</t>
        </is>
      </c>
      <c r="B176" s="1" t="n">
        <v>44515</v>
      </c>
      <c r="C176" s="1" t="n">
        <v>45887</v>
      </c>
      <c r="D176" t="inlineStr">
        <is>
          <t>JÄMTLANDS LÄN</t>
        </is>
      </c>
      <c r="E176" t="inlineStr">
        <is>
          <t>ÖSTERSUND</t>
        </is>
      </c>
      <c r="F176" t="inlineStr">
        <is>
          <t>SCA</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14657-2022</t>
        </is>
      </c>
      <c r="B177" s="1" t="n">
        <v>44655</v>
      </c>
      <c r="C177" s="1" t="n">
        <v>45887</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45820-2020</t>
        </is>
      </c>
      <c r="B178" s="1" t="n">
        <v>44090</v>
      </c>
      <c r="C178" s="1" t="n">
        <v>45887</v>
      </c>
      <c r="D178" t="inlineStr">
        <is>
          <t>JÄMTLANDS LÄN</t>
        </is>
      </c>
      <c r="E178" t="inlineStr">
        <is>
          <t>ÖSTERSUND</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65866-2021</t>
        </is>
      </c>
      <c r="B179" s="1" t="n">
        <v>44516</v>
      </c>
      <c r="C179" s="1" t="n">
        <v>45887</v>
      </c>
      <c r="D179" t="inlineStr">
        <is>
          <t>JÄMTLANDS LÄN</t>
        </is>
      </c>
      <c r="E179" t="inlineStr">
        <is>
          <t>ÖSTERSUND</t>
        </is>
      </c>
      <c r="G179" t="n">
        <v>2.6</v>
      </c>
      <c r="H179" t="n">
        <v>0</v>
      </c>
      <c r="I179" t="n">
        <v>0</v>
      </c>
      <c r="J179" t="n">
        <v>0</v>
      </c>
      <c r="K179" t="n">
        <v>0</v>
      </c>
      <c r="L179" t="n">
        <v>0</v>
      </c>
      <c r="M179" t="n">
        <v>0</v>
      </c>
      <c r="N179" t="n">
        <v>0</v>
      </c>
      <c r="O179" t="n">
        <v>0</v>
      </c>
      <c r="P179" t="n">
        <v>0</v>
      </c>
      <c r="Q179" t="n">
        <v>0</v>
      </c>
      <c r="R179" s="2" t="inlineStr"/>
    </row>
    <row r="180" ht="15" customHeight="1">
      <c r="A180" t="inlineStr">
        <is>
          <t>A 65410-2020</t>
        </is>
      </c>
      <c r="B180" s="1" t="n">
        <v>44173</v>
      </c>
      <c r="C180" s="1" t="n">
        <v>45887</v>
      </c>
      <c r="D180" t="inlineStr">
        <is>
          <t>JÄMTLANDS LÄN</t>
        </is>
      </c>
      <c r="E180" t="inlineStr">
        <is>
          <t>ÖSTERSUND</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45887</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45887</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45887</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45887</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50153-2020</t>
        </is>
      </c>
      <c r="B185" s="1" t="n">
        <v>44106</v>
      </c>
      <c r="C185" s="1" t="n">
        <v>45887</v>
      </c>
      <c r="D185" t="inlineStr">
        <is>
          <t>JÄMTLANDS LÄN</t>
        </is>
      </c>
      <c r="E185" t="inlineStr">
        <is>
          <t>ÖSTERSUND</t>
        </is>
      </c>
      <c r="F185" t="inlineStr">
        <is>
          <t>Övriga statliga verk och myndigheter</t>
        </is>
      </c>
      <c r="G185" t="n">
        <v>4.6</v>
      </c>
      <c r="H185" t="n">
        <v>0</v>
      </c>
      <c r="I185" t="n">
        <v>0</v>
      </c>
      <c r="J185" t="n">
        <v>0</v>
      </c>
      <c r="K185" t="n">
        <v>0</v>
      </c>
      <c r="L185" t="n">
        <v>0</v>
      </c>
      <c r="M185" t="n">
        <v>0</v>
      </c>
      <c r="N185" t="n">
        <v>0</v>
      </c>
      <c r="O185" t="n">
        <v>0</v>
      </c>
      <c r="P185" t="n">
        <v>0</v>
      </c>
      <c r="Q185" t="n">
        <v>0</v>
      </c>
      <c r="R185" s="2" t="inlineStr"/>
    </row>
    <row r="186" ht="15" customHeight="1">
      <c r="A186" t="inlineStr">
        <is>
          <t>A 27575-2022</t>
        </is>
      </c>
      <c r="B186" s="1" t="n">
        <v>44742</v>
      </c>
      <c r="C186" s="1" t="n">
        <v>45887</v>
      </c>
      <c r="D186" t="inlineStr">
        <is>
          <t>JÄMTLANDS LÄN</t>
        </is>
      </c>
      <c r="E186" t="inlineStr">
        <is>
          <t>ÖSTERSUND</t>
        </is>
      </c>
      <c r="F186" t="inlineStr">
        <is>
          <t>SCA</t>
        </is>
      </c>
      <c r="G186" t="n">
        <v>2.4</v>
      </c>
      <c r="H186" t="n">
        <v>0</v>
      </c>
      <c r="I186" t="n">
        <v>0</v>
      </c>
      <c r="J186" t="n">
        <v>0</v>
      </c>
      <c r="K186" t="n">
        <v>0</v>
      </c>
      <c r="L186" t="n">
        <v>0</v>
      </c>
      <c r="M186" t="n">
        <v>0</v>
      </c>
      <c r="N186" t="n">
        <v>0</v>
      </c>
      <c r="O186" t="n">
        <v>0</v>
      </c>
      <c r="P186" t="n">
        <v>0</v>
      </c>
      <c r="Q186" t="n">
        <v>0</v>
      </c>
      <c r="R186" s="2" t="inlineStr"/>
      <c r="U186">
        <f>HYPERLINK("https://klasma.github.io/Logging_2380/knärot/A 27575-2022 karta knärot.png", "A 27575-2022")</f>
        <v/>
      </c>
      <c r="V186">
        <f>HYPERLINK("https://klasma.github.io/Logging_2380/klagomål/A 27575-2022 FSC-klagomål.docx", "A 27575-2022")</f>
        <v/>
      </c>
      <c r="W186">
        <f>HYPERLINK("https://klasma.github.io/Logging_2380/klagomålsmail/A 27575-2022 FSC-klagomål mail.docx", "A 27575-2022")</f>
        <v/>
      </c>
      <c r="X186">
        <f>HYPERLINK("https://klasma.github.io/Logging_2380/tillsyn/A 27575-2022 tillsynsbegäran.docx", "A 27575-2022")</f>
        <v/>
      </c>
      <c r="Y186">
        <f>HYPERLINK("https://klasma.github.io/Logging_2380/tillsynsmail/A 27575-2022 tillsynsbegäran mail.docx", "A 27575-2022")</f>
        <v/>
      </c>
    </row>
    <row r="187" ht="15" customHeight="1">
      <c r="A187" t="inlineStr">
        <is>
          <t>A 2627-2024</t>
        </is>
      </c>
      <c r="B187" s="1" t="n">
        <v>45313.9496875</v>
      </c>
      <c r="C187" s="1" t="n">
        <v>45887</v>
      </c>
      <c r="D187" t="inlineStr">
        <is>
          <t>JÄMTLANDS LÄN</t>
        </is>
      </c>
      <c r="E187" t="inlineStr">
        <is>
          <t>ÖSTERSUND</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65991-2021</t>
        </is>
      </c>
      <c r="B188" s="1" t="n">
        <v>44517.55134259259</v>
      </c>
      <c r="C188" s="1" t="n">
        <v>45887</v>
      </c>
      <c r="D188" t="inlineStr">
        <is>
          <t>JÄMTLANDS LÄN</t>
        </is>
      </c>
      <c r="E188" t="inlineStr">
        <is>
          <t>ÖSTERSUND</t>
        </is>
      </c>
      <c r="G188" t="n">
        <v>4.3</v>
      </c>
      <c r="H188" t="n">
        <v>0</v>
      </c>
      <c r="I188" t="n">
        <v>0</v>
      </c>
      <c r="J188" t="n">
        <v>0</v>
      </c>
      <c r="K188" t="n">
        <v>0</v>
      </c>
      <c r="L188" t="n">
        <v>0</v>
      </c>
      <c r="M188" t="n">
        <v>0</v>
      </c>
      <c r="N188" t="n">
        <v>0</v>
      </c>
      <c r="O188" t="n">
        <v>0</v>
      </c>
      <c r="P188" t="n">
        <v>0</v>
      </c>
      <c r="Q188" t="n">
        <v>0</v>
      </c>
      <c r="R188" s="2" t="inlineStr"/>
    </row>
    <row r="189" ht="15" customHeight="1">
      <c r="A189" t="inlineStr">
        <is>
          <t>A 6458-2022</t>
        </is>
      </c>
      <c r="B189" s="1" t="n">
        <v>44601.36165509259</v>
      </c>
      <c r="C189" s="1" t="n">
        <v>45887</v>
      </c>
      <c r="D189" t="inlineStr">
        <is>
          <t>JÄMTLANDS LÄN</t>
        </is>
      </c>
      <c r="E189" t="inlineStr">
        <is>
          <t>ÖSTERSUND</t>
        </is>
      </c>
      <c r="G189" t="n">
        <v>3.1</v>
      </c>
      <c r="H189" t="n">
        <v>0</v>
      </c>
      <c r="I189" t="n">
        <v>0</v>
      </c>
      <c r="J189" t="n">
        <v>0</v>
      </c>
      <c r="K189" t="n">
        <v>0</v>
      </c>
      <c r="L189" t="n">
        <v>0</v>
      </c>
      <c r="M189" t="n">
        <v>0</v>
      </c>
      <c r="N189" t="n">
        <v>0</v>
      </c>
      <c r="O189" t="n">
        <v>0</v>
      </c>
      <c r="P189" t="n">
        <v>0</v>
      </c>
      <c r="Q189" t="n">
        <v>0</v>
      </c>
      <c r="R189" s="2" t="inlineStr"/>
    </row>
    <row r="190" ht="15" customHeight="1">
      <c r="A190" t="inlineStr">
        <is>
          <t>A 52791-2020</t>
        </is>
      </c>
      <c r="B190" s="1" t="n">
        <v>44118</v>
      </c>
      <c r="C190" s="1" t="n">
        <v>45887</v>
      </c>
      <c r="D190" t="inlineStr">
        <is>
          <t>JÄMTLANDS LÄN</t>
        </is>
      </c>
      <c r="E190" t="inlineStr">
        <is>
          <t>ÖSTERSUND</t>
        </is>
      </c>
      <c r="G190" t="n">
        <v>0.4</v>
      </c>
      <c r="H190" t="n">
        <v>0</v>
      </c>
      <c r="I190" t="n">
        <v>0</v>
      </c>
      <c r="J190" t="n">
        <v>0</v>
      </c>
      <c r="K190" t="n">
        <v>0</v>
      </c>
      <c r="L190" t="n">
        <v>0</v>
      </c>
      <c r="M190" t="n">
        <v>0</v>
      </c>
      <c r="N190" t="n">
        <v>0</v>
      </c>
      <c r="O190" t="n">
        <v>0</v>
      </c>
      <c r="P190" t="n">
        <v>0</v>
      </c>
      <c r="Q190" t="n">
        <v>0</v>
      </c>
      <c r="R190" s="2" t="inlineStr"/>
    </row>
    <row r="191" ht="15" customHeight="1">
      <c r="A191" t="inlineStr">
        <is>
          <t>A 57624-2020</t>
        </is>
      </c>
      <c r="B191" s="1" t="n">
        <v>44140</v>
      </c>
      <c r="C191" s="1" t="n">
        <v>45887</v>
      </c>
      <c r="D191" t="inlineStr">
        <is>
          <t>JÄMTLANDS LÄN</t>
        </is>
      </c>
      <c r="E191" t="inlineStr">
        <is>
          <t>ÖSTERSUND</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46913-2022</t>
        </is>
      </c>
      <c r="B192" s="1" t="n">
        <v>44851</v>
      </c>
      <c r="C192" s="1" t="n">
        <v>45887</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56642-2020</t>
        </is>
      </c>
      <c r="B193" s="1" t="n">
        <v>44137</v>
      </c>
      <c r="C193" s="1" t="n">
        <v>45887</v>
      </c>
      <c r="D193" t="inlineStr">
        <is>
          <t>JÄMTLANDS LÄN</t>
        </is>
      </c>
      <c r="E193" t="inlineStr">
        <is>
          <t>ÖSTERSUND</t>
        </is>
      </c>
      <c r="F193" t="inlineStr">
        <is>
          <t>Övriga Aktiebolag</t>
        </is>
      </c>
      <c r="G193" t="n">
        <v>6</v>
      </c>
      <c r="H193" t="n">
        <v>0</v>
      </c>
      <c r="I193" t="n">
        <v>0</v>
      </c>
      <c r="J193" t="n">
        <v>0</v>
      </c>
      <c r="K193" t="n">
        <v>0</v>
      </c>
      <c r="L193" t="n">
        <v>0</v>
      </c>
      <c r="M193" t="n">
        <v>0</v>
      </c>
      <c r="N193" t="n">
        <v>0</v>
      </c>
      <c r="O193" t="n">
        <v>0</v>
      </c>
      <c r="P193" t="n">
        <v>0</v>
      </c>
      <c r="Q193" t="n">
        <v>0</v>
      </c>
      <c r="R193" s="2" t="inlineStr"/>
    </row>
    <row r="194" ht="15" customHeight="1">
      <c r="A194" t="inlineStr">
        <is>
          <t>A 57771-2020</t>
        </is>
      </c>
      <c r="B194" s="1" t="n">
        <v>44141</v>
      </c>
      <c r="C194" s="1" t="n">
        <v>45887</v>
      </c>
      <c r="D194" t="inlineStr">
        <is>
          <t>JÄMTLANDS LÄN</t>
        </is>
      </c>
      <c r="E194" t="inlineStr">
        <is>
          <t>ÖSTERSUND</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45887</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45887</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32994-2021</t>
        </is>
      </c>
      <c r="B197" s="1" t="n">
        <v>44375</v>
      </c>
      <c r="C197" s="1" t="n">
        <v>45887</v>
      </c>
      <c r="D197" t="inlineStr">
        <is>
          <t>JÄMTLANDS LÄN</t>
        </is>
      </c>
      <c r="E197" t="inlineStr">
        <is>
          <t>ÖSTERSUND</t>
        </is>
      </c>
      <c r="G197" t="n">
        <v>0.1</v>
      </c>
      <c r="H197" t="n">
        <v>0</v>
      </c>
      <c r="I197" t="n">
        <v>0</v>
      </c>
      <c r="J197" t="n">
        <v>0</v>
      </c>
      <c r="K197" t="n">
        <v>0</v>
      </c>
      <c r="L197" t="n">
        <v>0</v>
      </c>
      <c r="M197" t="n">
        <v>0</v>
      </c>
      <c r="N197" t="n">
        <v>0</v>
      </c>
      <c r="O197" t="n">
        <v>0</v>
      </c>
      <c r="P197" t="n">
        <v>0</v>
      </c>
      <c r="Q197" t="n">
        <v>0</v>
      </c>
      <c r="R197" s="2" t="inlineStr"/>
    </row>
    <row r="198" ht="15" customHeight="1">
      <c r="A198" t="inlineStr">
        <is>
          <t>A 57791-2020</t>
        </is>
      </c>
      <c r="B198" s="1" t="n">
        <v>44141</v>
      </c>
      <c r="C198" s="1" t="n">
        <v>45887</v>
      </c>
      <c r="D198" t="inlineStr">
        <is>
          <t>JÄMTLANDS LÄN</t>
        </is>
      </c>
      <c r="E198" t="inlineStr">
        <is>
          <t>ÖSTERSUND</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23551-2022</t>
        </is>
      </c>
      <c r="B199" s="1" t="n">
        <v>44721</v>
      </c>
      <c r="C199" s="1" t="n">
        <v>45887</v>
      </c>
      <c r="D199" t="inlineStr">
        <is>
          <t>JÄMTLANDS LÄN</t>
        </is>
      </c>
      <c r="E199" t="inlineStr">
        <is>
          <t>ÖSTERSUND</t>
        </is>
      </c>
      <c r="G199" t="n">
        <v>0.3</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45887</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32990-2021</t>
        </is>
      </c>
      <c r="B201" s="1" t="n">
        <v>44375</v>
      </c>
      <c r="C201" s="1" t="n">
        <v>45887</v>
      </c>
      <c r="D201" t="inlineStr">
        <is>
          <t>JÄMTLANDS LÄN</t>
        </is>
      </c>
      <c r="E201" t="inlineStr">
        <is>
          <t>ÖSTERSUND</t>
        </is>
      </c>
      <c r="G201" t="n">
        <v>0.2</v>
      </c>
      <c r="H201" t="n">
        <v>0</v>
      </c>
      <c r="I201" t="n">
        <v>0</v>
      </c>
      <c r="J201" t="n">
        <v>0</v>
      </c>
      <c r="K201" t="n">
        <v>0</v>
      </c>
      <c r="L201" t="n">
        <v>0</v>
      </c>
      <c r="M201" t="n">
        <v>0</v>
      </c>
      <c r="N201" t="n">
        <v>0</v>
      </c>
      <c r="O201" t="n">
        <v>0</v>
      </c>
      <c r="P201" t="n">
        <v>0</v>
      </c>
      <c r="Q201" t="n">
        <v>0</v>
      </c>
      <c r="R201" s="2" t="inlineStr"/>
    </row>
    <row r="202" ht="15" customHeight="1">
      <c r="A202" t="inlineStr">
        <is>
          <t>A 21211-2022</t>
        </is>
      </c>
      <c r="B202" s="1" t="n">
        <v>44704.94370370371</v>
      </c>
      <c r="C202" s="1" t="n">
        <v>45887</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45887</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45887</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45887</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52777-2020</t>
        </is>
      </c>
      <c r="B206" s="1" t="n">
        <v>44118</v>
      </c>
      <c r="C206" s="1" t="n">
        <v>45887</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68408-2020</t>
        </is>
      </c>
      <c r="B207" s="1" t="n">
        <v>44186</v>
      </c>
      <c r="C207" s="1" t="n">
        <v>45887</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45887</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41933-2020</t>
        </is>
      </c>
      <c r="B209" s="1" t="n">
        <v>44075</v>
      </c>
      <c r="C209" s="1" t="n">
        <v>45887</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45887</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55002-2024</t>
        </is>
      </c>
      <c r="B211" s="1" t="n">
        <v>45621</v>
      </c>
      <c r="C211" s="1" t="n">
        <v>45887</v>
      </c>
      <c r="D211" t="inlineStr">
        <is>
          <t>JÄMTLANDS LÄN</t>
        </is>
      </c>
      <c r="E211" t="inlineStr">
        <is>
          <t>ÖSTERSUND</t>
        </is>
      </c>
      <c r="F211" t="inlineStr">
        <is>
          <t>Övriga Aktiebolag</t>
        </is>
      </c>
      <c r="G211" t="n">
        <v>0.3</v>
      </c>
      <c r="H211" t="n">
        <v>0</v>
      </c>
      <c r="I211" t="n">
        <v>0</v>
      </c>
      <c r="J211" t="n">
        <v>0</v>
      </c>
      <c r="K211" t="n">
        <v>0</v>
      </c>
      <c r="L211" t="n">
        <v>0</v>
      </c>
      <c r="M211" t="n">
        <v>0</v>
      </c>
      <c r="N211" t="n">
        <v>0</v>
      </c>
      <c r="O211" t="n">
        <v>0</v>
      </c>
      <c r="P211" t="n">
        <v>0</v>
      </c>
      <c r="Q211" t="n">
        <v>0</v>
      </c>
      <c r="R211" s="2" t="inlineStr"/>
    </row>
    <row r="212" ht="15" customHeight="1">
      <c r="A212" t="inlineStr">
        <is>
          <t>A 7300-2025</t>
        </is>
      </c>
      <c r="B212" s="1" t="n">
        <v>45702.65655092592</v>
      </c>
      <c r="C212" s="1" t="n">
        <v>45887</v>
      </c>
      <c r="D212" t="inlineStr">
        <is>
          <t>JÄMTLANDS LÄN</t>
        </is>
      </c>
      <c r="E212" t="inlineStr">
        <is>
          <t>ÖSTERSUND</t>
        </is>
      </c>
      <c r="F212" t="inlineStr">
        <is>
          <t>SCA</t>
        </is>
      </c>
      <c r="G212" t="n">
        <v>10.4</v>
      </c>
      <c r="H212" t="n">
        <v>0</v>
      </c>
      <c r="I212" t="n">
        <v>0</v>
      </c>
      <c r="J212" t="n">
        <v>0</v>
      </c>
      <c r="K212" t="n">
        <v>0</v>
      </c>
      <c r="L212" t="n">
        <v>0</v>
      </c>
      <c r="M212" t="n">
        <v>0</v>
      </c>
      <c r="N212" t="n">
        <v>0</v>
      </c>
      <c r="O212" t="n">
        <v>0</v>
      </c>
      <c r="P212" t="n">
        <v>0</v>
      </c>
      <c r="Q212" t="n">
        <v>0</v>
      </c>
      <c r="R212" s="2" t="inlineStr"/>
    </row>
    <row r="213" ht="15" customHeight="1">
      <c r="A213" t="inlineStr">
        <is>
          <t>A 6351-2024</t>
        </is>
      </c>
      <c r="B213" s="1" t="n">
        <v>45338</v>
      </c>
      <c r="C213" s="1" t="n">
        <v>45887</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14867-2025</t>
        </is>
      </c>
      <c r="B214" s="1" t="n">
        <v>45743.44207175926</v>
      </c>
      <c r="C214" s="1" t="n">
        <v>45887</v>
      </c>
      <c r="D214" t="inlineStr">
        <is>
          <t>JÄMTLANDS LÄN</t>
        </is>
      </c>
      <c r="E214" t="inlineStr">
        <is>
          <t>ÖSTERSUND</t>
        </is>
      </c>
      <c r="G214" t="n">
        <v>3.3</v>
      </c>
      <c r="H214" t="n">
        <v>0</v>
      </c>
      <c r="I214" t="n">
        <v>0</v>
      </c>
      <c r="J214" t="n">
        <v>0</v>
      </c>
      <c r="K214" t="n">
        <v>0</v>
      </c>
      <c r="L214" t="n">
        <v>0</v>
      </c>
      <c r="M214" t="n">
        <v>0</v>
      </c>
      <c r="N214" t="n">
        <v>0</v>
      </c>
      <c r="O214" t="n">
        <v>0</v>
      </c>
      <c r="P214" t="n">
        <v>0</v>
      </c>
      <c r="Q214" t="n">
        <v>0</v>
      </c>
      <c r="R214" s="2" t="inlineStr"/>
    </row>
    <row r="215" ht="15" customHeight="1">
      <c r="A215" t="inlineStr">
        <is>
          <t>A 14947-2025</t>
        </is>
      </c>
      <c r="B215" s="1" t="n">
        <v>45743.57336805556</v>
      </c>
      <c r="C215" s="1" t="n">
        <v>45887</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45887</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4350-2024</t>
        </is>
      </c>
      <c r="B217" s="1" t="n">
        <v>45324.93804398148</v>
      </c>
      <c r="C217" s="1" t="n">
        <v>45887</v>
      </c>
      <c r="D217" t="inlineStr">
        <is>
          <t>JÄMTLANDS LÄN</t>
        </is>
      </c>
      <c r="E217" t="inlineStr">
        <is>
          <t>ÖSTERSUND</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25535-2023</t>
        </is>
      </c>
      <c r="B218" s="1" t="n">
        <v>45089.54944444444</v>
      </c>
      <c r="C218" s="1" t="n">
        <v>45887</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37597-2023</t>
        </is>
      </c>
      <c r="B219" s="1" t="n">
        <v>45159.42180555555</v>
      </c>
      <c r="C219" s="1" t="n">
        <v>45887</v>
      </c>
      <c r="D219" t="inlineStr">
        <is>
          <t>JÄMTLANDS LÄN</t>
        </is>
      </c>
      <c r="E219" t="inlineStr">
        <is>
          <t>ÖSTERSUND</t>
        </is>
      </c>
      <c r="G219" t="n">
        <v>4.7</v>
      </c>
      <c r="H219" t="n">
        <v>0</v>
      </c>
      <c r="I219" t="n">
        <v>0</v>
      </c>
      <c r="J219" t="n">
        <v>0</v>
      </c>
      <c r="K219" t="n">
        <v>0</v>
      </c>
      <c r="L219" t="n">
        <v>0</v>
      </c>
      <c r="M219" t="n">
        <v>0</v>
      </c>
      <c r="N219" t="n">
        <v>0</v>
      </c>
      <c r="O219" t="n">
        <v>0</v>
      </c>
      <c r="P219" t="n">
        <v>0</v>
      </c>
      <c r="Q219" t="n">
        <v>0</v>
      </c>
      <c r="R219" s="2" t="inlineStr"/>
    </row>
    <row r="220" ht="15" customHeight="1">
      <c r="A220" t="inlineStr">
        <is>
          <t>A 6048-2024</t>
        </is>
      </c>
      <c r="B220" s="1" t="n">
        <v>45336</v>
      </c>
      <c r="C220" s="1" t="n">
        <v>45887</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44013-2021</t>
        </is>
      </c>
      <c r="B221" s="1" t="n">
        <v>44434</v>
      </c>
      <c r="C221" s="1" t="n">
        <v>45887</v>
      </c>
      <c r="D221" t="inlineStr">
        <is>
          <t>JÄMTLANDS LÄN</t>
        </is>
      </c>
      <c r="E221" t="inlineStr">
        <is>
          <t>ÖSTERSUND</t>
        </is>
      </c>
      <c r="G221" t="n">
        <v>1.9</v>
      </c>
      <c r="H221" t="n">
        <v>0</v>
      </c>
      <c r="I221" t="n">
        <v>0</v>
      </c>
      <c r="J221" t="n">
        <v>0</v>
      </c>
      <c r="K221" t="n">
        <v>0</v>
      </c>
      <c r="L221" t="n">
        <v>0</v>
      </c>
      <c r="M221" t="n">
        <v>0</v>
      </c>
      <c r="N221" t="n">
        <v>0</v>
      </c>
      <c r="O221" t="n">
        <v>0</v>
      </c>
      <c r="P221" t="n">
        <v>0</v>
      </c>
      <c r="Q221" t="n">
        <v>0</v>
      </c>
      <c r="R221" s="2" t="inlineStr"/>
    </row>
    <row r="222" ht="15" customHeight="1">
      <c r="A222" t="inlineStr">
        <is>
          <t>A 3997-2025</t>
        </is>
      </c>
      <c r="B222" s="1" t="n">
        <v>45684.56725694444</v>
      </c>
      <c r="C222" s="1" t="n">
        <v>45887</v>
      </c>
      <c r="D222" t="inlineStr">
        <is>
          <t>JÄMTLANDS LÄN</t>
        </is>
      </c>
      <c r="E222" t="inlineStr">
        <is>
          <t>ÖSTERSUND</t>
        </is>
      </c>
      <c r="G222" t="n">
        <v>1.9</v>
      </c>
      <c r="H222" t="n">
        <v>0</v>
      </c>
      <c r="I222" t="n">
        <v>0</v>
      </c>
      <c r="J222" t="n">
        <v>0</v>
      </c>
      <c r="K222" t="n">
        <v>0</v>
      </c>
      <c r="L222" t="n">
        <v>0</v>
      </c>
      <c r="M222" t="n">
        <v>0</v>
      </c>
      <c r="N222" t="n">
        <v>0</v>
      </c>
      <c r="O222" t="n">
        <v>0</v>
      </c>
      <c r="P222" t="n">
        <v>0</v>
      </c>
      <c r="Q222" t="n">
        <v>0</v>
      </c>
      <c r="R222" s="2" t="inlineStr"/>
    </row>
    <row r="223" ht="15" customHeight="1">
      <c r="A223" t="inlineStr">
        <is>
          <t>A 11182-2025</t>
        </is>
      </c>
      <c r="B223" s="1" t="n">
        <v>45725.44297453704</v>
      </c>
      <c r="C223" s="1" t="n">
        <v>45887</v>
      </c>
      <c r="D223" t="inlineStr">
        <is>
          <t>JÄMTLANDS LÄN</t>
        </is>
      </c>
      <c r="E223" t="inlineStr">
        <is>
          <t>ÖSTERSUND</t>
        </is>
      </c>
      <c r="G223" t="n">
        <v>3.3</v>
      </c>
      <c r="H223" t="n">
        <v>0</v>
      </c>
      <c r="I223" t="n">
        <v>0</v>
      </c>
      <c r="J223" t="n">
        <v>0</v>
      </c>
      <c r="K223" t="n">
        <v>0</v>
      </c>
      <c r="L223" t="n">
        <v>0</v>
      </c>
      <c r="M223" t="n">
        <v>0</v>
      </c>
      <c r="N223" t="n">
        <v>0</v>
      </c>
      <c r="O223" t="n">
        <v>0</v>
      </c>
      <c r="P223" t="n">
        <v>0</v>
      </c>
      <c r="Q223" t="n">
        <v>0</v>
      </c>
      <c r="R223" s="2" t="inlineStr"/>
    </row>
    <row r="224" ht="15" customHeight="1">
      <c r="A224" t="inlineStr">
        <is>
          <t>A 52128-2023</t>
        </is>
      </c>
      <c r="B224" s="1" t="n">
        <v>45223</v>
      </c>
      <c r="C224" s="1" t="n">
        <v>45887</v>
      </c>
      <c r="D224" t="inlineStr">
        <is>
          <t>JÄMTLANDS LÄN</t>
        </is>
      </c>
      <c r="E224" t="inlineStr">
        <is>
          <t>ÖSTERSUND</t>
        </is>
      </c>
      <c r="F224" t="inlineStr">
        <is>
          <t>SCA</t>
        </is>
      </c>
      <c r="G224" t="n">
        <v>11.9</v>
      </c>
      <c r="H224" t="n">
        <v>0</v>
      </c>
      <c r="I224" t="n">
        <v>0</v>
      </c>
      <c r="J224" t="n">
        <v>0</v>
      </c>
      <c r="K224" t="n">
        <v>0</v>
      </c>
      <c r="L224" t="n">
        <v>0</v>
      </c>
      <c r="M224" t="n">
        <v>0</v>
      </c>
      <c r="N224" t="n">
        <v>0</v>
      </c>
      <c r="O224" t="n">
        <v>0</v>
      </c>
      <c r="P224" t="n">
        <v>0</v>
      </c>
      <c r="Q224" t="n">
        <v>0</v>
      </c>
      <c r="R224" s="2" t="inlineStr"/>
    </row>
    <row r="225" ht="15" customHeight="1">
      <c r="A225" t="inlineStr">
        <is>
          <t>A 7233-2025</t>
        </is>
      </c>
      <c r="B225" s="1" t="n">
        <v>45702.51765046296</v>
      </c>
      <c r="C225" s="1" t="n">
        <v>45887</v>
      </c>
      <c r="D225" t="inlineStr">
        <is>
          <t>JÄMTLANDS LÄN</t>
        </is>
      </c>
      <c r="E225" t="inlineStr">
        <is>
          <t>ÖSTERSUND</t>
        </is>
      </c>
      <c r="G225" t="n">
        <v>1.7</v>
      </c>
      <c r="H225" t="n">
        <v>0</v>
      </c>
      <c r="I225" t="n">
        <v>0</v>
      </c>
      <c r="J225" t="n">
        <v>0</v>
      </c>
      <c r="K225" t="n">
        <v>0</v>
      </c>
      <c r="L225" t="n">
        <v>0</v>
      </c>
      <c r="M225" t="n">
        <v>0</v>
      </c>
      <c r="N225" t="n">
        <v>0</v>
      </c>
      <c r="O225" t="n">
        <v>0</v>
      </c>
      <c r="P225" t="n">
        <v>0</v>
      </c>
      <c r="Q225" t="n">
        <v>0</v>
      </c>
      <c r="R225" s="2" t="inlineStr"/>
    </row>
    <row r="226" ht="15" customHeight="1">
      <c r="A226" t="inlineStr">
        <is>
          <t>A 38142-2021</t>
        </is>
      </c>
      <c r="B226" s="1" t="n">
        <v>44405</v>
      </c>
      <c r="C226" s="1" t="n">
        <v>45887</v>
      </c>
      <c r="D226" t="inlineStr">
        <is>
          <t>JÄMTLANDS LÄN</t>
        </is>
      </c>
      <c r="E226" t="inlineStr">
        <is>
          <t>ÖSTERSUND</t>
        </is>
      </c>
      <c r="G226" t="n">
        <v>1.7</v>
      </c>
      <c r="H226" t="n">
        <v>0</v>
      </c>
      <c r="I226" t="n">
        <v>0</v>
      </c>
      <c r="J226" t="n">
        <v>0</v>
      </c>
      <c r="K226" t="n">
        <v>0</v>
      </c>
      <c r="L226" t="n">
        <v>0</v>
      </c>
      <c r="M226" t="n">
        <v>0</v>
      </c>
      <c r="N226" t="n">
        <v>0</v>
      </c>
      <c r="O226" t="n">
        <v>0</v>
      </c>
      <c r="P226" t="n">
        <v>0</v>
      </c>
      <c r="Q226" t="n">
        <v>0</v>
      </c>
      <c r="R226" s="2" t="inlineStr"/>
    </row>
    <row r="227" ht="15" customHeight="1">
      <c r="A227" t="inlineStr">
        <is>
          <t>A 54587-2024</t>
        </is>
      </c>
      <c r="B227" s="1" t="n">
        <v>45617.65800925926</v>
      </c>
      <c r="C227" s="1" t="n">
        <v>45887</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11052-2024</t>
        </is>
      </c>
      <c r="B228" s="1" t="n">
        <v>45370</v>
      </c>
      <c r="C228" s="1" t="n">
        <v>45887</v>
      </c>
      <c r="D228" t="inlineStr">
        <is>
          <t>JÄMTLANDS LÄN</t>
        </is>
      </c>
      <c r="E228" t="inlineStr">
        <is>
          <t>ÖSTERSUND</t>
        </is>
      </c>
      <c r="G228" t="n">
        <v>2.3</v>
      </c>
      <c r="H228" t="n">
        <v>0</v>
      </c>
      <c r="I228" t="n">
        <v>0</v>
      </c>
      <c r="J228" t="n">
        <v>0</v>
      </c>
      <c r="K228" t="n">
        <v>0</v>
      </c>
      <c r="L228" t="n">
        <v>0</v>
      </c>
      <c r="M228" t="n">
        <v>0</v>
      </c>
      <c r="N228" t="n">
        <v>0</v>
      </c>
      <c r="O228" t="n">
        <v>0</v>
      </c>
      <c r="P228" t="n">
        <v>0</v>
      </c>
      <c r="Q228" t="n">
        <v>0</v>
      </c>
      <c r="R228" s="2" t="inlineStr"/>
    </row>
    <row r="229" ht="15" customHeight="1">
      <c r="A229" t="inlineStr">
        <is>
          <t>A 30217-2022</t>
        </is>
      </c>
      <c r="B229" s="1" t="n">
        <v>44757.92671296297</v>
      </c>
      <c r="C229" s="1" t="n">
        <v>45887</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61506-2023</t>
        </is>
      </c>
      <c r="B230" s="1" t="n">
        <v>45264</v>
      </c>
      <c r="C230" s="1" t="n">
        <v>45887</v>
      </c>
      <c r="D230" t="inlineStr">
        <is>
          <t>JÄMTLANDS LÄN</t>
        </is>
      </c>
      <c r="E230" t="inlineStr">
        <is>
          <t>ÖSTERSUND</t>
        </is>
      </c>
      <c r="G230" t="n">
        <v>3</v>
      </c>
      <c r="H230" t="n">
        <v>0</v>
      </c>
      <c r="I230" t="n">
        <v>0</v>
      </c>
      <c r="J230" t="n">
        <v>0</v>
      </c>
      <c r="K230" t="n">
        <v>0</v>
      </c>
      <c r="L230" t="n">
        <v>0</v>
      </c>
      <c r="M230" t="n">
        <v>0</v>
      </c>
      <c r="N230" t="n">
        <v>0</v>
      </c>
      <c r="O230" t="n">
        <v>0</v>
      </c>
      <c r="P230" t="n">
        <v>0</v>
      </c>
      <c r="Q230" t="n">
        <v>0</v>
      </c>
      <c r="R230" s="2" t="inlineStr"/>
    </row>
    <row r="231" ht="15" customHeight="1">
      <c r="A231" t="inlineStr">
        <is>
          <t>A 16336-2025</t>
        </is>
      </c>
      <c r="B231" s="1" t="n">
        <v>45751.36519675926</v>
      </c>
      <c r="C231" s="1" t="n">
        <v>45887</v>
      </c>
      <c r="D231" t="inlineStr">
        <is>
          <t>JÄMTLANDS LÄN</t>
        </is>
      </c>
      <c r="E231" t="inlineStr">
        <is>
          <t>ÖSTERSUND</t>
        </is>
      </c>
      <c r="G231" t="n">
        <v>0.9</v>
      </c>
      <c r="H231" t="n">
        <v>0</v>
      </c>
      <c r="I231" t="n">
        <v>0</v>
      </c>
      <c r="J231" t="n">
        <v>0</v>
      </c>
      <c r="K231" t="n">
        <v>0</v>
      </c>
      <c r="L231" t="n">
        <v>0</v>
      </c>
      <c r="M231" t="n">
        <v>0</v>
      </c>
      <c r="N231" t="n">
        <v>0</v>
      </c>
      <c r="O231" t="n">
        <v>0</v>
      </c>
      <c r="P231" t="n">
        <v>0</v>
      </c>
      <c r="Q231" t="n">
        <v>0</v>
      </c>
      <c r="R231" s="2" t="inlineStr"/>
    </row>
    <row r="232" ht="15" customHeight="1">
      <c r="A232" t="inlineStr">
        <is>
          <t>A 207-2025</t>
        </is>
      </c>
      <c r="B232" s="1" t="n">
        <v>45660.32672453704</v>
      </c>
      <c r="C232" s="1" t="n">
        <v>45887</v>
      </c>
      <c r="D232" t="inlineStr">
        <is>
          <t>JÄMTLANDS LÄN</t>
        </is>
      </c>
      <c r="E232" t="inlineStr">
        <is>
          <t>ÖSTERSUND</t>
        </is>
      </c>
      <c r="G232" t="n">
        <v>4</v>
      </c>
      <c r="H232" t="n">
        <v>0</v>
      </c>
      <c r="I232" t="n">
        <v>0</v>
      </c>
      <c r="J232" t="n">
        <v>0</v>
      </c>
      <c r="K232" t="n">
        <v>0</v>
      </c>
      <c r="L232" t="n">
        <v>0</v>
      </c>
      <c r="M232" t="n">
        <v>0</v>
      </c>
      <c r="N232" t="n">
        <v>0</v>
      </c>
      <c r="O232" t="n">
        <v>0</v>
      </c>
      <c r="P232" t="n">
        <v>0</v>
      </c>
      <c r="Q232" t="n">
        <v>0</v>
      </c>
      <c r="R232" s="2" t="inlineStr"/>
    </row>
    <row r="233" ht="15" customHeight="1">
      <c r="A233" t="inlineStr">
        <is>
          <t>A 3053-2025</t>
        </is>
      </c>
      <c r="B233" s="1" t="n">
        <v>45678.61495370371</v>
      </c>
      <c r="C233" s="1" t="n">
        <v>45887</v>
      </c>
      <c r="D233" t="inlineStr">
        <is>
          <t>JÄMTLANDS LÄN</t>
        </is>
      </c>
      <c r="E233" t="inlineStr">
        <is>
          <t>ÖSTERSUND</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61332-2024</t>
        </is>
      </c>
      <c r="B234" s="1" t="n">
        <v>45646.35685185185</v>
      </c>
      <c r="C234" s="1" t="n">
        <v>45887</v>
      </c>
      <c r="D234" t="inlineStr">
        <is>
          <t>JÄMTLANDS LÄN</t>
        </is>
      </c>
      <c r="E234" t="inlineStr">
        <is>
          <t>ÖSTERSUND</t>
        </is>
      </c>
      <c r="G234" t="n">
        <v>3.2</v>
      </c>
      <c r="H234" t="n">
        <v>0</v>
      </c>
      <c r="I234" t="n">
        <v>0</v>
      </c>
      <c r="J234" t="n">
        <v>0</v>
      </c>
      <c r="K234" t="n">
        <v>0</v>
      </c>
      <c r="L234" t="n">
        <v>0</v>
      </c>
      <c r="M234" t="n">
        <v>0</v>
      </c>
      <c r="N234" t="n">
        <v>0</v>
      </c>
      <c r="O234" t="n">
        <v>0</v>
      </c>
      <c r="P234" t="n">
        <v>0</v>
      </c>
      <c r="Q234" t="n">
        <v>0</v>
      </c>
      <c r="R234" s="2" t="inlineStr"/>
    </row>
    <row r="235" ht="15" customHeight="1">
      <c r="A235" t="inlineStr">
        <is>
          <t>A 17709-2024</t>
        </is>
      </c>
      <c r="B235" s="1" t="n">
        <v>45418.4843287037</v>
      </c>
      <c r="C235" s="1" t="n">
        <v>45887</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11181-2025</t>
        </is>
      </c>
      <c r="B236" s="1" t="n">
        <v>45725.44039351852</v>
      </c>
      <c r="C236" s="1" t="n">
        <v>45887</v>
      </c>
      <c r="D236" t="inlineStr">
        <is>
          <t>JÄMTLANDS LÄN</t>
        </is>
      </c>
      <c r="E236" t="inlineStr">
        <is>
          <t>ÖSTERSUND</t>
        </is>
      </c>
      <c r="G236" t="n">
        <v>15.4</v>
      </c>
      <c r="H236" t="n">
        <v>0</v>
      </c>
      <c r="I236" t="n">
        <v>0</v>
      </c>
      <c r="J236" t="n">
        <v>0</v>
      </c>
      <c r="K236" t="n">
        <v>0</v>
      </c>
      <c r="L236" t="n">
        <v>0</v>
      </c>
      <c r="M236" t="n">
        <v>0</v>
      </c>
      <c r="N236" t="n">
        <v>0</v>
      </c>
      <c r="O236" t="n">
        <v>0</v>
      </c>
      <c r="P236" t="n">
        <v>0</v>
      </c>
      <c r="Q236" t="n">
        <v>0</v>
      </c>
      <c r="R236" s="2" t="inlineStr"/>
    </row>
    <row r="237" ht="15" customHeight="1">
      <c r="A237" t="inlineStr">
        <is>
          <t>A 7233-2024</t>
        </is>
      </c>
      <c r="B237" s="1" t="n">
        <v>45344</v>
      </c>
      <c r="C237" s="1" t="n">
        <v>45887</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48737-2024</t>
        </is>
      </c>
      <c r="B238" s="1" t="n">
        <v>45593.57327546296</v>
      </c>
      <c r="C238" s="1" t="n">
        <v>45887</v>
      </c>
      <c r="D238" t="inlineStr">
        <is>
          <t>JÄMTLANDS LÄN</t>
        </is>
      </c>
      <c r="E238" t="inlineStr">
        <is>
          <t>ÖSTERSUND</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17066-2024</t>
        </is>
      </c>
      <c r="B239" s="1" t="n">
        <v>45412.46636574074</v>
      </c>
      <c r="C239" s="1" t="n">
        <v>45887</v>
      </c>
      <c r="D239" t="inlineStr">
        <is>
          <t>JÄMTLANDS LÄN</t>
        </is>
      </c>
      <c r="E239" t="inlineStr">
        <is>
          <t>ÖSTERSUND</t>
        </is>
      </c>
      <c r="G239" t="n">
        <v>4.2</v>
      </c>
      <c r="H239" t="n">
        <v>0</v>
      </c>
      <c r="I239" t="n">
        <v>0</v>
      </c>
      <c r="J239" t="n">
        <v>0</v>
      </c>
      <c r="K239" t="n">
        <v>0</v>
      </c>
      <c r="L239" t="n">
        <v>0</v>
      </c>
      <c r="M239" t="n">
        <v>0</v>
      </c>
      <c r="N239" t="n">
        <v>0</v>
      </c>
      <c r="O239" t="n">
        <v>0</v>
      </c>
      <c r="P239" t="n">
        <v>0</v>
      </c>
      <c r="Q239" t="n">
        <v>0</v>
      </c>
      <c r="R239" s="2" t="inlineStr"/>
    </row>
    <row r="240" ht="15" customHeight="1">
      <c r="A240" t="inlineStr">
        <is>
          <t>A 20674-2025</t>
        </is>
      </c>
      <c r="B240" s="1" t="n">
        <v>45776.44195601852</v>
      </c>
      <c r="C240" s="1" t="n">
        <v>45887</v>
      </c>
      <c r="D240" t="inlineStr">
        <is>
          <t>JÄMTLANDS LÄN</t>
        </is>
      </c>
      <c r="E240" t="inlineStr">
        <is>
          <t>ÖSTERSUND</t>
        </is>
      </c>
      <c r="G240" t="n">
        <v>4.5</v>
      </c>
      <c r="H240" t="n">
        <v>0</v>
      </c>
      <c r="I240" t="n">
        <v>0</v>
      </c>
      <c r="J240" t="n">
        <v>0</v>
      </c>
      <c r="K240" t="n">
        <v>0</v>
      </c>
      <c r="L240" t="n">
        <v>0</v>
      </c>
      <c r="M240" t="n">
        <v>0</v>
      </c>
      <c r="N240" t="n">
        <v>0</v>
      </c>
      <c r="O240" t="n">
        <v>0</v>
      </c>
      <c r="P240" t="n">
        <v>0</v>
      </c>
      <c r="Q240" t="n">
        <v>0</v>
      </c>
      <c r="R240" s="2" t="inlineStr"/>
    </row>
    <row r="241" ht="15" customHeight="1">
      <c r="A241" t="inlineStr">
        <is>
          <t>A 27118-2023</t>
        </is>
      </c>
      <c r="B241" s="1" t="n">
        <v>45096</v>
      </c>
      <c r="C241" s="1" t="n">
        <v>45887</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21060-2025</t>
        </is>
      </c>
      <c r="B242" s="1" t="n">
        <v>45777.58025462963</v>
      </c>
      <c r="C242" s="1" t="n">
        <v>45887</v>
      </c>
      <c r="D242" t="inlineStr">
        <is>
          <t>JÄMTLANDS LÄN</t>
        </is>
      </c>
      <c r="E242" t="inlineStr">
        <is>
          <t>ÖSTERSUND</t>
        </is>
      </c>
      <c r="G242" t="n">
        <v>2.9</v>
      </c>
      <c r="H242" t="n">
        <v>0</v>
      </c>
      <c r="I242" t="n">
        <v>0</v>
      </c>
      <c r="J242" t="n">
        <v>0</v>
      </c>
      <c r="K242" t="n">
        <v>0</v>
      </c>
      <c r="L242" t="n">
        <v>0</v>
      </c>
      <c r="M242" t="n">
        <v>0</v>
      </c>
      <c r="N242" t="n">
        <v>0</v>
      </c>
      <c r="O242" t="n">
        <v>0</v>
      </c>
      <c r="P242" t="n">
        <v>0</v>
      </c>
      <c r="Q242" t="n">
        <v>0</v>
      </c>
      <c r="R242" s="2" t="inlineStr"/>
    </row>
    <row r="243" ht="15" customHeight="1">
      <c r="A243" t="inlineStr">
        <is>
          <t>A 39493-2023</t>
        </is>
      </c>
      <c r="B243" s="1" t="n">
        <v>45166.9569675926</v>
      </c>
      <c r="C243" s="1" t="n">
        <v>45887</v>
      </c>
      <c r="D243" t="inlineStr">
        <is>
          <t>JÄMTLANDS LÄN</t>
        </is>
      </c>
      <c r="E243" t="inlineStr">
        <is>
          <t>ÖSTERSUND</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21094-2025</t>
        </is>
      </c>
      <c r="B244" s="1" t="n">
        <v>45777.62665509259</v>
      </c>
      <c r="C244" s="1" t="n">
        <v>45887</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21237-2025</t>
        </is>
      </c>
      <c r="B245" s="1" t="n">
        <v>45779</v>
      </c>
      <c r="C245" s="1" t="n">
        <v>45887</v>
      </c>
      <c r="D245" t="inlineStr">
        <is>
          <t>JÄMTLANDS LÄN</t>
        </is>
      </c>
      <c r="E245" t="inlineStr">
        <is>
          <t>ÖSTERSUND</t>
        </is>
      </c>
      <c r="G245" t="n">
        <v>0.4</v>
      </c>
      <c r="H245" t="n">
        <v>0</v>
      </c>
      <c r="I245" t="n">
        <v>0</v>
      </c>
      <c r="J245" t="n">
        <v>0</v>
      </c>
      <c r="K245" t="n">
        <v>0</v>
      </c>
      <c r="L245" t="n">
        <v>0</v>
      </c>
      <c r="M245" t="n">
        <v>0</v>
      </c>
      <c r="N245" t="n">
        <v>0</v>
      </c>
      <c r="O245" t="n">
        <v>0</v>
      </c>
      <c r="P245" t="n">
        <v>0</v>
      </c>
      <c r="Q245" t="n">
        <v>0</v>
      </c>
      <c r="R245" s="2" t="inlineStr"/>
    </row>
    <row r="246" ht="15" customHeight="1">
      <c r="A246" t="inlineStr">
        <is>
          <t>A 14848-2025</t>
        </is>
      </c>
      <c r="B246" s="1" t="n">
        <v>45743.39528935185</v>
      </c>
      <c r="C246" s="1" t="n">
        <v>45887</v>
      </c>
      <c r="D246" t="inlineStr">
        <is>
          <t>JÄMTLANDS LÄN</t>
        </is>
      </c>
      <c r="E246" t="inlineStr">
        <is>
          <t>ÖSTERSUND</t>
        </is>
      </c>
      <c r="G246" t="n">
        <v>12.1</v>
      </c>
      <c r="H246" t="n">
        <v>0</v>
      </c>
      <c r="I246" t="n">
        <v>0</v>
      </c>
      <c r="J246" t="n">
        <v>0</v>
      </c>
      <c r="K246" t="n">
        <v>0</v>
      </c>
      <c r="L246" t="n">
        <v>0</v>
      </c>
      <c r="M246" t="n">
        <v>0</v>
      </c>
      <c r="N246" t="n">
        <v>0</v>
      </c>
      <c r="O246" t="n">
        <v>0</v>
      </c>
      <c r="P246" t="n">
        <v>0</v>
      </c>
      <c r="Q246" t="n">
        <v>0</v>
      </c>
      <c r="R246" s="2" t="inlineStr"/>
    </row>
    <row r="247" ht="15" customHeight="1">
      <c r="A247" t="inlineStr">
        <is>
          <t>A 16306-2025</t>
        </is>
      </c>
      <c r="B247" s="1" t="n">
        <v>45751.34664351852</v>
      </c>
      <c r="C247" s="1" t="n">
        <v>45887</v>
      </c>
      <c r="D247" t="inlineStr">
        <is>
          <t>JÄMTLANDS LÄN</t>
        </is>
      </c>
      <c r="E247" t="inlineStr">
        <is>
          <t>ÖSTERSUND</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16812-2025</t>
        </is>
      </c>
      <c r="B248" s="1" t="n">
        <v>45754</v>
      </c>
      <c r="C248" s="1" t="n">
        <v>45887</v>
      </c>
      <c r="D248" t="inlineStr">
        <is>
          <t>JÄMTLANDS LÄN</t>
        </is>
      </c>
      <c r="E248" t="inlineStr">
        <is>
          <t>ÖSTERSUND</t>
        </is>
      </c>
      <c r="F248" t="inlineStr">
        <is>
          <t>Övriga statliga verk och myndigheter</t>
        </is>
      </c>
      <c r="G248" t="n">
        <v>3.7</v>
      </c>
      <c r="H248" t="n">
        <v>0</v>
      </c>
      <c r="I248" t="n">
        <v>0</v>
      </c>
      <c r="J248" t="n">
        <v>0</v>
      </c>
      <c r="K248" t="n">
        <v>0</v>
      </c>
      <c r="L248" t="n">
        <v>0</v>
      </c>
      <c r="M248" t="n">
        <v>0</v>
      </c>
      <c r="N248" t="n">
        <v>0</v>
      </c>
      <c r="O248" t="n">
        <v>0</v>
      </c>
      <c r="P248" t="n">
        <v>0</v>
      </c>
      <c r="Q248" t="n">
        <v>0</v>
      </c>
      <c r="R248" s="2" t="inlineStr"/>
    </row>
    <row r="249" ht="15" customHeight="1">
      <c r="A249" t="inlineStr">
        <is>
          <t>A 16725-2025</t>
        </is>
      </c>
      <c r="B249" s="1" t="n">
        <v>45754</v>
      </c>
      <c r="C249" s="1" t="n">
        <v>45887</v>
      </c>
      <c r="D249" t="inlineStr">
        <is>
          <t>JÄMTLANDS LÄN</t>
        </is>
      </c>
      <c r="E249" t="inlineStr">
        <is>
          <t>ÖSTERSUND</t>
        </is>
      </c>
      <c r="F249" t="inlineStr">
        <is>
          <t>Övriga statliga verk och myndigheter</t>
        </is>
      </c>
      <c r="G249" t="n">
        <v>3.7</v>
      </c>
      <c r="H249" t="n">
        <v>0</v>
      </c>
      <c r="I249" t="n">
        <v>0</v>
      </c>
      <c r="J249" t="n">
        <v>0</v>
      </c>
      <c r="K249" t="n">
        <v>0</v>
      </c>
      <c r="L249" t="n">
        <v>0</v>
      </c>
      <c r="M249" t="n">
        <v>0</v>
      </c>
      <c r="N249" t="n">
        <v>0</v>
      </c>
      <c r="O249" t="n">
        <v>0</v>
      </c>
      <c r="P249" t="n">
        <v>0</v>
      </c>
      <c r="Q249" t="n">
        <v>0</v>
      </c>
      <c r="R249" s="2" t="inlineStr"/>
    </row>
    <row r="250" ht="15" customHeight="1">
      <c r="A250" t="inlineStr">
        <is>
          <t>A 4480-2025</t>
        </is>
      </c>
      <c r="B250" s="1" t="n">
        <v>45686.64175925926</v>
      </c>
      <c r="C250" s="1" t="n">
        <v>45887</v>
      </c>
      <c r="D250" t="inlineStr">
        <is>
          <t>JÄMTLANDS LÄN</t>
        </is>
      </c>
      <c r="E250" t="inlineStr">
        <is>
          <t>ÖSTERSUND</t>
        </is>
      </c>
      <c r="G250" t="n">
        <v>27.7</v>
      </c>
      <c r="H250" t="n">
        <v>0</v>
      </c>
      <c r="I250" t="n">
        <v>0</v>
      </c>
      <c r="J250" t="n">
        <v>0</v>
      </c>
      <c r="K250" t="n">
        <v>0</v>
      </c>
      <c r="L250" t="n">
        <v>0</v>
      </c>
      <c r="M250" t="n">
        <v>0</v>
      </c>
      <c r="N250" t="n">
        <v>0</v>
      </c>
      <c r="O250" t="n">
        <v>0</v>
      </c>
      <c r="P250" t="n">
        <v>0</v>
      </c>
      <c r="Q250" t="n">
        <v>0</v>
      </c>
      <c r="R250" s="2" t="inlineStr"/>
    </row>
    <row r="251" ht="15" customHeight="1">
      <c r="A251" t="inlineStr">
        <is>
          <t>A 21704-2025</t>
        </is>
      </c>
      <c r="B251" s="1" t="n">
        <v>45783.51381944444</v>
      </c>
      <c r="C251" s="1" t="n">
        <v>45887</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45887</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2756-2024</t>
        </is>
      </c>
      <c r="B253" s="1" t="n">
        <v>45314.58785879629</v>
      </c>
      <c r="C253" s="1" t="n">
        <v>45887</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22612-2025</t>
        </is>
      </c>
      <c r="B254" s="1" t="n">
        <v>45789.42538194444</v>
      </c>
      <c r="C254" s="1" t="n">
        <v>45887</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27294-2023</t>
        </is>
      </c>
      <c r="B255" s="1" t="n">
        <v>45092</v>
      </c>
      <c r="C255" s="1" t="n">
        <v>45887</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24246-2024</t>
        </is>
      </c>
      <c r="B256" s="1" t="n">
        <v>45457.37893518519</v>
      </c>
      <c r="C256" s="1" t="n">
        <v>45887</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1670-2024</t>
        </is>
      </c>
      <c r="B257" s="1" t="n">
        <v>45306</v>
      </c>
      <c r="C257" s="1" t="n">
        <v>45887</v>
      </c>
      <c r="D257" t="inlineStr">
        <is>
          <t>JÄMTLANDS LÄN</t>
        </is>
      </c>
      <c r="E257" t="inlineStr">
        <is>
          <t>ÖSTERSUND</t>
        </is>
      </c>
      <c r="G257" t="n">
        <v>1.2</v>
      </c>
      <c r="H257" t="n">
        <v>0</v>
      </c>
      <c r="I257" t="n">
        <v>0</v>
      </c>
      <c r="J257" t="n">
        <v>0</v>
      </c>
      <c r="K257" t="n">
        <v>0</v>
      </c>
      <c r="L257" t="n">
        <v>0</v>
      </c>
      <c r="M257" t="n">
        <v>0</v>
      </c>
      <c r="N257" t="n">
        <v>0</v>
      </c>
      <c r="O257" t="n">
        <v>0</v>
      </c>
      <c r="P257" t="n">
        <v>0</v>
      </c>
      <c r="Q257" t="n">
        <v>0</v>
      </c>
      <c r="R257" s="2" t="inlineStr"/>
    </row>
    <row r="258" ht="15" customHeight="1">
      <c r="A258" t="inlineStr">
        <is>
          <t>A 22384-2025</t>
        </is>
      </c>
      <c r="B258" s="1" t="n">
        <v>45786</v>
      </c>
      <c r="C258" s="1" t="n">
        <v>45887</v>
      </c>
      <c r="D258" t="inlineStr">
        <is>
          <t>JÄMTLANDS LÄN</t>
        </is>
      </c>
      <c r="E258" t="inlineStr">
        <is>
          <t>ÖSTERSUND</t>
        </is>
      </c>
      <c r="G258" t="n">
        <v>1.4</v>
      </c>
      <c r="H258" t="n">
        <v>0</v>
      </c>
      <c r="I258" t="n">
        <v>0</v>
      </c>
      <c r="J258" t="n">
        <v>0</v>
      </c>
      <c r="K258" t="n">
        <v>0</v>
      </c>
      <c r="L258" t="n">
        <v>0</v>
      </c>
      <c r="M258" t="n">
        <v>0</v>
      </c>
      <c r="N258" t="n">
        <v>0</v>
      </c>
      <c r="O258" t="n">
        <v>0</v>
      </c>
      <c r="P258" t="n">
        <v>0</v>
      </c>
      <c r="Q258" t="n">
        <v>0</v>
      </c>
      <c r="R258" s="2" t="inlineStr"/>
    </row>
    <row r="259" ht="15" customHeight="1">
      <c r="A259" t="inlineStr">
        <is>
          <t>A 49192-2024</t>
        </is>
      </c>
      <c r="B259" s="1" t="n">
        <v>45595.34762731481</v>
      </c>
      <c r="C259" s="1" t="n">
        <v>45887</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17948-2025</t>
        </is>
      </c>
      <c r="B260" s="1" t="n">
        <v>45760.66995370371</v>
      </c>
      <c r="C260" s="1" t="n">
        <v>45887</v>
      </c>
      <c r="D260" t="inlineStr">
        <is>
          <t>JÄMTLANDS LÄN</t>
        </is>
      </c>
      <c r="E260" t="inlineStr">
        <is>
          <t>ÖSTERSUND</t>
        </is>
      </c>
      <c r="G260" t="n">
        <v>3.9</v>
      </c>
      <c r="H260" t="n">
        <v>0</v>
      </c>
      <c r="I260" t="n">
        <v>0</v>
      </c>
      <c r="J260" t="n">
        <v>0</v>
      </c>
      <c r="K260" t="n">
        <v>0</v>
      </c>
      <c r="L260" t="n">
        <v>0</v>
      </c>
      <c r="M260" t="n">
        <v>0</v>
      </c>
      <c r="N260" t="n">
        <v>0</v>
      </c>
      <c r="O260" t="n">
        <v>0</v>
      </c>
      <c r="P260" t="n">
        <v>0</v>
      </c>
      <c r="Q260" t="n">
        <v>0</v>
      </c>
      <c r="R260" s="2" t="inlineStr"/>
    </row>
    <row r="261" ht="15" customHeight="1">
      <c r="A261" t="inlineStr">
        <is>
          <t>A 4520-2025</t>
        </is>
      </c>
      <c r="B261" s="1" t="n">
        <v>45686.92384259259</v>
      </c>
      <c r="C261" s="1" t="n">
        <v>45887</v>
      </c>
      <c r="D261" t="inlineStr">
        <is>
          <t>JÄMTLANDS LÄN</t>
        </is>
      </c>
      <c r="E261" t="inlineStr">
        <is>
          <t>ÖSTERSUND</t>
        </is>
      </c>
      <c r="G261" t="n">
        <v>15.2</v>
      </c>
      <c r="H261" t="n">
        <v>0</v>
      </c>
      <c r="I261" t="n">
        <v>0</v>
      </c>
      <c r="J261" t="n">
        <v>0</v>
      </c>
      <c r="K261" t="n">
        <v>0</v>
      </c>
      <c r="L261" t="n">
        <v>0</v>
      </c>
      <c r="M261" t="n">
        <v>0</v>
      </c>
      <c r="N261" t="n">
        <v>0</v>
      </c>
      <c r="O261" t="n">
        <v>0</v>
      </c>
      <c r="P261" t="n">
        <v>0</v>
      </c>
      <c r="Q261" t="n">
        <v>0</v>
      </c>
      <c r="R261" s="2" t="inlineStr"/>
    </row>
    <row r="262" ht="15" customHeight="1">
      <c r="A262" t="inlineStr">
        <is>
          <t>A 4523-2025</t>
        </is>
      </c>
      <c r="B262" s="1" t="n">
        <v>45686.92864583333</v>
      </c>
      <c r="C262" s="1" t="n">
        <v>45887</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45887</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22713-2025</t>
        </is>
      </c>
      <c r="B264" s="1" t="n">
        <v>45789.56414351852</v>
      </c>
      <c r="C264" s="1" t="n">
        <v>45887</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45887</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22822-2025</t>
        </is>
      </c>
      <c r="B266" s="1" t="n">
        <v>45789</v>
      </c>
      <c r="C266" s="1" t="n">
        <v>45887</v>
      </c>
      <c r="D266" t="inlineStr">
        <is>
          <t>JÄMTLANDS LÄN</t>
        </is>
      </c>
      <c r="E266" t="inlineStr">
        <is>
          <t>ÖSTERSUND</t>
        </is>
      </c>
      <c r="G266" t="n">
        <v>2.2</v>
      </c>
      <c r="H266" t="n">
        <v>0</v>
      </c>
      <c r="I266" t="n">
        <v>0</v>
      </c>
      <c r="J266" t="n">
        <v>0</v>
      </c>
      <c r="K266" t="n">
        <v>0</v>
      </c>
      <c r="L266" t="n">
        <v>0</v>
      </c>
      <c r="M266" t="n">
        <v>0</v>
      </c>
      <c r="N266" t="n">
        <v>0</v>
      </c>
      <c r="O266" t="n">
        <v>0</v>
      </c>
      <c r="P266" t="n">
        <v>0</v>
      </c>
      <c r="Q266" t="n">
        <v>0</v>
      </c>
      <c r="R266" s="2" t="inlineStr"/>
    </row>
    <row r="267" ht="15" customHeight="1">
      <c r="A267" t="inlineStr">
        <is>
          <t>A 69190-2021</t>
        </is>
      </c>
      <c r="B267" s="1" t="n">
        <v>44529</v>
      </c>
      <c r="C267" s="1" t="n">
        <v>45887</v>
      </c>
      <c r="D267" t="inlineStr">
        <is>
          <t>JÄMTLANDS LÄN</t>
        </is>
      </c>
      <c r="E267" t="inlineStr">
        <is>
          <t>ÖSTERSUND</t>
        </is>
      </c>
      <c r="G267" t="n">
        <v>4.2</v>
      </c>
      <c r="H267" t="n">
        <v>0</v>
      </c>
      <c r="I267" t="n">
        <v>0</v>
      </c>
      <c r="J267" t="n">
        <v>0</v>
      </c>
      <c r="K267" t="n">
        <v>0</v>
      </c>
      <c r="L267" t="n">
        <v>0</v>
      </c>
      <c r="M267" t="n">
        <v>0</v>
      </c>
      <c r="N267" t="n">
        <v>0</v>
      </c>
      <c r="O267" t="n">
        <v>0</v>
      </c>
      <c r="P267" t="n">
        <v>0</v>
      </c>
      <c r="Q267" t="n">
        <v>0</v>
      </c>
      <c r="R267" s="2" t="inlineStr"/>
    </row>
    <row r="268" ht="15" customHeight="1">
      <c r="A268" t="inlineStr">
        <is>
          <t>A 22920-2025</t>
        </is>
      </c>
      <c r="B268" s="1" t="n">
        <v>45790.43905092592</v>
      </c>
      <c r="C268" s="1" t="n">
        <v>45887</v>
      </c>
      <c r="D268" t="inlineStr">
        <is>
          <t>JÄMTLANDS LÄN</t>
        </is>
      </c>
      <c r="E268" t="inlineStr">
        <is>
          <t>ÖSTERSUND</t>
        </is>
      </c>
      <c r="G268" t="n">
        <v>0.4</v>
      </c>
      <c r="H268" t="n">
        <v>0</v>
      </c>
      <c r="I268" t="n">
        <v>0</v>
      </c>
      <c r="J268" t="n">
        <v>0</v>
      </c>
      <c r="K268" t="n">
        <v>0</v>
      </c>
      <c r="L268" t="n">
        <v>0</v>
      </c>
      <c r="M268" t="n">
        <v>0</v>
      </c>
      <c r="N268" t="n">
        <v>0</v>
      </c>
      <c r="O268" t="n">
        <v>0</v>
      </c>
      <c r="P268" t="n">
        <v>0</v>
      </c>
      <c r="Q268" t="n">
        <v>0</v>
      </c>
      <c r="R268" s="2" t="inlineStr"/>
    </row>
    <row r="269" ht="15" customHeight="1">
      <c r="A269" t="inlineStr">
        <is>
          <t>A 22952-2025</t>
        </is>
      </c>
      <c r="B269" s="1" t="n">
        <v>45790.51074074074</v>
      </c>
      <c r="C269" s="1" t="n">
        <v>45887</v>
      </c>
      <c r="D269" t="inlineStr">
        <is>
          <t>JÄMTLANDS LÄN</t>
        </is>
      </c>
      <c r="E269" t="inlineStr">
        <is>
          <t>ÖSTERSUND</t>
        </is>
      </c>
      <c r="F269" t="inlineStr">
        <is>
          <t>SCA</t>
        </is>
      </c>
      <c r="G269" t="n">
        <v>4.6</v>
      </c>
      <c r="H269" t="n">
        <v>0</v>
      </c>
      <c r="I269" t="n">
        <v>0</v>
      </c>
      <c r="J269" t="n">
        <v>0</v>
      </c>
      <c r="K269" t="n">
        <v>0</v>
      </c>
      <c r="L269" t="n">
        <v>0</v>
      </c>
      <c r="M269" t="n">
        <v>0</v>
      </c>
      <c r="N269" t="n">
        <v>0</v>
      </c>
      <c r="O269" t="n">
        <v>0</v>
      </c>
      <c r="P269" t="n">
        <v>0</v>
      </c>
      <c r="Q269" t="n">
        <v>0</v>
      </c>
      <c r="R269" s="2" t="inlineStr"/>
      <c r="U269">
        <f>HYPERLINK("https://klasma.github.io/Logging_2380/knärot/A 22952-2025 karta knärot.png", "A 22952-2025")</f>
        <v/>
      </c>
      <c r="V269">
        <f>HYPERLINK("https://klasma.github.io/Logging_2380/klagomål/A 22952-2025 FSC-klagomål.docx", "A 22952-2025")</f>
        <v/>
      </c>
      <c r="W269">
        <f>HYPERLINK("https://klasma.github.io/Logging_2380/klagomålsmail/A 22952-2025 FSC-klagomål mail.docx", "A 22952-2025")</f>
        <v/>
      </c>
      <c r="X269">
        <f>HYPERLINK("https://klasma.github.io/Logging_2380/tillsyn/A 22952-2025 tillsynsbegäran.docx", "A 22952-2025")</f>
        <v/>
      </c>
      <c r="Y269">
        <f>HYPERLINK("https://klasma.github.io/Logging_2380/tillsynsmail/A 22952-2025 tillsynsbegäran mail.docx", "A 22952-2025")</f>
        <v/>
      </c>
    </row>
    <row r="270" ht="15" customHeight="1">
      <c r="A270" t="inlineStr">
        <is>
          <t>A 4707-2024</t>
        </is>
      </c>
      <c r="B270" s="1" t="n">
        <v>45328</v>
      </c>
      <c r="C270" s="1" t="n">
        <v>45887</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22823-2025</t>
        </is>
      </c>
      <c r="B271" s="1" t="n">
        <v>45789</v>
      </c>
      <c r="C271" s="1" t="n">
        <v>45887</v>
      </c>
      <c r="D271" t="inlineStr">
        <is>
          <t>JÄMTLANDS LÄN</t>
        </is>
      </c>
      <c r="E271" t="inlineStr">
        <is>
          <t>ÖSTERSUND</t>
        </is>
      </c>
      <c r="G271" t="n">
        <v>8</v>
      </c>
      <c r="H271" t="n">
        <v>0</v>
      </c>
      <c r="I271" t="n">
        <v>0</v>
      </c>
      <c r="J271" t="n">
        <v>0</v>
      </c>
      <c r="K271" t="n">
        <v>0</v>
      </c>
      <c r="L271" t="n">
        <v>0</v>
      </c>
      <c r="M271" t="n">
        <v>0</v>
      </c>
      <c r="N271" t="n">
        <v>0</v>
      </c>
      <c r="O271" t="n">
        <v>0</v>
      </c>
      <c r="P271" t="n">
        <v>0</v>
      </c>
      <c r="Q271" t="n">
        <v>0</v>
      </c>
      <c r="R271" s="2" t="inlineStr"/>
    </row>
    <row r="272" ht="15" customHeight="1">
      <c r="A272" t="inlineStr">
        <is>
          <t>A 46732-2024</t>
        </is>
      </c>
      <c r="B272" s="1" t="n">
        <v>45583.46936342592</v>
      </c>
      <c r="C272" s="1" t="n">
        <v>45887</v>
      </c>
      <c r="D272" t="inlineStr">
        <is>
          <t>JÄMTLANDS LÄN</t>
        </is>
      </c>
      <c r="E272" t="inlineStr">
        <is>
          <t>ÖSTERSUND</t>
        </is>
      </c>
      <c r="G272" t="n">
        <v>3.3</v>
      </c>
      <c r="H272" t="n">
        <v>0</v>
      </c>
      <c r="I272" t="n">
        <v>0</v>
      </c>
      <c r="J272" t="n">
        <v>0</v>
      </c>
      <c r="K272" t="n">
        <v>0</v>
      </c>
      <c r="L272" t="n">
        <v>0</v>
      </c>
      <c r="M272" t="n">
        <v>0</v>
      </c>
      <c r="N272" t="n">
        <v>0</v>
      </c>
      <c r="O272" t="n">
        <v>0</v>
      </c>
      <c r="P272" t="n">
        <v>0</v>
      </c>
      <c r="Q272" t="n">
        <v>0</v>
      </c>
      <c r="R272" s="2" t="inlineStr"/>
    </row>
    <row r="273" ht="15" customHeight="1">
      <c r="A273" t="inlineStr">
        <is>
          <t>A 31916-2025</t>
        </is>
      </c>
      <c r="B273" s="1" t="n">
        <v>45834.73403935185</v>
      </c>
      <c r="C273" s="1" t="n">
        <v>45887</v>
      </c>
      <c r="D273" t="inlineStr">
        <is>
          <t>JÄMTLANDS LÄN</t>
        </is>
      </c>
      <c r="E273" t="inlineStr">
        <is>
          <t>ÖSTERSUND</t>
        </is>
      </c>
      <c r="G273" t="n">
        <v>1</v>
      </c>
      <c r="H273" t="n">
        <v>0</v>
      </c>
      <c r="I273" t="n">
        <v>0</v>
      </c>
      <c r="J273" t="n">
        <v>0</v>
      </c>
      <c r="K273" t="n">
        <v>0</v>
      </c>
      <c r="L273" t="n">
        <v>0</v>
      </c>
      <c r="M273" t="n">
        <v>0</v>
      </c>
      <c r="N273" t="n">
        <v>0</v>
      </c>
      <c r="O273" t="n">
        <v>0</v>
      </c>
      <c r="P273" t="n">
        <v>0</v>
      </c>
      <c r="Q273" t="n">
        <v>0</v>
      </c>
      <c r="R273" s="2" t="inlineStr"/>
    </row>
    <row r="274" ht="15" customHeight="1">
      <c r="A274" t="inlineStr">
        <is>
          <t>A 23249-2025</t>
        </is>
      </c>
      <c r="B274" s="1" t="n">
        <v>45791</v>
      </c>
      <c r="C274" s="1" t="n">
        <v>45887</v>
      </c>
      <c r="D274" t="inlineStr">
        <is>
          <t>JÄMTLANDS LÄN</t>
        </is>
      </c>
      <c r="E274" t="inlineStr">
        <is>
          <t>ÖSTERSUND</t>
        </is>
      </c>
      <c r="G274" t="n">
        <v>10</v>
      </c>
      <c r="H274" t="n">
        <v>0</v>
      </c>
      <c r="I274" t="n">
        <v>0</v>
      </c>
      <c r="J274" t="n">
        <v>0</v>
      </c>
      <c r="K274" t="n">
        <v>0</v>
      </c>
      <c r="L274" t="n">
        <v>0</v>
      </c>
      <c r="M274" t="n">
        <v>0</v>
      </c>
      <c r="N274" t="n">
        <v>0</v>
      </c>
      <c r="O274" t="n">
        <v>0</v>
      </c>
      <c r="P274" t="n">
        <v>0</v>
      </c>
      <c r="Q274" t="n">
        <v>0</v>
      </c>
      <c r="R274" s="2" t="inlineStr"/>
    </row>
    <row r="275" ht="15" customHeight="1">
      <c r="A275" t="inlineStr">
        <is>
          <t>A 23100-2025</t>
        </is>
      </c>
      <c r="B275" s="1" t="n">
        <v>45791.35212962963</v>
      </c>
      <c r="C275" s="1" t="n">
        <v>45887</v>
      </c>
      <c r="D275" t="inlineStr">
        <is>
          <t>JÄMTLANDS LÄN</t>
        </is>
      </c>
      <c r="E275" t="inlineStr">
        <is>
          <t>ÖSTERSUND</t>
        </is>
      </c>
      <c r="G275" t="n">
        <v>4.5</v>
      </c>
      <c r="H275" t="n">
        <v>0</v>
      </c>
      <c r="I275" t="n">
        <v>0</v>
      </c>
      <c r="J275" t="n">
        <v>0</v>
      </c>
      <c r="K275" t="n">
        <v>0</v>
      </c>
      <c r="L275" t="n">
        <v>0</v>
      </c>
      <c r="M275" t="n">
        <v>0</v>
      </c>
      <c r="N275" t="n">
        <v>0</v>
      </c>
      <c r="O275" t="n">
        <v>0</v>
      </c>
      <c r="P275" t="n">
        <v>0</v>
      </c>
      <c r="Q275" t="n">
        <v>0</v>
      </c>
      <c r="R275" s="2" t="inlineStr"/>
    </row>
    <row r="276" ht="15" customHeight="1">
      <c r="A276" t="inlineStr">
        <is>
          <t>A 23078-2025</t>
        </is>
      </c>
      <c r="B276" s="1" t="n">
        <v>45791.27984953704</v>
      </c>
      <c r="C276" s="1" t="n">
        <v>45887</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23110-2025</t>
        </is>
      </c>
      <c r="B277" s="1" t="n">
        <v>45791.36526620371</v>
      </c>
      <c r="C277" s="1" t="n">
        <v>45887</v>
      </c>
      <c r="D277" t="inlineStr">
        <is>
          <t>JÄMTLANDS LÄN</t>
        </is>
      </c>
      <c r="E277" t="inlineStr">
        <is>
          <t>ÖSTERSUND</t>
        </is>
      </c>
      <c r="G277" t="n">
        <v>1</v>
      </c>
      <c r="H277" t="n">
        <v>0</v>
      </c>
      <c r="I277" t="n">
        <v>0</v>
      </c>
      <c r="J277" t="n">
        <v>0</v>
      </c>
      <c r="K277" t="n">
        <v>0</v>
      </c>
      <c r="L277" t="n">
        <v>0</v>
      </c>
      <c r="M277" t="n">
        <v>0</v>
      </c>
      <c r="N277" t="n">
        <v>0</v>
      </c>
      <c r="O277" t="n">
        <v>0</v>
      </c>
      <c r="P277" t="n">
        <v>0</v>
      </c>
      <c r="Q277" t="n">
        <v>0</v>
      </c>
      <c r="R277" s="2" t="inlineStr"/>
    </row>
    <row r="278" ht="15" customHeight="1">
      <c r="A278" t="inlineStr">
        <is>
          <t>A 45895-2024</t>
        </is>
      </c>
      <c r="B278" s="1" t="n">
        <v>45580.42736111111</v>
      </c>
      <c r="C278" s="1" t="n">
        <v>45887</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7938-2025</t>
        </is>
      </c>
      <c r="B279" s="1" t="n">
        <v>45707</v>
      </c>
      <c r="C279" s="1" t="n">
        <v>45887</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38335-2023</t>
        </is>
      </c>
      <c r="B280" s="1" t="n">
        <v>45161</v>
      </c>
      <c r="C280" s="1" t="n">
        <v>45887</v>
      </c>
      <c r="D280" t="inlineStr">
        <is>
          <t>JÄMTLANDS LÄN</t>
        </is>
      </c>
      <c r="E280" t="inlineStr">
        <is>
          <t>ÖSTERSUND</t>
        </is>
      </c>
      <c r="G280" t="n">
        <v>15.1</v>
      </c>
      <c r="H280" t="n">
        <v>0</v>
      </c>
      <c r="I280" t="n">
        <v>0</v>
      </c>
      <c r="J280" t="n">
        <v>0</v>
      </c>
      <c r="K280" t="n">
        <v>0</v>
      </c>
      <c r="L280" t="n">
        <v>0</v>
      </c>
      <c r="M280" t="n">
        <v>0</v>
      </c>
      <c r="N280" t="n">
        <v>0</v>
      </c>
      <c r="O280" t="n">
        <v>0</v>
      </c>
      <c r="P280" t="n">
        <v>0</v>
      </c>
      <c r="Q280" t="n">
        <v>0</v>
      </c>
      <c r="R280" s="2" t="inlineStr"/>
    </row>
    <row r="281" ht="15" customHeight="1">
      <c r="A281" t="inlineStr">
        <is>
          <t>A 55064-2024</t>
        </is>
      </c>
      <c r="B281" s="1" t="n">
        <v>45621.41050925926</v>
      </c>
      <c r="C281" s="1" t="n">
        <v>45887</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45338-2024</t>
        </is>
      </c>
      <c r="B282" s="1" t="n">
        <v>45576.46905092592</v>
      </c>
      <c r="C282" s="1" t="n">
        <v>45887</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10116-2025</t>
        </is>
      </c>
      <c r="B283" s="1" t="n">
        <v>45719.59836805556</v>
      </c>
      <c r="C283" s="1" t="n">
        <v>45887</v>
      </c>
      <c r="D283" t="inlineStr">
        <is>
          <t>JÄMTLANDS LÄN</t>
        </is>
      </c>
      <c r="E283" t="inlineStr">
        <is>
          <t>ÖSTERSUND</t>
        </is>
      </c>
      <c r="G283" t="n">
        <v>11.1</v>
      </c>
      <c r="H283" t="n">
        <v>0</v>
      </c>
      <c r="I283" t="n">
        <v>0</v>
      </c>
      <c r="J283" t="n">
        <v>0</v>
      </c>
      <c r="K283" t="n">
        <v>0</v>
      </c>
      <c r="L283" t="n">
        <v>0</v>
      </c>
      <c r="M283" t="n">
        <v>0</v>
      </c>
      <c r="N283" t="n">
        <v>0</v>
      </c>
      <c r="O283" t="n">
        <v>0</v>
      </c>
      <c r="P283" t="n">
        <v>0</v>
      </c>
      <c r="Q283" t="n">
        <v>0</v>
      </c>
      <c r="R283" s="2" t="inlineStr"/>
    </row>
    <row r="284" ht="15" customHeight="1">
      <c r="A284" t="inlineStr">
        <is>
          <t>A 41780-2024</t>
        </is>
      </c>
      <c r="B284" s="1" t="n">
        <v>45561.34908564815</v>
      </c>
      <c r="C284" s="1" t="n">
        <v>45887</v>
      </c>
      <c r="D284" t="inlineStr">
        <is>
          <t>JÄMTLANDS LÄN</t>
        </is>
      </c>
      <c r="E284" t="inlineStr">
        <is>
          <t>ÖSTERSUND</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24091-2025</t>
        </is>
      </c>
      <c r="B285" s="1" t="n">
        <v>45796.57071759259</v>
      </c>
      <c r="C285" s="1" t="n">
        <v>45887</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8027-2022</t>
        </is>
      </c>
      <c r="B286" s="1" t="n">
        <v>44609</v>
      </c>
      <c r="C286" s="1" t="n">
        <v>45887</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16908-2025</t>
        </is>
      </c>
      <c r="B287" s="1" t="n">
        <v>45755.35107638889</v>
      </c>
      <c r="C287" s="1" t="n">
        <v>45887</v>
      </c>
      <c r="D287" t="inlineStr">
        <is>
          <t>JÄMTLANDS LÄN</t>
        </is>
      </c>
      <c r="E287" t="inlineStr">
        <is>
          <t>ÖSTERSUND</t>
        </is>
      </c>
      <c r="G287" t="n">
        <v>8.6</v>
      </c>
      <c r="H287" t="n">
        <v>0</v>
      </c>
      <c r="I287" t="n">
        <v>0</v>
      </c>
      <c r="J287" t="n">
        <v>0</v>
      </c>
      <c r="K287" t="n">
        <v>0</v>
      </c>
      <c r="L287" t="n">
        <v>0</v>
      </c>
      <c r="M287" t="n">
        <v>0</v>
      </c>
      <c r="N287" t="n">
        <v>0</v>
      </c>
      <c r="O287" t="n">
        <v>0</v>
      </c>
      <c r="P287" t="n">
        <v>0</v>
      </c>
      <c r="Q287" t="n">
        <v>0</v>
      </c>
      <c r="R287" s="2" t="inlineStr"/>
    </row>
    <row r="288" ht="15" customHeight="1">
      <c r="A288" t="inlineStr">
        <is>
          <t>A 23877-2025</t>
        </is>
      </c>
      <c r="B288" s="1" t="n">
        <v>45793.68469907407</v>
      </c>
      <c r="C288" s="1" t="n">
        <v>45887</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19323-2024</t>
        </is>
      </c>
      <c r="B289" s="1" t="n">
        <v>45428.92486111111</v>
      </c>
      <c r="C289" s="1" t="n">
        <v>45887</v>
      </c>
      <c r="D289" t="inlineStr">
        <is>
          <t>JÄMTLANDS LÄN</t>
        </is>
      </c>
      <c r="E289" t="inlineStr">
        <is>
          <t>ÖSTERSUND</t>
        </is>
      </c>
      <c r="F289" t="inlineStr">
        <is>
          <t>Kommuner</t>
        </is>
      </c>
      <c r="G289" t="n">
        <v>0.2</v>
      </c>
      <c r="H289" t="n">
        <v>0</v>
      </c>
      <c r="I289" t="n">
        <v>0</v>
      </c>
      <c r="J289" t="n">
        <v>0</v>
      </c>
      <c r="K289" t="n">
        <v>0</v>
      </c>
      <c r="L289" t="n">
        <v>0</v>
      </c>
      <c r="M289" t="n">
        <v>0</v>
      </c>
      <c r="N289" t="n">
        <v>0</v>
      </c>
      <c r="O289" t="n">
        <v>0</v>
      </c>
      <c r="P289" t="n">
        <v>0</v>
      </c>
      <c r="Q289" t="n">
        <v>0</v>
      </c>
      <c r="R289" s="2" t="inlineStr"/>
    </row>
    <row r="290" ht="15" customHeight="1">
      <c r="A290" t="inlineStr">
        <is>
          <t>A 14831-2025</t>
        </is>
      </c>
      <c r="B290" s="1" t="n">
        <v>45743.37109953703</v>
      </c>
      <c r="C290" s="1" t="n">
        <v>45887</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24403-2025</t>
        </is>
      </c>
      <c r="B291" s="1" t="n">
        <v>45797.65025462963</v>
      </c>
      <c r="C291" s="1" t="n">
        <v>45887</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24523-2025</t>
        </is>
      </c>
      <c r="B292" s="1" t="n">
        <v>45798.42108796296</v>
      </c>
      <c r="C292" s="1" t="n">
        <v>45887</v>
      </c>
      <c r="D292" t="inlineStr">
        <is>
          <t>JÄMTLANDS LÄN</t>
        </is>
      </c>
      <c r="E292" t="inlineStr">
        <is>
          <t>ÖSTERSUND</t>
        </is>
      </c>
      <c r="G292" t="n">
        <v>13.7</v>
      </c>
      <c r="H292" t="n">
        <v>0</v>
      </c>
      <c r="I292" t="n">
        <v>0</v>
      </c>
      <c r="J292" t="n">
        <v>0</v>
      </c>
      <c r="K292" t="n">
        <v>0</v>
      </c>
      <c r="L292" t="n">
        <v>0</v>
      </c>
      <c r="M292" t="n">
        <v>0</v>
      </c>
      <c r="N292" t="n">
        <v>0</v>
      </c>
      <c r="O292" t="n">
        <v>0</v>
      </c>
      <c r="P292" t="n">
        <v>0</v>
      </c>
      <c r="Q292" t="n">
        <v>0</v>
      </c>
      <c r="R292" s="2" t="inlineStr"/>
    </row>
    <row r="293" ht="15" customHeight="1">
      <c r="A293" t="inlineStr">
        <is>
          <t>A 49592-2024</t>
        </is>
      </c>
      <c r="B293" s="1" t="n">
        <v>45596.55266203704</v>
      </c>
      <c r="C293" s="1" t="n">
        <v>45887</v>
      </c>
      <c r="D293" t="inlineStr">
        <is>
          <t>JÄMTLANDS LÄN</t>
        </is>
      </c>
      <c r="E293" t="inlineStr">
        <is>
          <t>ÖSTERSUND</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24368-2025</t>
        </is>
      </c>
      <c r="B294" s="1" t="n">
        <v>45797.60623842593</v>
      </c>
      <c r="C294" s="1" t="n">
        <v>45887</v>
      </c>
      <c r="D294" t="inlineStr">
        <is>
          <t>JÄMTLANDS LÄN</t>
        </is>
      </c>
      <c r="E294" t="inlineStr">
        <is>
          <t>ÖSTERSUND</t>
        </is>
      </c>
      <c r="G294" t="n">
        <v>2.9</v>
      </c>
      <c r="H294" t="n">
        <v>0</v>
      </c>
      <c r="I294" t="n">
        <v>0</v>
      </c>
      <c r="J294" t="n">
        <v>0</v>
      </c>
      <c r="K294" t="n">
        <v>0</v>
      </c>
      <c r="L294" t="n">
        <v>0</v>
      </c>
      <c r="M294" t="n">
        <v>0</v>
      </c>
      <c r="N294" t="n">
        <v>0</v>
      </c>
      <c r="O294" t="n">
        <v>0</v>
      </c>
      <c r="P294" t="n">
        <v>0</v>
      </c>
      <c r="Q294" t="n">
        <v>0</v>
      </c>
      <c r="R294" s="2" t="inlineStr"/>
    </row>
    <row r="295" ht="15" customHeight="1">
      <c r="A295" t="inlineStr">
        <is>
          <t>A 24568-2025</t>
        </is>
      </c>
      <c r="B295" s="1" t="n">
        <v>45798.46913194445</v>
      </c>
      <c r="C295" s="1" t="n">
        <v>45887</v>
      </c>
      <c r="D295" t="inlineStr">
        <is>
          <t>JÄMTLANDS LÄN</t>
        </is>
      </c>
      <c r="E295" t="inlineStr">
        <is>
          <t>ÖSTERSUND</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56847-2024</t>
        </is>
      </c>
      <c r="B296" s="1" t="n">
        <v>45628.53381944444</v>
      </c>
      <c r="C296" s="1" t="n">
        <v>45887</v>
      </c>
      <c r="D296" t="inlineStr">
        <is>
          <t>JÄMTLANDS LÄN</t>
        </is>
      </c>
      <c r="E296" t="inlineStr">
        <is>
          <t>ÖSTERSUND</t>
        </is>
      </c>
      <c r="G296" t="n">
        <v>1.4</v>
      </c>
      <c r="H296" t="n">
        <v>0</v>
      </c>
      <c r="I296" t="n">
        <v>0</v>
      </c>
      <c r="J296" t="n">
        <v>0</v>
      </c>
      <c r="K296" t="n">
        <v>0</v>
      </c>
      <c r="L296" t="n">
        <v>0</v>
      </c>
      <c r="M296" t="n">
        <v>0</v>
      </c>
      <c r="N296" t="n">
        <v>0</v>
      </c>
      <c r="O296" t="n">
        <v>0</v>
      </c>
      <c r="P296" t="n">
        <v>0</v>
      </c>
      <c r="Q296" t="n">
        <v>0</v>
      </c>
      <c r="R296" s="2" t="inlineStr"/>
    </row>
    <row r="297" ht="15" customHeight="1">
      <c r="A297" t="inlineStr">
        <is>
          <t>A 53176-2024</t>
        </is>
      </c>
      <c r="B297" s="1" t="n">
        <v>45611.66655092593</v>
      </c>
      <c r="C297" s="1" t="n">
        <v>45887</v>
      </c>
      <c r="D297" t="inlineStr">
        <is>
          <t>JÄMTLANDS LÄN</t>
        </is>
      </c>
      <c r="E297" t="inlineStr">
        <is>
          <t>ÖSTERSUND</t>
        </is>
      </c>
      <c r="G297" t="n">
        <v>1.1</v>
      </c>
      <c r="H297" t="n">
        <v>0</v>
      </c>
      <c r="I297" t="n">
        <v>0</v>
      </c>
      <c r="J297" t="n">
        <v>0</v>
      </c>
      <c r="K297" t="n">
        <v>0</v>
      </c>
      <c r="L297" t="n">
        <v>0</v>
      </c>
      <c r="M297" t="n">
        <v>0</v>
      </c>
      <c r="N297" t="n">
        <v>0</v>
      </c>
      <c r="O297" t="n">
        <v>0</v>
      </c>
      <c r="P297" t="n">
        <v>0</v>
      </c>
      <c r="Q297" t="n">
        <v>0</v>
      </c>
      <c r="R297" s="2" t="inlineStr"/>
    </row>
    <row r="298" ht="15" customHeight="1">
      <c r="A298" t="inlineStr">
        <is>
          <t>A 24946-2025</t>
        </is>
      </c>
      <c r="B298" s="1" t="n">
        <v>45799.56515046296</v>
      </c>
      <c r="C298" s="1" t="n">
        <v>45887</v>
      </c>
      <c r="D298" t="inlineStr">
        <is>
          <t>JÄMTLANDS LÄN</t>
        </is>
      </c>
      <c r="E298" t="inlineStr">
        <is>
          <t>ÖSTERSUND</t>
        </is>
      </c>
      <c r="G298" t="n">
        <v>4.8</v>
      </c>
      <c r="H298" t="n">
        <v>0</v>
      </c>
      <c r="I298" t="n">
        <v>0</v>
      </c>
      <c r="J298" t="n">
        <v>0</v>
      </c>
      <c r="K298" t="n">
        <v>0</v>
      </c>
      <c r="L298" t="n">
        <v>0</v>
      </c>
      <c r="M298" t="n">
        <v>0</v>
      </c>
      <c r="N298" t="n">
        <v>0</v>
      </c>
      <c r="O298" t="n">
        <v>0</v>
      </c>
      <c r="P298" t="n">
        <v>0</v>
      </c>
      <c r="Q298" t="n">
        <v>0</v>
      </c>
      <c r="R298" s="2" t="inlineStr"/>
    </row>
    <row r="299" ht="15" customHeight="1">
      <c r="A299" t="inlineStr">
        <is>
          <t>A 24725-2025</t>
        </is>
      </c>
      <c r="B299" s="1" t="n">
        <v>45799.3231712963</v>
      </c>
      <c r="C299" s="1" t="n">
        <v>45887</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44798-2023</t>
        </is>
      </c>
      <c r="B300" s="1" t="n">
        <v>45190</v>
      </c>
      <c r="C300" s="1" t="n">
        <v>45887</v>
      </c>
      <c r="D300" t="inlineStr">
        <is>
          <t>JÄMTLANDS LÄN</t>
        </is>
      </c>
      <c r="E300" t="inlineStr">
        <is>
          <t>ÖSTERSUND</t>
        </is>
      </c>
      <c r="G300" t="n">
        <v>1.1</v>
      </c>
      <c r="H300" t="n">
        <v>0</v>
      </c>
      <c r="I300" t="n">
        <v>0</v>
      </c>
      <c r="J300" t="n">
        <v>0</v>
      </c>
      <c r="K300" t="n">
        <v>0</v>
      </c>
      <c r="L300" t="n">
        <v>0</v>
      </c>
      <c r="M300" t="n">
        <v>0</v>
      </c>
      <c r="N300" t="n">
        <v>0</v>
      </c>
      <c r="O300" t="n">
        <v>0</v>
      </c>
      <c r="P300" t="n">
        <v>0</v>
      </c>
      <c r="Q300" t="n">
        <v>0</v>
      </c>
      <c r="R300" s="2" t="inlineStr"/>
    </row>
    <row r="301" ht="15" customHeight="1">
      <c r="A301" t="inlineStr">
        <is>
          <t>A 25210-2025</t>
        </is>
      </c>
      <c r="B301" s="1" t="n">
        <v>45800.46960648148</v>
      </c>
      <c r="C301" s="1" t="n">
        <v>45887</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25221-2025</t>
        </is>
      </c>
      <c r="B302" s="1" t="n">
        <v>45800.47802083333</v>
      </c>
      <c r="C302" s="1" t="n">
        <v>45887</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25058-2025</t>
        </is>
      </c>
      <c r="B303" s="1" t="n">
        <v>45799.68418981481</v>
      </c>
      <c r="C303" s="1" t="n">
        <v>45887</v>
      </c>
      <c r="D303" t="inlineStr">
        <is>
          <t>JÄMTLANDS LÄN</t>
        </is>
      </c>
      <c r="E303" t="inlineStr">
        <is>
          <t>ÖSTERSUND</t>
        </is>
      </c>
      <c r="G303" t="n">
        <v>0.8</v>
      </c>
      <c r="H303" t="n">
        <v>0</v>
      </c>
      <c r="I303" t="n">
        <v>0</v>
      </c>
      <c r="J303" t="n">
        <v>0</v>
      </c>
      <c r="K303" t="n">
        <v>0</v>
      </c>
      <c r="L303" t="n">
        <v>0</v>
      </c>
      <c r="M303" t="n">
        <v>0</v>
      </c>
      <c r="N303" t="n">
        <v>0</v>
      </c>
      <c r="O303" t="n">
        <v>0</v>
      </c>
      <c r="P303" t="n">
        <v>0</v>
      </c>
      <c r="Q303" t="n">
        <v>0</v>
      </c>
      <c r="R303" s="2" t="inlineStr"/>
    </row>
    <row r="304" ht="15" customHeight="1">
      <c r="A304" t="inlineStr">
        <is>
          <t>A 61376-2024</t>
        </is>
      </c>
      <c r="B304" s="1" t="n">
        <v>45646.39434027778</v>
      </c>
      <c r="C304" s="1" t="n">
        <v>45887</v>
      </c>
      <c r="D304" t="inlineStr">
        <is>
          <t>JÄMTLANDS LÄN</t>
        </is>
      </c>
      <c r="E304" t="inlineStr">
        <is>
          <t>ÖSTERSUND</t>
        </is>
      </c>
      <c r="G304" t="n">
        <v>4.6</v>
      </c>
      <c r="H304" t="n">
        <v>0</v>
      </c>
      <c r="I304" t="n">
        <v>0</v>
      </c>
      <c r="J304" t="n">
        <v>0</v>
      </c>
      <c r="K304" t="n">
        <v>0</v>
      </c>
      <c r="L304" t="n">
        <v>0</v>
      </c>
      <c r="M304" t="n">
        <v>0</v>
      </c>
      <c r="N304" t="n">
        <v>0</v>
      </c>
      <c r="O304" t="n">
        <v>0</v>
      </c>
      <c r="P304" t="n">
        <v>0</v>
      </c>
      <c r="Q304" t="n">
        <v>0</v>
      </c>
      <c r="R304" s="2" t="inlineStr"/>
    </row>
    <row r="305" ht="15" customHeight="1">
      <c r="A305" t="inlineStr">
        <is>
          <t>A 25252-2025</t>
        </is>
      </c>
      <c r="B305" s="1" t="n">
        <v>45800.50355324074</v>
      </c>
      <c r="C305" s="1" t="n">
        <v>45887</v>
      </c>
      <c r="D305" t="inlineStr">
        <is>
          <t>JÄMTLANDS LÄN</t>
        </is>
      </c>
      <c r="E305" t="inlineStr">
        <is>
          <t>ÖSTERSUND</t>
        </is>
      </c>
      <c r="G305" t="n">
        <v>2.7</v>
      </c>
      <c r="H305" t="n">
        <v>0</v>
      </c>
      <c r="I305" t="n">
        <v>0</v>
      </c>
      <c r="J305" t="n">
        <v>0</v>
      </c>
      <c r="K305" t="n">
        <v>0</v>
      </c>
      <c r="L305" t="n">
        <v>0</v>
      </c>
      <c r="M305" t="n">
        <v>0</v>
      </c>
      <c r="N305" t="n">
        <v>0</v>
      </c>
      <c r="O305" t="n">
        <v>0</v>
      </c>
      <c r="P305" t="n">
        <v>0</v>
      </c>
      <c r="Q305" t="n">
        <v>0</v>
      </c>
      <c r="R305" s="2" t="inlineStr"/>
    </row>
    <row r="306" ht="15" customHeight="1">
      <c r="A306" t="inlineStr">
        <is>
          <t>A 49788-2024</t>
        </is>
      </c>
      <c r="B306" s="1" t="n">
        <v>45597.36623842592</v>
      </c>
      <c r="C306" s="1" t="n">
        <v>45887</v>
      </c>
      <c r="D306" t="inlineStr">
        <is>
          <t>JÄMTLANDS LÄN</t>
        </is>
      </c>
      <c r="E306" t="inlineStr">
        <is>
          <t>ÖSTERSUND</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25228-2025</t>
        </is>
      </c>
      <c r="B307" s="1" t="n">
        <v>45800.48368055555</v>
      </c>
      <c r="C307" s="1" t="n">
        <v>45887</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25059-2025</t>
        </is>
      </c>
      <c r="B308" s="1" t="n">
        <v>45799.69116898148</v>
      </c>
      <c r="C308" s="1" t="n">
        <v>45887</v>
      </c>
      <c r="D308" t="inlineStr">
        <is>
          <t>JÄMTLANDS LÄN</t>
        </is>
      </c>
      <c r="E308" t="inlineStr">
        <is>
          <t>ÖSTERSUND</t>
        </is>
      </c>
      <c r="G308" t="n">
        <v>2.7</v>
      </c>
      <c r="H308" t="n">
        <v>0</v>
      </c>
      <c r="I308" t="n">
        <v>0</v>
      </c>
      <c r="J308" t="n">
        <v>0</v>
      </c>
      <c r="K308" t="n">
        <v>0</v>
      </c>
      <c r="L308" t="n">
        <v>0</v>
      </c>
      <c r="M308" t="n">
        <v>0</v>
      </c>
      <c r="N308" t="n">
        <v>0</v>
      </c>
      <c r="O308" t="n">
        <v>0</v>
      </c>
      <c r="P308" t="n">
        <v>0</v>
      </c>
      <c r="Q308" t="n">
        <v>0</v>
      </c>
      <c r="R308" s="2" t="inlineStr"/>
    </row>
    <row r="309" ht="15" customHeight="1">
      <c r="A309" t="inlineStr">
        <is>
          <t>A 25069-2025</t>
        </is>
      </c>
      <c r="B309" s="1" t="n">
        <v>45799.7372337963</v>
      </c>
      <c r="C309" s="1" t="n">
        <v>45887</v>
      </c>
      <c r="D309" t="inlineStr">
        <is>
          <t>JÄMTLANDS LÄN</t>
        </is>
      </c>
      <c r="E309" t="inlineStr">
        <is>
          <t>ÖSTERSUND</t>
        </is>
      </c>
      <c r="G309" t="n">
        <v>3.5</v>
      </c>
      <c r="H309" t="n">
        <v>0</v>
      </c>
      <c r="I309" t="n">
        <v>0</v>
      </c>
      <c r="J309" t="n">
        <v>0</v>
      </c>
      <c r="K309" t="n">
        <v>0</v>
      </c>
      <c r="L309" t="n">
        <v>0</v>
      </c>
      <c r="M309" t="n">
        <v>0</v>
      </c>
      <c r="N309" t="n">
        <v>0</v>
      </c>
      <c r="O309" t="n">
        <v>0</v>
      </c>
      <c r="P309" t="n">
        <v>0</v>
      </c>
      <c r="Q309" t="n">
        <v>0</v>
      </c>
      <c r="R309" s="2" t="inlineStr"/>
    </row>
    <row r="310" ht="15" customHeight="1">
      <c r="A310" t="inlineStr">
        <is>
          <t>A 58406-2024</t>
        </is>
      </c>
      <c r="B310" s="1" t="n">
        <v>45634.70898148148</v>
      </c>
      <c r="C310" s="1" t="n">
        <v>45887</v>
      </c>
      <c r="D310" t="inlineStr">
        <is>
          <t>JÄMTLANDS LÄN</t>
        </is>
      </c>
      <c r="E310" t="inlineStr">
        <is>
          <t>ÖSTERSUND</t>
        </is>
      </c>
      <c r="G310" t="n">
        <v>3.8</v>
      </c>
      <c r="H310" t="n">
        <v>0</v>
      </c>
      <c r="I310" t="n">
        <v>0</v>
      </c>
      <c r="J310" t="n">
        <v>0</v>
      </c>
      <c r="K310" t="n">
        <v>0</v>
      </c>
      <c r="L310" t="n">
        <v>0</v>
      </c>
      <c r="M310" t="n">
        <v>0</v>
      </c>
      <c r="N310" t="n">
        <v>0</v>
      </c>
      <c r="O310" t="n">
        <v>0</v>
      </c>
      <c r="P310" t="n">
        <v>0</v>
      </c>
      <c r="Q310" t="n">
        <v>0</v>
      </c>
      <c r="R310" s="2" t="inlineStr"/>
    </row>
    <row r="311" ht="15" customHeight="1">
      <c r="A311" t="inlineStr">
        <is>
          <t>A 61002-2024</t>
        </is>
      </c>
      <c r="B311" s="1" t="n">
        <v>45645.44158564815</v>
      </c>
      <c r="C311" s="1" t="n">
        <v>45887</v>
      </c>
      <c r="D311" t="inlineStr">
        <is>
          <t>JÄMTLANDS LÄN</t>
        </is>
      </c>
      <c r="E311" t="inlineStr">
        <is>
          <t>ÖSTERSUND</t>
        </is>
      </c>
      <c r="G311" t="n">
        <v>4.1</v>
      </c>
      <c r="H311" t="n">
        <v>0</v>
      </c>
      <c r="I311" t="n">
        <v>0</v>
      </c>
      <c r="J311" t="n">
        <v>0</v>
      </c>
      <c r="K311" t="n">
        <v>0</v>
      </c>
      <c r="L311" t="n">
        <v>0</v>
      </c>
      <c r="M311" t="n">
        <v>0</v>
      </c>
      <c r="N311" t="n">
        <v>0</v>
      </c>
      <c r="O311" t="n">
        <v>0</v>
      </c>
      <c r="P311" t="n">
        <v>0</v>
      </c>
      <c r="Q311" t="n">
        <v>0</v>
      </c>
      <c r="R311" s="2" t="inlineStr"/>
    </row>
    <row r="312" ht="15" customHeight="1">
      <c r="A312" t="inlineStr">
        <is>
          <t>A 25572-2025</t>
        </is>
      </c>
      <c r="B312" s="1" t="n">
        <v>45803</v>
      </c>
      <c r="C312" s="1" t="n">
        <v>45887</v>
      </c>
      <c r="D312" t="inlineStr">
        <is>
          <t>JÄMTLANDS LÄN</t>
        </is>
      </c>
      <c r="E312" t="inlineStr">
        <is>
          <t>ÖSTERSUND</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34331-2025</t>
        </is>
      </c>
      <c r="B313" s="1" t="n">
        <v>45846.44827546296</v>
      </c>
      <c r="C313" s="1" t="n">
        <v>45887</v>
      </c>
      <c r="D313" t="inlineStr">
        <is>
          <t>JÄMTLANDS LÄN</t>
        </is>
      </c>
      <c r="E313" t="inlineStr">
        <is>
          <t>ÖSTERSUND</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33501-2023</t>
        </is>
      </c>
      <c r="B314" s="1" t="n">
        <v>45118</v>
      </c>
      <c r="C314" s="1" t="n">
        <v>45887</v>
      </c>
      <c r="D314" t="inlineStr">
        <is>
          <t>JÄMTLANDS LÄN</t>
        </is>
      </c>
      <c r="E314" t="inlineStr">
        <is>
          <t>ÖSTERSUND</t>
        </is>
      </c>
      <c r="G314" t="n">
        <v>5.8</v>
      </c>
      <c r="H314" t="n">
        <v>0</v>
      </c>
      <c r="I314" t="n">
        <v>0</v>
      </c>
      <c r="J314" t="n">
        <v>0</v>
      </c>
      <c r="K314" t="n">
        <v>0</v>
      </c>
      <c r="L314" t="n">
        <v>0</v>
      </c>
      <c r="M314" t="n">
        <v>0</v>
      </c>
      <c r="N314" t="n">
        <v>0</v>
      </c>
      <c r="O314" t="n">
        <v>0</v>
      </c>
      <c r="P314" t="n">
        <v>0</v>
      </c>
      <c r="Q314" t="n">
        <v>0</v>
      </c>
      <c r="R314" s="2" t="inlineStr"/>
    </row>
    <row r="315" ht="15" customHeight="1">
      <c r="A315" t="inlineStr">
        <is>
          <t>A 25978-2025</t>
        </is>
      </c>
      <c r="B315" s="1" t="n">
        <v>45804.63628472222</v>
      </c>
      <c r="C315" s="1" t="n">
        <v>45887</v>
      </c>
      <c r="D315" t="inlineStr">
        <is>
          <t>JÄMTLANDS LÄN</t>
        </is>
      </c>
      <c r="E315" t="inlineStr">
        <is>
          <t>ÖSTERSUND</t>
        </is>
      </c>
      <c r="F315" t="inlineStr">
        <is>
          <t>SCA</t>
        </is>
      </c>
      <c r="G315" t="n">
        <v>6.7</v>
      </c>
      <c r="H315" t="n">
        <v>0</v>
      </c>
      <c r="I315" t="n">
        <v>0</v>
      </c>
      <c r="J315" t="n">
        <v>0</v>
      </c>
      <c r="K315" t="n">
        <v>0</v>
      </c>
      <c r="L315" t="n">
        <v>0</v>
      </c>
      <c r="M315" t="n">
        <v>0</v>
      </c>
      <c r="N315" t="n">
        <v>0</v>
      </c>
      <c r="O315" t="n">
        <v>0</v>
      </c>
      <c r="P315" t="n">
        <v>0</v>
      </c>
      <c r="Q315" t="n">
        <v>0</v>
      </c>
      <c r="R315" s="2" t="inlineStr"/>
    </row>
    <row r="316" ht="15" customHeight="1">
      <c r="A316" t="inlineStr">
        <is>
          <t>A 231-2022</t>
        </is>
      </c>
      <c r="B316" s="1" t="n">
        <v>44564.93909722222</v>
      </c>
      <c r="C316" s="1" t="n">
        <v>45887</v>
      </c>
      <c r="D316" t="inlineStr">
        <is>
          <t>JÄMTLANDS LÄN</t>
        </is>
      </c>
      <c r="E316" t="inlineStr">
        <is>
          <t>ÖSTERSUND</t>
        </is>
      </c>
      <c r="G316" t="n">
        <v>1.9</v>
      </c>
      <c r="H316" t="n">
        <v>0</v>
      </c>
      <c r="I316" t="n">
        <v>0</v>
      </c>
      <c r="J316" t="n">
        <v>0</v>
      </c>
      <c r="K316" t="n">
        <v>0</v>
      </c>
      <c r="L316" t="n">
        <v>0</v>
      </c>
      <c r="M316" t="n">
        <v>0</v>
      </c>
      <c r="N316" t="n">
        <v>0</v>
      </c>
      <c r="O316" t="n">
        <v>0</v>
      </c>
      <c r="P316" t="n">
        <v>0</v>
      </c>
      <c r="Q316" t="n">
        <v>0</v>
      </c>
      <c r="R316" s="2" t="inlineStr"/>
    </row>
    <row r="317" ht="15" customHeight="1">
      <c r="A317" t="inlineStr">
        <is>
          <t>A 52854-2024</t>
        </is>
      </c>
      <c r="B317" s="1" t="n">
        <v>45610.61030092592</v>
      </c>
      <c r="C317" s="1" t="n">
        <v>45887</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25995-2025</t>
        </is>
      </c>
      <c r="B318" s="1" t="n">
        <v>45804.656875</v>
      </c>
      <c r="C318" s="1" t="n">
        <v>45887</v>
      </c>
      <c r="D318" t="inlineStr">
        <is>
          <t>JÄMTLANDS LÄN</t>
        </is>
      </c>
      <c r="E318" t="inlineStr">
        <is>
          <t>ÖSTERSUND</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25992-2025</t>
        </is>
      </c>
      <c r="B319" s="1" t="n">
        <v>45804.65659722222</v>
      </c>
      <c r="C319" s="1" t="n">
        <v>45887</v>
      </c>
      <c r="D319" t="inlineStr">
        <is>
          <t>JÄMTLANDS LÄN</t>
        </is>
      </c>
      <c r="E319" t="inlineStr">
        <is>
          <t>ÖSTERSUND</t>
        </is>
      </c>
      <c r="F319" t="inlineStr">
        <is>
          <t>SCA</t>
        </is>
      </c>
      <c r="G319" t="n">
        <v>4.9</v>
      </c>
      <c r="H319" t="n">
        <v>0</v>
      </c>
      <c r="I319" t="n">
        <v>0</v>
      </c>
      <c r="J319" t="n">
        <v>0</v>
      </c>
      <c r="K319" t="n">
        <v>0</v>
      </c>
      <c r="L319" t="n">
        <v>0</v>
      </c>
      <c r="M319" t="n">
        <v>0</v>
      </c>
      <c r="N319" t="n">
        <v>0</v>
      </c>
      <c r="O319" t="n">
        <v>0</v>
      </c>
      <c r="P319" t="n">
        <v>0</v>
      </c>
      <c r="Q319" t="n">
        <v>0</v>
      </c>
      <c r="R319" s="2" t="inlineStr"/>
    </row>
    <row r="320" ht="15" customHeight="1">
      <c r="A320" t="inlineStr">
        <is>
          <t>A 26144-2025</t>
        </is>
      </c>
      <c r="B320" s="1" t="n">
        <v>45805.42827546296</v>
      </c>
      <c r="C320" s="1" t="n">
        <v>45887</v>
      </c>
      <c r="D320" t="inlineStr">
        <is>
          <t>JÄMTLANDS LÄN</t>
        </is>
      </c>
      <c r="E320" t="inlineStr">
        <is>
          <t>ÖSTERSUND</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47357-2024</t>
        </is>
      </c>
      <c r="B321" s="1" t="n">
        <v>45587.42835648148</v>
      </c>
      <c r="C321" s="1" t="n">
        <v>45887</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26373-2025</t>
        </is>
      </c>
      <c r="B322" s="1" t="n">
        <v>45806.40677083333</v>
      </c>
      <c r="C322" s="1" t="n">
        <v>45887</v>
      </c>
      <c r="D322" t="inlineStr">
        <is>
          <t>JÄMTLANDS LÄN</t>
        </is>
      </c>
      <c r="E322" t="inlineStr">
        <is>
          <t>ÖSTERSUND</t>
        </is>
      </c>
      <c r="G322" t="n">
        <v>3.6</v>
      </c>
      <c r="H322" t="n">
        <v>0</v>
      </c>
      <c r="I322" t="n">
        <v>0</v>
      </c>
      <c r="J322" t="n">
        <v>0</v>
      </c>
      <c r="K322" t="n">
        <v>0</v>
      </c>
      <c r="L322" t="n">
        <v>0</v>
      </c>
      <c r="M322" t="n">
        <v>0</v>
      </c>
      <c r="N322" t="n">
        <v>0</v>
      </c>
      <c r="O322" t="n">
        <v>0</v>
      </c>
      <c r="P322" t="n">
        <v>0</v>
      </c>
      <c r="Q322" t="n">
        <v>0</v>
      </c>
      <c r="R322" s="2" t="inlineStr"/>
    </row>
    <row r="323" ht="15" customHeight="1">
      <c r="A323" t="inlineStr">
        <is>
          <t>A 34490-2025</t>
        </is>
      </c>
      <c r="B323" s="1" t="n">
        <v>45847.40722222222</v>
      </c>
      <c r="C323" s="1" t="n">
        <v>45887</v>
      </c>
      <c r="D323" t="inlineStr">
        <is>
          <t>JÄMTLANDS LÄN</t>
        </is>
      </c>
      <c r="E323" t="inlineStr">
        <is>
          <t>ÖSTERSUND</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8216-2025</t>
        </is>
      </c>
      <c r="B324" s="1" t="n">
        <v>45708.44947916667</v>
      </c>
      <c r="C324" s="1" t="n">
        <v>45887</v>
      </c>
      <c r="D324" t="inlineStr">
        <is>
          <t>JÄMTLANDS LÄN</t>
        </is>
      </c>
      <c r="E324" t="inlineStr">
        <is>
          <t>ÖSTERSUND</t>
        </is>
      </c>
      <c r="F324" t="inlineStr">
        <is>
          <t>Övriga Aktiebolag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34587-2025</t>
        </is>
      </c>
      <c r="B325" s="1" t="n">
        <v>45847.61533564814</v>
      </c>
      <c r="C325" s="1" t="n">
        <v>45887</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25385-2024</t>
        </is>
      </c>
      <c r="B326" s="1" t="n">
        <v>45462.96347222223</v>
      </c>
      <c r="C326" s="1" t="n">
        <v>45887</v>
      </c>
      <c r="D326" t="inlineStr">
        <is>
          <t>JÄMTLANDS LÄN</t>
        </is>
      </c>
      <c r="E326" t="inlineStr">
        <is>
          <t>ÖSTERSUND</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3615-2025</t>
        </is>
      </c>
      <c r="B327" s="1" t="n">
        <v>45681.36493055556</v>
      </c>
      <c r="C327" s="1" t="n">
        <v>45887</v>
      </c>
      <c r="D327" t="inlineStr">
        <is>
          <t>JÄMTLANDS LÄN</t>
        </is>
      </c>
      <c r="E327" t="inlineStr">
        <is>
          <t>ÖSTERSUND</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3651-2025</t>
        </is>
      </c>
      <c r="B328" s="1" t="n">
        <v>45681.40689814815</v>
      </c>
      <c r="C328" s="1" t="n">
        <v>45887</v>
      </c>
      <c r="D328" t="inlineStr">
        <is>
          <t>JÄMTLANDS LÄN</t>
        </is>
      </c>
      <c r="E328" t="inlineStr">
        <is>
          <t>ÖSTERSUND</t>
        </is>
      </c>
      <c r="F328" t="inlineStr">
        <is>
          <t>SCA</t>
        </is>
      </c>
      <c r="G328" t="n">
        <v>9.6</v>
      </c>
      <c r="H328" t="n">
        <v>0</v>
      </c>
      <c r="I328" t="n">
        <v>0</v>
      </c>
      <c r="J328" t="n">
        <v>0</v>
      </c>
      <c r="K328" t="n">
        <v>0</v>
      </c>
      <c r="L328" t="n">
        <v>0</v>
      </c>
      <c r="M328" t="n">
        <v>0</v>
      </c>
      <c r="N328" t="n">
        <v>0</v>
      </c>
      <c r="O328" t="n">
        <v>0</v>
      </c>
      <c r="P328" t="n">
        <v>0</v>
      </c>
      <c r="Q328" t="n">
        <v>0</v>
      </c>
      <c r="R328" s="2" t="inlineStr"/>
    </row>
    <row r="329" ht="15" customHeight="1">
      <c r="A329" t="inlineStr">
        <is>
          <t>A 3664-2025</t>
        </is>
      </c>
      <c r="B329" s="1" t="n">
        <v>45681.4275462963</v>
      </c>
      <c r="C329" s="1" t="n">
        <v>45887</v>
      </c>
      <c r="D329" t="inlineStr">
        <is>
          <t>JÄMTLANDS LÄN</t>
        </is>
      </c>
      <c r="E329" t="inlineStr">
        <is>
          <t>ÖSTERSUND</t>
        </is>
      </c>
      <c r="F329" t="inlineStr">
        <is>
          <t>SCA</t>
        </is>
      </c>
      <c r="G329" t="n">
        <v>10.9</v>
      </c>
      <c r="H329" t="n">
        <v>0</v>
      </c>
      <c r="I329" t="n">
        <v>0</v>
      </c>
      <c r="J329" t="n">
        <v>0</v>
      </c>
      <c r="K329" t="n">
        <v>0</v>
      </c>
      <c r="L329" t="n">
        <v>0</v>
      </c>
      <c r="M329" t="n">
        <v>0</v>
      </c>
      <c r="N329" t="n">
        <v>0</v>
      </c>
      <c r="O329" t="n">
        <v>0</v>
      </c>
      <c r="P329" t="n">
        <v>0</v>
      </c>
      <c r="Q329" t="n">
        <v>0</v>
      </c>
      <c r="R329" s="2" t="inlineStr"/>
    </row>
    <row r="330" ht="15" customHeight="1">
      <c r="A330" t="inlineStr">
        <is>
          <t>A 12429-2025</t>
        </is>
      </c>
      <c r="B330" s="1" t="n">
        <v>45730.45930555555</v>
      </c>
      <c r="C330" s="1" t="n">
        <v>45887</v>
      </c>
      <c r="D330" t="inlineStr">
        <is>
          <t>JÄMTLANDS LÄN</t>
        </is>
      </c>
      <c r="E330" t="inlineStr">
        <is>
          <t>ÖSTERSUND</t>
        </is>
      </c>
      <c r="F330" t="inlineStr">
        <is>
          <t>Övriga Aktiebolag</t>
        </is>
      </c>
      <c r="G330" t="n">
        <v>4.4</v>
      </c>
      <c r="H330" t="n">
        <v>0</v>
      </c>
      <c r="I330" t="n">
        <v>0</v>
      </c>
      <c r="J330" t="n">
        <v>0</v>
      </c>
      <c r="K330" t="n">
        <v>0</v>
      </c>
      <c r="L330" t="n">
        <v>0</v>
      </c>
      <c r="M330" t="n">
        <v>0</v>
      </c>
      <c r="N330" t="n">
        <v>0</v>
      </c>
      <c r="O330" t="n">
        <v>0</v>
      </c>
      <c r="P330" t="n">
        <v>0</v>
      </c>
      <c r="Q330" t="n">
        <v>0</v>
      </c>
      <c r="R330" s="2" t="inlineStr"/>
    </row>
    <row r="331" ht="15" customHeight="1">
      <c r="A331" t="inlineStr">
        <is>
          <t>A 33002-2021</t>
        </is>
      </c>
      <c r="B331" s="1" t="n">
        <v>44375</v>
      </c>
      <c r="C331" s="1" t="n">
        <v>45887</v>
      </c>
      <c r="D331" t="inlineStr">
        <is>
          <t>JÄMTLANDS LÄN</t>
        </is>
      </c>
      <c r="E331" t="inlineStr">
        <is>
          <t>ÖSTERSUND</t>
        </is>
      </c>
      <c r="G331" t="n">
        <v>0.2</v>
      </c>
      <c r="H331" t="n">
        <v>0</v>
      </c>
      <c r="I331" t="n">
        <v>0</v>
      </c>
      <c r="J331" t="n">
        <v>0</v>
      </c>
      <c r="K331" t="n">
        <v>0</v>
      </c>
      <c r="L331" t="n">
        <v>0</v>
      </c>
      <c r="M331" t="n">
        <v>0</v>
      </c>
      <c r="N331" t="n">
        <v>0</v>
      </c>
      <c r="O331" t="n">
        <v>0</v>
      </c>
      <c r="P331" t="n">
        <v>0</v>
      </c>
      <c r="Q331" t="n">
        <v>0</v>
      </c>
      <c r="R331" s="2" t="inlineStr"/>
    </row>
    <row r="332" ht="15" customHeight="1">
      <c r="A332" t="inlineStr">
        <is>
          <t>A 34589-2025</t>
        </is>
      </c>
      <c r="B332" s="1" t="n">
        <v>45847.61561342593</v>
      </c>
      <c r="C332" s="1" t="n">
        <v>45887</v>
      </c>
      <c r="D332" t="inlineStr">
        <is>
          <t>JÄMTLANDS LÄN</t>
        </is>
      </c>
      <c r="E332" t="inlineStr">
        <is>
          <t>ÖSTERSUND</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5135-2025</t>
        </is>
      </c>
      <c r="B333" s="1" t="n">
        <v>45691</v>
      </c>
      <c r="C333" s="1" t="n">
        <v>45887</v>
      </c>
      <c r="D333" t="inlineStr">
        <is>
          <t>JÄMTLANDS LÄN</t>
        </is>
      </c>
      <c r="E333" t="inlineStr">
        <is>
          <t>ÖSTERSUND</t>
        </is>
      </c>
      <c r="F333" t="inlineStr">
        <is>
          <t>Övriga Aktiebolag</t>
        </is>
      </c>
      <c r="G333" t="n">
        <v>126.9</v>
      </c>
      <c r="H333" t="n">
        <v>0</v>
      </c>
      <c r="I333" t="n">
        <v>0</v>
      </c>
      <c r="J333" t="n">
        <v>0</v>
      </c>
      <c r="K333" t="n">
        <v>0</v>
      </c>
      <c r="L333" t="n">
        <v>0</v>
      </c>
      <c r="M333" t="n">
        <v>0</v>
      </c>
      <c r="N333" t="n">
        <v>0</v>
      </c>
      <c r="O333" t="n">
        <v>0</v>
      </c>
      <c r="P333" t="n">
        <v>0</v>
      </c>
      <c r="Q333" t="n">
        <v>0</v>
      </c>
      <c r="R333" s="2" t="inlineStr"/>
    </row>
    <row r="334" ht="15" customHeight="1">
      <c r="A334" t="inlineStr">
        <is>
          <t>A 5140-2025</t>
        </is>
      </c>
      <c r="B334" s="1" t="n">
        <v>45691</v>
      </c>
      <c r="C334" s="1" t="n">
        <v>45887</v>
      </c>
      <c r="D334" t="inlineStr">
        <is>
          <t>JÄMTLANDS LÄN</t>
        </is>
      </c>
      <c r="E334" t="inlineStr">
        <is>
          <t>ÖSTERSUND</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29703-2023</t>
        </is>
      </c>
      <c r="B335" s="1" t="n">
        <v>45107</v>
      </c>
      <c r="C335" s="1" t="n">
        <v>45887</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39510-2024</t>
        </is>
      </c>
      <c r="B336" s="1" t="n">
        <v>45551.67761574074</v>
      </c>
      <c r="C336" s="1" t="n">
        <v>45887</v>
      </c>
      <c r="D336" t="inlineStr">
        <is>
          <t>JÄMTLANDS LÄN</t>
        </is>
      </c>
      <c r="E336" t="inlineStr">
        <is>
          <t>ÖSTERSUND</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18429-2025</t>
        </is>
      </c>
      <c r="B337" s="1" t="n">
        <v>45762.63375</v>
      </c>
      <c r="C337" s="1" t="n">
        <v>45887</v>
      </c>
      <c r="D337" t="inlineStr">
        <is>
          <t>JÄMTLANDS LÄN</t>
        </is>
      </c>
      <c r="E337" t="inlineStr">
        <is>
          <t>ÖSTERSUND</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21667-2024</t>
        </is>
      </c>
      <c r="B338" s="1" t="n">
        <v>45442.38511574074</v>
      </c>
      <c r="C338" s="1" t="n">
        <v>45887</v>
      </c>
      <c r="D338" t="inlineStr">
        <is>
          <t>JÄMTLANDS LÄN</t>
        </is>
      </c>
      <c r="E338" t="inlineStr">
        <is>
          <t>ÖSTERSUND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10064-2024</t>
        </is>
      </c>
      <c r="B339" s="1" t="n">
        <v>45364.3874074074</v>
      </c>
      <c r="C339" s="1" t="n">
        <v>45887</v>
      </c>
      <c r="D339" t="inlineStr">
        <is>
          <t>JÄMTLANDS LÄN</t>
        </is>
      </c>
      <c r="E339" t="inlineStr">
        <is>
          <t>ÖSTERSUND</t>
        </is>
      </c>
      <c r="G339" t="n">
        <v>13.9</v>
      </c>
      <c r="H339" t="n">
        <v>0</v>
      </c>
      <c r="I339" t="n">
        <v>0</v>
      </c>
      <c r="J339" t="n">
        <v>0</v>
      </c>
      <c r="K339" t="n">
        <v>0</v>
      </c>
      <c r="L339" t="n">
        <v>0</v>
      </c>
      <c r="M339" t="n">
        <v>0</v>
      </c>
      <c r="N339" t="n">
        <v>0</v>
      </c>
      <c r="O339" t="n">
        <v>0</v>
      </c>
      <c r="P339" t="n">
        <v>0</v>
      </c>
      <c r="Q339" t="n">
        <v>0</v>
      </c>
      <c r="R339" s="2" t="inlineStr"/>
    </row>
    <row r="340" ht="15" customHeight="1">
      <c r="A340" t="inlineStr">
        <is>
          <t>A 51479-2023</t>
        </is>
      </c>
      <c r="B340" s="1" t="n">
        <v>45221.92429398148</v>
      </c>
      <c r="C340" s="1" t="n">
        <v>45887</v>
      </c>
      <c r="D340" t="inlineStr">
        <is>
          <t>JÄMTLANDS LÄN</t>
        </is>
      </c>
      <c r="E340" t="inlineStr">
        <is>
          <t>ÖSTERSUND</t>
        </is>
      </c>
      <c r="G340" t="n">
        <v>1.9</v>
      </c>
      <c r="H340" t="n">
        <v>0</v>
      </c>
      <c r="I340" t="n">
        <v>0</v>
      </c>
      <c r="J340" t="n">
        <v>0</v>
      </c>
      <c r="K340" t="n">
        <v>0</v>
      </c>
      <c r="L340" t="n">
        <v>0</v>
      </c>
      <c r="M340" t="n">
        <v>0</v>
      </c>
      <c r="N340" t="n">
        <v>0</v>
      </c>
      <c r="O340" t="n">
        <v>0</v>
      </c>
      <c r="P340" t="n">
        <v>0</v>
      </c>
      <c r="Q340" t="n">
        <v>0</v>
      </c>
      <c r="R340" s="2" t="inlineStr"/>
    </row>
    <row r="341" ht="15" customHeight="1">
      <c r="A341" t="inlineStr">
        <is>
          <t>A 11933-2022</t>
        </is>
      </c>
      <c r="B341" s="1" t="n">
        <v>44635</v>
      </c>
      <c r="C341" s="1" t="n">
        <v>45887</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3610-2024</t>
        </is>
      </c>
      <c r="B342" s="1" t="n">
        <v>45320.92060185185</v>
      </c>
      <c r="C342" s="1" t="n">
        <v>45887</v>
      </c>
      <c r="D342" t="inlineStr">
        <is>
          <t>JÄMTLANDS LÄN</t>
        </is>
      </c>
      <c r="E342" t="inlineStr">
        <is>
          <t>ÖSTERSUND</t>
        </is>
      </c>
      <c r="G342" t="n">
        <v>6.2</v>
      </c>
      <c r="H342" t="n">
        <v>0</v>
      </c>
      <c r="I342" t="n">
        <v>0</v>
      </c>
      <c r="J342" t="n">
        <v>0</v>
      </c>
      <c r="K342" t="n">
        <v>0</v>
      </c>
      <c r="L342" t="n">
        <v>0</v>
      </c>
      <c r="M342" t="n">
        <v>0</v>
      </c>
      <c r="N342" t="n">
        <v>0</v>
      </c>
      <c r="O342" t="n">
        <v>0</v>
      </c>
      <c r="P342" t="n">
        <v>0</v>
      </c>
      <c r="Q342" t="n">
        <v>0</v>
      </c>
      <c r="R342" s="2" t="inlineStr"/>
    </row>
    <row r="343" ht="15" customHeight="1">
      <c r="A343" t="inlineStr">
        <is>
          <t>A 26492-2025</t>
        </is>
      </c>
      <c r="B343" s="1" t="n">
        <v>45807</v>
      </c>
      <c r="C343" s="1" t="n">
        <v>45887</v>
      </c>
      <c r="D343" t="inlineStr">
        <is>
          <t>JÄMTLANDS LÄN</t>
        </is>
      </c>
      <c r="E343" t="inlineStr">
        <is>
          <t>ÖSTERSUND</t>
        </is>
      </c>
      <c r="G343" t="n">
        <v>7</v>
      </c>
      <c r="H343" t="n">
        <v>0</v>
      </c>
      <c r="I343" t="n">
        <v>0</v>
      </c>
      <c r="J343" t="n">
        <v>0</v>
      </c>
      <c r="K343" t="n">
        <v>0</v>
      </c>
      <c r="L343" t="n">
        <v>0</v>
      </c>
      <c r="M343" t="n">
        <v>0</v>
      </c>
      <c r="N343" t="n">
        <v>0</v>
      </c>
      <c r="O343" t="n">
        <v>0</v>
      </c>
      <c r="P343" t="n">
        <v>0</v>
      </c>
      <c r="Q343" t="n">
        <v>0</v>
      </c>
      <c r="R343" s="2" t="inlineStr"/>
    </row>
    <row r="344" ht="15" customHeight="1">
      <c r="A344" t="inlineStr">
        <is>
          <t>A 26500-2025</t>
        </is>
      </c>
      <c r="B344" s="1" t="n">
        <v>45807</v>
      </c>
      <c r="C344" s="1" t="n">
        <v>45887</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26587-2025</t>
        </is>
      </c>
      <c r="B345" s="1" t="n">
        <v>45807.75076388889</v>
      </c>
      <c r="C345" s="1" t="n">
        <v>45887</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45980-2023</t>
        </is>
      </c>
      <c r="B346" s="1" t="n">
        <v>45189</v>
      </c>
      <c r="C346" s="1" t="n">
        <v>45887</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53660-2024</t>
        </is>
      </c>
      <c r="B347" s="1" t="n">
        <v>45615.31297453704</v>
      </c>
      <c r="C347" s="1" t="n">
        <v>45887</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19566-2024</t>
        </is>
      </c>
      <c r="B348" s="1" t="n">
        <v>45429.92313657407</v>
      </c>
      <c r="C348" s="1" t="n">
        <v>45887</v>
      </c>
      <c r="D348" t="inlineStr">
        <is>
          <t>JÄMTLANDS LÄN</t>
        </is>
      </c>
      <c r="E348" t="inlineStr">
        <is>
          <t>ÖSTERSUND</t>
        </is>
      </c>
      <c r="G348" t="n">
        <v>0</v>
      </c>
      <c r="H348" t="n">
        <v>0</v>
      </c>
      <c r="I348" t="n">
        <v>0</v>
      </c>
      <c r="J348" t="n">
        <v>0</v>
      </c>
      <c r="K348" t="n">
        <v>0</v>
      </c>
      <c r="L348" t="n">
        <v>0</v>
      </c>
      <c r="M348" t="n">
        <v>0</v>
      </c>
      <c r="N348" t="n">
        <v>0</v>
      </c>
      <c r="O348" t="n">
        <v>0</v>
      </c>
      <c r="P348" t="n">
        <v>0</v>
      </c>
      <c r="Q348" t="n">
        <v>0</v>
      </c>
      <c r="R348" s="2" t="inlineStr"/>
    </row>
    <row r="349" ht="15" customHeight="1">
      <c r="A349" t="inlineStr">
        <is>
          <t>A 26586-2025</t>
        </is>
      </c>
      <c r="B349" s="1" t="n">
        <v>45807.74140046296</v>
      </c>
      <c r="C349" s="1" t="n">
        <v>45887</v>
      </c>
      <c r="D349" t="inlineStr">
        <is>
          <t>JÄMTLANDS LÄN</t>
        </is>
      </c>
      <c r="E349" t="inlineStr">
        <is>
          <t>ÖSTERSUND</t>
        </is>
      </c>
      <c r="G349" t="n">
        <v>2.1</v>
      </c>
      <c r="H349" t="n">
        <v>0</v>
      </c>
      <c r="I349" t="n">
        <v>0</v>
      </c>
      <c r="J349" t="n">
        <v>0</v>
      </c>
      <c r="K349" t="n">
        <v>0</v>
      </c>
      <c r="L349" t="n">
        <v>0</v>
      </c>
      <c r="M349" t="n">
        <v>0</v>
      </c>
      <c r="N349" t="n">
        <v>0</v>
      </c>
      <c r="O349" t="n">
        <v>0</v>
      </c>
      <c r="P349" t="n">
        <v>0</v>
      </c>
      <c r="Q349" t="n">
        <v>0</v>
      </c>
      <c r="R349" s="2" t="inlineStr"/>
    </row>
    <row r="350" ht="15" customHeight="1">
      <c r="A350" t="inlineStr">
        <is>
          <t>A 21495-2022</t>
        </is>
      </c>
      <c r="B350" s="1" t="n">
        <v>44706</v>
      </c>
      <c r="C350" s="1" t="n">
        <v>45887</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56646-2024</t>
        </is>
      </c>
      <c r="B351" s="1" t="n">
        <v>45625</v>
      </c>
      <c r="C351" s="1" t="n">
        <v>45887</v>
      </c>
      <c r="D351" t="inlineStr">
        <is>
          <t>JÄMTLANDS LÄN</t>
        </is>
      </c>
      <c r="E351" t="inlineStr">
        <is>
          <t>ÖSTERSUND</t>
        </is>
      </c>
      <c r="G351" t="n">
        <v>18.9</v>
      </c>
      <c r="H351" t="n">
        <v>0</v>
      </c>
      <c r="I351" t="n">
        <v>0</v>
      </c>
      <c r="J351" t="n">
        <v>0</v>
      </c>
      <c r="K351" t="n">
        <v>0</v>
      </c>
      <c r="L351" t="n">
        <v>0</v>
      </c>
      <c r="M351" t="n">
        <v>0</v>
      </c>
      <c r="N351" t="n">
        <v>0</v>
      </c>
      <c r="O351" t="n">
        <v>0</v>
      </c>
      <c r="P351" t="n">
        <v>0</v>
      </c>
      <c r="Q351" t="n">
        <v>0</v>
      </c>
      <c r="R351" s="2" t="inlineStr"/>
    </row>
    <row r="352" ht="15" customHeight="1">
      <c r="A352" t="inlineStr">
        <is>
          <t>A 12102-2025</t>
        </is>
      </c>
      <c r="B352" s="1" t="n">
        <v>45729.3425</v>
      </c>
      <c r="C352" s="1" t="n">
        <v>45887</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2228-2024</t>
        </is>
      </c>
      <c r="B353" s="1" t="n">
        <v>45309</v>
      </c>
      <c r="C353" s="1" t="n">
        <v>45887</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20400-2024</t>
        </is>
      </c>
      <c r="B354" s="1" t="n">
        <v>45435.55372685185</v>
      </c>
      <c r="C354" s="1" t="n">
        <v>45887</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7005-2025</t>
        </is>
      </c>
      <c r="B355" s="1" t="n">
        <v>45701.60046296296</v>
      </c>
      <c r="C355" s="1" t="n">
        <v>45887</v>
      </c>
      <c r="D355" t="inlineStr">
        <is>
          <t>JÄMTLANDS LÄN</t>
        </is>
      </c>
      <c r="E355" t="inlineStr">
        <is>
          <t>ÖSTERSUND</t>
        </is>
      </c>
      <c r="G355" t="n">
        <v>3.3</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45887</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57556-2024</t>
        </is>
      </c>
      <c r="B357" s="1" t="n">
        <v>45630</v>
      </c>
      <c r="C357" s="1" t="n">
        <v>45887</v>
      </c>
      <c r="D357" t="inlineStr">
        <is>
          <t>JÄMTLANDS LÄN</t>
        </is>
      </c>
      <c r="E357" t="inlineStr">
        <is>
          <t>ÖSTERSUND</t>
        </is>
      </c>
      <c r="G357" t="n">
        <v>5.5</v>
      </c>
      <c r="H357" t="n">
        <v>0</v>
      </c>
      <c r="I357" t="n">
        <v>0</v>
      </c>
      <c r="J357" t="n">
        <v>0</v>
      </c>
      <c r="K357" t="n">
        <v>0</v>
      </c>
      <c r="L357" t="n">
        <v>0</v>
      </c>
      <c r="M357" t="n">
        <v>0</v>
      </c>
      <c r="N357" t="n">
        <v>0</v>
      </c>
      <c r="O357" t="n">
        <v>0</v>
      </c>
      <c r="P357" t="n">
        <v>0</v>
      </c>
      <c r="Q357" t="n">
        <v>0</v>
      </c>
      <c r="R357" s="2" t="inlineStr"/>
    </row>
    <row r="358" ht="15" customHeight="1">
      <c r="A358" t="inlineStr">
        <is>
          <t>A 28179-2024</t>
        </is>
      </c>
      <c r="B358" s="1" t="n">
        <v>45477.26746527778</v>
      </c>
      <c r="C358" s="1" t="n">
        <v>45887</v>
      </c>
      <c r="D358" t="inlineStr">
        <is>
          <t>JÄMTLANDS LÄN</t>
        </is>
      </c>
      <c r="E358" t="inlineStr">
        <is>
          <t>ÖSTERSUND</t>
        </is>
      </c>
      <c r="G358" t="n">
        <v>2.2</v>
      </c>
      <c r="H358" t="n">
        <v>0</v>
      </c>
      <c r="I358" t="n">
        <v>0</v>
      </c>
      <c r="J358" t="n">
        <v>0</v>
      </c>
      <c r="K358" t="n">
        <v>0</v>
      </c>
      <c r="L358" t="n">
        <v>0</v>
      </c>
      <c r="M358" t="n">
        <v>0</v>
      </c>
      <c r="N358" t="n">
        <v>0</v>
      </c>
      <c r="O358" t="n">
        <v>0</v>
      </c>
      <c r="P358" t="n">
        <v>0</v>
      </c>
      <c r="Q358" t="n">
        <v>0</v>
      </c>
      <c r="R358" s="2" t="inlineStr"/>
    </row>
    <row r="359" ht="15" customHeight="1">
      <c r="A359" t="inlineStr">
        <is>
          <t>A 14518-2023</t>
        </is>
      </c>
      <c r="B359" s="1" t="n">
        <v>45012</v>
      </c>
      <c r="C359" s="1" t="n">
        <v>45887</v>
      </c>
      <c r="D359" t="inlineStr">
        <is>
          <t>JÄMTLANDS LÄN</t>
        </is>
      </c>
      <c r="E359" t="inlineStr">
        <is>
          <t>ÖSTERSUND</t>
        </is>
      </c>
      <c r="G359" t="n">
        <v>14.4</v>
      </c>
      <c r="H359" t="n">
        <v>0</v>
      </c>
      <c r="I359" t="n">
        <v>0</v>
      </c>
      <c r="J359" t="n">
        <v>0</v>
      </c>
      <c r="K359" t="n">
        <v>0</v>
      </c>
      <c r="L359" t="n">
        <v>0</v>
      </c>
      <c r="M359" t="n">
        <v>0</v>
      </c>
      <c r="N359" t="n">
        <v>0</v>
      </c>
      <c r="O359" t="n">
        <v>0</v>
      </c>
      <c r="P359" t="n">
        <v>0</v>
      </c>
      <c r="Q359" t="n">
        <v>0</v>
      </c>
      <c r="R359" s="2" t="inlineStr"/>
    </row>
    <row r="360" ht="15" customHeight="1">
      <c r="A360" t="inlineStr">
        <is>
          <t>A 8389-2025</t>
        </is>
      </c>
      <c r="B360" s="1" t="n">
        <v>45709.36497685185</v>
      </c>
      <c r="C360" s="1" t="n">
        <v>45887</v>
      </c>
      <c r="D360" t="inlineStr">
        <is>
          <t>JÄMTLANDS LÄN</t>
        </is>
      </c>
      <c r="E360" t="inlineStr">
        <is>
          <t>ÖSTERSUND</t>
        </is>
      </c>
      <c r="F360" t="inlineStr">
        <is>
          <t>SCA</t>
        </is>
      </c>
      <c r="G360" t="n">
        <v>6.3</v>
      </c>
      <c r="H360" t="n">
        <v>0</v>
      </c>
      <c r="I360" t="n">
        <v>0</v>
      </c>
      <c r="J360" t="n">
        <v>0</v>
      </c>
      <c r="K360" t="n">
        <v>0</v>
      </c>
      <c r="L360" t="n">
        <v>0</v>
      </c>
      <c r="M360" t="n">
        <v>0</v>
      </c>
      <c r="N360" t="n">
        <v>0</v>
      </c>
      <c r="O360" t="n">
        <v>0</v>
      </c>
      <c r="P360" t="n">
        <v>0</v>
      </c>
      <c r="Q360" t="n">
        <v>0</v>
      </c>
      <c r="R360" s="2" t="inlineStr"/>
    </row>
    <row r="361" ht="15" customHeight="1">
      <c r="A361" t="inlineStr">
        <is>
          <t>A 26605-2025</t>
        </is>
      </c>
      <c r="B361" s="1" t="n">
        <v>45809.86790509259</v>
      </c>
      <c r="C361" s="1" t="n">
        <v>45887</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13651-2025</t>
        </is>
      </c>
      <c r="B362" s="1" t="n">
        <v>45736.71818287037</v>
      </c>
      <c r="C362" s="1" t="n">
        <v>45887</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44048-2024</t>
        </is>
      </c>
      <c r="B363" s="1" t="n">
        <v>45572.59430555555</v>
      </c>
      <c r="C363" s="1" t="n">
        <v>45887</v>
      </c>
      <c r="D363" t="inlineStr">
        <is>
          <t>JÄMTLANDS LÄN</t>
        </is>
      </c>
      <c r="E363" t="inlineStr">
        <is>
          <t>ÖSTERSUND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27906-2024</t>
        </is>
      </c>
      <c r="B364" s="1" t="n">
        <v>45475.94585648148</v>
      </c>
      <c r="C364" s="1" t="n">
        <v>45887</v>
      </c>
      <c r="D364" t="inlineStr">
        <is>
          <t>JÄMTLANDS LÄN</t>
        </is>
      </c>
      <c r="E364" t="inlineStr">
        <is>
          <t>ÖSTERSUND</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27035-2025</t>
        </is>
      </c>
      <c r="B365" s="1" t="n">
        <v>45811.5928587963</v>
      </c>
      <c r="C365" s="1" t="n">
        <v>45887</v>
      </c>
      <c r="D365" t="inlineStr">
        <is>
          <t>JÄMTLANDS LÄN</t>
        </is>
      </c>
      <c r="E365" t="inlineStr">
        <is>
          <t>ÖSTERSUND</t>
        </is>
      </c>
      <c r="G365" t="n">
        <v>2.8</v>
      </c>
      <c r="H365" t="n">
        <v>0</v>
      </c>
      <c r="I365" t="n">
        <v>0</v>
      </c>
      <c r="J365" t="n">
        <v>0</v>
      </c>
      <c r="K365" t="n">
        <v>0</v>
      </c>
      <c r="L365" t="n">
        <v>0</v>
      </c>
      <c r="M365" t="n">
        <v>0</v>
      </c>
      <c r="N365" t="n">
        <v>0</v>
      </c>
      <c r="O365" t="n">
        <v>0</v>
      </c>
      <c r="P365" t="n">
        <v>0</v>
      </c>
      <c r="Q365" t="n">
        <v>0</v>
      </c>
      <c r="R365" s="2" t="inlineStr"/>
    </row>
    <row r="366" ht="15" customHeight="1">
      <c r="A366" t="inlineStr">
        <is>
          <t>A 13166-2023</t>
        </is>
      </c>
      <c r="B366" s="1" t="n">
        <v>45002</v>
      </c>
      <c r="C366" s="1" t="n">
        <v>45887</v>
      </c>
      <c r="D366" t="inlineStr">
        <is>
          <t>JÄMTLANDS LÄN</t>
        </is>
      </c>
      <c r="E366" t="inlineStr">
        <is>
          <t>ÖSTERSUND</t>
        </is>
      </c>
      <c r="F366" t="inlineStr">
        <is>
          <t>Övriga statliga verk och myndigheter</t>
        </is>
      </c>
      <c r="G366" t="n">
        <v>1</v>
      </c>
      <c r="H366" t="n">
        <v>0</v>
      </c>
      <c r="I366" t="n">
        <v>0</v>
      </c>
      <c r="J366" t="n">
        <v>0</v>
      </c>
      <c r="K366" t="n">
        <v>0</v>
      </c>
      <c r="L366" t="n">
        <v>0</v>
      </c>
      <c r="M366" t="n">
        <v>0</v>
      </c>
      <c r="N366" t="n">
        <v>0</v>
      </c>
      <c r="O366" t="n">
        <v>0</v>
      </c>
      <c r="P366" t="n">
        <v>0</v>
      </c>
      <c r="Q366" t="n">
        <v>0</v>
      </c>
      <c r="R366" s="2" t="inlineStr"/>
    </row>
    <row r="367" ht="15" customHeight="1">
      <c r="A367" t="inlineStr">
        <is>
          <t>A 55235-2023</t>
        </is>
      </c>
      <c r="B367" s="1" t="n">
        <v>45231</v>
      </c>
      <c r="C367" s="1" t="n">
        <v>45887</v>
      </c>
      <c r="D367" t="inlineStr">
        <is>
          <t>JÄMTLANDS LÄN</t>
        </is>
      </c>
      <c r="E367" t="inlineStr">
        <is>
          <t>ÖSTERSUND</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4063-2025</t>
        </is>
      </c>
      <c r="B368" s="1" t="n">
        <v>45684</v>
      </c>
      <c r="C368" s="1" t="n">
        <v>45887</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27034-2025</t>
        </is>
      </c>
      <c r="B369" s="1" t="n">
        <v>45811.59258101852</v>
      </c>
      <c r="C369" s="1" t="n">
        <v>45887</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27517-2025</t>
        </is>
      </c>
      <c r="B370" s="1" t="n">
        <v>45813.43966435185</v>
      </c>
      <c r="C370" s="1" t="n">
        <v>45887</v>
      </c>
      <c r="D370" t="inlineStr">
        <is>
          <t>JÄMTLANDS LÄN</t>
        </is>
      </c>
      <c r="E370" t="inlineStr">
        <is>
          <t>ÖSTERSUND</t>
        </is>
      </c>
      <c r="G370" t="n">
        <v>2.2</v>
      </c>
      <c r="H370" t="n">
        <v>0</v>
      </c>
      <c r="I370" t="n">
        <v>0</v>
      </c>
      <c r="J370" t="n">
        <v>0</v>
      </c>
      <c r="K370" t="n">
        <v>0</v>
      </c>
      <c r="L370" t="n">
        <v>0</v>
      </c>
      <c r="M370" t="n">
        <v>0</v>
      </c>
      <c r="N370" t="n">
        <v>0</v>
      </c>
      <c r="O370" t="n">
        <v>0</v>
      </c>
      <c r="P370" t="n">
        <v>0</v>
      </c>
      <c r="Q370" t="n">
        <v>0</v>
      </c>
      <c r="R370" s="2" t="inlineStr"/>
    </row>
    <row r="371" ht="15" customHeight="1">
      <c r="A371" t="inlineStr">
        <is>
          <t>A 9109-2024</t>
        </is>
      </c>
      <c r="B371" s="1" t="n">
        <v>45357.96106481482</v>
      </c>
      <c r="C371" s="1" t="n">
        <v>45887</v>
      </c>
      <c r="D371" t="inlineStr">
        <is>
          <t>JÄMTLANDS LÄN</t>
        </is>
      </c>
      <c r="E371" t="inlineStr">
        <is>
          <t>ÖSTERSUND</t>
        </is>
      </c>
      <c r="G371" t="n">
        <v>17.1</v>
      </c>
      <c r="H371" t="n">
        <v>0</v>
      </c>
      <c r="I371" t="n">
        <v>0</v>
      </c>
      <c r="J371" t="n">
        <v>0</v>
      </c>
      <c r="K371" t="n">
        <v>0</v>
      </c>
      <c r="L371" t="n">
        <v>0</v>
      </c>
      <c r="M371" t="n">
        <v>0</v>
      </c>
      <c r="N371" t="n">
        <v>0</v>
      </c>
      <c r="O371" t="n">
        <v>0</v>
      </c>
      <c r="P371" t="n">
        <v>0</v>
      </c>
      <c r="Q371" t="n">
        <v>0</v>
      </c>
      <c r="R371" s="2" t="inlineStr"/>
    </row>
    <row r="372" ht="15" customHeight="1">
      <c r="A372" t="inlineStr">
        <is>
          <t>A 10266-2025</t>
        </is>
      </c>
      <c r="B372" s="1" t="n">
        <v>45720.38576388889</v>
      </c>
      <c r="C372" s="1" t="n">
        <v>45887</v>
      </c>
      <c r="D372" t="inlineStr">
        <is>
          <t>JÄMTLANDS LÄN</t>
        </is>
      </c>
      <c r="E372" t="inlineStr">
        <is>
          <t>ÖSTERSUND</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7936-2025</t>
        </is>
      </c>
      <c r="B373" s="1" t="n">
        <v>45707</v>
      </c>
      <c r="C373" s="1" t="n">
        <v>45887</v>
      </c>
      <c r="D373" t="inlineStr">
        <is>
          <t>JÄMTLANDS LÄN</t>
        </is>
      </c>
      <c r="E373" t="inlineStr">
        <is>
          <t>ÖSTERSUND</t>
        </is>
      </c>
      <c r="G373" t="n">
        <v>0.2</v>
      </c>
      <c r="H373" t="n">
        <v>0</v>
      </c>
      <c r="I373" t="n">
        <v>0</v>
      </c>
      <c r="J373" t="n">
        <v>0</v>
      </c>
      <c r="K373" t="n">
        <v>0</v>
      </c>
      <c r="L373" t="n">
        <v>0</v>
      </c>
      <c r="M373" t="n">
        <v>0</v>
      </c>
      <c r="N373" t="n">
        <v>0</v>
      </c>
      <c r="O373" t="n">
        <v>0</v>
      </c>
      <c r="P373" t="n">
        <v>0</v>
      </c>
      <c r="Q373" t="n">
        <v>0</v>
      </c>
      <c r="R373" s="2" t="inlineStr"/>
    </row>
    <row r="374" ht="15" customHeight="1">
      <c r="A374" t="inlineStr">
        <is>
          <t>A 7940-2025</t>
        </is>
      </c>
      <c r="B374" s="1" t="n">
        <v>45707.40493055555</v>
      </c>
      <c r="C374" s="1" t="n">
        <v>45887</v>
      </c>
      <c r="D374" t="inlineStr">
        <is>
          <t>JÄMTLANDS LÄN</t>
        </is>
      </c>
      <c r="E374" t="inlineStr">
        <is>
          <t>ÖSTERSUND</t>
        </is>
      </c>
      <c r="F374" t="inlineStr">
        <is>
          <t>Övriga Aktiebolag</t>
        </is>
      </c>
      <c r="G374" t="n">
        <v>48.1</v>
      </c>
      <c r="H374" t="n">
        <v>0</v>
      </c>
      <c r="I374" t="n">
        <v>0</v>
      </c>
      <c r="J374" t="n">
        <v>0</v>
      </c>
      <c r="K374" t="n">
        <v>0</v>
      </c>
      <c r="L374" t="n">
        <v>0</v>
      </c>
      <c r="M374" t="n">
        <v>0</v>
      </c>
      <c r="N374" t="n">
        <v>0</v>
      </c>
      <c r="O374" t="n">
        <v>0</v>
      </c>
      <c r="P374" t="n">
        <v>0</v>
      </c>
      <c r="Q374" t="n">
        <v>0</v>
      </c>
      <c r="R374" s="2" t="inlineStr"/>
    </row>
    <row r="375" ht="15" customHeight="1">
      <c r="A375" t="inlineStr">
        <is>
          <t>A 12946-2022</t>
        </is>
      </c>
      <c r="B375" s="1" t="n">
        <v>44642.93471064815</v>
      </c>
      <c r="C375" s="1" t="n">
        <v>45887</v>
      </c>
      <c r="D375" t="inlineStr">
        <is>
          <t>JÄMTLANDS LÄN</t>
        </is>
      </c>
      <c r="E375" t="inlineStr">
        <is>
          <t>ÖSTERSUND</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79-2025</t>
        </is>
      </c>
      <c r="B376" s="1" t="n">
        <v>45659.44413194444</v>
      </c>
      <c r="C376" s="1" t="n">
        <v>45887</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61256-2022</t>
        </is>
      </c>
      <c r="B377" s="1" t="n">
        <v>44909</v>
      </c>
      <c r="C377" s="1" t="n">
        <v>45887</v>
      </c>
      <c r="D377" t="inlineStr">
        <is>
          <t>JÄMTLANDS LÄN</t>
        </is>
      </c>
      <c r="E377" t="inlineStr">
        <is>
          <t>ÖSTERSUND</t>
        </is>
      </c>
      <c r="G377" t="n">
        <v>3.9</v>
      </c>
      <c r="H377" t="n">
        <v>0</v>
      </c>
      <c r="I377" t="n">
        <v>0</v>
      </c>
      <c r="J377" t="n">
        <v>0</v>
      </c>
      <c r="K377" t="n">
        <v>0</v>
      </c>
      <c r="L377" t="n">
        <v>0</v>
      </c>
      <c r="M377" t="n">
        <v>0</v>
      </c>
      <c r="N377" t="n">
        <v>0</v>
      </c>
      <c r="O377" t="n">
        <v>0</v>
      </c>
      <c r="P377" t="n">
        <v>0</v>
      </c>
      <c r="Q377" t="n">
        <v>0</v>
      </c>
      <c r="R377" s="2" t="inlineStr"/>
    </row>
    <row r="378" ht="15" customHeight="1">
      <c r="A378" t="inlineStr">
        <is>
          <t>A 7956-2025</t>
        </is>
      </c>
      <c r="B378" s="1" t="n">
        <v>45707.42825231481</v>
      </c>
      <c r="C378" s="1" t="n">
        <v>45887</v>
      </c>
      <c r="D378" t="inlineStr">
        <is>
          <t>JÄMTLANDS LÄN</t>
        </is>
      </c>
      <c r="E378" t="inlineStr">
        <is>
          <t>ÖSTERSUND</t>
        </is>
      </c>
      <c r="F378" t="inlineStr">
        <is>
          <t>Övriga Aktiebolag</t>
        </is>
      </c>
      <c r="G378" t="n">
        <v>111.2</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45887</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2753-2025</t>
        </is>
      </c>
      <c r="B380" s="1" t="n">
        <v>45677.47302083333</v>
      </c>
      <c r="C380" s="1" t="n">
        <v>45887</v>
      </c>
      <c r="D380" t="inlineStr">
        <is>
          <t>JÄMTLANDS LÄN</t>
        </is>
      </c>
      <c r="E380" t="inlineStr">
        <is>
          <t>ÖSTERSUND</t>
        </is>
      </c>
      <c r="G380" t="n">
        <v>6.4</v>
      </c>
      <c r="H380" t="n">
        <v>0</v>
      </c>
      <c r="I380" t="n">
        <v>0</v>
      </c>
      <c r="J380" t="n">
        <v>0</v>
      </c>
      <c r="K380" t="n">
        <v>0</v>
      </c>
      <c r="L380" t="n">
        <v>0</v>
      </c>
      <c r="M380" t="n">
        <v>0</v>
      </c>
      <c r="N380" t="n">
        <v>0</v>
      </c>
      <c r="O380" t="n">
        <v>0</v>
      </c>
      <c r="P380" t="n">
        <v>0</v>
      </c>
      <c r="Q380" t="n">
        <v>0</v>
      </c>
      <c r="R380" s="2" t="inlineStr"/>
    </row>
    <row r="381" ht="15" customHeight="1">
      <c r="A381" t="inlineStr">
        <is>
          <t>A 60560-2022</t>
        </is>
      </c>
      <c r="B381" s="1" t="n">
        <v>44911.54984953703</v>
      </c>
      <c r="C381" s="1" t="n">
        <v>45887</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25187-2024</t>
        </is>
      </c>
      <c r="B382" s="1" t="n">
        <v>45462.56172453704</v>
      </c>
      <c r="C382" s="1" t="n">
        <v>45887</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28025-2025</t>
        </is>
      </c>
      <c r="B383" s="1" t="n">
        <v>45817</v>
      </c>
      <c r="C383" s="1" t="n">
        <v>45887</v>
      </c>
      <c r="D383" t="inlineStr">
        <is>
          <t>JÄMTLANDS LÄN</t>
        </is>
      </c>
      <c r="E383" t="inlineStr">
        <is>
          <t>ÖSTERSUND</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28185-2025</t>
        </is>
      </c>
      <c r="B384" s="1" t="n">
        <v>45818.40337962963</v>
      </c>
      <c r="C384" s="1" t="n">
        <v>45887</v>
      </c>
      <c r="D384" t="inlineStr">
        <is>
          <t>JÄMTLANDS LÄN</t>
        </is>
      </c>
      <c r="E384" t="inlineStr">
        <is>
          <t>ÖSTERSUND</t>
        </is>
      </c>
      <c r="F384" t="inlineStr">
        <is>
          <t>Kyrkan</t>
        </is>
      </c>
      <c r="G384" t="n">
        <v>1</v>
      </c>
      <c r="H384" t="n">
        <v>0</v>
      </c>
      <c r="I384" t="n">
        <v>0</v>
      </c>
      <c r="J384" t="n">
        <v>0</v>
      </c>
      <c r="K384" t="n">
        <v>0</v>
      </c>
      <c r="L384" t="n">
        <v>0</v>
      </c>
      <c r="M384" t="n">
        <v>0</v>
      </c>
      <c r="N384" t="n">
        <v>0</v>
      </c>
      <c r="O384" t="n">
        <v>0</v>
      </c>
      <c r="P384" t="n">
        <v>0</v>
      </c>
      <c r="Q384" t="n">
        <v>0</v>
      </c>
      <c r="R384" s="2" t="inlineStr"/>
    </row>
    <row r="385" ht="15" customHeight="1">
      <c r="A385" t="inlineStr">
        <is>
          <t>A 61449-2024</t>
        </is>
      </c>
      <c r="B385" s="1" t="n">
        <v>45646.48988425926</v>
      </c>
      <c r="C385" s="1" t="n">
        <v>45887</v>
      </c>
      <c r="D385" t="inlineStr">
        <is>
          <t>JÄMTLANDS LÄN</t>
        </is>
      </c>
      <c r="E385" t="inlineStr">
        <is>
          <t>ÖSTERSUND</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61450-2024</t>
        </is>
      </c>
      <c r="B386" s="1" t="n">
        <v>45646.49012731481</v>
      </c>
      <c r="C386" s="1" t="n">
        <v>45887</v>
      </c>
      <c r="D386" t="inlineStr">
        <is>
          <t>JÄMTLANDS LÄN</t>
        </is>
      </c>
      <c r="E386" t="inlineStr">
        <is>
          <t>ÖSTERSUND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61451-2024</t>
        </is>
      </c>
      <c r="B387" s="1" t="n">
        <v>45646.49017361111</v>
      </c>
      <c r="C387" s="1" t="n">
        <v>45887</v>
      </c>
      <c r="D387" t="inlineStr">
        <is>
          <t>JÄMTLANDS LÄN</t>
        </is>
      </c>
      <c r="E387" t="inlineStr">
        <is>
          <t>ÖSTERSUND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28551-2025</t>
        </is>
      </c>
      <c r="B388" s="1" t="n">
        <v>45818</v>
      </c>
      <c r="C388" s="1" t="n">
        <v>45887</v>
      </c>
      <c r="D388" t="inlineStr">
        <is>
          <t>JÄMTLANDS LÄN</t>
        </is>
      </c>
      <c r="E388" t="inlineStr">
        <is>
          <t>ÖSTERSUND</t>
        </is>
      </c>
      <c r="G388" t="n">
        <v>5.2</v>
      </c>
      <c r="H388" t="n">
        <v>0</v>
      </c>
      <c r="I388" t="n">
        <v>0</v>
      </c>
      <c r="J388" t="n">
        <v>0</v>
      </c>
      <c r="K388" t="n">
        <v>0</v>
      </c>
      <c r="L388" t="n">
        <v>0</v>
      </c>
      <c r="M388" t="n">
        <v>0</v>
      </c>
      <c r="N388" t="n">
        <v>0</v>
      </c>
      <c r="O388" t="n">
        <v>0</v>
      </c>
      <c r="P388" t="n">
        <v>0</v>
      </c>
      <c r="Q388" t="n">
        <v>0</v>
      </c>
      <c r="R388" s="2" t="inlineStr"/>
    </row>
    <row r="389" ht="15" customHeight="1">
      <c r="A389" t="inlineStr">
        <is>
          <t>A 44327-2023</t>
        </is>
      </c>
      <c r="B389" s="1" t="n">
        <v>45188</v>
      </c>
      <c r="C389" s="1" t="n">
        <v>45887</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27780-2022</t>
        </is>
      </c>
      <c r="B390" s="1" t="n">
        <v>44743</v>
      </c>
      <c r="C390" s="1" t="n">
        <v>45887</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23555-2022</t>
        </is>
      </c>
      <c r="B391" s="1" t="n">
        <v>44721</v>
      </c>
      <c r="C391" s="1" t="n">
        <v>45887</v>
      </c>
      <c r="D391" t="inlineStr">
        <is>
          <t>JÄMTLANDS LÄN</t>
        </is>
      </c>
      <c r="E391" t="inlineStr">
        <is>
          <t>ÖSTERSUND</t>
        </is>
      </c>
      <c r="G391" t="n">
        <v>1.2</v>
      </c>
      <c r="H391" t="n">
        <v>0</v>
      </c>
      <c r="I391" t="n">
        <v>0</v>
      </c>
      <c r="J391" t="n">
        <v>0</v>
      </c>
      <c r="K391" t="n">
        <v>0</v>
      </c>
      <c r="L391" t="n">
        <v>0</v>
      </c>
      <c r="M391" t="n">
        <v>0</v>
      </c>
      <c r="N391" t="n">
        <v>0</v>
      </c>
      <c r="O391" t="n">
        <v>0</v>
      </c>
      <c r="P391" t="n">
        <v>0</v>
      </c>
      <c r="Q391" t="n">
        <v>0</v>
      </c>
      <c r="R391" s="2" t="inlineStr"/>
    </row>
    <row r="392" ht="15" customHeight="1">
      <c r="A392" t="inlineStr">
        <is>
          <t>A 28595-2025</t>
        </is>
      </c>
      <c r="B392" s="1" t="n">
        <v>45819.59429398148</v>
      </c>
      <c r="C392" s="1" t="n">
        <v>45887</v>
      </c>
      <c r="D392" t="inlineStr">
        <is>
          <t>JÄMTLANDS LÄN</t>
        </is>
      </c>
      <c r="E392" t="inlineStr">
        <is>
          <t>ÖSTERSUND</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10267-2025</t>
        </is>
      </c>
      <c r="B393" s="1" t="n">
        <v>45720.3859375</v>
      </c>
      <c r="C393" s="1" t="n">
        <v>45887</v>
      </c>
      <c r="D393" t="inlineStr">
        <is>
          <t>JÄMTLANDS LÄN</t>
        </is>
      </c>
      <c r="E393" t="inlineStr">
        <is>
          <t>ÖSTERSUND</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10493-2025</t>
        </is>
      </c>
      <c r="B394" s="1" t="n">
        <v>45721.36320601852</v>
      </c>
      <c r="C394" s="1" t="n">
        <v>45887</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28181-2024</t>
        </is>
      </c>
      <c r="B395" s="1" t="n">
        <v>45477.28482638889</v>
      </c>
      <c r="C395" s="1" t="n">
        <v>45887</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55302-2021</t>
        </is>
      </c>
      <c r="B396" s="1" t="n">
        <v>44475</v>
      </c>
      <c r="C396" s="1" t="n">
        <v>45887</v>
      </c>
      <c r="D396" t="inlineStr">
        <is>
          <t>JÄMTLANDS LÄN</t>
        </is>
      </c>
      <c r="E396" t="inlineStr">
        <is>
          <t>ÖSTERSUND</t>
        </is>
      </c>
      <c r="G396" t="n">
        <v>0.3</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45887</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59648-2022</t>
        </is>
      </c>
      <c r="B398" s="1" t="n">
        <v>44907</v>
      </c>
      <c r="C398" s="1" t="n">
        <v>45887</v>
      </c>
      <c r="D398" t="inlineStr">
        <is>
          <t>JÄMTLANDS LÄN</t>
        </is>
      </c>
      <c r="E398" t="inlineStr">
        <is>
          <t>ÖSTERSUND</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34923-2025</t>
        </is>
      </c>
      <c r="B399" s="1" t="n">
        <v>45849.55601851852</v>
      </c>
      <c r="C399" s="1" t="n">
        <v>45887</v>
      </c>
      <c r="D399" t="inlineStr">
        <is>
          <t>JÄMTLANDS LÄN</t>
        </is>
      </c>
      <c r="E399" t="inlineStr">
        <is>
          <t>ÖSTERSUND</t>
        </is>
      </c>
      <c r="G399" t="n">
        <v>1.2</v>
      </c>
      <c r="H399" t="n">
        <v>0</v>
      </c>
      <c r="I399" t="n">
        <v>0</v>
      </c>
      <c r="J399" t="n">
        <v>0</v>
      </c>
      <c r="K399" t="n">
        <v>0</v>
      </c>
      <c r="L399" t="n">
        <v>0</v>
      </c>
      <c r="M399" t="n">
        <v>0</v>
      </c>
      <c r="N399" t="n">
        <v>0</v>
      </c>
      <c r="O399" t="n">
        <v>0</v>
      </c>
      <c r="P399" t="n">
        <v>0</v>
      </c>
      <c r="Q399" t="n">
        <v>0</v>
      </c>
      <c r="R399" s="2" t="inlineStr"/>
    </row>
    <row r="400" ht="15" customHeight="1">
      <c r="A400" t="inlineStr">
        <is>
          <t>A 36098-2025</t>
        </is>
      </c>
      <c r="B400" s="1" t="n">
        <v>45866.50549768518</v>
      </c>
      <c r="C400" s="1" t="n">
        <v>45887</v>
      </c>
      <c r="D400" t="inlineStr">
        <is>
          <t>JÄMTLANDS LÄN</t>
        </is>
      </c>
      <c r="E400" t="inlineStr">
        <is>
          <t>ÖSTERSUND</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846-2024</t>
        </is>
      </c>
      <c r="B401" s="1" t="n">
        <v>45300</v>
      </c>
      <c r="C401" s="1" t="n">
        <v>45887</v>
      </c>
      <c r="D401" t="inlineStr">
        <is>
          <t>JÄMTLANDS LÄN</t>
        </is>
      </c>
      <c r="E401" t="inlineStr">
        <is>
          <t>ÖSTERSUND</t>
        </is>
      </c>
      <c r="G401" t="n">
        <v>2.8</v>
      </c>
      <c r="H401" t="n">
        <v>0</v>
      </c>
      <c r="I401" t="n">
        <v>0</v>
      </c>
      <c r="J401" t="n">
        <v>0</v>
      </c>
      <c r="K401" t="n">
        <v>0</v>
      </c>
      <c r="L401" t="n">
        <v>0</v>
      </c>
      <c r="M401" t="n">
        <v>0</v>
      </c>
      <c r="N401" t="n">
        <v>0</v>
      </c>
      <c r="O401" t="n">
        <v>0</v>
      </c>
      <c r="P401" t="n">
        <v>0</v>
      </c>
      <c r="Q401" t="n">
        <v>0</v>
      </c>
      <c r="R401" s="2" t="inlineStr"/>
    </row>
    <row r="402" ht="15" customHeight="1">
      <c r="A402" t="inlineStr">
        <is>
          <t>A 2978-2024</t>
        </is>
      </c>
      <c r="B402" s="1" t="n">
        <v>45315</v>
      </c>
      <c r="C402" s="1" t="n">
        <v>45887</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24781-2024</t>
        </is>
      </c>
      <c r="B403" s="1" t="n">
        <v>45460.7772800926</v>
      </c>
      <c r="C403" s="1" t="n">
        <v>45887</v>
      </c>
      <c r="D403" t="inlineStr">
        <is>
          <t>JÄMTLANDS LÄN</t>
        </is>
      </c>
      <c r="E403" t="inlineStr">
        <is>
          <t>ÖSTERSUND</t>
        </is>
      </c>
      <c r="G403" t="n">
        <v>2.2</v>
      </c>
      <c r="H403" t="n">
        <v>0</v>
      </c>
      <c r="I403" t="n">
        <v>0</v>
      </c>
      <c r="J403" t="n">
        <v>0</v>
      </c>
      <c r="K403" t="n">
        <v>0</v>
      </c>
      <c r="L403" t="n">
        <v>0</v>
      </c>
      <c r="M403" t="n">
        <v>0</v>
      </c>
      <c r="N403" t="n">
        <v>0</v>
      </c>
      <c r="O403" t="n">
        <v>0</v>
      </c>
      <c r="P403" t="n">
        <v>0</v>
      </c>
      <c r="Q403" t="n">
        <v>0</v>
      </c>
      <c r="R403" s="2" t="inlineStr"/>
    </row>
    <row r="404" ht="15" customHeight="1">
      <c r="A404" t="inlineStr">
        <is>
          <t>A 61791-2023</t>
        </is>
      </c>
      <c r="B404" s="1" t="n">
        <v>45265.95795138889</v>
      </c>
      <c r="C404" s="1" t="n">
        <v>45887</v>
      </c>
      <c r="D404" t="inlineStr">
        <is>
          <t>JÄMTLANDS LÄN</t>
        </is>
      </c>
      <c r="E404" t="inlineStr">
        <is>
          <t>ÖSTERSUND</t>
        </is>
      </c>
      <c r="F404" t="inlineStr">
        <is>
          <t>SCA</t>
        </is>
      </c>
      <c r="G404" t="n">
        <v>11.4</v>
      </c>
      <c r="H404" t="n">
        <v>0</v>
      </c>
      <c r="I404" t="n">
        <v>0</v>
      </c>
      <c r="J404" t="n">
        <v>0</v>
      </c>
      <c r="K404" t="n">
        <v>0</v>
      </c>
      <c r="L404" t="n">
        <v>0</v>
      </c>
      <c r="M404" t="n">
        <v>0</v>
      </c>
      <c r="N404" t="n">
        <v>0</v>
      </c>
      <c r="O404" t="n">
        <v>0</v>
      </c>
      <c r="P404" t="n">
        <v>0</v>
      </c>
      <c r="Q404" t="n">
        <v>0</v>
      </c>
      <c r="R404" s="2" t="inlineStr"/>
    </row>
    <row r="405" ht="15" customHeight="1">
      <c r="A405" t="inlineStr">
        <is>
          <t>A 36099-2025</t>
        </is>
      </c>
      <c r="B405" s="1" t="n">
        <v>45866.51630787037</v>
      </c>
      <c r="C405" s="1" t="n">
        <v>45887</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36211-2025</t>
        </is>
      </c>
      <c r="B406" s="1" t="n">
        <v>45867.46946759259</v>
      </c>
      <c r="C406" s="1" t="n">
        <v>45887</v>
      </c>
      <c r="D406" t="inlineStr">
        <is>
          <t>JÄMTLANDS LÄN</t>
        </is>
      </c>
      <c r="E406" t="inlineStr">
        <is>
          <t>ÖSTERSUND</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53060-2024</t>
        </is>
      </c>
      <c r="B407" s="1" t="n">
        <v>45611.46912037037</v>
      </c>
      <c r="C407" s="1" t="n">
        <v>45887</v>
      </c>
      <c r="D407" t="inlineStr">
        <is>
          <t>JÄMTLANDS LÄN</t>
        </is>
      </c>
      <c r="E407" t="inlineStr">
        <is>
          <t>ÖSTERSUND</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6013-2022</t>
        </is>
      </c>
      <c r="B408" s="1" t="n">
        <v>44599.45850694444</v>
      </c>
      <c r="C408" s="1" t="n">
        <v>45887</v>
      </c>
      <c r="D408" t="inlineStr">
        <is>
          <t>JÄMTLANDS LÄN</t>
        </is>
      </c>
      <c r="E408" t="inlineStr">
        <is>
          <t>ÖSTERSUND</t>
        </is>
      </c>
      <c r="G408" t="n">
        <v>2.5</v>
      </c>
      <c r="H408" t="n">
        <v>0</v>
      </c>
      <c r="I408" t="n">
        <v>0</v>
      </c>
      <c r="J408" t="n">
        <v>0</v>
      </c>
      <c r="K408" t="n">
        <v>0</v>
      </c>
      <c r="L408" t="n">
        <v>0</v>
      </c>
      <c r="M408" t="n">
        <v>0</v>
      </c>
      <c r="N408" t="n">
        <v>0</v>
      </c>
      <c r="O408" t="n">
        <v>0</v>
      </c>
      <c r="P408" t="n">
        <v>0</v>
      </c>
      <c r="Q408" t="n">
        <v>0</v>
      </c>
      <c r="R408" s="2" t="inlineStr"/>
    </row>
    <row r="409" ht="15" customHeight="1">
      <c r="A409" t="inlineStr">
        <is>
          <t>A 3255-2025</t>
        </is>
      </c>
      <c r="B409" s="1" t="n">
        <v>45679.55256944444</v>
      </c>
      <c r="C409" s="1" t="n">
        <v>45887</v>
      </c>
      <c r="D409" t="inlineStr">
        <is>
          <t>JÄMTLANDS LÄN</t>
        </is>
      </c>
      <c r="E409" t="inlineStr">
        <is>
          <t>ÖSTERSUND</t>
        </is>
      </c>
      <c r="F409" t="inlineStr">
        <is>
          <t>SCA</t>
        </is>
      </c>
      <c r="G409" t="n">
        <v>16.7</v>
      </c>
      <c r="H409" t="n">
        <v>0</v>
      </c>
      <c r="I409" t="n">
        <v>0</v>
      </c>
      <c r="J409" t="n">
        <v>0</v>
      </c>
      <c r="K409" t="n">
        <v>0</v>
      </c>
      <c r="L409" t="n">
        <v>0</v>
      </c>
      <c r="M409" t="n">
        <v>0</v>
      </c>
      <c r="N409" t="n">
        <v>0</v>
      </c>
      <c r="O409" t="n">
        <v>0</v>
      </c>
      <c r="P409" t="n">
        <v>0</v>
      </c>
      <c r="Q409" t="n">
        <v>0</v>
      </c>
      <c r="R409" s="2" t="inlineStr"/>
    </row>
    <row r="410" ht="15" customHeight="1">
      <c r="A410" t="inlineStr">
        <is>
          <t>A 2615-2024</t>
        </is>
      </c>
      <c r="B410" s="1" t="n">
        <v>45313</v>
      </c>
      <c r="C410" s="1" t="n">
        <v>45887</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30320-2025</t>
        </is>
      </c>
      <c r="B411" s="1" t="n">
        <v>45827.49415509259</v>
      </c>
      <c r="C411" s="1" t="n">
        <v>45887</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30210-2025</t>
        </is>
      </c>
      <c r="B412" s="1" t="n">
        <v>45827.36590277778</v>
      </c>
      <c r="C412" s="1" t="n">
        <v>45887</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1159-2024</t>
        </is>
      </c>
      <c r="B413" s="1" t="n">
        <v>45302.52006944444</v>
      </c>
      <c r="C413" s="1" t="n">
        <v>45887</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35556-2022</t>
        </is>
      </c>
      <c r="B414" s="1" t="n">
        <v>44799</v>
      </c>
      <c r="C414" s="1" t="n">
        <v>45887</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14182-2025</t>
        </is>
      </c>
      <c r="B415" s="1" t="n">
        <v>45740.54168981482</v>
      </c>
      <c r="C415" s="1" t="n">
        <v>45887</v>
      </c>
      <c r="D415" t="inlineStr">
        <is>
          <t>JÄMTLANDS LÄN</t>
        </is>
      </c>
      <c r="E415" t="inlineStr">
        <is>
          <t>ÖSTERSUND</t>
        </is>
      </c>
      <c r="F415" t="inlineStr">
        <is>
          <t>Övriga Aktiebolag</t>
        </is>
      </c>
      <c r="G415" t="n">
        <v>20.1</v>
      </c>
      <c r="H415" t="n">
        <v>0</v>
      </c>
      <c r="I415" t="n">
        <v>0</v>
      </c>
      <c r="J415" t="n">
        <v>0</v>
      </c>
      <c r="K415" t="n">
        <v>0</v>
      </c>
      <c r="L415" t="n">
        <v>0</v>
      </c>
      <c r="M415" t="n">
        <v>0</v>
      </c>
      <c r="N415" t="n">
        <v>0</v>
      </c>
      <c r="O415" t="n">
        <v>0</v>
      </c>
      <c r="P415" t="n">
        <v>0</v>
      </c>
      <c r="Q415" t="n">
        <v>0</v>
      </c>
      <c r="R415" s="2" t="inlineStr"/>
    </row>
    <row r="416" ht="15" customHeight="1">
      <c r="A416" t="inlineStr">
        <is>
          <t>A 55235-2023</t>
        </is>
      </c>
      <c r="B416" s="1" t="n">
        <v>45231</v>
      </c>
      <c r="C416" s="1" t="n">
        <v>45887</v>
      </c>
      <c r="D416" t="inlineStr">
        <is>
          <t>JÄMTLANDS LÄN</t>
        </is>
      </c>
      <c r="E416" t="inlineStr">
        <is>
          <t>ÖSTERSUND</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60794-2023</t>
        </is>
      </c>
      <c r="B417" s="1" t="n">
        <v>45260</v>
      </c>
      <c r="C417" s="1" t="n">
        <v>45887</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36566-2025</t>
        </is>
      </c>
      <c r="B418" s="1" t="n">
        <v>45869</v>
      </c>
      <c r="C418" s="1" t="n">
        <v>45887</v>
      </c>
      <c r="D418" t="inlineStr">
        <is>
          <t>JÄMTLANDS LÄN</t>
        </is>
      </c>
      <c r="E418" t="inlineStr">
        <is>
          <t>ÖSTERSUND</t>
        </is>
      </c>
      <c r="F418" t="inlineStr">
        <is>
          <t>Sveaskog</t>
        </is>
      </c>
      <c r="G418" t="n">
        <v>6.9</v>
      </c>
      <c r="H418" t="n">
        <v>0</v>
      </c>
      <c r="I418" t="n">
        <v>0</v>
      </c>
      <c r="J418" t="n">
        <v>0</v>
      </c>
      <c r="K418" t="n">
        <v>0</v>
      </c>
      <c r="L418" t="n">
        <v>0</v>
      </c>
      <c r="M418" t="n">
        <v>0</v>
      </c>
      <c r="N418" t="n">
        <v>0</v>
      </c>
      <c r="O418" t="n">
        <v>0</v>
      </c>
      <c r="P418" t="n">
        <v>0</v>
      </c>
      <c r="Q418" t="n">
        <v>0</v>
      </c>
      <c r="R418" s="2" t="inlineStr"/>
    </row>
    <row r="419" ht="15" customHeight="1">
      <c r="A419" t="inlineStr">
        <is>
          <t>A 39928-2022</t>
        </is>
      </c>
      <c r="B419" s="1" t="n">
        <v>44819</v>
      </c>
      <c r="C419" s="1" t="n">
        <v>45887</v>
      </c>
      <c r="D419" t="inlineStr">
        <is>
          <t>JÄMTLANDS LÄN</t>
        </is>
      </c>
      <c r="E419" t="inlineStr">
        <is>
          <t>ÖSTERSUND</t>
        </is>
      </c>
      <c r="F419" t="inlineStr">
        <is>
          <t>SCA</t>
        </is>
      </c>
      <c r="G419" t="n">
        <v>8.9</v>
      </c>
      <c r="H419" t="n">
        <v>0</v>
      </c>
      <c r="I419" t="n">
        <v>0</v>
      </c>
      <c r="J419" t="n">
        <v>0</v>
      </c>
      <c r="K419" t="n">
        <v>0</v>
      </c>
      <c r="L419" t="n">
        <v>0</v>
      </c>
      <c r="M419" t="n">
        <v>0</v>
      </c>
      <c r="N419" t="n">
        <v>0</v>
      </c>
      <c r="O419" t="n">
        <v>0</v>
      </c>
      <c r="P419" t="n">
        <v>0</v>
      </c>
      <c r="Q419" t="n">
        <v>0</v>
      </c>
      <c r="R419" s="2" t="inlineStr"/>
    </row>
    <row r="420" ht="15" customHeight="1">
      <c r="A420" t="inlineStr">
        <is>
          <t>A 58952-2024</t>
        </is>
      </c>
      <c r="B420" s="1" t="n">
        <v>45636.5674537037</v>
      </c>
      <c r="C420" s="1" t="n">
        <v>45887</v>
      </c>
      <c r="D420" t="inlineStr">
        <is>
          <t>JÄMTLANDS LÄN</t>
        </is>
      </c>
      <c r="E420" t="inlineStr">
        <is>
          <t>ÖSTERSUND</t>
        </is>
      </c>
      <c r="G420" t="n">
        <v>3.7</v>
      </c>
      <c r="H420" t="n">
        <v>0</v>
      </c>
      <c r="I420" t="n">
        <v>0</v>
      </c>
      <c r="J420" t="n">
        <v>0</v>
      </c>
      <c r="K420" t="n">
        <v>0</v>
      </c>
      <c r="L420" t="n">
        <v>0</v>
      </c>
      <c r="M420" t="n">
        <v>0</v>
      </c>
      <c r="N420" t="n">
        <v>0</v>
      </c>
      <c r="O420" t="n">
        <v>0</v>
      </c>
      <c r="P420" t="n">
        <v>0</v>
      </c>
      <c r="Q420" t="n">
        <v>0</v>
      </c>
      <c r="R420" s="2" t="inlineStr"/>
    </row>
    <row r="421" ht="15" customHeight="1">
      <c r="A421" t="inlineStr">
        <is>
          <t>A 43082-2024</t>
        </is>
      </c>
      <c r="B421" s="1" t="n">
        <v>45567.51068287037</v>
      </c>
      <c r="C421" s="1" t="n">
        <v>45887</v>
      </c>
      <c r="D421" t="inlineStr">
        <is>
          <t>JÄMTLANDS LÄN</t>
        </is>
      </c>
      <c r="E421" t="inlineStr">
        <is>
          <t>ÖSTERSUND</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63099-2023</t>
        </is>
      </c>
      <c r="B422" s="1" t="n">
        <v>45273</v>
      </c>
      <c r="C422" s="1" t="n">
        <v>45887</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37085-2025</t>
        </is>
      </c>
      <c r="B423" s="1" t="n">
        <v>45875.44840277778</v>
      </c>
      <c r="C423" s="1" t="n">
        <v>45887</v>
      </c>
      <c r="D423" t="inlineStr">
        <is>
          <t>JÄMTLANDS LÄN</t>
        </is>
      </c>
      <c r="E423" t="inlineStr">
        <is>
          <t>ÖSTERSUND</t>
        </is>
      </c>
      <c r="G423" t="n">
        <v>5.5</v>
      </c>
      <c r="H423" t="n">
        <v>0</v>
      </c>
      <c r="I423" t="n">
        <v>0</v>
      </c>
      <c r="J423" t="n">
        <v>0</v>
      </c>
      <c r="K423" t="n">
        <v>0</v>
      </c>
      <c r="L423" t="n">
        <v>0</v>
      </c>
      <c r="M423" t="n">
        <v>0</v>
      </c>
      <c r="N423" t="n">
        <v>0</v>
      </c>
      <c r="O423" t="n">
        <v>0</v>
      </c>
      <c r="P423" t="n">
        <v>0</v>
      </c>
      <c r="Q423" t="n">
        <v>0</v>
      </c>
      <c r="R423" s="2" t="inlineStr"/>
    </row>
    <row r="424" ht="15" customHeight="1">
      <c r="A424" t="inlineStr">
        <is>
          <t>A 16682-2023</t>
        </is>
      </c>
      <c r="B424" s="1" t="n">
        <v>45028</v>
      </c>
      <c r="C424" s="1" t="n">
        <v>45887</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54608-2023</t>
        </is>
      </c>
      <c r="B425" s="1" t="n">
        <v>45233</v>
      </c>
      <c r="C425" s="1" t="n">
        <v>45887</v>
      </c>
      <c r="D425" t="inlineStr">
        <is>
          <t>JÄMTLANDS LÄN</t>
        </is>
      </c>
      <c r="E425" t="inlineStr">
        <is>
          <t>ÖSTERSUND</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14263-2025</t>
        </is>
      </c>
      <c r="B426" s="1" t="n">
        <v>45740.63354166667</v>
      </c>
      <c r="C426" s="1" t="n">
        <v>45887</v>
      </c>
      <c r="D426" t="inlineStr">
        <is>
          <t>JÄMTLANDS LÄN</t>
        </is>
      </c>
      <c r="E426" t="inlineStr">
        <is>
          <t>ÖSTERSUND</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70256-2021</t>
        </is>
      </c>
      <c r="B427" s="1" t="n">
        <v>44533</v>
      </c>
      <c r="C427" s="1" t="n">
        <v>45887</v>
      </c>
      <c r="D427" t="inlineStr">
        <is>
          <t>JÄMTLANDS LÄN</t>
        </is>
      </c>
      <c r="E427" t="inlineStr">
        <is>
          <t>ÖSTERSUND</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5544-2025</t>
        </is>
      </c>
      <c r="B428" s="1" t="n">
        <v>45693</v>
      </c>
      <c r="C428" s="1" t="n">
        <v>45887</v>
      </c>
      <c r="D428" t="inlineStr">
        <is>
          <t>JÄMTLANDS LÄN</t>
        </is>
      </c>
      <c r="E428" t="inlineStr">
        <is>
          <t>ÖSTERSUND</t>
        </is>
      </c>
      <c r="G428" t="n">
        <v>5.8</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44614.91989583334</v>
      </c>
      <c r="C429" s="1" t="n">
        <v>45887</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32279-2025</t>
        </is>
      </c>
      <c r="B430" s="1" t="n">
        <v>45835.67109953704</v>
      </c>
      <c r="C430" s="1" t="n">
        <v>45887</v>
      </c>
      <c r="D430" t="inlineStr">
        <is>
          <t>JÄMTLANDS LÄN</t>
        </is>
      </c>
      <c r="E430" t="inlineStr">
        <is>
          <t>ÖSTERSUND</t>
        </is>
      </c>
      <c r="G430" t="n">
        <v>3.5</v>
      </c>
      <c r="H430" t="n">
        <v>0</v>
      </c>
      <c r="I430" t="n">
        <v>0</v>
      </c>
      <c r="J430" t="n">
        <v>0</v>
      </c>
      <c r="K430" t="n">
        <v>0</v>
      </c>
      <c r="L430" t="n">
        <v>0</v>
      </c>
      <c r="M430" t="n">
        <v>0</v>
      </c>
      <c r="N430" t="n">
        <v>0</v>
      </c>
      <c r="O430" t="n">
        <v>0</v>
      </c>
      <c r="P430" t="n">
        <v>0</v>
      </c>
      <c r="Q430" t="n">
        <v>0</v>
      </c>
      <c r="R430" s="2" t="inlineStr"/>
    </row>
    <row r="431" ht="15" customHeight="1">
      <c r="A431" t="inlineStr">
        <is>
          <t>A 32353-2025</t>
        </is>
      </c>
      <c r="B431" s="1" t="n">
        <v>45837.51741898148</v>
      </c>
      <c r="C431" s="1" t="n">
        <v>45887</v>
      </c>
      <c r="D431" t="inlineStr">
        <is>
          <t>JÄMTLANDS LÄN</t>
        </is>
      </c>
      <c r="E431" t="inlineStr">
        <is>
          <t>ÖSTERSUND</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32358-2025</t>
        </is>
      </c>
      <c r="B432" s="1" t="n">
        <v>45837.57481481481</v>
      </c>
      <c r="C432" s="1" t="n">
        <v>45887</v>
      </c>
      <c r="D432" t="inlineStr">
        <is>
          <t>JÄMTLANDS LÄN</t>
        </is>
      </c>
      <c r="E432" t="inlineStr">
        <is>
          <t>ÖSTERSUND</t>
        </is>
      </c>
      <c r="F432" t="inlineStr">
        <is>
          <t>Övriga Aktiebolag</t>
        </is>
      </c>
      <c r="G432" t="n">
        <v>4.8</v>
      </c>
      <c r="H432" t="n">
        <v>0</v>
      </c>
      <c r="I432" t="n">
        <v>0</v>
      </c>
      <c r="J432" t="n">
        <v>0</v>
      </c>
      <c r="K432" t="n">
        <v>0</v>
      </c>
      <c r="L432" t="n">
        <v>0</v>
      </c>
      <c r="M432" t="n">
        <v>0</v>
      </c>
      <c r="N432" t="n">
        <v>0</v>
      </c>
      <c r="O432" t="n">
        <v>0</v>
      </c>
      <c r="P432" t="n">
        <v>0</v>
      </c>
      <c r="Q432" t="n">
        <v>0</v>
      </c>
      <c r="R432" s="2" t="inlineStr"/>
    </row>
    <row r="433" ht="15" customHeight="1">
      <c r="A433" t="inlineStr">
        <is>
          <t>A 32369-2025</t>
        </is>
      </c>
      <c r="B433" s="1" t="n">
        <v>45837.67381944445</v>
      </c>
      <c r="C433" s="1" t="n">
        <v>45887</v>
      </c>
      <c r="D433" t="inlineStr">
        <is>
          <t>JÄMTLANDS LÄN</t>
        </is>
      </c>
      <c r="E433" t="inlineStr">
        <is>
          <t>ÖSTERSUND</t>
        </is>
      </c>
      <c r="F433" t="inlineStr">
        <is>
          <t>Övriga Aktiebolag</t>
        </is>
      </c>
      <c r="G433" t="n">
        <v>5.7</v>
      </c>
      <c r="H433" t="n">
        <v>0</v>
      </c>
      <c r="I433" t="n">
        <v>0</v>
      </c>
      <c r="J433" t="n">
        <v>0</v>
      </c>
      <c r="K433" t="n">
        <v>0</v>
      </c>
      <c r="L433" t="n">
        <v>0</v>
      </c>
      <c r="M433" t="n">
        <v>0</v>
      </c>
      <c r="N433" t="n">
        <v>0</v>
      </c>
      <c r="O433" t="n">
        <v>0</v>
      </c>
      <c r="P433" t="n">
        <v>0</v>
      </c>
      <c r="Q433" t="n">
        <v>0</v>
      </c>
      <c r="R433" s="2" t="inlineStr"/>
    </row>
    <row r="434" ht="15" customHeight="1">
      <c r="A434" t="inlineStr">
        <is>
          <t>A 47627-2024</t>
        </is>
      </c>
      <c r="B434" s="1" t="n">
        <v>45588.3440625</v>
      </c>
      <c r="C434" s="1" t="n">
        <v>45887</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47628-2024</t>
        </is>
      </c>
      <c r="B435" s="1" t="n">
        <v>45588.34418981482</v>
      </c>
      <c r="C435" s="1" t="n">
        <v>45887</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45004-2022</t>
        </is>
      </c>
      <c r="B436" s="1" t="n">
        <v>44840</v>
      </c>
      <c r="C436" s="1" t="n">
        <v>45887</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32368-2025</t>
        </is>
      </c>
      <c r="B437" s="1" t="n">
        <v>45837.66230324074</v>
      </c>
      <c r="C437" s="1" t="n">
        <v>45887</v>
      </c>
      <c r="D437" t="inlineStr">
        <is>
          <t>JÄMTLANDS LÄN</t>
        </is>
      </c>
      <c r="E437" t="inlineStr">
        <is>
          <t>ÖSTERSUND</t>
        </is>
      </c>
      <c r="F437" t="inlineStr">
        <is>
          <t>Övriga Aktiebolag</t>
        </is>
      </c>
      <c r="G437" t="n">
        <v>19.5</v>
      </c>
      <c r="H437" t="n">
        <v>0</v>
      </c>
      <c r="I437" t="n">
        <v>0</v>
      </c>
      <c r="J437" t="n">
        <v>0</v>
      </c>
      <c r="K437" t="n">
        <v>0</v>
      </c>
      <c r="L437" t="n">
        <v>0</v>
      </c>
      <c r="M437" t="n">
        <v>0</v>
      </c>
      <c r="N437" t="n">
        <v>0</v>
      </c>
      <c r="O437" t="n">
        <v>0</v>
      </c>
      <c r="P437" t="n">
        <v>0</v>
      </c>
      <c r="Q437" t="n">
        <v>0</v>
      </c>
      <c r="R437" s="2" t="inlineStr"/>
    </row>
    <row r="438" ht="15" customHeight="1">
      <c r="A438" t="inlineStr">
        <is>
          <t>A 32071-2025</t>
        </is>
      </c>
      <c r="B438" s="1" t="n">
        <v>45835.4491087963</v>
      </c>
      <c r="C438" s="1" t="n">
        <v>45887</v>
      </c>
      <c r="D438" t="inlineStr">
        <is>
          <t>JÄMTLANDS LÄN</t>
        </is>
      </c>
      <c r="E438" t="inlineStr">
        <is>
          <t>ÖSTERSUND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53378-2023</t>
        </is>
      </c>
      <c r="B439" s="1" t="n">
        <v>45223</v>
      </c>
      <c r="C439" s="1" t="n">
        <v>45887</v>
      </c>
      <c r="D439" t="inlineStr">
        <is>
          <t>JÄMTLANDS LÄN</t>
        </is>
      </c>
      <c r="E439" t="inlineStr">
        <is>
          <t>ÖSTERSUND</t>
        </is>
      </c>
      <c r="G439" t="n">
        <v>1.5</v>
      </c>
      <c r="H439" t="n">
        <v>0</v>
      </c>
      <c r="I439" t="n">
        <v>0</v>
      </c>
      <c r="J439" t="n">
        <v>0</v>
      </c>
      <c r="K439" t="n">
        <v>0</v>
      </c>
      <c r="L439" t="n">
        <v>0</v>
      </c>
      <c r="M439" t="n">
        <v>0</v>
      </c>
      <c r="N439" t="n">
        <v>0</v>
      </c>
      <c r="O439" t="n">
        <v>0</v>
      </c>
      <c r="P439" t="n">
        <v>0</v>
      </c>
      <c r="Q439" t="n">
        <v>0</v>
      </c>
      <c r="R439" s="2" t="inlineStr"/>
    </row>
    <row r="440" ht="15" customHeight="1">
      <c r="A440" t="inlineStr">
        <is>
          <t>A 58407-2024</t>
        </is>
      </c>
      <c r="B440" s="1" t="n">
        <v>45634.72633101852</v>
      </c>
      <c r="C440" s="1" t="n">
        <v>45887</v>
      </c>
      <c r="D440" t="inlineStr">
        <is>
          <t>JÄMTLANDS LÄN</t>
        </is>
      </c>
      <c r="E440" t="inlineStr">
        <is>
          <t>ÖSTERSUND</t>
        </is>
      </c>
      <c r="G440" t="n">
        <v>2.8</v>
      </c>
      <c r="H440" t="n">
        <v>0</v>
      </c>
      <c r="I440" t="n">
        <v>0</v>
      </c>
      <c r="J440" t="n">
        <v>0</v>
      </c>
      <c r="K440" t="n">
        <v>0</v>
      </c>
      <c r="L440" t="n">
        <v>0</v>
      </c>
      <c r="M440" t="n">
        <v>0</v>
      </c>
      <c r="N440" t="n">
        <v>0</v>
      </c>
      <c r="O440" t="n">
        <v>0</v>
      </c>
      <c r="P440" t="n">
        <v>0</v>
      </c>
      <c r="Q440" t="n">
        <v>0</v>
      </c>
      <c r="R440" s="2" t="inlineStr"/>
    </row>
    <row r="441" ht="15" customHeight="1">
      <c r="A441" t="inlineStr">
        <is>
          <t>A 2747-2025</t>
        </is>
      </c>
      <c r="B441" s="1" t="n">
        <v>45677.4649537037</v>
      </c>
      <c r="C441" s="1" t="n">
        <v>45887</v>
      </c>
      <c r="D441" t="inlineStr">
        <is>
          <t>JÄMTLANDS LÄN</t>
        </is>
      </c>
      <c r="E441" t="inlineStr">
        <is>
          <t>ÖSTERSUND</t>
        </is>
      </c>
      <c r="F441" t="inlineStr">
        <is>
          <t>Sveaskog</t>
        </is>
      </c>
      <c r="G441" t="n">
        <v>6.4</v>
      </c>
      <c r="H441" t="n">
        <v>0</v>
      </c>
      <c r="I441" t="n">
        <v>0</v>
      </c>
      <c r="J441" t="n">
        <v>0</v>
      </c>
      <c r="K441" t="n">
        <v>0</v>
      </c>
      <c r="L441" t="n">
        <v>0</v>
      </c>
      <c r="M441" t="n">
        <v>0</v>
      </c>
      <c r="N441" t="n">
        <v>0</v>
      </c>
      <c r="O441" t="n">
        <v>0</v>
      </c>
      <c r="P441" t="n">
        <v>0</v>
      </c>
      <c r="Q441" t="n">
        <v>0</v>
      </c>
      <c r="R441" s="2" t="inlineStr"/>
    </row>
    <row r="442" ht="15" customHeight="1">
      <c r="A442" t="inlineStr">
        <is>
          <t>A 33801-2022</t>
        </is>
      </c>
      <c r="B442" s="1" t="n">
        <v>44790</v>
      </c>
      <c r="C442" s="1" t="n">
        <v>45887</v>
      </c>
      <c r="D442" t="inlineStr">
        <is>
          <t>JÄMTLANDS LÄN</t>
        </is>
      </c>
      <c r="E442" t="inlineStr">
        <is>
          <t>ÖSTERSUND</t>
        </is>
      </c>
      <c r="G442" t="n">
        <v>7.6</v>
      </c>
      <c r="H442" t="n">
        <v>0</v>
      </c>
      <c r="I442" t="n">
        <v>0</v>
      </c>
      <c r="J442" t="n">
        <v>0</v>
      </c>
      <c r="K442" t="n">
        <v>0</v>
      </c>
      <c r="L442" t="n">
        <v>0</v>
      </c>
      <c r="M442" t="n">
        <v>0</v>
      </c>
      <c r="N442" t="n">
        <v>0</v>
      </c>
      <c r="O442" t="n">
        <v>0</v>
      </c>
      <c r="P442" t="n">
        <v>0</v>
      </c>
      <c r="Q442" t="n">
        <v>0</v>
      </c>
      <c r="R442" s="2" t="inlineStr"/>
    </row>
    <row r="443" ht="15" customHeight="1">
      <c r="A443" t="inlineStr">
        <is>
          <t>A 17732-2022</t>
        </is>
      </c>
      <c r="B443" s="1" t="n">
        <v>44680.92873842592</v>
      </c>
      <c r="C443" s="1" t="n">
        <v>45887</v>
      </c>
      <c r="D443" t="inlineStr">
        <is>
          <t>JÄMTLANDS LÄN</t>
        </is>
      </c>
      <c r="E443" t="inlineStr">
        <is>
          <t>ÖSTERSUND</t>
        </is>
      </c>
      <c r="G443" t="n">
        <v>5.4</v>
      </c>
      <c r="H443" t="n">
        <v>0</v>
      </c>
      <c r="I443" t="n">
        <v>0</v>
      </c>
      <c r="J443" t="n">
        <v>0</v>
      </c>
      <c r="K443" t="n">
        <v>0</v>
      </c>
      <c r="L443" t="n">
        <v>0</v>
      </c>
      <c r="M443" t="n">
        <v>0</v>
      </c>
      <c r="N443" t="n">
        <v>0</v>
      </c>
      <c r="O443" t="n">
        <v>0</v>
      </c>
      <c r="P443" t="n">
        <v>0</v>
      </c>
      <c r="Q443" t="n">
        <v>0</v>
      </c>
      <c r="R443" s="2" t="inlineStr"/>
    </row>
    <row r="444" ht="15" customHeight="1">
      <c r="A444" t="inlineStr">
        <is>
          <t>A 52913-2021</t>
        </is>
      </c>
      <c r="B444" s="1" t="n">
        <v>44466</v>
      </c>
      <c r="C444" s="1" t="n">
        <v>45887</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33358-2025</t>
        </is>
      </c>
      <c r="B445" s="1" t="n">
        <v>45841.38054398148</v>
      </c>
      <c r="C445" s="1" t="n">
        <v>45887</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27689-2024</t>
        </is>
      </c>
      <c r="B446" s="1" t="n">
        <v>45475.3378125</v>
      </c>
      <c r="C446" s="1" t="n">
        <v>45887</v>
      </c>
      <c r="D446" t="inlineStr">
        <is>
          <t>JÄMTLANDS LÄN</t>
        </is>
      </c>
      <c r="E446" t="inlineStr">
        <is>
          <t>ÖSTERSUND</t>
        </is>
      </c>
      <c r="G446" t="n">
        <v>0.6</v>
      </c>
      <c r="H446" t="n">
        <v>0</v>
      </c>
      <c r="I446" t="n">
        <v>0</v>
      </c>
      <c r="J446" t="n">
        <v>0</v>
      </c>
      <c r="K446" t="n">
        <v>0</v>
      </c>
      <c r="L446" t="n">
        <v>0</v>
      </c>
      <c r="M446" t="n">
        <v>0</v>
      </c>
      <c r="N446" t="n">
        <v>0</v>
      </c>
      <c r="O446" t="n">
        <v>0</v>
      </c>
      <c r="P446" t="n">
        <v>0</v>
      </c>
      <c r="Q446" t="n">
        <v>0</v>
      </c>
      <c r="R446" s="2" t="inlineStr"/>
    </row>
    <row r="447" ht="15" customHeight="1">
      <c r="A447" t="inlineStr">
        <is>
          <t>A 54883-2023</t>
        </is>
      </c>
      <c r="B447" s="1" t="n">
        <v>45236.62300925926</v>
      </c>
      <c r="C447" s="1" t="n">
        <v>45887</v>
      </c>
      <c r="D447" t="inlineStr">
        <is>
          <t>JÄMTLANDS LÄN</t>
        </is>
      </c>
      <c r="E447" t="inlineStr">
        <is>
          <t>ÖSTERSUND</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3122-2025</t>
        </is>
      </c>
      <c r="B448" s="1" t="n">
        <v>45678</v>
      </c>
      <c r="C448" s="1" t="n">
        <v>45887</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62222-2022</t>
        </is>
      </c>
      <c r="B449" s="1" t="n">
        <v>44922</v>
      </c>
      <c r="C449" s="1" t="n">
        <v>45887</v>
      </c>
      <c r="D449" t="inlineStr">
        <is>
          <t>JÄMTLANDS LÄN</t>
        </is>
      </c>
      <c r="E449" t="inlineStr">
        <is>
          <t>ÖSTERSUND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4966-2025</t>
        </is>
      </c>
      <c r="B450" s="1" t="n">
        <v>45690.63628472222</v>
      </c>
      <c r="C450" s="1" t="n">
        <v>45887</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41280-2024</t>
        </is>
      </c>
      <c r="B451" s="1" t="n">
        <v>45559.59476851852</v>
      </c>
      <c r="C451" s="1" t="n">
        <v>45887</v>
      </c>
      <c r="D451" t="inlineStr">
        <is>
          <t>JÄMTLANDS LÄN</t>
        </is>
      </c>
      <c r="E451" t="inlineStr">
        <is>
          <t>ÖSTERSUND</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7224-2024</t>
        </is>
      </c>
      <c r="B452" s="1" t="n">
        <v>45344</v>
      </c>
      <c r="C452" s="1" t="n">
        <v>45887</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6877-2024</t>
        </is>
      </c>
      <c r="B453" s="1" t="n">
        <v>45342</v>
      </c>
      <c r="C453" s="1" t="n">
        <v>45887</v>
      </c>
      <c r="D453" t="inlineStr">
        <is>
          <t>JÄMTLANDS LÄN</t>
        </is>
      </c>
      <c r="E453" t="inlineStr">
        <is>
          <t>ÖSTERSUND</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8675-2023</t>
        </is>
      </c>
      <c r="B454" s="1" t="n">
        <v>44977.98629629629</v>
      </c>
      <c r="C454" s="1" t="n">
        <v>45887</v>
      </c>
      <c r="D454" t="inlineStr">
        <is>
          <t>JÄMTLANDS LÄN</t>
        </is>
      </c>
      <c r="E454" t="inlineStr">
        <is>
          <t>ÖSTERSUND</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12-2023</t>
        </is>
      </c>
      <c r="B455" s="1" t="n">
        <v>44927.88021990741</v>
      </c>
      <c r="C455" s="1" t="n">
        <v>45887</v>
      </c>
      <c r="D455" t="inlineStr">
        <is>
          <t>JÄMTLANDS LÄN</t>
        </is>
      </c>
      <c r="E455" t="inlineStr">
        <is>
          <t>ÖSTERSUND</t>
        </is>
      </c>
      <c r="G455" t="n">
        <v>4.7</v>
      </c>
      <c r="H455" t="n">
        <v>0</v>
      </c>
      <c r="I455" t="n">
        <v>0</v>
      </c>
      <c r="J455" t="n">
        <v>0</v>
      </c>
      <c r="K455" t="n">
        <v>0</v>
      </c>
      <c r="L455" t="n">
        <v>0</v>
      </c>
      <c r="M455" t="n">
        <v>0</v>
      </c>
      <c r="N455" t="n">
        <v>0</v>
      </c>
      <c r="O455" t="n">
        <v>0</v>
      </c>
      <c r="P455" t="n">
        <v>0</v>
      </c>
      <c r="Q455" t="n">
        <v>0</v>
      </c>
      <c r="R455" s="2" t="inlineStr"/>
    </row>
    <row r="456" ht="15" customHeight="1">
      <c r="A456" t="inlineStr">
        <is>
          <t>A 55666-2023</t>
        </is>
      </c>
      <c r="B456" s="1" t="n">
        <v>45238.96770833333</v>
      </c>
      <c r="C456" s="1" t="n">
        <v>45887</v>
      </c>
      <c r="D456" t="inlineStr">
        <is>
          <t>JÄMTLANDS LÄN</t>
        </is>
      </c>
      <c r="E456" t="inlineStr">
        <is>
          <t>ÖSTERSUND</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51481-2023</t>
        </is>
      </c>
      <c r="B457" s="1" t="n">
        <v>45221.92440972223</v>
      </c>
      <c r="C457" s="1" t="n">
        <v>45887</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55140-2023</t>
        </is>
      </c>
      <c r="B458" s="1" t="n">
        <v>45237.50966435186</v>
      </c>
      <c r="C458" s="1" t="n">
        <v>45887</v>
      </c>
      <c r="D458" t="inlineStr">
        <is>
          <t>JÄMTLANDS LÄN</t>
        </is>
      </c>
      <c r="E458" t="inlineStr">
        <is>
          <t>ÖSTERSUND</t>
        </is>
      </c>
      <c r="G458" t="n">
        <v>1.8</v>
      </c>
      <c r="H458" t="n">
        <v>0</v>
      </c>
      <c r="I458" t="n">
        <v>0</v>
      </c>
      <c r="J458" t="n">
        <v>0</v>
      </c>
      <c r="K458" t="n">
        <v>0</v>
      </c>
      <c r="L458" t="n">
        <v>0</v>
      </c>
      <c r="M458" t="n">
        <v>0</v>
      </c>
      <c r="N458" t="n">
        <v>0</v>
      </c>
      <c r="O458" t="n">
        <v>0</v>
      </c>
      <c r="P458" t="n">
        <v>0</v>
      </c>
      <c r="Q458" t="n">
        <v>0</v>
      </c>
      <c r="R458" s="2" t="inlineStr"/>
    </row>
    <row r="459" ht="15" customHeight="1">
      <c r="A459" t="inlineStr">
        <is>
          <t>A 2686-2021</t>
        </is>
      </c>
      <c r="B459" s="1" t="n">
        <v>44214</v>
      </c>
      <c r="C459" s="1" t="n">
        <v>45887</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4136-2023</t>
        </is>
      </c>
      <c r="B460" s="1" t="n">
        <v>44952</v>
      </c>
      <c r="C460" s="1" t="n">
        <v>45887</v>
      </c>
      <c r="D460" t="inlineStr">
        <is>
          <t>JÄMTLANDS LÄN</t>
        </is>
      </c>
      <c r="E460" t="inlineStr">
        <is>
          <t>ÖSTERSUND</t>
        </is>
      </c>
      <c r="G460" t="n">
        <v>0.7</v>
      </c>
      <c r="H460" t="n">
        <v>0</v>
      </c>
      <c r="I460" t="n">
        <v>0</v>
      </c>
      <c r="J460" t="n">
        <v>0</v>
      </c>
      <c r="K460" t="n">
        <v>0</v>
      </c>
      <c r="L460" t="n">
        <v>0</v>
      </c>
      <c r="M460" t="n">
        <v>0</v>
      </c>
      <c r="N460" t="n">
        <v>0</v>
      </c>
      <c r="O460" t="n">
        <v>0</v>
      </c>
      <c r="P460" t="n">
        <v>0</v>
      </c>
      <c r="Q460" t="n">
        <v>0</v>
      </c>
      <c r="R460" s="2" t="inlineStr"/>
    </row>
    <row r="461" ht="15" customHeight="1">
      <c r="A461" t="inlineStr">
        <is>
          <t>A 60623-2022</t>
        </is>
      </c>
      <c r="B461" s="1" t="n">
        <v>44911.6459837963</v>
      </c>
      <c r="C461" s="1" t="n">
        <v>45887</v>
      </c>
      <c r="D461" t="inlineStr">
        <is>
          <t>JÄMTLANDS LÄN</t>
        </is>
      </c>
      <c r="E461" t="inlineStr">
        <is>
          <t>ÖSTERSUND</t>
        </is>
      </c>
      <c r="G461" t="n">
        <v>10.9</v>
      </c>
      <c r="H461" t="n">
        <v>0</v>
      </c>
      <c r="I461" t="n">
        <v>0</v>
      </c>
      <c r="J461" t="n">
        <v>0</v>
      </c>
      <c r="K461" t="n">
        <v>0</v>
      </c>
      <c r="L461" t="n">
        <v>0</v>
      </c>
      <c r="M461" t="n">
        <v>0</v>
      </c>
      <c r="N461" t="n">
        <v>0</v>
      </c>
      <c r="O461" t="n">
        <v>0</v>
      </c>
      <c r="P461" t="n">
        <v>0</v>
      </c>
      <c r="Q461" t="n">
        <v>0</v>
      </c>
      <c r="R461" s="2" t="inlineStr"/>
    </row>
    <row r="462" ht="15" customHeight="1">
      <c r="A462" t="inlineStr">
        <is>
          <t>A 51818-2024</t>
        </is>
      </c>
      <c r="B462" s="1" t="n">
        <v>45607.49265046296</v>
      </c>
      <c r="C462" s="1" t="n">
        <v>45887</v>
      </c>
      <c r="D462" t="inlineStr">
        <is>
          <t>JÄMTLANDS LÄN</t>
        </is>
      </c>
      <c r="E462" t="inlineStr">
        <is>
          <t>ÖSTERSUND</t>
        </is>
      </c>
      <c r="G462" t="n">
        <v>4.6</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44655.69303240741</v>
      </c>
      <c r="C463" s="1" t="n">
        <v>45887</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48106-2024</t>
        </is>
      </c>
      <c r="B464" s="1" t="n">
        <v>45589.62625</v>
      </c>
      <c r="C464" s="1" t="n">
        <v>45887</v>
      </c>
      <c r="D464" t="inlineStr">
        <is>
          <t>JÄMTLANDS LÄN</t>
        </is>
      </c>
      <c r="E464" t="inlineStr">
        <is>
          <t>ÖSTERSUND</t>
        </is>
      </c>
      <c r="G464" t="n">
        <v>3.5</v>
      </c>
      <c r="H464" t="n">
        <v>0</v>
      </c>
      <c r="I464" t="n">
        <v>0</v>
      </c>
      <c r="J464" t="n">
        <v>0</v>
      </c>
      <c r="K464" t="n">
        <v>0</v>
      </c>
      <c r="L464" t="n">
        <v>0</v>
      </c>
      <c r="M464" t="n">
        <v>0</v>
      </c>
      <c r="N464" t="n">
        <v>0</v>
      </c>
      <c r="O464" t="n">
        <v>0</v>
      </c>
      <c r="P464" t="n">
        <v>0</v>
      </c>
      <c r="Q464" t="n">
        <v>0</v>
      </c>
      <c r="R464" s="2" t="inlineStr"/>
    </row>
    <row r="465" ht="15" customHeight="1">
      <c r="A465" t="inlineStr">
        <is>
          <t>A 4872-2023</t>
        </is>
      </c>
      <c r="B465" s="1" t="n">
        <v>44957</v>
      </c>
      <c r="C465" s="1" t="n">
        <v>45887</v>
      </c>
      <c r="D465" t="inlineStr">
        <is>
          <t>JÄMTLANDS LÄN</t>
        </is>
      </c>
      <c r="E465" t="inlineStr">
        <is>
          <t>ÖSTERSUND</t>
        </is>
      </c>
      <c r="G465" t="n">
        <v>10.7</v>
      </c>
      <c r="H465" t="n">
        <v>0</v>
      </c>
      <c r="I465" t="n">
        <v>0</v>
      </c>
      <c r="J465" t="n">
        <v>0</v>
      </c>
      <c r="K465" t="n">
        <v>0</v>
      </c>
      <c r="L465" t="n">
        <v>0</v>
      </c>
      <c r="M465" t="n">
        <v>0</v>
      </c>
      <c r="N465" t="n">
        <v>0</v>
      </c>
      <c r="O465" t="n">
        <v>0</v>
      </c>
      <c r="P465" t="n">
        <v>0</v>
      </c>
      <c r="Q465" t="n">
        <v>0</v>
      </c>
      <c r="R465" s="2" t="inlineStr"/>
    </row>
    <row r="466" ht="15" customHeight="1">
      <c r="A466" t="inlineStr">
        <is>
          <t>A 20960-2022</t>
        </is>
      </c>
      <c r="B466" s="1" t="n">
        <v>44701.94034722223</v>
      </c>
      <c r="C466" s="1" t="n">
        <v>45887</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60780-2023</t>
        </is>
      </c>
      <c r="B467" s="1" t="n">
        <v>45260</v>
      </c>
      <c r="C467" s="1" t="n">
        <v>45887</v>
      </c>
      <c r="D467" t="inlineStr">
        <is>
          <t>JÄMTLANDS LÄN</t>
        </is>
      </c>
      <c r="E467" t="inlineStr">
        <is>
          <t>ÖSTERSUND</t>
        </is>
      </c>
      <c r="G467" t="n">
        <v>3.7</v>
      </c>
      <c r="H467" t="n">
        <v>0</v>
      </c>
      <c r="I467" t="n">
        <v>0</v>
      </c>
      <c r="J467" t="n">
        <v>0</v>
      </c>
      <c r="K467" t="n">
        <v>0</v>
      </c>
      <c r="L467" t="n">
        <v>0</v>
      </c>
      <c r="M467" t="n">
        <v>0</v>
      </c>
      <c r="N467" t="n">
        <v>0</v>
      </c>
      <c r="O467" t="n">
        <v>0</v>
      </c>
      <c r="P467" t="n">
        <v>0</v>
      </c>
      <c r="Q467" t="n">
        <v>0</v>
      </c>
      <c r="R467" s="2" t="inlineStr"/>
    </row>
    <row r="468" ht="15" customHeight="1">
      <c r="A468" t="inlineStr">
        <is>
          <t>A 13921-2023</t>
        </is>
      </c>
      <c r="B468" s="1" t="n">
        <v>45008</v>
      </c>
      <c r="C468" s="1" t="n">
        <v>45887</v>
      </c>
      <c r="D468" t="inlineStr">
        <is>
          <t>JÄMTLANDS LÄN</t>
        </is>
      </c>
      <c r="E468" t="inlineStr">
        <is>
          <t>ÖSTERSUND</t>
        </is>
      </c>
      <c r="G468" t="n">
        <v>0.3</v>
      </c>
      <c r="H468" t="n">
        <v>0</v>
      </c>
      <c r="I468" t="n">
        <v>0</v>
      </c>
      <c r="J468" t="n">
        <v>0</v>
      </c>
      <c r="K468" t="n">
        <v>0</v>
      </c>
      <c r="L468" t="n">
        <v>0</v>
      </c>
      <c r="M468" t="n">
        <v>0</v>
      </c>
      <c r="N468" t="n">
        <v>0</v>
      </c>
      <c r="O468" t="n">
        <v>0</v>
      </c>
      <c r="P468" t="n">
        <v>0</v>
      </c>
      <c r="Q468" t="n">
        <v>0</v>
      </c>
      <c r="R468" s="2" t="inlineStr"/>
    </row>
    <row r="469" ht="15" customHeight="1">
      <c r="A469" t="inlineStr">
        <is>
          <t>A 57589-2024</t>
        </is>
      </c>
      <c r="B469" s="1" t="n">
        <v>45630.49710648148</v>
      </c>
      <c r="C469" s="1" t="n">
        <v>45887</v>
      </c>
      <c r="D469" t="inlineStr">
        <is>
          <t>JÄMTLANDS LÄN</t>
        </is>
      </c>
      <c r="E469" t="inlineStr">
        <is>
          <t>ÖSTERSUND</t>
        </is>
      </c>
      <c r="G469" t="n">
        <v>1.8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44634.52982638889</v>
      </c>
      <c r="C470" s="1" t="n">
        <v>45887</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11877-2024</t>
        </is>
      </c>
      <c r="B471" s="1" t="n">
        <v>45376</v>
      </c>
      <c r="C471" s="1" t="n">
        <v>45887</v>
      </c>
      <c r="D471" t="inlineStr">
        <is>
          <t>JÄMTLANDS LÄN</t>
        </is>
      </c>
      <c r="E471" t="inlineStr">
        <is>
          <t>ÖSTERSUND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61653-2022</t>
        </is>
      </c>
      <c r="B472" s="1" t="n">
        <v>44916</v>
      </c>
      <c r="C472" s="1" t="n">
        <v>45887</v>
      </c>
      <c r="D472" t="inlineStr">
        <is>
          <t>JÄMTLANDS LÄN</t>
        </is>
      </c>
      <c r="E472" t="inlineStr">
        <is>
          <t>ÖSTERSUND</t>
        </is>
      </c>
      <c r="G472" t="n">
        <v>7.6</v>
      </c>
      <c r="H472" t="n">
        <v>0</v>
      </c>
      <c r="I472" t="n">
        <v>0</v>
      </c>
      <c r="J472" t="n">
        <v>0</v>
      </c>
      <c r="K472" t="n">
        <v>0</v>
      </c>
      <c r="L472" t="n">
        <v>0</v>
      </c>
      <c r="M472" t="n">
        <v>0</v>
      </c>
      <c r="N472" t="n">
        <v>0</v>
      </c>
      <c r="O472" t="n">
        <v>0</v>
      </c>
      <c r="P472" t="n">
        <v>0</v>
      </c>
      <c r="Q472" t="n">
        <v>0</v>
      </c>
      <c r="R472" s="2" t="inlineStr"/>
    </row>
    <row r="473" ht="15" customHeight="1">
      <c r="A473" t="inlineStr">
        <is>
          <t>A 38926-2024</t>
        </is>
      </c>
      <c r="B473" s="1" t="n">
        <v>45547.90777777778</v>
      </c>
      <c r="C473" s="1" t="n">
        <v>45887</v>
      </c>
      <c r="D473" t="inlineStr">
        <is>
          <t>JÄMTLANDS LÄN</t>
        </is>
      </c>
      <c r="E473" t="inlineStr">
        <is>
          <t>ÖSTERSUND</t>
        </is>
      </c>
      <c r="G473" t="n">
        <v>0.4</v>
      </c>
      <c r="H473" t="n">
        <v>0</v>
      </c>
      <c r="I473" t="n">
        <v>0</v>
      </c>
      <c r="J473" t="n">
        <v>0</v>
      </c>
      <c r="K473" t="n">
        <v>0</v>
      </c>
      <c r="L473" t="n">
        <v>0</v>
      </c>
      <c r="M473" t="n">
        <v>0</v>
      </c>
      <c r="N473" t="n">
        <v>0</v>
      </c>
      <c r="O473" t="n">
        <v>0</v>
      </c>
      <c r="P473" t="n">
        <v>0</v>
      </c>
      <c r="Q473" t="n">
        <v>0</v>
      </c>
      <c r="R473" s="2" t="inlineStr"/>
    </row>
    <row r="474" ht="15" customHeight="1">
      <c r="A474" t="inlineStr">
        <is>
          <t>A 20588-2023</t>
        </is>
      </c>
      <c r="B474" s="1" t="n">
        <v>45057</v>
      </c>
      <c r="C474" s="1" t="n">
        <v>45887</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45887</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12285-2022</t>
        </is>
      </c>
      <c r="B476" s="1" t="n">
        <v>44637</v>
      </c>
      <c r="C476" s="1" t="n">
        <v>45887</v>
      </c>
      <c r="D476" t="inlineStr">
        <is>
          <t>JÄMTLANDS LÄN</t>
        </is>
      </c>
      <c r="E476" t="inlineStr">
        <is>
          <t>ÖSTERSUND</t>
        </is>
      </c>
      <c r="G476" t="n">
        <v>1.4</v>
      </c>
      <c r="H476" t="n">
        <v>0</v>
      </c>
      <c r="I476" t="n">
        <v>0</v>
      </c>
      <c r="J476" t="n">
        <v>0</v>
      </c>
      <c r="K476" t="n">
        <v>0</v>
      </c>
      <c r="L476" t="n">
        <v>0</v>
      </c>
      <c r="M476" t="n">
        <v>0</v>
      </c>
      <c r="N476" t="n">
        <v>0</v>
      </c>
      <c r="O476" t="n">
        <v>0</v>
      </c>
      <c r="P476" t="n">
        <v>0</v>
      </c>
      <c r="Q476" t="n">
        <v>0</v>
      </c>
      <c r="R476" s="2" t="inlineStr"/>
    </row>
    <row r="477" ht="15" customHeight="1">
      <c r="A477" t="inlineStr">
        <is>
          <t>A 14542-2025</t>
        </is>
      </c>
      <c r="B477" s="1" t="n">
        <v>45741.68631944444</v>
      </c>
      <c r="C477" s="1" t="n">
        <v>45887</v>
      </c>
      <c r="D477" t="inlineStr">
        <is>
          <t>JÄMTLANDS LÄN</t>
        </is>
      </c>
      <c r="E477" t="inlineStr">
        <is>
          <t>ÖSTERSUND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15686-2025</t>
        </is>
      </c>
      <c r="B478" s="1" t="n">
        <v>45748.46021990741</v>
      </c>
      <c r="C478" s="1" t="n">
        <v>45887</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56067-2022</t>
        </is>
      </c>
      <c r="B479" s="1" t="n">
        <v>44889.59378472222</v>
      </c>
      <c r="C479" s="1" t="n">
        <v>45887</v>
      </c>
      <c r="D479" t="inlineStr">
        <is>
          <t>JÄMTLANDS LÄN</t>
        </is>
      </c>
      <c r="E479" t="inlineStr">
        <is>
          <t>ÖSTERSUND</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4936-2025</t>
        </is>
      </c>
      <c r="B480" s="1" t="n">
        <v>45688.69356481481</v>
      </c>
      <c r="C480" s="1" t="n">
        <v>45887</v>
      </c>
      <c r="D480" t="inlineStr">
        <is>
          <t>JÄMTLANDS LÄN</t>
        </is>
      </c>
      <c r="E480" t="inlineStr">
        <is>
          <t>ÖSTERSUND</t>
        </is>
      </c>
      <c r="G480" t="n">
        <v>8.1</v>
      </c>
      <c r="H480" t="n">
        <v>0</v>
      </c>
      <c r="I480" t="n">
        <v>0</v>
      </c>
      <c r="J480" t="n">
        <v>0</v>
      </c>
      <c r="K480" t="n">
        <v>0</v>
      </c>
      <c r="L480" t="n">
        <v>0</v>
      </c>
      <c r="M480" t="n">
        <v>0</v>
      </c>
      <c r="N480" t="n">
        <v>0</v>
      </c>
      <c r="O480" t="n">
        <v>0</v>
      </c>
      <c r="P480" t="n">
        <v>0</v>
      </c>
      <c r="Q480" t="n">
        <v>0</v>
      </c>
      <c r="R480" s="2" t="inlineStr"/>
    </row>
    <row r="481" ht="15" customHeight="1">
      <c r="A481" t="inlineStr">
        <is>
          <t>A 53802-2022</t>
        </is>
      </c>
      <c r="B481" s="1" t="n">
        <v>44875</v>
      </c>
      <c r="C481" s="1" t="n">
        <v>45887</v>
      </c>
      <c r="D481" t="inlineStr">
        <is>
          <t>JÄMTLANDS LÄN</t>
        </is>
      </c>
      <c r="E481" t="inlineStr">
        <is>
          <t>ÖSTERSUND</t>
        </is>
      </c>
      <c r="G481" t="n">
        <v>0.2</v>
      </c>
      <c r="H481" t="n">
        <v>0</v>
      </c>
      <c r="I481" t="n">
        <v>0</v>
      </c>
      <c r="J481" t="n">
        <v>0</v>
      </c>
      <c r="K481" t="n">
        <v>0</v>
      </c>
      <c r="L481" t="n">
        <v>0</v>
      </c>
      <c r="M481" t="n">
        <v>0</v>
      </c>
      <c r="N481" t="n">
        <v>0</v>
      </c>
      <c r="O481" t="n">
        <v>0</v>
      </c>
      <c r="P481" t="n">
        <v>0</v>
      </c>
      <c r="Q481" t="n">
        <v>0</v>
      </c>
      <c r="R481" s="2" t="inlineStr"/>
    </row>
    <row r="482" ht="15" customHeight="1">
      <c r="A482" t="inlineStr">
        <is>
          <t>A 8423-2023</t>
        </is>
      </c>
      <c r="B482" s="1" t="n">
        <v>44977</v>
      </c>
      <c r="C482" s="1" t="n">
        <v>45887</v>
      </c>
      <c r="D482" t="inlineStr">
        <is>
          <t>JÄMTLANDS LÄN</t>
        </is>
      </c>
      <c r="E482" t="inlineStr">
        <is>
          <t>ÖSTERSUND</t>
        </is>
      </c>
      <c r="F482" t="inlineStr">
        <is>
          <t>Övriga Aktiebolag</t>
        </is>
      </c>
      <c r="G482" t="n">
        <v>53.1</v>
      </c>
      <c r="H482" t="n">
        <v>0</v>
      </c>
      <c r="I482" t="n">
        <v>0</v>
      </c>
      <c r="J482" t="n">
        <v>0</v>
      </c>
      <c r="K482" t="n">
        <v>0</v>
      </c>
      <c r="L482" t="n">
        <v>0</v>
      </c>
      <c r="M482" t="n">
        <v>0</v>
      </c>
      <c r="N482" t="n">
        <v>0</v>
      </c>
      <c r="O482" t="n">
        <v>0</v>
      </c>
      <c r="P482" t="n">
        <v>0</v>
      </c>
      <c r="Q482" t="n">
        <v>0</v>
      </c>
      <c r="R482" s="2" t="inlineStr"/>
    </row>
    <row r="483" ht="15" customHeight="1">
      <c r="A483" t="inlineStr">
        <is>
          <t>A 3749-2023</t>
        </is>
      </c>
      <c r="B483" s="1" t="n">
        <v>44949</v>
      </c>
      <c r="C483" s="1" t="n">
        <v>45887</v>
      </c>
      <c r="D483" t="inlineStr">
        <is>
          <t>JÄMTLANDS LÄN</t>
        </is>
      </c>
      <c r="E483" t="inlineStr">
        <is>
          <t>ÖSTERSUND</t>
        </is>
      </c>
      <c r="G483" t="n">
        <v>0.2</v>
      </c>
      <c r="H483" t="n">
        <v>0</v>
      </c>
      <c r="I483" t="n">
        <v>0</v>
      </c>
      <c r="J483" t="n">
        <v>0</v>
      </c>
      <c r="K483" t="n">
        <v>0</v>
      </c>
      <c r="L483" t="n">
        <v>0</v>
      </c>
      <c r="M483" t="n">
        <v>0</v>
      </c>
      <c r="N483" t="n">
        <v>0</v>
      </c>
      <c r="O483" t="n">
        <v>0</v>
      </c>
      <c r="P483" t="n">
        <v>0</v>
      </c>
      <c r="Q483" t="n">
        <v>0</v>
      </c>
      <c r="R483" s="2" t="inlineStr"/>
    </row>
    <row r="484" ht="15" customHeight="1">
      <c r="A484" t="inlineStr">
        <is>
          <t>A 12821-2023</t>
        </is>
      </c>
      <c r="B484" s="1" t="n">
        <v>45000</v>
      </c>
      <c r="C484" s="1" t="n">
        <v>45887</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50088-2024</t>
        </is>
      </c>
      <c r="B485" s="1" t="n">
        <v>45600.38585648148</v>
      </c>
      <c r="C485" s="1" t="n">
        <v>45887</v>
      </c>
      <c r="D485" t="inlineStr">
        <is>
          <t>JÄMTLANDS LÄN</t>
        </is>
      </c>
      <c r="E485" t="inlineStr">
        <is>
          <t>ÖSTERSUND</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46139-2021</t>
        </is>
      </c>
      <c r="B486" s="1" t="n">
        <v>44441</v>
      </c>
      <c r="C486" s="1" t="n">
        <v>45887</v>
      </c>
      <c r="D486" t="inlineStr">
        <is>
          <t>JÄMTLANDS LÄN</t>
        </is>
      </c>
      <c r="E486" t="inlineStr">
        <is>
          <t>ÖSTERSUND</t>
        </is>
      </c>
      <c r="G486" t="n">
        <v>12.8</v>
      </c>
      <c r="H486" t="n">
        <v>0</v>
      </c>
      <c r="I486" t="n">
        <v>0</v>
      </c>
      <c r="J486" t="n">
        <v>0</v>
      </c>
      <c r="K486" t="n">
        <v>0</v>
      </c>
      <c r="L486" t="n">
        <v>0</v>
      </c>
      <c r="M486" t="n">
        <v>0</v>
      </c>
      <c r="N486" t="n">
        <v>0</v>
      </c>
      <c r="O486" t="n">
        <v>0</v>
      </c>
      <c r="P486" t="n">
        <v>0</v>
      </c>
      <c r="Q486" t="n">
        <v>0</v>
      </c>
      <c r="R486" s="2" t="inlineStr"/>
    </row>
    <row r="487" ht="15" customHeight="1">
      <c r="A487" t="inlineStr">
        <is>
          <t>A 24786-2024</t>
        </is>
      </c>
      <c r="B487" s="1" t="n">
        <v>45460.81277777778</v>
      </c>
      <c r="C487" s="1" t="n">
        <v>45887</v>
      </c>
      <c r="D487" t="inlineStr">
        <is>
          <t>JÄMTLANDS LÄN</t>
        </is>
      </c>
      <c r="E487" t="inlineStr">
        <is>
          <t>ÖSTERSUND</t>
        </is>
      </c>
      <c r="G487" t="n">
        <v>0.1</v>
      </c>
      <c r="H487" t="n">
        <v>0</v>
      </c>
      <c r="I487" t="n">
        <v>0</v>
      </c>
      <c r="J487" t="n">
        <v>0</v>
      </c>
      <c r="K487" t="n">
        <v>0</v>
      </c>
      <c r="L487" t="n">
        <v>0</v>
      </c>
      <c r="M487" t="n">
        <v>0</v>
      </c>
      <c r="N487" t="n">
        <v>0</v>
      </c>
      <c r="O487" t="n">
        <v>0</v>
      </c>
      <c r="P487" t="n">
        <v>0</v>
      </c>
      <c r="Q487" t="n">
        <v>0</v>
      </c>
      <c r="R487" s="2" t="inlineStr"/>
    </row>
    <row r="488" ht="15" customHeight="1">
      <c r="A488" t="inlineStr">
        <is>
          <t>A 55678-2023</t>
        </is>
      </c>
      <c r="B488" s="1" t="n">
        <v>45239.33032407407</v>
      </c>
      <c r="C488" s="1" t="n">
        <v>45887</v>
      </c>
      <c r="D488" t="inlineStr">
        <is>
          <t>JÄMTLANDS LÄN</t>
        </is>
      </c>
      <c r="E488" t="inlineStr">
        <is>
          <t>ÖSTERSUND</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13024-2022</t>
        </is>
      </c>
      <c r="B489" s="1" t="n">
        <v>44643</v>
      </c>
      <c r="C489" s="1" t="n">
        <v>45887</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44721.47241898148</v>
      </c>
      <c r="C490" s="1" t="n">
        <v>45887</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53380-2023</t>
        </is>
      </c>
      <c r="B491" s="1" t="n">
        <v>45223</v>
      </c>
      <c r="C491" s="1" t="n">
        <v>45887</v>
      </c>
      <c r="D491" t="inlineStr">
        <is>
          <t>JÄMTLANDS LÄN</t>
        </is>
      </c>
      <c r="E491" t="inlineStr">
        <is>
          <t>ÖSTERSUND</t>
        </is>
      </c>
      <c r="G491" t="n">
        <v>1.7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45887</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24312-2021</t>
        </is>
      </c>
      <c r="B493" s="1" t="n">
        <v>44336</v>
      </c>
      <c r="C493" s="1" t="n">
        <v>45887</v>
      </c>
      <c r="D493" t="inlineStr">
        <is>
          <t>JÄMTLANDS LÄN</t>
        </is>
      </c>
      <c r="E493" t="inlineStr">
        <is>
          <t>ÖSTERSUND</t>
        </is>
      </c>
      <c r="G493" t="n">
        <v>10.6</v>
      </c>
      <c r="H493" t="n">
        <v>0</v>
      </c>
      <c r="I493" t="n">
        <v>0</v>
      </c>
      <c r="J493" t="n">
        <v>0</v>
      </c>
      <c r="K493" t="n">
        <v>0</v>
      </c>
      <c r="L493" t="n">
        <v>0</v>
      </c>
      <c r="M493" t="n">
        <v>0</v>
      </c>
      <c r="N493" t="n">
        <v>0</v>
      </c>
      <c r="O493" t="n">
        <v>0</v>
      </c>
      <c r="P493" t="n">
        <v>0</v>
      </c>
      <c r="Q493" t="n">
        <v>0</v>
      </c>
      <c r="R493" s="2" t="inlineStr"/>
    </row>
    <row r="494" ht="15" customHeight="1">
      <c r="A494" t="inlineStr">
        <is>
          <t>A 64645-2021</t>
        </is>
      </c>
      <c r="B494" s="1" t="n">
        <v>44511.94629629629</v>
      </c>
      <c r="C494" s="1" t="n">
        <v>45887</v>
      </c>
      <c r="D494" t="inlineStr">
        <is>
          <t>JÄMTLANDS LÄN</t>
        </is>
      </c>
      <c r="E494" t="inlineStr">
        <is>
          <t>ÖSTERSUND</t>
        </is>
      </c>
      <c r="G494" t="n">
        <v>3.2</v>
      </c>
      <c r="H494" t="n">
        <v>0</v>
      </c>
      <c r="I494" t="n">
        <v>0</v>
      </c>
      <c r="J494" t="n">
        <v>0</v>
      </c>
      <c r="K494" t="n">
        <v>0</v>
      </c>
      <c r="L494" t="n">
        <v>0</v>
      </c>
      <c r="M494" t="n">
        <v>0</v>
      </c>
      <c r="N494" t="n">
        <v>0</v>
      </c>
      <c r="O494" t="n">
        <v>0</v>
      </c>
      <c r="P494" t="n">
        <v>0</v>
      </c>
      <c r="Q494" t="n">
        <v>0</v>
      </c>
      <c r="R494" s="2" t="inlineStr"/>
    </row>
    <row r="495" ht="15" customHeight="1">
      <c r="A495" t="inlineStr">
        <is>
          <t>A 7030-2025</t>
        </is>
      </c>
      <c r="B495" s="1" t="n">
        <v>45701.633125</v>
      </c>
      <c r="C495" s="1" t="n">
        <v>45887</v>
      </c>
      <c r="D495" t="inlineStr">
        <is>
          <t>JÄMTLANDS LÄN</t>
        </is>
      </c>
      <c r="E495" t="inlineStr">
        <is>
          <t>ÖSTERSUND</t>
        </is>
      </c>
      <c r="G495" t="n">
        <v>4.2</v>
      </c>
      <c r="H495" t="n">
        <v>0</v>
      </c>
      <c r="I495" t="n">
        <v>0</v>
      </c>
      <c r="J495" t="n">
        <v>0</v>
      </c>
      <c r="K495" t="n">
        <v>0</v>
      </c>
      <c r="L495" t="n">
        <v>0</v>
      </c>
      <c r="M495" t="n">
        <v>0</v>
      </c>
      <c r="N495" t="n">
        <v>0</v>
      </c>
      <c r="O495" t="n">
        <v>0</v>
      </c>
      <c r="P495" t="n">
        <v>0</v>
      </c>
      <c r="Q495" t="n">
        <v>0</v>
      </c>
      <c r="R495" s="2" t="inlineStr"/>
    </row>
    <row r="496" ht="15" customHeight="1">
      <c r="A496" t="inlineStr">
        <is>
          <t>A 15659-2021</t>
        </is>
      </c>
      <c r="B496" s="1" t="n">
        <v>44298</v>
      </c>
      <c r="C496" s="1" t="n">
        <v>45887</v>
      </c>
      <c r="D496" t="inlineStr">
        <is>
          <t>JÄMTLANDS LÄN</t>
        </is>
      </c>
      <c r="E496" t="inlineStr">
        <is>
          <t>ÖSTERSUND</t>
        </is>
      </c>
      <c r="G496" t="n">
        <v>13.3</v>
      </c>
      <c r="H496" t="n">
        <v>0</v>
      </c>
      <c r="I496" t="n">
        <v>0</v>
      </c>
      <c r="J496" t="n">
        <v>0</v>
      </c>
      <c r="K496" t="n">
        <v>0</v>
      </c>
      <c r="L496" t="n">
        <v>0</v>
      </c>
      <c r="M496" t="n">
        <v>0</v>
      </c>
      <c r="N496" t="n">
        <v>0</v>
      </c>
      <c r="O496" t="n">
        <v>0</v>
      </c>
      <c r="P496" t="n">
        <v>0</v>
      </c>
      <c r="Q496" t="n">
        <v>0</v>
      </c>
      <c r="R496" s="2" t="inlineStr"/>
    </row>
    <row r="497" ht="15" customHeight="1">
      <c r="A497" t="inlineStr">
        <is>
          <t>A 54913-2024</t>
        </is>
      </c>
      <c r="B497" s="1" t="n">
        <v>45618.6917824074</v>
      </c>
      <c r="C497" s="1" t="n">
        <v>45887</v>
      </c>
      <c r="D497" t="inlineStr">
        <is>
          <t>JÄMTLANDS LÄN</t>
        </is>
      </c>
      <c r="E497" t="inlineStr">
        <is>
          <t>ÖSTERSUND</t>
        </is>
      </c>
      <c r="G497" t="n">
        <v>4.7</v>
      </c>
      <c r="H497" t="n">
        <v>0</v>
      </c>
      <c r="I497" t="n">
        <v>0</v>
      </c>
      <c r="J497" t="n">
        <v>0</v>
      </c>
      <c r="K497" t="n">
        <v>0</v>
      </c>
      <c r="L497" t="n">
        <v>0</v>
      </c>
      <c r="M497" t="n">
        <v>0</v>
      </c>
      <c r="N497" t="n">
        <v>0</v>
      </c>
      <c r="O497" t="n">
        <v>0</v>
      </c>
      <c r="P497" t="n">
        <v>0</v>
      </c>
      <c r="Q497" t="n">
        <v>0</v>
      </c>
      <c r="R497" s="2" t="inlineStr"/>
    </row>
    <row r="498" ht="15" customHeight="1">
      <c r="A498" t="inlineStr">
        <is>
          <t>A 50218-2024</t>
        </is>
      </c>
      <c r="B498" s="1" t="n">
        <v>45600.53160879629</v>
      </c>
      <c r="C498" s="1" t="n">
        <v>45887</v>
      </c>
      <c r="D498" t="inlineStr">
        <is>
          <t>JÄMTLANDS LÄN</t>
        </is>
      </c>
      <c r="E498" t="inlineStr">
        <is>
          <t>ÖSTERSUND</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30602-2023</t>
        </is>
      </c>
      <c r="B499" s="1" t="n">
        <v>45112</v>
      </c>
      <c r="C499" s="1" t="n">
        <v>45887</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5341-2025</t>
        </is>
      </c>
      <c r="B500" s="1" t="n">
        <v>45692.55256944444</v>
      </c>
      <c r="C500" s="1" t="n">
        <v>45887</v>
      </c>
      <c r="D500" t="inlineStr">
        <is>
          <t>JÄMTLANDS LÄN</t>
        </is>
      </c>
      <c r="E500" t="inlineStr">
        <is>
          <t>ÖSTERSUND</t>
        </is>
      </c>
      <c r="G500" t="n">
        <v>2.6</v>
      </c>
      <c r="H500" t="n">
        <v>0</v>
      </c>
      <c r="I500" t="n">
        <v>0</v>
      </c>
      <c r="J500" t="n">
        <v>0</v>
      </c>
      <c r="K500" t="n">
        <v>0</v>
      </c>
      <c r="L500" t="n">
        <v>0</v>
      </c>
      <c r="M500" t="n">
        <v>0</v>
      </c>
      <c r="N500" t="n">
        <v>0</v>
      </c>
      <c r="O500" t="n">
        <v>0</v>
      </c>
      <c r="P500" t="n">
        <v>0</v>
      </c>
      <c r="Q500" t="n">
        <v>0</v>
      </c>
      <c r="R500" s="2" t="inlineStr"/>
    </row>
    <row r="501" ht="15" customHeight="1">
      <c r="A501" t="inlineStr">
        <is>
          <t>A 1893-2023</t>
        </is>
      </c>
      <c r="B501" s="1" t="n">
        <v>44937</v>
      </c>
      <c r="C501" s="1" t="n">
        <v>45887</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17574-2022</t>
        </is>
      </c>
      <c r="B502" s="1" t="n">
        <v>44679.92574074074</v>
      </c>
      <c r="C502" s="1" t="n">
        <v>45887</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10305-2023</t>
        </is>
      </c>
      <c r="B503" s="1" t="n">
        <v>44986</v>
      </c>
      <c r="C503" s="1" t="n">
        <v>45887</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18627-2024</t>
        </is>
      </c>
      <c r="B504" s="1" t="n">
        <v>45425.96443287037</v>
      </c>
      <c r="C504" s="1" t="n">
        <v>45887</v>
      </c>
      <c r="D504" t="inlineStr">
        <is>
          <t>JÄMTLANDS LÄN</t>
        </is>
      </c>
      <c r="E504" t="inlineStr">
        <is>
          <t>ÖSTERSUND</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1255-2025</t>
        </is>
      </c>
      <c r="B505" s="1" t="n">
        <v>45667.46922453704</v>
      </c>
      <c r="C505" s="1" t="n">
        <v>45887</v>
      </c>
      <c r="D505" t="inlineStr">
        <is>
          <t>JÄMTLANDS LÄN</t>
        </is>
      </c>
      <c r="E505" t="inlineStr">
        <is>
          <t>ÖSTERSUND</t>
        </is>
      </c>
      <c r="F505" t="inlineStr">
        <is>
          <t>SCA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5549-2025</t>
        </is>
      </c>
      <c r="B506" s="1" t="n">
        <v>45693</v>
      </c>
      <c r="C506" s="1" t="n">
        <v>45887</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7573-2022</t>
        </is>
      </c>
      <c r="B507" s="1" t="n">
        <v>44607</v>
      </c>
      <c r="C507" s="1" t="n">
        <v>45887</v>
      </c>
      <c r="D507" t="inlineStr">
        <is>
          <t>JÄMTLANDS LÄN</t>
        </is>
      </c>
      <c r="E507" t="inlineStr">
        <is>
          <t>ÖSTERSUND</t>
        </is>
      </c>
      <c r="G507" t="n">
        <v>0.5</v>
      </c>
      <c r="H507" t="n">
        <v>0</v>
      </c>
      <c r="I507" t="n">
        <v>0</v>
      </c>
      <c r="J507" t="n">
        <v>0</v>
      </c>
      <c r="K507" t="n">
        <v>0</v>
      </c>
      <c r="L507" t="n">
        <v>0</v>
      </c>
      <c r="M507" t="n">
        <v>0</v>
      </c>
      <c r="N507" t="n">
        <v>0</v>
      </c>
      <c r="O507" t="n">
        <v>0</v>
      </c>
      <c r="P507" t="n">
        <v>0</v>
      </c>
      <c r="Q507" t="n">
        <v>0</v>
      </c>
      <c r="R507" s="2" t="inlineStr"/>
    </row>
    <row r="508" ht="15" customHeight="1">
      <c r="A508" t="inlineStr">
        <is>
          <t>A 27343-2022</t>
        </is>
      </c>
      <c r="B508" s="1" t="n">
        <v>44742</v>
      </c>
      <c r="C508" s="1" t="n">
        <v>45887</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43557-2024</t>
        </is>
      </c>
      <c r="B509" s="1" t="n">
        <v>45569.39229166666</v>
      </c>
      <c r="C509" s="1" t="n">
        <v>45887</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36406-2023</t>
        </is>
      </c>
      <c r="B510" s="1" t="n">
        <v>45149</v>
      </c>
      <c r="C510" s="1" t="n">
        <v>45887</v>
      </c>
      <c r="D510" t="inlineStr">
        <is>
          <t>JÄMTLANDS LÄN</t>
        </is>
      </c>
      <c r="E510" t="inlineStr">
        <is>
          <t>ÖSTERSUND</t>
        </is>
      </c>
      <c r="G510" t="n">
        <v>2.4</v>
      </c>
      <c r="H510" t="n">
        <v>0</v>
      </c>
      <c r="I510" t="n">
        <v>0</v>
      </c>
      <c r="J510" t="n">
        <v>0</v>
      </c>
      <c r="K510" t="n">
        <v>0</v>
      </c>
      <c r="L510" t="n">
        <v>0</v>
      </c>
      <c r="M510" t="n">
        <v>0</v>
      </c>
      <c r="N510" t="n">
        <v>0</v>
      </c>
      <c r="O510" t="n">
        <v>0</v>
      </c>
      <c r="P510" t="n">
        <v>0</v>
      </c>
      <c r="Q510" t="n">
        <v>0</v>
      </c>
      <c r="R510" s="2" t="inlineStr"/>
    </row>
    <row r="511" ht="15" customHeight="1">
      <c r="A511" t="inlineStr">
        <is>
          <t>A 33831-2021</t>
        </is>
      </c>
      <c r="B511" s="1" t="n">
        <v>44378</v>
      </c>
      <c r="C511" s="1" t="n">
        <v>45887</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59691-2024</t>
        </is>
      </c>
      <c r="B512" s="1" t="n">
        <v>45639.40684027778</v>
      </c>
      <c r="C512" s="1" t="n">
        <v>45887</v>
      </c>
      <c r="D512" t="inlineStr">
        <is>
          <t>JÄMTLANDS LÄN</t>
        </is>
      </c>
      <c r="E512" t="inlineStr">
        <is>
          <t>ÖSTERSUND</t>
        </is>
      </c>
      <c r="F512" t="inlineStr">
        <is>
          <t>SCA</t>
        </is>
      </c>
      <c r="G512" t="n">
        <v>15.9</v>
      </c>
      <c r="H512" t="n">
        <v>0</v>
      </c>
      <c r="I512" t="n">
        <v>0</v>
      </c>
      <c r="J512" t="n">
        <v>0</v>
      </c>
      <c r="K512" t="n">
        <v>0</v>
      </c>
      <c r="L512" t="n">
        <v>0</v>
      </c>
      <c r="M512" t="n">
        <v>0</v>
      </c>
      <c r="N512" t="n">
        <v>0</v>
      </c>
      <c r="O512" t="n">
        <v>0</v>
      </c>
      <c r="P512" t="n">
        <v>0</v>
      </c>
      <c r="Q512" t="n">
        <v>0</v>
      </c>
      <c r="R512" s="2" t="inlineStr"/>
    </row>
    <row r="513" ht="15" customHeight="1">
      <c r="A513" t="inlineStr">
        <is>
          <t>A 10756-2025</t>
        </is>
      </c>
      <c r="B513" s="1" t="n">
        <v>45722.44892361111</v>
      </c>
      <c r="C513" s="1" t="n">
        <v>45887</v>
      </c>
      <c r="D513" t="inlineStr">
        <is>
          <t>JÄMTLANDS LÄN</t>
        </is>
      </c>
      <c r="E513" t="inlineStr">
        <is>
          <t>ÖSTERSUND</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9971-2025</t>
        </is>
      </c>
      <c r="B514" s="1" t="n">
        <v>45719.38630787037</v>
      </c>
      <c r="C514" s="1" t="n">
        <v>45887</v>
      </c>
      <c r="D514" t="inlineStr">
        <is>
          <t>JÄMTLANDS LÄN</t>
        </is>
      </c>
      <c r="E514" t="inlineStr">
        <is>
          <t>ÖSTERSUND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46748-2023</t>
        </is>
      </c>
      <c r="B515" s="1" t="n">
        <v>45198</v>
      </c>
      <c r="C515" s="1" t="n">
        <v>45887</v>
      </c>
      <c r="D515" t="inlineStr">
        <is>
          <t>JÄMTLANDS LÄN</t>
        </is>
      </c>
      <c r="E515" t="inlineStr">
        <is>
          <t>ÖSTERSUND</t>
        </is>
      </c>
      <c r="F515" t="inlineStr">
        <is>
          <t>Sveaskog</t>
        </is>
      </c>
      <c r="G515" t="n">
        <v>2.7</v>
      </c>
      <c r="H515" t="n">
        <v>0</v>
      </c>
      <c r="I515" t="n">
        <v>0</v>
      </c>
      <c r="J515" t="n">
        <v>0</v>
      </c>
      <c r="K515" t="n">
        <v>0</v>
      </c>
      <c r="L515" t="n">
        <v>0</v>
      </c>
      <c r="M515" t="n">
        <v>0</v>
      </c>
      <c r="N515" t="n">
        <v>0</v>
      </c>
      <c r="O515" t="n">
        <v>0</v>
      </c>
      <c r="P515" t="n">
        <v>0</v>
      </c>
      <c r="Q515" t="n">
        <v>0</v>
      </c>
      <c r="R515" s="2" t="inlineStr"/>
    </row>
    <row r="516" ht="15" customHeight="1">
      <c r="A516" t="inlineStr">
        <is>
          <t>A 46763-2023</t>
        </is>
      </c>
      <c r="B516" s="1" t="n">
        <v>45198</v>
      </c>
      <c r="C516" s="1" t="n">
        <v>45887</v>
      </c>
      <c r="D516" t="inlineStr">
        <is>
          <t>JÄMTLANDS LÄN</t>
        </is>
      </c>
      <c r="E516" t="inlineStr">
        <is>
          <t>ÖSTERSUND</t>
        </is>
      </c>
      <c r="F516" t="inlineStr">
        <is>
          <t>Sveaskog</t>
        </is>
      </c>
      <c r="G516" t="n">
        <v>13.3</v>
      </c>
      <c r="H516" t="n">
        <v>0</v>
      </c>
      <c r="I516" t="n">
        <v>0</v>
      </c>
      <c r="J516" t="n">
        <v>0</v>
      </c>
      <c r="K516" t="n">
        <v>0</v>
      </c>
      <c r="L516" t="n">
        <v>0</v>
      </c>
      <c r="M516" t="n">
        <v>0</v>
      </c>
      <c r="N516" t="n">
        <v>0</v>
      </c>
      <c r="O516" t="n">
        <v>0</v>
      </c>
      <c r="P516" t="n">
        <v>0</v>
      </c>
      <c r="Q516" t="n">
        <v>0</v>
      </c>
      <c r="R516" s="2" t="inlineStr"/>
    </row>
    <row r="517" ht="15" customHeight="1">
      <c r="A517" t="inlineStr">
        <is>
          <t>A 57398-2023</t>
        </is>
      </c>
      <c r="B517" s="1" t="n">
        <v>45245</v>
      </c>
      <c r="C517" s="1" t="n">
        <v>45887</v>
      </c>
      <c r="D517" t="inlineStr">
        <is>
          <t>JÄMTLANDS LÄN</t>
        </is>
      </c>
      <c r="E517" t="inlineStr">
        <is>
          <t>ÖSTERSUND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12998-2025</t>
        </is>
      </c>
      <c r="B518" s="1" t="n">
        <v>45734.48991898148</v>
      </c>
      <c r="C518" s="1" t="n">
        <v>45887</v>
      </c>
      <c r="D518" t="inlineStr">
        <is>
          <t>JÄMTLANDS LÄN</t>
        </is>
      </c>
      <c r="E518" t="inlineStr">
        <is>
          <t>ÖSTERSUND</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5024-2025</t>
        </is>
      </c>
      <c r="B519" s="1" t="n">
        <v>45691.40832175926</v>
      </c>
      <c r="C519" s="1" t="n">
        <v>45887</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5025-2025</t>
        </is>
      </c>
      <c r="B520" s="1" t="n">
        <v>45691.40836805556</v>
      </c>
      <c r="C520" s="1" t="n">
        <v>45887</v>
      </c>
      <c r="D520" t="inlineStr">
        <is>
          <t>JÄMTLANDS LÄN</t>
        </is>
      </c>
      <c r="E520" t="inlineStr">
        <is>
          <t>ÖSTERSUND</t>
        </is>
      </c>
      <c r="G520" t="n">
        <v>0.1</v>
      </c>
      <c r="H520" t="n">
        <v>0</v>
      </c>
      <c r="I520" t="n">
        <v>0</v>
      </c>
      <c r="J520" t="n">
        <v>0</v>
      </c>
      <c r="K520" t="n">
        <v>0</v>
      </c>
      <c r="L520" t="n">
        <v>0</v>
      </c>
      <c r="M520" t="n">
        <v>0</v>
      </c>
      <c r="N520" t="n">
        <v>0</v>
      </c>
      <c r="O520" t="n">
        <v>0</v>
      </c>
      <c r="P520" t="n">
        <v>0</v>
      </c>
      <c r="Q520" t="n">
        <v>0</v>
      </c>
      <c r="R520" s="2" t="inlineStr"/>
    </row>
    <row r="521" ht="15" customHeight="1">
      <c r="A521" t="inlineStr">
        <is>
          <t>A 7327-2023</t>
        </is>
      </c>
      <c r="B521" s="1" t="n">
        <v>44970.97871527778</v>
      </c>
      <c r="C521" s="1" t="n">
        <v>45887</v>
      </c>
      <c r="D521" t="inlineStr">
        <is>
          <t>JÄMTLANDS LÄN</t>
        </is>
      </c>
      <c r="E521" t="inlineStr">
        <is>
          <t>ÖSTERSUND</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32225-2024</t>
        </is>
      </c>
      <c r="B522" s="1" t="n">
        <v>45511.92825231481</v>
      </c>
      <c r="C522" s="1" t="n">
        <v>45887</v>
      </c>
      <c r="D522" t="inlineStr">
        <is>
          <t>JÄMTLANDS LÄN</t>
        </is>
      </c>
      <c r="E522" t="inlineStr">
        <is>
          <t>ÖSTERSUND</t>
        </is>
      </c>
      <c r="G522" t="n">
        <v>2</v>
      </c>
      <c r="H522" t="n">
        <v>0</v>
      </c>
      <c r="I522" t="n">
        <v>0</v>
      </c>
      <c r="J522" t="n">
        <v>0</v>
      </c>
      <c r="K522" t="n">
        <v>0</v>
      </c>
      <c r="L522" t="n">
        <v>0</v>
      </c>
      <c r="M522" t="n">
        <v>0</v>
      </c>
      <c r="N522" t="n">
        <v>0</v>
      </c>
      <c r="O522" t="n">
        <v>0</v>
      </c>
      <c r="P522" t="n">
        <v>0</v>
      </c>
      <c r="Q522" t="n">
        <v>0</v>
      </c>
      <c r="R522" s="2" t="inlineStr"/>
    </row>
    <row r="523" ht="15" customHeight="1">
      <c r="A523" t="inlineStr">
        <is>
          <t>A 7022-2025</t>
        </is>
      </c>
      <c r="B523" s="1" t="n">
        <v>45701.61899305556</v>
      </c>
      <c r="C523" s="1" t="n">
        <v>45887</v>
      </c>
      <c r="D523" t="inlineStr">
        <is>
          <t>JÄMTLANDS LÄN</t>
        </is>
      </c>
      <c r="E523" t="inlineStr">
        <is>
          <t>ÖSTERSUND</t>
        </is>
      </c>
      <c r="G523" t="n">
        <v>4.8</v>
      </c>
      <c r="H523" t="n">
        <v>0</v>
      </c>
      <c r="I523" t="n">
        <v>0</v>
      </c>
      <c r="J523" t="n">
        <v>0</v>
      </c>
      <c r="K523" t="n">
        <v>0</v>
      </c>
      <c r="L523" t="n">
        <v>0</v>
      </c>
      <c r="M523" t="n">
        <v>0</v>
      </c>
      <c r="N523" t="n">
        <v>0</v>
      </c>
      <c r="O523" t="n">
        <v>0</v>
      </c>
      <c r="P523" t="n">
        <v>0</v>
      </c>
      <c r="Q523" t="n">
        <v>0</v>
      </c>
      <c r="R523" s="2" t="inlineStr"/>
    </row>
    <row r="524" ht="15" customHeight="1">
      <c r="A524" t="inlineStr">
        <is>
          <t>A 4311-2025</t>
        </is>
      </c>
      <c r="B524" s="1" t="n">
        <v>45685.69267361111</v>
      </c>
      <c r="C524" s="1" t="n">
        <v>45887</v>
      </c>
      <c r="D524" t="inlineStr">
        <is>
          <t>JÄMTLANDS LÄN</t>
        </is>
      </c>
      <c r="E524" t="inlineStr">
        <is>
          <t>ÖSTERSUND</t>
        </is>
      </c>
      <c r="G524" t="n">
        <v>0.7</v>
      </c>
      <c r="H524" t="n">
        <v>0</v>
      </c>
      <c r="I524" t="n">
        <v>0</v>
      </c>
      <c r="J524" t="n">
        <v>0</v>
      </c>
      <c r="K524" t="n">
        <v>0</v>
      </c>
      <c r="L524" t="n">
        <v>0</v>
      </c>
      <c r="M524" t="n">
        <v>0</v>
      </c>
      <c r="N524" t="n">
        <v>0</v>
      </c>
      <c r="O524" t="n">
        <v>0</v>
      </c>
      <c r="P524" t="n">
        <v>0</v>
      </c>
      <c r="Q524" t="n">
        <v>0</v>
      </c>
      <c r="R524" s="2" t="inlineStr"/>
    </row>
    <row r="525" ht="15" customHeight="1">
      <c r="A525" t="inlineStr">
        <is>
          <t>A 43252-2023</t>
        </is>
      </c>
      <c r="B525" s="1" t="n">
        <v>45183</v>
      </c>
      <c r="C525" s="1" t="n">
        <v>45887</v>
      </c>
      <c r="D525" t="inlineStr">
        <is>
          <t>JÄMTLANDS LÄN</t>
        </is>
      </c>
      <c r="E525" t="inlineStr">
        <is>
          <t>ÖSTERSUND</t>
        </is>
      </c>
      <c r="G525" t="n">
        <v>2.9</v>
      </c>
      <c r="H525" t="n">
        <v>0</v>
      </c>
      <c r="I525" t="n">
        <v>0</v>
      </c>
      <c r="J525" t="n">
        <v>0</v>
      </c>
      <c r="K525" t="n">
        <v>0</v>
      </c>
      <c r="L525" t="n">
        <v>0</v>
      </c>
      <c r="M525" t="n">
        <v>0</v>
      </c>
      <c r="N525" t="n">
        <v>0</v>
      </c>
      <c r="O525" t="n">
        <v>0</v>
      </c>
      <c r="P525" t="n">
        <v>0</v>
      </c>
      <c r="Q525" t="n">
        <v>0</v>
      </c>
      <c r="R525" s="2" t="inlineStr"/>
    </row>
    <row r="526" ht="15" customHeight="1">
      <c r="A526" t="inlineStr">
        <is>
          <t>A 8003-2025</t>
        </is>
      </c>
      <c r="B526" s="1" t="n">
        <v>45707</v>
      </c>
      <c r="C526" s="1" t="n">
        <v>45887</v>
      </c>
      <c r="D526" t="inlineStr">
        <is>
          <t>JÄMTLANDS LÄN</t>
        </is>
      </c>
      <c r="E526" t="inlineStr">
        <is>
          <t>ÖSTERSUND</t>
        </is>
      </c>
      <c r="F526" t="inlineStr">
        <is>
          <t>Övriga Aktiebolag</t>
        </is>
      </c>
      <c r="G526" t="n">
        <v>35.1</v>
      </c>
      <c r="H526" t="n">
        <v>0</v>
      </c>
      <c r="I526" t="n">
        <v>0</v>
      </c>
      <c r="J526" t="n">
        <v>0</v>
      </c>
      <c r="K526" t="n">
        <v>0</v>
      </c>
      <c r="L526" t="n">
        <v>0</v>
      </c>
      <c r="M526" t="n">
        <v>0</v>
      </c>
      <c r="N526" t="n">
        <v>0</v>
      </c>
      <c r="O526" t="n">
        <v>0</v>
      </c>
      <c r="P526" t="n">
        <v>0</v>
      </c>
      <c r="Q526" t="n">
        <v>0</v>
      </c>
      <c r="R526" s="2" t="inlineStr"/>
    </row>
    <row r="527" ht="15" customHeight="1">
      <c r="A527" t="inlineStr">
        <is>
          <t>A 60088-2024</t>
        </is>
      </c>
      <c r="B527" s="1" t="n">
        <v>45642.54847222222</v>
      </c>
      <c r="C527" s="1" t="n">
        <v>45887</v>
      </c>
      <c r="D527" t="inlineStr">
        <is>
          <t>JÄMTLANDS LÄN</t>
        </is>
      </c>
      <c r="E527" t="inlineStr">
        <is>
          <t>ÖSTERSUND</t>
        </is>
      </c>
      <c r="G527" t="n">
        <v>5</v>
      </c>
      <c r="H527" t="n">
        <v>0</v>
      </c>
      <c r="I527" t="n">
        <v>0</v>
      </c>
      <c r="J527" t="n">
        <v>0</v>
      </c>
      <c r="K527" t="n">
        <v>0</v>
      </c>
      <c r="L527" t="n">
        <v>0</v>
      </c>
      <c r="M527" t="n">
        <v>0</v>
      </c>
      <c r="N527" t="n">
        <v>0</v>
      </c>
      <c r="O527" t="n">
        <v>0</v>
      </c>
      <c r="P527" t="n">
        <v>0</v>
      </c>
      <c r="Q527" t="n">
        <v>0</v>
      </c>
      <c r="R527" s="2" t="inlineStr"/>
    </row>
    <row r="528" ht="15" customHeight="1">
      <c r="A528" t="inlineStr">
        <is>
          <t>A 38644-2021</t>
        </is>
      </c>
      <c r="B528" s="1" t="n">
        <v>44410.35376157407</v>
      </c>
      <c r="C528" s="1" t="n">
        <v>45887</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19581-2025</t>
        </is>
      </c>
      <c r="B529" s="1" t="n">
        <v>45770.56363425926</v>
      </c>
      <c r="C529" s="1" t="n">
        <v>45887</v>
      </c>
      <c r="D529" t="inlineStr">
        <is>
          <t>JÄMTLANDS LÄN</t>
        </is>
      </c>
      <c r="E529" t="inlineStr">
        <is>
          <t>ÖSTERSUND</t>
        </is>
      </c>
      <c r="G529" t="n">
        <v>17.2</v>
      </c>
      <c r="H529" t="n">
        <v>0</v>
      </c>
      <c r="I529" t="n">
        <v>0</v>
      </c>
      <c r="J529" t="n">
        <v>0</v>
      </c>
      <c r="K529" t="n">
        <v>0</v>
      </c>
      <c r="L529" t="n">
        <v>0</v>
      </c>
      <c r="M529" t="n">
        <v>0</v>
      </c>
      <c r="N529" t="n">
        <v>0</v>
      </c>
      <c r="O529" t="n">
        <v>0</v>
      </c>
      <c r="P529" t="n">
        <v>0</v>
      </c>
      <c r="Q529" t="n">
        <v>0</v>
      </c>
      <c r="R529" s="2" t="inlineStr"/>
    </row>
    <row r="530" ht="15" customHeight="1">
      <c r="A530" t="inlineStr">
        <is>
          <t>A 4135-2023</t>
        </is>
      </c>
      <c r="B530" s="1" t="n">
        <v>44952</v>
      </c>
      <c r="C530" s="1" t="n">
        <v>45887</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62111-2024</t>
        </is>
      </c>
      <c r="B531" s="1" t="n">
        <v>45656.53215277778</v>
      </c>
      <c r="C531" s="1" t="n">
        <v>45887</v>
      </c>
      <c r="D531" t="inlineStr">
        <is>
          <t>JÄMTLANDS LÄN</t>
        </is>
      </c>
      <c r="E531" t="inlineStr">
        <is>
          <t>ÖSTERSUND</t>
        </is>
      </c>
      <c r="G531" t="n">
        <v>3.4</v>
      </c>
      <c r="H531" t="n">
        <v>0</v>
      </c>
      <c r="I531" t="n">
        <v>0</v>
      </c>
      <c r="J531" t="n">
        <v>0</v>
      </c>
      <c r="K531" t="n">
        <v>0</v>
      </c>
      <c r="L531" t="n">
        <v>0</v>
      </c>
      <c r="M531" t="n">
        <v>0</v>
      </c>
      <c r="N531" t="n">
        <v>0</v>
      </c>
      <c r="O531" t="n">
        <v>0</v>
      </c>
      <c r="P531" t="n">
        <v>0</v>
      </c>
      <c r="Q531" t="n">
        <v>0</v>
      </c>
      <c r="R531" s="2" t="inlineStr"/>
    </row>
    <row r="532" ht="15" customHeight="1">
      <c r="A532" t="inlineStr">
        <is>
          <t>A 22082-2022</t>
        </is>
      </c>
      <c r="B532" s="1" t="n">
        <v>44711.9403587963</v>
      </c>
      <c r="C532" s="1" t="n">
        <v>45887</v>
      </c>
      <c r="D532" t="inlineStr">
        <is>
          <t>JÄMTLANDS LÄN</t>
        </is>
      </c>
      <c r="E532" t="inlineStr">
        <is>
          <t>ÖSTERSUND</t>
        </is>
      </c>
      <c r="G532" t="n">
        <v>2.6</v>
      </c>
      <c r="H532" t="n">
        <v>0</v>
      </c>
      <c r="I532" t="n">
        <v>0</v>
      </c>
      <c r="J532" t="n">
        <v>0</v>
      </c>
      <c r="K532" t="n">
        <v>0</v>
      </c>
      <c r="L532" t="n">
        <v>0</v>
      </c>
      <c r="M532" t="n">
        <v>0</v>
      </c>
      <c r="N532" t="n">
        <v>0</v>
      </c>
      <c r="O532" t="n">
        <v>0</v>
      </c>
      <c r="P532" t="n">
        <v>0</v>
      </c>
      <c r="Q532" t="n">
        <v>0</v>
      </c>
      <c r="R532" s="2" t="inlineStr"/>
    </row>
    <row r="533" ht="15" customHeight="1">
      <c r="A533" t="inlineStr">
        <is>
          <t>A 7549-2025</t>
        </is>
      </c>
      <c r="B533" s="1" t="n">
        <v>45705.57454861111</v>
      </c>
      <c r="C533" s="1" t="n">
        <v>45887</v>
      </c>
      <c r="D533" t="inlineStr">
        <is>
          <t>JÄMTLANDS LÄN</t>
        </is>
      </c>
      <c r="E533" t="inlineStr">
        <is>
          <t>ÖSTERSUND</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41802-2021</t>
        </is>
      </c>
      <c r="B534" s="1" t="n">
        <v>44425</v>
      </c>
      <c r="C534" s="1" t="n">
        <v>45887</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6067-2025</t>
        </is>
      </c>
      <c r="B535" s="1" t="n">
        <v>45696.34405092592</v>
      </c>
      <c r="C535" s="1" t="n">
        <v>45887</v>
      </c>
      <c r="D535" t="inlineStr">
        <is>
          <t>JÄMTLANDS LÄN</t>
        </is>
      </c>
      <c r="E535" t="inlineStr">
        <is>
          <t>ÖSTERSUND</t>
        </is>
      </c>
      <c r="G535" t="n">
        <v>2.1</v>
      </c>
      <c r="H535" t="n">
        <v>0</v>
      </c>
      <c r="I535" t="n">
        <v>0</v>
      </c>
      <c r="J535" t="n">
        <v>0</v>
      </c>
      <c r="K535" t="n">
        <v>0</v>
      </c>
      <c r="L535" t="n">
        <v>0</v>
      </c>
      <c r="M535" t="n">
        <v>0</v>
      </c>
      <c r="N535" t="n">
        <v>0</v>
      </c>
      <c r="O535" t="n">
        <v>0</v>
      </c>
      <c r="P535" t="n">
        <v>0</v>
      </c>
      <c r="Q535" t="n">
        <v>0</v>
      </c>
      <c r="R535" s="2" t="inlineStr"/>
    </row>
    <row r="536" ht="15" customHeight="1">
      <c r="A536" t="inlineStr">
        <is>
          <t>A 54663-2022</t>
        </is>
      </c>
      <c r="B536" s="1" t="n">
        <v>44883.44737268519</v>
      </c>
      <c r="C536" s="1" t="n">
        <v>45887</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7953-2025</t>
        </is>
      </c>
      <c r="B537" s="1" t="n">
        <v>45707.42392361111</v>
      </c>
      <c r="C537" s="1" t="n">
        <v>45887</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13738-2025</t>
        </is>
      </c>
      <c r="B538" s="1" t="n">
        <v>45737.40131944444</v>
      </c>
      <c r="C538" s="1" t="n">
        <v>45887</v>
      </c>
      <c r="D538" t="inlineStr">
        <is>
          <t>JÄMTLANDS LÄN</t>
        </is>
      </c>
      <c r="E538" t="inlineStr">
        <is>
          <t>ÖSTERSUND</t>
        </is>
      </c>
      <c r="G538" t="n">
        <v>15</v>
      </c>
      <c r="H538" t="n">
        <v>0</v>
      </c>
      <c r="I538" t="n">
        <v>0</v>
      </c>
      <c r="J538" t="n">
        <v>0</v>
      </c>
      <c r="K538" t="n">
        <v>0</v>
      </c>
      <c r="L538" t="n">
        <v>0</v>
      </c>
      <c r="M538" t="n">
        <v>0</v>
      </c>
      <c r="N538" t="n">
        <v>0</v>
      </c>
      <c r="O538" t="n">
        <v>0</v>
      </c>
      <c r="P538" t="n">
        <v>0</v>
      </c>
      <c r="Q538" t="n">
        <v>0</v>
      </c>
      <c r="R538" s="2" t="inlineStr"/>
    </row>
    <row r="539" ht="15" customHeight="1">
      <c r="A539" t="inlineStr">
        <is>
          <t>A 18578-2025</t>
        </is>
      </c>
      <c r="B539" s="1" t="n">
        <v>45763</v>
      </c>
      <c r="C539" s="1" t="n">
        <v>45887</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55365-2024</t>
        </is>
      </c>
      <c r="B540" s="1" t="n">
        <v>45621.86827546296</v>
      </c>
      <c r="C540" s="1" t="n">
        <v>45887</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60349-2024</t>
        </is>
      </c>
      <c r="B541" s="1" t="n">
        <v>45643.42986111111</v>
      </c>
      <c r="C541" s="1" t="n">
        <v>45887</v>
      </c>
      <c r="D541" t="inlineStr">
        <is>
          <t>JÄMTLANDS LÄN</t>
        </is>
      </c>
      <c r="E541" t="inlineStr">
        <is>
          <t>ÖSTERSUND</t>
        </is>
      </c>
      <c r="F541" t="inlineStr">
        <is>
          <t>Sveaskog</t>
        </is>
      </c>
      <c r="G541" t="n">
        <v>16.6</v>
      </c>
      <c r="H541" t="n">
        <v>0</v>
      </c>
      <c r="I541" t="n">
        <v>0</v>
      </c>
      <c r="J541" t="n">
        <v>0</v>
      </c>
      <c r="K541" t="n">
        <v>0</v>
      </c>
      <c r="L541" t="n">
        <v>0</v>
      </c>
      <c r="M541" t="n">
        <v>0</v>
      </c>
      <c r="N541" t="n">
        <v>0</v>
      </c>
      <c r="O541" t="n">
        <v>0</v>
      </c>
      <c r="P541" t="n">
        <v>0</v>
      </c>
      <c r="Q541" t="n">
        <v>0</v>
      </c>
      <c r="R541" s="2" t="inlineStr"/>
    </row>
    <row r="542" ht="15" customHeight="1">
      <c r="A542" t="inlineStr">
        <is>
          <t>A 43511-2022</t>
        </is>
      </c>
      <c r="B542" s="1" t="n">
        <v>44837.36724537037</v>
      </c>
      <c r="C542" s="1" t="n">
        <v>45887</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19664-2025</t>
        </is>
      </c>
      <c r="B543" s="1" t="n">
        <v>45770.6925462963</v>
      </c>
      <c r="C543" s="1" t="n">
        <v>45887</v>
      </c>
      <c r="D543" t="inlineStr">
        <is>
          <t>JÄMTLANDS LÄN</t>
        </is>
      </c>
      <c r="E543" t="inlineStr">
        <is>
          <t>ÖSTERSUND</t>
        </is>
      </c>
      <c r="G543" t="n">
        <v>8.6</v>
      </c>
      <c r="H543" t="n">
        <v>0</v>
      </c>
      <c r="I543" t="n">
        <v>0</v>
      </c>
      <c r="J543" t="n">
        <v>0</v>
      </c>
      <c r="K543" t="n">
        <v>0</v>
      </c>
      <c r="L543" t="n">
        <v>0</v>
      </c>
      <c r="M543" t="n">
        <v>0</v>
      </c>
      <c r="N543" t="n">
        <v>0</v>
      </c>
      <c r="O543" t="n">
        <v>0</v>
      </c>
      <c r="P543" t="n">
        <v>0</v>
      </c>
      <c r="Q543" t="n">
        <v>0</v>
      </c>
      <c r="R543" s="2" t="inlineStr"/>
    </row>
    <row r="544" ht="15" customHeight="1">
      <c r="A544" t="inlineStr">
        <is>
          <t>A 31464-2024</t>
        </is>
      </c>
      <c r="B544" s="1" t="n">
        <v>45505.95078703704</v>
      </c>
      <c r="C544" s="1" t="n">
        <v>45887</v>
      </c>
      <c r="D544" t="inlineStr">
        <is>
          <t>JÄMTLANDS LÄN</t>
        </is>
      </c>
      <c r="E544" t="inlineStr">
        <is>
          <t>ÖSTERSUND</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2730-2025</t>
        </is>
      </c>
      <c r="B545" s="1" t="n">
        <v>45677.44393518518</v>
      </c>
      <c r="C545" s="1" t="n">
        <v>45887</v>
      </c>
      <c r="D545" t="inlineStr">
        <is>
          <t>JÄMTLANDS LÄN</t>
        </is>
      </c>
      <c r="E545" t="inlineStr">
        <is>
          <t>ÖSTERSUND</t>
        </is>
      </c>
      <c r="G545" t="n">
        <v>2.5</v>
      </c>
      <c r="H545" t="n">
        <v>0</v>
      </c>
      <c r="I545" t="n">
        <v>0</v>
      </c>
      <c r="J545" t="n">
        <v>0</v>
      </c>
      <c r="K545" t="n">
        <v>0</v>
      </c>
      <c r="L545" t="n">
        <v>0</v>
      </c>
      <c r="M545" t="n">
        <v>0</v>
      </c>
      <c r="N545" t="n">
        <v>0</v>
      </c>
      <c r="O545" t="n">
        <v>0</v>
      </c>
      <c r="P545" t="n">
        <v>0</v>
      </c>
      <c r="Q545" t="n">
        <v>0</v>
      </c>
      <c r="R545" s="2" t="inlineStr"/>
    </row>
    <row r="546" ht="15" customHeight="1">
      <c r="A546" t="inlineStr">
        <is>
          <t>A 47022-2024</t>
        </is>
      </c>
      <c r="B546" s="1" t="n">
        <v>45586.40660879629</v>
      </c>
      <c r="C546" s="1" t="n">
        <v>45887</v>
      </c>
      <c r="D546" t="inlineStr">
        <is>
          <t>JÄMTLANDS LÄN</t>
        </is>
      </c>
      <c r="E546" t="inlineStr">
        <is>
          <t>ÖSTERSUND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42151-2023</t>
        </is>
      </c>
      <c r="B547" s="1" t="n">
        <v>45177.93612268518</v>
      </c>
      <c r="C547" s="1" t="n">
        <v>45887</v>
      </c>
      <c r="D547" t="inlineStr">
        <is>
          <t>JÄMTLANDS LÄN</t>
        </is>
      </c>
      <c r="E547" t="inlineStr">
        <is>
          <t>ÖSTERSUND</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43016-2024</t>
        </is>
      </c>
      <c r="B548" s="1" t="n">
        <v>45567.39192129629</v>
      </c>
      <c r="C548" s="1" t="n">
        <v>45887</v>
      </c>
      <c r="D548" t="inlineStr">
        <is>
          <t>JÄMTLANDS LÄN</t>
        </is>
      </c>
      <c r="E548" t="inlineStr">
        <is>
          <t>ÖSTERSUND</t>
        </is>
      </c>
      <c r="G548" t="n">
        <v>5.3</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45887</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9552-2025</t>
        </is>
      </c>
      <c r="B550" s="1" t="n">
        <v>45715.59545138889</v>
      </c>
      <c r="C550" s="1" t="n">
        <v>45887</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51865-2024</t>
        </is>
      </c>
      <c r="B551" s="1" t="n">
        <v>45607.55260416667</v>
      </c>
      <c r="C551" s="1" t="n">
        <v>45887</v>
      </c>
      <c r="D551" t="inlineStr">
        <is>
          <t>JÄMTLANDS LÄN</t>
        </is>
      </c>
      <c r="E551" t="inlineStr">
        <is>
          <t>ÖSTERSUND</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58364-2024</t>
        </is>
      </c>
      <c r="B552" s="1" t="n">
        <v>45632.68814814815</v>
      </c>
      <c r="C552" s="1" t="n">
        <v>45887</v>
      </c>
      <c r="D552" t="inlineStr">
        <is>
          <t>JÄMTLANDS LÄN</t>
        </is>
      </c>
      <c r="E552" t="inlineStr">
        <is>
          <t>ÖSTERSUND</t>
        </is>
      </c>
      <c r="G552" t="n">
        <v>5.5</v>
      </c>
      <c r="H552" t="n">
        <v>0</v>
      </c>
      <c r="I552" t="n">
        <v>0</v>
      </c>
      <c r="J552" t="n">
        <v>0</v>
      </c>
      <c r="K552" t="n">
        <v>0</v>
      </c>
      <c r="L552" t="n">
        <v>0</v>
      </c>
      <c r="M552" t="n">
        <v>0</v>
      </c>
      <c r="N552" t="n">
        <v>0</v>
      </c>
      <c r="O552" t="n">
        <v>0</v>
      </c>
      <c r="P552" t="n">
        <v>0</v>
      </c>
      <c r="Q552" t="n">
        <v>0</v>
      </c>
      <c r="R552" s="2" t="inlineStr"/>
    </row>
    <row r="553" ht="15" customHeight="1">
      <c r="A553" t="inlineStr">
        <is>
          <t>A 4500-2025</t>
        </is>
      </c>
      <c r="B553" s="1" t="n">
        <v>45686.6859375</v>
      </c>
      <c r="C553" s="1" t="n">
        <v>45887</v>
      </c>
      <c r="D553" t="inlineStr">
        <is>
          <t>JÄMTLANDS LÄN</t>
        </is>
      </c>
      <c r="E553" t="inlineStr">
        <is>
          <t>ÖSTERSUND</t>
        </is>
      </c>
      <c r="G553" t="n">
        <v>28.4</v>
      </c>
      <c r="H553" t="n">
        <v>0</v>
      </c>
      <c r="I553" t="n">
        <v>0</v>
      </c>
      <c r="J553" t="n">
        <v>0</v>
      </c>
      <c r="K553" t="n">
        <v>0</v>
      </c>
      <c r="L553" t="n">
        <v>0</v>
      </c>
      <c r="M553" t="n">
        <v>0</v>
      </c>
      <c r="N553" t="n">
        <v>0</v>
      </c>
      <c r="O553" t="n">
        <v>0</v>
      </c>
      <c r="P553" t="n">
        <v>0</v>
      </c>
      <c r="Q553" t="n">
        <v>0</v>
      </c>
      <c r="R553" s="2" t="inlineStr"/>
    </row>
    <row r="554" ht="15" customHeight="1">
      <c r="A554" t="inlineStr">
        <is>
          <t>A 7941-2025</t>
        </is>
      </c>
      <c r="B554" s="1" t="n">
        <v>45707</v>
      </c>
      <c r="C554" s="1" t="n">
        <v>45887</v>
      </c>
      <c r="D554" t="inlineStr">
        <is>
          <t>JÄMTLANDS LÄN</t>
        </is>
      </c>
      <c r="E554" t="inlineStr">
        <is>
          <t>ÖSTERSUND</t>
        </is>
      </c>
      <c r="G554" t="n">
        <v>2</v>
      </c>
      <c r="H554" t="n">
        <v>0</v>
      </c>
      <c r="I554" t="n">
        <v>0</v>
      </c>
      <c r="J554" t="n">
        <v>0</v>
      </c>
      <c r="K554" t="n">
        <v>0</v>
      </c>
      <c r="L554" t="n">
        <v>0</v>
      </c>
      <c r="M554" t="n">
        <v>0</v>
      </c>
      <c r="N554" t="n">
        <v>0</v>
      </c>
      <c r="O554" t="n">
        <v>0</v>
      </c>
      <c r="P554" t="n">
        <v>0</v>
      </c>
      <c r="Q554" t="n">
        <v>0</v>
      </c>
      <c r="R554" s="2" t="inlineStr"/>
    </row>
    <row r="555" ht="15" customHeight="1">
      <c r="A555" t="inlineStr">
        <is>
          <t>A 44051-2021</t>
        </is>
      </c>
      <c r="B555" s="1" t="n">
        <v>44434</v>
      </c>
      <c r="C555" s="1" t="n">
        <v>45887</v>
      </c>
      <c r="D555" t="inlineStr">
        <is>
          <t>JÄMTLANDS LÄN</t>
        </is>
      </c>
      <c r="E555" t="inlineStr">
        <is>
          <t>ÖSTERSUND</t>
        </is>
      </c>
      <c r="G555" t="n">
        <v>2.9</v>
      </c>
      <c r="H555" t="n">
        <v>0</v>
      </c>
      <c r="I555" t="n">
        <v>0</v>
      </c>
      <c r="J555" t="n">
        <v>0</v>
      </c>
      <c r="K555" t="n">
        <v>0</v>
      </c>
      <c r="L555" t="n">
        <v>0</v>
      </c>
      <c r="M555" t="n">
        <v>0</v>
      </c>
      <c r="N555" t="n">
        <v>0</v>
      </c>
      <c r="O555" t="n">
        <v>0</v>
      </c>
      <c r="P555" t="n">
        <v>0</v>
      </c>
      <c r="Q555" t="n">
        <v>0</v>
      </c>
      <c r="R555" s="2" t="inlineStr"/>
    </row>
    <row r="556" ht="15" customHeight="1">
      <c r="A556" t="inlineStr">
        <is>
          <t>A 44489-2024</t>
        </is>
      </c>
      <c r="B556" s="1" t="n">
        <v>45574.38943287037</v>
      </c>
      <c r="C556" s="1" t="n">
        <v>45887</v>
      </c>
      <c r="D556" t="inlineStr">
        <is>
          <t>JÄMTLANDS LÄN</t>
        </is>
      </c>
      <c r="E556" t="inlineStr">
        <is>
          <t>ÖSTERSUND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45887</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56111-2022</t>
        </is>
      </c>
      <c r="B558" s="1" t="n">
        <v>44889</v>
      </c>
      <c r="C558" s="1" t="n">
        <v>45887</v>
      </c>
      <c r="D558" t="inlineStr">
        <is>
          <t>JÄMTLANDS LÄN</t>
        </is>
      </c>
      <c r="E558" t="inlineStr">
        <is>
          <t>ÖSTERSUND</t>
        </is>
      </c>
      <c r="G558" t="n">
        <v>2.5</v>
      </c>
      <c r="H558" t="n">
        <v>0</v>
      </c>
      <c r="I558" t="n">
        <v>0</v>
      </c>
      <c r="J558" t="n">
        <v>0</v>
      </c>
      <c r="K558" t="n">
        <v>0</v>
      </c>
      <c r="L558" t="n">
        <v>0</v>
      </c>
      <c r="M558" t="n">
        <v>0</v>
      </c>
      <c r="N558" t="n">
        <v>0</v>
      </c>
      <c r="O558" t="n">
        <v>0</v>
      </c>
      <c r="P558" t="n">
        <v>0</v>
      </c>
      <c r="Q558" t="n">
        <v>0</v>
      </c>
      <c r="R558" s="2" t="inlineStr"/>
    </row>
    <row r="559" ht="15" customHeight="1">
      <c r="A559" t="inlineStr">
        <is>
          <t>A 14514-2025</t>
        </is>
      </c>
      <c r="B559" s="1" t="n">
        <v>45741.6369212963</v>
      </c>
      <c r="C559" s="1" t="n">
        <v>45887</v>
      </c>
      <c r="D559" t="inlineStr">
        <is>
          <t>JÄMTLANDS LÄN</t>
        </is>
      </c>
      <c r="E559" t="inlineStr">
        <is>
          <t>ÖSTERSUND</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4521-2025</t>
        </is>
      </c>
      <c r="B560" s="1" t="n">
        <v>45686</v>
      </c>
      <c r="C560" s="1" t="n">
        <v>45887</v>
      </c>
      <c r="D560" t="inlineStr">
        <is>
          <t>JÄMTLANDS LÄN</t>
        </is>
      </c>
      <c r="E560" t="inlineStr">
        <is>
          <t>ÖSTERSUND</t>
        </is>
      </c>
      <c r="G560" t="n">
        <v>28.4</v>
      </c>
      <c r="H560" t="n">
        <v>0</v>
      </c>
      <c r="I560" t="n">
        <v>0</v>
      </c>
      <c r="J560" t="n">
        <v>0</v>
      </c>
      <c r="K560" t="n">
        <v>0</v>
      </c>
      <c r="L560" t="n">
        <v>0</v>
      </c>
      <c r="M560" t="n">
        <v>0</v>
      </c>
      <c r="N560" t="n">
        <v>0</v>
      </c>
      <c r="O560" t="n">
        <v>0</v>
      </c>
      <c r="P560" t="n">
        <v>0</v>
      </c>
      <c r="Q560" t="n">
        <v>0</v>
      </c>
      <c r="R560" s="2" t="inlineStr"/>
    </row>
    <row r="561" ht="15" customHeight="1">
      <c r="A561" t="inlineStr">
        <is>
          <t>A 9744-2025</t>
        </is>
      </c>
      <c r="B561" s="1" t="n">
        <v>45716.4484375</v>
      </c>
      <c r="C561" s="1" t="n">
        <v>45887</v>
      </c>
      <c r="D561" t="inlineStr">
        <is>
          <t>JÄMTLANDS LÄN</t>
        </is>
      </c>
      <c r="E561" t="inlineStr">
        <is>
          <t>ÖSTERSUND</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6578-2021</t>
        </is>
      </c>
      <c r="B562" s="1" t="n">
        <v>44236</v>
      </c>
      <c r="C562" s="1" t="n">
        <v>45887</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51826-2024</t>
        </is>
      </c>
      <c r="B563" s="1" t="n">
        <v>45607.50137731482</v>
      </c>
      <c r="C563" s="1" t="n">
        <v>45887</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17570-2025</t>
        </is>
      </c>
      <c r="B564" s="1" t="n">
        <v>45757.64563657407</v>
      </c>
      <c r="C564" s="1" t="n">
        <v>45887</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60681-2022</t>
        </is>
      </c>
      <c r="B565" s="1" t="n">
        <v>44911.93994212963</v>
      </c>
      <c r="C565" s="1" t="n">
        <v>45887</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16753-2025</t>
        </is>
      </c>
      <c r="B566" s="1" t="n">
        <v>45754.56839120371</v>
      </c>
      <c r="C566" s="1" t="n">
        <v>45887</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48696-2024</t>
        </is>
      </c>
      <c r="B567" s="1" t="n">
        <v>45593.51123842593</v>
      </c>
      <c r="C567" s="1" t="n">
        <v>45887</v>
      </c>
      <c r="D567" t="inlineStr">
        <is>
          <t>JÄMTLANDS LÄN</t>
        </is>
      </c>
      <c r="E567" t="inlineStr">
        <is>
          <t>ÖSTERSUND</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22126-2021</t>
        </is>
      </c>
      <c r="B568" s="1" t="n">
        <v>44323</v>
      </c>
      <c r="C568" s="1" t="n">
        <v>45887</v>
      </c>
      <c r="D568" t="inlineStr">
        <is>
          <t>JÄMTLANDS LÄN</t>
        </is>
      </c>
      <c r="E568" t="inlineStr">
        <is>
          <t>ÖSTERSUND</t>
        </is>
      </c>
      <c r="G568" t="n">
        <v>1.4</v>
      </c>
      <c r="H568" t="n">
        <v>0</v>
      </c>
      <c r="I568" t="n">
        <v>0</v>
      </c>
      <c r="J568" t="n">
        <v>0</v>
      </c>
      <c r="K568" t="n">
        <v>0</v>
      </c>
      <c r="L568" t="n">
        <v>0</v>
      </c>
      <c r="M568" t="n">
        <v>0</v>
      </c>
      <c r="N568" t="n">
        <v>0</v>
      </c>
      <c r="O568" t="n">
        <v>0</v>
      </c>
      <c r="P568" t="n">
        <v>0</v>
      </c>
      <c r="Q568" t="n">
        <v>0</v>
      </c>
      <c r="R568" s="2" t="inlineStr"/>
    </row>
    <row r="569" ht="15" customHeight="1">
      <c r="A569" t="inlineStr">
        <is>
          <t>A 18577-2025</t>
        </is>
      </c>
      <c r="B569" s="1" t="n">
        <v>45763</v>
      </c>
      <c r="C569" s="1" t="n">
        <v>45887</v>
      </c>
      <c r="D569" t="inlineStr">
        <is>
          <t>JÄMTLANDS LÄN</t>
        </is>
      </c>
      <c r="E569" t="inlineStr">
        <is>
          <t>ÖSTERSUND</t>
        </is>
      </c>
      <c r="G569" t="n">
        <v>3.5</v>
      </c>
      <c r="H569" t="n">
        <v>0</v>
      </c>
      <c r="I569" t="n">
        <v>0</v>
      </c>
      <c r="J569" t="n">
        <v>0</v>
      </c>
      <c r="K569" t="n">
        <v>0</v>
      </c>
      <c r="L569" t="n">
        <v>0</v>
      </c>
      <c r="M569" t="n">
        <v>0</v>
      </c>
      <c r="N569" t="n">
        <v>0</v>
      </c>
      <c r="O569" t="n">
        <v>0</v>
      </c>
      <c r="P569" t="n">
        <v>0</v>
      </c>
      <c r="Q569" t="n">
        <v>0</v>
      </c>
      <c r="R569" s="2" t="inlineStr"/>
    </row>
    <row r="570" ht="15" customHeight="1">
      <c r="A570" t="inlineStr">
        <is>
          <t>A 60174-2022</t>
        </is>
      </c>
      <c r="B570" s="1" t="n">
        <v>44909.9640162037</v>
      </c>
      <c r="C570" s="1" t="n">
        <v>45887</v>
      </c>
      <c r="D570" t="inlineStr">
        <is>
          <t>JÄMTLANDS LÄN</t>
        </is>
      </c>
      <c r="E570" t="inlineStr">
        <is>
          <t>ÖSTERSUND</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39975-2024</t>
        </is>
      </c>
      <c r="B571" s="1" t="n">
        <v>45553.60474537037</v>
      </c>
      <c r="C571" s="1" t="n">
        <v>45887</v>
      </c>
      <c r="D571" t="inlineStr">
        <is>
          <t>JÄMTLANDS LÄN</t>
        </is>
      </c>
      <c r="E571" t="inlineStr">
        <is>
          <t>ÖSTERSUND</t>
        </is>
      </c>
      <c r="G571" t="n">
        <v>3.8</v>
      </c>
      <c r="H571" t="n">
        <v>0</v>
      </c>
      <c r="I571" t="n">
        <v>0</v>
      </c>
      <c r="J571" t="n">
        <v>0</v>
      </c>
      <c r="K571" t="n">
        <v>0</v>
      </c>
      <c r="L571" t="n">
        <v>0</v>
      </c>
      <c r="M571" t="n">
        <v>0</v>
      </c>
      <c r="N571" t="n">
        <v>0</v>
      </c>
      <c r="O571" t="n">
        <v>0</v>
      </c>
      <c r="P571" t="n">
        <v>0</v>
      </c>
      <c r="Q571" t="n">
        <v>0</v>
      </c>
      <c r="R571" s="2" t="inlineStr"/>
    </row>
    <row r="572" ht="15" customHeight="1">
      <c r="A572" t="inlineStr">
        <is>
          <t>A 20634-2023</t>
        </is>
      </c>
      <c r="B572" s="1" t="n">
        <v>45057.9441087963</v>
      </c>
      <c r="C572" s="1" t="n">
        <v>45887</v>
      </c>
      <c r="D572" t="inlineStr">
        <is>
          <t>JÄMTLANDS LÄN</t>
        </is>
      </c>
      <c r="E572" t="inlineStr">
        <is>
          <t>ÖSTERSUND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51936-2023</t>
        </is>
      </c>
      <c r="B573" s="1" t="n">
        <v>45223.5036574074</v>
      </c>
      <c r="C573" s="1" t="n">
        <v>45887</v>
      </c>
      <c r="D573" t="inlineStr">
        <is>
          <t>JÄMTLANDS LÄN</t>
        </is>
      </c>
      <c r="E573" t="inlineStr">
        <is>
          <t>ÖSTERSUND</t>
        </is>
      </c>
      <c r="G573" t="n">
        <v>8.4</v>
      </c>
      <c r="H573" t="n">
        <v>0</v>
      </c>
      <c r="I573" t="n">
        <v>0</v>
      </c>
      <c r="J573" t="n">
        <v>0</v>
      </c>
      <c r="K573" t="n">
        <v>0</v>
      </c>
      <c r="L573" t="n">
        <v>0</v>
      </c>
      <c r="M573" t="n">
        <v>0</v>
      </c>
      <c r="N573" t="n">
        <v>0</v>
      </c>
      <c r="O573" t="n">
        <v>0</v>
      </c>
      <c r="P573" t="n">
        <v>0</v>
      </c>
      <c r="Q573" t="n">
        <v>0</v>
      </c>
      <c r="R573" s="2" t="inlineStr"/>
    </row>
    <row r="574" ht="15" customHeight="1">
      <c r="A574" t="inlineStr">
        <is>
          <t>A 51941-2023</t>
        </is>
      </c>
      <c r="B574" s="1" t="n">
        <v>45223</v>
      </c>
      <c r="C574" s="1" t="n">
        <v>45887</v>
      </c>
      <c r="D574" t="inlineStr">
        <is>
          <t>JÄMTLANDS LÄN</t>
        </is>
      </c>
      <c r="E574" t="inlineStr">
        <is>
          <t>ÖSTERSUND</t>
        </is>
      </c>
      <c r="G574" t="n">
        <v>4.6</v>
      </c>
      <c r="H574" t="n">
        <v>0</v>
      </c>
      <c r="I574" t="n">
        <v>0</v>
      </c>
      <c r="J574" t="n">
        <v>0</v>
      </c>
      <c r="K574" t="n">
        <v>0</v>
      </c>
      <c r="L574" t="n">
        <v>0</v>
      </c>
      <c r="M574" t="n">
        <v>0</v>
      </c>
      <c r="N574" t="n">
        <v>0</v>
      </c>
      <c r="O574" t="n">
        <v>0</v>
      </c>
      <c r="P574" t="n">
        <v>0</v>
      </c>
      <c r="Q574" t="n">
        <v>0</v>
      </c>
      <c r="R574" s="2" t="inlineStr"/>
    </row>
    <row r="575" ht="15" customHeight="1">
      <c r="A575" t="inlineStr">
        <is>
          <t>A 14523-2023</t>
        </is>
      </c>
      <c r="B575" s="1" t="n">
        <v>45012</v>
      </c>
      <c r="C575" s="1" t="n">
        <v>45887</v>
      </c>
      <c r="D575" t="inlineStr">
        <is>
          <t>JÄMTLANDS LÄN</t>
        </is>
      </c>
      <c r="E575" t="inlineStr">
        <is>
          <t>ÖSTERSUND</t>
        </is>
      </c>
      <c r="G575" t="n">
        <v>4.5</v>
      </c>
      <c r="H575" t="n">
        <v>0</v>
      </c>
      <c r="I575" t="n">
        <v>0</v>
      </c>
      <c r="J575" t="n">
        <v>0</v>
      </c>
      <c r="K575" t="n">
        <v>0</v>
      </c>
      <c r="L575" t="n">
        <v>0</v>
      </c>
      <c r="M575" t="n">
        <v>0</v>
      </c>
      <c r="N575" t="n">
        <v>0</v>
      </c>
      <c r="O575" t="n">
        <v>0</v>
      </c>
      <c r="P575" t="n">
        <v>0</v>
      </c>
      <c r="Q575" t="n">
        <v>0</v>
      </c>
      <c r="R575" s="2" t="inlineStr"/>
    </row>
    <row r="576" ht="15" customHeight="1">
      <c r="A576" t="inlineStr">
        <is>
          <t>A 13282-2023</t>
        </is>
      </c>
      <c r="B576" s="1" t="n">
        <v>45004</v>
      </c>
      <c r="C576" s="1" t="n">
        <v>45887</v>
      </c>
      <c r="D576" t="inlineStr">
        <is>
          <t>JÄMTLANDS LÄN</t>
        </is>
      </c>
      <c r="E576" t="inlineStr">
        <is>
          <t>ÖSTERSUND</t>
        </is>
      </c>
      <c r="G576" t="n">
        <v>28.5</v>
      </c>
      <c r="H576" t="n">
        <v>0</v>
      </c>
      <c r="I576" t="n">
        <v>0</v>
      </c>
      <c r="J576" t="n">
        <v>0</v>
      </c>
      <c r="K576" t="n">
        <v>0</v>
      </c>
      <c r="L576" t="n">
        <v>0</v>
      </c>
      <c r="M576" t="n">
        <v>0</v>
      </c>
      <c r="N576" t="n">
        <v>0</v>
      </c>
      <c r="O576" t="n">
        <v>0</v>
      </c>
      <c r="P576" t="n">
        <v>0</v>
      </c>
      <c r="Q576" t="n">
        <v>0</v>
      </c>
      <c r="R576" s="2" t="inlineStr"/>
    </row>
    <row r="577" ht="15" customHeight="1">
      <c r="A577" t="inlineStr">
        <is>
          <t>A 16335-2025</t>
        </is>
      </c>
      <c r="B577" s="1" t="n">
        <v>45751.36518518518</v>
      </c>
      <c r="C577" s="1" t="n">
        <v>45887</v>
      </c>
      <c r="D577" t="inlineStr">
        <is>
          <t>JÄMTLANDS LÄN</t>
        </is>
      </c>
      <c r="E577" t="inlineStr">
        <is>
          <t>ÖSTERSUND</t>
        </is>
      </c>
      <c r="G577" t="n">
        <v>3.7</v>
      </c>
      <c r="H577" t="n">
        <v>0</v>
      </c>
      <c r="I577" t="n">
        <v>0</v>
      </c>
      <c r="J577" t="n">
        <v>0</v>
      </c>
      <c r="K577" t="n">
        <v>0</v>
      </c>
      <c r="L577" t="n">
        <v>0</v>
      </c>
      <c r="M577" t="n">
        <v>0</v>
      </c>
      <c r="N577" t="n">
        <v>0</v>
      </c>
      <c r="O577" t="n">
        <v>0</v>
      </c>
      <c r="P577" t="n">
        <v>0</v>
      </c>
      <c r="Q577" t="n">
        <v>0</v>
      </c>
      <c r="R577" s="2" t="inlineStr"/>
    </row>
    <row r="578" ht="15" customHeight="1">
      <c r="A578" t="inlineStr">
        <is>
          <t>A 54973-2023</t>
        </is>
      </c>
      <c r="B578" s="1" t="n">
        <v>45236.92776620371</v>
      </c>
      <c r="C578" s="1" t="n">
        <v>45887</v>
      </c>
      <c r="D578" t="inlineStr">
        <is>
          <t>JÄMTLANDS LÄN</t>
        </is>
      </c>
      <c r="E578" t="inlineStr">
        <is>
          <t>ÖSTERSUND</t>
        </is>
      </c>
      <c r="G578" t="n">
        <v>15.4</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45887</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47727-2023</t>
        </is>
      </c>
      <c r="B580" s="1" t="n">
        <v>45203</v>
      </c>
      <c r="C580" s="1" t="n">
        <v>45887</v>
      </c>
      <c r="D580" t="inlineStr">
        <is>
          <t>JÄMTLANDS LÄN</t>
        </is>
      </c>
      <c r="E580" t="inlineStr">
        <is>
          <t>ÖSTERSUND</t>
        </is>
      </c>
      <c r="G580" t="n">
        <v>2.6</v>
      </c>
      <c r="H580" t="n">
        <v>0</v>
      </c>
      <c r="I580" t="n">
        <v>0</v>
      </c>
      <c r="J580" t="n">
        <v>0</v>
      </c>
      <c r="K580" t="n">
        <v>0</v>
      </c>
      <c r="L580" t="n">
        <v>0</v>
      </c>
      <c r="M580" t="n">
        <v>0</v>
      </c>
      <c r="N580" t="n">
        <v>0</v>
      </c>
      <c r="O580" t="n">
        <v>0</v>
      </c>
      <c r="P580" t="n">
        <v>0</v>
      </c>
      <c r="Q580" t="n">
        <v>0</v>
      </c>
      <c r="R580" s="2" t="inlineStr"/>
    </row>
    <row r="581" ht="15" customHeight="1">
      <c r="A581" t="inlineStr">
        <is>
          <t>A 47804-2024</t>
        </is>
      </c>
      <c r="B581" s="1" t="n">
        <v>45588.61498842593</v>
      </c>
      <c r="C581" s="1" t="n">
        <v>45887</v>
      </c>
      <c r="D581" t="inlineStr">
        <is>
          <t>JÄMTLANDS LÄN</t>
        </is>
      </c>
      <c r="E581" t="inlineStr">
        <is>
          <t>ÖSTERSUND</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47805-2024</t>
        </is>
      </c>
      <c r="B582" s="1" t="n">
        <v>45588.61512731481</v>
      </c>
      <c r="C582" s="1" t="n">
        <v>45887</v>
      </c>
      <c r="D582" t="inlineStr">
        <is>
          <t>JÄMTLANDS LÄN</t>
        </is>
      </c>
      <c r="E582" t="inlineStr">
        <is>
          <t>ÖSTERSUND</t>
        </is>
      </c>
      <c r="G582" t="n">
        <v>7.4</v>
      </c>
      <c r="H582" t="n">
        <v>0</v>
      </c>
      <c r="I582" t="n">
        <v>0</v>
      </c>
      <c r="J582" t="n">
        <v>0</v>
      </c>
      <c r="K582" t="n">
        <v>0</v>
      </c>
      <c r="L582" t="n">
        <v>0</v>
      </c>
      <c r="M582" t="n">
        <v>0</v>
      </c>
      <c r="N582" t="n">
        <v>0</v>
      </c>
      <c r="O582" t="n">
        <v>0</v>
      </c>
      <c r="P582" t="n">
        <v>0</v>
      </c>
      <c r="Q582" t="n">
        <v>0</v>
      </c>
      <c r="R582" s="2" t="inlineStr"/>
    </row>
    <row r="583" ht="15" customHeight="1">
      <c r="A583" t="inlineStr">
        <is>
          <t>A 64309-2023</t>
        </is>
      </c>
      <c r="B583" s="1" t="n">
        <v>45280</v>
      </c>
      <c r="C583" s="1" t="n">
        <v>45887</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44986.94196759259</v>
      </c>
      <c r="C584" s="1" t="n">
        <v>45887</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27124-2023</t>
        </is>
      </c>
      <c r="B585" s="1" t="n">
        <v>45096</v>
      </c>
      <c r="C585" s="1" t="n">
        <v>45887</v>
      </c>
      <c r="D585" t="inlineStr">
        <is>
          <t>JÄMTLANDS LÄN</t>
        </is>
      </c>
      <c r="E585" t="inlineStr">
        <is>
          <t>ÖSTERSUND</t>
        </is>
      </c>
      <c r="G585" t="n">
        <v>1.9</v>
      </c>
      <c r="H585" t="n">
        <v>0</v>
      </c>
      <c r="I585" t="n">
        <v>0</v>
      </c>
      <c r="J585" t="n">
        <v>0</v>
      </c>
      <c r="K585" t="n">
        <v>0</v>
      </c>
      <c r="L585" t="n">
        <v>0</v>
      </c>
      <c r="M585" t="n">
        <v>0</v>
      </c>
      <c r="N585" t="n">
        <v>0</v>
      </c>
      <c r="O585" t="n">
        <v>0</v>
      </c>
      <c r="P585" t="n">
        <v>0</v>
      </c>
      <c r="Q585" t="n">
        <v>0</v>
      </c>
      <c r="R585" s="2" t="inlineStr"/>
    </row>
    <row r="586" ht="15" customHeight="1">
      <c r="A586" t="inlineStr">
        <is>
          <t>A 53714-2022</t>
        </is>
      </c>
      <c r="B586" s="1" t="n">
        <v>44880</v>
      </c>
      <c r="C586" s="1" t="n">
        <v>45887</v>
      </c>
      <c r="D586" t="inlineStr">
        <is>
          <t>JÄMTLANDS LÄN</t>
        </is>
      </c>
      <c r="E586" t="inlineStr">
        <is>
          <t>ÖSTERSUND</t>
        </is>
      </c>
      <c r="G586" t="n">
        <v>1.3</v>
      </c>
      <c r="H586" t="n">
        <v>0</v>
      </c>
      <c r="I586" t="n">
        <v>0</v>
      </c>
      <c r="J586" t="n">
        <v>0</v>
      </c>
      <c r="K586" t="n">
        <v>0</v>
      </c>
      <c r="L586" t="n">
        <v>0</v>
      </c>
      <c r="M586" t="n">
        <v>0</v>
      </c>
      <c r="N586" t="n">
        <v>0</v>
      </c>
      <c r="O586" t="n">
        <v>0</v>
      </c>
      <c r="P586" t="n">
        <v>0</v>
      </c>
      <c r="Q586" t="n">
        <v>0</v>
      </c>
      <c r="R586" s="2" t="inlineStr"/>
    </row>
    <row r="587" ht="15" customHeight="1">
      <c r="A587" t="inlineStr">
        <is>
          <t>A 8261-2025</t>
        </is>
      </c>
      <c r="B587" s="1" t="n">
        <v>45708.50256944444</v>
      </c>
      <c r="C587" s="1" t="n">
        <v>45887</v>
      </c>
      <c r="D587" t="inlineStr">
        <is>
          <t>JÄMTLANDS LÄN</t>
        </is>
      </c>
      <c r="E587" t="inlineStr">
        <is>
          <t>ÖSTERSUND</t>
        </is>
      </c>
      <c r="G587" t="n">
        <v>5.4</v>
      </c>
      <c r="H587" t="n">
        <v>0</v>
      </c>
      <c r="I587" t="n">
        <v>0</v>
      </c>
      <c r="J587" t="n">
        <v>0</v>
      </c>
      <c r="K587" t="n">
        <v>0</v>
      </c>
      <c r="L587" t="n">
        <v>0</v>
      </c>
      <c r="M587" t="n">
        <v>0</v>
      </c>
      <c r="N587" t="n">
        <v>0</v>
      </c>
      <c r="O587" t="n">
        <v>0</v>
      </c>
      <c r="P587" t="n">
        <v>0</v>
      </c>
      <c r="Q587" t="n">
        <v>0</v>
      </c>
      <c r="R587" s="2" t="inlineStr"/>
    </row>
    <row r="588" ht="15" customHeight="1">
      <c r="A588" t="inlineStr">
        <is>
          <t>A 12352-2025</t>
        </is>
      </c>
      <c r="B588" s="1" t="n">
        <v>45730.36263888889</v>
      </c>
      <c r="C588" s="1" t="n">
        <v>45887</v>
      </c>
      <c r="D588" t="inlineStr">
        <is>
          <t>JÄMTLANDS LÄN</t>
        </is>
      </c>
      <c r="E588" t="inlineStr">
        <is>
          <t>ÖSTERSUND</t>
        </is>
      </c>
      <c r="G588" t="n">
        <v>7.8</v>
      </c>
      <c r="H588" t="n">
        <v>0</v>
      </c>
      <c r="I588" t="n">
        <v>0</v>
      </c>
      <c r="J588" t="n">
        <v>0</v>
      </c>
      <c r="K588" t="n">
        <v>0</v>
      </c>
      <c r="L588" t="n">
        <v>0</v>
      </c>
      <c r="M588" t="n">
        <v>0</v>
      </c>
      <c r="N588" t="n">
        <v>0</v>
      </c>
      <c r="O588" t="n">
        <v>0</v>
      </c>
      <c r="P588" t="n">
        <v>0</v>
      </c>
      <c r="Q588" t="n">
        <v>0</v>
      </c>
      <c r="R588" s="2" t="inlineStr"/>
    </row>
    <row r="589" ht="15" customHeight="1">
      <c r="A589" t="inlineStr">
        <is>
          <t>A 15651-2025</t>
        </is>
      </c>
      <c r="B589" s="1" t="n">
        <v>45748.40208333333</v>
      </c>
      <c r="C589" s="1" t="n">
        <v>45887</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296-2023</t>
        </is>
      </c>
      <c r="B590" s="1" t="n">
        <v>44922</v>
      </c>
      <c r="C590" s="1" t="n">
        <v>45887</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5553-2025</t>
        </is>
      </c>
      <c r="B591" s="1" t="n">
        <v>45693</v>
      </c>
      <c r="C591" s="1" t="n">
        <v>45887</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60767-2022</t>
        </is>
      </c>
      <c r="B592" s="1" t="n">
        <v>44914.35599537037</v>
      </c>
      <c r="C592" s="1" t="n">
        <v>45887</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64314-2023</t>
        </is>
      </c>
      <c r="B593" s="1" t="n">
        <v>45280</v>
      </c>
      <c r="C593" s="1" t="n">
        <v>45887</v>
      </c>
      <c r="D593" t="inlineStr">
        <is>
          <t>JÄMTLANDS LÄN</t>
        </is>
      </c>
      <c r="E593" t="inlineStr">
        <is>
          <t>ÖSTERSUND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13655-2025</t>
        </is>
      </c>
      <c r="B594" s="1" t="n">
        <v>45736.71956018519</v>
      </c>
      <c r="C594" s="1" t="n">
        <v>45887</v>
      </c>
      <c r="D594" t="inlineStr">
        <is>
          <t>JÄMTLANDS LÄN</t>
        </is>
      </c>
      <c r="E594" t="inlineStr">
        <is>
          <t>ÖSTERSUND</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61530-2023</t>
        </is>
      </c>
      <c r="B595" s="1" t="n">
        <v>45261</v>
      </c>
      <c r="C595" s="1" t="n">
        <v>45887</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32998-2021</t>
        </is>
      </c>
      <c r="B596" s="1" t="n">
        <v>44375</v>
      </c>
      <c r="C596" s="1" t="n">
        <v>45887</v>
      </c>
      <c r="D596" t="inlineStr">
        <is>
          <t>JÄMTLANDS LÄN</t>
        </is>
      </c>
      <c r="E596" t="inlineStr">
        <is>
          <t>ÖSTERSUND</t>
        </is>
      </c>
      <c r="G596" t="n">
        <v>0.1</v>
      </c>
      <c r="H596" t="n">
        <v>0</v>
      </c>
      <c r="I596" t="n">
        <v>0</v>
      </c>
      <c r="J596" t="n">
        <v>0</v>
      </c>
      <c r="K596" t="n">
        <v>0</v>
      </c>
      <c r="L596" t="n">
        <v>0</v>
      </c>
      <c r="M596" t="n">
        <v>0</v>
      </c>
      <c r="N596" t="n">
        <v>0</v>
      </c>
      <c r="O596" t="n">
        <v>0</v>
      </c>
      <c r="P596" t="n">
        <v>0</v>
      </c>
      <c r="Q596" t="n">
        <v>0</v>
      </c>
      <c r="R596" s="2" t="inlineStr"/>
    </row>
    <row r="597" ht="15" customHeight="1">
      <c r="A597" t="inlineStr">
        <is>
          <t>A 60575-2022</t>
        </is>
      </c>
      <c r="B597" s="1" t="n">
        <v>44911.5662037037</v>
      </c>
      <c r="C597" s="1" t="n">
        <v>45887</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1322-2021</t>
        </is>
      </c>
      <c r="B598" s="1" t="n">
        <v>44208</v>
      </c>
      <c r="C598" s="1" t="n">
        <v>45887</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14118-2025</t>
        </is>
      </c>
      <c r="B599" s="1" t="n">
        <v>45740.46325231482</v>
      </c>
      <c r="C599" s="1" t="n">
        <v>45887</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c r="A600" t="inlineStr">
        <is>
          <t>A 1211-2025</t>
        </is>
      </c>
      <c r="B600" s="1" t="n">
        <v>45667.40662037037</v>
      </c>
      <c r="C600" s="1" t="n">
        <v>45887</v>
      </c>
      <c r="D600" t="inlineStr">
        <is>
          <t>JÄMTLANDS LÄN</t>
        </is>
      </c>
      <c r="E600" t="inlineStr">
        <is>
          <t>ÖSTERSUND</t>
        </is>
      </c>
      <c r="F600" t="inlineStr">
        <is>
          <t>SCA</t>
        </is>
      </c>
      <c r="G600" t="n">
        <v>6.2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2025-08-18T08:31:36Z</dcterms:created>
  <dcterms:modified xmlns:dcterms="http://purl.org/dc/terms/" xmlns:xsi="http://www.w3.org/2001/XMLSchema-instance" xsi:type="dcterms:W3CDTF">2025-08-18T08:31:36Z</dcterms:modified>
</cp:coreProperties>
</file>