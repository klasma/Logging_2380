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45781</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45781</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45781</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45781</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45781</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45781</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45781</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45781</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45781</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45781</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45781</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45781</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45781</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45781</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45781</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45781</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45781</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45781</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45781</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45781</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45781</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45781</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45781</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45781</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7710-2024</t>
        </is>
      </c>
      <c r="B42" s="1" t="n">
        <v>45349</v>
      </c>
      <c r="C42" s="1" t="n">
        <v>45781</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45781</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17716-2024</t>
        </is>
      </c>
      <c r="B44" s="1" t="n">
        <v>45415</v>
      </c>
      <c r="C44" s="1" t="n">
        <v>45781</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4967-2025</t>
        </is>
      </c>
      <c r="B45" s="1" t="n">
        <v>45690</v>
      </c>
      <c r="C45" s="1" t="n">
        <v>45781</v>
      </c>
      <c r="D45" t="inlineStr">
        <is>
          <t>JÄMTLANDS LÄN</t>
        </is>
      </c>
      <c r="E45" t="inlineStr">
        <is>
          <t>ÖSTERSUND</t>
        </is>
      </c>
      <c r="G45" t="n">
        <v>26.9</v>
      </c>
      <c r="H45" t="n">
        <v>0</v>
      </c>
      <c r="I45" t="n">
        <v>2</v>
      </c>
      <c r="J45" t="n">
        <v>6</v>
      </c>
      <c r="K45" t="n">
        <v>0</v>
      </c>
      <c r="L45" t="n">
        <v>0</v>
      </c>
      <c r="M45" t="n">
        <v>0</v>
      </c>
      <c r="N45" t="n">
        <v>0</v>
      </c>
      <c r="O45" t="n">
        <v>6</v>
      </c>
      <c r="P45" t="n">
        <v>0</v>
      </c>
      <c r="Q45" t="n">
        <v>8</v>
      </c>
      <c r="R45" s="2" t="inlineStr">
        <is>
          <t>Garnlav
Granticka
Liten svartspik
Lunglav
Småflikig brosklav
Vitgrynig nållav
Skinnlav
Stuplav</t>
        </is>
      </c>
      <c r="S45">
        <f>HYPERLINK("https://klasma.github.io/Logging_2380/artfynd/A 4967-2025 artfynd.xlsx", "A 4967-2025")</f>
        <v/>
      </c>
      <c r="T45">
        <f>HYPERLINK("https://klasma.github.io/Logging_2380/kartor/A 4967-2025 karta.png", "A 4967-2025")</f>
        <v/>
      </c>
      <c r="V45">
        <f>HYPERLINK("https://klasma.github.io/Logging_2380/klagomål/A 4967-2025 FSC-klagomål.docx", "A 4967-2025")</f>
        <v/>
      </c>
      <c r="W45">
        <f>HYPERLINK("https://klasma.github.io/Logging_2380/klagomålsmail/A 4967-2025 FSC-klagomål mail.docx", "A 4967-2025")</f>
        <v/>
      </c>
      <c r="X45">
        <f>HYPERLINK("https://klasma.github.io/Logging_2380/tillsyn/A 4967-2025 tillsynsbegäran.docx", "A 4967-2025")</f>
        <v/>
      </c>
      <c r="Y45">
        <f>HYPERLINK("https://klasma.github.io/Logging_2380/tillsynsmail/A 4967-2025 tillsynsbegäran mail.docx", "A 4967-2025")</f>
        <v/>
      </c>
    </row>
    <row r="46" ht="15" customHeight="1">
      <c r="A46" t="inlineStr">
        <is>
          <t>A 65938-2021</t>
        </is>
      </c>
      <c r="B46" s="1" t="n">
        <v>44517</v>
      </c>
      <c r="C46" s="1" t="n">
        <v>45781</v>
      </c>
      <c r="D46" t="inlineStr">
        <is>
          <t>JÄMTLANDS LÄN</t>
        </is>
      </c>
      <c r="E46" t="inlineStr">
        <is>
          <t>ÖSTERSUND</t>
        </is>
      </c>
      <c r="G46" t="n">
        <v>4.4</v>
      </c>
      <c r="H46" t="n">
        <v>4</v>
      </c>
      <c r="I46" t="n">
        <v>0</v>
      </c>
      <c r="J46" t="n">
        <v>4</v>
      </c>
      <c r="K46" t="n">
        <v>2</v>
      </c>
      <c r="L46" t="n">
        <v>0</v>
      </c>
      <c r="M46" t="n">
        <v>0</v>
      </c>
      <c r="N46" t="n">
        <v>0</v>
      </c>
      <c r="O46" t="n">
        <v>6</v>
      </c>
      <c r="P46" t="n">
        <v>2</v>
      </c>
      <c r="Q46" t="n">
        <v>7</v>
      </c>
      <c r="R46" s="2" t="inlineStr">
        <is>
          <t>Knärot
Sprickporing
Doftskinn
Garnlav
Talltita
Tretåig hackspett
Revlummer</t>
        </is>
      </c>
      <c r="S46">
        <f>HYPERLINK("https://klasma.github.io/Logging_2380/artfynd/A 65938-2021 artfynd.xlsx", "A 65938-2021")</f>
        <v/>
      </c>
      <c r="T46">
        <f>HYPERLINK("https://klasma.github.io/Logging_2380/kartor/A 65938-2021 karta.png", "A 65938-2021")</f>
        <v/>
      </c>
      <c r="U46">
        <f>HYPERLINK("https://klasma.github.io/Logging_2380/knärot/A 65938-2021 karta knärot.png", "A 65938-2021")</f>
        <v/>
      </c>
      <c r="V46">
        <f>HYPERLINK("https://klasma.github.io/Logging_2380/klagomål/A 65938-2021 FSC-klagomål.docx", "A 65938-2021")</f>
        <v/>
      </c>
      <c r="W46">
        <f>HYPERLINK("https://klasma.github.io/Logging_2380/klagomålsmail/A 65938-2021 FSC-klagomål mail.docx", "A 65938-2021")</f>
        <v/>
      </c>
      <c r="X46">
        <f>HYPERLINK("https://klasma.github.io/Logging_2380/tillsyn/A 65938-2021 tillsynsbegäran.docx", "A 65938-2021")</f>
        <v/>
      </c>
      <c r="Y46">
        <f>HYPERLINK("https://klasma.github.io/Logging_2380/tillsynsmail/A 65938-2021 tillsynsbegäran mail.docx", "A 65938-2021")</f>
        <v/>
      </c>
      <c r="Z46">
        <f>HYPERLINK("https://klasma.github.io/Logging_2380/fåglar/A 65938-2021 prioriterade fågelarter.docx", "A 65938-2021")</f>
        <v/>
      </c>
    </row>
    <row r="47" ht="15" customHeight="1">
      <c r="A47" t="inlineStr">
        <is>
          <t>A 3341-2023</t>
        </is>
      </c>
      <c r="B47" s="1" t="n">
        <v>44945</v>
      </c>
      <c r="C47" s="1" t="n">
        <v>45781</v>
      </c>
      <c r="D47" t="inlineStr">
        <is>
          <t>JÄMTLANDS LÄN</t>
        </is>
      </c>
      <c r="E47" t="inlineStr">
        <is>
          <t>ÖSTERSUND</t>
        </is>
      </c>
      <c r="G47" t="n">
        <v>12.3</v>
      </c>
      <c r="H47" t="n">
        <v>1</v>
      </c>
      <c r="I47" t="n">
        <v>3</v>
      </c>
      <c r="J47" t="n">
        <v>3</v>
      </c>
      <c r="K47" t="n">
        <v>0</v>
      </c>
      <c r="L47" t="n">
        <v>0</v>
      </c>
      <c r="M47" t="n">
        <v>0</v>
      </c>
      <c r="N47" t="n">
        <v>0</v>
      </c>
      <c r="O47" t="n">
        <v>3</v>
      </c>
      <c r="P47" t="n">
        <v>0</v>
      </c>
      <c r="Q47" t="n">
        <v>7</v>
      </c>
      <c r="R47" s="2" t="inlineStr">
        <is>
          <t>Grantaggsvamp
Granticka
Äggvaxskivling
Finbräken
Kransrams
Trådfräken
Blåsippa</t>
        </is>
      </c>
      <c r="S47">
        <f>HYPERLINK("https://klasma.github.io/Logging_2380/artfynd/A 3341-2023 artfynd.xlsx", "A 3341-2023")</f>
        <v/>
      </c>
      <c r="T47">
        <f>HYPERLINK("https://klasma.github.io/Logging_2380/kartor/A 3341-2023 karta.png", "A 3341-2023")</f>
        <v/>
      </c>
      <c r="V47">
        <f>HYPERLINK("https://klasma.github.io/Logging_2380/klagomål/A 3341-2023 FSC-klagomål.docx", "A 3341-2023")</f>
        <v/>
      </c>
      <c r="W47">
        <f>HYPERLINK("https://klasma.github.io/Logging_2380/klagomålsmail/A 3341-2023 FSC-klagomål mail.docx", "A 3341-2023")</f>
        <v/>
      </c>
      <c r="X47">
        <f>HYPERLINK("https://klasma.github.io/Logging_2380/tillsyn/A 3341-2023 tillsynsbegäran.docx", "A 3341-2023")</f>
        <v/>
      </c>
      <c r="Y47">
        <f>HYPERLINK("https://klasma.github.io/Logging_2380/tillsynsmail/A 3341-2023 tillsynsbegäran mail.docx", "A 3341-2023")</f>
        <v/>
      </c>
    </row>
    <row r="48" ht="15" customHeight="1">
      <c r="A48" t="inlineStr">
        <is>
          <t>A 8120-2023</t>
        </is>
      </c>
      <c r="B48" s="1" t="n">
        <v>44970</v>
      </c>
      <c r="C48" s="1" t="n">
        <v>45781</v>
      </c>
      <c r="D48" t="inlineStr">
        <is>
          <t>JÄMTLANDS LÄN</t>
        </is>
      </c>
      <c r="E48" t="inlineStr">
        <is>
          <t>ÖSTERSUND</t>
        </is>
      </c>
      <c r="G48" t="n">
        <v>4</v>
      </c>
      <c r="H48" t="n">
        <v>2</v>
      </c>
      <c r="I48" t="n">
        <v>3</v>
      </c>
      <c r="J48" t="n">
        <v>3</v>
      </c>
      <c r="K48" t="n">
        <v>1</v>
      </c>
      <c r="L48" t="n">
        <v>0</v>
      </c>
      <c r="M48" t="n">
        <v>0</v>
      </c>
      <c r="N48" t="n">
        <v>0</v>
      </c>
      <c r="O48" t="n">
        <v>4</v>
      </c>
      <c r="P48" t="n">
        <v>1</v>
      </c>
      <c r="Q48" t="n">
        <v>7</v>
      </c>
      <c r="R48" s="2" t="inlineStr">
        <is>
          <t>Knärot
Garnlav
Lunglav
Skogsfru
Bårdlav
Luddlav
Stuplav</t>
        </is>
      </c>
      <c r="S48">
        <f>HYPERLINK("https://klasma.github.io/Logging_2380/artfynd/A 8120-2023 artfynd.xlsx", "A 8120-2023")</f>
        <v/>
      </c>
      <c r="T48">
        <f>HYPERLINK("https://klasma.github.io/Logging_2380/kartor/A 8120-2023 karta.png", "A 8120-2023")</f>
        <v/>
      </c>
      <c r="U48">
        <f>HYPERLINK("https://klasma.github.io/Logging_2380/knärot/A 8120-2023 karta knärot.png", "A 8120-2023")</f>
        <v/>
      </c>
      <c r="V48">
        <f>HYPERLINK("https://klasma.github.io/Logging_2380/klagomål/A 8120-2023 FSC-klagomål.docx", "A 8120-2023")</f>
        <v/>
      </c>
      <c r="W48">
        <f>HYPERLINK("https://klasma.github.io/Logging_2380/klagomålsmail/A 8120-2023 FSC-klagomål mail.docx", "A 8120-2023")</f>
        <v/>
      </c>
      <c r="X48">
        <f>HYPERLINK("https://klasma.github.io/Logging_2380/tillsyn/A 8120-2023 tillsynsbegäran.docx", "A 8120-2023")</f>
        <v/>
      </c>
      <c r="Y48">
        <f>HYPERLINK("https://klasma.github.io/Logging_2380/tillsynsmail/A 8120-2023 tillsynsbegäran mail.docx", "A 8120-2023")</f>
        <v/>
      </c>
    </row>
    <row r="49" ht="15" customHeight="1">
      <c r="A49" t="inlineStr">
        <is>
          <t>A 16369-2023</t>
        </is>
      </c>
      <c r="B49" s="1" t="n">
        <v>45028</v>
      </c>
      <c r="C49" s="1" t="n">
        <v>45781</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16688-2023</t>
        </is>
      </c>
      <c r="B50" s="1" t="n">
        <v>45028</v>
      </c>
      <c r="C50" s="1" t="n">
        <v>45781</v>
      </c>
      <c r="D50" t="inlineStr">
        <is>
          <t>JÄMTLANDS LÄN</t>
        </is>
      </c>
      <c r="E50" t="inlineStr">
        <is>
          <t>ÖSTERSUND</t>
        </is>
      </c>
      <c r="G50" t="n">
        <v>5</v>
      </c>
      <c r="H50" t="n">
        <v>1</v>
      </c>
      <c r="I50" t="n">
        <v>3</v>
      </c>
      <c r="J50" t="n">
        <v>2</v>
      </c>
      <c r="K50" t="n">
        <v>0</v>
      </c>
      <c r="L50" t="n">
        <v>1</v>
      </c>
      <c r="M50" t="n">
        <v>0</v>
      </c>
      <c r="N50" t="n">
        <v>0</v>
      </c>
      <c r="O50" t="n">
        <v>3</v>
      </c>
      <c r="P50" t="n">
        <v>1</v>
      </c>
      <c r="Q50" t="n">
        <v>7</v>
      </c>
      <c r="R50" s="2" t="inlineStr">
        <is>
          <t>Trolldruvemätare
Grantaggsvamp
Persiljespindling
Kransrams
Svart trolldruva
Underviol
Blåsippa</t>
        </is>
      </c>
      <c r="S50">
        <f>HYPERLINK("https://klasma.github.io/Logging_2380/artfynd/A 16688-2023 artfynd.xlsx", "A 16688-2023")</f>
        <v/>
      </c>
      <c r="T50">
        <f>HYPERLINK("https://klasma.github.io/Logging_2380/kartor/A 16688-2023 karta.png", "A 16688-2023")</f>
        <v/>
      </c>
      <c r="V50">
        <f>HYPERLINK("https://klasma.github.io/Logging_2380/klagomål/A 16688-2023 FSC-klagomål.docx", "A 16688-2023")</f>
        <v/>
      </c>
      <c r="W50">
        <f>HYPERLINK("https://klasma.github.io/Logging_2380/klagomålsmail/A 16688-2023 FSC-klagomål mail.docx", "A 16688-2023")</f>
        <v/>
      </c>
      <c r="X50">
        <f>HYPERLINK("https://klasma.github.io/Logging_2380/tillsyn/A 16688-2023 tillsynsbegäran.docx", "A 16688-2023")</f>
        <v/>
      </c>
      <c r="Y50">
        <f>HYPERLINK("https://klasma.github.io/Logging_2380/tillsynsmail/A 16688-2023 tillsynsbegäran mail.docx", "A 16688-2023")</f>
        <v/>
      </c>
    </row>
    <row r="51" ht="15" customHeight="1">
      <c r="A51" t="inlineStr">
        <is>
          <t>A 40777-2023</t>
        </is>
      </c>
      <c r="B51" s="1" t="n">
        <v>45170</v>
      </c>
      <c r="C51" s="1" t="n">
        <v>45781</v>
      </c>
      <c r="D51" t="inlineStr">
        <is>
          <t>JÄMTLANDS LÄN</t>
        </is>
      </c>
      <c r="E51" t="inlineStr">
        <is>
          <t>ÖSTERSUND</t>
        </is>
      </c>
      <c r="F51" t="inlineStr">
        <is>
          <t>SCA</t>
        </is>
      </c>
      <c r="G51" t="n">
        <v>16.4</v>
      </c>
      <c r="H51" t="n">
        <v>2</v>
      </c>
      <c r="I51" t="n">
        <v>1</v>
      </c>
      <c r="J51" t="n">
        <v>4</v>
      </c>
      <c r="K51" t="n">
        <v>1</v>
      </c>
      <c r="L51" t="n">
        <v>0</v>
      </c>
      <c r="M51" t="n">
        <v>0</v>
      </c>
      <c r="N51" t="n">
        <v>0</v>
      </c>
      <c r="O51" t="n">
        <v>5</v>
      </c>
      <c r="P51" t="n">
        <v>1</v>
      </c>
      <c r="Q51" t="n">
        <v>7</v>
      </c>
      <c r="R51" s="2" t="inlineStr">
        <is>
          <t>Doftticka
Lunglav
Stiftgelélav
Veckticka
Vedtrappmossa
Korallblylav
Blåsippa</t>
        </is>
      </c>
      <c r="S51">
        <f>HYPERLINK("https://klasma.github.io/Logging_2380/artfynd/A 40777-2023 artfynd.xlsx", "A 40777-2023")</f>
        <v/>
      </c>
      <c r="T51">
        <f>HYPERLINK("https://klasma.github.io/Logging_2380/kartor/A 40777-2023 karta.png", "A 40777-2023")</f>
        <v/>
      </c>
      <c r="V51">
        <f>HYPERLINK("https://klasma.github.io/Logging_2380/klagomål/A 40777-2023 FSC-klagomål.docx", "A 40777-2023")</f>
        <v/>
      </c>
      <c r="W51">
        <f>HYPERLINK("https://klasma.github.io/Logging_2380/klagomålsmail/A 40777-2023 FSC-klagomål mail.docx", "A 40777-2023")</f>
        <v/>
      </c>
      <c r="X51">
        <f>HYPERLINK("https://klasma.github.io/Logging_2380/tillsyn/A 40777-2023 tillsynsbegäran.docx", "A 40777-2023")</f>
        <v/>
      </c>
      <c r="Y51">
        <f>HYPERLINK("https://klasma.github.io/Logging_2380/tillsynsmail/A 40777-2023 tillsynsbegäran mail.docx", "A 40777-2023")</f>
        <v/>
      </c>
    </row>
    <row r="52" ht="15" customHeight="1">
      <c r="A52" t="inlineStr">
        <is>
          <t>A 60852-2023</t>
        </is>
      </c>
      <c r="B52" s="1" t="n">
        <v>45260</v>
      </c>
      <c r="C52" s="1" t="n">
        <v>45781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45781</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45781</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45781</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45781</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45781</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45781</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45781</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45781</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45781</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45781</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45781</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45781</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45781</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45781</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45781</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45781</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45781</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45781</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45781</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45781</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45781</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45781</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45781</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45781</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45781</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45781</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45781</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45781</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45781</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45781</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45781</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45781</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45781</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45781</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45781</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45781</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45781</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45781</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45781</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45781</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45781</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45781</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45781</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45781</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45781</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45781</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45781</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45781</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45781</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45781</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45781</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45781</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45781</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45781</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45781</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45781</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45781</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45781</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45781</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45781</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45781</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45781</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45781</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45781</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45781</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45781</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45781</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45781</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45781</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45781</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45781</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45781</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45781</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45781</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45781</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45781</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45781</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45781</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45781</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45781</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45781</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45781</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45781</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45781</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45781</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45781</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45781</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45781</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45781</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45781</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45781</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45781</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45781</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45781</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45781</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45781</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45781</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45781</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45781</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45781</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45781</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45781</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45781</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45781</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45781</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45781</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45781</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45781</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45781</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45781</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45781</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45781</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45781</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45781</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45781</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45781</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45781</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45781</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45781</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45781</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45781</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45781</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45781</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45781</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45781</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45781</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45781</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45781</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45781</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45781</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45781</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45781</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45781</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45781</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45781</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45781</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45781</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45781</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45781</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45781</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45781</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45781</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45781</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45781</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45781</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45781</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45781</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45781</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45781</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45781</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45781</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45781</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45781</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45781</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45781</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45781</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45781</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45781</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45781</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45781</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45781</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45781</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45781</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45781</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45781</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45781</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45781</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45781</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45781</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45781</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45781</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45781</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45781</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45781</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45781</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45781</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45781</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45781</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45781</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45781</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45781</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45781</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45781</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45781</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45781</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45781</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45781</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45781</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45781</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45781</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45781</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45781</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45781</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45781</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45781</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45781</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45781</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45781</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45781</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45781</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45781</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45781</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45781</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45781</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45781</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45781</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45781</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45781</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45781</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45781</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45781</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45781</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45781</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45781</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45781</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45781</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45781</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45781</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45781</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45781</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45781</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45781</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45781</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45781</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45781</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45781</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45781</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45781</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45781</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45781</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45781</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45781</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45781</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45781</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45781</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45781</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45781</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45781</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45781</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45781</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45781</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45781</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45781</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45781</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45781</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45781</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45781</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45781</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45781</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45781</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45781</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45781</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45781</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45781</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45781</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45781</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45781</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45781</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45781</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45781</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45781</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45781</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45781</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45781</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45781</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45781</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45781</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45781</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45781</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45781</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45781</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45781</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45781</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45781</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45781</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45781</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45781</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45781</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45781</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45781</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45781</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45781</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45781</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45781</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45781</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45781</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45781</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45781</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45781</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45781</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45781</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45781</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45781</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45781</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45781</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45781</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45781</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45781</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45781</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45781</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45781</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45781</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45781</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45781</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45781</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45781</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45781</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45781</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45781</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45781</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45781</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45781</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45781</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45781</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45781</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45781</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45781</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45781</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45781</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45781</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45781</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45781</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45781</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45781</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45781</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45781</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45781</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45781</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45781</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45781</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45781</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45781</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45781</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45781</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45781</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45781</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45781</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45781</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45781</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45781</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45781</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45781</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45781</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45781</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45781</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45781</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45781</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45781</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45781</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45781</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45781</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45781</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45781</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45781</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45781</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45781</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45781</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45781</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45781</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45781</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45781</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45781</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45781</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45781</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45781</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45781</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45781</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45781</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45781</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45781</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45781</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45781</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45781</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45781</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45781</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45781</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45781</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45781</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45781</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45781</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45781</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45781</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45781</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45781</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45781</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45781</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45781</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45781</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45781</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45781</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45781</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45781</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45781</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45781</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45781</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45781</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45781</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45781</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45781</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45781</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45781</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45781</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45781</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45781</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45781</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45781</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45781</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45781</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45781</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45781</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45781</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45781</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45781</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45781</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45781</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45781</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45781</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45781</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45781</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45781</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45781</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45781</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45781</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45781</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45781</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45781</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45781</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45781</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45781</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45781</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45781</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45781</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45781</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45781</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45781</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45781</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45781</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45781</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45781</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45781</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45781</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45781</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45781</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45781</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45781</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45781</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45781</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45781</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45781</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45781</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45781</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45781</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45781</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45781</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45781</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45781</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45781</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45781</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45781</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45781</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45781</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45781</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45781</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45781</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45781</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45781</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45781</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45781</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45781</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45781</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45781</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45781</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45781</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45781</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45781</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45781</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45781</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45781</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45781</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45781</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45781</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45781</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45781</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45781</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45781</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45781</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45781</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45781</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45781</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45781</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45781</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45781</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45781</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45781</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45781</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45781</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45781</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45781</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45781</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45781</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45781</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45781</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45781</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45781</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45781</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45781</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45781</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45781</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45781</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45781</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45781</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45781</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45781</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45781</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45781</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45781</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45781</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45781</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45781</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45781</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45781</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45781</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45781</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45781</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45781</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45781</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45781</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45781</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45781</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45781</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45781</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45781</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45781</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45781</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45781</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45781</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45781</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45781</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45781</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45781</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45781</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45781</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45781</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45781</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45781</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45781</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45781</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45781</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45781</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45781</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45781</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45781</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45781</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45781</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45781</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45781</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45781</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45781</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45781</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45781</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45781</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45781</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45781</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45781</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45781</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45781</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45781</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45781</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45781</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45781</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45781</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45781</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45781</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45781</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45781</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45781</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45781</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45781</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45781</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45781</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45781</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45781</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45781</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45781</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45781</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45781</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45781</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45781</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45781</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45781</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45781</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45781</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45781</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45781</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45781</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45781</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45781</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45781</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45781</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45781</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45781</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45781</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45781</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45781</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45781</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45781</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45781</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45781</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45781</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45781</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45781</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45781</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45781</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45781</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45781</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45781</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45781</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45781</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45781</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45781</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45781</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45781</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45781</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45781</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45781</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45781</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45781</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45781</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45781</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45781</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45781</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45781</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45781</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45781</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45781</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45781</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45781</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45781</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45781</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45781</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45781</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45781</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45781</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45781</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45781</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45781</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45781</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45781</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45781</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45781</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45781</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45781</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45781</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45781</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45781</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45781</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45781</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45781</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45781</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45781</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45781</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45781</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45781</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45781</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45781</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45781</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45781</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45781</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45781</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45781</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45781</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45781</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45781</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45781</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45781</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45781</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45781</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45781</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45781</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45781</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45781</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45781</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45781</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45781</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45781</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45781</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45781</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45781</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45781</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45781</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45781</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45781</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45781</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45781</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45781</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45781</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45781</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45781</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45781</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45781</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45781</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45781</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45781</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45781</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45781</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45781</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45781</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45781</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45781</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45781</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45781</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45781</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45781</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45781</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45781</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45781</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45781</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45781</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45781</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45781</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45781</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45781</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45781</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45781</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45781</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45781</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45781</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45781</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45781</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45781</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45781</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45781</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45781</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45781</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45781</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45781</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45781</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45781</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45781</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45781</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45781</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45781</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45781</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45781</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45781</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45781</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45781</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45781</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45781</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45781</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45781</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45781</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45781</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45781</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45781</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45781</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45781</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45781</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45781</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45781</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45781</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45781</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45781</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45781</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45781</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45781</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45781</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45781</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45781</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45781</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45781</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45781</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45781</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45781</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45781</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45781</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45781</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45781</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45781</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45781</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45781</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45781</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45781</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45781</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45781</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45781</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45781</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45781</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45781</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45781</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45781</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45781</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45781</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45781</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45781</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45781</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45781</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45781</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45781</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45781</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45781</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45781</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45781</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45781</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45781</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45781</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45781</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45781</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45781</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45781</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45781</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45781</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45781</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45781</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45781</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45781</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45781</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45781</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45781</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45781</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45781</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45781</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45781</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45781</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45781</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45781</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45781</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45781</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45781</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45781</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45781</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45781</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45781</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45781</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45781</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45781</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45781</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45781</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45781</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45781</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45781</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45781</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45781</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45781</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45781</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45781</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45781</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45781</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45781</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45781</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45781</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45781</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45781</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45781</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45781</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45781</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45781</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45781</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45781</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45781</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45781</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45781</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45781</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45781</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45781</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45781</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45781</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45781</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45781</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45781</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45781</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45781</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45781</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45781</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45781</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45781</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45781</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45781</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45781</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45781</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45781</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45781</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45781</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45781</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45781</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45781</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45781</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45781</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45781</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45781</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45781</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45781</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45781</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45781</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45781</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45781</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45781</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45781</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45781</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45781</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45781</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45781</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45781</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45781</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45781</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45781</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45781</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45781</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45781</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45781</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45781</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45781</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45781</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45781</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45781</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45781</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45781</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45781</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45781</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45781</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45781</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45781</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45781</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45781</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45781</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45781</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45781</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45781</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45781</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45781</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45781</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45781</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45781</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45781</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45781</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45781</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45781</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45781</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45781</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45781</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45781</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45781</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45781</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45781</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45781</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45781</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45781</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45781</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45781</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45781</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45781</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45781</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45781</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45781</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45781</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45781</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45781</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45781</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45781</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45781</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45781</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45781</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45781</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45781</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45781</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45781</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45781</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45781</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45781</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45781</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45781</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45781</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45781</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45781</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45781</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45781</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45781</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45781</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45781</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45781</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45781</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45781</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45781</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45781</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45781</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45781</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45781</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45781</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45781</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45781</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45781</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45781</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45781</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45781</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45781</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45781</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45781</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45781</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45781</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45781</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45781</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45781</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45781</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45781</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45781</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45781</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45781</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45781</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45781</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45781</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45781</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45781</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45781</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45781</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45781</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45781</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45781</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45781</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45781</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45781</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45781</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45781</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45781</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45781</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45781</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45781</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45781</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45781</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45781</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45781</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45781</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45781</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45781</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45781</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45781</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45781</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45781</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45781</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45781</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45781</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45781</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45781</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45781</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45781</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45781</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45781</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45781</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45781</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45781</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45781</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45781</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45781</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45781</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45781</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45781</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45781</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45781</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45781</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45781</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45781</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45781</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45781</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45781</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45781</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45781</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45781</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45781</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45781</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45781</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45781</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45781</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45781</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45781</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45781</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45781</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45781</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45781</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45781</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45781</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45781</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45781</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45781</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45781</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45781</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45781</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45781</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45781</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45781</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45781</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45781</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19664-2025</t>
        </is>
      </c>
      <c r="B1149" s="1" t="n">
        <v>45770</v>
      </c>
      <c r="C1149" s="1" t="n">
        <v>45781</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45781</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45781</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45781</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45781</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45781</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45781</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45781</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45781</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45781</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c r="A1159" t="inlineStr">
        <is>
          <t>A 21237-2025</t>
        </is>
      </c>
      <c r="B1159" s="1" t="n">
        <v>45779</v>
      </c>
      <c r="C1159" s="1" t="n">
        <v>45781</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2025-05-04T21:28:07Z</dcterms:created>
  <dcterms:modified xmlns:dcterms="http://purl.org/dc/terms/" xmlns:xsi="http://www.w3.org/2001/XMLSchema-instance" xsi:type="dcterms:W3CDTF">2025-05-04T21:28:08Z</dcterms:modified>
</cp:coreProperties>
</file>