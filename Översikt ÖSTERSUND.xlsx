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46029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46029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46029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46029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46029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46029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46029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46029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46029</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46029</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46029</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46029</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46029</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46029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46029</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46029</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46029</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46029</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46029</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46029</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46029</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56899-2025</t>
        </is>
      </c>
      <c r="B24" s="1" t="n">
        <v>45978.57238425926</v>
      </c>
      <c r="C24" s="1" t="n">
        <v>46029</v>
      </c>
      <c r="D24" t="inlineStr">
        <is>
          <t>JÄMTLANDS LÄN</t>
        </is>
      </c>
      <c r="E24" t="inlineStr">
        <is>
          <t>ÖSTERSUND</t>
        </is>
      </c>
      <c r="G24" t="n">
        <v>23.2</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56899-2025 artfynd.xlsx", "A 56899-2025")</f>
        <v/>
      </c>
      <c r="T24">
        <f>HYPERLINK("https://klasma.github.io/Logging_2380/kartor/A 56899-2025 karta.png", "A 56899-2025")</f>
        <v/>
      </c>
      <c r="V24">
        <f>HYPERLINK("https://klasma.github.io/Logging_2380/klagomål/A 56899-2025 FSC-klagomål.docx", "A 56899-2025")</f>
        <v/>
      </c>
      <c r="W24">
        <f>HYPERLINK("https://klasma.github.io/Logging_2380/klagomålsmail/A 56899-2025 FSC-klagomål mail.docx", "A 56899-2025")</f>
        <v/>
      </c>
      <c r="X24">
        <f>HYPERLINK("https://klasma.github.io/Logging_2380/tillsyn/A 56899-2025 tillsynsbegäran.docx", "A 56899-2025")</f>
        <v/>
      </c>
      <c r="Y24">
        <f>HYPERLINK("https://klasma.github.io/Logging_2380/tillsynsmail/A 56899-2025 tillsynsbegäran mail.docx", "A 56899-2025")</f>
        <v/>
      </c>
      <c r="Z24">
        <f>HYPERLINK("https://klasma.github.io/Logging_2380/fåglar/A 56899-2025 prioriterade fågelarter.docx", "A 56899-2025")</f>
        <v/>
      </c>
    </row>
    <row r="25" ht="15" customHeight="1">
      <c r="A25" t="inlineStr">
        <is>
          <t>A 39541-2025</t>
        </is>
      </c>
      <c r="B25" s="1" t="n">
        <v>45890.45399305555</v>
      </c>
      <c r="C25" s="1" t="n">
        <v>46029</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46029</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55314-2024</t>
        </is>
      </c>
      <c r="B27" s="1" t="n">
        <v>45621</v>
      </c>
      <c r="C27" s="1" t="n">
        <v>46029</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48959-2025</t>
        </is>
      </c>
      <c r="B28" s="1" t="n">
        <v>45937.55055555556</v>
      </c>
      <c r="C28" s="1" t="n">
        <v>46029</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48030-2025</t>
        </is>
      </c>
      <c r="B29" s="1" t="n">
        <v>45932.65210648148</v>
      </c>
      <c r="C29" s="1" t="n">
        <v>46029</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61766-2024</t>
        </is>
      </c>
      <c r="B30" s="1" t="n">
        <v>45649</v>
      </c>
      <c r="C30" s="1" t="n">
        <v>46029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46029</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46029</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46029</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46029</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45224-2024</t>
        </is>
      </c>
      <c r="B35" s="1" t="n">
        <v>45575.77440972222</v>
      </c>
      <c r="C35" s="1" t="n">
        <v>46029</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46029</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46029</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34816-2024</t>
        </is>
      </c>
      <c r="B38" s="1" t="n">
        <v>45526</v>
      </c>
      <c r="C38" s="1" t="n">
        <v>46029</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17716-2024</t>
        </is>
      </c>
      <c r="B39" s="1" t="n">
        <v>45415</v>
      </c>
      <c r="C39" s="1" t="n">
        <v>46029</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7710-2024</t>
        </is>
      </c>
      <c r="B40" s="1" t="n">
        <v>45349</v>
      </c>
      <c r="C40" s="1" t="n">
        <v>46029</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46029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46029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55039-2025</t>
        </is>
      </c>
      <c r="B43" s="1" t="n">
        <v>45967.65594907408</v>
      </c>
      <c r="C43" s="1" t="n">
        <v>46029</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56648-2025</t>
        </is>
      </c>
      <c r="B44" s="1" t="n">
        <v>45975.63604166666</v>
      </c>
      <c r="C44" s="1" t="n">
        <v>46029</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10744-2024</t>
        </is>
      </c>
      <c r="B45" s="1" t="n">
        <v>45369</v>
      </c>
      <c r="C45" s="1" t="n">
        <v>46029</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46029</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46029</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52297-2025</t>
        </is>
      </c>
      <c r="B48" s="1" t="n">
        <v>45953.61092592592</v>
      </c>
      <c r="C48" s="1" t="n">
        <v>46029</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53292-2025</t>
        </is>
      </c>
      <c r="B49" s="1" t="n">
        <v>45958</v>
      </c>
      <c r="C49" s="1" t="n">
        <v>46029</v>
      </c>
      <c r="D49" t="inlineStr">
        <is>
          <t>JÄMTLANDS LÄN</t>
        </is>
      </c>
      <c r="E49" t="inlineStr">
        <is>
          <t>ÖSTERSUND</t>
        </is>
      </c>
      <c r="G49" t="n">
        <v>3</v>
      </c>
      <c r="H49" t="n">
        <v>5</v>
      </c>
      <c r="I49" t="n">
        <v>0</v>
      </c>
      <c r="J49" t="n">
        <v>3</v>
      </c>
      <c r="K49" t="n">
        <v>1</v>
      </c>
      <c r="L49" t="n">
        <v>0</v>
      </c>
      <c r="M49" t="n">
        <v>0</v>
      </c>
      <c r="N49" t="n">
        <v>0</v>
      </c>
      <c r="O49" t="n">
        <v>4</v>
      </c>
      <c r="P49" t="n">
        <v>1</v>
      </c>
      <c r="Q49" t="n">
        <v>7</v>
      </c>
      <c r="R49" s="2" t="inlineStr">
        <is>
          <t>Knärot
Garnlav
Granticka
Talltita
Kungsfågel
Blåsippa
Revlummer</t>
        </is>
      </c>
      <c r="S49">
        <f>HYPERLINK("https://klasma.github.io/Logging_2380/artfynd/A 53292-2025 artfynd.xlsx", "A 53292-2025")</f>
        <v/>
      </c>
      <c r="T49">
        <f>HYPERLINK("https://klasma.github.io/Logging_2380/kartor/A 53292-2025 karta.png", "A 53292-2025")</f>
        <v/>
      </c>
      <c r="U49">
        <f>HYPERLINK("https://klasma.github.io/Logging_2380/knärot/A 53292-2025 karta knärot.png", "A 53292-2025")</f>
        <v/>
      </c>
      <c r="V49">
        <f>HYPERLINK("https://klasma.github.io/Logging_2380/klagomål/A 53292-2025 FSC-klagomål.docx", "A 53292-2025")</f>
        <v/>
      </c>
      <c r="W49">
        <f>HYPERLINK("https://klasma.github.io/Logging_2380/klagomålsmail/A 53292-2025 FSC-klagomål mail.docx", "A 53292-2025")</f>
        <v/>
      </c>
      <c r="X49">
        <f>HYPERLINK("https://klasma.github.io/Logging_2380/tillsyn/A 53292-2025 tillsynsbegäran.docx", "A 53292-2025")</f>
        <v/>
      </c>
      <c r="Y49">
        <f>HYPERLINK("https://klasma.github.io/Logging_2380/tillsynsmail/A 53292-2025 tillsynsbegäran mail.docx", "A 53292-2025")</f>
        <v/>
      </c>
      <c r="Z49">
        <f>HYPERLINK("https://klasma.github.io/Logging_2380/fåglar/A 53292-2025 prioriterade fågelarter.docx", "A 53292-2025")</f>
        <v/>
      </c>
    </row>
    <row r="50" ht="15" customHeight="1">
      <c r="A50" t="inlineStr">
        <is>
          <t>A 39586-2025</t>
        </is>
      </c>
      <c r="B50" s="1" t="n">
        <v>45890</v>
      </c>
      <c r="C50" s="1" t="n">
        <v>46029</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26372-2025</t>
        </is>
      </c>
      <c r="B51" s="1" t="n">
        <v>45806</v>
      </c>
      <c r="C51" s="1" t="n">
        <v>46029</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44741-2025</t>
        </is>
      </c>
      <c r="B52" s="1" t="n">
        <v>45917.66619212963</v>
      </c>
      <c r="C52" s="1" t="n">
        <v>46029</v>
      </c>
      <c r="D52" t="inlineStr">
        <is>
          <t>JÄMTLANDS LÄN</t>
        </is>
      </c>
      <c r="E52" t="inlineStr">
        <is>
          <t>ÖSTERSUND</t>
        </is>
      </c>
      <c r="G52" t="n">
        <v>14.4</v>
      </c>
      <c r="H52" t="n">
        <v>3</v>
      </c>
      <c r="I52" t="n">
        <v>2</v>
      </c>
      <c r="J52" t="n">
        <v>3</v>
      </c>
      <c r="K52" t="n">
        <v>1</v>
      </c>
      <c r="L52" t="n">
        <v>0</v>
      </c>
      <c r="M52" t="n">
        <v>0</v>
      </c>
      <c r="N52" t="n">
        <v>0</v>
      </c>
      <c r="O52" t="n">
        <v>4</v>
      </c>
      <c r="P52" t="n">
        <v>1</v>
      </c>
      <c r="Q52" t="n">
        <v>7</v>
      </c>
      <c r="R52" s="2" t="inlineStr">
        <is>
          <t>Knärot
Garnlav
Talltita
Ullticka
Kransrams
Svavelriska
Revlummer</t>
        </is>
      </c>
      <c r="S52">
        <f>HYPERLINK("https://klasma.github.io/Logging_2380/artfynd/A 44741-2025 artfynd.xlsx", "A 44741-2025")</f>
        <v/>
      </c>
      <c r="T52">
        <f>HYPERLINK("https://klasma.github.io/Logging_2380/kartor/A 44741-2025 karta.png", "A 44741-2025")</f>
        <v/>
      </c>
      <c r="U52">
        <f>HYPERLINK("https://klasma.github.io/Logging_2380/knärot/A 44741-2025 karta knärot.png", "A 44741-2025")</f>
        <v/>
      </c>
      <c r="V52">
        <f>HYPERLINK("https://klasma.github.io/Logging_2380/klagomål/A 44741-2025 FSC-klagomål.docx", "A 44741-2025")</f>
        <v/>
      </c>
      <c r="W52">
        <f>HYPERLINK("https://klasma.github.io/Logging_2380/klagomålsmail/A 44741-2025 FSC-klagomål mail.docx", "A 44741-2025")</f>
        <v/>
      </c>
      <c r="X52">
        <f>HYPERLINK("https://klasma.github.io/Logging_2380/tillsyn/A 44741-2025 tillsynsbegäran.docx", "A 44741-2025")</f>
        <v/>
      </c>
      <c r="Y52">
        <f>HYPERLINK("https://klasma.github.io/Logging_2380/tillsynsmail/A 44741-2025 tillsynsbegäran mail.docx", "A 44741-2025")</f>
        <v/>
      </c>
      <c r="Z52">
        <f>HYPERLINK("https://klasma.github.io/Logging_2380/fåglar/A 44741-2025 prioriterade fågelarter.docx", "A 44741-2025")</f>
        <v/>
      </c>
    </row>
    <row r="53" ht="15" customHeight="1">
      <c r="A53" t="inlineStr">
        <is>
          <t>A 50529-2025</t>
        </is>
      </c>
      <c r="B53" s="1" t="n">
        <v>45945.47331018518</v>
      </c>
      <c r="C53" s="1" t="n">
        <v>46029</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48736-2025</t>
        </is>
      </c>
      <c r="B54" s="1" t="n">
        <v>45936.66547453704</v>
      </c>
      <c r="C54" s="1" t="n">
        <v>46029</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57729-2025</t>
        </is>
      </c>
      <c r="B55" s="1" t="n">
        <v>45981.50630787037</v>
      </c>
      <c r="C55" s="1" t="n">
        <v>46029</v>
      </c>
      <c r="D55" t="inlineStr">
        <is>
          <t>JÄMTLANDS LÄN</t>
        </is>
      </c>
      <c r="E55" t="inlineStr">
        <is>
          <t>ÖSTERSUND</t>
        </is>
      </c>
      <c r="G55" t="n">
        <v>5.2</v>
      </c>
      <c r="H55" t="n">
        <v>3</v>
      </c>
      <c r="I55" t="n">
        <v>2</v>
      </c>
      <c r="J55" t="n">
        <v>4</v>
      </c>
      <c r="K55" t="n">
        <v>0</v>
      </c>
      <c r="L55" t="n">
        <v>0</v>
      </c>
      <c r="M55" t="n">
        <v>0</v>
      </c>
      <c r="N55" t="n">
        <v>0</v>
      </c>
      <c r="O55" t="n">
        <v>4</v>
      </c>
      <c r="P55" t="n">
        <v>0</v>
      </c>
      <c r="Q55" t="n">
        <v>7</v>
      </c>
      <c r="R55" s="2" t="inlineStr">
        <is>
          <t>Granticka
Kråka
Talltita
Ullticka
Stuplav
Vedticka
Revlummer</t>
        </is>
      </c>
      <c r="S55">
        <f>HYPERLINK("https://klasma.github.io/Logging_2380/artfynd/A 57729-2025 artfynd.xlsx", "A 57729-2025")</f>
        <v/>
      </c>
      <c r="T55">
        <f>HYPERLINK("https://klasma.github.io/Logging_2380/kartor/A 57729-2025 karta.png", "A 57729-2025")</f>
        <v/>
      </c>
      <c r="V55">
        <f>HYPERLINK("https://klasma.github.io/Logging_2380/klagomål/A 57729-2025 FSC-klagomål.docx", "A 57729-2025")</f>
        <v/>
      </c>
      <c r="W55">
        <f>HYPERLINK("https://klasma.github.io/Logging_2380/klagomålsmail/A 57729-2025 FSC-klagomål mail.docx", "A 57729-2025")</f>
        <v/>
      </c>
      <c r="X55">
        <f>HYPERLINK("https://klasma.github.io/Logging_2380/tillsyn/A 57729-2025 tillsynsbegäran.docx", "A 57729-2025")</f>
        <v/>
      </c>
      <c r="Y55">
        <f>HYPERLINK("https://klasma.github.io/Logging_2380/tillsynsmail/A 57729-2025 tillsynsbegäran mail.docx", "A 57729-2025")</f>
        <v/>
      </c>
      <c r="Z55">
        <f>HYPERLINK("https://klasma.github.io/Logging_2380/fåglar/A 57729-2025 prioriterade fågelarter.docx", "A 57729-2025")</f>
        <v/>
      </c>
    </row>
    <row r="56" ht="15" customHeight="1">
      <c r="A56" t="inlineStr">
        <is>
          <t>A 54608-2023</t>
        </is>
      </c>
      <c r="B56" s="1" t="n">
        <v>45233</v>
      </c>
      <c r="C56" s="1" t="n">
        <v>46029</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46029</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46029</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46029</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46029</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46029</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46029</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40555-2024</t>
        </is>
      </c>
      <c r="B63" s="1" t="n">
        <v>45555</v>
      </c>
      <c r="C63" s="1" t="n">
        <v>46029</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61153-2024</t>
        </is>
      </c>
      <c r="B64" s="1" t="n">
        <v>45645</v>
      </c>
      <c r="C64" s="1" t="n">
        <v>46029</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18338-2025</t>
        </is>
      </c>
      <c r="B65" s="1" t="n">
        <v>45762.51075231482</v>
      </c>
      <c r="C65" s="1" t="n">
        <v>46029</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61212-2025</t>
        </is>
      </c>
      <c r="B66" s="1" t="n">
        <v>46000.61640046296</v>
      </c>
      <c r="C66" s="1" t="n">
        <v>46029</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46029</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46029</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46029</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46029</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46029</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39941-2024</t>
        </is>
      </c>
      <c r="B72" s="1" t="n">
        <v>45553</v>
      </c>
      <c r="C72" s="1" t="n">
        <v>46029</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45979-2023</t>
        </is>
      </c>
      <c r="B73" s="1" t="n">
        <v>45189</v>
      </c>
      <c r="C73" s="1" t="n">
        <v>46029</v>
      </c>
      <c r="D73" t="inlineStr">
        <is>
          <t>JÄMTLANDS LÄN</t>
        </is>
      </c>
      <c r="E73" t="inlineStr">
        <is>
          <t>ÖSTERSUND</t>
        </is>
      </c>
      <c r="G73" t="n">
        <v>3.3</v>
      </c>
      <c r="H73" t="n">
        <v>3</v>
      </c>
      <c r="I73" t="n">
        <v>2</v>
      </c>
      <c r="J73" t="n">
        <v>0</v>
      </c>
      <c r="K73" t="n">
        <v>0</v>
      </c>
      <c r="L73" t="n">
        <v>1</v>
      </c>
      <c r="M73" t="n">
        <v>0</v>
      </c>
      <c r="N73" t="n">
        <v>0</v>
      </c>
      <c r="O73" t="n">
        <v>1</v>
      </c>
      <c r="P73" t="n">
        <v>1</v>
      </c>
      <c r="Q73" t="n">
        <v>5</v>
      </c>
      <c r="R73" s="2" t="inlineStr">
        <is>
          <t>Trolldruvemätare
Svart trolldruva
Tvåblad
Dactylorhiza incarnata subsp. incarnata
Ängsnycklar</t>
        </is>
      </c>
      <c r="S73">
        <f>HYPERLINK("https://klasma.github.io/Logging_2380/artfynd/A 45979-2023 artfynd.xlsx", "A 45979-2023")</f>
        <v/>
      </c>
      <c r="T73">
        <f>HYPERLINK("https://klasma.github.io/Logging_2380/kartor/A 45979-2023 karta.png", "A 45979-2023")</f>
        <v/>
      </c>
      <c r="V73">
        <f>HYPERLINK("https://klasma.github.io/Logging_2380/klagomål/A 45979-2023 FSC-klagomål.docx", "A 45979-2023")</f>
        <v/>
      </c>
      <c r="W73">
        <f>HYPERLINK("https://klasma.github.io/Logging_2380/klagomålsmail/A 45979-2023 FSC-klagomål mail.docx", "A 45979-2023")</f>
        <v/>
      </c>
      <c r="X73">
        <f>HYPERLINK("https://klasma.github.io/Logging_2380/tillsyn/A 45979-2023 tillsynsbegäran.docx", "A 45979-2023")</f>
        <v/>
      </c>
      <c r="Y73">
        <f>HYPERLINK("https://klasma.github.io/Logging_2380/tillsynsmail/A 45979-2023 tillsynsbegäran mail.docx", "A 45979-2023")</f>
        <v/>
      </c>
    </row>
    <row r="74" ht="15" customHeight="1">
      <c r="A74" t="inlineStr">
        <is>
          <t>A 54731-2024</t>
        </is>
      </c>
      <c r="B74" s="1" t="n">
        <v>45618.43853009259</v>
      </c>
      <c r="C74" s="1" t="n">
        <v>46029</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38334-2023</t>
        </is>
      </c>
      <c r="B75" s="1" t="n">
        <v>45161</v>
      </c>
      <c r="C75" s="1" t="n">
        <v>46029</v>
      </c>
      <c r="D75" t="inlineStr">
        <is>
          <t>JÄMTLANDS LÄN</t>
        </is>
      </c>
      <c r="E75" t="inlineStr">
        <is>
          <t>ÖSTERSUND</t>
        </is>
      </c>
      <c r="G75" t="n">
        <v>10.5</v>
      </c>
      <c r="H75" t="n">
        <v>1</v>
      </c>
      <c r="I75" t="n">
        <v>0</v>
      </c>
      <c r="J75" t="n">
        <v>3</v>
      </c>
      <c r="K75" t="n">
        <v>2</v>
      </c>
      <c r="L75" t="n">
        <v>0</v>
      </c>
      <c r="M75" t="n">
        <v>0</v>
      </c>
      <c r="N75" t="n">
        <v>0</v>
      </c>
      <c r="O75" t="n">
        <v>5</v>
      </c>
      <c r="P75" t="n">
        <v>2</v>
      </c>
      <c r="Q75" t="n">
        <v>5</v>
      </c>
      <c r="R75" s="2" t="inlineStr">
        <is>
          <t>Rynkskinn
Violett fingersvamp
Granticka
Harticka
Tretåig hackspett</t>
        </is>
      </c>
      <c r="S75">
        <f>HYPERLINK("https://klasma.github.io/Logging_2380/artfynd/A 38334-2023 artfynd.xlsx", "A 38334-2023")</f>
        <v/>
      </c>
      <c r="T75">
        <f>HYPERLINK("https://klasma.github.io/Logging_2380/kartor/A 38334-2023 karta.png", "A 38334-2023")</f>
        <v/>
      </c>
      <c r="V75">
        <f>HYPERLINK("https://klasma.github.io/Logging_2380/klagomål/A 38334-2023 FSC-klagomål.docx", "A 38334-2023")</f>
        <v/>
      </c>
      <c r="W75">
        <f>HYPERLINK("https://klasma.github.io/Logging_2380/klagomålsmail/A 38334-2023 FSC-klagomål mail.docx", "A 38334-2023")</f>
        <v/>
      </c>
      <c r="X75">
        <f>HYPERLINK("https://klasma.github.io/Logging_2380/tillsyn/A 38334-2023 tillsynsbegäran.docx", "A 38334-2023")</f>
        <v/>
      </c>
      <c r="Y75">
        <f>HYPERLINK("https://klasma.github.io/Logging_2380/tillsynsmail/A 38334-2023 tillsynsbegäran mail.docx", "A 38334-2023")</f>
        <v/>
      </c>
      <c r="Z75">
        <f>HYPERLINK("https://klasma.github.io/Logging_2380/fåglar/A 38334-2023 prioriterade fågelarter.docx", "A 38334-2023")</f>
        <v/>
      </c>
    </row>
    <row r="76" ht="15" customHeight="1">
      <c r="A76" t="inlineStr">
        <is>
          <t>A 62060-2025</t>
        </is>
      </c>
      <c r="B76" s="1" t="n">
        <v>46006.34435185185</v>
      </c>
      <c r="C76" s="1" t="n">
        <v>46029</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56934-2025</t>
        </is>
      </c>
      <c r="B77" s="1" t="n">
        <v>45978.61351851852</v>
      </c>
      <c r="C77" s="1" t="n">
        <v>46029</v>
      </c>
      <c r="D77" t="inlineStr">
        <is>
          <t>JÄMTLANDS LÄN</t>
        </is>
      </c>
      <c r="E77" t="inlineStr">
        <is>
          <t>ÖSTERSUND</t>
        </is>
      </c>
      <c r="G77" t="n">
        <v>4.3</v>
      </c>
      <c r="H77" t="n">
        <v>2</v>
      </c>
      <c r="I77" t="n">
        <v>0</v>
      </c>
      <c r="J77" t="n">
        <v>4</v>
      </c>
      <c r="K77" t="n">
        <v>0</v>
      </c>
      <c r="L77" t="n">
        <v>0</v>
      </c>
      <c r="M77" t="n">
        <v>0</v>
      </c>
      <c r="N77" t="n">
        <v>0</v>
      </c>
      <c r="O77" t="n">
        <v>4</v>
      </c>
      <c r="P77" t="n">
        <v>0</v>
      </c>
      <c r="Q77" t="n">
        <v>5</v>
      </c>
      <c r="R77" s="2" t="inlineStr">
        <is>
          <t>Garnlav
Granticka
Harticka
Talltita
Revlummer</t>
        </is>
      </c>
      <c r="S77">
        <f>HYPERLINK("https://klasma.github.io/Logging_2380/artfynd/A 56934-2025 artfynd.xlsx", "A 56934-2025")</f>
        <v/>
      </c>
      <c r="T77">
        <f>HYPERLINK("https://klasma.github.io/Logging_2380/kartor/A 56934-2025 karta.png", "A 56934-2025")</f>
        <v/>
      </c>
      <c r="V77">
        <f>HYPERLINK("https://klasma.github.io/Logging_2380/klagomål/A 56934-2025 FSC-klagomål.docx", "A 56934-2025")</f>
        <v/>
      </c>
      <c r="W77">
        <f>HYPERLINK("https://klasma.github.io/Logging_2380/klagomålsmail/A 56934-2025 FSC-klagomål mail.docx", "A 56934-2025")</f>
        <v/>
      </c>
      <c r="X77">
        <f>HYPERLINK("https://klasma.github.io/Logging_2380/tillsyn/A 56934-2025 tillsynsbegäran.docx", "A 56934-2025")</f>
        <v/>
      </c>
      <c r="Y77">
        <f>HYPERLINK("https://klasma.github.io/Logging_2380/tillsynsmail/A 56934-2025 tillsynsbegäran mail.docx", "A 56934-2025")</f>
        <v/>
      </c>
      <c r="Z77">
        <f>HYPERLINK("https://klasma.github.io/Logging_2380/fåglar/A 56934-2025 prioriterade fågelarter.docx", "A 56934-2025")</f>
        <v/>
      </c>
    </row>
    <row r="78" ht="15" customHeight="1">
      <c r="A78" t="inlineStr">
        <is>
          <t>A 56499-2025</t>
        </is>
      </c>
      <c r="B78" s="1" t="n">
        <v>45975.43427083334</v>
      </c>
      <c r="C78" s="1" t="n">
        <v>46029</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58372-2025</t>
        </is>
      </c>
      <c r="B79" s="1" t="n">
        <v>45985.53155092592</v>
      </c>
      <c r="C79" s="1" t="n">
        <v>46029</v>
      </c>
      <c r="D79" t="inlineStr">
        <is>
          <t>JÄMTLANDS LÄN</t>
        </is>
      </c>
      <c r="E79" t="inlineStr">
        <is>
          <t>ÖSTERSUND</t>
        </is>
      </c>
      <c r="G79" t="n">
        <v>7.1</v>
      </c>
      <c r="H79" t="n">
        <v>1</v>
      </c>
      <c r="I79" t="n">
        <v>0</v>
      </c>
      <c r="J79" t="n">
        <v>5</v>
      </c>
      <c r="K79" t="n">
        <v>0</v>
      </c>
      <c r="L79" t="n">
        <v>0</v>
      </c>
      <c r="M79" t="n">
        <v>0</v>
      </c>
      <c r="N79" t="n">
        <v>0</v>
      </c>
      <c r="O79" t="n">
        <v>5</v>
      </c>
      <c r="P79" t="n">
        <v>0</v>
      </c>
      <c r="Q79" t="n">
        <v>5</v>
      </c>
      <c r="R79" s="2" t="inlineStr">
        <is>
          <t>Garnlav
Harticka
Lunglav
Tretåig hackspett
Ullticka</t>
        </is>
      </c>
      <c r="S79">
        <f>HYPERLINK("https://klasma.github.io/Logging_2380/artfynd/A 58372-2025 artfynd.xlsx", "A 58372-2025")</f>
        <v/>
      </c>
      <c r="T79">
        <f>HYPERLINK("https://klasma.github.io/Logging_2380/kartor/A 58372-2025 karta.png", "A 58372-2025")</f>
        <v/>
      </c>
      <c r="V79">
        <f>HYPERLINK("https://klasma.github.io/Logging_2380/klagomål/A 58372-2025 FSC-klagomål.docx", "A 58372-2025")</f>
        <v/>
      </c>
      <c r="W79">
        <f>HYPERLINK("https://klasma.github.io/Logging_2380/klagomålsmail/A 58372-2025 FSC-klagomål mail.docx", "A 58372-2025")</f>
        <v/>
      </c>
      <c r="X79">
        <f>HYPERLINK("https://klasma.github.io/Logging_2380/tillsyn/A 58372-2025 tillsynsbegäran.docx", "A 58372-2025")</f>
        <v/>
      </c>
      <c r="Y79">
        <f>HYPERLINK("https://klasma.github.io/Logging_2380/tillsynsmail/A 58372-2025 tillsynsbegäran mail.docx", "A 58372-2025")</f>
        <v/>
      </c>
      <c r="Z79">
        <f>HYPERLINK("https://klasma.github.io/Logging_2380/fåglar/A 58372-2025 prioriterade fågelarter.docx", "A 58372-2025")</f>
        <v/>
      </c>
    </row>
    <row r="80" ht="15" customHeight="1">
      <c r="A80" t="inlineStr">
        <is>
          <t>A 7717-2024</t>
        </is>
      </c>
      <c r="B80" s="1" t="n">
        <v>45349</v>
      </c>
      <c r="C80" s="1" t="n">
        <v>46029</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46029</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60580-2024</t>
        </is>
      </c>
      <c r="B82" s="1" t="n">
        <v>45644</v>
      </c>
      <c r="C82" s="1" t="n">
        <v>46029</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25369-2024</t>
        </is>
      </c>
      <c r="B83" s="1" t="n">
        <v>45462.95982638889</v>
      </c>
      <c r="C83" s="1" t="n">
        <v>46029</v>
      </c>
      <c r="D83" t="inlineStr">
        <is>
          <t>JÄMTLANDS LÄN</t>
        </is>
      </c>
      <c r="E83" t="inlineStr">
        <is>
          <t>ÖSTERSUND</t>
        </is>
      </c>
      <c r="G83" t="n">
        <v>14.7</v>
      </c>
      <c r="H83" t="n">
        <v>1</v>
      </c>
      <c r="I83" t="n">
        <v>2</v>
      </c>
      <c r="J83" t="n">
        <v>1</v>
      </c>
      <c r="K83" t="n">
        <v>0</v>
      </c>
      <c r="L83" t="n">
        <v>0</v>
      </c>
      <c r="M83" t="n">
        <v>0</v>
      </c>
      <c r="N83" t="n">
        <v>0</v>
      </c>
      <c r="O83" t="n">
        <v>1</v>
      </c>
      <c r="P83" t="n">
        <v>0</v>
      </c>
      <c r="Q83" t="n">
        <v>4</v>
      </c>
      <c r="R83" s="2" t="inlineStr">
        <is>
          <t>Ullticka
Kransrams
Underviol
Blåsippa</t>
        </is>
      </c>
      <c r="S83">
        <f>HYPERLINK("https://klasma.github.io/Logging_2380/artfynd/A 25369-2024 artfynd.xlsx", "A 25369-2024")</f>
        <v/>
      </c>
      <c r="T83">
        <f>HYPERLINK("https://klasma.github.io/Logging_2380/kartor/A 25369-2024 karta.png", "A 25369-2024")</f>
        <v/>
      </c>
      <c r="V83">
        <f>HYPERLINK("https://klasma.github.io/Logging_2380/klagomål/A 25369-2024 FSC-klagomål.docx", "A 25369-2024")</f>
        <v/>
      </c>
      <c r="W83">
        <f>HYPERLINK("https://klasma.github.io/Logging_2380/klagomålsmail/A 25369-2024 FSC-klagomål mail.docx", "A 25369-2024")</f>
        <v/>
      </c>
      <c r="X83">
        <f>HYPERLINK("https://klasma.github.io/Logging_2380/tillsyn/A 25369-2024 tillsynsbegäran.docx", "A 25369-2024")</f>
        <v/>
      </c>
      <c r="Y83">
        <f>HYPERLINK("https://klasma.github.io/Logging_2380/tillsynsmail/A 25369-2024 tillsynsbegäran mail.docx", "A 25369-2024")</f>
        <v/>
      </c>
    </row>
    <row r="84" ht="15" customHeight="1">
      <c r="A84" t="inlineStr">
        <is>
          <t>A 55344-2023</t>
        </is>
      </c>
      <c r="B84" s="1" t="n">
        <v>45237</v>
      </c>
      <c r="C84" s="1" t="n">
        <v>46029</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7698-2024</t>
        </is>
      </c>
      <c r="B85" s="1" t="n">
        <v>45349</v>
      </c>
      <c r="C85" s="1" t="n">
        <v>46029</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46029</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46029</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46029</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2962-2023</t>
        </is>
      </c>
      <c r="B89" s="1" t="n">
        <v>44945</v>
      </c>
      <c r="C89" s="1" t="n">
        <v>46029</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38335-2023</t>
        </is>
      </c>
      <c r="B90" s="1" t="n">
        <v>45161</v>
      </c>
      <c r="C90" s="1" t="n">
        <v>46029</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55258-2025</t>
        </is>
      </c>
      <c r="B91" s="1" t="n">
        <v>45968.6444212963</v>
      </c>
      <c r="C91" s="1" t="n">
        <v>46029</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56539-2025</t>
        </is>
      </c>
      <c r="B92" s="1" t="n">
        <v>45975.47357638889</v>
      </c>
      <c r="C92" s="1" t="n">
        <v>46029</v>
      </c>
      <c r="D92" t="inlineStr">
        <is>
          <t>JÄMTLANDS LÄN</t>
        </is>
      </c>
      <c r="E92" t="inlineStr">
        <is>
          <t>ÖSTERSUND</t>
        </is>
      </c>
      <c r="G92" t="n">
        <v>7.5</v>
      </c>
      <c r="H92" t="n">
        <v>1</v>
      </c>
      <c r="I92" t="n">
        <v>0</v>
      </c>
      <c r="J92" t="n">
        <v>4</v>
      </c>
      <c r="K92" t="n">
        <v>0</v>
      </c>
      <c r="L92" t="n">
        <v>0</v>
      </c>
      <c r="M92" t="n">
        <v>0</v>
      </c>
      <c r="N92" t="n">
        <v>0</v>
      </c>
      <c r="O92" t="n">
        <v>4</v>
      </c>
      <c r="P92" t="n">
        <v>0</v>
      </c>
      <c r="Q92" t="n">
        <v>4</v>
      </c>
      <c r="R92" s="2" t="inlineStr">
        <is>
          <t>Garnlav
Granticka
Tretåig hackspett
Vitgrynig nållav</t>
        </is>
      </c>
      <c r="S92">
        <f>HYPERLINK("https://klasma.github.io/Logging_2380/artfynd/A 56539-2025 artfynd.xlsx", "A 56539-2025")</f>
        <v/>
      </c>
      <c r="T92">
        <f>HYPERLINK("https://klasma.github.io/Logging_2380/kartor/A 56539-2025 karta.png", "A 56539-2025")</f>
        <v/>
      </c>
      <c r="V92">
        <f>HYPERLINK("https://klasma.github.io/Logging_2380/klagomål/A 56539-2025 FSC-klagomål.docx", "A 56539-2025")</f>
        <v/>
      </c>
      <c r="W92">
        <f>HYPERLINK("https://klasma.github.io/Logging_2380/klagomålsmail/A 56539-2025 FSC-klagomål mail.docx", "A 56539-2025")</f>
        <v/>
      </c>
      <c r="X92">
        <f>HYPERLINK("https://klasma.github.io/Logging_2380/tillsyn/A 56539-2025 tillsynsbegäran.docx", "A 56539-2025")</f>
        <v/>
      </c>
      <c r="Y92">
        <f>HYPERLINK("https://klasma.github.io/Logging_2380/tillsynsmail/A 56539-2025 tillsynsbegäran mail.docx", "A 56539-2025")</f>
        <v/>
      </c>
      <c r="Z92">
        <f>HYPERLINK("https://klasma.github.io/Logging_2380/fåglar/A 56539-2025 prioriterade fågelarter.docx", "A 56539-2025")</f>
        <v/>
      </c>
    </row>
    <row r="93" ht="15" customHeight="1">
      <c r="A93" t="inlineStr">
        <is>
          <t>A 57711-2025</t>
        </is>
      </c>
      <c r="B93" s="1" t="n">
        <v>45981.47217592593</v>
      </c>
      <c r="C93" s="1" t="n">
        <v>46029</v>
      </c>
      <c r="D93" t="inlineStr">
        <is>
          <t>JÄMTLANDS LÄN</t>
        </is>
      </c>
      <c r="E93" t="inlineStr">
        <is>
          <t>ÖSTERSUND</t>
        </is>
      </c>
      <c r="F93" t="inlineStr">
        <is>
          <t>Övriga Aktiebolag</t>
        </is>
      </c>
      <c r="G93" t="n">
        <v>2.6</v>
      </c>
      <c r="H93" t="n">
        <v>0</v>
      </c>
      <c r="I93" t="n">
        <v>4</v>
      </c>
      <c r="J93" t="n">
        <v>0</v>
      </c>
      <c r="K93" t="n">
        <v>0</v>
      </c>
      <c r="L93" t="n">
        <v>0</v>
      </c>
      <c r="M93" t="n">
        <v>0</v>
      </c>
      <c r="N93" t="n">
        <v>0</v>
      </c>
      <c r="O93" t="n">
        <v>0</v>
      </c>
      <c r="P93" t="n">
        <v>0</v>
      </c>
      <c r="Q93" t="n">
        <v>4</v>
      </c>
      <c r="R93" s="2" t="inlineStr">
        <is>
          <t>Diskvaxskivling
Fjällig taggsvamp s.str.
Kransrams
Kryddspindling</t>
        </is>
      </c>
      <c r="S93">
        <f>HYPERLINK("https://klasma.github.io/Logging_2380/artfynd/A 57711-2025 artfynd.xlsx", "A 57711-2025")</f>
        <v/>
      </c>
      <c r="T93">
        <f>HYPERLINK("https://klasma.github.io/Logging_2380/kartor/A 57711-2025 karta.png", "A 57711-2025")</f>
        <v/>
      </c>
      <c r="V93">
        <f>HYPERLINK("https://klasma.github.io/Logging_2380/klagomål/A 57711-2025 FSC-klagomål.docx", "A 57711-2025")</f>
        <v/>
      </c>
      <c r="W93">
        <f>HYPERLINK("https://klasma.github.io/Logging_2380/klagomålsmail/A 57711-2025 FSC-klagomål mail.docx", "A 57711-2025")</f>
        <v/>
      </c>
      <c r="X93">
        <f>HYPERLINK("https://klasma.github.io/Logging_2380/tillsyn/A 57711-2025 tillsynsbegäran.docx", "A 57711-2025")</f>
        <v/>
      </c>
      <c r="Y93">
        <f>HYPERLINK("https://klasma.github.io/Logging_2380/tillsynsmail/A 57711-2025 tillsynsbegäran mail.docx", "A 57711-2025")</f>
        <v/>
      </c>
    </row>
    <row r="94" ht="15" customHeight="1">
      <c r="A94" t="inlineStr">
        <is>
          <t>A 29135-2022</t>
        </is>
      </c>
      <c r="B94" s="1" t="n">
        <v>44750</v>
      </c>
      <c r="C94" s="1" t="n">
        <v>46029</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46029</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54421-2021</t>
        </is>
      </c>
      <c r="B96" s="1" t="n">
        <v>44473.43114583333</v>
      </c>
      <c r="C96" s="1" t="n">
        <v>46029</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60565-2022</t>
        </is>
      </c>
      <c r="B97" s="1" t="n">
        <v>44904</v>
      </c>
      <c r="C97" s="1" t="n">
        <v>46029</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36742-2024</t>
        </is>
      </c>
      <c r="B98" s="1" t="n">
        <v>45538.33584490741</v>
      </c>
      <c r="C98" s="1" t="n">
        <v>46029</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53652-2024</t>
        </is>
      </c>
      <c r="B99" s="1" t="n">
        <v>45615.29761574074</v>
      </c>
      <c r="C99" s="1" t="n">
        <v>46029</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36806-2025</t>
        </is>
      </c>
      <c r="B100" s="1" t="n">
        <v>45873.69988425926</v>
      </c>
      <c r="C100" s="1" t="n">
        <v>46029</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5100-2023</t>
        </is>
      </c>
      <c r="B101" s="1" t="n">
        <v>44956</v>
      </c>
      <c r="C101" s="1" t="n">
        <v>46029</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46029</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46029</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46029</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56647-2025</t>
        </is>
      </c>
      <c r="B105" s="1" t="n">
        <v>45975.63585648148</v>
      </c>
      <c r="C105" s="1" t="n">
        <v>46029</v>
      </c>
      <c r="D105" t="inlineStr">
        <is>
          <t>JÄMTLANDS LÄN</t>
        </is>
      </c>
      <c r="E105" t="inlineStr">
        <is>
          <t>ÖSTERSUND</t>
        </is>
      </c>
      <c r="G105" t="n">
        <v>12.1</v>
      </c>
      <c r="H105" t="n">
        <v>1</v>
      </c>
      <c r="I105" t="n">
        <v>0</v>
      </c>
      <c r="J105" t="n">
        <v>2</v>
      </c>
      <c r="K105" t="n">
        <v>1</v>
      </c>
      <c r="L105" t="n">
        <v>0</v>
      </c>
      <c r="M105" t="n">
        <v>0</v>
      </c>
      <c r="N105" t="n">
        <v>0</v>
      </c>
      <c r="O105" t="n">
        <v>3</v>
      </c>
      <c r="P105" t="n">
        <v>1</v>
      </c>
      <c r="Q105" t="n">
        <v>3</v>
      </c>
      <c r="R105" s="2" t="inlineStr">
        <is>
          <t>Rynkskinn
Garnlav
Tretåig hackspett</t>
        </is>
      </c>
      <c r="S105">
        <f>HYPERLINK("https://klasma.github.io/Logging_2380/artfynd/A 56647-2025 artfynd.xlsx", "A 56647-2025")</f>
        <v/>
      </c>
      <c r="T105">
        <f>HYPERLINK("https://klasma.github.io/Logging_2380/kartor/A 56647-2025 karta.png", "A 56647-2025")</f>
        <v/>
      </c>
      <c r="V105">
        <f>HYPERLINK("https://klasma.github.io/Logging_2380/klagomål/A 56647-2025 FSC-klagomål.docx", "A 56647-2025")</f>
        <v/>
      </c>
      <c r="W105">
        <f>HYPERLINK("https://klasma.github.io/Logging_2380/klagomålsmail/A 56647-2025 FSC-klagomål mail.docx", "A 56647-2025")</f>
        <v/>
      </c>
      <c r="X105">
        <f>HYPERLINK("https://klasma.github.io/Logging_2380/tillsyn/A 56647-2025 tillsynsbegäran.docx", "A 56647-2025")</f>
        <v/>
      </c>
      <c r="Y105">
        <f>HYPERLINK("https://klasma.github.io/Logging_2380/tillsynsmail/A 56647-2025 tillsynsbegäran mail.docx", "A 56647-2025")</f>
        <v/>
      </c>
      <c r="Z105">
        <f>HYPERLINK("https://klasma.github.io/Logging_2380/fåglar/A 56647-2025 prioriterade fågelarter.docx", "A 56647-2025")</f>
        <v/>
      </c>
    </row>
    <row r="106" ht="15" customHeight="1">
      <c r="A106" t="inlineStr">
        <is>
          <t>A 3846-2024</t>
        </is>
      </c>
      <c r="B106" s="1" t="n">
        <v>45321</v>
      </c>
      <c r="C106" s="1" t="n">
        <v>46029</v>
      </c>
      <c r="D106" t="inlineStr">
        <is>
          <t>JÄMTLANDS LÄN</t>
        </is>
      </c>
      <c r="E106" t="inlineStr">
        <is>
          <t>ÖSTERSUND</t>
        </is>
      </c>
      <c r="G106" t="n">
        <v>2.2</v>
      </c>
      <c r="H106" t="n">
        <v>0</v>
      </c>
      <c r="I106" t="n">
        <v>2</v>
      </c>
      <c r="J106" t="n">
        <v>1</v>
      </c>
      <c r="K106" t="n">
        <v>0</v>
      </c>
      <c r="L106" t="n">
        <v>0</v>
      </c>
      <c r="M106" t="n">
        <v>0</v>
      </c>
      <c r="N106" t="n">
        <v>0</v>
      </c>
      <c r="O106" t="n">
        <v>1</v>
      </c>
      <c r="P106" t="n">
        <v>0</v>
      </c>
      <c r="Q106" t="n">
        <v>3</v>
      </c>
      <c r="R106" s="2" t="inlineStr">
        <is>
          <t>Granticka
Olivspindling
Svavelriska</t>
        </is>
      </c>
      <c r="S106">
        <f>HYPERLINK("https://klasma.github.io/Logging_2380/artfynd/A 3846-2024 artfynd.xlsx", "A 3846-2024")</f>
        <v/>
      </c>
      <c r="T106">
        <f>HYPERLINK("https://klasma.github.io/Logging_2380/kartor/A 3846-2024 karta.png", "A 3846-2024")</f>
        <v/>
      </c>
      <c r="V106">
        <f>HYPERLINK("https://klasma.github.io/Logging_2380/klagomål/A 3846-2024 FSC-klagomål.docx", "A 3846-2024")</f>
        <v/>
      </c>
      <c r="W106">
        <f>HYPERLINK("https://klasma.github.io/Logging_2380/klagomålsmail/A 3846-2024 FSC-klagomål mail.docx", "A 3846-2024")</f>
        <v/>
      </c>
      <c r="X106">
        <f>HYPERLINK("https://klasma.github.io/Logging_2380/tillsyn/A 3846-2024 tillsynsbegäran.docx", "A 3846-2024")</f>
        <v/>
      </c>
      <c r="Y106">
        <f>HYPERLINK("https://klasma.github.io/Logging_2380/tillsynsmail/A 3846-2024 tillsynsbegäran mail.docx", "A 3846-2024")</f>
        <v/>
      </c>
    </row>
    <row r="107" ht="15" customHeight="1">
      <c r="A107" t="inlineStr">
        <is>
          <t>A 60565-2022</t>
        </is>
      </c>
      <c r="B107" s="1" t="n">
        <v>44904</v>
      </c>
      <c r="C107" s="1" t="n">
        <v>46029</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50895-2024</t>
        </is>
      </c>
      <c r="B108" s="1" t="n">
        <v>45602</v>
      </c>
      <c r="C108" s="1" t="n">
        <v>46029</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40695-2024</t>
        </is>
      </c>
      <c r="B109" s="1" t="n">
        <v>45558</v>
      </c>
      <c r="C109" s="1" t="n">
        <v>46029</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46029</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52129-2023</t>
        </is>
      </c>
      <c r="B111" s="1" t="n">
        <v>45223</v>
      </c>
      <c r="C111" s="1" t="n">
        <v>46029</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63930-2023</t>
        </is>
      </c>
      <c r="B112" s="1" t="n">
        <v>45278</v>
      </c>
      <c r="C112" s="1" t="n">
        <v>46029</v>
      </c>
      <c r="D112" t="inlineStr">
        <is>
          <t>JÄMTLANDS LÄN</t>
        </is>
      </c>
      <c r="E112" t="inlineStr">
        <is>
          <t>ÖSTERSUND</t>
        </is>
      </c>
      <c r="G112" t="n">
        <v>2.1</v>
      </c>
      <c r="H112" t="n">
        <v>0</v>
      </c>
      <c r="I112" t="n">
        <v>2</v>
      </c>
      <c r="J112" t="n">
        <v>0</v>
      </c>
      <c r="K112" t="n">
        <v>0</v>
      </c>
      <c r="L112" t="n">
        <v>0</v>
      </c>
      <c r="M112" t="n">
        <v>0</v>
      </c>
      <c r="N112" t="n">
        <v>0</v>
      </c>
      <c r="O112" t="n">
        <v>0</v>
      </c>
      <c r="P112" t="n">
        <v>0</v>
      </c>
      <c r="Q112" t="n">
        <v>2</v>
      </c>
      <c r="R112" s="2" t="inlineStr">
        <is>
          <t>Strimspindling
Svavelriska</t>
        </is>
      </c>
      <c r="S112">
        <f>HYPERLINK("https://klasma.github.io/Logging_2380/artfynd/A 63930-2023 artfynd.xlsx", "A 63930-2023")</f>
        <v/>
      </c>
      <c r="T112">
        <f>HYPERLINK("https://klasma.github.io/Logging_2380/kartor/A 63930-2023 karta.png", "A 63930-2023")</f>
        <v/>
      </c>
      <c r="V112">
        <f>HYPERLINK("https://klasma.github.io/Logging_2380/klagomål/A 63930-2023 FSC-klagomål.docx", "A 63930-2023")</f>
        <v/>
      </c>
      <c r="W112">
        <f>HYPERLINK("https://klasma.github.io/Logging_2380/klagomålsmail/A 63930-2023 FSC-klagomål mail.docx", "A 63930-2023")</f>
        <v/>
      </c>
      <c r="X112">
        <f>HYPERLINK("https://klasma.github.io/Logging_2380/tillsyn/A 63930-2023 tillsynsbegäran.docx", "A 63930-2023")</f>
        <v/>
      </c>
      <c r="Y112">
        <f>HYPERLINK("https://klasma.github.io/Logging_2380/tillsynsmail/A 63930-2023 tillsynsbegäran mail.docx", "A 63930-2023")</f>
        <v/>
      </c>
    </row>
    <row r="113" ht="15" customHeight="1">
      <c r="A113" t="inlineStr">
        <is>
          <t>A 59793-2022</t>
        </is>
      </c>
      <c r="B113" s="1" t="n">
        <v>44908</v>
      </c>
      <c r="C113" s="1" t="n">
        <v>46029</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26612-2025</t>
        </is>
      </c>
      <c r="B114" s="1" t="n">
        <v>45810</v>
      </c>
      <c r="C114" s="1" t="n">
        <v>46029</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39968-2024</t>
        </is>
      </c>
      <c r="B115" s="1" t="n">
        <v>45553.59296296296</v>
      </c>
      <c r="C115" s="1" t="n">
        <v>46029</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40207-2025</t>
        </is>
      </c>
      <c r="B116" s="1" t="n">
        <v>45894.67988425926</v>
      </c>
      <c r="C116" s="1" t="n">
        <v>46029</v>
      </c>
      <c r="D116" t="inlineStr">
        <is>
          <t>JÄMTLANDS LÄN</t>
        </is>
      </c>
      <c r="E116" t="inlineStr">
        <is>
          <t>ÖSTERSUND</t>
        </is>
      </c>
      <c r="G116" t="n">
        <v>5.4</v>
      </c>
      <c r="H116" t="n">
        <v>0</v>
      </c>
      <c r="I116" t="n">
        <v>1</v>
      </c>
      <c r="J116" t="n">
        <v>0</v>
      </c>
      <c r="K116" t="n">
        <v>0</v>
      </c>
      <c r="L116" t="n">
        <v>1</v>
      </c>
      <c r="M116" t="n">
        <v>0</v>
      </c>
      <c r="N116" t="n">
        <v>0</v>
      </c>
      <c r="O116" t="n">
        <v>1</v>
      </c>
      <c r="P116" t="n">
        <v>1</v>
      </c>
      <c r="Q116" t="n">
        <v>2</v>
      </c>
      <c r="R116" s="2" t="inlineStr">
        <is>
          <t>Trolldruvemätare
Tibast</t>
        </is>
      </c>
      <c r="S116">
        <f>HYPERLINK("https://klasma.github.io/Logging_2380/artfynd/A 40207-2025 artfynd.xlsx", "A 40207-2025")</f>
        <v/>
      </c>
      <c r="T116">
        <f>HYPERLINK("https://klasma.github.io/Logging_2380/kartor/A 40207-2025 karta.png", "A 40207-2025")</f>
        <v/>
      </c>
      <c r="V116">
        <f>HYPERLINK("https://klasma.github.io/Logging_2380/klagomål/A 40207-2025 FSC-klagomål.docx", "A 40207-2025")</f>
        <v/>
      </c>
      <c r="W116">
        <f>HYPERLINK("https://klasma.github.io/Logging_2380/klagomålsmail/A 40207-2025 FSC-klagomål mail.docx", "A 40207-2025")</f>
        <v/>
      </c>
      <c r="X116">
        <f>HYPERLINK("https://klasma.github.io/Logging_2380/tillsyn/A 40207-2025 tillsynsbegäran.docx", "A 40207-2025")</f>
        <v/>
      </c>
      <c r="Y116">
        <f>HYPERLINK("https://klasma.github.io/Logging_2380/tillsynsmail/A 40207-2025 tillsynsbegäran mail.docx", "A 40207-2025")</f>
        <v/>
      </c>
    </row>
    <row r="117" ht="15" customHeight="1">
      <c r="A117" t="inlineStr">
        <is>
          <t>A 15700-2025</t>
        </is>
      </c>
      <c r="B117" s="1" t="n">
        <v>45748.47314814815</v>
      </c>
      <c r="C117" s="1" t="n">
        <v>46029</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46029</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47385-2022</t>
        </is>
      </c>
      <c r="B119" s="1" t="n">
        <v>44853</v>
      </c>
      <c r="C119" s="1" t="n">
        <v>46029</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45237-2025</t>
        </is>
      </c>
      <c r="B120" s="1" t="n">
        <v>45919.59467592592</v>
      </c>
      <c r="C120" s="1" t="n">
        <v>46029</v>
      </c>
      <c r="D120" t="inlineStr">
        <is>
          <t>JÄMTLANDS LÄN</t>
        </is>
      </c>
      <c r="E120" t="inlineStr">
        <is>
          <t>ÖSTERSUND</t>
        </is>
      </c>
      <c r="F120" t="inlineStr">
        <is>
          <t>SCA</t>
        </is>
      </c>
      <c r="G120" t="n">
        <v>1.5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HYPERLINK("https://klasma.github.io/Logging_2380/artfynd/A 45237-2025 artfynd.xlsx", "A 45237-2025")</f>
        <v/>
      </c>
      <c r="T120">
        <f>HYPERLINK("https://klasma.github.io/Logging_2380/kartor/A 45237-2025 karta.png", "A 45237-2025")</f>
        <v/>
      </c>
      <c r="V120">
        <f>HYPERLINK("https://klasma.github.io/Logging_2380/klagomål/A 45237-2025 FSC-klagomål.docx", "A 45237-2025")</f>
        <v/>
      </c>
      <c r="W120">
        <f>HYPERLINK("https://klasma.github.io/Logging_2380/klagomålsmail/A 45237-2025 FSC-klagomål mail.docx", "A 45237-2025")</f>
        <v/>
      </c>
      <c r="X120">
        <f>HYPERLINK("https://klasma.github.io/Logging_2380/tillsyn/A 45237-2025 tillsynsbegäran.docx", "A 45237-2025")</f>
        <v/>
      </c>
      <c r="Y120">
        <f>HYPERLINK("https://klasma.github.io/Logging_2380/tillsynsmail/A 45237-2025 tillsynsbegäran mail.docx", "A 45237-2025")</f>
        <v/>
      </c>
    </row>
    <row r="121" ht="15" customHeight="1">
      <c r="A121" t="inlineStr">
        <is>
          <t>A 60446-2024</t>
        </is>
      </c>
      <c r="B121" s="1" t="n">
        <v>45643.59420138889</v>
      </c>
      <c r="C121" s="1" t="n">
        <v>46029</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46029</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58931-2025</t>
        </is>
      </c>
      <c r="B123" s="1" t="n">
        <v>45987.55831018519</v>
      </c>
      <c r="C123" s="1" t="n">
        <v>46029</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35977-2024</t>
        </is>
      </c>
      <c r="B124" s="1" t="n">
        <v>45533.49601851852</v>
      </c>
      <c r="C124" s="1" t="n">
        <v>46029</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46029</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10529-2025</t>
        </is>
      </c>
      <c r="B126" s="1" t="n">
        <v>45721.44840277778</v>
      </c>
      <c r="C126" s="1" t="n">
        <v>46029</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54872-2025</t>
        </is>
      </c>
      <c r="B127" s="1" t="n">
        <v>45966.94104166667</v>
      </c>
      <c r="C127" s="1" t="n">
        <v>46029</v>
      </c>
      <c r="D127" t="inlineStr">
        <is>
          <t>JÄMTLANDS LÄN</t>
        </is>
      </c>
      <c r="E127" t="inlineStr">
        <is>
          <t>ÖSTERSUND</t>
        </is>
      </c>
      <c r="G127" t="n">
        <v>2.4</v>
      </c>
      <c r="H127" t="n">
        <v>1</v>
      </c>
      <c r="I127" t="n">
        <v>1</v>
      </c>
      <c r="J127" t="n">
        <v>1</v>
      </c>
      <c r="K127" t="n">
        <v>0</v>
      </c>
      <c r="L127" t="n">
        <v>0</v>
      </c>
      <c r="M127" t="n">
        <v>0</v>
      </c>
      <c r="N127" t="n">
        <v>0</v>
      </c>
      <c r="O127" t="n">
        <v>1</v>
      </c>
      <c r="P127" t="n">
        <v>0</v>
      </c>
      <c r="Q127" t="n">
        <v>2</v>
      </c>
      <c r="R127" s="2" t="inlineStr">
        <is>
          <t>Slåtterfibbla
Korallrot</t>
        </is>
      </c>
      <c r="S127">
        <f>HYPERLINK("https://klasma.github.io/Logging_2380/artfynd/A 54872-2025 artfynd.xlsx", "A 54872-2025")</f>
        <v/>
      </c>
      <c r="T127">
        <f>HYPERLINK("https://klasma.github.io/Logging_2380/kartor/A 54872-2025 karta.png", "A 54872-2025")</f>
        <v/>
      </c>
      <c r="V127">
        <f>HYPERLINK("https://klasma.github.io/Logging_2380/klagomål/A 54872-2025 FSC-klagomål.docx", "A 54872-2025")</f>
        <v/>
      </c>
      <c r="W127">
        <f>HYPERLINK("https://klasma.github.io/Logging_2380/klagomålsmail/A 54872-2025 FSC-klagomål mail.docx", "A 54872-2025")</f>
        <v/>
      </c>
      <c r="X127">
        <f>HYPERLINK("https://klasma.github.io/Logging_2380/tillsyn/A 54872-2025 tillsynsbegäran.docx", "A 54872-2025")</f>
        <v/>
      </c>
      <c r="Y127">
        <f>HYPERLINK("https://klasma.github.io/Logging_2380/tillsynsmail/A 54872-2025 tillsynsbegäran mail.docx", "A 54872-2025")</f>
        <v/>
      </c>
    </row>
    <row r="128" ht="15" customHeight="1">
      <c r="A128" t="inlineStr">
        <is>
          <t>A 56006-2023</t>
        </is>
      </c>
      <c r="B128" s="1" t="n">
        <v>45233</v>
      </c>
      <c r="C128" s="1" t="n">
        <v>46029</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56750-2025</t>
        </is>
      </c>
      <c r="B129" s="1" t="n">
        <v>45975</v>
      </c>
      <c r="C129" s="1" t="n">
        <v>46029</v>
      </c>
      <c r="D129" t="inlineStr">
        <is>
          <t>JÄMTLANDS LÄN</t>
        </is>
      </c>
      <c r="E129" t="inlineStr">
        <is>
          <t>ÖSTERSUND</t>
        </is>
      </c>
      <c r="G129" t="n">
        <v>5.1</v>
      </c>
      <c r="H129" t="n">
        <v>1</v>
      </c>
      <c r="I129" t="n">
        <v>0</v>
      </c>
      <c r="J129" t="n">
        <v>1</v>
      </c>
      <c r="K129" t="n">
        <v>0</v>
      </c>
      <c r="L129" t="n">
        <v>0</v>
      </c>
      <c r="M129" t="n">
        <v>0</v>
      </c>
      <c r="N129" t="n">
        <v>0</v>
      </c>
      <c r="O129" t="n">
        <v>1</v>
      </c>
      <c r="P129" t="n">
        <v>0</v>
      </c>
      <c r="Q129" t="n">
        <v>2</v>
      </c>
      <c r="R129" s="2" t="inlineStr">
        <is>
          <t>Garnlav
Revlummer</t>
        </is>
      </c>
      <c r="S129">
        <f>HYPERLINK("https://klasma.github.io/Logging_2380/artfynd/A 56750-2025 artfynd.xlsx", "A 56750-2025")</f>
        <v/>
      </c>
      <c r="T129">
        <f>HYPERLINK("https://klasma.github.io/Logging_2380/kartor/A 56750-2025 karta.png", "A 56750-2025")</f>
        <v/>
      </c>
      <c r="V129">
        <f>HYPERLINK("https://klasma.github.io/Logging_2380/klagomål/A 56750-2025 FSC-klagomål.docx", "A 56750-2025")</f>
        <v/>
      </c>
      <c r="W129">
        <f>HYPERLINK("https://klasma.github.io/Logging_2380/klagomålsmail/A 56750-2025 FSC-klagomål mail.docx", "A 56750-2025")</f>
        <v/>
      </c>
      <c r="X129">
        <f>HYPERLINK("https://klasma.github.io/Logging_2380/tillsyn/A 56750-2025 tillsynsbegäran.docx", "A 56750-2025")</f>
        <v/>
      </c>
      <c r="Y129">
        <f>HYPERLINK("https://klasma.github.io/Logging_2380/tillsynsmail/A 56750-2025 tillsynsbegäran mail.docx", "A 56750-2025")</f>
        <v/>
      </c>
    </row>
    <row r="130" ht="15" customHeight="1">
      <c r="A130" t="inlineStr">
        <is>
          <t>A 4916-2023</t>
        </is>
      </c>
      <c r="B130" s="1" t="n">
        <v>44956</v>
      </c>
      <c r="C130" s="1" t="n">
        <v>46029</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46105-2021</t>
        </is>
      </c>
      <c r="B131" s="1" t="n">
        <v>44441</v>
      </c>
      <c r="C131" s="1" t="n">
        <v>46029</v>
      </c>
      <c r="D131" t="inlineStr">
        <is>
          <t>JÄMTLANDS LÄN</t>
        </is>
      </c>
      <c r="E131" t="inlineStr">
        <is>
          <t>ÖSTERSUND</t>
        </is>
      </c>
      <c r="G131" t="n">
        <v>4.4</v>
      </c>
      <c r="H131" t="n">
        <v>2</v>
      </c>
      <c r="I131" t="n">
        <v>0</v>
      </c>
      <c r="J131" t="n">
        <v>1</v>
      </c>
      <c r="K131" t="n">
        <v>1</v>
      </c>
      <c r="L131" t="n">
        <v>0</v>
      </c>
      <c r="M131" t="n">
        <v>0</v>
      </c>
      <c r="N131" t="n">
        <v>0</v>
      </c>
      <c r="O131" t="n">
        <v>2</v>
      </c>
      <c r="P131" t="n">
        <v>1</v>
      </c>
      <c r="Q131" t="n">
        <v>2</v>
      </c>
      <c r="R131" s="2" t="inlineStr">
        <is>
          <t>Tallbit
Tretåig hackspett</t>
        </is>
      </c>
      <c r="S131">
        <f>HYPERLINK("https://klasma.github.io/Logging_2380/artfynd/A 46105-2021 artfynd.xlsx", "A 46105-2021")</f>
        <v/>
      </c>
      <c r="T131">
        <f>HYPERLINK("https://klasma.github.io/Logging_2380/kartor/A 46105-2021 karta.png", "A 46105-2021")</f>
        <v/>
      </c>
      <c r="V131">
        <f>HYPERLINK("https://klasma.github.io/Logging_2380/klagomål/A 46105-2021 FSC-klagomål.docx", "A 46105-2021")</f>
        <v/>
      </c>
      <c r="W131">
        <f>HYPERLINK("https://klasma.github.io/Logging_2380/klagomålsmail/A 46105-2021 FSC-klagomål mail.docx", "A 46105-2021")</f>
        <v/>
      </c>
      <c r="X131">
        <f>HYPERLINK("https://klasma.github.io/Logging_2380/tillsyn/A 46105-2021 tillsynsbegäran.docx", "A 46105-2021")</f>
        <v/>
      </c>
      <c r="Y131">
        <f>HYPERLINK("https://klasma.github.io/Logging_2380/tillsynsmail/A 46105-2021 tillsynsbegäran mail.docx", "A 46105-2021")</f>
        <v/>
      </c>
      <c r="Z131">
        <f>HYPERLINK("https://klasma.github.io/Logging_2380/fåglar/A 46105-2021 prioriterade fågelarter.docx", "A 46105-2021")</f>
        <v/>
      </c>
    </row>
    <row r="132" ht="15" customHeight="1">
      <c r="A132" t="inlineStr">
        <is>
          <t>A 60534-2022</t>
        </is>
      </c>
      <c r="B132" s="1" t="n">
        <v>44904</v>
      </c>
      <c r="C132" s="1" t="n">
        <v>46029</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13795-2025</t>
        </is>
      </c>
      <c r="B133" s="1" t="n">
        <v>45737</v>
      </c>
      <c r="C133" s="1" t="n">
        <v>46029</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33137-2021</t>
        </is>
      </c>
      <c r="B134" s="1" t="n">
        <v>44376</v>
      </c>
      <c r="C134" s="1" t="n">
        <v>46029</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46029</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46029</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46029</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40694-2024</t>
        </is>
      </c>
      <c r="B138" s="1" t="n">
        <v>45558</v>
      </c>
      <c r="C138" s="1" t="n">
        <v>46029</v>
      </c>
      <c r="D138" t="inlineStr">
        <is>
          <t>JÄMTLANDS LÄN</t>
        </is>
      </c>
      <c r="E138" t="inlineStr">
        <is>
          <t>ÖSTERSUND</t>
        </is>
      </c>
      <c r="F138" t="inlineStr">
        <is>
          <t>SCA</t>
        </is>
      </c>
      <c r="G138" t="n">
        <v>6.2</v>
      </c>
      <c r="H138" t="n">
        <v>0</v>
      </c>
      <c r="I138" t="n">
        <v>0</v>
      </c>
      <c r="J138" t="n">
        <v>1</v>
      </c>
      <c r="K138" t="n">
        <v>0</v>
      </c>
      <c r="L138" t="n">
        <v>0</v>
      </c>
      <c r="M138" t="n">
        <v>0</v>
      </c>
      <c r="N138" t="n">
        <v>0</v>
      </c>
      <c r="O138" t="n">
        <v>1</v>
      </c>
      <c r="P138" t="n">
        <v>0</v>
      </c>
      <c r="Q138" t="n">
        <v>1</v>
      </c>
      <c r="R138" s="2" t="inlineStr">
        <is>
          <t>Reliktbock</t>
        </is>
      </c>
      <c r="S138">
        <f>HYPERLINK("https://klasma.github.io/Logging_2380/artfynd/A 40694-2024 artfynd.xlsx", "A 40694-2024")</f>
        <v/>
      </c>
      <c r="T138">
        <f>HYPERLINK("https://klasma.github.io/Logging_2380/kartor/A 40694-2024 karta.png", "A 40694-2024")</f>
        <v/>
      </c>
      <c r="V138">
        <f>HYPERLINK("https://klasma.github.io/Logging_2380/klagomål/A 40694-2024 FSC-klagomål.docx", "A 40694-2024")</f>
        <v/>
      </c>
      <c r="W138">
        <f>HYPERLINK("https://klasma.github.io/Logging_2380/klagomålsmail/A 40694-2024 FSC-klagomål mail.docx", "A 40694-2024")</f>
        <v/>
      </c>
      <c r="X138">
        <f>HYPERLINK("https://klasma.github.io/Logging_2380/tillsyn/A 40694-2024 tillsynsbegäran.docx", "A 40694-2024")</f>
        <v/>
      </c>
      <c r="Y138">
        <f>HYPERLINK("https://klasma.github.io/Logging_2380/tillsynsmail/A 40694-2024 tillsynsbegäran mail.docx", "A 40694-2024")</f>
        <v/>
      </c>
    </row>
    <row r="139" ht="15" customHeight="1">
      <c r="A139" t="inlineStr">
        <is>
          <t>A 41279-2024</t>
        </is>
      </c>
      <c r="B139" s="1" t="n">
        <v>45559</v>
      </c>
      <c r="C139" s="1" t="n">
        <v>46029</v>
      </c>
      <c r="D139" t="inlineStr">
        <is>
          <t>JÄMTLANDS LÄN</t>
        </is>
      </c>
      <c r="E139" t="inlineStr">
        <is>
          <t>ÖSTERSUND</t>
        </is>
      </c>
      <c r="F139" t="inlineStr">
        <is>
          <t>SCA</t>
        </is>
      </c>
      <c r="G139" t="n">
        <v>1.6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41279-2024 artfynd.xlsx", "A 41279-2024")</f>
        <v/>
      </c>
      <c r="T139">
        <f>HYPERLINK("https://klasma.github.io/Logging_2380/kartor/A 41279-2024 karta.png", "A 41279-2024")</f>
        <v/>
      </c>
      <c r="V139">
        <f>HYPERLINK("https://klasma.github.io/Logging_2380/klagomål/A 41279-2024 FSC-klagomål.docx", "A 41279-2024")</f>
        <v/>
      </c>
      <c r="W139">
        <f>HYPERLINK("https://klasma.github.io/Logging_2380/klagomålsmail/A 41279-2024 FSC-klagomål mail.docx", "A 41279-2024")</f>
        <v/>
      </c>
      <c r="X139">
        <f>HYPERLINK("https://klasma.github.io/Logging_2380/tillsyn/A 41279-2024 tillsynsbegäran.docx", "A 41279-2024")</f>
        <v/>
      </c>
      <c r="Y139">
        <f>HYPERLINK("https://klasma.github.io/Logging_2380/tillsynsmail/A 41279-2024 tillsynsbegäran mail.docx", "A 41279-2024")</f>
        <v/>
      </c>
    </row>
    <row r="140" ht="15" customHeight="1">
      <c r="A140" t="inlineStr">
        <is>
          <t>A 58181-2022</t>
        </is>
      </c>
      <c r="B140" s="1" t="n">
        <v>44900</v>
      </c>
      <c r="C140" s="1" t="n">
        <v>46029</v>
      </c>
      <c r="D140" t="inlineStr">
        <is>
          <t>JÄMTLANDS LÄN</t>
        </is>
      </c>
      <c r="E140" t="inlineStr">
        <is>
          <t>ÖSTERSUND</t>
        </is>
      </c>
      <c r="G140" t="n">
        <v>14.8</v>
      </c>
      <c r="H140" t="n">
        <v>0</v>
      </c>
      <c r="I140" t="n">
        <v>1</v>
      </c>
      <c r="J140" t="n">
        <v>0</v>
      </c>
      <c r="K140" t="n">
        <v>0</v>
      </c>
      <c r="L140" t="n">
        <v>0</v>
      </c>
      <c r="M140" t="n">
        <v>0</v>
      </c>
      <c r="N140" t="n">
        <v>0</v>
      </c>
      <c r="O140" t="n">
        <v>0</v>
      </c>
      <c r="P140" t="n">
        <v>0</v>
      </c>
      <c r="Q140" t="n">
        <v>1</v>
      </c>
      <c r="R140" s="2" t="inlineStr">
        <is>
          <t>Finbräken</t>
        </is>
      </c>
      <c r="S140">
        <f>HYPERLINK("https://klasma.github.io/Logging_2380/artfynd/A 58181-2022 artfynd.xlsx", "A 58181-2022")</f>
        <v/>
      </c>
      <c r="T140">
        <f>HYPERLINK("https://klasma.github.io/Logging_2380/kartor/A 58181-2022 karta.png", "A 58181-2022")</f>
        <v/>
      </c>
      <c r="V140">
        <f>HYPERLINK("https://klasma.github.io/Logging_2380/klagomål/A 58181-2022 FSC-klagomål.docx", "A 58181-2022")</f>
        <v/>
      </c>
      <c r="W140">
        <f>HYPERLINK("https://klasma.github.io/Logging_2380/klagomålsmail/A 58181-2022 FSC-klagomål mail.docx", "A 58181-2022")</f>
        <v/>
      </c>
      <c r="X140">
        <f>HYPERLINK("https://klasma.github.io/Logging_2380/tillsyn/A 58181-2022 tillsynsbegäran.docx", "A 58181-2022")</f>
        <v/>
      </c>
      <c r="Y140">
        <f>HYPERLINK("https://klasma.github.io/Logging_2380/tillsynsmail/A 58181-2022 tillsynsbegäran mail.docx", "A 58181-2022")</f>
        <v/>
      </c>
    </row>
    <row r="141" ht="15" customHeight="1">
      <c r="A141" t="inlineStr">
        <is>
          <t>A 57065-2024</t>
        </is>
      </c>
      <c r="B141" s="1" t="n">
        <v>45629.35344907407</v>
      </c>
      <c r="C141" s="1" t="n">
        <v>46029</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26605-2025</t>
        </is>
      </c>
      <c r="B142" s="1" t="n">
        <v>45809.86790509259</v>
      </c>
      <c r="C142" s="1" t="n">
        <v>46029</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40692-2024</t>
        </is>
      </c>
      <c r="B143" s="1" t="n">
        <v>45558</v>
      </c>
      <c r="C143" s="1" t="n">
        <v>46029</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46029</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46029</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40781-2025</t>
        </is>
      </c>
      <c r="B146" s="1" t="n">
        <v>45897</v>
      </c>
      <c r="C146" s="1" t="n">
        <v>46029</v>
      </c>
      <c r="D146" t="inlineStr">
        <is>
          <t>JÄMTLANDS LÄN</t>
        </is>
      </c>
      <c r="E146" t="inlineStr">
        <is>
          <t>ÖSTERSUND</t>
        </is>
      </c>
      <c r="F146" t="inlineStr">
        <is>
          <t>Övriga Aktiebolag</t>
        </is>
      </c>
      <c r="G146" t="n">
        <v>2.2</v>
      </c>
      <c r="H146" t="n">
        <v>1</v>
      </c>
      <c r="I146" t="n">
        <v>0</v>
      </c>
      <c r="J146" t="n">
        <v>0</v>
      </c>
      <c r="K146" t="n">
        <v>0</v>
      </c>
      <c r="L146" t="n">
        <v>0</v>
      </c>
      <c r="M146" t="n">
        <v>0</v>
      </c>
      <c r="N146" t="n">
        <v>0</v>
      </c>
      <c r="O146" t="n">
        <v>0</v>
      </c>
      <c r="P146" t="n">
        <v>0</v>
      </c>
      <c r="Q146" t="n">
        <v>1</v>
      </c>
      <c r="R146" s="2" t="inlineStr">
        <is>
          <t>Blåsippa</t>
        </is>
      </c>
      <c r="S146">
        <f>HYPERLINK("https://klasma.github.io/Logging_2380/artfynd/A 40781-2025 artfynd.xlsx", "A 40781-2025")</f>
        <v/>
      </c>
      <c r="T146">
        <f>HYPERLINK("https://klasma.github.io/Logging_2380/kartor/A 40781-2025 karta.png", "A 40781-2025")</f>
        <v/>
      </c>
      <c r="V146">
        <f>HYPERLINK("https://klasma.github.io/Logging_2380/klagomål/A 40781-2025 FSC-klagomål.docx", "A 40781-2025")</f>
        <v/>
      </c>
      <c r="W146">
        <f>HYPERLINK("https://klasma.github.io/Logging_2380/klagomålsmail/A 40781-2025 FSC-klagomål mail.docx", "A 40781-2025")</f>
        <v/>
      </c>
      <c r="X146">
        <f>HYPERLINK("https://klasma.github.io/Logging_2380/tillsyn/A 40781-2025 tillsynsbegäran.docx", "A 40781-2025")</f>
        <v/>
      </c>
      <c r="Y146">
        <f>HYPERLINK("https://klasma.github.io/Logging_2380/tillsynsmail/A 40781-2025 tillsynsbegäran mail.docx", "A 40781-2025")</f>
        <v/>
      </c>
    </row>
    <row r="147" ht="15" customHeight="1">
      <c r="A147" t="inlineStr">
        <is>
          <t>A 33550-2025</t>
        </is>
      </c>
      <c r="B147" s="1" t="n">
        <v>45841.57331018519</v>
      </c>
      <c r="C147" s="1" t="n">
        <v>46029</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41312-2024</t>
        </is>
      </c>
      <c r="B148" s="1" t="n">
        <v>45559.63584490741</v>
      </c>
      <c r="C148" s="1" t="n">
        <v>46029</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56201-2024</t>
        </is>
      </c>
      <c r="B149" s="1" t="n">
        <v>45624.59462962963</v>
      </c>
      <c r="C149" s="1" t="n">
        <v>46029</v>
      </c>
      <c r="D149" t="inlineStr">
        <is>
          <t>JÄMTLANDS LÄN</t>
        </is>
      </c>
      <c r="E149" t="inlineStr">
        <is>
          <t>ÖSTERSUND</t>
        </is>
      </c>
      <c r="F149" t="inlineStr">
        <is>
          <t>SCA</t>
        </is>
      </c>
      <c r="G149" t="n">
        <v>5.9</v>
      </c>
      <c r="H149" t="n">
        <v>1</v>
      </c>
      <c r="I149" t="n">
        <v>0</v>
      </c>
      <c r="J149" t="n">
        <v>0</v>
      </c>
      <c r="K149" t="n">
        <v>1</v>
      </c>
      <c r="L149" t="n">
        <v>0</v>
      </c>
      <c r="M149" t="n">
        <v>0</v>
      </c>
      <c r="N149" t="n">
        <v>0</v>
      </c>
      <c r="O149" t="n">
        <v>1</v>
      </c>
      <c r="P149" t="n">
        <v>1</v>
      </c>
      <c r="Q149" t="n">
        <v>1</v>
      </c>
      <c r="R149" s="2" t="inlineStr">
        <is>
          <t>Doftticka</t>
        </is>
      </c>
      <c r="S149">
        <f>HYPERLINK("https://klasma.github.io/Logging_2380/artfynd/A 56201-2024 artfynd.xlsx", "A 56201-2024")</f>
        <v/>
      </c>
      <c r="T149">
        <f>HYPERLINK("https://klasma.github.io/Logging_2380/kartor/A 56201-2024 karta.png", "A 56201-2024")</f>
        <v/>
      </c>
      <c r="V149">
        <f>HYPERLINK("https://klasma.github.io/Logging_2380/klagomål/A 56201-2024 FSC-klagomål.docx", "A 56201-2024")</f>
        <v/>
      </c>
      <c r="W149">
        <f>HYPERLINK("https://klasma.github.io/Logging_2380/klagomålsmail/A 56201-2024 FSC-klagomål mail.docx", "A 56201-2024")</f>
        <v/>
      </c>
      <c r="X149">
        <f>HYPERLINK("https://klasma.github.io/Logging_2380/tillsyn/A 56201-2024 tillsynsbegäran.docx", "A 56201-2024")</f>
        <v/>
      </c>
      <c r="Y149">
        <f>HYPERLINK("https://klasma.github.io/Logging_2380/tillsynsmail/A 56201-2024 tillsynsbegäran mail.docx", "A 56201-2024")</f>
        <v/>
      </c>
    </row>
    <row r="150" ht="15" customHeight="1">
      <c r="A150" t="inlineStr">
        <is>
          <t>A 59108-2024</t>
        </is>
      </c>
      <c r="B150" s="1" t="n">
        <v>45637.34469907408</v>
      </c>
      <c r="C150" s="1" t="n">
        <v>46029</v>
      </c>
      <c r="D150" t="inlineStr">
        <is>
          <t>JÄMTLANDS LÄN</t>
        </is>
      </c>
      <c r="E150" t="inlineStr">
        <is>
          <t>ÖSTERSUND</t>
        </is>
      </c>
      <c r="F150" t="inlineStr">
        <is>
          <t>SCA</t>
        </is>
      </c>
      <c r="G150" t="n">
        <v>10.6</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59108-2024 artfynd.xlsx", "A 59108-2024")</f>
        <v/>
      </c>
      <c r="T150">
        <f>HYPERLINK("https://klasma.github.io/Logging_2380/kartor/A 59108-2024 karta.png", "A 59108-2024")</f>
        <v/>
      </c>
      <c r="V150">
        <f>HYPERLINK("https://klasma.github.io/Logging_2380/klagomål/A 59108-2024 FSC-klagomål.docx", "A 59108-2024")</f>
        <v/>
      </c>
      <c r="W150">
        <f>HYPERLINK("https://klasma.github.io/Logging_2380/klagomålsmail/A 59108-2024 FSC-klagomål mail.docx", "A 59108-2024")</f>
        <v/>
      </c>
      <c r="X150">
        <f>HYPERLINK("https://klasma.github.io/Logging_2380/tillsyn/A 59108-2024 tillsynsbegäran.docx", "A 59108-2024")</f>
        <v/>
      </c>
      <c r="Y150">
        <f>HYPERLINK("https://klasma.github.io/Logging_2380/tillsynsmail/A 59108-2024 tillsynsbegäran mail.docx", "A 59108-2024")</f>
        <v/>
      </c>
      <c r="Z150">
        <f>HYPERLINK("https://klasma.github.io/Logging_2380/fåglar/A 59108-2024 prioriterade fågelarter.docx", "A 59108-2024")</f>
        <v/>
      </c>
    </row>
    <row r="151" ht="15" customHeight="1">
      <c r="A151" t="inlineStr">
        <is>
          <t>A 43188-2025</t>
        </is>
      </c>
      <c r="B151" s="1" t="n">
        <v>45910.41201388889</v>
      </c>
      <c r="C151" s="1" t="n">
        <v>46029</v>
      </c>
      <c r="D151" t="inlineStr">
        <is>
          <t>JÄMTLANDS LÄN</t>
        </is>
      </c>
      <c r="E151" t="inlineStr">
        <is>
          <t>ÖSTERSUND</t>
        </is>
      </c>
      <c r="G151" t="n">
        <v>8.6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43188-2025 artfynd.xlsx", "A 43188-2025")</f>
        <v/>
      </c>
      <c r="T151">
        <f>HYPERLINK("https://klasma.github.io/Logging_2380/kartor/A 43188-2025 karta.png", "A 43188-2025")</f>
        <v/>
      </c>
      <c r="V151">
        <f>HYPERLINK("https://klasma.github.io/Logging_2380/klagomål/A 43188-2025 FSC-klagomål.docx", "A 43188-2025")</f>
        <v/>
      </c>
      <c r="W151">
        <f>HYPERLINK("https://klasma.github.io/Logging_2380/klagomålsmail/A 43188-2025 FSC-klagomål mail.docx", "A 43188-2025")</f>
        <v/>
      </c>
      <c r="X151">
        <f>HYPERLINK("https://klasma.github.io/Logging_2380/tillsyn/A 43188-2025 tillsynsbegäran.docx", "A 43188-2025")</f>
        <v/>
      </c>
      <c r="Y151">
        <f>HYPERLINK("https://klasma.github.io/Logging_2380/tillsynsmail/A 43188-2025 tillsynsbegäran mail.docx", "A 43188-2025")</f>
        <v/>
      </c>
      <c r="Z151">
        <f>HYPERLINK("https://klasma.github.io/Logging_2380/fåglar/A 43188-2025 prioriterade fågelarter.docx", "A 43188-2025")</f>
        <v/>
      </c>
    </row>
    <row r="152" ht="15" customHeight="1">
      <c r="A152" t="inlineStr">
        <is>
          <t>A 36225-2025</t>
        </is>
      </c>
      <c r="B152" s="1" t="n">
        <v>45867.51128472222</v>
      </c>
      <c r="C152" s="1" t="n">
        <v>46029</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24368-2025</t>
        </is>
      </c>
      <c r="B153" s="1" t="n">
        <v>45797.60623842593</v>
      </c>
      <c r="C153" s="1" t="n">
        <v>46029</v>
      </c>
      <c r="D153" t="inlineStr">
        <is>
          <t>JÄMTLANDS LÄN</t>
        </is>
      </c>
      <c r="E153" t="inlineStr">
        <is>
          <t>ÖSTERSUND</t>
        </is>
      </c>
      <c r="G153" t="n">
        <v>2.9</v>
      </c>
      <c r="H153" t="n">
        <v>0</v>
      </c>
      <c r="I153" t="n">
        <v>0</v>
      </c>
      <c r="J153" t="n">
        <v>0</v>
      </c>
      <c r="K153" t="n">
        <v>1</v>
      </c>
      <c r="L153" t="n">
        <v>0</v>
      </c>
      <c r="M153" t="n">
        <v>0</v>
      </c>
      <c r="N153" t="n">
        <v>0</v>
      </c>
      <c r="O153" t="n">
        <v>1</v>
      </c>
      <c r="P153" t="n">
        <v>1</v>
      </c>
      <c r="Q153" t="n">
        <v>1</v>
      </c>
      <c r="R153" s="2" t="inlineStr">
        <is>
          <t>Fjällfotad fingersvamp</t>
        </is>
      </c>
      <c r="S153">
        <f>HYPERLINK("https://klasma.github.io/Logging_2380/artfynd/A 24368-2025 artfynd.xlsx", "A 24368-2025")</f>
        <v/>
      </c>
      <c r="T153">
        <f>HYPERLINK("https://klasma.github.io/Logging_2380/kartor/A 24368-2025 karta.png", "A 24368-2025")</f>
        <v/>
      </c>
      <c r="V153">
        <f>HYPERLINK("https://klasma.github.io/Logging_2380/klagomål/A 24368-2025 FSC-klagomål.docx", "A 24368-2025")</f>
        <v/>
      </c>
      <c r="W153">
        <f>HYPERLINK("https://klasma.github.io/Logging_2380/klagomålsmail/A 24368-2025 FSC-klagomål mail.docx", "A 24368-2025")</f>
        <v/>
      </c>
      <c r="X153">
        <f>HYPERLINK("https://klasma.github.io/Logging_2380/tillsyn/A 24368-2025 tillsynsbegäran.docx", "A 24368-2025")</f>
        <v/>
      </c>
      <c r="Y153">
        <f>HYPERLINK("https://klasma.github.io/Logging_2380/tillsynsmail/A 24368-2025 tillsynsbegäran mail.docx", "A 24368-2025")</f>
        <v/>
      </c>
    </row>
    <row r="154" ht="15" customHeight="1">
      <c r="A154" t="inlineStr">
        <is>
          <t>A 47580-2025</t>
        </is>
      </c>
      <c r="B154" s="1" t="n">
        <v>45931.40935185185</v>
      </c>
      <c r="C154" s="1" t="n">
        <v>46029</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46029</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31883-2024</t>
        </is>
      </c>
      <c r="B156" s="1" t="n">
        <v>45509.9572800926</v>
      </c>
      <c r="C156" s="1" t="n">
        <v>46029</v>
      </c>
      <c r="D156" t="inlineStr">
        <is>
          <t>JÄMTLANDS LÄN</t>
        </is>
      </c>
      <c r="E156" t="inlineStr">
        <is>
          <t>ÖSTERSUND</t>
        </is>
      </c>
      <c r="F156" t="inlineStr">
        <is>
          <t>SCA</t>
        </is>
      </c>
      <c r="G156" t="n">
        <v>3.3</v>
      </c>
      <c r="H156" t="n">
        <v>1</v>
      </c>
      <c r="I156" t="n">
        <v>0</v>
      </c>
      <c r="J156" t="n">
        <v>0</v>
      </c>
      <c r="K156" t="n">
        <v>1</v>
      </c>
      <c r="L156" t="n">
        <v>0</v>
      </c>
      <c r="M156" t="n">
        <v>0</v>
      </c>
      <c r="N156" t="n">
        <v>0</v>
      </c>
      <c r="O156" t="n">
        <v>1</v>
      </c>
      <c r="P156" t="n">
        <v>1</v>
      </c>
      <c r="Q156" t="n">
        <v>1</v>
      </c>
      <c r="R156" s="2" t="inlineStr">
        <is>
          <t>Doftticka</t>
        </is>
      </c>
      <c r="S156">
        <f>HYPERLINK("https://klasma.github.io/Logging_2380/artfynd/A 31883-2024 artfynd.xlsx", "A 31883-2024")</f>
        <v/>
      </c>
      <c r="T156">
        <f>HYPERLINK("https://klasma.github.io/Logging_2380/kartor/A 31883-2024 karta.png", "A 31883-2024")</f>
        <v/>
      </c>
      <c r="V156">
        <f>HYPERLINK("https://klasma.github.io/Logging_2380/klagomål/A 31883-2024 FSC-klagomål.docx", "A 31883-2024")</f>
        <v/>
      </c>
      <c r="W156">
        <f>HYPERLINK("https://klasma.github.io/Logging_2380/klagomålsmail/A 31883-2024 FSC-klagomål mail.docx", "A 31883-2024")</f>
        <v/>
      </c>
      <c r="X156">
        <f>HYPERLINK("https://klasma.github.io/Logging_2380/tillsyn/A 31883-2024 tillsynsbegäran.docx", "A 31883-2024")</f>
        <v/>
      </c>
      <c r="Y156">
        <f>HYPERLINK("https://klasma.github.io/Logging_2380/tillsynsmail/A 31883-2024 tillsynsbegäran mail.docx", "A 31883-2024")</f>
        <v/>
      </c>
    </row>
    <row r="157" ht="15" customHeight="1">
      <c r="A157" t="inlineStr">
        <is>
          <t>A 46163-2021</t>
        </is>
      </c>
      <c r="B157" s="1" t="n">
        <v>44441</v>
      </c>
      <c r="C157" s="1" t="n">
        <v>46029</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64380-2023</t>
        </is>
      </c>
      <c r="B158" s="1" t="n">
        <v>45280.56451388889</v>
      </c>
      <c r="C158" s="1" t="n">
        <v>46029</v>
      </c>
      <c r="D158" t="inlineStr">
        <is>
          <t>JÄMTLANDS LÄN</t>
        </is>
      </c>
      <c r="E158" t="inlineStr">
        <is>
          <t>ÖSTERSUND</t>
        </is>
      </c>
      <c r="G158" t="n">
        <v>12.4</v>
      </c>
      <c r="H158" t="n">
        <v>0</v>
      </c>
      <c r="I158" t="n">
        <v>0</v>
      </c>
      <c r="J158" t="n">
        <v>1</v>
      </c>
      <c r="K158" t="n">
        <v>0</v>
      </c>
      <c r="L158" t="n">
        <v>0</v>
      </c>
      <c r="M158" t="n">
        <v>0</v>
      </c>
      <c r="N158" t="n">
        <v>0</v>
      </c>
      <c r="O158" t="n">
        <v>1</v>
      </c>
      <c r="P158" t="n">
        <v>0</v>
      </c>
      <c r="Q158" t="n">
        <v>1</v>
      </c>
      <c r="R158" s="2" t="inlineStr">
        <is>
          <t>Luddfingersvamp</t>
        </is>
      </c>
      <c r="S158">
        <f>HYPERLINK("https://klasma.github.io/Logging_2380/artfynd/A 64380-2023 artfynd.xlsx", "A 64380-2023")</f>
        <v/>
      </c>
      <c r="T158">
        <f>HYPERLINK("https://klasma.github.io/Logging_2380/kartor/A 64380-2023 karta.png", "A 64380-2023")</f>
        <v/>
      </c>
      <c r="V158">
        <f>HYPERLINK("https://klasma.github.io/Logging_2380/klagomål/A 64380-2023 FSC-klagomål.docx", "A 64380-2023")</f>
        <v/>
      </c>
      <c r="W158">
        <f>HYPERLINK("https://klasma.github.io/Logging_2380/klagomålsmail/A 64380-2023 FSC-klagomål mail.docx", "A 64380-2023")</f>
        <v/>
      </c>
      <c r="X158">
        <f>HYPERLINK("https://klasma.github.io/Logging_2380/tillsyn/A 64380-2023 tillsynsbegäran.docx", "A 64380-2023")</f>
        <v/>
      </c>
      <c r="Y158">
        <f>HYPERLINK("https://klasma.github.io/Logging_2380/tillsynsmail/A 64380-2023 tillsynsbegäran mail.docx", "A 64380-2023")</f>
        <v/>
      </c>
    </row>
    <row r="159" ht="15" customHeight="1">
      <c r="A159" t="inlineStr">
        <is>
          <t>A 40696-2024</t>
        </is>
      </c>
      <c r="B159" s="1" t="n">
        <v>45558</v>
      </c>
      <c r="C159" s="1" t="n">
        <v>46029</v>
      </c>
      <c r="D159" t="inlineStr">
        <is>
          <t>JÄMTLANDS LÄN</t>
        </is>
      </c>
      <c r="E159" t="inlineStr">
        <is>
          <t>ÖSTERSUND</t>
        </is>
      </c>
      <c r="F159" t="inlineStr">
        <is>
          <t>SCA</t>
        </is>
      </c>
      <c r="G159" t="n">
        <v>2.7</v>
      </c>
      <c r="H159" t="n">
        <v>0</v>
      </c>
      <c r="I159" t="n">
        <v>0</v>
      </c>
      <c r="J159" t="n">
        <v>1</v>
      </c>
      <c r="K159" t="n">
        <v>0</v>
      </c>
      <c r="L159" t="n">
        <v>0</v>
      </c>
      <c r="M159" t="n">
        <v>0</v>
      </c>
      <c r="N159" t="n">
        <v>0</v>
      </c>
      <c r="O159" t="n">
        <v>1</v>
      </c>
      <c r="P159" t="n">
        <v>0</v>
      </c>
      <c r="Q159" t="n">
        <v>1</v>
      </c>
      <c r="R159" s="2" t="inlineStr">
        <is>
          <t>Lunglav</t>
        </is>
      </c>
      <c r="S159">
        <f>HYPERLINK("https://klasma.github.io/Logging_2380/artfynd/A 40696-2024 artfynd.xlsx", "A 40696-2024")</f>
        <v/>
      </c>
      <c r="T159">
        <f>HYPERLINK("https://klasma.github.io/Logging_2380/kartor/A 40696-2024 karta.png", "A 40696-2024")</f>
        <v/>
      </c>
      <c r="V159">
        <f>HYPERLINK("https://klasma.github.io/Logging_2380/klagomål/A 40696-2024 FSC-klagomål.docx", "A 40696-2024")</f>
        <v/>
      </c>
      <c r="W159">
        <f>HYPERLINK("https://klasma.github.io/Logging_2380/klagomålsmail/A 40696-2024 FSC-klagomål mail.docx", "A 40696-2024")</f>
        <v/>
      </c>
      <c r="X159">
        <f>HYPERLINK("https://klasma.github.io/Logging_2380/tillsyn/A 40696-2024 tillsynsbegäran.docx", "A 40696-2024")</f>
        <v/>
      </c>
      <c r="Y159">
        <f>HYPERLINK("https://klasma.github.io/Logging_2380/tillsynsmail/A 40696-2024 tillsynsbegäran mail.docx", "A 40696-2024")</f>
        <v/>
      </c>
    </row>
    <row r="160" ht="15" customHeight="1">
      <c r="A160" t="inlineStr">
        <is>
          <t>A 59433-2021</t>
        </is>
      </c>
      <c r="B160" s="1" t="n">
        <v>44491</v>
      </c>
      <c r="C160" s="1" t="n">
        <v>46029</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60966-2025</t>
        </is>
      </c>
      <c r="B161" s="1" t="n">
        <v>45999.67758101852</v>
      </c>
      <c r="C161" s="1" t="n">
        <v>46029</v>
      </c>
      <c r="D161" t="inlineStr">
        <is>
          <t>JÄMTLANDS LÄN</t>
        </is>
      </c>
      <c r="E161" t="inlineStr">
        <is>
          <t>ÖSTERSUND</t>
        </is>
      </c>
      <c r="F161" t="inlineStr">
        <is>
          <t>SCA</t>
        </is>
      </c>
      <c r="G161" t="n">
        <v>1.9</v>
      </c>
      <c r="H161" t="n">
        <v>1</v>
      </c>
      <c r="I161" t="n">
        <v>1</v>
      </c>
      <c r="J161" t="n">
        <v>0</v>
      </c>
      <c r="K161" t="n">
        <v>0</v>
      </c>
      <c r="L161" t="n">
        <v>0</v>
      </c>
      <c r="M161" t="n">
        <v>0</v>
      </c>
      <c r="N161" t="n">
        <v>0</v>
      </c>
      <c r="O161" t="n">
        <v>0</v>
      </c>
      <c r="P161" t="n">
        <v>0</v>
      </c>
      <c r="Q161" t="n">
        <v>1</v>
      </c>
      <c r="R161" s="2" t="inlineStr">
        <is>
          <t>Tvåblad</t>
        </is>
      </c>
      <c r="S161">
        <f>HYPERLINK("https://klasma.github.io/Logging_2380/artfynd/A 60966-2025 artfynd.xlsx", "A 60966-2025")</f>
        <v/>
      </c>
      <c r="T161">
        <f>HYPERLINK("https://klasma.github.io/Logging_2380/kartor/A 60966-2025 karta.png", "A 60966-2025")</f>
        <v/>
      </c>
      <c r="V161">
        <f>HYPERLINK("https://klasma.github.io/Logging_2380/klagomål/A 60966-2025 FSC-klagomål.docx", "A 60966-2025")</f>
        <v/>
      </c>
      <c r="W161">
        <f>HYPERLINK("https://klasma.github.io/Logging_2380/klagomålsmail/A 60966-2025 FSC-klagomål mail.docx", "A 60966-2025")</f>
        <v/>
      </c>
      <c r="X161">
        <f>HYPERLINK("https://klasma.github.io/Logging_2380/tillsyn/A 60966-2025 tillsynsbegäran.docx", "A 60966-2025")</f>
        <v/>
      </c>
      <c r="Y161">
        <f>HYPERLINK("https://klasma.github.io/Logging_2380/tillsynsmail/A 60966-2025 tillsynsbegäran mail.docx", "A 60966-2025")</f>
        <v/>
      </c>
    </row>
    <row r="162" ht="15" customHeight="1">
      <c r="A162" t="inlineStr">
        <is>
          <t>A 55821-2021</t>
        </is>
      </c>
      <c r="B162" s="1" t="n">
        <v>44476</v>
      </c>
      <c r="C162" s="1" t="n">
        <v>46029</v>
      </c>
      <c r="D162" t="inlineStr">
        <is>
          <t>JÄMTLANDS LÄN</t>
        </is>
      </c>
      <c r="E162" t="inlineStr">
        <is>
          <t>ÖSTERSUND</t>
        </is>
      </c>
      <c r="G162" t="n">
        <v>7.2</v>
      </c>
      <c r="H162" t="n">
        <v>0</v>
      </c>
      <c r="I162" t="n">
        <v>0</v>
      </c>
      <c r="J162" t="n">
        <v>1</v>
      </c>
      <c r="K162" t="n">
        <v>0</v>
      </c>
      <c r="L162" t="n">
        <v>0</v>
      </c>
      <c r="M162" t="n">
        <v>0</v>
      </c>
      <c r="N162" t="n">
        <v>0</v>
      </c>
      <c r="O162" t="n">
        <v>1</v>
      </c>
      <c r="P162" t="n">
        <v>0</v>
      </c>
      <c r="Q162" t="n">
        <v>1</v>
      </c>
      <c r="R162" s="2" t="inlineStr">
        <is>
          <t>Harticka</t>
        </is>
      </c>
      <c r="S162">
        <f>HYPERLINK("https://klasma.github.io/Logging_2380/artfynd/A 55821-2021 artfynd.xlsx", "A 55821-2021")</f>
        <v/>
      </c>
      <c r="T162">
        <f>HYPERLINK("https://klasma.github.io/Logging_2380/kartor/A 55821-2021 karta.png", "A 55821-2021")</f>
        <v/>
      </c>
      <c r="V162">
        <f>HYPERLINK("https://klasma.github.io/Logging_2380/klagomål/A 55821-2021 FSC-klagomål.docx", "A 55821-2021")</f>
        <v/>
      </c>
      <c r="W162">
        <f>HYPERLINK("https://klasma.github.io/Logging_2380/klagomålsmail/A 55821-2021 FSC-klagomål mail.docx", "A 55821-2021")</f>
        <v/>
      </c>
      <c r="X162">
        <f>HYPERLINK("https://klasma.github.io/Logging_2380/tillsyn/A 55821-2021 tillsynsbegäran.docx", "A 55821-2021")</f>
        <v/>
      </c>
      <c r="Y162">
        <f>HYPERLINK("https://klasma.github.io/Logging_2380/tillsynsmail/A 55821-2021 tillsynsbegäran mail.docx", "A 55821-2021")</f>
        <v/>
      </c>
    </row>
    <row r="163" ht="15" customHeight="1">
      <c r="A163" t="inlineStr">
        <is>
          <t>A 53300-2025</t>
        </is>
      </c>
      <c r="B163" s="1" t="n">
        <v>45959.32394675926</v>
      </c>
      <c r="C163" s="1" t="n">
        <v>46029</v>
      </c>
      <c r="D163" t="inlineStr">
        <is>
          <t>JÄMTLANDS LÄN</t>
        </is>
      </c>
      <c r="E163" t="inlineStr">
        <is>
          <t>ÖSTERSUND</t>
        </is>
      </c>
      <c r="F163" t="inlineStr">
        <is>
          <t>Sveaskog</t>
        </is>
      </c>
      <c r="G163" t="n">
        <v>12.2</v>
      </c>
      <c r="H163" t="n">
        <v>0</v>
      </c>
      <c r="I163" t="n">
        <v>1</v>
      </c>
      <c r="J163" t="n">
        <v>0</v>
      </c>
      <c r="K163" t="n">
        <v>0</v>
      </c>
      <c r="L163" t="n">
        <v>0</v>
      </c>
      <c r="M163" t="n">
        <v>0</v>
      </c>
      <c r="N163" t="n">
        <v>0</v>
      </c>
      <c r="O163" t="n">
        <v>0</v>
      </c>
      <c r="P163" t="n">
        <v>0</v>
      </c>
      <c r="Q163" t="n">
        <v>1</v>
      </c>
      <c r="R163" s="2" t="inlineStr">
        <is>
          <t>Rödgul trumpetsvamp</t>
        </is>
      </c>
      <c r="S163">
        <f>HYPERLINK("https://klasma.github.io/Logging_2380/artfynd/A 53300-2025 artfynd.xlsx", "A 53300-2025")</f>
        <v/>
      </c>
      <c r="T163">
        <f>HYPERLINK("https://klasma.github.io/Logging_2380/kartor/A 53300-2025 karta.png", "A 53300-2025")</f>
        <v/>
      </c>
      <c r="V163">
        <f>HYPERLINK("https://klasma.github.io/Logging_2380/klagomål/A 53300-2025 FSC-klagomål.docx", "A 53300-2025")</f>
        <v/>
      </c>
      <c r="W163">
        <f>HYPERLINK("https://klasma.github.io/Logging_2380/klagomålsmail/A 53300-2025 FSC-klagomål mail.docx", "A 53300-2025")</f>
        <v/>
      </c>
      <c r="X163">
        <f>HYPERLINK("https://klasma.github.io/Logging_2380/tillsyn/A 53300-2025 tillsynsbegäran.docx", "A 53300-2025")</f>
        <v/>
      </c>
      <c r="Y163">
        <f>HYPERLINK("https://klasma.github.io/Logging_2380/tillsynsmail/A 53300-2025 tillsynsbegäran mail.docx", "A 53300-2025")</f>
        <v/>
      </c>
    </row>
    <row r="164" ht="15" customHeight="1">
      <c r="A164" t="inlineStr">
        <is>
          <t>A 54354-2024</t>
        </is>
      </c>
      <c r="B164" s="1" t="n">
        <v>45617.40244212963</v>
      </c>
      <c r="C164" s="1" t="n">
        <v>46029</v>
      </c>
      <c r="D164" t="inlineStr">
        <is>
          <t>JÄMTLANDS LÄN</t>
        </is>
      </c>
      <c r="E164" t="inlineStr">
        <is>
          <t>ÖSTERSUND</t>
        </is>
      </c>
      <c r="G164" t="n">
        <v>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54354-2024 artfynd.xlsx", "A 54354-2024")</f>
        <v/>
      </c>
      <c r="T164">
        <f>HYPERLINK("https://klasma.github.io/Logging_2380/kartor/A 54354-2024 karta.png", "A 54354-2024")</f>
        <v/>
      </c>
      <c r="V164">
        <f>HYPERLINK("https://klasma.github.io/Logging_2380/klagomål/A 54354-2024 FSC-klagomål.docx", "A 54354-2024")</f>
        <v/>
      </c>
      <c r="W164">
        <f>HYPERLINK("https://klasma.github.io/Logging_2380/klagomålsmail/A 54354-2024 FSC-klagomål mail.docx", "A 54354-2024")</f>
        <v/>
      </c>
      <c r="X164">
        <f>HYPERLINK("https://klasma.github.io/Logging_2380/tillsyn/A 54354-2024 tillsynsbegäran.docx", "A 54354-2024")</f>
        <v/>
      </c>
      <c r="Y164">
        <f>HYPERLINK("https://klasma.github.io/Logging_2380/tillsynsmail/A 54354-2024 tillsynsbegäran mail.docx", "A 54354-2024")</f>
        <v/>
      </c>
      <c r="Z164">
        <f>HYPERLINK("https://klasma.github.io/Logging_2380/fåglar/A 54354-2024 prioriterade fågelarter.docx", "A 54354-2024")</f>
        <v/>
      </c>
    </row>
    <row r="165" ht="15" customHeight="1">
      <c r="A165" t="inlineStr">
        <is>
          <t>A 62835-2025</t>
        </is>
      </c>
      <c r="B165" s="1" t="n">
        <v>46008.67969907408</v>
      </c>
      <c r="C165" s="1" t="n">
        <v>46029</v>
      </c>
      <c r="D165" t="inlineStr">
        <is>
          <t>JÄMTLANDS LÄN</t>
        </is>
      </c>
      <c r="E165" t="inlineStr">
        <is>
          <t>ÖSTERSUND</t>
        </is>
      </c>
      <c r="G165" t="n">
        <v>2.2</v>
      </c>
      <c r="H165" t="n">
        <v>0</v>
      </c>
      <c r="I165" t="n">
        <v>0</v>
      </c>
      <c r="J165" t="n">
        <v>1</v>
      </c>
      <c r="K165" t="n">
        <v>0</v>
      </c>
      <c r="L165" t="n">
        <v>0</v>
      </c>
      <c r="M165" t="n">
        <v>0</v>
      </c>
      <c r="N165" t="n">
        <v>0</v>
      </c>
      <c r="O165" t="n">
        <v>1</v>
      </c>
      <c r="P165" t="n">
        <v>0</v>
      </c>
      <c r="Q165" t="n">
        <v>1</v>
      </c>
      <c r="R165" s="2" t="inlineStr">
        <is>
          <t>Åkerkål</t>
        </is>
      </c>
      <c r="S165">
        <f>HYPERLINK("https://klasma.github.io/Logging_2380/artfynd/A 62835-2025 artfynd.xlsx", "A 62835-2025")</f>
        <v/>
      </c>
      <c r="T165">
        <f>HYPERLINK("https://klasma.github.io/Logging_2380/kartor/A 62835-2025 karta.png", "A 62835-2025")</f>
        <v/>
      </c>
      <c r="V165">
        <f>HYPERLINK("https://klasma.github.io/Logging_2380/klagomål/A 62835-2025 FSC-klagomål.docx", "A 62835-2025")</f>
        <v/>
      </c>
      <c r="W165">
        <f>HYPERLINK("https://klasma.github.io/Logging_2380/klagomålsmail/A 62835-2025 FSC-klagomål mail.docx", "A 62835-2025")</f>
        <v/>
      </c>
      <c r="X165">
        <f>HYPERLINK("https://klasma.github.io/Logging_2380/tillsyn/A 62835-2025 tillsynsbegäran.docx", "A 62835-2025")</f>
        <v/>
      </c>
      <c r="Y165">
        <f>HYPERLINK("https://klasma.github.io/Logging_2380/tillsynsmail/A 62835-2025 tillsynsbegäran mail.docx", "A 62835-2025")</f>
        <v/>
      </c>
    </row>
    <row r="166" ht="15" customHeight="1">
      <c r="A166" t="inlineStr">
        <is>
          <t>A 44049-2024</t>
        </is>
      </c>
      <c r="B166" s="1" t="n">
        <v>45572.59462962963</v>
      </c>
      <c r="C166" s="1" t="n">
        <v>46029</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63201-2025</t>
        </is>
      </c>
      <c r="B167" s="1" t="n">
        <v>46010.46366898148</v>
      </c>
      <c r="C167" s="1" t="n">
        <v>46029</v>
      </c>
      <c r="D167" t="inlineStr">
        <is>
          <t>JÄMTLANDS LÄN</t>
        </is>
      </c>
      <c r="E167" t="inlineStr">
        <is>
          <t>ÖSTERSUND</t>
        </is>
      </c>
      <c r="G167" t="n">
        <v>5.8</v>
      </c>
      <c r="H167" t="n">
        <v>1</v>
      </c>
      <c r="I167" t="n">
        <v>0</v>
      </c>
      <c r="J167" t="n">
        <v>0</v>
      </c>
      <c r="K167" t="n">
        <v>0</v>
      </c>
      <c r="L167" t="n">
        <v>0</v>
      </c>
      <c r="M167" t="n">
        <v>0</v>
      </c>
      <c r="N167" t="n">
        <v>0</v>
      </c>
      <c r="O167" t="n">
        <v>0</v>
      </c>
      <c r="P167" t="n">
        <v>0</v>
      </c>
      <c r="Q167" t="n">
        <v>1</v>
      </c>
      <c r="R167" s="2" t="inlineStr">
        <is>
          <t>Lavskrika</t>
        </is>
      </c>
      <c r="S167">
        <f>HYPERLINK("https://klasma.github.io/Logging_2380/artfynd/A 63201-2025 artfynd.xlsx", "A 63201-2025")</f>
        <v/>
      </c>
      <c r="T167">
        <f>HYPERLINK("https://klasma.github.io/Logging_2380/kartor/A 63201-2025 karta.png", "A 63201-2025")</f>
        <v/>
      </c>
      <c r="V167">
        <f>HYPERLINK("https://klasma.github.io/Logging_2380/klagomål/A 63201-2025 FSC-klagomål.docx", "A 63201-2025")</f>
        <v/>
      </c>
      <c r="W167">
        <f>HYPERLINK("https://klasma.github.io/Logging_2380/klagomålsmail/A 63201-2025 FSC-klagomål mail.docx", "A 63201-2025")</f>
        <v/>
      </c>
      <c r="X167">
        <f>HYPERLINK("https://klasma.github.io/Logging_2380/tillsyn/A 63201-2025 tillsynsbegäran.docx", "A 63201-2025")</f>
        <v/>
      </c>
      <c r="Y167">
        <f>HYPERLINK("https://klasma.github.io/Logging_2380/tillsynsmail/A 63201-2025 tillsynsbegäran mail.docx", "A 63201-2025")</f>
        <v/>
      </c>
      <c r="Z167">
        <f>HYPERLINK("https://klasma.github.io/Logging_2380/fåglar/A 63201-2025 prioriterade fågelarter.docx", "A 63201-2025")</f>
        <v/>
      </c>
    </row>
    <row r="168" ht="15" customHeight="1">
      <c r="A168" t="inlineStr">
        <is>
          <t>A 58274-2025</t>
        </is>
      </c>
      <c r="B168" s="1" t="n">
        <v>45985.43086805556</v>
      </c>
      <c r="C168" s="1" t="n">
        <v>46029</v>
      </c>
      <c r="D168" t="inlineStr">
        <is>
          <t>JÄMTLANDS LÄN</t>
        </is>
      </c>
      <c r="E168" t="inlineStr">
        <is>
          <t>ÖSTERSUND</t>
        </is>
      </c>
      <c r="F168" t="inlineStr">
        <is>
          <t>Övriga Aktiebolag</t>
        </is>
      </c>
      <c r="G168" t="n">
        <v>18.7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58274-2025 artfynd.xlsx", "A 58274-2025")</f>
        <v/>
      </c>
      <c r="T168">
        <f>HYPERLINK("https://klasma.github.io/Logging_2380/kartor/A 58274-2025 karta.png", "A 58274-2025")</f>
        <v/>
      </c>
      <c r="V168">
        <f>HYPERLINK("https://klasma.github.io/Logging_2380/klagomål/A 58274-2025 FSC-klagomål.docx", "A 58274-2025")</f>
        <v/>
      </c>
      <c r="W168">
        <f>HYPERLINK("https://klasma.github.io/Logging_2380/klagomålsmail/A 58274-2025 FSC-klagomål mail.docx", "A 58274-2025")</f>
        <v/>
      </c>
      <c r="X168">
        <f>HYPERLINK("https://klasma.github.io/Logging_2380/tillsyn/A 58274-2025 tillsynsbegäran.docx", "A 58274-2025")</f>
        <v/>
      </c>
      <c r="Y168">
        <f>HYPERLINK("https://klasma.github.io/Logging_2380/tillsynsmail/A 58274-2025 tillsynsbegäran mail.docx", "A 58274-2025")</f>
        <v/>
      </c>
      <c r="Z168">
        <f>HYPERLINK("https://klasma.github.io/Logging_2380/fåglar/A 58274-2025 prioriterade fågelarter.docx", "A 58274-2025")</f>
        <v/>
      </c>
    </row>
    <row r="169" ht="15" customHeight="1">
      <c r="A169" t="inlineStr">
        <is>
          <t>A 11513-2024</t>
        </is>
      </c>
      <c r="B169" s="1" t="n">
        <v>45372</v>
      </c>
      <c r="C169" s="1" t="n">
        <v>46029</v>
      </c>
      <c r="D169" t="inlineStr">
        <is>
          <t>JÄMTLANDS LÄN</t>
        </is>
      </c>
      <c r="E169" t="inlineStr">
        <is>
          <t>ÖSTERSUND</t>
        </is>
      </c>
      <c r="G169" t="n">
        <v>21.2</v>
      </c>
      <c r="H169" t="n">
        <v>0</v>
      </c>
      <c r="I169" t="n">
        <v>1</v>
      </c>
      <c r="J169" t="n">
        <v>0</v>
      </c>
      <c r="K169" t="n">
        <v>0</v>
      </c>
      <c r="L169" t="n">
        <v>0</v>
      </c>
      <c r="M169" t="n">
        <v>0</v>
      </c>
      <c r="N169" t="n">
        <v>0</v>
      </c>
      <c r="O169" t="n">
        <v>0</v>
      </c>
      <c r="P169" t="n">
        <v>0</v>
      </c>
      <c r="Q169" t="n">
        <v>1</v>
      </c>
      <c r="R169" s="2" t="inlineStr">
        <is>
          <t>Tibast</t>
        </is>
      </c>
      <c r="S169">
        <f>HYPERLINK("https://klasma.github.io/Logging_2380/artfynd/A 11513-2024 artfynd.xlsx", "A 11513-2024")</f>
        <v/>
      </c>
      <c r="T169">
        <f>HYPERLINK("https://klasma.github.io/Logging_2380/kartor/A 11513-2024 karta.png", "A 11513-2024")</f>
        <v/>
      </c>
      <c r="V169">
        <f>HYPERLINK("https://klasma.github.io/Logging_2380/klagomål/A 11513-2024 FSC-klagomål.docx", "A 11513-2024")</f>
        <v/>
      </c>
      <c r="W169">
        <f>HYPERLINK("https://klasma.github.io/Logging_2380/klagomålsmail/A 11513-2024 FSC-klagomål mail.docx", "A 11513-2024")</f>
        <v/>
      </c>
      <c r="X169">
        <f>HYPERLINK("https://klasma.github.io/Logging_2380/tillsyn/A 11513-2024 tillsynsbegäran.docx", "A 11513-2024")</f>
        <v/>
      </c>
      <c r="Y169">
        <f>HYPERLINK("https://klasma.github.io/Logging_2380/tillsynsmail/A 11513-2024 tillsynsbegäran mail.docx", "A 11513-2024")</f>
        <v/>
      </c>
    </row>
    <row r="170" ht="15" customHeight="1">
      <c r="A170" t="inlineStr">
        <is>
          <t>A 41770-2024</t>
        </is>
      </c>
      <c r="B170" s="1" t="n">
        <v>45561.34641203703</v>
      </c>
      <c r="C170" s="1" t="n">
        <v>46029</v>
      </c>
      <c r="D170" t="inlineStr">
        <is>
          <t>JÄMTLANDS LÄN</t>
        </is>
      </c>
      <c r="E170" t="inlineStr">
        <is>
          <t>ÖSTERSUND</t>
        </is>
      </c>
      <c r="F170" t="inlineStr">
        <is>
          <t>SCA</t>
        </is>
      </c>
      <c r="G170" t="n">
        <v>4.4</v>
      </c>
      <c r="H170" t="n">
        <v>0</v>
      </c>
      <c r="I170" t="n">
        <v>1</v>
      </c>
      <c r="J170" t="n">
        <v>0</v>
      </c>
      <c r="K170" t="n">
        <v>0</v>
      </c>
      <c r="L170" t="n">
        <v>0</v>
      </c>
      <c r="M170" t="n">
        <v>0</v>
      </c>
      <c r="N170" t="n">
        <v>0</v>
      </c>
      <c r="O170" t="n">
        <v>0</v>
      </c>
      <c r="P170" t="n">
        <v>0</v>
      </c>
      <c r="Q170" t="n">
        <v>1</v>
      </c>
      <c r="R170" s="2" t="inlineStr">
        <is>
          <t>Vedticka</t>
        </is>
      </c>
      <c r="S170">
        <f>HYPERLINK("https://klasma.github.io/Logging_2380/artfynd/A 41770-2024 artfynd.xlsx", "A 41770-2024")</f>
        <v/>
      </c>
      <c r="T170">
        <f>HYPERLINK("https://klasma.github.io/Logging_2380/kartor/A 41770-2024 karta.png", "A 41770-2024")</f>
        <v/>
      </c>
      <c r="V170">
        <f>HYPERLINK("https://klasma.github.io/Logging_2380/klagomål/A 41770-2024 FSC-klagomål.docx", "A 41770-2024")</f>
        <v/>
      </c>
      <c r="W170">
        <f>HYPERLINK("https://klasma.github.io/Logging_2380/klagomålsmail/A 41770-2024 FSC-klagomål mail.docx", "A 41770-2024")</f>
        <v/>
      </c>
      <c r="X170">
        <f>HYPERLINK("https://klasma.github.io/Logging_2380/tillsyn/A 41770-2024 tillsynsbegäran.docx", "A 41770-2024")</f>
        <v/>
      </c>
      <c r="Y170">
        <f>HYPERLINK("https://klasma.github.io/Logging_2380/tillsynsmail/A 41770-2024 tillsynsbegäran mail.docx", "A 41770-2024")</f>
        <v/>
      </c>
    </row>
    <row r="171" ht="15" customHeight="1">
      <c r="A171" t="inlineStr">
        <is>
          <t>A 33267-2022</t>
        </is>
      </c>
      <c r="B171" s="1" t="n">
        <v>44785</v>
      </c>
      <c r="C171" s="1" t="n">
        <v>46029</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55-2023</t>
        </is>
      </c>
      <c r="B172" s="1" t="n">
        <v>44928</v>
      </c>
      <c r="C172" s="1" t="n">
        <v>46029</v>
      </c>
      <c r="D172" t="inlineStr">
        <is>
          <t>JÄMTLANDS LÄN</t>
        </is>
      </c>
      <c r="E172" t="inlineStr">
        <is>
          <t>ÖSTERSUND</t>
        </is>
      </c>
      <c r="G172" t="n">
        <v>4</v>
      </c>
      <c r="H172" t="n">
        <v>1</v>
      </c>
      <c r="I172" t="n">
        <v>0</v>
      </c>
      <c r="J172" t="n">
        <v>0</v>
      </c>
      <c r="K172" t="n">
        <v>1</v>
      </c>
      <c r="L172" t="n">
        <v>0</v>
      </c>
      <c r="M172" t="n">
        <v>0</v>
      </c>
      <c r="N172" t="n">
        <v>0</v>
      </c>
      <c r="O172" t="n">
        <v>1</v>
      </c>
      <c r="P172" t="n">
        <v>1</v>
      </c>
      <c r="Q172" t="n">
        <v>1</v>
      </c>
      <c r="R172" s="2" t="inlineStr">
        <is>
          <t>Knärot</t>
        </is>
      </c>
      <c r="S172">
        <f>HYPERLINK("https://klasma.github.io/Logging_2380/artfynd/A 55-2023 artfynd.xlsx", "A 55-2023")</f>
        <v/>
      </c>
      <c r="T172">
        <f>HYPERLINK("https://klasma.github.io/Logging_2380/kartor/A 55-2023 karta.png", "A 55-2023")</f>
        <v/>
      </c>
      <c r="U172">
        <f>HYPERLINK("https://klasma.github.io/Logging_2380/knärot/A 55-2023 karta knärot.png", "A 55-2023")</f>
        <v/>
      </c>
      <c r="V172">
        <f>HYPERLINK("https://klasma.github.io/Logging_2380/klagomål/A 55-2023 FSC-klagomål.docx", "A 55-2023")</f>
        <v/>
      </c>
      <c r="W172">
        <f>HYPERLINK("https://klasma.github.io/Logging_2380/klagomålsmail/A 55-2023 FSC-klagomål mail.docx", "A 55-2023")</f>
        <v/>
      </c>
      <c r="X172">
        <f>HYPERLINK("https://klasma.github.io/Logging_2380/tillsyn/A 55-2023 tillsynsbegäran.docx", "A 55-2023")</f>
        <v/>
      </c>
      <c r="Y172">
        <f>HYPERLINK("https://klasma.github.io/Logging_2380/tillsynsmail/A 55-2023 tillsynsbegäran mail.docx", "A 55-2023")</f>
        <v/>
      </c>
    </row>
    <row r="173" ht="15" customHeight="1">
      <c r="A173" t="inlineStr">
        <is>
          <t>A 17217-2021</t>
        </is>
      </c>
      <c r="B173" s="1" t="n">
        <v>44298</v>
      </c>
      <c r="C173" s="1" t="n">
        <v>46029</v>
      </c>
      <c r="D173" t="inlineStr">
        <is>
          <t>JÄMTLANDS LÄN</t>
        </is>
      </c>
      <c r="E173" t="inlineStr">
        <is>
          <t>ÖSTERSUND</t>
        </is>
      </c>
      <c r="G173" t="n">
        <v>10.4</v>
      </c>
      <c r="H173" t="n">
        <v>0</v>
      </c>
      <c r="I173" t="n">
        <v>0</v>
      </c>
      <c r="J173" t="n">
        <v>1</v>
      </c>
      <c r="K173" t="n">
        <v>0</v>
      </c>
      <c r="L173" t="n">
        <v>0</v>
      </c>
      <c r="M173" t="n">
        <v>0</v>
      </c>
      <c r="N173" t="n">
        <v>0</v>
      </c>
      <c r="O173" t="n">
        <v>1</v>
      </c>
      <c r="P173" t="n">
        <v>0</v>
      </c>
      <c r="Q173" t="n">
        <v>1</v>
      </c>
      <c r="R173" s="2" t="inlineStr">
        <is>
          <t>Rödbrun klubbdyna</t>
        </is>
      </c>
      <c r="S173">
        <f>HYPERLINK("https://klasma.github.io/Logging_2380/artfynd/A 17217-2021 artfynd.xlsx", "A 17217-2021")</f>
        <v/>
      </c>
      <c r="T173">
        <f>HYPERLINK("https://klasma.github.io/Logging_2380/kartor/A 17217-2021 karta.png", "A 17217-2021")</f>
        <v/>
      </c>
      <c r="V173">
        <f>HYPERLINK("https://klasma.github.io/Logging_2380/klagomål/A 17217-2021 FSC-klagomål.docx", "A 17217-2021")</f>
        <v/>
      </c>
      <c r="W173">
        <f>HYPERLINK("https://klasma.github.io/Logging_2380/klagomålsmail/A 17217-2021 FSC-klagomål mail.docx", "A 17217-2021")</f>
        <v/>
      </c>
      <c r="X173">
        <f>HYPERLINK("https://klasma.github.io/Logging_2380/tillsyn/A 17217-2021 tillsynsbegäran.docx", "A 17217-2021")</f>
        <v/>
      </c>
      <c r="Y173">
        <f>HYPERLINK("https://klasma.github.io/Logging_2380/tillsynsmail/A 17217-2021 tillsynsbegäran mail.docx", "A 17217-2021")</f>
        <v/>
      </c>
    </row>
    <row r="174" ht="15" customHeight="1">
      <c r="A174" t="inlineStr">
        <is>
          <t>A 20620-2021</t>
        </is>
      </c>
      <c r="B174" s="1" t="n">
        <v>44316</v>
      </c>
      <c r="C174" s="1" t="n">
        <v>46029</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46029</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46029</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46029</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46029</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46029</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46029</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46029</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46029</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46029</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46029</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46029</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46029</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46029</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46029</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46029</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46029</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46029</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46029</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46029</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46029</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46029</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46029</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46029</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46029</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46029</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46029</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46029</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46029</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46029</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46029</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46029</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46029</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46029</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46029</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46029</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46029</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46029</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46029</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46029</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46029</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46029</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46029</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46029</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29094-2022</t>
        </is>
      </c>
      <c r="B218" s="1" t="n">
        <v>44750</v>
      </c>
      <c r="C218" s="1" t="n">
        <v>46029</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46029</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46029</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46029</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46029</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46029</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46029</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46029</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46029</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46029</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46029</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46029</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46029</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46029</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46029</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46029</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46029</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46029</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46029</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46029</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55002-2024</t>
        </is>
      </c>
      <c r="B238" s="1" t="n">
        <v>45621</v>
      </c>
      <c r="C238" s="1" t="n">
        <v>46029</v>
      </c>
      <c r="D238" t="inlineStr">
        <is>
          <t>JÄMTLANDS LÄN</t>
        </is>
      </c>
      <c r="E238" t="inlineStr">
        <is>
          <t>ÖSTERSUND</t>
        </is>
      </c>
      <c r="F238" t="inlineStr">
        <is>
          <t>Övriga Aktiebolag</t>
        </is>
      </c>
      <c r="G238" t="n">
        <v>0.3</v>
      </c>
      <c r="H238" t="n">
        <v>0</v>
      </c>
      <c r="I238" t="n">
        <v>0</v>
      </c>
      <c r="J238" t="n">
        <v>0</v>
      </c>
      <c r="K238" t="n">
        <v>0</v>
      </c>
      <c r="L238" t="n">
        <v>0</v>
      </c>
      <c r="M238" t="n">
        <v>0</v>
      </c>
      <c r="N238" t="n">
        <v>0</v>
      </c>
      <c r="O238" t="n">
        <v>0</v>
      </c>
      <c r="P238" t="n">
        <v>0</v>
      </c>
      <c r="Q238" t="n">
        <v>0</v>
      </c>
      <c r="R238" s="2" t="inlineStr"/>
    </row>
    <row r="239" ht="15" customHeight="1">
      <c r="A239" t="inlineStr">
        <is>
          <t>A 14867-2025</t>
        </is>
      </c>
      <c r="B239" s="1" t="n">
        <v>45743.44207175926</v>
      </c>
      <c r="C239" s="1" t="n">
        <v>46029</v>
      </c>
      <c r="D239" t="inlineStr">
        <is>
          <t>JÄMTLANDS LÄN</t>
        </is>
      </c>
      <c r="E239" t="inlineStr">
        <is>
          <t>ÖSTERSUND</t>
        </is>
      </c>
      <c r="G239" t="n">
        <v>3.3</v>
      </c>
      <c r="H239" t="n">
        <v>0</v>
      </c>
      <c r="I239" t="n">
        <v>0</v>
      </c>
      <c r="J239" t="n">
        <v>0</v>
      </c>
      <c r="K239" t="n">
        <v>0</v>
      </c>
      <c r="L239" t="n">
        <v>0</v>
      </c>
      <c r="M239" t="n">
        <v>0</v>
      </c>
      <c r="N239" t="n">
        <v>0</v>
      </c>
      <c r="O239" t="n">
        <v>0</v>
      </c>
      <c r="P239" t="n">
        <v>0</v>
      </c>
      <c r="Q239" t="n">
        <v>0</v>
      </c>
      <c r="R239" s="2" t="inlineStr"/>
    </row>
    <row r="240" ht="15" customHeight="1">
      <c r="A240" t="inlineStr">
        <is>
          <t>A 14947-2025</t>
        </is>
      </c>
      <c r="B240" s="1" t="n">
        <v>45743.57336805556</v>
      </c>
      <c r="C240" s="1" t="n">
        <v>46029</v>
      </c>
      <c r="D240" t="inlineStr">
        <is>
          <t>JÄMTLANDS LÄN</t>
        </is>
      </c>
      <c r="E240" t="inlineStr">
        <is>
          <t>ÖSTERSUND</t>
        </is>
      </c>
      <c r="G240" t="n">
        <v>0.5</v>
      </c>
      <c r="H240" t="n">
        <v>0</v>
      </c>
      <c r="I240" t="n">
        <v>0</v>
      </c>
      <c r="J240" t="n">
        <v>0</v>
      </c>
      <c r="K240" t="n">
        <v>0</v>
      </c>
      <c r="L240" t="n">
        <v>0</v>
      </c>
      <c r="M240" t="n">
        <v>0</v>
      </c>
      <c r="N240" t="n">
        <v>0</v>
      </c>
      <c r="O240" t="n">
        <v>0</v>
      </c>
      <c r="P240" t="n">
        <v>0</v>
      </c>
      <c r="Q240" t="n">
        <v>0</v>
      </c>
      <c r="R240" s="2" t="inlineStr"/>
    </row>
    <row r="241" ht="15" customHeight="1">
      <c r="A241" t="inlineStr">
        <is>
          <t>A 44013-2021</t>
        </is>
      </c>
      <c r="B241" s="1" t="n">
        <v>44434</v>
      </c>
      <c r="C241" s="1" t="n">
        <v>46029</v>
      </c>
      <c r="D241" t="inlineStr">
        <is>
          <t>JÄMTLANDS LÄN</t>
        </is>
      </c>
      <c r="E241" t="inlineStr">
        <is>
          <t>ÖSTERSUND</t>
        </is>
      </c>
      <c r="G241" t="n">
        <v>1.9</v>
      </c>
      <c r="H241" t="n">
        <v>0</v>
      </c>
      <c r="I241" t="n">
        <v>0</v>
      </c>
      <c r="J241" t="n">
        <v>0</v>
      </c>
      <c r="K241" t="n">
        <v>0</v>
      </c>
      <c r="L241" t="n">
        <v>0</v>
      </c>
      <c r="M241" t="n">
        <v>0</v>
      </c>
      <c r="N241" t="n">
        <v>0</v>
      </c>
      <c r="O241" t="n">
        <v>0</v>
      </c>
      <c r="P241" t="n">
        <v>0</v>
      </c>
      <c r="Q241" t="n">
        <v>0</v>
      </c>
      <c r="R241" s="2" t="inlineStr"/>
    </row>
    <row r="242" ht="15" customHeight="1">
      <c r="A242" t="inlineStr">
        <is>
          <t>A 6351-2024</t>
        </is>
      </c>
      <c r="B242" s="1" t="n">
        <v>45338</v>
      </c>
      <c r="C242" s="1" t="n">
        <v>46029</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11182-2025</t>
        </is>
      </c>
      <c r="B243" s="1" t="n">
        <v>45725.44297453704</v>
      </c>
      <c r="C243" s="1" t="n">
        <v>46029</v>
      </c>
      <c r="D243" t="inlineStr">
        <is>
          <t>JÄMTLANDS LÄN</t>
        </is>
      </c>
      <c r="E243" t="inlineStr">
        <is>
          <t>ÖSTERSUND</t>
        </is>
      </c>
      <c r="G243" t="n">
        <v>3.3</v>
      </c>
      <c r="H243" t="n">
        <v>0</v>
      </c>
      <c r="I243" t="n">
        <v>0</v>
      </c>
      <c r="J243" t="n">
        <v>0</v>
      </c>
      <c r="K243" t="n">
        <v>0</v>
      </c>
      <c r="L243" t="n">
        <v>0</v>
      </c>
      <c r="M243" t="n">
        <v>0</v>
      </c>
      <c r="N243" t="n">
        <v>0</v>
      </c>
      <c r="O243" t="n">
        <v>0</v>
      </c>
      <c r="P243" t="n">
        <v>0</v>
      </c>
      <c r="Q243" t="n">
        <v>0</v>
      </c>
      <c r="R243" s="2" t="inlineStr"/>
    </row>
    <row r="244" ht="15" customHeight="1">
      <c r="A244" t="inlineStr">
        <is>
          <t>A 52128-2023</t>
        </is>
      </c>
      <c r="B244" s="1" t="n">
        <v>45223</v>
      </c>
      <c r="C244" s="1" t="n">
        <v>46029</v>
      </c>
      <c r="D244" t="inlineStr">
        <is>
          <t>JÄMTLANDS LÄN</t>
        </is>
      </c>
      <c r="E244" t="inlineStr">
        <is>
          <t>ÖSTERSUND</t>
        </is>
      </c>
      <c r="F244" t="inlineStr">
        <is>
          <t>SCA</t>
        </is>
      </c>
      <c r="G244" t="n">
        <v>11.9</v>
      </c>
      <c r="H244" t="n">
        <v>0</v>
      </c>
      <c r="I244" t="n">
        <v>0</v>
      </c>
      <c r="J244" t="n">
        <v>0</v>
      </c>
      <c r="K244" t="n">
        <v>0</v>
      </c>
      <c r="L244" t="n">
        <v>0</v>
      </c>
      <c r="M244" t="n">
        <v>0</v>
      </c>
      <c r="N244" t="n">
        <v>0</v>
      </c>
      <c r="O244" t="n">
        <v>0</v>
      </c>
      <c r="P244" t="n">
        <v>0</v>
      </c>
      <c r="Q244" t="n">
        <v>0</v>
      </c>
      <c r="R244" s="2" t="inlineStr"/>
    </row>
    <row r="245" ht="15" customHeight="1">
      <c r="A245" t="inlineStr">
        <is>
          <t>A 30217-2022</t>
        </is>
      </c>
      <c r="B245" s="1" t="n">
        <v>44757.92671296297</v>
      </c>
      <c r="C245" s="1" t="n">
        <v>46029</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17066-2024</t>
        </is>
      </c>
      <c r="B246" s="1" t="n">
        <v>45412.46636574074</v>
      </c>
      <c r="C246" s="1" t="n">
        <v>46029</v>
      </c>
      <c r="D246" t="inlineStr">
        <is>
          <t>JÄMTLANDS LÄN</t>
        </is>
      </c>
      <c r="E246" t="inlineStr">
        <is>
          <t>ÖSTERSUND</t>
        </is>
      </c>
      <c r="G246" t="n">
        <v>4.2</v>
      </c>
      <c r="H246" t="n">
        <v>0</v>
      </c>
      <c r="I246" t="n">
        <v>0</v>
      </c>
      <c r="J246" t="n">
        <v>0</v>
      </c>
      <c r="K246" t="n">
        <v>0</v>
      </c>
      <c r="L246" t="n">
        <v>0</v>
      </c>
      <c r="M246" t="n">
        <v>0</v>
      </c>
      <c r="N246" t="n">
        <v>0</v>
      </c>
      <c r="O246" t="n">
        <v>0</v>
      </c>
      <c r="P246" t="n">
        <v>0</v>
      </c>
      <c r="Q246" t="n">
        <v>0</v>
      </c>
      <c r="R246" s="2" t="inlineStr"/>
    </row>
    <row r="247" ht="15" customHeight="1">
      <c r="A247" t="inlineStr">
        <is>
          <t>A 4350-2024</t>
        </is>
      </c>
      <c r="B247" s="1" t="n">
        <v>45324.93804398148</v>
      </c>
      <c r="C247" s="1" t="n">
        <v>46029</v>
      </c>
      <c r="D247" t="inlineStr">
        <is>
          <t>JÄMTLANDS LÄN</t>
        </is>
      </c>
      <c r="E247" t="inlineStr">
        <is>
          <t>ÖSTERSUND</t>
        </is>
      </c>
      <c r="F247" t="inlineStr">
        <is>
          <t>SCA</t>
        </is>
      </c>
      <c r="G247" t="n">
        <v>6</v>
      </c>
      <c r="H247" t="n">
        <v>0</v>
      </c>
      <c r="I247" t="n">
        <v>0</v>
      </c>
      <c r="J247" t="n">
        <v>0</v>
      </c>
      <c r="K247" t="n">
        <v>0</v>
      </c>
      <c r="L247" t="n">
        <v>0</v>
      </c>
      <c r="M247" t="n">
        <v>0</v>
      </c>
      <c r="N247" t="n">
        <v>0</v>
      </c>
      <c r="O247" t="n">
        <v>0</v>
      </c>
      <c r="P247" t="n">
        <v>0</v>
      </c>
      <c r="Q247" t="n">
        <v>0</v>
      </c>
      <c r="R247" s="2" t="inlineStr"/>
    </row>
    <row r="248" ht="15" customHeight="1">
      <c r="A248" t="inlineStr">
        <is>
          <t>A 38142-2021</t>
        </is>
      </c>
      <c r="B248" s="1" t="n">
        <v>44405</v>
      </c>
      <c r="C248" s="1" t="n">
        <v>46029</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46029</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11052-2024</t>
        </is>
      </c>
      <c r="B250" s="1" t="n">
        <v>45370</v>
      </c>
      <c r="C250" s="1" t="n">
        <v>46029</v>
      </c>
      <c r="D250" t="inlineStr">
        <is>
          <t>JÄMTLANDS LÄN</t>
        </is>
      </c>
      <c r="E250" t="inlineStr">
        <is>
          <t>ÖSTERSUND</t>
        </is>
      </c>
      <c r="G250" t="n">
        <v>2.3</v>
      </c>
      <c r="H250" t="n">
        <v>0</v>
      </c>
      <c r="I250" t="n">
        <v>0</v>
      </c>
      <c r="J250" t="n">
        <v>0</v>
      </c>
      <c r="K250" t="n">
        <v>0</v>
      </c>
      <c r="L250" t="n">
        <v>0</v>
      </c>
      <c r="M250" t="n">
        <v>0</v>
      </c>
      <c r="N250" t="n">
        <v>0</v>
      </c>
      <c r="O250" t="n">
        <v>0</v>
      </c>
      <c r="P250" t="n">
        <v>0</v>
      </c>
      <c r="Q250" t="n">
        <v>0</v>
      </c>
      <c r="R250" s="2" t="inlineStr"/>
    </row>
    <row r="251" ht="15" customHeight="1">
      <c r="A251" t="inlineStr">
        <is>
          <t>A 15669-2025</t>
        </is>
      </c>
      <c r="B251" s="1" t="n">
        <v>45748.4396412037</v>
      </c>
      <c r="C251" s="1" t="n">
        <v>46029</v>
      </c>
      <c r="D251" t="inlineStr">
        <is>
          <t>JÄMTLANDS LÄN</t>
        </is>
      </c>
      <c r="E251" t="inlineStr">
        <is>
          <t>ÖSTERSUND</t>
        </is>
      </c>
      <c r="G251" t="n">
        <v>0.9</v>
      </c>
      <c r="H251" t="n">
        <v>0</v>
      </c>
      <c r="I251" t="n">
        <v>0</v>
      </c>
      <c r="J251" t="n">
        <v>0</v>
      </c>
      <c r="K251" t="n">
        <v>0</v>
      </c>
      <c r="L251" t="n">
        <v>0</v>
      </c>
      <c r="M251" t="n">
        <v>0</v>
      </c>
      <c r="N251" t="n">
        <v>0</v>
      </c>
      <c r="O251" t="n">
        <v>0</v>
      </c>
      <c r="P251" t="n">
        <v>0</v>
      </c>
      <c r="Q251" t="n">
        <v>0</v>
      </c>
      <c r="R251" s="2" t="inlineStr"/>
    </row>
    <row r="252" ht="15" customHeight="1">
      <c r="A252" t="inlineStr">
        <is>
          <t>A 2984-2024</t>
        </is>
      </c>
      <c r="B252" s="1" t="n">
        <v>45315</v>
      </c>
      <c r="C252" s="1" t="n">
        <v>46029</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25385-2024</t>
        </is>
      </c>
      <c r="B253" s="1" t="n">
        <v>45462.96347222223</v>
      </c>
      <c r="C253" s="1" t="n">
        <v>46029</v>
      </c>
      <c r="D253" t="inlineStr">
        <is>
          <t>JÄMTLANDS LÄN</t>
        </is>
      </c>
      <c r="E253" t="inlineStr">
        <is>
          <t>ÖSTERSUND</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33002-2021</t>
        </is>
      </c>
      <c r="B254" s="1" t="n">
        <v>44375</v>
      </c>
      <c r="C254" s="1" t="n">
        <v>46029</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21667-2024</t>
        </is>
      </c>
      <c r="B255" s="1" t="n">
        <v>45442.38511574074</v>
      </c>
      <c r="C255" s="1" t="n">
        <v>46029</v>
      </c>
      <c r="D255" t="inlineStr">
        <is>
          <t>JÄMTLANDS LÄN</t>
        </is>
      </c>
      <c r="E255" t="inlineStr">
        <is>
          <t>ÖSTERSUND</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23877-2025</t>
        </is>
      </c>
      <c r="B256" s="1" t="n">
        <v>45793.68469907407</v>
      </c>
      <c r="C256" s="1" t="n">
        <v>46029</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2228-2024</t>
        </is>
      </c>
      <c r="B257" s="1" t="n">
        <v>45309</v>
      </c>
      <c r="C257" s="1" t="n">
        <v>46029</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20400-2024</t>
        </is>
      </c>
      <c r="B258" s="1" t="n">
        <v>45435.55372685185</v>
      </c>
      <c r="C258" s="1" t="n">
        <v>46029</v>
      </c>
      <c r="D258" t="inlineStr">
        <is>
          <t>JÄMTLANDS LÄN</t>
        </is>
      </c>
      <c r="E258" t="inlineStr">
        <is>
          <t>ÖSTERSUND</t>
        </is>
      </c>
      <c r="G258" t="n">
        <v>0.9</v>
      </c>
      <c r="H258" t="n">
        <v>0</v>
      </c>
      <c r="I258" t="n">
        <v>0</v>
      </c>
      <c r="J258" t="n">
        <v>0</v>
      </c>
      <c r="K258" t="n">
        <v>0</v>
      </c>
      <c r="L258" t="n">
        <v>0</v>
      </c>
      <c r="M258" t="n">
        <v>0</v>
      </c>
      <c r="N258" t="n">
        <v>0</v>
      </c>
      <c r="O258" t="n">
        <v>0</v>
      </c>
      <c r="P258" t="n">
        <v>0</v>
      </c>
      <c r="Q258" t="n">
        <v>0</v>
      </c>
      <c r="R258" s="2" t="inlineStr"/>
    </row>
    <row r="259" ht="15" customHeight="1">
      <c r="A259" t="inlineStr">
        <is>
          <t>A 24403-2025</t>
        </is>
      </c>
      <c r="B259" s="1" t="n">
        <v>45797.65025462963</v>
      </c>
      <c r="C259" s="1" t="n">
        <v>46029</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24523-2025</t>
        </is>
      </c>
      <c r="B260" s="1" t="n">
        <v>45798.42108796296</v>
      </c>
      <c r="C260" s="1" t="n">
        <v>46029</v>
      </c>
      <c r="D260" t="inlineStr">
        <is>
          <t>JÄMTLANDS LÄN</t>
        </is>
      </c>
      <c r="E260" t="inlineStr">
        <is>
          <t>ÖSTERSUND</t>
        </is>
      </c>
      <c r="G260" t="n">
        <v>13.7</v>
      </c>
      <c r="H260" t="n">
        <v>0</v>
      </c>
      <c r="I260" t="n">
        <v>0</v>
      </c>
      <c r="J260" t="n">
        <v>0</v>
      </c>
      <c r="K260" t="n">
        <v>0</v>
      </c>
      <c r="L260" t="n">
        <v>0</v>
      </c>
      <c r="M260" t="n">
        <v>0</v>
      </c>
      <c r="N260" t="n">
        <v>0</v>
      </c>
      <c r="O260" t="n">
        <v>0</v>
      </c>
      <c r="P260" t="n">
        <v>0</v>
      </c>
      <c r="Q260" t="n">
        <v>0</v>
      </c>
      <c r="R260" s="2" t="inlineStr"/>
    </row>
    <row r="261" ht="15" customHeight="1">
      <c r="A261" t="inlineStr">
        <is>
          <t>A 28179-2024</t>
        </is>
      </c>
      <c r="B261" s="1" t="n">
        <v>45477.26746527778</v>
      </c>
      <c r="C261" s="1" t="n">
        <v>46029</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14518-2023</t>
        </is>
      </c>
      <c r="B262" s="1" t="n">
        <v>45012</v>
      </c>
      <c r="C262" s="1" t="n">
        <v>46029</v>
      </c>
      <c r="D262" t="inlineStr">
        <is>
          <t>JÄMTLANDS LÄN</t>
        </is>
      </c>
      <c r="E262" t="inlineStr">
        <is>
          <t>ÖSTERSUND</t>
        </is>
      </c>
      <c r="G262" t="n">
        <v>14.4</v>
      </c>
      <c r="H262" t="n">
        <v>0</v>
      </c>
      <c r="I262" t="n">
        <v>0</v>
      </c>
      <c r="J262" t="n">
        <v>0</v>
      </c>
      <c r="K262" t="n">
        <v>0</v>
      </c>
      <c r="L262" t="n">
        <v>0</v>
      </c>
      <c r="M262" t="n">
        <v>0</v>
      </c>
      <c r="N262" t="n">
        <v>0</v>
      </c>
      <c r="O262" t="n">
        <v>0</v>
      </c>
      <c r="P262" t="n">
        <v>0</v>
      </c>
      <c r="Q262" t="n">
        <v>0</v>
      </c>
      <c r="R262" s="2" t="inlineStr"/>
    </row>
    <row r="263" ht="15" customHeight="1">
      <c r="A263" t="inlineStr">
        <is>
          <t>A 24568-2025</t>
        </is>
      </c>
      <c r="B263" s="1" t="n">
        <v>45798.46913194445</v>
      </c>
      <c r="C263" s="1" t="n">
        <v>46029</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53176-2024</t>
        </is>
      </c>
      <c r="B264" s="1" t="n">
        <v>45611.66655092593</v>
      </c>
      <c r="C264" s="1" t="n">
        <v>46029</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27906-2024</t>
        </is>
      </c>
      <c r="B265" s="1" t="n">
        <v>45475.94585648148</v>
      </c>
      <c r="C265" s="1" t="n">
        <v>46029</v>
      </c>
      <c r="D265" t="inlineStr">
        <is>
          <t>JÄMTLANDS LÄN</t>
        </is>
      </c>
      <c r="E265" t="inlineStr">
        <is>
          <t>ÖSTERSUND</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24946-2025</t>
        </is>
      </c>
      <c r="B266" s="1" t="n">
        <v>45799.56515046296</v>
      </c>
      <c r="C266" s="1" t="n">
        <v>46029</v>
      </c>
      <c r="D266" t="inlineStr">
        <is>
          <t>JÄMTLANDS LÄN</t>
        </is>
      </c>
      <c r="E266" t="inlineStr">
        <is>
          <t>ÖSTERSUND</t>
        </is>
      </c>
      <c r="G266" t="n">
        <v>4.8</v>
      </c>
      <c r="H266" t="n">
        <v>0</v>
      </c>
      <c r="I266" t="n">
        <v>0</v>
      </c>
      <c r="J266" t="n">
        <v>0</v>
      </c>
      <c r="K266" t="n">
        <v>0</v>
      </c>
      <c r="L266" t="n">
        <v>0</v>
      </c>
      <c r="M266" t="n">
        <v>0</v>
      </c>
      <c r="N266" t="n">
        <v>0</v>
      </c>
      <c r="O266" t="n">
        <v>0</v>
      </c>
      <c r="P266" t="n">
        <v>0</v>
      </c>
      <c r="Q266" t="n">
        <v>0</v>
      </c>
      <c r="R266" s="2" t="inlineStr"/>
    </row>
    <row r="267" ht="15" customHeight="1">
      <c r="A267" t="inlineStr">
        <is>
          <t>A 13166-2023</t>
        </is>
      </c>
      <c r="B267" s="1" t="n">
        <v>45002</v>
      </c>
      <c r="C267" s="1" t="n">
        <v>46029</v>
      </c>
      <c r="D267" t="inlineStr">
        <is>
          <t>JÄMTLANDS LÄN</t>
        </is>
      </c>
      <c r="E267" t="inlineStr">
        <is>
          <t>ÖSTERSUND</t>
        </is>
      </c>
      <c r="F267" t="inlineStr">
        <is>
          <t>Övriga statliga verk och myndigheter</t>
        </is>
      </c>
      <c r="G267" t="n">
        <v>1</v>
      </c>
      <c r="H267" t="n">
        <v>0</v>
      </c>
      <c r="I267" t="n">
        <v>0</v>
      </c>
      <c r="J267" t="n">
        <v>0</v>
      </c>
      <c r="K267" t="n">
        <v>0</v>
      </c>
      <c r="L267" t="n">
        <v>0</v>
      </c>
      <c r="M267" t="n">
        <v>0</v>
      </c>
      <c r="N267" t="n">
        <v>0</v>
      </c>
      <c r="O267" t="n">
        <v>0</v>
      </c>
      <c r="P267" t="n">
        <v>0</v>
      </c>
      <c r="Q267" t="n">
        <v>0</v>
      </c>
      <c r="R267" s="2" t="inlineStr"/>
    </row>
    <row r="268" ht="15" customHeight="1">
      <c r="A268" t="inlineStr">
        <is>
          <t>A 38871-2025</t>
        </is>
      </c>
      <c r="B268" s="1" t="n">
        <v>45887.57407407407</v>
      </c>
      <c r="C268" s="1" t="n">
        <v>46029</v>
      </c>
      <c r="D268" t="inlineStr">
        <is>
          <t>JÄMTLANDS LÄN</t>
        </is>
      </c>
      <c r="E268" t="inlineStr">
        <is>
          <t>ÖSTERSUND</t>
        </is>
      </c>
      <c r="G268" t="n">
        <v>3</v>
      </c>
      <c r="H268" t="n">
        <v>0</v>
      </c>
      <c r="I268" t="n">
        <v>0</v>
      </c>
      <c r="J268" t="n">
        <v>0</v>
      </c>
      <c r="K268" t="n">
        <v>0</v>
      </c>
      <c r="L268" t="n">
        <v>0</v>
      </c>
      <c r="M268" t="n">
        <v>0</v>
      </c>
      <c r="N268" t="n">
        <v>0</v>
      </c>
      <c r="O268" t="n">
        <v>0</v>
      </c>
      <c r="P268" t="n">
        <v>0</v>
      </c>
      <c r="Q268" t="n">
        <v>0</v>
      </c>
      <c r="R268" s="2" t="inlineStr"/>
    </row>
    <row r="269" ht="15" customHeight="1">
      <c r="A269" t="inlineStr">
        <is>
          <t>A 25210-2025</t>
        </is>
      </c>
      <c r="B269" s="1" t="n">
        <v>45800.46960648148</v>
      </c>
      <c r="C269" s="1" t="n">
        <v>46029</v>
      </c>
      <c r="D269" t="inlineStr">
        <is>
          <t>JÄMTLANDS LÄN</t>
        </is>
      </c>
      <c r="E269" t="inlineStr">
        <is>
          <t>ÖSTERSUND</t>
        </is>
      </c>
      <c r="G269" t="n">
        <v>3.5</v>
      </c>
      <c r="H269" t="n">
        <v>0</v>
      </c>
      <c r="I269" t="n">
        <v>0</v>
      </c>
      <c r="J269" t="n">
        <v>0</v>
      </c>
      <c r="K269" t="n">
        <v>0</v>
      </c>
      <c r="L269" t="n">
        <v>0</v>
      </c>
      <c r="M269" t="n">
        <v>0</v>
      </c>
      <c r="N269" t="n">
        <v>0</v>
      </c>
      <c r="O269" t="n">
        <v>0</v>
      </c>
      <c r="P269" t="n">
        <v>0</v>
      </c>
      <c r="Q269" t="n">
        <v>0</v>
      </c>
      <c r="R269" s="2" t="inlineStr"/>
    </row>
    <row r="270" ht="15" customHeight="1">
      <c r="A270" t="inlineStr">
        <is>
          <t>A 39030-2025</t>
        </is>
      </c>
      <c r="B270" s="1" t="n">
        <v>45888.40700231482</v>
      </c>
      <c r="C270" s="1" t="n">
        <v>46029</v>
      </c>
      <c r="D270" t="inlineStr">
        <is>
          <t>JÄMTLANDS LÄN</t>
        </is>
      </c>
      <c r="E270" t="inlineStr">
        <is>
          <t>ÖSTERSUND</t>
        </is>
      </c>
      <c r="G270" t="n">
        <v>1.8</v>
      </c>
      <c r="H270" t="n">
        <v>0</v>
      </c>
      <c r="I270" t="n">
        <v>0</v>
      </c>
      <c r="J270" t="n">
        <v>0</v>
      </c>
      <c r="K270" t="n">
        <v>0</v>
      </c>
      <c r="L270" t="n">
        <v>0</v>
      </c>
      <c r="M270" t="n">
        <v>0</v>
      </c>
      <c r="N270" t="n">
        <v>0</v>
      </c>
      <c r="O270" t="n">
        <v>0</v>
      </c>
      <c r="P270" t="n">
        <v>0</v>
      </c>
      <c r="Q270" t="n">
        <v>0</v>
      </c>
      <c r="R270" s="2" t="inlineStr"/>
    </row>
    <row r="271" ht="15" customHeight="1">
      <c r="A271" t="inlineStr">
        <is>
          <t>A 25058-2025</t>
        </is>
      </c>
      <c r="B271" s="1" t="n">
        <v>45799.68418981481</v>
      </c>
      <c r="C271" s="1" t="n">
        <v>46029</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25252-2025</t>
        </is>
      </c>
      <c r="B272" s="1" t="n">
        <v>45800.50355324074</v>
      </c>
      <c r="C272" s="1" t="n">
        <v>46029</v>
      </c>
      <c r="D272" t="inlineStr">
        <is>
          <t>JÄMTLANDS LÄN</t>
        </is>
      </c>
      <c r="E272" t="inlineStr">
        <is>
          <t>ÖSTERSUND</t>
        </is>
      </c>
      <c r="G272" t="n">
        <v>2.7</v>
      </c>
      <c r="H272" t="n">
        <v>0</v>
      </c>
      <c r="I272" t="n">
        <v>0</v>
      </c>
      <c r="J272" t="n">
        <v>0</v>
      </c>
      <c r="K272" t="n">
        <v>0</v>
      </c>
      <c r="L272" t="n">
        <v>0</v>
      </c>
      <c r="M272" t="n">
        <v>0</v>
      </c>
      <c r="N272" t="n">
        <v>0</v>
      </c>
      <c r="O272" t="n">
        <v>0</v>
      </c>
      <c r="P272" t="n">
        <v>0</v>
      </c>
      <c r="Q272" t="n">
        <v>0</v>
      </c>
      <c r="R272" s="2" t="inlineStr"/>
    </row>
    <row r="273" ht="15" customHeight="1">
      <c r="A273" t="inlineStr">
        <is>
          <t>A 9109-2024</t>
        </is>
      </c>
      <c r="B273" s="1" t="n">
        <v>45357.96106481482</v>
      </c>
      <c r="C273" s="1" t="n">
        <v>46029</v>
      </c>
      <c r="D273" t="inlineStr">
        <is>
          <t>JÄMTLANDS LÄN</t>
        </is>
      </c>
      <c r="E273" t="inlineStr">
        <is>
          <t>ÖSTERSUND</t>
        </is>
      </c>
      <c r="G273" t="n">
        <v>17.1</v>
      </c>
      <c r="H273" t="n">
        <v>0</v>
      </c>
      <c r="I273" t="n">
        <v>0</v>
      </c>
      <c r="J273" t="n">
        <v>0</v>
      </c>
      <c r="K273" t="n">
        <v>0</v>
      </c>
      <c r="L273" t="n">
        <v>0</v>
      </c>
      <c r="M273" t="n">
        <v>0</v>
      </c>
      <c r="N273" t="n">
        <v>0</v>
      </c>
      <c r="O273" t="n">
        <v>0</v>
      </c>
      <c r="P273" t="n">
        <v>0</v>
      </c>
      <c r="Q273" t="n">
        <v>0</v>
      </c>
      <c r="R273" s="2" t="inlineStr"/>
    </row>
    <row r="274" ht="15" customHeight="1">
      <c r="A274" t="inlineStr">
        <is>
          <t>A 38853-2025</t>
        </is>
      </c>
      <c r="B274" s="1" t="n">
        <v>45887.55666666666</v>
      </c>
      <c r="C274" s="1" t="n">
        <v>46029</v>
      </c>
      <c r="D274" t="inlineStr">
        <is>
          <t>JÄMTLANDS LÄN</t>
        </is>
      </c>
      <c r="E274" t="inlineStr">
        <is>
          <t>ÖSTERSUND</t>
        </is>
      </c>
      <c r="G274" t="n">
        <v>2.5</v>
      </c>
      <c r="H274" t="n">
        <v>0</v>
      </c>
      <c r="I274" t="n">
        <v>0</v>
      </c>
      <c r="J274" t="n">
        <v>0</v>
      </c>
      <c r="K274" t="n">
        <v>0</v>
      </c>
      <c r="L274" t="n">
        <v>0</v>
      </c>
      <c r="M274" t="n">
        <v>0</v>
      </c>
      <c r="N274" t="n">
        <v>0</v>
      </c>
      <c r="O274" t="n">
        <v>0</v>
      </c>
      <c r="P274" t="n">
        <v>0</v>
      </c>
      <c r="Q274" t="n">
        <v>0</v>
      </c>
      <c r="R274" s="2" t="inlineStr"/>
    </row>
    <row r="275" ht="15" customHeight="1">
      <c r="A275" t="inlineStr">
        <is>
          <t>A 25059-2025</t>
        </is>
      </c>
      <c r="B275" s="1" t="n">
        <v>45799.69116898148</v>
      </c>
      <c r="C275" s="1" t="n">
        <v>46029</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16335-2025</t>
        </is>
      </c>
      <c r="B276" s="1" t="n">
        <v>45751.36518518518</v>
      </c>
      <c r="C276" s="1" t="n">
        <v>46029</v>
      </c>
      <c r="D276" t="inlineStr">
        <is>
          <t>JÄMTLANDS LÄN</t>
        </is>
      </c>
      <c r="E276" t="inlineStr">
        <is>
          <t>ÖSTERSUND</t>
        </is>
      </c>
      <c r="G276" t="n">
        <v>3.7</v>
      </c>
      <c r="H276" t="n">
        <v>0</v>
      </c>
      <c r="I276" t="n">
        <v>0</v>
      </c>
      <c r="J276" t="n">
        <v>0</v>
      </c>
      <c r="K276" t="n">
        <v>0</v>
      </c>
      <c r="L276" t="n">
        <v>0</v>
      </c>
      <c r="M276" t="n">
        <v>0</v>
      </c>
      <c r="N276" t="n">
        <v>0</v>
      </c>
      <c r="O276" t="n">
        <v>0</v>
      </c>
      <c r="P276" t="n">
        <v>0</v>
      </c>
      <c r="Q276" t="n">
        <v>0</v>
      </c>
      <c r="R276" s="2" t="inlineStr"/>
    </row>
    <row r="277" ht="15" customHeight="1">
      <c r="A277" t="inlineStr">
        <is>
          <t>A 56646-2024</t>
        </is>
      </c>
      <c r="B277" s="1" t="n">
        <v>45625</v>
      </c>
      <c r="C277" s="1" t="n">
        <v>46029</v>
      </c>
      <c r="D277" t="inlineStr">
        <is>
          <t>JÄMTLANDS LÄN</t>
        </is>
      </c>
      <c r="E277" t="inlineStr">
        <is>
          <t>ÖSTERSUND</t>
        </is>
      </c>
      <c r="G277" t="n">
        <v>18.9</v>
      </c>
      <c r="H277" t="n">
        <v>0</v>
      </c>
      <c r="I277" t="n">
        <v>0</v>
      </c>
      <c r="J277" t="n">
        <v>0</v>
      </c>
      <c r="K277" t="n">
        <v>0</v>
      </c>
      <c r="L277" t="n">
        <v>0</v>
      </c>
      <c r="M277" t="n">
        <v>0</v>
      </c>
      <c r="N277" t="n">
        <v>0</v>
      </c>
      <c r="O277" t="n">
        <v>0</v>
      </c>
      <c r="P277" t="n">
        <v>0</v>
      </c>
      <c r="Q277" t="n">
        <v>0</v>
      </c>
      <c r="R277" s="2" t="inlineStr"/>
    </row>
    <row r="278" ht="15" customHeight="1">
      <c r="A278" t="inlineStr">
        <is>
          <t>A 25069-2025</t>
        </is>
      </c>
      <c r="B278" s="1" t="n">
        <v>45799.7372337963</v>
      </c>
      <c r="C278" s="1" t="n">
        <v>46029</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25572-2025</t>
        </is>
      </c>
      <c r="B279" s="1" t="n">
        <v>45803</v>
      </c>
      <c r="C279" s="1" t="n">
        <v>46029</v>
      </c>
      <c r="D279" t="inlineStr">
        <is>
          <t>JÄMTLANDS LÄN</t>
        </is>
      </c>
      <c r="E279" t="inlineStr">
        <is>
          <t>ÖSTERSUND</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46029</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61256-2022</t>
        </is>
      </c>
      <c r="B281" s="1" t="n">
        <v>44909</v>
      </c>
      <c r="C281" s="1" t="n">
        <v>46029</v>
      </c>
      <c r="D281" t="inlineStr">
        <is>
          <t>JÄMTLANDS LÄN</t>
        </is>
      </c>
      <c r="E281" t="inlineStr">
        <is>
          <t>ÖSTERSUND</t>
        </is>
      </c>
      <c r="G281" t="n">
        <v>3.9</v>
      </c>
      <c r="H281" t="n">
        <v>0</v>
      </c>
      <c r="I281" t="n">
        <v>0</v>
      </c>
      <c r="J281" t="n">
        <v>0</v>
      </c>
      <c r="K281" t="n">
        <v>0</v>
      </c>
      <c r="L281" t="n">
        <v>0</v>
      </c>
      <c r="M281" t="n">
        <v>0</v>
      </c>
      <c r="N281" t="n">
        <v>0</v>
      </c>
      <c r="O281" t="n">
        <v>0</v>
      </c>
      <c r="P281" t="n">
        <v>0</v>
      </c>
      <c r="Q281" t="n">
        <v>0</v>
      </c>
      <c r="R281" s="2" t="inlineStr"/>
    </row>
    <row r="282" ht="15" customHeight="1">
      <c r="A282" t="inlineStr">
        <is>
          <t>A 60560-2022</t>
        </is>
      </c>
      <c r="B282" s="1" t="n">
        <v>44911.54984953703</v>
      </c>
      <c r="C282" s="1" t="n">
        <v>46029</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26144-2025</t>
        </is>
      </c>
      <c r="B283" s="1" t="n">
        <v>45805.42827546296</v>
      </c>
      <c r="C283" s="1" t="n">
        <v>46029</v>
      </c>
      <c r="D283" t="inlineStr">
        <is>
          <t>JÄMTLANDS LÄN</t>
        </is>
      </c>
      <c r="E283" t="inlineStr">
        <is>
          <t>ÖSTERSUND</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47357-2024</t>
        </is>
      </c>
      <c r="B284" s="1" t="n">
        <v>45587.42835648148</v>
      </c>
      <c r="C284" s="1" t="n">
        <v>46029</v>
      </c>
      <c r="D284" t="inlineStr">
        <is>
          <t>JÄMTLANDS LÄN</t>
        </is>
      </c>
      <c r="E284" t="inlineStr">
        <is>
          <t>ÖSTERSUND</t>
        </is>
      </c>
      <c r="G284" t="n">
        <v>2.4</v>
      </c>
      <c r="H284" t="n">
        <v>0</v>
      </c>
      <c r="I284" t="n">
        <v>0</v>
      </c>
      <c r="J284" t="n">
        <v>0</v>
      </c>
      <c r="K284" t="n">
        <v>0</v>
      </c>
      <c r="L284" t="n">
        <v>0</v>
      </c>
      <c r="M284" t="n">
        <v>0</v>
      </c>
      <c r="N284" t="n">
        <v>0</v>
      </c>
      <c r="O284" t="n">
        <v>0</v>
      </c>
      <c r="P284" t="n">
        <v>0</v>
      </c>
      <c r="Q284" t="n">
        <v>0</v>
      </c>
      <c r="R284" s="2" t="inlineStr"/>
    </row>
    <row r="285" ht="15" customHeight="1">
      <c r="A285" t="inlineStr">
        <is>
          <t>A 25187-2024</t>
        </is>
      </c>
      <c r="B285" s="1" t="n">
        <v>45462.56172453704</v>
      </c>
      <c r="C285" s="1" t="n">
        <v>46029</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39103-2025</t>
        </is>
      </c>
      <c r="B286" s="1" t="n">
        <v>45888.52440972222</v>
      </c>
      <c r="C286" s="1" t="n">
        <v>46029</v>
      </c>
      <c r="D286" t="inlineStr">
        <is>
          <t>JÄMTLANDS LÄN</t>
        </is>
      </c>
      <c r="E286" t="inlineStr">
        <is>
          <t>ÖSTERSUND</t>
        </is>
      </c>
      <c r="G286" t="n">
        <v>23.9</v>
      </c>
      <c r="H286" t="n">
        <v>0</v>
      </c>
      <c r="I286" t="n">
        <v>0</v>
      </c>
      <c r="J286" t="n">
        <v>0</v>
      </c>
      <c r="K286" t="n">
        <v>0</v>
      </c>
      <c r="L286" t="n">
        <v>0</v>
      </c>
      <c r="M286" t="n">
        <v>0</v>
      </c>
      <c r="N286" t="n">
        <v>0</v>
      </c>
      <c r="O286" t="n">
        <v>0</v>
      </c>
      <c r="P286" t="n">
        <v>0</v>
      </c>
      <c r="Q286" t="n">
        <v>0</v>
      </c>
      <c r="R286" s="2" t="inlineStr"/>
    </row>
    <row r="287" ht="15" customHeight="1">
      <c r="A287" t="inlineStr">
        <is>
          <t>A 5135-2025</t>
        </is>
      </c>
      <c r="B287" s="1" t="n">
        <v>45691</v>
      </c>
      <c r="C287" s="1" t="n">
        <v>46029</v>
      </c>
      <c r="D287" t="inlineStr">
        <is>
          <t>JÄMTLANDS LÄN</t>
        </is>
      </c>
      <c r="E287" t="inlineStr">
        <is>
          <t>ÖSTERSUND</t>
        </is>
      </c>
      <c r="F287" t="inlineStr">
        <is>
          <t>Övriga Aktiebolag</t>
        </is>
      </c>
      <c r="G287" t="n">
        <v>126.9</v>
      </c>
      <c r="H287" t="n">
        <v>0</v>
      </c>
      <c r="I287" t="n">
        <v>0</v>
      </c>
      <c r="J287" t="n">
        <v>0</v>
      </c>
      <c r="K287" t="n">
        <v>0</v>
      </c>
      <c r="L287" t="n">
        <v>0</v>
      </c>
      <c r="M287" t="n">
        <v>0</v>
      </c>
      <c r="N287" t="n">
        <v>0</v>
      </c>
      <c r="O287" t="n">
        <v>0</v>
      </c>
      <c r="P287" t="n">
        <v>0</v>
      </c>
      <c r="Q287" t="n">
        <v>0</v>
      </c>
      <c r="R287" s="2" t="inlineStr"/>
    </row>
    <row r="288" ht="15" customHeight="1">
      <c r="A288" t="inlineStr">
        <is>
          <t>A 61449-2024</t>
        </is>
      </c>
      <c r="B288" s="1" t="n">
        <v>45646.48988425926</v>
      </c>
      <c r="C288" s="1" t="n">
        <v>46029</v>
      </c>
      <c r="D288" t="inlineStr">
        <is>
          <t>JÄMTLANDS LÄN</t>
        </is>
      </c>
      <c r="E288" t="inlineStr">
        <is>
          <t>ÖSTERSUND</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61450-2024</t>
        </is>
      </c>
      <c r="B289" s="1" t="n">
        <v>45646.49012731481</v>
      </c>
      <c r="C289" s="1" t="n">
        <v>46029</v>
      </c>
      <c r="D289" t="inlineStr">
        <is>
          <t>JÄMTLANDS LÄN</t>
        </is>
      </c>
      <c r="E289" t="inlineStr">
        <is>
          <t>ÖSTERSUND</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61451-2024</t>
        </is>
      </c>
      <c r="B290" s="1" t="n">
        <v>45646.49017361111</v>
      </c>
      <c r="C290" s="1" t="n">
        <v>46029</v>
      </c>
      <c r="D290" t="inlineStr">
        <is>
          <t>JÄMTLANDS LÄN</t>
        </is>
      </c>
      <c r="E290" t="inlineStr">
        <is>
          <t>ÖSTERSUND</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39510-2024</t>
        </is>
      </c>
      <c r="B291" s="1" t="n">
        <v>45551.67761574074</v>
      </c>
      <c r="C291" s="1" t="n">
        <v>46029</v>
      </c>
      <c r="D291" t="inlineStr">
        <is>
          <t>JÄMTLANDS LÄN</t>
        </is>
      </c>
      <c r="E291" t="inlineStr">
        <is>
          <t>ÖSTERSUND</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10064-2024</t>
        </is>
      </c>
      <c r="B292" s="1" t="n">
        <v>45364.3874074074</v>
      </c>
      <c r="C292" s="1" t="n">
        <v>46029</v>
      </c>
      <c r="D292" t="inlineStr">
        <is>
          <t>JÄMTLANDS LÄN</t>
        </is>
      </c>
      <c r="E292" t="inlineStr">
        <is>
          <t>ÖSTERSUND</t>
        </is>
      </c>
      <c r="G292" t="n">
        <v>13.9</v>
      </c>
      <c r="H292" t="n">
        <v>0</v>
      </c>
      <c r="I292" t="n">
        <v>0</v>
      </c>
      <c r="J292" t="n">
        <v>0</v>
      </c>
      <c r="K292" t="n">
        <v>0</v>
      </c>
      <c r="L292" t="n">
        <v>0</v>
      </c>
      <c r="M292" t="n">
        <v>0</v>
      </c>
      <c r="N292" t="n">
        <v>0</v>
      </c>
      <c r="O292" t="n">
        <v>0</v>
      </c>
      <c r="P292" t="n">
        <v>0</v>
      </c>
      <c r="Q292" t="n">
        <v>0</v>
      </c>
      <c r="R292" s="2" t="inlineStr"/>
    </row>
    <row r="293" ht="15" customHeight="1">
      <c r="A293" t="inlineStr">
        <is>
          <t>A 3610-2024</t>
        </is>
      </c>
      <c r="B293" s="1" t="n">
        <v>45320.92060185185</v>
      </c>
      <c r="C293" s="1" t="n">
        <v>46029</v>
      </c>
      <c r="D293" t="inlineStr">
        <is>
          <t>JÄMTLANDS LÄN</t>
        </is>
      </c>
      <c r="E293" t="inlineStr">
        <is>
          <t>ÖSTERSUND</t>
        </is>
      </c>
      <c r="G293" t="n">
        <v>6.2</v>
      </c>
      <c r="H293" t="n">
        <v>0</v>
      </c>
      <c r="I293" t="n">
        <v>0</v>
      </c>
      <c r="J293" t="n">
        <v>0</v>
      </c>
      <c r="K293" t="n">
        <v>0</v>
      </c>
      <c r="L293" t="n">
        <v>0</v>
      </c>
      <c r="M293" t="n">
        <v>0</v>
      </c>
      <c r="N293" t="n">
        <v>0</v>
      </c>
      <c r="O293" t="n">
        <v>0</v>
      </c>
      <c r="P293" t="n">
        <v>0</v>
      </c>
      <c r="Q293" t="n">
        <v>0</v>
      </c>
      <c r="R293" s="2" t="inlineStr"/>
    </row>
    <row r="294" ht="15" customHeight="1">
      <c r="A294" t="inlineStr">
        <is>
          <t>A 25221-2025</t>
        </is>
      </c>
      <c r="B294" s="1" t="n">
        <v>45800.47802083333</v>
      </c>
      <c r="C294" s="1" t="n">
        <v>46029</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26492-2025</t>
        </is>
      </c>
      <c r="B295" s="1" t="n">
        <v>45807</v>
      </c>
      <c r="C295" s="1" t="n">
        <v>46029</v>
      </c>
      <c r="D295" t="inlineStr">
        <is>
          <t>JÄMTLANDS LÄN</t>
        </is>
      </c>
      <c r="E295" t="inlineStr">
        <is>
          <t>ÖSTERSUND</t>
        </is>
      </c>
      <c r="G295" t="n">
        <v>7</v>
      </c>
      <c r="H295" t="n">
        <v>0</v>
      </c>
      <c r="I295" t="n">
        <v>0</v>
      </c>
      <c r="J295" t="n">
        <v>0</v>
      </c>
      <c r="K295" t="n">
        <v>0</v>
      </c>
      <c r="L295" t="n">
        <v>0</v>
      </c>
      <c r="M295" t="n">
        <v>0</v>
      </c>
      <c r="N295" t="n">
        <v>0</v>
      </c>
      <c r="O295" t="n">
        <v>0</v>
      </c>
      <c r="P295" t="n">
        <v>0</v>
      </c>
      <c r="Q295" t="n">
        <v>0</v>
      </c>
      <c r="R295" s="2" t="inlineStr"/>
    </row>
    <row r="296" ht="15" customHeight="1">
      <c r="A296" t="inlineStr">
        <is>
          <t>A 26500-2025</t>
        </is>
      </c>
      <c r="B296" s="1" t="n">
        <v>45807</v>
      </c>
      <c r="C296" s="1" t="n">
        <v>46029</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26587-2025</t>
        </is>
      </c>
      <c r="B297" s="1" t="n">
        <v>45807.75076388889</v>
      </c>
      <c r="C297" s="1" t="n">
        <v>46029</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28181-2024</t>
        </is>
      </c>
      <c r="B298" s="1" t="n">
        <v>45477.28482638889</v>
      </c>
      <c r="C298" s="1" t="n">
        <v>46029</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55302-2021</t>
        </is>
      </c>
      <c r="B299" s="1" t="n">
        <v>44475</v>
      </c>
      <c r="C299" s="1" t="n">
        <v>46029</v>
      </c>
      <c r="D299" t="inlineStr">
        <is>
          <t>JÄMTLANDS LÄN</t>
        </is>
      </c>
      <c r="E299" t="inlineStr">
        <is>
          <t>ÖSTERSUND</t>
        </is>
      </c>
      <c r="G299" t="n">
        <v>0.3</v>
      </c>
      <c r="H299" t="n">
        <v>0</v>
      </c>
      <c r="I299" t="n">
        <v>0</v>
      </c>
      <c r="J299" t="n">
        <v>0</v>
      </c>
      <c r="K299" t="n">
        <v>0</v>
      </c>
      <c r="L299" t="n">
        <v>0</v>
      </c>
      <c r="M299" t="n">
        <v>0</v>
      </c>
      <c r="N299" t="n">
        <v>0</v>
      </c>
      <c r="O299" t="n">
        <v>0</v>
      </c>
      <c r="P299" t="n">
        <v>0</v>
      </c>
      <c r="Q299" t="n">
        <v>0</v>
      </c>
      <c r="R299" s="2" t="inlineStr"/>
    </row>
    <row r="300" ht="15" customHeight="1">
      <c r="A300" t="inlineStr">
        <is>
          <t>A 13651-2025</t>
        </is>
      </c>
      <c r="B300" s="1" t="n">
        <v>45736.71818287037</v>
      </c>
      <c r="C300" s="1" t="n">
        <v>46029</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27035-2025</t>
        </is>
      </c>
      <c r="B301" s="1" t="n">
        <v>45811.5928587963</v>
      </c>
      <c r="C301" s="1" t="n">
        <v>46029</v>
      </c>
      <c r="D301" t="inlineStr">
        <is>
          <t>JÄMTLANDS LÄN</t>
        </is>
      </c>
      <c r="E301" t="inlineStr">
        <is>
          <t>ÖSTERSUND</t>
        </is>
      </c>
      <c r="G301" t="n">
        <v>2.8</v>
      </c>
      <c r="H301" t="n">
        <v>0</v>
      </c>
      <c r="I301" t="n">
        <v>0</v>
      </c>
      <c r="J301" t="n">
        <v>0</v>
      </c>
      <c r="K301" t="n">
        <v>0</v>
      </c>
      <c r="L301" t="n">
        <v>0</v>
      </c>
      <c r="M301" t="n">
        <v>0</v>
      </c>
      <c r="N301" t="n">
        <v>0</v>
      </c>
      <c r="O301" t="n">
        <v>0</v>
      </c>
      <c r="P301" t="n">
        <v>0</v>
      </c>
      <c r="Q301" t="n">
        <v>0</v>
      </c>
      <c r="R301" s="2" t="inlineStr"/>
    </row>
    <row r="302" ht="15" customHeight="1">
      <c r="A302" t="inlineStr">
        <is>
          <t>A 846-2024</t>
        </is>
      </c>
      <c r="B302" s="1" t="n">
        <v>45300</v>
      </c>
      <c r="C302" s="1" t="n">
        <v>46029</v>
      </c>
      <c r="D302" t="inlineStr">
        <is>
          <t>JÄMTLANDS LÄN</t>
        </is>
      </c>
      <c r="E302" t="inlineStr">
        <is>
          <t>ÖSTERSUND</t>
        </is>
      </c>
      <c r="G302" t="n">
        <v>2.8</v>
      </c>
      <c r="H302" t="n">
        <v>0</v>
      </c>
      <c r="I302" t="n">
        <v>0</v>
      </c>
      <c r="J302" t="n">
        <v>0</v>
      </c>
      <c r="K302" t="n">
        <v>0</v>
      </c>
      <c r="L302" t="n">
        <v>0</v>
      </c>
      <c r="M302" t="n">
        <v>0</v>
      </c>
      <c r="N302" t="n">
        <v>0</v>
      </c>
      <c r="O302" t="n">
        <v>0</v>
      </c>
      <c r="P302" t="n">
        <v>0</v>
      </c>
      <c r="Q302" t="n">
        <v>0</v>
      </c>
      <c r="R302" s="2" t="inlineStr"/>
    </row>
    <row r="303" ht="15" customHeight="1">
      <c r="A303" t="inlineStr">
        <is>
          <t>A 11181-2025</t>
        </is>
      </c>
      <c r="B303" s="1" t="n">
        <v>45725.44039351852</v>
      </c>
      <c r="C303" s="1" t="n">
        <v>46029</v>
      </c>
      <c r="D303" t="inlineStr">
        <is>
          <t>JÄMTLANDS LÄN</t>
        </is>
      </c>
      <c r="E303" t="inlineStr">
        <is>
          <t>ÖSTERSUND</t>
        </is>
      </c>
      <c r="G303" t="n">
        <v>15.4</v>
      </c>
      <c r="H303" t="n">
        <v>0</v>
      </c>
      <c r="I303" t="n">
        <v>0</v>
      </c>
      <c r="J303" t="n">
        <v>0</v>
      </c>
      <c r="K303" t="n">
        <v>0</v>
      </c>
      <c r="L303" t="n">
        <v>0</v>
      </c>
      <c r="M303" t="n">
        <v>0</v>
      </c>
      <c r="N303" t="n">
        <v>0</v>
      </c>
      <c r="O303" t="n">
        <v>0</v>
      </c>
      <c r="P303" t="n">
        <v>0</v>
      </c>
      <c r="Q303" t="n">
        <v>0</v>
      </c>
      <c r="R303" s="2" t="inlineStr"/>
    </row>
    <row r="304" ht="15" customHeight="1">
      <c r="A304" t="inlineStr">
        <is>
          <t>A 27034-2025</t>
        </is>
      </c>
      <c r="B304" s="1" t="n">
        <v>45811.59258101852</v>
      </c>
      <c r="C304" s="1" t="n">
        <v>46029</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27517-2025</t>
        </is>
      </c>
      <c r="B305" s="1" t="n">
        <v>45813.43966435185</v>
      </c>
      <c r="C305" s="1" t="n">
        <v>46029</v>
      </c>
      <c r="D305" t="inlineStr">
        <is>
          <t>JÄMTLANDS LÄN</t>
        </is>
      </c>
      <c r="E305" t="inlineStr">
        <is>
          <t>ÖSTERSUND</t>
        </is>
      </c>
      <c r="G305" t="n">
        <v>2.2</v>
      </c>
      <c r="H305" t="n">
        <v>0</v>
      </c>
      <c r="I305" t="n">
        <v>0</v>
      </c>
      <c r="J305" t="n">
        <v>0</v>
      </c>
      <c r="K305" t="n">
        <v>0</v>
      </c>
      <c r="L305" t="n">
        <v>0</v>
      </c>
      <c r="M305" t="n">
        <v>0</v>
      </c>
      <c r="N305" t="n">
        <v>0</v>
      </c>
      <c r="O305" t="n">
        <v>0</v>
      </c>
      <c r="P305" t="n">
        <v>0</v>
      </c>
      <c r="Q305" t="n">
        <v>0</v>
      </c>
      <c r="R305" s="2" t="inlineStr"/>
    </row>
    <row r="306" ht="15" customHeight="1">
      <c r="A306" t="inlineStr">
        <is>
          <t>A 53060-2024</t>
        </is>
      </c>
      <c r="B306" s="1" t="n">
        <v>45611.46912037037</v>
      </c>
      <c r="C306" s="1" t="n">
        <v>46029</v>
      </c>
      <c r="D306" t="inlineStr">
        <is>
          <t>JÄMTLANDS LÄN</t>
        </is>
      </c>
      <c r="E306" t="inlineStr">
        <is>
          <t>ÖSTERSUND</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10266-2025</t>
        </is>
      </c>
      <c r="B307" s="1" t="n">
        <v>45720.38576388889</v>
      </c>
      <c r="C307" s="1" t="n">
        <v>46029</v>
      </c>
      <c r="D307" t="inlineStr">
        <is>
          <t>JÄMTLANDS LÄN</t>
        </is>
      </c>
      <c r="E307" t="inlineStr">
        <is>
          <t>ÖSTERSUND</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6013-2022</t>
        </is>
      </c>
      <c r="B308" s="1" t="n">
        <v>44599.45850694444</v>
      </c>
      <c r="C308" s="1" t="n">
        <v>46029</v>
      </c>
      <c r="D308" t="inlineStr">
        <is>
          <t>JÄMTLANDS LÄN</t>
        </is>
      </c>
      <c r="E308" t="inlineStr">
        <is>
          <t>ÖSTERSUND</t>
        </is>
      </c>
      <c r="G308" t="n">
        <v>2.5</v>
      </c>
      <c r="H308" t="n">
        <v>0</v>
      </c>
      <c r="I308" t="n">
        <v>0</v>
      </c>
      <c r="J308" t="n">
        <v>0</v>
      </c>
      <c r="K308" t="n">
        <v>0</v>
      </c>
      <c r="L308" t="n">
        <v>0</v>
      </c>
      <c r="M308" t="n">
        <v>0</v>
      </c>
      <c r="N308" t="n">
        <v>0</v>
      </c>
      <c r="O308" t="n">
        <v>0</v>
      </c>
      <c r="P308" t="n">
        <v>0</v>
      </c>
      <c r="Q308" t="n">
        <v>0</v>
      </c>
      <c r="R308" s="2" t="inlineStr"/>
    </row>
    <row r="309" ht="15" customHeight="1">
      <c r="A309" t="inlineStr">
        <is>
          <t>A 7956-2025</t>
        </is>
      </c>
      <c r="B309" s="1" t="n">
        <v>45707.42825231481</v>
      </c>
      <c r="C309" s="1" t="n">
        <v>46029</v>
      </c>
      <c r="D309" t="inlineStr">
        <is>
          <t>JÄMTLANDS LÄN</t>
        </is>
      </c>
      <c r="E309" t="inlineStr">
        <is>
          <t>ÖSTERSUND</t>
        </is>
      </c>
      <c r="F309" t="inlineStr">
        <is>
          <t>Övriga Aktiebolag</t>
        </is>
      </c>
      <c r="G309" t="n">
        <v>111.2</v>
      </c>
      <c r="H309" t="n">
        <v>0</v>
      </c>
      <c r="I309" t="n">
        <v>0</v>
      </c>
      <c r="J309" t="n">
        <v>0</v>
      </c>
      <c r="K309" t="n">
        <v>0</v>
      </c>
      <c r="L309" t="n">
        <v>0</v>
      </c>
      <c r="M309" t="n">
        <v>0</v>
      </c>
      <c r="N309" t="n">
        <v>0</v>
      </c>
      <c r="O309" t="n">
        <v>0</v>
      </c>
      <c r="P309" t="n">
        <v>0</v>
      </c>
      <c r="Q309" t="n">
        <v>0</v>
      </c>
      <c r="R309" s="2" t="inlineStr"/>
    </row>
    <row r="310" ht="15" customHeight="1">
      <c r="A310" t="inlineStr">
        <is>
          <t>A 28025-2025</t>
        </is>
      </c>
      <c r="B310" s="1" t="n">
        <v>45817</v>
      </c>
      <c r="C310" s="1" t="n">
        <v>46029</v>
      </c>
      <c r="D310" t="inlineStr">
        <is>
          <t>JÄMTLANDS LÄN</t>
        </is>
      </c>
      <c r="E310" t="inlineStr">
        <is>
          <t>ÖSTERSUND</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28185-2025</t>
        </is>
      </c>
      <c r="B311" s="1" t="n">
        <v>45818.40337962963</v>
      </c>
      <c r="C311" s="1" t="n">
        <v>46029</v>
      </c>
      <c r="D311" t="inlineStr">
        <is>
          <t>JÄMTLANDS LÄN</t>
        </is>
      </c>
      <c r="E311" t="inlineStr">
        <is>
          <t>ÖSTERSUND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28595-2025</t>
        </is>
      </c>
      <c r="B312" s="1" t="n">
        <v>45819.59429398148</v>
      </c>
      <c r="C312" s="1" t="n">
        <v>46029</v>
      </c>
      <c r="D312" t="inlineStr">
        <is>
          <t>JÄMTLANDS LÄN</t>
        </is>
      </c>
      <c r="E312" t="inlineStr">
        <is>
          <t>ÖSTERSUND</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40360-2025</t>
        </is>
      </c>
      <c r="B313" s="1" t="n">
        <v>45895.49024305555</v>
      </c>
      <c r="C313" s="1" t="n">
        <v>46029</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40325-2025</t>
        </is>
      </c>
      <c r="B314" s="1" t="n">
        <v>45895.4484837963</v>
      </c>
      <c r="C314" s="1" t="n">
        <v>46029</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58952-2024</t>
        </is>
      </c>
      <c r="B315" s="1" t="n">
        <v>45636.5674537037</v>
      </c>
      <c r="C315" s="1" t="n">
        <v>46029</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40361-2025</t>
        </is>
      </c>
      <c r="B316" s="1" t="n">
        <v>45895.49026620371</v>
      </c>
      <c r="C316" s="1" t="n">
        <v>46029</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40326-2025</t>
        </is>
      </c>
      <c r="B317" s="1" t="n">
        <v>45895.44856481482</v>
      </c>
      <c r="C317" s="1" t="n">
        <v>46029</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43082-2024</t>
        </is>
      </c>
      <c r="B318" s="1" t="n">
        <v>45567.51068287037</v>
      </c>
      <c r="C318" s="1" t="n">
        <v>46029</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24781-2024</t>
        </is>
      </c>
      <c r="B319" s="1" t="n">
        <v>45460.7772800926</v>
      </c>
      <c r="C319" s="1" t="n">
        <v>46029</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14182-2025</t>
        </is>
      </c>
      <c r="B320" s="1" t="n">
        <v>45740.54168981482</v>
      </c>
      <c r="C320" s="1" t="n">
        <v>46029</v>
      </c>
      <c r="D320" t="inlineStr">
        <is>
          <t>JÄMTLANDS LÄN</t>
        </is>
      </c>
      <c r="E320" t="inlineStr">
        <is>
          <t>ÖSTERSUND</t>
        </is>
      </c>
      <c r="F320" t="inlineStr">
        <is>
          <t>Övriga Aktiebolag</t>
        </is>
      </c>
      <c r="G320" t="n">
        <v>20.1</v>
      </c>
      <c r="H320" t="n">
        <v>0</v>
      </c>
      <c r="I320" t="n">
        <v>0</v>
      </c>
      <c r="J320" t="n">
        <v>0</v>
      </c>
      <c r="K320" t="n">
        <v>0</v>
      </c>
      <c r="L320" t="n">
        <v>0</v>
      </c>
      <c r="M320" t="n">
        <v>0</v>
      </c>
      <c r="N320" t="n">
        <v>0</v>
      </c>
      <c r="O320" t="n">
        <v>0</v>
      </c>
      <c r="P320" t="n">
        <v>0</v>
      </c>
      <c r="Q320" t="n">
        <v>0</v>
      </c>
      <c r="R320" s="2" t="inlineStr"/>
    </row>
    <row r="321" ht="15" customHeight="1">
      <c r="A321" t="inlineStr">
        <is>
          <t>A 5544-2025</t>
        </is>
      </c>
      <c r="B321" s="1" t="n">
        <v>45693</v>
      </c>
      <c r="C321" s="1" t="n">
        <v>46029</v>
      </c>
      <c r="D321" t="inlineStr">
        <is>
          <t>JÄMTLANDS LÄN</t>
        </is>
      </c>
      <c r="E321" t="inlineStr">
        <is>
          <t>ÖSTERSUND</t>
        </is>
      </c>
      <c r="G321" t="n">
        <v>5.8</v>
      </c>
      <c r="H321" t="n">
        <v>0</v>
      </c>
      <c r="I321" t="n">
        <v>0</v>
      </c>
      <c r="J321" t="n">
        <v>0</v>
      </c>
      <c r="K321" t="n">
        <v>0</v>
      </c>
      <c r="L321" t="n">
        <v>0</v>
      </c>
      <c r="M321" t="n">
        <v>0</v>
      </c>
      <c r="N321" t="n">
        <v>0</v>
      </c>
      <c r="O321" t="n">
        <v>0</v>
      </c>
      <c r="P321" t="n">
        <v>0</v>
      </c>
      <c r="Q321" t="n">
        <v>0</v>
      </c>
      <c r="R321" s="2" t="inlineStr"/>
    </row>
    <row r="322" ht="15" customHeight="1">
      <c r="A322" t="inlineStr">
        <is>
          <t>A 58407-2024</t>
        </is>
      </c>
      <c r="B322" s="1" t="n">
        <v>45634.72633101852</v>
      </c>
      <c r="C322" s="1" t="n">
        <v>46029</v>
      </c>
      <c r="D322" t="inlineStr">
        <is>
          <t>JÄMTLANDS LÄN</t>
        </is>
      </c>
      <c r="E322" t="inlineStr">
        <is>
          <t>ÖSTERSUND</t>
        </is>
      </c>
      <c r="G322" t="n">
        <v>2.8</v>
      </c>
      <c r="H322" t="n">
        <v>0</v>
      </c>
      <c r="I322" t="n">
        <v>0</v>
      </c>
      <c r="J322" t="n">
        <v>0</v>
      </c>
      <c r="K322" t="n">
        <v>0</v>
      </c>
      <c r="L322" t="n">
        <v>0</v>
      </c>
      <c r="M322" t="n">
        <v>0</v>
      </c>
      <c r="N322" t="n">
        <v>0</v>
      </c>
      <c r="O322" t="n">
        <v>0</v>
      </c>
      <c r="P322" t="n">
        <v>0</v>
      </c>
      <c r="Q322" t="n">
        <v>0</v>
      </c>
      <c r="R322" s="2" t="inlineStr"/>
    </row>
    <row r="323" ht="15" customHeight="1">
      <c r="A323" t="inlineStr">
        <is>
          <t>A 30320-2025</t>
        </is>
      </c>
      <c r="B323" s="1" t="n">
        <v>45827.49415509259</v>
      </c>
      <c r="C323" s="1" t="n">
        <v>46029</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30210-2025</t>
        </is>
      </c>
      <c r="B324" s="1" t="n">
        <v>45827.36590277778</v>
      </c>
      <c r="C324" s="1" t="n">
        <v>46029</v>
      </c>
      <c r="D324" t="inlineStr">
        <is>
          <t>JÄMTLANDS LÄN</t>
        </is>
      </c>
      <c r="E324" t="inlineStr">
        <is>
          <t>ÖSTERSUND</t>
        </is>
      </c>
      <c r="G324" t="n">
        <v>0.7</v>
      </c>
      <c r="H324" t="n">
        <v>0</v>
      </c>
      <c r="I324" t="n">
        <v>0</v>
      </c>
      <c r="J324" t="n">
        <v>0</v>
      </c>
      <c r="K324" t="n">
        <v>0</v>
      </c>
      <c r="L324" t="n">
        <v>0</v>
      </c>
      <c r="M324" t="n">
        <v>0</v>
      </c>
      <c r="N324" t="n">
        <v>0</v>
      </c>
      <c r="O324" t="n">
        <v>0</v>
      </c>
      <c r="P324" t="n">
        <v>0</v>
      </c>
      <c r="Q324" t="n">
        <v>0</v>
      </c>
      <c r="R324" s="2" t="inlineStr"/>
    </row>
    <row r="325" ht="15" customHeight="1">
      <c r="A325" t="inlineStr">
        <is>
          <t>A 17732-2022</t>
        </is>
      </c>
      <c r="B325" s="1" t="n">
        <v>44680.92873842592</v>
      </c>
      <c r="C325" s="1" t="n">
        <v>46029</v>
      </c>
      <c r="D325" t="inlineStr">
        <is>
          <t>JÄMTLANDS LÄN</t>
        </is>
      </c>
      <c r="E325" t="inlineStr">
        <is>
          <t>ÖSTERSUND</t>
        </is>
      </c>
      <c r="G325" t="n">
        <v>5.4</v>
      </c>
      <c r="H325" t="n">
        <v>0</v>
      </c>
      <c r="I325" t="n">
        <v>0</v>
      </c>
      <c r="J325" t="n">
        <v>0</v>
      </c>
      <c r="K325" t="n">
        <v>0</v>
      </c>
      <c r="L325" t="n">
        <v>0</v>
      </c>
      <c r="M325" t="n">
        <v>0</v>
      </c>
      <c r="N325" t="n">
        <v>0</v>
      </c>
      <c r="O325" t="n">
        <v>0</v>
      </c>
      <c r="P325" t="n">
        <v>0</v>
      </c>
      <c r="Q325" t="n">
        <v>0</v>
      </c>
      <c r="R325" s="2" t="inlineStr"/>
    </row>
    <row r="326" ht="15" customHeight="1">
      <c r="A326" t="inlineStr">
        <is>
          <t>A 52913-2021</t>
        </is>
      </c>
      <c r="B326" s="1" t="n">
        <v>44466</v>
      </c>
      <c r="C326" s="1" t="n">
        <v>46029</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54883-2023</t>
        </is>
      </c>
      <c r="B327" s="1" t="n">
        <v>45236.62300925926</v>
      </c>
      <c r="C327" s="1" t="n">
        <v>46029</v>
      </c>
      <c r="D327" t="inlineStr">
        <is>
          <t>JÄMTLANDS LÄN</t>
        </is>
      </c>
      <c r="E327" t="inlineStr">
        <is>
          <t>ÖSTERSUND</t>
        </is>
      </c>
      <c r="F327" t="inlineStr">
        <is>
          <t>Övriga Aktiebolag</t>
        </is>
      </c>
      <c r="G327" t="n">
        <v>3.2</v>
      </c>
      <c r="H327" t="n">
        <v>0</v>
      </c>
      <c r="I327" t="n">
        <v>0</v>
      </c>
      <c r="J327" t="n">
        <v>0</v>
      </c>
      <c r="K327" t="n">
        <v>0</v>
      </c>
      <c r="L327" t="n">
        <v>0</v>
      </c>
      <c r="M327" t="n">
        <v>0</v>
      </c>
      <c r="N327" t="n">
        <v>0</v>
      </c>
      <c r="O327" t="n">
        <v>0</v>
      </c>
      <c r="P327" t="n">
        <v>0</v>
      </c>
      <c r="Q327" t="n">
        <v>0</v>
      </c>
      <c r="R327" s="2" t="inlineStr"/>
    </row>
    <row r="328" ht="15" customHeight="1">
      <c r="A328" t="inlineStr">
        <is>
          <t>A 3122-2025</t>
        </is>
      </c>
      <c r="B328" s="1" t="n">
        <v>45678</v>
      </c>
      <c r="C328" s="1" t="n">
        <v>46029</v>
      </c>
      <c r="D328" t="inlineStr">
        <is>
          <t>JÄMTLANDS LÄN</t>
        </is>
      </c>
      <c r="E328" t="inlineStr">
        <is>
          <t>ÖSTERSUND</t>
        </is>
      </c>
      <c r="G328" t="n">
        <v>1.3</v>
      </c>
      <c r="H328" t="n">
        <v>0</v>
      </c>
      <c r="I328" t="n">
        <v>0</v>
      </c>
      <c r="J328" t="n">
        <v>0</v>
      </c>
      <c r="K328" t="n">
        <v>0</v>
      </c>
      <c r="L328" t="n">
        <v>0</v>
      </c>
      <c r="M328" t="n">
        <v>0</v>
      </c>
      <c r="N328" t="n">
        <v>0</v>
      </c>
      <c r="O328" t="n">
        <v>0</v>
      </c>
      <c r="P328" t="n">
        <v>0</v>
      </c>
      <c r="Q328" t="n">
        <v>0</v>
      </c>
      <c r="R328" s="2" t="inlineStr"/>
    </row>
    <row r="329" ht="15" customHeight="1">
      <c r="A329" t="inlineStr">
        <is>
          <t>A 62222-2022</t>
        </is>
      </c>
      <c r="B329" s="1" t="n">
        <v>44922</v>
      </c>
      <c r="C329" s="1" t="n">
        <v>46029</v>
      </c>
      <c r="D329" t="inlineStr">
        <is>
          <t>JÄMTLANDS LÄN</t>
        </is>
      </c>
      <c r="E329" t="inlineStr">
        <is>
          <t>ÖSTERSUND</t>
        </is>
      </c>
      <c r="G329" t="n">
        <v>4.1</v>
      </c>
      <c r="H329" t="n">
        <v>0</v>
      </c>
      <c r="I329" t="n">
        <v>0</v>
      </c>
      <c r="J329" t="n">
        <v>0</v>
      </c>
      <c r="K329" t="n">
        <v>0</v>
      </c>
      <c r="L329" t="n">
        <v>0</v>
      </c>
      <c r="M329" t="n">
        <v>0</v>
      </c>
      <c r="N329" t="n">
        <v>0</v>
      </c>
      <c r="O329" t="n">
        <v>0</v>
      </c>
      <c r="P329" t="n">
        <v>0</v>
      </c>
      <c r="Q329" t="n">
        <v>0</v>
      </c>
      <c r="R329" s="2" t="inlineStr"/>
    </row>
    <row r="330" ht="15" customHeight="1">
      <c r="A330" t="inlineStr">
        <is>
          <t>A 41280-2024</t>
        </is>
      </c>
      <c r="B330" s="1" t="n">
        <v>45559.59476851852</v>
      </c>
      <c r="C330" s="1" t="n">
        <v>46029</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7224-2024</t>
        </is>
      </c>
      <c r="B331" s="1" t="n">
        <v>45344</v>
      </c>
      <c r="C331" s="1" t="n">
        <v>46029</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8675-2023</t>
        </is>
      </c>
      <c r="B332" s="1" t="n">
        <v>44977.98629629629</v>
      </c>
      <c r="C332" s="1" t="n">
        <v>46029</v>
      </c>
      <c r="D332" t="inlineStr">
        <is>
          <t>JÄMTLANDS LÄN</t>
        </is>
      </c>
      <c r="E332" t="inlineStr">
        <is>
          <t>ÖSTERSUND</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12-2023</t>
        </is>
      </c>
      <c r="B333" s="1" t="n">
        <v>44927.88021990741</v>
      </c>
      <c r="C333" s="1" t="n">
        <v>46029</v>
      </c>
      <c r="D333" t="inlineStr">
        <is>
          <t>JÄMTLANDS LÄN</t>
        </is>
      </c>
      <c r="E333" t="inlineStr">
        <is>
          <t>ÖSTERSUND</t>
        </is>
      </c>
      <c r="G333" t="n">
        <v>4.7</v>
      </c>
      <c r="H333" t="n">
        <v>0</v>
      </c>
      <c r="I333" t="n">
        <v>0</v>
      </c>
      <c r="J333" t="n">
        <v>0</v>
      </c>
      <c r="K333" t="n">
        <v>0</v>
      </c>
      <c r="L333" t="n">
        <v>0</v>
      </c>
      <c r="M333" t="n">
        <v>0</v>
      </c>
      <c r="N333" t="n">
        <v>0</v>
      </c>
      <c r="O333" t="n">
        <v>0</v>
      </c>
      <c r="P333" t="n">
        <v>0</v>
      </c>
      <c r="Q333" t="n">
        <v>0</v>
      </c>
      <c r="R333" s="2" t="inlineStr"/>
    </row>
    <row r="334" ht="15" customHeight="1">
      <c r="A334" t="inlineStr">
        <is>
          <t>A 55666-2023</t>
        </is>
      </c>
      <c r="B334" s="1" t="n">
        <v>45238.96770833333</v>
      </c>
      <c r="C334" s="1" t="n">
        <v>46029</v>
      </c>
      <c r="D334" t="inlineStr">
        <is>
          <t>JÄMTLANDS LÄN</t>
        </is>
      </c>
      <c r="E334" t="inlineStr">
        <is>
          <t>ÖSTERSUND</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51481-2023</t>
        </is>
      </c>
      <c r="B335" s="1" t="n">
        <v>45221.92440972223</v>
      </c>
      <c r="C335" s="1" t="n">
        <v>46029</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32279-2025</t>
        </is>
      </c>
      <c r="B336" s="1" t="n">
        <v>45835.67109953704</v>
      </c>
      <c r="C336" s="1" t="n">
        <v>46029</v>
      </c>
      <c r="D336" t="inlineStr">
        <is>
          <t>JÄMTLANDS LÄN</t>
        </is>
      </c>
      <c r="E336" t="inlineStr">
        <is>
          <t>ÖSTERSUND</t>
        </is>
      </c>
      <c r="G336" t="n">
        <v>3.5</v>
      </c>
      <c r="H336" t="n">
        <v>0</v>
      </c>
      <c r="I336" t="n">
        <v>0</v>
      </c>
      <c r="J336" t="n">
        <v>0</v>
      </c>
      <c r="K336" t="n">
        <v>0</v>
      </c>
      <c r="L336" t="n">
        <v>0</v>
      </c>
      <c r="M336" t="n">
        <v>0</v>
      </c>
      <c r="N336" t="n">
        <v>0</v>
      </c>
      <c r="O336" t="n">
        <v>0</v>
      </c>
      <c r="P336" t="n">
        <v>0</v>
      </c>
      <c r="Q336" t="n">
        <v>0</v>
      </c>
      <c r="R336" s="2" t="inlineStr"/>
    </row>
    <row r="337" ht="15" customHeight="1">
      <c r="A337" t="inlineStr">
        <is>
          <t>A 32353-2025</t>
        </is>
      </c>
      <c r="B337" s="1" t="n">
        <v>45837.51741898148</v>
      </c>
      <c r="C337" s="1" t="n">
        <v>46029</v>
      </c>
      <c r="D337" t="inlineStr">
        <is>
          <t>JÄMTLANDS LÄN</t>
        </is>
      </c>
      <c r="E337" t="inlineStr">
        <is>
          <t>ÖSTERSUND</t>
        </is>
      </c>
      <c r="F337" t="inlineStr">
        <is>
          <t>Övriga Aktiebolag</t>
        </is>
      </c>
      <c r="G337" t="n">
        <v>4.8</v>
      </c>
      <c r="H337" t="n">
        <v>0</v>
      </c>
      <c r="I337" t="n">
        <v>0</v>
      </c>
      <c r="J337" t="n">
        <v>0</v>
      </c>
      <c r="K337" t="n">
        <v>0</v>
      </c>
      <c r="L337" t="n">
        <v>0</v>
      </c>
      <c r="M337" t="n">
        <v>0</v>
      </c>
      <c r="N337" t="n">
        <v>0</v>
      </c>
      <c r="O337" t="n">
        <v>0</v>
      </c>
      <c r="P337" t="n">
        <v>0</v>
      </c>
      <c r="Q337" t="n">
        <v>0</v>
      </c>
      <c r="R337" s="2" t="inlineStr"/>
    </row>
    <row r="338" ht="15" customHeight="1">
      <c r="A338" t="inlineStr">
        <is>
          <t>A 55140-2023</t>
        </is>
      </c>
      <c r="B338" s="1" t="n">
        <v>45237.50966435186</v>
      </c>
      <c r="C338" s="1" t="n">
        <v>46029</v>
      </c>
      <c r="D338" t="inlineStr">
        <is>
          <t>JÄMTLANDS LÄN</t>
        </is>
      </c>
      <c r="E338" t="inlineStr">
        <is>
          <t>ÖSTERSUND</t>
        </is>
      </c>
      <c r="G338" t="n">
        <v>1.8</v>
      </c>
      <c r="H338" t="n">
        <v>0</v>
      </c>
      <c r="I338" t="n">
        <v>0</v>
      </c>
      <c r="J338" t="n">
        <v>0</v>
      </c>
      <c r="K338" t="n">
        <v>0</v>
      </c>
      <c r="L338" t="n">
        <v>0</v>
      </c>
      <c r="M338" t="n">
        <v>0</v>
      </c>
      <c r="N338" t="n">
        <v>0</v>
      </c>
      <c r="O338" t="n">
        <v>0</v>
      </c>
      <c r="P338" t="n">
        <v>0</v>
      </c>
      <c r="Q338" t="n">
        <v>0</v>
      </c>
      <c r="R338" s="2" t="inlineStr"/>
    </row>
    <row r="339" ht="15" customHeight="1">
      <c r="A339" t="inlineStr">
        <is>
          <t>A 32358-2025</t>
        </is>
      </c>
      <c r="B339" s="1" t="n">
        <v>45837.57481481481</v>
      </c>
      <c r="C339" s="1" t="n">
        <v>46029</v>
      </c>
      <c r="D339" t="inlineStr">
        <is>
          <t>JÄMTLANDS LÄN</t>
        </is>
      </c>
      <c r="E339" t="inlineStr">
        <is>
          <t>ÖSTERSUND</t>
        </is>
      </c>
      <c r="F339" t="inlineStr">
        <is>
          <t>Övriga Aktiebolag</t>
        </is>
      </c>
      <c r="G339" t="n">
        <v>4.8</v>
      </c>
      <c r="H339" t="n">
        <v>0</v>
      </c>
      <c r="I339" t="n">
        <v>0</v>
      </c>
      <c r="J339" t="n">
        <v>0</v>
      </c>
      <c r="K339" t="n">
        <v>0</v>
      </c>
      <c r="L339" t="n">
        <v>0</v>
      </c>
      <c r="M339" t="n">
        <v>0</v>
      </c>
      <c r="N339" t="n">
        <v>0</v>
      </c>
      <c r="O339" t="n">
        <v>0</v>
      </c>
      <c r="P339" t="n">
        <v>0</v>
      </c>
      <c r="Q339" t="n">
        <v>0</v>
      </c>
      <c r="R339" s="2" t="inlineStr"/>
    </row>
    <row r="340" ht="15" customHeight="1">
      <c r="A340" t="inlineStr">
        <is>
          <t>A 32369-2025</t>
        </is>
      </c>
      <c r="B340" s="1" t="n">
        <v>45837.67381944445</v>
      </c>
      <c r="C340" s="1" t="n">
        <v>46029</v>
      </c>
      <c r="D340" t="inlineStr">
        <is>
          <t>JÄMTLANDS LÄN</t>
        </is>
      </c>
      <c r="E340" t="inlineStr">
        <is>
          <t>ÖSTERSUND</t>
        </is>
      </c>
      <c r="F340" t="inlineStr">
        <is>
          <t>Övriga Aktiebolag</t>
        </is>
      </c>
      <c r="G340" t="n">
        <v>5.7</v>
      </c>
      <c r="H340" t="n">
        <v>0</v>
      </c>
      <c r="I340" t="n">
        <v>0</v>
      </c>
      <c r="J340" t="n">
        <v>0</v>
      </c>
      <c r="K340" t="n">
        <v>0</v>
      </c>
      <c r="L340" t="n">
        <v>0</v>
      </c>
      <c r="M340" t="n">
        <v>0</v>
      </c>
      <c r="N340" t="n">
        <v>0</v>
      </c>
      <c r="O340" t="n">
        <v>0</v>
      </c>
      <c r="P340" t="n">
        <v>0</v>
      </c>
      <c r="Q340" t="n">
        <v>0</v>
      </c>
      <c r="R340" s="2" t="inlineStr"/>
    </row>
    <row r="341" ht="15" customHeight="1">
      <c r="A341" t="inlineStr">
        <is>
          <t>A 41675-2025</t>
        </is>
      </c>
      <c r="B341" s="1" t="n">
        <v>45902.36641203704</v>
      </c>
      <c r="C341" s="1" t="n">
        <v>46029</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41708-2025</t>
        </is>
      </c>
      <c r="B342" s="1" t="n">
        <v>45902.42280092592</v>
      </c>
      <c r="C342" s="1" t="n">
        <v>46029</v>
      </c>
      <c r="D342" t="inlineStr">
        <is>
          <t>JÄMTLANDS LÄN</t>
        </is>
      </c>
      <c r="E342" t="inlineStr">
        <is>
          <t>ÖSTERSUND</t>
        </is>
      </c>
      <c r="G342" t="n">
        <v>1.2</v>
      </c>
      <c r="H342" t="n">
        <v>0</v>
      </c>
      <c r="I342" t="n">
        <v>0</v>
      </c>
      <c r="J342" t="n">
        <v>0</v>
      </c>
      <c r="K342" t="n">
        <v>0</v>
      </c>
      <c r="L342" t="n">
        <v>0</v>
      </c>
      <c r="M342" t="n">
        <v>0</v>
      </c>
      <c r="N342" t="n">
        <v>0</v>
      </c>
      <c r="O342" t="n">
        <v>0</v>
      </c>
      <c r="P342" t="n">
        <v>0</v>
      </c>
      <c r="Q342" t="n">
        <v>0</v>
      </c>
      <c r="R342" s="2" t="inlineStr"/>
    </row>
    <row r="343" ht="15" customHeight="1">
      <c r="A343" t="inlineStr">
        <is>
          <t>A 60623-2022</t>
        </is>
      </c>
      <c r="B343" s="1" t="n">
        <v>44911.6459837963</v>
      </c>
      <c r="C343" s="1" t="n">
        <v>46029</v>
      </c>
      <c r="D343" t="inlineStr">
        <is>
          <t>JÄMTLANDS LÄN</t>
        </is>
      </c>
      <c r="E343" t="inlineStr">
        <is>
          <t>ÖSTERSUND</t>
        </is>
      </c>
      <c r="G343" t="n">
        <v>10.9</v>
      </c>
      <c r="H343" t="n">
        <v>0</v>
      </c>
      <c r="I343" t="n">
        <v>0</v>
      </c>
      <c r="J343" t="n">
        <v>0</v>
      </c>
      <c r="K343" t="n">
        <v>0</v>
      </c>
      <c r="L343" t="n">
        <v>0</v>
      </c>
      <c r="M343" t="n">
        <v>0</v>
      </c>
      <c r="N343" t="n">
        <v>0</v>
      </c>
      <c r="O343" t="n">
        <v>0</v>
      </c>
      <c r="P343" t="n">
        <v>0</v>
      </c>
      <c r="Q343" t="n">
        <v>0</v>
      </c>
      <c r="R343" s="2" t="inlineStr"/>
    </row>
    <row r="344" ht="15" customHeight="1">
      <c r="A344" t="inlineStr">
        <is>
          <t>A 41582-2025</t>
        </is>
      </c>
      <c r="B344" s="1" t="n">
        <v>45901</v>
      </c>
      <c r="C344" s="1" t="n">
        <v>46029</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32368-2025</t>
        </is>
      </c>
      <c r="B345" s="1" t="n">
        <v>45837.66230324074</v>
      </c>
      <c r="C345" s="1" t="n">
        <v>46029</v>
      </c>
      <c r="D345" t="inlineStr">
        <is>
          <t>JÄMTLANDS LÄN</t>
        </is>
      </c>
      <c r="E345" t="inlineStr">
        <is>
          <t>ÖSTERSUND</t>
        </is>
      </c>
      <c r="F345" t="inlineStr">
        <is>
          <t>Övriga Aktiebolag</t>
        </is>
      </c>
      <c r="G345" t="n">
        <v>19.5</v>
      </c>
      <c r="H345" t="n">
        <v>0</v>
      </c>
      <c r="I345" t="n">
        <v>0</v>
      </c>
      <c r="J345" t="n">
        <v>0</v>
      </c>
      <c r="K345" t="n">
        <v>0</v>
      </c>
      <c r="L345" t="n">
        <v>0</v>
      </c>
      <c r="M345" t="n">
        <v>0</v>
      </c>
      <c r="N345" t="n">
        <v>0</v>
      </c>
      <c r="O345" t="n">
        <v>0</v>
      </c>
      <c r="P345" t="n">
        <v>0</v>
      </c>
      <c r="Q345" t="n">
        <v>0</v>
      </c>
      <c r="R345" s="2" t="inlineStr"/>
    </row>
    <row r="346" ht="15" customHeight="1">
      <c r="A346" t="inlineStr">
        <is>
          <t>A 32071-2025</t>
        </is>
      </c>
      <c r="B346" s="1" t="n">
        <v>45835.4491087963</v>
      </c>
      <c r="C346" s="1" t="n">
        <v>46029</v>
      </c>
      <c r="D346" t="inlineStr">
        <is>
          <t>JÄMTLANDS LÄN</t>
        </is>
      </c>
      <c r="E346" t="inlineStr">
        <is>
          <t>ÖSTERSUND</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51818-2024</t>
        </is>
      </c>
      <c r="B347" s="1" t="n">
        <v>45607.49265046296</v>
      </c>
      <c r="C347" s="1" t="n">
        <v>46029</v>
      </c>
      <c r="D347" t="inlineStr">
        <is>
          <t>JÄMTLANDS LÄN</t>
        </is>
      </c>
      <c r="E347" t="inlineStr">
        <is>
          <t>ÖSTERSUND</t>
        </is>
      </c>
      <c r="G347" t="n">
        <v>4.6</v>
      </c>
      <c r="H347" t="n">
        <v>0</v>
      </c>
      <c r="I347" t="n">
        <v>0</v>
      </c>
      <c r="J347" t="n">
        <v>0</v>
      </c>
      <c r="K347" t="n">
        <v>0</v>
      </c>
      <c r="L347" t="n">
        <v>0</v>
      </c>
      <c r="M347" t="n">
        <v>0</v>
      </c>
      <c r="N347" t="n">
        <v>0</v>
      </c>
      <c r="O347" t="n">
        <v>0</v>
      </c>
      <c r="P347" t="n">
        <v>0</v>
      </c>
      <c r="Q347" t="n">
        <v>0</v>
      </c>
      <c r="R347" s="2" t="inlineStr"/>
    </row>
    <row r="348" ht="15" customHeight="1">
      <c r="A348" t="inlineStr">
        <is>
          <t>A 14653-2022</t>
        </is>
      </c>
      <c r="B348" s="1" t="n">
        <v>44655.69303240741</v>
      </c>
      <c r="C348" s="1" t="n">
        <v>46029</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48106-2024</t>
        </is>
      </c>
      <c r="B349" s="1" t="n">
        <v>45589.62625</v>
      </c>
      <c r="C349" s="1" t="n">
        <v>46029</v>
      </c>
      <c r="D349" t="inlineStr">
        <is>
          <t>JÄMTLANDS LÄN</t>
        </is>
      </c>
      <c r="E349" t="inlineStr">
        <is>
          <t>ÖSTERSUND</t>
        </is>
      </c>
      <c r="G349" t="n">
        <v>3.5</v>
      </c>
      <c r="H349" t="n">
        <v>0</v>
      </c>
      <c r="I349" t="n">
        <v>0</v>
      </c>
      <c r="J349" t="n">
        <v>0</v>
      </c>
      <c r="K349" t="n">
        <v>0</v>
      </c>
      <c r="L349" t="n">
        <v>0</v>
      </c>
      <c r="M349" t="n">
        <v>0</v>
      </c>
      <c r="N349" t="n">
        <v>0</v>
      </c>
      <c r="O349" t="n">
        <v>0</v>
      </c>
      <c r="P349" t="n">
        <v>0</v>
      </c>
      <c r="Q349" t="n">
        <v>0</v>
      </c>
      <c r="R349" s="2" t="inlineStr"/>
    </row>
    <row r="350" ht="15" customHeight="1">
      <c r="A350" t="inlineStr">
        <is>
          <t>A 20960-2022</t>
        </is>
      </c>
      <c r="B350" s="1" t="n">
        <v>44701.94034722223</v>
      </c>
      <c r="C350" s="1" t="n">
        <v>46029</v>
      </c>
      <c r="D350" t="inlineStr">
        <is>
          <t>JÄMTLANDS LÄN</t>
        </is>
      </c>
      <c r="E350" t="inlineStr">
        <is>
          <t>ÖSTERSUND</t>
        </is>
      </c>
      <c r="G350" t="n">
        <v>3.6</v>
      </c>
      <c r="H350" t="n">
        <v>0</v>
      </c>
      <c r="I350" t="n">
        <v>0</v>
      </c>
      <c r="J350" t="n">
        <v>0</v>
      </c>
      <c r="K350" t="n">
        <v>0</v>
      </c>
      <c r="L350" t="n">
        <v>0</v>
      </c>
      <c r="M350" t="n">
        <v>0</v>
      </c>
      <c r="N350" t="n">
        <v>0</v>
      </c>
      <c r="O350" t="n">
        <v>0</v>
      </c>
      <c r="P350" t="n">
        <v>0</v>
      </c>
      <c r="Q350" t="n">
        <v>0</v>
      </c>
      <c r="R350" s="2" t="inlineStr"/>
    </row>
    <row r="351" ht="15" customHeight="1">
      <c r="A351" t="inlineStr">
        <is>
          <t>A 60780-2023</t>
        </is>
      </c>
      <c r="B351" s="1" t="n">
        <v>45260</v>
      </c>
      <c r="C351" s="1" t="n">
        <v>46029</v>
      </c>
      <c r="D351" t="inlineStr">
        <is>
          <t>JÄMTLANDS LÄN</t>
        </is>
      </c>
      <c r="E351" t="inlineStr">
        <is>
          <t>ÖSTERSUND</t>
        </is>
      </c>
      <c r="G351" t="n">
        <v>3.7</v>
      </c>
      <c r="H351" t="n">
        <v>0</v>
      </c>
      <c r="I351" t="n">
        <v>0</v>
      </c>
      <c r="J351" t="n">
        <v>0</v>
      </c>
      <c r="K351" t="n">
        <v>0</v>
      </c>
      <c r="L351" t="n">
        <v>0</v>
      </c>
      <c r="M351" t="n">
        <v>0</v>
      </c>
      <c r="N351" t="n">
        <v>0</v>
      </c>
      <c r="O351" t="n">
        <v>0</v>
      </c>
      <c r="P351" t="n">
        <v>0</v>
      </c>
      <c r="Q351" t="n">
        <v>0</v>
      </c>
      <c r="R351" s="2" t="inlineStr"/>
    </row>
    <row r="352" ht="15" customHeight="1">
      <c r="A352" t="inlineStr">
        <is>
          <t>A 57589-2024</t>
        </is>
      </c>
      <c r="B352" s="1" t="n">
        <v>45630.49710648148</v>
      </c>
      <c r="C352" s="1" t="n">
        <v>46029</v>
      </c>
      <c r="D352" t="inlineStr">
        <is>
          <t>JÄMTLANDS LÄN</t>
        </is>
      </c>
      <c r="E352" t="inlineStr">
        <is>
          <t>ÖSTERSUND</t>
        </is>
      </c>
      <c r="G352" t="n">
        <v>1.8</v>
      </c>
      <c r="H352" t="n">
        <v>0</v>
      </c>
      <c r="I352" t="n">
        <v>0</v>
      </c>
      <c r="J352" t="n">
        <v>0</v>
      </c>
      <c r="K352" t="n">
        <v>0</v>
      </c>
      <c r="L352" t="n">
        <v>0</v>
      </c>
      <c r="M352" t="n">
        <v>0</v>
      </c>
      <c r="N352" t="n">
        <v>0</v>
      </c>
      <c r="O352" t="n">
        <v>0</v>
      </c>
      <c r="P352" t="n">
        <v>0</v>
      </c>
      <c r="Q352" t="n">
        <v>0</v>
      </c>
      <c r="R352" s="2" t="inlineStr"/>
    </row>
    <row r="353" ht="15" customHeight="1">
      <c r="A353" t="inlineStr">
        <is>
          <t>A 33358-2025</t>
        </is>
      </c>
      <c r="B353" s="1" t="n">
        <v>45841.38054398148</v>
      </c>
      <c r="C353" s="1" t="n">
        <v>46029</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42129-2025</t>
        </is>
      </c>
      <c r="B354" s="1" t="n">
        <v>45904.3452662037</v>
      </c>
      <c r="C354" s="1" t="n">
        <v>46029</v>
      </c>
      <c r="D354" t="inlineStr">
        <is>
          <t>JÄMTLANDS LÄN</t>
        </is>
      </c>
      <c r="E354" t="inlineStr">
        <is>
          <t>ÖSTERSUND</t>
        </is>
      </c>
      <c r="G354" t="n">
        <v>0.4</v>
      </c>
      <c r="H354" t="n">
        <v>0</v>
      </c>
      <c r="I354" t="n">
        <v>0</v>
      </c>
      <c r="J354" t="n">
        <v>0</v>
      </c>
      <c r="K354" t="n">
        <v>0</v>
      </c>
      <c r="L354" t="n">
        <v>0</v>
      </c>
      <c r="M354" t="n">
        <v>0</v>
      </c>
      <c r="N354" t="n">
        <v>0</v>
      </c>
      <c r="O354" t="n">
        <v>0</v>
      </c>
      <c r="P354" t="n">
        <v>0</v>
      </c>
      <c r="Q354" t="n">
        <v>0</v>
      </c>
      <c r="R354" s="2" t="inlineStr"/>
    </row>
    <row r="355" ht="15" customHeight="1">
      <c r="A355" t="inlineStr">
        <is>
          <t>A 11740-2022</t>
        </is>
      </c>
      <c r="B355" s="1" t="n">
        <v>44634.52982638889</v>
      </c>
      <c r="C355" s="1" t="n">
        <v>46029</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38926-2024</t>
        </is>
      </c>
      <c r="B356" s="1" t="n">
        <v>45547.90777777778</v>
      </c>
      <c r="C356" s="1" t="n">
        <v>46029</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20588-2023</t>
        </is>
      </c>
      <c r="B357" s="1" t="n">
        <v>45057</v>
      </c>
      <c r="C357" s="1" t="n">
        <v>46029</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26321-2022</t>
        </is>
      </c>
      <c r="B358" s="1" t="n">
        <v>44735</v>
      </c>
      <c r="C358" s="1" t="n">
        <v>46029</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14542-2025</t>
        </is>
      </c>
      <c r="B359" s="1" t="n">
        <v>45741.68631944444</v>
      </c>
      <c r="C359" s="1" t="n">
        <v>46029</v>
      </c>
      <c r="D359" t="inlineStr">
        <is>
          <t>JÄMTLANDS LÄN</t>
        </is>
      </c>
      <c r="E359" t="inlineStr">
        <is>
          <t>ÖSTERSUND</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25995-2025</t>
        </is>
      </c>
      <c r="B360" s="1" t="n">
        <v>45804.656875</v>
      </c>
      <c r="C360" s="1" t="n">
        <v>46029</v>
      </c>
      <c r="D360" t="inlineStr">
        <is>
          <t>JÄMTLANDS LÄN</t>
        </is>
      </c>
      <c r="E360" t="inlineStr">
        <is>
          <t>ÖSTERSUND</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18627-2024</t>
        </is>
      </c>
      <c r="B361" s="1" t="n">
        <v>45425.96443287037</v>
      </c>
      <c r="C361" s="1" t="n">
        <v>46029</v>
      </c>
      <c r="D361" t="inlineStr">
        <is>
          <t>JÄMTLANDS LÄN</t>
        </is>
      </c>
      <c r="E361" t="inlineStr">
        <is>
          <t>ÖSTERSUND</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34331-2025</t>
        </is>
      </c>
      <c r="B362" s="1" t="n">
        <v>45846.44827546296</v>
      </c>
      <c r="C362" s="1" t="n">
        <v>46029</v>
      </c>
      <c r="D362" t="inlineStr">
        <is>
          <t>JÄMTLANDS LÄN</t>
        </is>
      </c>
      <c r="E362" t="inlineStr">
        <is>
          <t>ÖSTERSUND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4936-2025</t>
        </is>
      </c>
      <c r="B363" s="1" t="n">
        <v>45688.69356481481</v>
      </c>
      <c r="C363" s="1" t="n">
        <v>46029</v>
      </c>
      <c r="D363" t="inlineStr">
        <is>
          <t>JÄMTLANDS LÄN</t>
        </is>
      </c>
      <c r="E363" t="inlineStr">
        <is>
          <t>ÖSTERSUND</t>
        </is>
      </c>
      <c r="G363" t="n">
        <v>8.1</v>
      </c>
      <c r="H363" t="n">
        <v>0</v>
      </c>
      <c r="I363" t="n">
        <v>0</v>
      </c>
      <c r="J363" t="n">
        <v>0</v>
      </c>
      <c r="K363" t="n">
        <v>0</v>
      </c>
      <c r="L363" t="n">
        <v>0</v>
      </c>
      <c r="M363" t="n">
        <v>0</v>
      </c>
      <c r="N363" t="n">
        <v>0</v>
      </c>
      <c r="O363" t="n">
        <v>0</v>
      </c>
      <c r="P363" t="n">
        <v>0</v>
      </c>
      <c r="Q363" t="n">
        <v>0</v>
      </c>
      <c r="R363" s="2" t="inlineStr"/>
    </row>
    <row r="364" ht="15" customHeight="1">
      <c r="A364" t="inlineStr">
        <is>
          <t>A 36099-2025</t>
        </is>
      </c>
      <c r="B364" s="1" t="n">
        <v>45866.51630787037</v>
      </c>
      <c r="C364" s="1" t="n">
        <v>46029</v>
      </c>
      <c r="D364" t="inlineStr">
        <is>
          <t>JÄMTLANDS LÄN</t>
        </is>
      </c>
      <c r="E364" t="inlineStr">
        <is>
          <t>ÖSTERSUND</t>
        </is>
      </c>
      <c r="G364" t="n">
        <v>1.9</v>
      </c>
      <c r="H364" t="n">
        <v>0</v>
      </c>
      <c r="I364" t="n">
        <v>0</v>
      </c>
      <c r="J364" t="n">
        <v>0</v>
      </c>
      <c r="K364" t="n">
        <v>0</v>
      </c>
      <c r="L364" t="n">
        <v>0</v>
      </c>
      <c r="M364" t="n">
        <v>0</v>
      </c>
      <c r="N364" t="n">
        <v>0</v>
      </c>
      <c r="O364" t="n">
        <v>0</v>
      </c>
      <c r="P364" t="n">
        <v>0</v>
      </c>
      <c r="Q364" t="n">
        <v>0</v>
      </c>
      <c r="R364" s="2" t="inlineStr"/>
    </row>
    <row r="365" ht="15" customHeight="1">
      <c r="A365" t="inlineStr">
        <is>
          <t>A 34490-2025</t>
        </is>
      </c>
      <c r="B365" s="1" t="n">
        <v>45847.40722222222</v>
      </c>
      <c r="C365" s="1" t="n">
        <v>46029</v>
      </c>
      <c r="D365" t="inlineStr">
        <is>
          <t>JÄMTLANDS LÄN</t>
        </is>
      </c>
      <c r="E365" t="inlineStr">
        <is>
          <t>ÖSTERSUND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34589-2025</t>
        </is>
      </c>
      <c r="B366" s="1" t="n">
        <v>45847.61561342593</v>
      </c>
      <c r="C366" s="1" t="n">
        <v>46029</v>
      </c>
      <c r="D366" t="inlineStr">
        <is>
          <t>JÄMTLANDS LÄN</t>
        </is>
      </c>
      <c r="E366" t="inlineStr">
        <is>
          <t>ÖSTERSUND</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34587-2025</t>
        </is>
      </c>
      <c r="B367" s="1" t="n">
        <v>45847.61533564814</v>
      </c>
      <c r="C367" s="1" t="n">
        <v>46029</v>
      </c>
      <c r="D367" t="inlineStr">
        <is>
          <t>JÄMTLANDS LÄN</t>
        </is>
      </c>
      <c r="E367" t="inlineStr">
        <is>
          <t>ÖSTERSUND</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42989-2025</t>
        </is>
      </c>
      <c r="B368" s="1" t="n">
        <v>45909.44971064815</v>
      </c>
      <c r="C368" s="1" t="n">
        <v>46029</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43225-2025</t>
        </is>
      </c>
      <c r="B369" s="1" t="n">
        <v>45910.4900462963</v>
      </c>
      <c r="C369" s="1" t="n">
        <v>46029</v>
      </c>
      <c r="D369" t="inlineStr">
        <is>
          <t>JÄMTLANDS LÄN</t>
        </is>
      </c>
      <c r="E369" t="inlineStr">
        <is>
          <t>ÖSTERSUND</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12821-2023</t>
        </is>
      </c>
      <c r="B370" s="1" t="n">
        <v>45000</v>
      </c>
      <c r="C370" s="1" t="n">
        <v>46029</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50088-2024</t>
        </is>
      </c>
      <c r="B371" s="1" t="n">
        <v>45600.38585648148</v>
      </c>
      <c r="C371" s="1" t="n">
        <v>46029</v>
      </c>
      <c r="D371" t="inlineStr">
        <is>
          <t>JÄMTLANDS LÄN</t>
        </is>
      </c>
      <c r="E371" t="inlineStr">
        <is>
          <t>ÖSTERSUND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25228-2025</t>
        </is>
      </c>
      <c r="B372" s="1" t="n">
        <v>45800.48368055555</v>
      </c>
      <c r="C372" s="1" t="n">
        <v>46029</v>
      </c>
      <c r="D372" t="inlineStr">
        <is>
          <t>JÄMTLANDS LÄN</t>
        </is>
      </c>
      <c r="E372" t="inlineStr">
        <is>
          <t>ÖSTERSUND</t>
        </is>
      </c>
      <c r="G372" t="n">
        <v>1.6</v>
      </c>
      <c r="H372" t="n">
        <v>0</v>
      </c>
      <c r="I372" t="n">
        <v>0</v>
      </c>
      <c r="J372" t="n">
        <v>0</v>
      </c>
      <c r="K372" t="n">
        <v>0</v>
      </c>
      <c r="L372" t="n">
        <v>0</v>
      </c>
      <c r="M372" t="n">
        <v>0</v>
      </c>
      <c r="N372" t="n">
        <v>0</v>
      </c>
      <c r="O372" t="n">
        <v>0</v>
      </c>
      <c r="P372" t="n">
        <v>0</v>
      </c>
      <c r="Q372" t="n">
        <v>0</v>
      </c>
      <c r="R372" s="2" t="inlineStr"/>
    </row>
    <row r="373" ht="15" customHeight="1">
      <c r="A373" t="inlineStr">
        <is>
          <t>A 34923-2025</t>
        </is>
      </c>
      <c r="B373" s="1" t="n">
        <v>45849.55601851852</v>
      </c>
      <c r="C373" s="1" t="n">
        <v>46029</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36098-2025</t>
        </is>
      </c>
      <c r="B374" s="1" t="n">
        <v>45866.50549768518</v>
      </c>
      <c r="C374" s="1" t="n">
        <v>46029</v>
      </c>
      <c r="D374" t="inlineStr">
        <is>
          <t>JÄMTLANDS LÄN</t>
        </is>
      </c>
      <c r="E374" t="inlineStr">
        <is>
          <t>ÖSTERSUND</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24786-2024</t>
        </is>
      </c>
      <c r="B375" s="1" t="n">
        <v>45460.81277777778</v>
      </c>
      <c r="C375" s="1" t="n">
        <v>46029</v>
      </c>
      <c r="D375" t="inlineStr">
        <is>
          <t>JÄMTLANDS LÄN</t>
        </is>
      </c>
      <c r="E375" t="inlineStr">
        <is>
          <t>ÖSTERSUND</t>
        </is>
      </c>
      <c r="G375" t="n">
        <v>0.1</v>
      </c>
      <c r="H375" t="n">
        <v>0</v>
      </c>
      <c r="I375" t="n">
        <v>0</v>
      </c>
      <c r="J375" t="n">
        <v>0</v>
      </c>
      <c r="K375" t="n">
        <v>0</v>
      </c>
      <c r="L375" t="n">
        <v>0</v>
      </c>
      <c r="M375" t="n">
        <v>0</v>
      </c>
      <c r="N375" t="n">
        <v>0</v>
      </c>
      <c r="O375" t="n">
        <v>0</v>
      </c>
      <c r="P375" t="n">
        <v>0</v>
      </c>
      <c r="Q375" t="n">
        <v>0</v>
      </c>
      <c r="R375" s="2" t="inlineStr"/>
    </row>
    <row r="376" ht="15" customHeight="1">
      <c r="A376" t="inlineStr">
        <is>
          <t>A 26586-2025</t>
        </is>
      </c>
      <c r="B376" s="1" t="n">
        <v>45807.74140046296</v>
      </c>
      <c r="C376" s="1" t="n">
        <v>46029</v>
      </c>
      <c r="D376" t="inlineStr">
        <is>
          <t>JÄMTLANDS LÄN</t>
        </is>
      </c>
      <c r="E376" t="inlineStr">
        <is>
          <t>ÖSTERSUND</t>
        </is>
      </c>
      <c r="G376" t="n">
        <v>2.1</v>
      </c>
      <c r="H376" t="n">
        <v>0</v>
      </c>
      <c r="I376" t="n">
        <v>0</v>
      </c>
      <c r="J376" t="n">
        <v>0</v>
      </c>
      <c r="K376" t="n">
        <v>0</v>
      </c>
      <c r="L376" t="n">
        <v>0</v>
      </c>
      <c r="M376" t="n">
        <v>0</v>
      </c>
      <c r="N376" t="n">
        <v>0</v>
      </c>
      <c r="O376" t="n">
        <v>0</v>
      </c>
      <c r="P376" t="n">
        <v>0</v>
      </c>
      <c r="Q376" t="n">
        <v>0</v>
      </c>
      <c r="R376" s="2" t="inlineStr"/>
    </row>
    <row r="377" ht="15" customHeight="1">
      <c r="A377" t="inlineStr">
        <is>
          <t>A 36211-2025</t>
        </is>
      </c>
      <c r="B377" s="1" t="n">
        <v>45867.46946759259</v>
      </c>
      <c r="C377" s="1" t="n">
        <v>46029</v>
      </c>
      <c r="D377" t="inlineStr">
        <is>
          <t>JÄMTLANDS LÄN</t>
        </is>
      </c>
      <c r="E377" t="inlineStr">
        <is>
          <t>ÖSTERSUND</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13024-2022</t>
        </is>
      </c>
      <c r="B378" s="1" t="n">
        <v>44643</v>
      </c>
      <c r="C378" s="1" t="n">
        <v>46029</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43411-2025</t>
        </is>
      </c>
      <c r="B379" s="1" t="n">
        <v>45911.40074074074</v>
      </c>
      <c r="C379" s="1" t="n">
        <v>46029</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43548-2025</t>
        </is>
      </c>
      <c r="B380" s="1" t="n">
        <v>45911.61579861111</v>
      </c>
      <c r="C380" s="1" t="n">
        <v>46029</v>
      </c>
      <c r="D380" t="inlineStr">
        <is>
          <t>JÄMTLANDS LÄN</t>
        </is>
      </c>
      <c r="E380" t="inlineStr">
        <is>
          <t>ÖSTERSUND</t>
        </is>
      </c>
      <c r="F380" t="inlineStr">
        <is>
          <t>SCA</t>
        </is>
      </c>
      <c r="G380" t="n">
        <v>17.3</v>
      </c>
      <c r="H380" t="n">
        <v>0</v>
      </c>
      <c r="I380" t="n">
        <v>0</v>
      </c>
      <c r="J380" t="n">
        <v>0</v>
      </c>
      <c r="K380" t="n">
        <v>0</v>
      </c>
      <c r="L380" t="n">
        <v>0</v>
      </c>
      <c r="M380" t="n">
        <v>0</v>
      </c>
      <c r="N380" t="n">
        <v>0</v>
      </c>
      <c r="O380" t="n">
        <v>0</v>
      </c>
      <c r="P380" t="n">
        <v>0</v>
      </c>
      <c r="Q380" t="n">
        <v>0</v>
      </c>
      <c r="R380" s="2" t="inlineStr"/>
    </row>
    <row r="381" ht="15" customHeight="1">
      <c r="A381" t="inlineStr">
        <is>
          <t>A 36566-2025</t>
        </is>
      </c>
      <c r="B381" s="1" t="n">
        <v>45869</v>
      </c>
      <c r="C381" s="1" t="n">
        <v>46029</v>
      </c>
      <c r="D381" t="inlineStr">
        <is>
          <t>JÄMTLANDS LÄN</t>
        </is>
      </c>
      <c r="E381" t="inlineStr">
        <is>
          <t>ÖSTERSUND</t>
        </is>
      </c>
      <c r="F381" t="inlineStr">
        <is>
          <t>Sveaskog</t>
        </is>
      </c>
      <c r="G381" t="n">
        <v>6.9</v>
      </c>
      <c r="H381" t="n">
        <v>0</v>
      </c>
      <c r="I381" t="n">
        <v>0</v>
      </c>
      <c r="J381" t="n">
        <v>0</v>
      </c>
      <c r="K381" t="n">
        <v>0</v>
      </c>
      <c r="L381" t="n">
        <v>0</v>
      </c>
      <c r="M381" t="n">
        <v>0</v>
      </c>
      <c r="N381" t="n">
        <v>0</v>
      </c>
      <c r="O381" t="n">
        <v>0</v>
      </c>
      <c r="P381" t="n">
        <v>0</v>
      </c>
      <c r="Q381" t="n">
        <v>0</v>
      </c>
      <c r="R381" s="2" t="inlineStr"/>
    </row>
    <row r="382" ht="15" customHeight="1">
      <c r="A382" t="inlineStr">
        <is>
          <t>A 43519-2025</t>
        </is>
      </c>
      <c r="B382" s="1" t="n">
        <v>45911.57349537037</v>
      </c>
      <c r="C382" s="1" t="n">
        <v>46029</v>
      </c>
      <c r="D382" t="inlineStr">
        <is>
          <t>JÄMTLANDS LÄN</t>
        </is>
      </c>
      <c r="E382" t="inlineStr">
        <is>
          <t>ÖSTERSUND</t>
        </is>
      </c>
      <c r="F382" t="inlineStr">
        <is>
          <t>SCA</t>
        </is>
      </c>
      <c r="G382" t="n">
        <v>14.4</v>
      </c>
      <c r="H382" t="n">
        <v>0</v>
      </c>
      <c r="I382" t="n">
        <v>0</v>
      </c>
      <c r="J382" t="n">
        <v>0</v>
      </c>
      <c r="K382" t="n">
        <v>0</v>
      </c>
      <c r="L382" t="n">
        <v>0</v>
      </c>
      <c r="M382" t="n">
        <v>0</v>
      </c>
      <c r="N382" t="n">
        <v>0</v>
      </c>
      <c r="O382" t="n">
        <v>0</v>
      </c>
      <c r="P382" t="n">
        <v>0</v>
      </c>
      <c r="Q382" t="n">
        <v>0</v>
      </c>
      <c r="R382" s="2" t="inlineStr"/>
    </row>
    <row r="383" ht="15" customHeight="1">
      <c r="A383" t="inlineStr">
        <is>
          <t>A 29128-2022</t>
        </is>
      </c>
      <c r="B383" s="1" t="n">
        <v>44750</v>
      </c>
      <c r="C383" s="1" t="n">
        <v>46029</v>
      </c>
      <c r="D383" t="inlineStr">
        <is>
          <t>JÄMTLANDS LÄN</t>
        </is>
      </c>
      <c r="E383" t="inlineStr">
        <is>
          <t>ÖSTERSUND</t>
        </is>
      </c>
      <c r="G383" t="n">
        <v>3</v>
      </c>
      <c r="H383" t="n">
        <v>0</v>
      </c>
      <c r="I383" t="n">
        <v>0</v>
      </c>
      <c r="J383" t="n">
        <v>0</v>
      </c>
      <c r="K383" t="n">
        <v>0</v>
      </c>
      <c r="L383" t="n">
        <v>0</v>
      </c>
      <c r="M383" t="n">
        <v>0</v>
      </c>
      <c r="N383" t="n">
        <v>0</v>
      </c>
      <c r="O383" t="n">
        <v>0</v>
      </c>
      <c r="P383" t="n">
        <v>0</v>
      </c>
      <c r="Q383" t="n">
        <v>0</v>
      </c>
      <c r="R383" s="2" t="inlineStr"/>
    </row>
    <row r="384" ht="15" customHeight="1">
      <c r="A384" t="inlineStr">
        <is>
          <t>A 24312-2021</t>
        </is>
      </c>
      <c r="B384" s="1" t="n">
        <v>44336</v>
      </c>
      <c r="C384" s="1" t="n">
        <v>46029</v>
      </c>
      <c r="D384" t="inlineStr">
        <is>
          <t>JÄMTLANDS LÄN</t>
        </is>
      </c>
      <c r="E384" t="inlineStr">
        <is>
          <t>ÖSTERSUND</t>
        </is>
      </c>
      <c r="G384" t="n">
        <v>10.6</v>
      </c>
      <c r="H384" t="n">
        <v>0</v>
      </c>
      <c r="I384" t="n">
        <v>0</v>
      </c>
      <c r="J384" t="n">
        <v>0</v>
      </c>
      <c r="K384" t="n">
        <v>0</v>
      </c>
      <c r="L384" t="n">
        <v>0</v>
      </c>
      <c r="M384" t="n">
        <v>0</v>
      </c>
      <c r="N384" t="n">
        <v>0</v>
      </c>
      <c r="O384" t="n">
        <v>0</v>
      </c>
      <c r="P384" t="n">
        <v>0</v>
      </c>
      <c r="Q384" t="n">
        <v>0</v>
      </c>
      <c r="R384" s="2" t="inlineStr"/>
    </row>
    <row r="385" ht="15" customHeight="1">
      <c r="A385" t="inlineStr">
        <is>
          <t>A 15659-2021</t>
        </is>
      </c>
      <c r="B385" s="1" t="n">
        <v>44298</v>
      </c>
      <c r="C385" s="1" t="n">
        <v>46029</v>
      </c>
      <c r="D385" t="inlineStr">
        <is>
          <t>JÄMTLANDS LÄN</t>
        </is>
      </c>
      <c r="E385" t="inlineStr">
        <is>
          <t>ÖSTERSUND</t>
        </is>
      </c>
      <c r="G385" t="n">
        <v>13.3</v>
      </c>
      <c r="H385" t="n">
        <v>0</v>
      </c>
      <c r="I385" t="n">
        <v>0</v>
      </c>
      <c r="J385" t="n">
        <v>0</v>
      </c>
      <c r="K385" t="n">
        <v>0</v>
      </c>
      <c r="L385" t="n">
        <v>0</v>
      </c>
      <c r="M385" t="n">
        <v>0</v>
      </c>
      <c r="N385" t="n">
        <v>0</v>
      </c>
      <c r="O385" t="n">
        <v>0</v>
      </c>
      <c r="P385" t="n">
        <v>0</v>
      </c>
      <c r="Q385" t="n">
        <v>0</v>
      </c>
      <c r="R385" s="2" t="inlineStr"/>
    </row>
    <row r="386" ht="15" customHeight="1">
      <c r="A386" t="inlineStr">
        <is>
          <t>A 44446-2025</t>
        </is>
      </c>
      <c r="B386" s="1" t="n">
        <v>45916.59773148148</v>
      </c>
      <c r="C386" s="1" t="n">
        <v>46029</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44429-2025</t>
        </is>
      </c>
      <c r="B387" s="1" t="n">
        <v>45916.57010416667</v>
      </c>
      <c r="C387" s="1" t="n">
        <v>46029</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5341-2025</t>
        </is>
      </c>
      <c r="B388" s="1" t="n">
        <v>45692.55256944444</v>
      </c>
      <c r="C388" s="1" t="n">
        <v>46029</v>
      </c>
      <c r="D388" t="inlineStr">
        <is>
          <t>JÄMTLANDS LÄN</t>
        </is>
      </c>
      <c r="E388" t="inlineStr">
        <is>
          <t>ÖSTERSUND</t>
        </is>
      </c>
      <c r="G388" t="n">
        <v>2.6</v>
      </c>
      <c r="H388" t="n">
        <v>0</v>
      </c>
      <c r="I388" t="n">
        <v>0</v>
      </c>
      <c r="J388" t="n">
        <v>0</v>
      </c>
      <c r="K388" t="n">
        <v>0</v>
      </c>
      <c r="L388" t="n">
        <v>0</v>
      </c>
      <c r="M388" t="n">
        <v>0</v>
      </c>
      <c r="N388" t="n">
        <v>0</v>
      </c>
      <c r="O388" t="n">
        <v>0</v>
      </c>
      <c r="P388" t="n">
        <v>0</v>
      </c>
      <c r="Q388" t="n">
        <v>0</v>
      </c>
      <c r="R388" s="2" t="inlineStr"/>
    </row>
    <row r="389" ht="15" customHeight="1">
      <c r="A389" t="inlineStr">
        <is>
          <t>A 37085-2025</t>
        </is>
      </c>
      <c r="B389" s="1" t="n">
        <v>45875.44840277778</v>
      </c>
      <c r="C389" s="1" t="n">
        <v>46029</v>
      </c>
      <c r="D389" t="inlineStr">
        <is>
          <t>JÄMTLANDS LÄN</t>
        </is>
      </c>
      <c r="E389" t="inlineStr">
        <is>
          <t>ÖSTERSUND</t>
        </is>
      </c>
      <c r="G389" t="n">
        <v>5.5</v>
      </c>
      <c r="H389" t="n">
        <v>0</v>
      </c>
      <c r="I389" t="n">
        <v>0</v>
      </c>
      <c r="J389" t="n">
        <v>0</v>
      </c>
      <c r="K389" t="n">
        <v>0</v>
      </c>
      <c r="L389" t="n">
        <v>0</v>
      </c>
      <c r="M389" t="n">
        <v>0</v>
      </c>
      <c r="N389" t="n">
        <v>0</v>
      </c>
      <c r="O389" t="n">
        <v>0</v>
      </c>
      <c r="P389" t="n">
        <v>0</v>
      </c>
      <c r="Q389" t="n">
        <v>0</v>
      </c>
      <c r="R389" s="2" t="inlineStr"/>
    </row>
    <row r="390" ht="15" customHeight="1">
      <c r="A390" t="inlineStr">
        <is>
          <t>A 1255-2025</t>
        </is>
      </c>
      <c r="B390" s="1" t="n">
        <v>45667.46922453704</v>
      </c>
      <c r="C390" s="1" t="n">
        <v>46029</v>
      </c>
      <c r="D390" t="inlineStr">
        <is>
          <t>JÄMTLANDS LÄN</t>
        </is>
      </c>
      <c r="E390" t="inlineStr">
        <is>
          <t>ÖSTERSUND</t>
        </is>
      </c>
      <c r="F390" t="inlineStr">
        <is>
          <t>SCA</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5549-2025</t>
        </is>
      </c>
      <c r="B391" s="1" t="n">
        <v>45693</v>
      </c>
      <c r="C391" s="1" t="n">
        <v>46029</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46029</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10756-2025</t>
        </is>
      </c>
      <c r="B393" s="1" t="n">
        <v>45722.44892361111</v>
      </c>
      <c r="C393" s="1" t="n">
        <v>46029</v>
      </c>
      <c r="D393" t="inlineStr">
        <is>
          <t>JÄMTLANDS LÄN</t>
        </is>
      </c>
      <c r="E393" t="inlineStr">
        <is>
          <t>ÖSTERSUND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9971-2025</t>
        </is>
      </c>
      <c r="B394" s="1" t="n">
        <v>45719.38630787037</v>
      </c>
      <c r="C394" s="1" t="n">
        <v>46029</v>
      </c>
      <c r="D394" t="inlineStr">
        <is>
          <t>JÄMTLANDS LÄN</t>
        </is>
      </c>
      <c r="E394" t="inlineStr">
        <is>
          <t>ÖSTERSUND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45391-2025</t>
        </is>
      </c>
      <c r="B395" s="1" t="n">
        <v>45922.4077662037</v>
      </c>
      <c r="C395" s="1" t="n">
        <v>46029</v>
      </c>
      <c r="D395" t="inlineStr">
        <is>
          <t>JÄMTLANDS LÄN</t>
        </is>
      </c>
      <c r="E395" t="inlineStr">
        <is>
          <t>ÖSTERSUND</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45389-2025</t>
        </is>
      </c>
      <c r="B396" s="1" t="n">
        <v>45922.4075</v>
      </c>
      <c r="C396" s="1" t="n">
        <v>46029</v>
      </c>
      <c r="D396" t="inlineStr">
        <is>
          <t>JÄMTLANDS LÄN</t>
        </is>
      </c>
      <c r="E396" t="inlineStr">
        <is>
          <t>ÖSTERSUND</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45558-2025</t>
        </is>
      </c>
      <c r="B397" s="1" t="n">
        <v>45922</v>
      </c>
      <c r="C397" s="1" t="n">
        <v>46029</v>
      </c>
      <c r="D397" t="inlineStr">
        <is>
          <t>JÄMTLANDS LÄN</t>
        </is>
      </c>
      <c r="E397" t="inlineStr">
        <is>
          <t>ÖSTERSUND</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45297-2025</t>
        </is>
      </c>
      <c r="B398" s="1" t="n">
        <v>45920.8446412037</v>
      </c>
      <c r="C398" s="1" t="n">
        <v>46029</v>
      </c>
      <c r="D398" t="inlineStr">
        <is>
          <t>JÄMTLANDS LÄN</t>
        </is>
      </c>
      <c r="E398" t="inlineStr">
        <is>
          <t>ÖSTERSUND</t>
        </is>
      </c>
      <c r="G398" t="n">
        <v>1.8</v>
      </c>
      <c r="H398" t="n">
        <v>0</v>
      </c>
      <c r="I398" t="n">
        <v>0</v>
      </c>
      <c r="J398" t="n">
        <v>0</v>
      </c>
      <c r="K398" t="n">
        <v>0</v>
      </c>
      <c r="L398" t="n">
        <v>0</v>
      </c>
      <c r="M398" t="n">
        <v>0</v>
      </c>
      <c r="N398" t="n">
        <v>0</v>
      </c>
      <c r="O398" t="n">
        <v>0</v>
      </c>
      <c r="P398" t="n">
        <v>0</v>
      </c>
      <c r="Q398" t="n">
        <v>0</v>
      </c>
      <c r="R398" s="2" t="inlineStr"/>
    </row>
    <row r="399" ht="15" customHeight="1">
      <c r="A399" t="inlineStr">
        <is>
          <t>A 45386-2025</t>
        </is>
      </c>
      <c r="B399" s="1" t="n">
        <v>45922.40697916667</v>
      </c>
      <c r="C399" s="1" t="n">
        <v>46029</v>
      </c>
      <c r="D399" t="inlineStr">
        <is>
          <t>JÄMTLANDS LÄN</t>
        </is>
      </c>
      <c r="E399" t="inlineStr">
        <is>
          <t>ÖSTERSUND</t>
        </is>
      </c>
      <c r="F399" t="inlineStr">
        <is>
          <t>SCA</t>
        </is>
      </c>
      <c r="G399" t="n">
        <v>3.5</v>
      </c>
      <c r="H399" t="n">
        <v>0</v>
      </c>
      <c r="I399" t="n">
        <v>0</v>
      </c>
      <c r="J399" t="n">
        <v>0</v>
      </c>
      <c r="K399" t="n">
        <v>0</v>
      </c>
      <c r="L399" t="n">
        <v>0</v>
      </c>
      <c r="M399" t="n">
        <v>0</v>
      </c>
      <c r="N399" t="n">
        <v>0</v>
      </c>
      <c r="O399" t="n">
        <v>0</v>
      </c>
      <c r="P399" t="n">
        <v>0</v>
      </c>
      <c r="Q399" t="n">
        <v>0</v>
      </c>
      <c r="R399" s="2" t="inlineStr"/>
    </row>
    <row r="400" ht="15" customHeight="1">
      <c r="A400" t="inlineStr">
        <is>
          <t>A 45388-2025</t>
        </is>
      </c>
      <c r="B400" s="1" t="n">
        <v>45922.4074537037</v>
      </c>
      <c r="C400" s="1" t="n">
        <v>46029</v>
      </c>
      <c r="D400" t="inlineStr">
        <is>
          <t>JÄMTLANDS LÄN</t>
        </is>
      </c>
      <c r="E400" t="inlineStr">
        <is>
          <t>ÖSTERSUND</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45385-2025</t>
        </is>
      </c>
      <c r="B401" s="1" t="n">
        <v>45922.40680555555</v>
      </c>
      <c r="C401" s="1" t="n">
        <v>46029</v>
      </c>
      <c r="D401" t="inlineStr">
        <is>
          <t>JÄMTLANDS LÄN</t>
        </is>
      </c>
      <c r="E401" t="inlineStr">
        <is>
          <t>ÖSTERSUND</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45481-2025</t>
        </is>
      </c>
      <c r="B402" s="1" t="n">
        <v>45922.53217592592</v>
      </c>
      <c r="C402" s="1" t="n">
        <v>46029</v>
      </c>
      <c r="D402" t="inlineStr">
        <is>
          <t>JÄMTLANDS LÄN</t>
        </is>
      </c>
      <c r="E402" t="inlineStr">
        <is>
          <t>ÖSTERSUND</t>
        </is>
      </c>
      <c r="G402" t="n">
        <v>3</v>
      </c>
      <c r="H402" t="n">
        <v>0</v>
      </c>
      <c r="I402" t="n">
        <v>0</v>
      </c>
      <c r="J402" t="n">
        <v>0</v>
      </c>
      <c r="K402" t="n">
        <v>0</v>
      </c>
      <c r="L402" t="n">
        <v>0</v>
      </c>
      <c r="M402" t="n">
        <v>0</v>
      </c>
      <c r="N402" t="n">
        <v>0</v>
      </c>
      <c r="O402" t="n">
        <v>0</v>
      </c>
      <c r="P402" t="n">
        <v>0</v>
      </c>
      <c r="Q402" t="n">
        <v>0</v>
      </c>
      <c r="R402" s="2" t="inlineStr"/>
    </row>
    <row r="403" ht="15" customHeight="1">
      <c r="A403" t="inlineStr">
        <is>
          <t>A 46152-2025</t>
        </is>
      </c>
      <c r="B403" s="1" t="n">
        <v>45924.61512731481</v>
      </c>
      <c r="C403" s="1" t="n">
        <v>46029</v>
      </c>
      <c r="D403" t="inlineStr">
        <is>
          <t>JÄMTLANDS LÄN</t>
        </is>
      </c>
      <c r="E403" t="inlineStr">
        <is>
          <t>ÖSTERSUND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46202-2025</t>
        </is>
      </c>
      <c r="B404" s="1" t="n">
        <v>45924.70346064815</v>
      </c>
      <c r="C404" s="1" t="n">
        <v>46029</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46132-2025</t>
        </is>
      </c>
      <c r="B405" s="1" t="n">
        <v>45924.59484953704</v>
      </c>
      <c r="C405" s="1" t="n">
        <v>46029</v>
      </c>
      <c r="D405" t="inlineStr">
        <is>
          <t>JÄMTLANDS LÄN</t>
        </is>
      </c>
      <c r="E405" t="inlineStr">
        <is>
          <t>ÖSTERSUND</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46748-2023</t>
        </is>
      </c>
      <c r="B406" s="1" t="n">
        <v>45198</v>
      </c>
      <c r="C406" s="1" t="n">
        <v>46029</v>
      </c>
      <c r="D406" t="inlineStr">
        <is>
          <t>JÄMTLANDS LÄN</t>
        </is>
      </c>
      <c r="E406" t="inlineStr">
        <is>
          <t>ÖSTERSUND</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46763-2023</t>
        </is>
      </c>
      <c r="B407" s="1" t="n">
        <v>45198</v>
      </c>
      <c r="C407" s="1" t="n">
        <v>46029</v>
      </c>
      <c r="D407" t="inlineStr">
        <is>
          <t>JÄMTLANDS LÄN</t>
        </is>
      </c>
      <c r="E407" t="inlineStr">
        <is>
          <t>ÖSTERSUND</t>
        </is>
      </c>
      <c r="F407" t="inlineStr">
        <is>
          <t>Sveaskog</t>
        </is>
      </c>
      <c r="G407" t="n">
        <v>13.3</v>
      </c>
      <c r="H407" t="n">
        <v>0</v>
      </c>
      <c r="I407" t="n">
        <v>0</v>
      </c>
      <c r="J407" t="n">
        <v>0</v>
      </c>
      <c r="K407" t="n">
        <v>0</v>
      </c>
      <c r="L407" t="n">
        <v>0</v>
      </c>
      <c r="M407" t="n">
        <v>0</v>
      </c>
      <c r="N407" t="n">
        <v>0</v>
      </c>
      <c r="O407" t="n">
        <v>0</v>
      </c>
      <c r="P407" t="n">
        <v>0</v>
      </c>
      <c r="Q407" t="n">
        <v>0</v>
      </c>
      <c r="R407" s="2" t="inlineStr"/>
    </row>
    <row r="408" ht="15" customHeight="1">
      <c r="A408" t="inlineStr">
        <is>
          <t>A 57398-2023</t>
        </is>
      </c>
      <c r="B408" s="1" t="n">
        <v>45245</v>
      </c>
      <c r="C408" s="1" t="n">
        <v>46029</v>
      </c>
      <c r="D408" t="inlineStr">
        <is>
          <t>JÄMTLANDS LÄN</t>
        </is>
      </c>
      <c r="E408" t="inlineStr">
        <is>
          <t>ÖSTERSUND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5024-2025</t>
        </is>
      </c>
      <c r="B409" s="1" t="n">
        <v>45691.40832175926</v>
      </c>
      <c r="C409" s="1" t="n">
        <v>46029</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5025-2025</t>
        </is>
      </c>
      <c r="B410" s="1" t="n">
        <v>45691.40836805556</v>
      </c>
      <c r="C410" s="1" t="n">
        <v>46029</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46029</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7327-2023</t>
        </is>
      </c>
      <c r="B412" s="1" t="n">
        <v>44970.97871527778</v>
      </c>
      <c r="C412" s="1" t="n">
        <v>46029</v>
      </c>
      <c r="D412" t="inlineStr">
        <is>
          <t>JÄMTLANDS LÄN</t>
        </is>
      </c>
      <c r="E412" t="inlineStr">
        <is>
          <t>ÖSTERSUND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7022-2025</t>
        </is>
      </c>
      <c r="B413" s="1" t="n">
        <v>45701.61899305556</v>
      </c>
      <c r="C413" s="1" t="n">
        <v>46029</v>
      </c>
      <c r="D413" t="inlineStr">
        <is>
          <t>JÄMTLANDS LÄN</t>
        </is>
      </c>
      <c r="E413" t="inlineStr">
        <is>
          <t>ÖSTERSUND</t>
        </is>
      </c>
      <c r="G413" t="n">
        <v>4.8</v>
      </c>
      <c r="H413" t="n">
        <v>0</v>
      </c>
      <c r="I413" t="n">
        <v>0</v>
      </c>
      <c r="J413" t="n">
        <v>0</v>
      </c>
      <c r="K413" t="n">
        <v>0</v>
      </c>
      <c r="L413" t="n">
        <v>0</v>
      </c>
      <c r="M413" t="n">
        <v>0</v>
      </c>
      <c r="N413" t="n">
        <v>0</v>
      </c>
      <c r="O413" t="n">
        <v>0</v>
      </c>
      <c r="P413" t="n">
        <v>0</v>
      </c>
      <c r="Q413" t="n">
        <v>0</v>
      </c>
      <c r="R413" s="2" t="inlineStr"/>
    </row>
    <row r="414" ht="15" customHeight="1">
      <c r="A414" t="inlineStr">
        <is>
          <t>A 4311-2025</t>
        </is>
      </c>
      <c r="B414" s="1" t="n">
        <v>45685.69267361111</v>
      </c>
      <c r="C414" s="1" t="n">
        <v>46029</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8003-2025</t>
        </is>
      </c>
      <c r="B415" s="1" t="n">
        <v>45707</v>
      </c>
      <c r="C415" s="1" t="n">
        <v>46029</v>
      </c>
      <c r="D415" t="inlineStr">
        <is>
          <t>JÄMTLANDS LÄN</t>
        </is>
      </c>
      <c r="E415" t="inlineStr">
        <is>
          <t>ÖSTERSUND</t>
        </is>
      </c>
      <c r="F415" t="inlineStr">
        <is>
          <t>Övriga Aktiebolag</t>
        </is>
      </c>
      <c r="G415" t="n">
        <v>35.1</v>
      </c>
      <c r="H415" t="n">
        <v>0</v>
      </c>
      <c r="I415" t="n">
        <v>0</v>
      </c>
      <c r="J415" t="n">
        <v>0</v>
      </c>
      <c r="K415" t="n">
        <v>0</v>
      </c>
      <c r="L415" t="n">
        <v>0</v>
      </c>
      <c r="M415" t="n">
        <v>0</v>
      </c>
      <c r="N415" t="n">
        <v>0</v>
      </c>
      <c r="O415" t="n">
        <v>0</v>
      </c>
      <c r="P415" t="n">
        <v>0</v>
      </c>
      <c r="Q415" t="n">
        <v>0</v>
      </c>
      <c r="R415" s="2" t="inlineStr"/>
    </row>
    <row r="416" ht="15" customHeight="1">
      <c r="A416" t="inlineStr">
        <is>
          <t>A 38644-2021</t>
        </is>
      </c>
      <c r="B416" s="1" t="n">
        <v>44410.35376157407</v>
      </c>
      <c r="C416" s="1" t="n">
        <v>46029</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19581-2025</t>
        </is>
      </c>
      <c r="B417" s="1" t="n">
        <v>45770.56363425926</v>
      </c>
      <c r="C417" s="1" t="n">
        <v>46029</v>
      </c>
      <c r="D417" t="inlineStr">
        <is>
          <t>JÄMTLANDS LÄN</t>
        </is>
      </c>
      <c r="E417" t="inlineStr">
        <is>
          <t>ÖSTERSUND</t>
        </is>
      </c>
      <c r="G417" t="n">
        <v>17.2</v>
      </c>
      <c r="H417" t="n">
        <v>0</v>
      </c>
      <c r="I417" t="n">
        <v>0</v>
      </c>
      <c r="J417" t="n">
        <v>0</v>
      </c>
      <c r="K417" t="n">
        <v>0</v>
      </c>
      <c r="L417" t="n">
        <v>0</v>
      </c>
      <c r="M417" t="n">
        <v>0</v>
      </c>
      <c r="N417" t="n">
        <v>0</v>
      </c>
      <c r="O417" t="n">
        <v>0</v>
      </c>
      <c r="P417" t="n">
        <v>0</v>
      </c>
      <c r="Q417" t="n">
        <v>0</v>
      </c>
      <c r="R417" s="2" t="inlineStr"/>
    </row>
    <row r="418" ht="15" customHeight="1">
      <c r="A418" t="inlineStr">
        <is>
          <t>A 62111-2024</t>
        </is>
      </c>
      <c r="B418" s="1" t="n">
        <v>45656.53215277778</v>
      </c>
      <c r="C418" s="1" t="n">
        <v>46029</v>
      </c>
      <c r="D418" t="inlineStr">
        <is>
          <t>JÄMTLANDS LÄN</t>
        </is>
      </c>
      <c r="E418" t="inlineStr">
        <is>
          <t>ÖSTERSUND</t>
        </is>
      </c>
      <c r="G418" t="n">
        <v>3.4</v>
      </c>
      <c r="H418" t="n">
        <v>0</v>
      </c>
      <c r="I418" t="n">
        <v>0</v>
      </c>
      <c r="J418" t="n">
        <v>0</v>
      </c>
      <c r="K418" t="n">
        <v>0</v>
      </c>
      <c r="L418" t="n">
        <v>0</v>
      </c>
      <c r="M418" t="n">
        <v>0</v>
      </c>
      <c r="N418" t="n">
        <v>0</v>
      </c>
      <c r="O418" t="n">
        <v>0</v>
      </c>
      <c r="P418" t="n">
        <v>0</v>
      </c>
      <c r="Q418" t="n">
        <v>0</v>
      </c>
      <c r="R418" s="2" t="inlineStr"/>
    </row>
    <row r="419" ht="15" customHeight="1">
      <c r="A419" t="inlineStr">
        <is>
          <t>A 22082-2022</t>
        </is>
      </c>
      <c r="B419" s="1" t="n">
        <v>44711.9403587963</v>
      </c>
      <c r="C419" s="1" t="n">
        <v>46029</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41802-2021</t>
        </is>
      </c>
      <c r="B420" s="1" t="n">
        <v>44425</v>
      </c>
      <c r="C420" s="1" t="n">
        <v>46029</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47575-2025</t>
        </is>
      </c>
      <c r="B421" s="1" t="n">
        <v>45931.40100694444</v>
      </c>
      <c r="C421" s="1" t="n">
        <v>46029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7953-2025</t>
        </is>
      </c>
      <c r="B422" s="1" t="n">
        <v>45707.42392361111</v>
      </c>
      <c r="C422" s="1" t="n">
        <v>46029</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47805-2024</t>
        </is>
      </c>
      <c r="B423" s="1" t="n">
        <v>45588.61512731481</v>
      </c>
      <c r="C423" s="1" t="n">
        <v>46029</v>
      </c>
      <c r="D423" t="inlineStr">
        <is>
          <t>JÄMTLANDS LÄN</t>
        </is>
      </c>
      <c r="E423" t="inlineStr">
        <is>
          <t>ÖSTERSUND</t>
        </is>
      </c>
      <c r="G423" t="n">
        <v>7.4</v>
      </c>
      <c r="H423" t="n">
        <v>0</v>
      </c>
      <c r="I423" t="n">
        <v>0</v>
      </c>
      <c r="J423" t="n">
        <v>0</v>
      </c>
      <c r="K423" t="n">
        <v>0</v>
      </c>
      <c r="L423" t="n">
        <v>0</v>
      </c>
      <c r="M423" t="n">
        <v>0</v>
      </c>
      <c r="N423" t="n">
        <v>0</v>
      </c>
      <c r="O423" t="n">
        <v>0</v>
      </c>
      <c r="P423" t="n">
        <v>0</v>
      </c>
      <c r="Q423" t="n">
        <v>0</v>
      </c>
      <c r="R423" s="2" t="inlineStr"/>
    </row>
    <row r="424" ht="15" customHeight="1">
      <c r="A424" t="inlineStr">
        <is>
          <t>A 13738-2025</t>
        </is>
      </c>
      <c r="B424" s="1" t="n">
        <v>45737.40131944444</v>
      </c>
      <c r="C424" s="1" t="n">
        <v>46029</v>
      </c>
      <c r="D424" t="inlineStr">
        <is>
          <t>JÄMTLANDS LÄN</t>
        </is>
      </c>
      <c r="E424" t="inlineStr">
        <is>
          <t>ÖSTERSUND</t>
        </is>
      </c>
      <c r="G424" t="n">
        <v>15</v>
      </c>
      <c r="H424" t="n">
        <v>0</v>
      </c>
      <c r="I424" t="n">
        <v>0</v>
      </c>
      <c r="J424" t="n">
        <v>0</v>
      </c>
      <c r="K424" t="n">
        <v>0</v>
      </c>
      <c r="L424" t="n">
        <v>0</v>
      </c>
      <c r="M424" t="n">
        <v>0</v>
      </c>
      <c r="N424" t="n">
        <v>0</v>
      </c>
      <c r="O424" t="n">
        <v>0</v>
      </c>
      <c r="P424" t="n">
        <v>0</v>
      </c>
      <c r="Q424" t="n">
        <v>0</v>
      </c>
      <c r="R424" s="2" t="inlineStr"/>
    </row>
    <row r="425" ht="15" customHeight="1">
      <c r="A425" t="inlineStr">
        <is>
          <t>A 55365-2024</t>
        </is>
      </c>
      <c r="B425" s="1" t="n">
        <v>45621.86827546296</v>
      </c>
      <c r="C425" s="1" t="n">
        <v>46029</v>
      </c>
      <c r="D425" t="inlineStr">
        <is>
          <t>JÄMTLANDS LÄN</t>
        </is>
      </c>
      <c r="E425" t="inlineStr">
        <is>
          <t>ÖSTERSUND</t>
        </is>
      </c>
      <c r="G425" t="n">
        <v>1.6</v>
      </c>
      <c r="H425" t="n">
        <v>0</v>
      </c>
      <c r="I425" t="n">
        <v>0</v>
      </c>
      <c r="J425" t="n">
        <v>0</v>
      </c>
      <c r="K425" t="n">
        <v>0</v>
      </c>
      <c r="L425" t="n">
        <v>0</v>
      </c>
      <c r="M425" t="n">
        <v>0</v>
      </c>
      <c r="N425" t="n">
        <v>0</v>
      </c>
      <c r="O425" t="n">
        <v>0</v>
      </c>
      <c r="P425" t="n">
        <v>0</v>
      </c>
      <c r="Q425" t="n">
        <v>0</v>
      </c>
      <c r="R425" s="2" t="inlineStr"/>
    </row>
    <row r="426" ht="15" customHeight="1">
      <c r="A426" t="inlineStr">
        <is>
          <t>A 26373-2025</t>
        </is>
      </c>
      <c r="B426" s="1" t="n">
        <v>45806.40677083333</v>
      </c>
      <c r="C426" s="1" t="n">
        <v>46029</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2763-2022</t>
        </is>
      </c>
      <c r="B427" s="1" t="n">
        <v>44580</v>
      </c>
      <c r="C427" s="1" t="n">
        <v>46029</v>
      </c>
      <c r="D427" t="inlineStr">
        <is>
          <t>JÄMTLANDS LÄN</t>
        </is>
      </c>
      <c r="E427" t="inlineStr">
        <is>
          <t>ÖSTERSUND</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60349-2024</t>
        </is>
      </c>
      <c r="B428" s="1" t="n">
        <v>45643.42986111111</v>
      </c>
      <c r="C428" s="1" t="n">
        <v>46029</v>
      </c>
      <c r="D428" t="inlineStr">
        <is>
          <t>JÄMTLANDS LÄN</t>
        </is>
      </c>
      <c r="E428" t="inlineStr">
        <is>
          <t>ÖSTERSUND</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47563-2025</t>
        </is>
      </c>
      <c r="B429" s="1" t="n">
        <v>45931.38956018518</v>
      </c>
      <c r="C429" s="1" t="n">
        <v>46029</v>
      </c>
      <c r="D429" t="inlineStr">
        <is>
          <t>JÄMTLANDS LÄN</t>
        </is>
      </c>
      <c r="E429" t="inlineStr">
        <is>
          <t>ÖSTERSUND</t>
        </is>
      </c>
      <c r="G429" t="n">
        <v>2.3</v>
      </c>
      <c r="H429" t="n">
        <v>0</v>
      </c>
      <c r="I429" t="n">
        <v>0</v>
      </c>
      <c r="J429" t="n">
        <v>0</v>
      </c>
      <c r="K429" t="n">
        <v>0</v>
      </c>
      <c r="L429" t="n">
        <v>0</v>
      </c>
      <c r="M429" t="n">
        <v>0</v>
      </c>
      <c r="N429" t="n">
        <v>0</v>
      </c>
      <c r="O429" t="n">
        <v>0</v>
      </c>
      <c r="P429" t="n">
        <v>0</v>
      </c>
      <c r="Q429" t="n">
        <v>0</v>
      </c>
      <c r="R429" s="2" t="inlineStr"/>
    </row>
    <row r="430" ht="15" customHeight="1">
      <c r="A430" t="inlineStr">
        <is>
          <t>A 19664-2025</t>
        </is>
      </c>
      <c r="B430" s="1" t="n">
        <v>45770.6925462963</v>
      </c>
      <c r="C430" s="1" t="n">
        <v>46029</v>
      </c>
      <c r="D430" t="inlineStr">
        <is>
          <t>JÄMTLANDS LÄN</t>
        </is>
      </c>
      <c r="E430" t="inlineStr">
        <is>
          <t>ÖSTERSUND</t>
        </is>
      </c>
      <c r="G430" t="n">
        <v>8.6</v>
      </c>
      <c r="H430" t="n">
        <v>0</v>
      </c>
      <c r="I430" t="n">
        <v>0</v>
      </c>
      <c r="J430" t="n">
        <v>0</v>
      </c>
      <c r="K430" t="n">
        <v>0</v>
      </c>
      <c r="L430" t="n">
        <v>0</v>
      </c>
      <c r="M430" t="n">
        <v>0</v>
      </c>
      <c r="N430" t="n">
        <v>0</v>
      </c>
      <c r="O430" t="n">
        <v>0</v>
      </c>
      <c r="P430" t="n">
        <v>0</v>
      </c>
      <c r="Q430" t="n">
        <v>0</v>
      </c>
      <c r="R430" s="2" t="inlineStr"/>
    </row>
    <row r="431" ht="15" customHeight="1">
      <c r="A431" t="inlineStr">
        <is>
          <t>A 47759-2025</t>
        </is>
      </c>
      <c r="B431" s="1" t="n">
        <v>45931.67381944445</v>
      </c>
      <c r="C431" s="1" t="n">
        <v>46029</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46732-2024</t>
        </is>
      </c>
      <c r="B432" s="1" t="n">
        <v>45583.46936342592</v>
      </c>
      <c r="C432" s="1" t="n">
        <v>46029</v>
      </c>
      <c r="D432" t="inlineStr">
        <is>
          <t>JÄMTLANDS LÄN</t>
        </is>
      </c>
      <c r="E432" t="inlineStr">
        <is>
          <t>ÖSTERSUND</t>
        </is>
      </c>
      <c r="G432" t="n">
        <v>3.3</v>
      </c>
      <c r="H432" t="n">
        <v>0</v>
      </c>
      <c r="I432" t="n">
        <v>0</v>
      </c>
      <c r="J432" t="n">
        <v>0</v>
      </c>
      <c r="K432" t="n">
        <v>0</v>
      </c>
      <c r="L432" t="n">
        <v>0</v>
      </c>
      <c r="M432" t="n">
        <v>0</v>
      </c>
      <c r="N432" t="n">
        <v>0</v>
      </c>
      <c r="O432" t="n">
        <v>0</v>
      </c>
      <c r="P432" t="n">
        <v>0</v>
      </c>
      <c r="Q432" t="n">
        <v>0</v>
      </c>
      <c r="R432" s="2" t="inlineStr"/>
    </row>
    <row r="433" ht="15" customHeight="1">
      <c r="A433" t="inlineStr">
        <is>
          <t>A 31464-2024</t>
        </is>
      </c>
      <c r="B433" s="1" t="n">
        <v>45505.95078703704</v>
      </c>
      <c r="C433" s="1" t="n">
        <v>46029</v>
      </c>
      <c r="D433" t="inlineStr">
        <is>
          <t>JÄMTLANDS LÄN</t>
        </is>
      </c>
      <c r="E433" t="inlineStr">
        <is>
          <t>ÖSTERSUND</t>
        </is>
      </c>
      <c r="F433" t="inlineStr">
        <is>
          <t>SCA</t>
        </is>
      </c>
      <c r="G433" t="n">
        <v>8.1</v>
      </c>
      <c r="H433" t="n">
        <v>0</v>
      </c>
      <c r="I433" t="n">
        <v>0</v>
      </c>
      <c r="J433" t="n">
        <v>0</v>
      </c>
      <c r="K433" t="n">
        <v>0</v>
      </c>
      <c r="L433" t="n">
        <v>0</v>
      </c>
      <c r="M433" t="n">
        <v>0</v>
      </c>
      <c r="N433" t="n">
        <v>0</v>
      </c>
      <c r="O433" t="n">
        <v>0</v>
      </c>
      <c r="P433" t="n">
        <v>0</v>
      </c>
      <c r="Q433" t="n">
        <v>0</v>
      </c>
      <c r="R433" s="2" t="inlineStr"/>
    </row>
    <row r="434" ht="15" customHeight="1">
      <c r="A434" t="inlineStr">
        <is>
          <t>A 47579-2025</t>
        </is>
      </c>
      <c r="B434" s="1" t="n">
        <v>45931.40671296296</v>
      </c>
      <c r="C434" s="1" t="n">
        <v>46029</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45338-2024</t>
        </is>
      </c>
      <c r="B435" s="1" t="n">
        <v>45576.46905092592</v>
      </c>
      <c r="C435" s="1" t="n">
        <v>46029</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45895-2024</t>
        </is>
      </c>
      <c r="B436" s="1" t="n">
        <v>45580.42736111111</v>
      </c>
      <c r="C436" s="1" t="n">
        <v>46029</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2686-2021</t>
        </is>
      </c>
      <c r="B437" s="1" t="n">
        <v>44214</v>
      </c>
      <c r="C437" s="1" t="n">
        <v>46029</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56811-2025</t>
        </is>
      </c>
      <c r="B438" s="1" t="n">
        <v>45978.45540509259</v>
      </c>
      <c r="C438" s="1" t="n">
        <v>46029</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47022-2024</t>
        </is>
      </c>
      <c r="B439" s="1" t="n">
        <v>45586.40660879629</v>
      </c>
      <c r="C439" s="1" t="n">
        <v>46029</v>
      </c>
      <c r="D439" t="inlineStr">
        <is>
          <t>JÄMTLANDS LÄN</t>
        </is>
      </c>
      <c r="E439" t="inlineStr">
        <is>
          <t>ÖSTERSUND</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62225-2022</t>
        </is>
      </c>
      <c r="B440" s="1" t="n">
        <v>44922</v>
      </c>
      <c r="C440" s="1" t="n">
        <v>46029</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9552-2025</t>
        </is>
      </c>
      <c r="B441" s="1" t="n">
        <v>45715.59545138889</v>
      </c>
      <c r="C441" s="1" t="n">
        <v>46029</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4500-2025</t>
        </is>
      </c>
      <c r="B442" s="1" t="n">
        <v>45686.6859375</v>
      </c>
      <c r="C442" s="1" t="n">
        <v>46029</v>
      </c>
      <c r="D442" t="inlineStr">
        <is>
          <t>JÄMTLANDS LÄN</t>
        </is>
      </c>
      <c r="E442" t="inlineStr">
        <is>
          <t>ÖSTERSUND</t>
        </is>
      </c>
      <c r="G442" t="n">
        <v>28.4</v>
      </c>
      <c r="H442" t="n">
        <v>0</v>
      </c>
      <c r="I442" t="n">
        <v>0</v>
      </c>
      <c r="J442" t="n">
        <v>0</v>
      </c>
      <c r="K442" t="n">
        <v>0</v>
      </c>
      <c r="L442" t="n">
        <v>0</v>
      </c>
      <c r="M442" t="n">
        <v>0</v>
      </c>
      <c r="N442" t="n">
        <v>0</v>
      </c>
      <c r="O442" t="n">
        <v>0</v>
      </c>
      <c r="P442" t="n">
        <v>0</v>
      </c>
      <c r="Q442" t="n">
        <v>0</v>
      </c>
      <c r="R442" s="2" t="inlineStr"/>
    </row>
    <row r="443" ht="15" customHeight="1">
      <c r="A443" t="inlineStr">
        <is>
          <t>A 44051-2021</t>
        </is>
      </c>
      <c r="B443" s="1" t="n">
        <v>44434</v>
      </c>
      <c r="C443" s="1" t="n">
        <v>46029</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49039-2025</t>
        </is>
      </c>
      <c r="B444" s="1" t="n">
        <v>45937.63275462963</v>
      </c>
      <c r="C444" s="1" t="n">
        <v>46029</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57268-2025</t>
        </is>
      </c>
      <c r="B445" s="1" t="n">
        <v>45979.6756712963</v>
      </c>
      <c r="C445" s="1" t="n">
        <v>46029</v>
      </c>
      <c r="D445" t="inlineStr">
        <is>
          <t>JÄMTLANDS LÄN</t>
        </is>
      </c>
      <c r="E445" t="inlineStr">
        <is>
          <t>ÖSTERSUND</t>
        </is>
      </c>
      <c r="F445" t="inlineStr">
        <is>
          <t>Kommuner</t>
        </is>
      </c>
      <c r="G445" t="n">
        <v>0.7</v>
      </c>
      <c r="H445" t="n">
        <v>0</v>
      </c>
      <c r="I445" t="n">
        <v>0</v>
      </c>
      <c r="J445" t="n">
        <v>0</v>
      </c>
      <c r="K445" t="n">
        <v>0</v>
      </c>
      <c r="L445" t="n">
        <v>0</v>
      </c>
      <c r="M445" t="n">
        <v>0</v>
      </c>
      <c r="N445" t="n">
        <v>0</v>
      </c>
      <c r="O445" t="n">
        <v>0</v>
      </c>
      <c r="P445" t="n">
        <v>0</v>
      </c>
      <c r="Q445" t="n">
        <v>0</v>
      </c>
      <c r="R445" s="2" t="inlineStr"/>
    </row>
    <row r="446" ht="15" customHeight="1">
      <c r="A446" t="inlineStr">
        <is>
          <t>A 48893-2025</t>
        </is>
      </c>
      <c r="B446" s="1" t="n">
        <v>45937.47302083333</v>
      </c>
      <c r="C446" s="1" t="n">
        <v>46029</v>
      </c>
      <c r="D446" t="inlineStr">
        <is>
          <t>JÄMTLANDS LÄN</t>
        </is>
      </c>
      <c r="E446" t="inlineStr">
        <is>
          <t>ÖSTERSUND</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49576-2025</t>
        </is>
      </c>
      <c r="B447" s="1" t="n">
        <v>45939</v>
      </c>
      <c r="C447" s="1" t="n">
        <v>46029</v>
      </c>
      <c r="D447" t="inlineStr">
        <is>
          <t>JÄMTLANDS LÄN</t>
        </is>
      </c>
      <c r="E447" t="inlineStr">
        <is>
          <t>ÖSTERSUND</t>
        </is>
      </c>
      <c r="F447" t="inlineStr">
        <is>
          <t>SCA</t>
        </is>
      </c>
      <c r="G447" t="n">
        <v>17.1</v>
      </c>
      <c r="H447" t="n">
        <v>0</v>
      </c>
      <c r="I447" t="n">
        <v>0</v>
      </c>
      <c r="J447" t="n">
        <v>0</v>
      </c>
      <c r="K447" t="n">
        <v>0</v>
      </c>
      <c r="L447" t="n">
        <v>0</v>
      </c>
      <c r="M447" t="n">
        <v>0</v>
      </c>
      <c r="N447" t="n">
        <v>0</v>
      </c>
      <c r="O447" t="n">
        <v>0</v>
      </c>
      <c r="P447" t="n">
        <v>0</v>
      </c>
      <c r="Q447" t="n">
        <v>0</v>
      </c>
      <c r="R447" s="2" t="inlineStr"/>
    </row>
    <row r="448" ht="15" customHeight="1">
      <c r="A448" t="inlineStr">
        <is>
          <t>A 16753-2025</t>
        </is>
      </c>
      <c r="B448" s="1" t="n">
        <v>45754.56839120371</v>
      </c>
      <c r="C448" s="1" t="n">
        <v>46029</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49572-2025</t>
        </is>
      </c>
      <c r="B449" s="1" t="n">
        <v>45939.49018518518</v>
      </c>
      <c r="C449" s="1" t="n">
        <v>46029</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18577-2025</t>
        </is>
      </c>
      <c r="B450" s="1" t="n">
        <v>45763</v>
      </c>
      <c r="C450" s="1" t="n">
        <v>46029</v>
      </c>
      <c r="D450" t="inlineStr">
        <is>
          <t>JÄMTLANDS LÄN</t>
        </is>
      </c>
      <c r="E450" t="inlineStr">
        <is>
          <t>ÖSTERSUND</t>
        </is>
      </c>
      <c r="G450" t="n">
        <v>3.5</v>
      </c>
      <c r="H450" t="n">
        <v>0</v>
      </c>
      <c r="I450" t="n">
        <v>0</v>
      </c>
      <c r="J450" t="n">
        <v>0</v>
      </c>
      <c r="K450" t="n">
        <v>0</v>
      </c>
      <c r="L450" t="n">
        <v>0</v>
      </c>
      <c r="M450" t="n">
        <v>0</v>
      </c>
      <c r="N450" t="n">
        <v>0</v>
      </c>
      <c r="O450" t="n">
        <v>0</v>
      </c>
      <c r="P450" t="n">
        <v>0</v>
      </c>
      <c r="Q450" t="n">
        <v>0</v>
      </c>
      <c r="R450" s="2" t="inlineStr"/>
    </row>
    <row r="451" ht="15" customHeight="1">
      <c r="A451" t="inlineStr">
        <is>
          <t>A 50168-2025</t>
        </is>
      </c>
      <c r="B451" s="1" t="n">
        <v>45943.59442129629</v>
      </c>
      <c r="C451" s="1" t="n">
        <v>46029</v>
      </c>
      <c r="D451" t="inlineStr">
        <is>
          <t>JÄMTLANDS LÄN</t>
        </is>
      </c>
      <c r="E451" t="inlineStr">
        <is>
          <t>ÖSTERSUND</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60174-2022</t>
        </is>
      </c>
      <c r="B452" s="1" t="n">
        <v>44909.9640162037</v>
      </c>
      <c r="C452" s="1" t="n">
        <v>46029</v>
      </c>
      <c r="D452" t="inlineStr">
        <is>
          <t>JÄMTLANDS LÄN</t>
        </is>
      </c>
      <c r="E452" t="inlineStr">
        <is>
          <t>ÖSTERSUND</t>
        </is>
      </c>
      <c r="F452" t="inlineStr">
        <is>
          <t>SCA</t>
        </is>
      </c>
      <c r="G452" t="n">
        <v>0.5</v>
      </c>
      <c r="H452" t="n">
        <v>0</v>
      </c>
      <c r="I452" t="n">
        <v>0</v>
      </c>
      <c r="J452" t="n">
        <v>0</v>
      </c>
      <c r="K452" t="n">
        <v>0</v>
      </c>
      <c r="L452" t="n">
        <v>0</v>
      </c>
      <c r="M452" t="n">
        <v>0</v>
      </c>
      <c r="N452" t="n">
        <v>0</v>
      </c>
      <c r="O452" t="n">
        <v>0</v>
      </c>
      <c r="P452" t="n">
        <v>0</v>
      </c>
      <c r="Q452" t="n">
        <v>0</v>
      </c>
      <c r="R452" s="2" t="inlineStr"/>
    </row>
    <row r="453" ht="15" customHeight="1">
      <c r="A453" t="inlineStr">
        <is>
          <t>A 20634-2023</t>
        </is>
      </c>
      <c r="B453" s="1" t="n">
        <v>45057.9441087963</v>
      </c>
      <c r="C453" s="1" t="n">
        <v>46029</v>
      </c>
      <c r="D453" t="inlineStr">
        <is>
          <t>JÄMTLANDS LÄN</t>
        </is>
      </c>
      <c r="E453" t="inlineStr">
        <is>
          <t>ÖSTERSUND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50428-2025</t>
        </is>
      </c>
      <c r="B454" s="1" t="n">
        <v>45944.67787037037</v>
      </c>
      <c r="C454" s="1" t="n">
        <v>46029</v>
      </c>
      <c r="D454" t="inlineStr">
        <is>
          <t>JÄMTLANDS LÄN</t>
        </is>
      </c>
      <c r="E454" t="inlineStr">
        <is>
          <t>ÖSTERSUND</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58917-2025</t>
        </is>
      </c>
      <c r="B455" s="1" t="n">
        <v>45987.52949074074</v>
      </c>
      <c r="C455" s="1" t="n">
        <v>46029</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64309-2023</t>
        </is>
      </c>
      <c r="B456" s="1" t="n">
        <v>45280</v>
      </c>
      <c r="C456" s="1" t="n">
        <v>46029</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59188-2025</t>
        </is>
      </c>
      <c r="B457" s="1" t="n">
        <v>45988.58856481482</v>
      </c>
      <c r="C457" s="1" t="n">
        <v>46029</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58824-2025</t>
        </is>
      </c>
      <c r="B458" s="1" t="n">
        <v>45987.34543981482</v>
      </c>
      <c r="C458" s="1" t="n">
        <v>46029</v>
      </c>
      <c r="D458" t="inlineStr">
        <is>
          <t>JÄMTLANDS LÄN</t>
        </is>
      </c>
      <c r="E458" t="inlineStr">
        <is>
          <t>ÖSTERSUND</t>
        </is>
      </c>
      <c r="G458" t="n">
        <v>3.2</v>
      </c>
      <c r="H458" t="n">
        <v>0</v>
      </c>
      <c r="I458" t="n">
        <v>0</v>
      </c>
      <c r="J458" t="n">
        <v>0</v>
      </c>
      <c r="K458" t="n">
        <v>0</v>
      </c>
      <c r="L458" t="n">
        <v>0</v>
      </c>
      <c r="M458" t="n">
        <v>0</v>
      </c>
      <c r="N458" t="n">
        <v>0</v>
      </c>
      <c r="O458" t="n">
        <v>0</v>
      </c>
      <c r="P458" t="n">
        <v>0</v>
      </c>
      <c r="Q458" t="n">
        <v>0</v>
      </c>
      <c r="R458" s="2" t="inlineStr"/>
    </row>
    <row r="459" ht="15" customHeight="1">
      <c r="A459" t="inlineStr">
        <is>
          <t>A 27124-2023</t>
        </is>
      </c>
      <c r="B459" s="1" t="n">
        <v>45096</v>
      </c>
      <c r="C459" s="1" t="n">
        <v>46029</v>
      </c>
      <c r="D459" t="inlineStr">
        <is>
          <t>JÄMTLANDS LÄN</t>
        </is>
      </c>
      <c r="E459" t="inlineStr">
        <is>
          <t>ÖSTERSUND</t>
        </is>
      </c>
      <c r="G459" t="n">
        <v>1.9</v>
      </c>
      <c r="H459" t="n">
        <v>0</v>
      </c>
      <c r="I459" t="n">
        <v>0</v>
      </c>
      <c r="J459" t="n">
        <v>0</v>
      </c>
      <c r="K459" t="n">
        <v>0</v>
      </c>
      <c r="L459" t="n">
        <v>0</v>
      </c>
      <c r="M459" t="n">
        <v>0</v>
      </c>
      <c r="N459" t="n">
        <v>0</v>
      </c>
      <c r="O459" t="n">
        <v>0</v>
      </c>
      <c r="P459" t="n">
        <v>0</v>
      </c>
      <c r="Q459" t="n">
        <v>0</v>
      </c>
      <c r="R459" s="2" t="inlineStr"/>
    </row>
    <row r="460" ht="15" customHeight="1">
      <c r="A460" t="inlineStr">
        <is>
          <t>A 53714-2022</t>
        </is>
      </c>
      <c r="B460" s="1" t="n">
        <v>44880</v>
      </c>
      <c r="C460" s="1" t="n">
        <v>46029</v>
      </c>
      <c r="D460" t="inlineStr">
        <is>
          <t>JÄMTLANDS LÄN</t>
        </is>
      </c>
      <c r="E460" t="inlineStr">
        <is>
          <t>ÖSTERSUND</t>
        </is>
      </c>
      <c r="G460" t="n">
        <v>1.3</v>
      </c>
      <c r="H460" t="n">
        <v>0</v>
      </c>
      <c r="I460" t="n">
        <v>0</v>
      </c>
      <c r="J460" t="n">
        <v>0</v>
      </c>
      <c r="K460" t="n">
        <v>0</v>
      </c>
      <c r="L460" t="n">
        <v>0</v>
      </c>
      <c r="M460" t="n">
        <v>0</v>
      </c>
      <c r="N460" t="n">
        <v>0</v>
      </c>
      <c r="O460" t="n">
        <v>0</v>
      </c>
      <c r="P460" t="n">
        <v>0</v>
      </c>
      <c r="Q460" t="n">
        <v>0</v>
      </c>
      <c r="R460" s="2" t="inlineStr"/>
    </row>
    <row r="461" ht="15" customHeight="1">
      <c r="A461" t="inlineStr">
        <is>
          <t>A 58996-2025</t>
        </is>
      </c>
      <c r="B461" s="1" t="n">
        <v>45987.67032407408</v>
      </c>
      <c r="C461" s="1" t="n">
        <v>46029</v>
      </c>
      <c r="D461" t="inlineStr">
        <is>
          <t>JÄMTLANDS LÄN</t>
        </is>
      </c>
      <c r="E461" t="inlineStr">
        <is>
          <t>ÖSTERSUND</t>
        </is>
      </c>
      <c r="G461" t="n">
        <v>4.3</v>
      </c>
      <c r="H461" t="n">
        <v>0</v>
      </c>
      <c r="I461" t="n">
        <v>0</v>
      </c>
      <c r="J461" t="n">
        <v>0</v>
      </c>
      <c r="K461" t="n">
        <v>0</v>
      </c>
      <c r="L461" t="n">
        <v>0</v>
      </c>
      <c r="M461" t="n">
        <v>0</v>
      </c>
      <c r="N461" t="n">
        <v>0</v>
      </c>
      <c r="O461" t="n">
        <v>0</v>
      </c>
      <c r="P461" t="n">
        <v>0</v>
      </c>
      <c r="Q461" t="n">
        <v>0</v>
      </c>
      <c r="R461" s="2" t="inlineStr"/>
    </row>
    <row r="462" ht="15" customHeight="1">
      <c r="A462" t="inlineStr">
        <is>
          <t>A 60767-2022</t>
        </is>
      </c>
      <c r="B462" s="1" t="n">
        <v>44914.35599537037</v>
      </c>
      <c r="C462" s="1" t="n">
        <v>46029</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50528-2025</t>
        </is>
      </c>
      <c r="B463" s="1" t="n">
        <v>45945.47097222223</v>
      </c>
      <c r="C463" s="1" t="n">
        <v>46029</v>
      </c>
      <c r="D463" t="inlineStr">
        <is>
          <t>JÄMTLANDS LÄN</t>
        </is>
      </c>
      <c r="E463" t="inlineStr">
        <is>
          <t>ÖSTERSUND</t>
        </is>
      </c>
      <c r="G463" t="n">
        <v>3.4</v>
      </c>
      <c r="H463" t="n">
        <v>0</v>
      </c>
      <c r="I463" t="n">
        <v>0</v>
      </c>
      <c r="J463" t="n">
        <v>0</v>
      </c>
      <c r="K463" t="n">
        <v>0</v>
      </c>
      <c r="L463" t="n">
        <v>0</v>
      </c>
      <c r="M463" t="n">
        <v>0</v>
      </c>
      <c r="N463" t="n">
        <v>0</v>
      </c>
      <c r="O463" t="n">
        <v>0</v>
      </c>
      <c r="P463" t="n">
        <v>0</v>
      </c>
      <c r="Q463" t="n">
        <v>0</v>
      </c>
      <c r="R463" s="2" t="inlineStr"/>
    </row>
    <row r="464" ht="15" customHeight="1">
      <c r="A464" t="inlineStr">
        <is>
          <t>A 61530-2023</t>
        </is>
      </c>
      <c r="B464" s="1" t="n">
        <v>45261</v>
      </c>
      <c r="C464" s="1" t="n">
        <v>46029</v>
      </c>
      <c r="D464" t="inlineStr">
        <is>
          <t>JÄMTLANDS LÄN</t>
        </is>
      </c>
      <c r="E464" t="inlineStr">
        <is>
          <t>ÖSTERSUND</t>
        </is>
      </c>
      <c r="F464" t="inlineStr">
        <is>
          <t>Övriga statliga verk och myndigheter</t>
        </is>
      </c>
      <c r="G464" t="n">
        <v>1</v>
      </c>
      <c r="H464" t="n">
        <v>0</v>
      </c>
      <c r="I464" t="n">
        <v>0</v>
      </c>
      <c r="J464" t="n">
        <v>0</v>
      </c>
      <c r="K464" t="n">
        <v>0</v>
      </c>
      <c r="L464" t="n">
        <v>0</v>
      </c>
      <c r="M464" t="n">
        <v>0</v>
      </c>
      <c r="N464" t="n">
        <v>0</v>
      </c>
      <c r="O464" t="n">
        <v>0</v>
      </c>
      <c r="P464" t="n">
        <v>0</v>
      </c>
      <c r="Q464" t="n">
        <v>0</v>
      </c>
      <c r="R464" s="2" t="inlineStr"/>
    </row>
    <row r="465" ht="15" customHeight="1">
      <c r="A465" t="inlineStr">
        <is>
          <t>A 58818-2025</t>
        </is>
      </c>
      <c r="B465" s="1" t="n">
        <v>45987.33479166667</v>
      </c>
      <c r="C465" s="1" t="n">
        <v>46029</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59619-2025</t>
        </is>
      </c>
      <c r="B466" s="1" t="n">
        <v>45992.38109953704</v>
      </c>
      <c r="C466" s="1" t="n">
        <v>46029</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59613-2025</t>
        </is>
      </c>
      <c r="B467" s="1" t="n">
        <v>45992.37172453704</v>
      </c>
      <c r="C467" s="1" t="n">
        <v>46029</v>
      </c>
      <c r="D467" t="inlineStr">
        <is>
          <t>JÄMTLANDS LÄN</t>
        </is>
      </c>
      <c r="E467" t="inlineStr">
        <is>
          <t>ÖSTERSUND</t>
        </is>
      </c>
      <c r="G467" t="n">
        <v>2.1</v>
      </c>
      <c r="H467" t="n">
        <v>0</v>
      </c>
      <c r="I467" t="n">
        <v>0</v>
      </c>
      <c r="J467" t="n">
        <v>0</v>
      </c>
      <c r="K467" t="n">
        <v>0</v>
      </c>
      <c r="L467" t="n">
        <v>0</v>
      </c>
      <c r="M467" t="n">
        <v>0</v>
      </c>
      <c r="N467" t="n">
        <v>0</v>
      </c>
      <c r="O467" t="n">
        <v>0</v>
      </c>
      <c r="P467" t="n">
        <v>0</v>
      </c>
      <c r="Q467" t="n">
        <v>0</v>
      </c>
      <c r="R467" s="2" t="inlineStr"/>
    </row>
    <row r="468" ht="15" customHeight="1">
      <c r="A468" t="inlineStr">
        <is>
          <t>A 59612-2025</t>
        </is>
      </c>
      <c r="B468" s="1" t="n">
        <v>45992.3706712963</v>
      </c>
      <c r="C468" s="1" t="n">
        <v>46029</v>
      </c>
      <c r="D468" t="inlineStr">
        <is>
          <t>JÄMTLANDS LÄN</t>
        </is>
      </c>
      <c r="E468" t="inlineStr">
        <is>
          <t>ÖSTERSUND</t>
        </is>
      </c>
      <c r="G468" t="n">
        <v>2.3</v>
      </c>
      <c r="H468" t="n">
        <v>0</v>
      </c>
      <c r="I468" t="n">
        <v>0</v>
      </c>
      <c r="J468" t="n">
        <v>0</v>
      </c>
      <c r="K468" t="n">
        <v>0</v>
      </c>
      <c r="L468" t="n">
        <v>0</v>
      </c>
      <c r="M468" t="n">
        <v>0</v>
      </c>
      <c r="N468" t="n">
        <v>0</v>
      </c>
      <c r="O468" t="n">
        <v>0</v>
      </c>
      <c r="P468" t="n">
        <v>0</v>
      </c>
      <c r="Q468" t="n">
        <v>0</v>
      </c>
      <c r="R468" s="2" t="inlineStr"/>
    </row>
    <row r="469" ht="15" customHeight="1">
      <c r="A469" t="inlineStr">
        <is>
          <t>A 1322-2021</t>
        </is>
      </c>
      <c r="B469" s="1" t="n">
        <v>44208</v>
      </c>
      <c r="C469" s="1" t="n">
        <v>46029</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14118-2025</t>
        </is>
      </c>
      <c r="B470" s="1" t="n">
        <v>45740.46325231482</v>
      </c>
      <c r="C470" s="1" t="n">
        <v>46029</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59015-2025</t>
        </is>
      </c>
      <c r="B471" s="1" t="n">
        <v>45987.83457175926</v>
      </c>
      <c r="C471" s="1" t="n">
        <v>46029</v>
      </c>
      <c r="D471" t="inlineStr">
        <is>
          <t>JÄMTLANDS LÄN</t>
        </is>
      </c>
      <c r="E471" t="inlineStr">
        <is>
          <t>ÖSTERSUND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59687-2025</t>
        </is>
      </c>
      <c r="B472" s="1" t="n">
        <v>45992.47729166667</v>
      </c>
      <c r="C472" s="1" t="n">
        <v>46029</v>
      </c>
      <c r="D472" t="inlineStr">
        <is>
          <t>JÄMTLANDS LÄN</t>
        </is>
      </c>
      <c r="E472" t="inlineStr">
        <is>
          <t>ÖSTERSUND</t>
        </is>
      </c>
      <c r="G472" t="n">
        <v>5</v>
      </c>
      <c r="H472" t="n">
        <v>0</v>
      </c>
      <c r="I472" t="n">
        <v>0</v>
      </c>
      <c r="J472" t="n">
        <v>0</v>
      </c>
      <c r="K472" t="n">
        <v>0</v>
      </c>
      <c r="L472" t="n">
        <v>0</v>
      </c>
      <c r="M472" t="n">
        <v>0</v>
      </c>
      <c r="N472" t="n">
        <v>0</v>
      </c>
      <c r="O472" t="n">
        <v>0</v>
      </c>
      <c r="P472" t="n">
        <v>0</v>
      </c>
      <c r="Q472" t="n">
        <v>0</v>
      </c>
      <c r="R472" s="2" t="inlineStr"/>
    </row>
    <row r="473" ht="15" customHeight="1">
      <c r="A473" t="inlineStr">
        <is>
          <t>A 25535-2023</t>
        </is>
      </c>
      <c r="B473" s="1" t="n">
        <v>45089.54944444444</v>
      </c>
      <c r="C473" s="1" t="n">
        <v>46029</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59007-2025</t>
        </is>
      </c>
      <c r="B474" s="1" t="n">
        <v>45987.69552083333</v>
      </c>
      <c r="C474" s="1" t="n">
        <v>46029</v>
      </c>
      <c r="D474" t="inlineStr">
        <is>
          <t>JÄMTLANDS LÄN</t>
        </is>
      </c>
      <c r="E474" t="inlineStr">
        <is>
          <t>ÖSTERSUND</t>
        </is>
      </c>
      <c r="G474" t="n">
        <v>4</v>
      </c>
      <c r="H474" t="n">
        <v>0</v>
      </c>
      <c r="I474" t="n">
        <v>0</v>
      </c>
      <c r="J474" t="n">
        <v>0</v>
      </c>
      <c r="K474" t="n">
        <v>0</v>
      </c>
      <c r="L474" t="n">
        <v>0</v>
      </c>
      <c r="M474" t="n">
        <v>0</v>
      </c>
      <c r="N474" t="n">
        <v>0</v>
      </c>
      <c r="O474" t="n">
        <v>0</v>
      </c>
      <c r="P474" t="n">
        <v>0</v>
      </c>
      <c r="Q474" t="n">
        <v>0</v>
      </c>
      <c r="R474" s="2" t="inlineStr"/>
    </row>
    <row r="475" ht="15" customHeight="1">
      <c r="A475" t="inlineStr">
        <is>
          <t>A 6048-2024</t>
        </is>
      </c>
      <c r="B475" s="1" t="n">
        <v>45336</v>
      </c>
      <c r="C475" s="1" t="n">
        <v>46029</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7941-2025</t>
        </is>
      </c>
      <c r="B476" s="1" t="n">
        <v>45707</v>
      </c>
      <c r="C476" s="1" t="n">
        <v>46029</v>
      </c>
      <c r="D476" t="inlineStr">
        <is>
          <t>JÄMTLANDS LÄN</t>
        </is>
      </c>
      <c r="E476" t="inlineStr">
        <is>
          <t>ÖSTERSUND</t>
        </is>
      </c>
      <c r="G476" t="n">
        <v>2</v>
      </c>
      <c r="H476" t="n">
        <v>0</v>
      </c>
      <c r="I476" t="n">
        <v>0</v>
      </c>
      <c r="J476" t="n">
        <v>0</v>
      </c>
      <c r="K476" t="n">
        <v>0</v>
      </c>
      <c r="L476" t="n">
        <v>0</v>
      </c>
      <c r="M476" t="n">
        <v>0</v>
      </c>
      <c r="N476" t="n">
        <v>0</v>
      </c>
      <c r="O476" t="n">
        <v>0</v>
      </c>
      <c r="P476" t="n">
        <v>0</v>
      </c>
      <c r="Q476" t="n">
        <v>0</v>
      </c>
      <c r="R476" s="2" t="inlineStr"/>
    </row>
    <row r="477" ht="15" customHeight="1">
      <c r="A477" t="inlineStr">
        <is>
          <t>A 52003-2025</t>
        </is>
      </c>
      <c r="B477" s="1" t="n">
        <v>45952.5909375</v>
      </c>
      <c r="C477" s="1" t="n">
        <v>46029</v>
      </c>
      <c r="D477" t="inlineStr">
        <is>
          <t>JÄMTLANDS LÄN</t>
        </is>
      </c>
      <c r="E477" t="inlineStr">
        <is>
          <t>ÖSTERSUND</t>
        </is>
      </c>
      <c r="G477" t="n">
        <v>5.7</v>
      </c>
      <c r="H477" t="n">
        <v>0</v>
      </c>
      <c r="I477" t="n">
        <v>0</v>
      </c>
      <c r="J477" t="n">
        <v>0</v>
      </c>
      <c r="K477" t="n">
        <v>0</v>
      </c>
      <c r="L477" t="n">
        <v>0</v>
      </c>
      <c r="M477" t="n">
        <v>0</v>
      </c>
      <c r="N477" t="n">
        <v>0</v>
      </c>
      <c r="O477" t="n">
        <v>0</v>
      </c>
      <c r="P477" t="n">
        <v>0</v>
      </c>
      <c r="Q477" t="n">
        <v>0</v>
      </c>
      <c r="R477" s="2" t="inlineStr"/>
    </row>
    <row r="478" ht="15" customHeight="1">
      <c r="A478" t="inlineStr">
        <is>
          <t>A 60048-2025</t>
        </is>
      </c>
      <c r="B478" s="1" t="n">
        <v>45993.62974537037</v>
      </c>
      <c r="C478" s="1" t="n">
        <v>46029</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7233-2024</t>
        </is>
      </c>
      <c r="B479" s="1" t="n">
        <v>45344</v>
      </c>
      <c r="C479" s="1" t="n">
        <v>46029</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48737-2024</t>
        </is>
      </c>
      <c r="B480" s="1" t="n">
        <v>45593.57327546296</v>
      </c>
      <c r="C480" s="1" t="n">
        <v>46029</v>
      </c>
      <c r="D480" t="inlineStr">
        <is>
          <t>JÄMTLANDS LÄN</t>
        </is>
      </c>
      <c r="E480" t="inlineStr">
        <is>
          <t>ÖSTERSUND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52280-2025</t>
        </is>
      </c>
      <c r="B481" s="1" t="n">
        <v>45953.56976851852</v>
      </c>
      <c r="C481" s="1" t="n">
        <v>46029</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27118-2023</t>
        </is>
      </c>
      <c r="B482" s="1" t="n">
        <v>45096</v>
      </c>
      <c r="C482" s="1" t="n">
        <v>46029</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52620-2025</t>
        </is>
      </c>
      <c r="B483" s="1" t="n">
        <v>45954.68207175926</v>
      </c>
      <c r="C483" s="1" t="n">
        <v>46029</v>
      </c>
      <c r="D483" t="inlineStr">
        <is>
          <t>JÄMTLANDS LÄN</t>
        </is>
      </c>
      <c r="E483" t="inlineStr">
        <is>
          <t>ÖSTERSUND</t>
        </is>
      </c>
      <c r="G483" t="n">
        <v>4.6</v>
      </c>
      <c r="H483" t="n">
        <v>0</v>
      </c>
      <c r="I483" t="n">
        <v>0</v>
      </c>
      <c r="J483" t="n">
        <v>0</v>
      </c>
      <c r="K483" t="n">
        <v>0</v>
      </c>
      <c r="L483" t="n">
        <v>0</v>
      </c>
      <c r="M483" t="n">
        <v>0</v>
      </c>
      <c r="N483" t="n">
        <v>0</v>
      </c>
      <c r="O483" t="n">
        <v>0</v>
      </c>
      <c r="P483" t="n">
        <v>0</v>
      </c>
      <c r="Q483" t="n">
        <v>0</v>
      </c>
      <c r="R483" s="2" t="inlineStr"/>
    </row>
    <row r="484" ht="15" customHeight="1">
      <c r="A484" t="inlineStr">
        <is>
          <t>A 39493-2023</t>
        </is>
      </c>
      <c r="B484" s="1" t="n">
        <v>45166.9569675926</v>
      </c>
      <c r="C484" s="1" t="n">
        <v>46029</v>
      </c>
      <c r="D484" t="inlineStr">
        <is>
          <t>JÄMTLANDS LÄN</t>
        </is>
      </c>
      <c r="E484" t="inlineStr">
        <is>
          <t>ÖSTERSUND</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16306-2025</t>
        </is>
      </c>
      <c r="B485" s="1" t="n">
        <v>45751.34664351852</v>
      </c>
      <c r="C485" s="1" t="n">
        <v>46029</v>
      </c>
      <c r="D485" t="inlineStr">
        <is>
          <t>JÄMTLANDS LÄN</t>
        </is>
      </c>
      <c r="E485" t="inlineStr">
        <is>
          <t>ÖSTERSUND</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52247-2025</t>
        </is>
      </c>
      <c r="B486" s="1" t="n">
        <v>45953.47575231481</v>
      </c>
      <c r="C486" s="1" t="n">
        <v>46029</v>
      </c>
      <c r="D486" t="inlineStr">
        <is>
          <t>JÄMTLANDS LÄN</t>
        </is>
      </c>
      <c r="E486" t="inlineStr">
        <is>
          <t>ÖSTERSUND</t>
        </is>
      </c>
      <c r="G486" t="n">
        <v>8.4</v>
      </c>
      <c r="H486" t="n">
        <v>0</v>
      </c>
      <c r="I486" t="n">
        <v>0</v>
      </c>
      <c r="J486" t="n">
        <v>0</v>
      </c>
      <c r="K486" t="n">
        <v>0</v>
      </c>
      <c r="L486" t="n">
        <v>0</v>
      </c>
      <c r="M486" t="n">
        <v>0</v>
      </c>
      <c r="N486" t="n">
        <v>0</v>
      </c>
      <c r="O486" t="n">
        <v>0</v>
      </c>
      <c r="P486" t="n">
        <v>0</v>
      </c>
      <c r="Q486" t="n">
        <v>0</v>
      </c>
      <c r="R486" s="2" t="inlineStr"/>
    </row>
    <row r="487" ht="15" customHeight="1">
      <c r="A487" t="inlineStr">
        <is>
          <t>A 52286-2025</t>
        </is>
      </c>
      <c r="B487" s="1" t="n">
        <v>45953.58497685185</v>
      </c>
      <c r="C487" s="1" t="n">
        <v>46029</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2756-2024</t>
        </is>
      </c>
      <c r="B488" s="1" t="n">
        <v>45314.58785879629</v>
      </c>
      <c r="C488" s="1" t="n">
        <v>46029</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61235-2025</t>
        </is>
      </c>
      <c r="B489" s="1" t="n">
        <v>46000.63969907408</v>
      </c>
      <c r="C489" s="1" t="n">
        <v>46029</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52935-2025</t>
        </is>
      </c>
      <c r="B490" s="1" t="n">
        <v>45957.62978009259</v>
      </c>
      <c r="C490" s="1" t="n">
        <v>46029</v>
      </c>
      <c r="D490" t="inlineStr">
        <is>
          <t>JÄMTLANDS LÄN</t>
        </is>
      </c>
      <c r="E490" t="inlineStr">
        <is>
          <t>ÖSTERSUND</t>
        </is>
      </c>
      <c r="G490" t="n">
        <v>0.8</v>
      </c>
      <c r="H490" t="n">
        <v>0</v>
      </c>
      <c r="I490" t="n">
        <v>0</v>
      </c>
      <c r="J490" t="n">
        <v>0</v>
      </c>
      <c r="K490" t="n">
        <v>0</v>
      </c>
      <c r="L490" t="n">
        <v>0</v>
      </c>
      <c r="M490" t="n">
        <v>0</v>
      </c>
      <c r="N490" t="n">
        <v>0</v>
      </c>
      <c r="O490" t="n">
        <v>0</v>
      </c>
      <c r="P490" t="n">
        <v>0</v>
      </c>
      <c r="Q490" t="n">
        <v>0</v>
      </c>
      <c r="R490" s="2" t="inlineStr"/>
    </row>
    <row r="491" ht="15" customHeight="1">
      <c r="A491" t="inlineStr">
        <is>
          <t>A 52975-2025</t>
        </is>
      </c>
      <c r="B491" s="1" t="n">
        <v>45957.67876157408</v>
      </c>
      <c r="C491" s="1" t="n">
        <v>46029</v>
      </c>
      <c r="D491" t="inlineStr">
        <is>
          <t>JÄMTLANDS LÄN</t>
        </is>
      </c>
      <c r="E491" t="inlineStr">
        <is>
          <t>ÖSTERSUND</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61267-2025</t>
        </is>
      </c>
      <c r="B492" s="1" t="n">
        <v>46000.67793981481</v>
      </c>
      <c r="C492" s="1" t="n">
        <v>46029</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27294-2023</t>
        </is>
      </c>
      <c r="B493" s="1" t="n">
        <v>45092</v>
      </c>
      <c r="C493" s="1" t="n">
        <v>46029</v>
      </c>
      <c r="D493" t="inlineStr">
        <is>
          <t>JÄMTLANDS LÄN</t>
        </is>
      </c>
      <c r="E493" t="inlineStr">
        <is>
          <t>ÖSTERSUND</t>
        </is>
      </c>
      <c r="G493" t="n">
        <v>2.8</v>
      </c>
      <c r="H493" t="n">
        <v>0</v>
      </c>
      <c r="I493" t="n">
        <v>0</v>
      </c>
      <c r="J493" t="n">
        <v>0</v>
      </c>
      <c r="K493" t="n">
        <v>0</v>
      </c>
      <c r="L493" t="n">
        <v>0</v>
      </c>
      <c r="M493" t="n">
        <v>0</v>
      </c>
      <c r="N493" t="n">
        <v>0</v>
      </c>
      <c r="O493" t="n">
        <v>0</v>
      </c>
      <c r="P493" t="n">
        <v>0</v>
      </c>
      <c r="Q493" t="n">
        <v>0</v>
      </c>
      <c r="R493" s="2" t="inlineStr"/>
    </row>
    <row r="494" ht="15" customHeight="1">
      <c r="A494" t="inlineStr">
        <is>
          <t>A 24246-2024</t>
        </is>
      </c>
      <c r="B494" s="1" t="n">
        <v>45457.37893518519</v>
      </c>
      <c r="C494" s="1" t="n">
        <v>46029</v>
      </c>
      <c r="D494" t="inlineStr">
        <is>
          <t>JÄMTLANDS LÄN</t>
        </is>
      </c>
      <c r="E494" t="inlineStr">
        <is>
          <t>ÖSTERSUND</t>
        </is>
      </c>
      <c r="G494" t="n">
        <v>5.3</v>
      </c>
      <c r="H494" t="n">
        <v>0</v>
      </c>
      <c r="I494" t="n">
        <v>0</v>
      </c>
      <c r="J494" t="n">
        <v>0</v>
      </c>
      <c r="K494" t="n">
        <v>0</v>
      </c>
      <c r="L494" t="n">
        <v>0</v>
      </c>
      <c r="M494" t="n">
        <v>0</v>
      </c>
      <c r="N494" t="n">
        <v>0</v>
      </c>
      <c r="O494" t="n">
        <v>0</v>
      </c>
      <c r="P494" t="n">
        <v>0</v>
      </c>
      <c r="Q494" t="n">
        <v>0</v>
      </c>
      <c r="R494" s="2" t="inlineStr"/>
    </row>
    <row r="495" ht="15" customHeight="1">
      <c r="A495" t="inlineStr">
        <is>
          <t>A 53057-2025</t>
        </is>
      </c>
      <c r="B495" s="1" t="n">
        <v>45958.36537037037</v>
      </c>
      <c r="C495" s="1" t="n">
        <v>46029</v>
      </c>
      <c r="D495" t="inlineStr">
        <is>
          <t>JÄMTLANDS LÄN</t>
        </is>
      </c>
      <c r="E495" t="inlineStr">
        <is>
          <t>ÖSTERSUND</t>
        </is>
      </c>
      <c r="F495" t="inlineStr">
        <is>
          <t>SCA</t>
        </is>
      </c>
      <c r="G495" t="n">
        <v>47.8</v>
      </c>
      <c r="H495" t="n">
        <v>0</v>
      </c>
      <c r="I495" t="n">
        <v>0</v>
      </c>
      <c r="J495" t="n">
        <v>0</v>
      </c>
      <c r="K495" t="n">
        <v>0</v>
      </c>
      <c r="L495" t="n">
        <v>0</v>
      </c>
      <c r="M495" t="n">
        <v>0</v>
      </c>
      <c r="N495" t="n">
        <v>0</v>
      </c>
      <c r="O495" t="n">
        <v>0</v>
      </c>
      <c r="P495" t="n">
        <v>0</v>
      </c>
      <c r="Q495" t="n">
        <v>0</v>
      </c>
      <c r="R495" s="2" t="inlineStr"/>
    </row>
    <row r="496" ht="15" customHeight="1">
      <c r="A496" t="inlineStr">
        <is>
          <t>A 1670-2024</t>
        </is>
      </c>
      <c r="B496" s="1" t="n">
        <v>45306</v>
      </c>
      <c r="C496" s="1" t="n">
        <v>46029</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61222-2025</t>
        </is>
      </c>
      <c r="B497" s="1" t="n">
        <v>46000.62851851852</v>
      </c>
      <c r="C497" s="1" t="n">
        <v>46029</v>
      </c>
      <c r="D497" t="inlineStr">
        <is>
          <t>JÄMTLANDS LÄN</t>
        </is>
      </c>
      <c r="E497" t="inlineStr">
        <is>
          <t>ÖSTERSUND</t>
        </is>
      </c>
      <c r="G497" t="n">
        <v>9.1</v>
      </c>
      <c r="H497" t="n">
        <v>0</v>
      </c>
      <c r="I497" t="n">
        <v>0</v>
      </c>
      <c r="J497" t="n">
        <v>0</v>
      </c>
      <c r="K497" t="n">
        <v>0</v>
      </c>
      <c r="L497" t="n">
        <v>0</v>
      </c>
      <c r="M497" t="n">
        <v>0</v>
      </c>
      <c r="N497" t="n">
        <v>0</v>
      </c>
      <c r="O497" t="n">
        <v>0</v>
      </c>
      <c r="P497" t="n">
        <v>0</v>
      </c>
      <c r="Q497" t="n">
        <v>0</v>
      </c>
      <c r="R497" s="2" t="inlineStr"/>
    </row>
    <row r="498" ht="15" customHeight="1">
      <c r="A498" t="inlineStr">
        <is>
          <t>A 53054-2025</t>
        </is>
      </c>
      <c r="B498" s="1" t="n">
        <v>45958.36498842593</v>
      </c>
      <c r="C498" s="1" t="n">
        <v>46029</v>
      </c>
      <c r="D498" t="inlineStr">
        <is>
          <t>JÄMTLANDS LÄN</t>
        </is>
      </c>
      <c r="E498" t="inlineStr">
        <is>
          <t>ÖSTERSUND</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49192-2024</t>
        </is>
      </c>
      <c r="B499" s="1" t="n">
        <v>45595.34762731481</v>
      </c>
      <c r="C499" s="1" t="n">
        <v>46029</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54237-2024</t>
        </is>
      </c>
      <c r="B500" s="1" t="n">
        <v>45616.67833333334</v>
      </c>
      <c r="C500" s="1" t="n">
        <v>46029</v>
      </c>
      <c r="D500" t="inlineStr">
        <is>
          <t>JÄMTLANDS LÄN</t>
        </is>
      </c>
      <c r="E500" t="inlineStr">
        <is>
          <t>ÖSTERSUND</t>
        </is>
      </c>
      <c r="F500" t="inlineStr">
        <is>
          <t>SCA</t>
        </is>
      </c>
      <c r="G500" t="n">
        <v>8.9</v>
      </c>
      <c r="H500" t="n">
        <v>0</v>
      </c>
      <c r="I500" t="n">
        <v>0</v>
      </c>
      <c r="J500" t="n">
        <v>0</v>
      </c>
      <c r="K500" t="n">
        <v>0</v>
      </c>
      <c r="L500" t="n">
        <v>0</v>
      </c>
      <c r="M500" t="n">
        <v>0</v>
      </c>
      <c r="N500" t="n">
        <v>0</v>
      </c>
      <c r="O500" t="n">
        <v>0</v>
      </c>
      <c r="P500" t="n">
        <v>0</v>
      </c>
      <c r="Q500" t="n">
        <v>0</v>
      </c>
      <c r="R500" s="2" t="inlineStr"/>
    </row>
    <row r="501" ht="15" customHeight="1">
      <c r="A501" t="inlineStr">
        <is>
          <t>A 69190-2021</t>
        </is>
      </c>
      <c r="B501" s="1" t="n">
        <v>44529</v>
      </c>
      <c r="C501" s="1" t="n">
        <v>46029</v>
      </c>
      <c r="D501" t="inlineStr">
        <is>
          <t>JÄMTLANDS LÄN</t>
        </is>
      </c>
      <c r="E501" t="inlineStr">
        <is>
          <t>ÖSTERSUND</t>
        </is>
      </c>
      <c r="G501" t="n">
        <v>4.2</v>
      </c>
      <c r="H501" t="n">
        <v>0</v>
      </c>
      <c r="I501" t="n">
        <v>0</v>
      </c>
      <c r="J501" t="n">
        <v>0</v>
      </c>
      <c r="K501" t="n">
        <v>0</v>
      </c>
      <c r="L501" t="n">
        <v>0</v>
      </c>
      <c r="M501" t="n">
        <v>0</v>
      </c>
      <c r="N501" t="n">
        <v>0</v>
      </c>
      <c r="O501" t="n">
        <v>0</v>
      </c>
      <c r="P501" t="n">
        <v>0</v>
      </c>
      <c r="Q501" t="n">
        <v>0</v>
      </c>
      <c r="R501" s="2" t="inlineStr"/>
    </row>
    <row r="502" ht="15" customHeight="1">
      <c r="A502" t="inlineStr">
        <is>
          <t>A 45533-2025</t>
        </is>
      </c>
      <c r="B502" s="1" t="n">
        <v>45922</v>
      </c>
      <c r="C502" s="1" t="n">
        <v>46029</v>
      </c>
      <c r="D502" t="inlineStr">
        <is>
          <t>JÄMTLANDS LÄN</t>
        </is>
      </c>
      <c r="E502" t="inlineStr">
        <is>
          <t>ÖSTERSUND</t>
        </is>
      </c>
      <c r="F502" t="inlineStr">
        <is>
          <t>Övriga statliga verk och myndigheter</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61427-2025</t>
        </is>
      </c>
      <c r="B503" s="1" t="n">
        <v>46000</v>
      </c>
      <c r="C503" s="1" t="n">
        <v>46029</v>
      </c>
      <c r="D503" t="inlineStr">
        <is>
          <t>JÄMTLANDS LÄN</t>
        </is>
      </c>
      <c r="E503" t="inlineStr">
        <is>
          <t>ÖSTERSUND</t>
        </is>
      </c>
      <c r="G503" t="n">
        <v>0.3</v>
      </c>
      <c r="H503" t="n">
        <v>0</v>
      </c>
      <c r="I503" t="n">
        <v>0</v>
      </c>
      <c r="J503" t="n">
        <v>0</v>
      </c>
      <c r="K503" t="n">
        <v>0</v>
      </c>
      <c r="L503" t="n">
        <v>0</v>
      </c>
      <c r="M503" t="n">
        <v>0</v>
      </c>
      <c r="N503" t="n">
        <v>0</v>
      </c>
      <c r="O503" t="n">
        <v>0</v>
      </c>
      <c r="P503" t="n">
        <v>0</v>
      </c>
      <c r="Q503" t="n">
        <v>0</v>
      </c>
      <c r="R503" s="2" t="inlineStr"/>
    </row>
    <row r="504" ht="15" customHeight="1">
      <c r="A504" t="inlineStr">
        <is>
          <t>A 4707-2024</t>
        </is>
      </c>
      <c r="B504" s="1" t="n">
        <v>45328</v>
      </c>
      <c r="C504" s="1" t="n">
        <v>46029</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62176-2025</t>
        </is>
      </c>
      <c r="B505" s="1" t="n">
        <v>46006.51157407407</v>
      </c>
      <c r="C505" s="1" t="n">
        <v>46029</v>
      </c>
      <c r="D505" t="inlineStr">
        <is>
          <t>JÄMTLANDS LÄN</t>
        </is>
      </c>
      <c r="E505" t="inlineStr">
        <is>
          <t>ÖSTERSUND</t>
        </is>
      </c>
      <c r="G505" t="n">
        <v>0.7</v>
      </c>
      <c r="H505" t="n">
        <v>0</v>
      </c>
      <c r="I505" t="n">
        <v>0</v>
      </c>
      <c r="J505" t="n">
        <v>0</v>
      </c>
      <c r="K505" t="n">
        <v>0</v>
      </c>
      <c r="L505" t="n">
        <v>0</v>
      </c>
      <c r="M505" t="n">
        <v>0</v>
      </c>
      <c r="N505" t="n">
        <v>0</v>
      </c>
      <c r="O505" t="n">
        <v>0</v>
      </c>
      <c r="P505" t="n">
        <v>0</v>
      </c>
      <c r="Q505" t="n">
        <v>0</v>
      </c>
      <c r="R505" s="2" t="inlineStr"/>
    </row>
    <row r="506" ht="15" customHeight="1">
      <c r="A506" t="inlineStr">
        <is>
          <t>A 61964-2025</t>
        </is>
      </c>
      <c r="B506" s="1" t="n">
        <v>46003</v>
      </c>
      <c r="C506" s="1" t="n">
        <v>46029</v>
      </c>
      <c r="D506" t="inlineStr">
        <is>
          <t>JÄMTLANDS LÄN</t>
        </is>
      </c>
      <c r="E506" t="inlineStr">
        <is>
          <t>ÖSTERSUND</t>
        </is>
      </c>
      <c r="G506" t="n">
        <v>16.5</v>
      </c>
      <c r="H506" t="n">
        <v>0</v>
      </c>
      <c r="I506" t="n">
        <v>0</v>
      </c>
      <c r="J506" t="n">
        <v>0</v>
      </c>
      <c r="K506" t="n">
        <v>0</v>
      </c>
      <c r="L506" t="n">
        <v>0</v>
      </c>
      <c r="M506" t="n">
        <v>0</v>
      </c>
      <c r="N506" t="n">
        <v>0</v>
      </c>
      <c r="O506" t="n">
        <v>0</v>
      </c>
      <c r="P506" t="n">
        <v>0</v>
      </c>
      <c r="Q506" t="n">
        <v>0</v>
      </c>
      <c r="R506" s="2" t="inlineStr"/>
    </row>
    <row r="507" ht="15" customHeight="1">
      <c r="A507" t="inlineStr">
        <is>
          <t>A 61849-2025</t>
        </is>
      </c>
      <c r="B507" s="1" t="n">
        <v>46003.38026620371</v>
      </c>
      <c r="C507" s="1" t="n">
        <v>46029</v>
      </c>
      <c r="D507" t="inlineStr">
        <is>
          <t>JÄMTLANDS LÄN</t>
        </is>
      </c>
      <c r="E507" t="inlineStr">
        <is>
          <t>ÖSTERSUND</t>
        </is>
      </c>
      <c r="G507" t="n">
        <v>5.5</v>
      </c>
      <c r="H507" t="n">
        <v>0</v>
      </c>
      <c r="I507" t="n">
        <v>0</v>
      </c>
      <c r="J507" t="n">
        <v>0</v>
      </c>
      <c r="K507" t="n">
        <v>0</v>
      </c>
      <c r="L507" t="n">
        <v>0</v>
      </c>
      <c r="M507" t="n">
        <v>0</v>
      </c>
      <c r="N507" t="n">
        <v>0</v>
      </c>
      <c r="O507" t="n">
        <v>0</v>
      </c>
      <c r="P507" t="n">
        <v>0</v>
      </c>
      <c r="Q507" t="n">
        <v>0</v>
      </c>
      <c r="R507" s="2" t="inlineStr"/>
    </row>
    <row r="508" ht="15" customHeight="1">
      <c r="A508" t="inlineStr">
        <is>
          <t>A 61982-2025</t>
        </is>
      </c>
      <c r="B508" s="1" t="n">
        <v>46003.6159375</v>
      </c>
      <c r="C508" s="1" t="n">
        <v>46029</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46003.56467592593</v>
      </c>
      <c r="C509" s="1" t="n">
        <v>46029</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61985-2025</t>
        </is>
      </c>
      <c r="B510" s="1" t="n">
        <v>46003.62509259259</v>
      </c>
      <c r="C510" s="1" t="n">
        <v>46029</v>
      </c>
      <c r="D510" t="inlineStr">
        <is>
          <t>JÄMTLANDS LÄN</t>
        </is>
      </c>
      <c r="E510" t="inlineStr">
        <is>
          <t>ÖSTERSUND</t>
        </is>
      </c>
      <c r="G510" t="n">
        <v>4.2</v>
      </c>
      <c r="H510" t="n">
        <v>0</v>
      </c>
      <c r="I510" t="n">
        <v>0</v>
      </c>
      <c r="J510" t="n">
        <v>0</v>
      </c>
      <c r="K510" t="n">
        <v>0</v>
      </c>
      <c r="L510" t="n">
        <v>0</v>
      </c>
      <c r="M510" t="n">
        <v>0</v>
      </c>
      <c r="N510" t="n">
        <v>0</v>
      </c>
      <c r="O510" t="n">
        <v>0</v>
      </c>
      <c r="P510" t="n">
        <v>0</v>
      </c>
      <c r="Q510" t="n">
        <v>0</v>
      </c>
      <c r="R510" s="2" t="inlineStr"/>
    </row>
    <row r="511" ht="15" customHeight="1">
      <c r="A511" t="inlineStr">
        <is>
          <t>A 54133-2025</t>
        </is>
      </c>
      <c r="B511" s="1" t="n">
        <v>45964.46944444445</v>
      </c>
      <c r="C511" s="1" t="n">
        <v>46029</v>
      </c>
      <c r="D511" t="inlineStr">
        <is>
          <t>JÄMTLANDS LÄN</t>
        </is>
      </c>
      <c r="E511" t="inlineStr">
        <is>
          <t>ÖSTERSUND</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62175-2025</t>
        </is>
      </c>
      <c r="B512" s="1" t="n">
        <v>46006.51155092593</v>
      </c>
      <c r="C512" s="1" t="n">
        <v>46029</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54667-2025</t>
        </is>
      </c>
      <c r="B513" s="1" t="n">
        <v>45966.4077662037</v>
      </c>
      <c r="C513" s="1" t="n">
        <v>46029</v>
      </c>
      <c r="D513" t="inlineStr">
        <is>
          <t>JÄMTLANDS LÄN</t>
        </is>
      </c>
      <c r="E513" t="inlineStr">
        <is>
          <t>ÖSTERSUND</t>
        </is>
      </c>
      <c r="G513" t="n">
        <v>6.8</v>
      </c>
      <c r="H513" t="n">
        <v>0</v>
      </c>
      <c r="I513" t="n">
        <v>0</v>
      </c>
      <c r="J513" t="n">
        <v>0</v>
      </c>
      <c r="K513" t="n">
        <v>0</v>
      </c>
      <c r="L513" t="n">
        <v>0</v>
      </c>
      <c r="M513" t="n">
        <v>0</v>
      </c>
      <c r="N513" t="n">
        <v>0</v>
      </c>
      <c r="O513" t="n">
        <v>0</v>
      </c>
      <c r="P513" t="n">
        <v>0</v>
      </c>
      <c r="Q513" t="n">
        <v>0</v>
      </c>
      <c r="R513" s="2" t="inlineStr"/>
    </row>
    <row r="514" ht="15" customHeight="1">
      <c r="A514" t="inlineStr">
        <is>
          <t>A 55064-2024</t>
        </is>
      </c>
      <c r="B514" s="1" t="n">
        <v>45621.41050925926</v>
      </c>
      <c r="C514" s="1" t="n">
        <v>46029</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62509-2025</t>
        </is>
      </c>
      <c r="B515" s="1" t="n">
        <v>46007.5958912037</v>
      </c>
      <c r="C515" s="1" t="n">
        <v>46029</v>
      </c>
      <c r="D515" t="inlineStr">
        <is>
          <t>JÄMTLANDS LÄN</t>
        </is>
      </c>
      <c r="E515" t="inlineStr">
        <is>
          <t>ÖSTERSUND</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10116-2025</t>
        </is>
      </c>
      <c r="B516" s="1" t="n">
        <v>45719.59836805556</v>
      </c>
      <c r="C516" s="1" t="n">
        <v>46029</v>
      </c>
      <c r="D516" t="inlineStr">
        <is>
          <t>JÄMTLANDS LÄN</t>
        </is>
      </c>
      <c r="E516" t="inlineStr">
        <is>
          <t>ÖSTERSUND</t>
        </is>
      </c>
      <c r="G516" t="n">
        <v>11.1</v>
      </c>
      <c r="H516" t="n">
        <v>0</v>
      </c>
      <c r="I516" t="n">
        <v>0</v>
      </c>
      <c r="J516" t="n">
        <v>0</v>
      </c>
      <c r="K516" t="n">
        <v>0</v>
      </c>
      <c r="L516" t="n">
        <v>0</v>
      </c>
      <c r="M516" t="n">
        <v>0</v>
      </c>
      <c r="N516" t="n">
        <v>0</v>
      </c>
      <c r="O516" t="n">
        <v>0</v>
      </c>
      <c r="P516" t="n">
        <v>0</v>
      </c>
      <c r="Q516" t="n">
        <v>0</v>
      </c>
      <c r="R516" s="2" t="inlineStr"/>
    </row>
    <row r="517" ht="15" customHeight="1">
      <c r="A517" t="inlineStr">
        <is>
          <t>A 62369-2025</t>
        </is>
      </c>
      <c r="B517" s="1" t="n">
        <v>46007.33719907407</v>
      </c>
      <c r="C517" s="1" t="n">
        <v>46029</v>
      </c>
      <c r="D517" t="inlineStr">
        <is>
          <t>JÄMTLANDS LÄN</t>
        </is>
      </c>
      <c r="E517" t="inlineStr">
        <is>
          <t>ÖSTERSUND</t>
        </is>
      </c>
      <c r="F517" t="inlineStr">
        <is>
          <t>Sveaskog</t>
        </is>
      </c>
      <c r="G517" t="n">
        <v>20.3</v>
      </c>
      <c r="H517" t="n">
        <v>0</v>
      </c>
      <c r="I517" t="n">
        <v>0</v>
      </c>
      <c r="J517" t="n">
        <v>0</v>
      </c>
      <c r="K517" t="n">
        <v>0</v>
      </c>
      <c r="L517" t="n">
        <v>0</v>
      </c>
      <c r="M517" t="n">
        <v>0</v>
      </c>
      <c r="N517" t="n">
        <v>0</v>
      </c>
      <c r="O517" t="n">
        <v>0</v>
      </c>
      <c r="P517" t="n">
        <v>0</v>
      </c>
      <c r="Q517" t="n">
        <v>0</v>
      </c>
      <c r="R517" s="2" t="inlineStr"/>
    </row>
    <row r="518" ht="15" customHeight="1">
      <c r="A518" t="inlineStr">
        <is>
          <t>A 62437-2025</t>
        </is>
      </c>
      <c r="B518" s="1" t="n">
        <v>46007.46907407408</v>
      </c>
      <c r="C518" s="1" t="n">
        <v>46029</v>
      </c>
      <c r="D518" t="inlineStr">
        <is>
          <t>JÄMTLANDS LÄN</t>
        </is>
      </c>
      <c r="E518" t="inlineStr">
        <is>
          <t>ÖSTERSUND</t>
        </is>
      </c>
      <c r="G518" t="n">
        <v>6.3</v>
      </c>
      <c r="H518" t="n">
        <v>0</v>
      </c>
      <c r="I518" t="n">
        <v>0</v>
      </c>
      <c r="J518" t="n">
        <v>0</v>
      </c>
      <c r="K518" t="n">
        <v>0</v>
      </c>
      <c r="L518" t="n">
        <v>0</v>
      </c>
      <c r="M518" t="n">
        <v>0</v>
      </c>
      <c r="N518" t="n">
        <v>0</v>
      </c>
      <c r="O518" t="n">
        <v>0</v>
      </c>
      <c r="P518" t="n">
        <v>0</v>
      </c>
      <c r="Q518" t="n">
        <v>0</v>
      </c>
      <c r="R518" s="2" t="inlineStr"/>
    </row>
    <row r="519" ht="15" customHeight="1">
      <c r="A519" t="inlineStr">
        <is>
          <t>A 62622-2025</t>
        </is>
      </c>
      <c r="B519" s="1" t="n">
        <v>46008.34438657408</v>
      </c>
      <c r="C519" s="1" t="n">
        <v>46029</v>
      </c>
      <c r="D519" t="inlineStr">
        <is>
          <t>JÄMTLANDS LÄN</t>
        </is>
      </c>
      <c r="E519" t="inlineStr">
        <is>
          <t>ÖSTERSUND</t>
        </is>
      </c>
      <c r="G519" t="n">
        <v>7.4</v>
      </c>
      <c r="H519" t="n">
        <v>0</v>
      </c>
      <c r="I519" t="n">
        <v>0</v>
      </c>
      <c r="J519" t="n">
        <v>0</v>
      </c>
      <c r="K519" t="n">
        <v>0</v>
      </c>
      <c r="L519" t="n">
        <v>0</v>
      </c>
      <c r="M519" t="n">
        <v>0</v>
      </c>
      <c r="N519" t="n">
        <v>0</v>
      </c>
      <c r="O519" t="n">
        <v>0</v>
      </c>
      <c r="P519" t="n">
        <v>0</v>
      </c>
      <c r="Q519" t="n">
        <v>0</v>
      </c>
      <c r="R519" s="2" t="inlineStr"/>
    </row>
    <row r="520" ht="15" customHeight="1">
      <c r="A520" t="inlineStr">
        <is>
          <t>A 62623-2025</t>
        </is>
      </c>
      <c r="B520" s="1" t="n">
        <v>46008.34443287037</v>
      </c>
      <c r="C520" s="1" t="n">
        <v>46029</v>
      </c>
      <c r="D520" t="inlineStr">
        <is>
          <t>JÄMTLANDS LÄN</t>
        </is>
      </c>
      <c r="E520" t="inlineStr">
        <is>
          <t>ÖSTERSUND</t>
        </is>
      </c>
      <c r="G520" t="n">
        <v>7.9</v>
      </c>
      <c r="H520" t="n">
        <v>0</v>
      </c>
      <c r="I520" t="n">
        <v>0</v>
      </c>
      <c r="J520" t="n">
        <v>0</v>
      </c>
      <c r="K520" t="n">
        <v>0</v>
      </c>
      <c r="L520" t="n">
        <v>0</v>
      </c>
      <c r="M520" t="n">
        <v>0</v>
      </c>
      <c r="N520" t="n">
        <v>0</v>
      </c>
      <c r="O520" t="n">
        <v>0</v>
      </c>
      <c r="P520" t="n">
        <v>0</v>
      </c>
      <c r="Q520" t="n">
        <v>0</v>
      </c>
      <c r="R520" s="2" t="inlineStr"/>
    </row>
    <row r="521" ht="15" customHeight="1">
      <c r="A521" t="inlineStr">
        <is>
          <t>A 62452-2025</t>
        </is>
      </c>
      <c r="B521" s="1" t="n">
        <v>46007.49001157407</v>
      </c>
      <c r="C521" s="1" t="n">
        <v>46029</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62696-2025</t>
        </is>
      </c>
      <c r="B522" s="1" t="n">
        <v>46008.48708333333</v>
      </c>
      <c r="C522" s="1" t="n">
        <v>46029</v>
      </c>
      <c r="D522" t="inlineStr">
        <is>
          <t>JÄMTLANDS LÄN</t>
        </is>
      </c>
      <c r="E522" t="inlineStr">
        <is>
          <t>ÖSTERSUND</t>
        </is>
      </c>
      <c r="G522" t="n">
        <v>11.3</v>
      </c>
      <c r="H522" t="n">
        <v>0</v>
      </c>
      <c r="I522" t="n">
        <v>0</v>
      </c>
      <c r="J522" t="n">
        <v>0</v>
      </c>
      <c r="K522" t="n">
        <v>0</v>
      </c>
      <c r="L522" t="n">
        <v>0</v>
      </c>
      <c r="M522" t="n">
        <v>0</v>
      </c>
      <c r="N522" t="n">
        <v>0</v>
      </c>
      <c r="O522" t="n">
        <v>0</v>
      </c>
      <c r="P522" t="n">
        <v>0</v>
      </c>
      <c r="Q522" t="n">
        <v>0</v>
      </c>
      <c r="R522" s="2" t="inlineStr"/>
    </row>
    <row r="523" ht="15" customHeight="1">
      <c r="A523" t="inlineStr">
        <is>
          <t>A 54528-2025</t>
        </is>
      </c>
      <c r="B523" s="1" t="n">
        <v>45965.63496527778</v>
      </c>
      <c r="C523" s="1" t="n">
        <v>46029</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8027-2022</t>
        </is>
      </c>
      <c r="B524" s="1" t="n">
        <v>44609</v>
      </c>
      <c r="C524" s="1" t="n">
        <v>46029</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19323-2024</t>
        </is>
      </c>
      <c r="B525" s="1" t="n">
        <v>45428.92486111111</v>
      </c>
      <c r="C525" s="1" t="n">
        <v>46029</v>
      </c>
      <c r="D525" t="inlineStr">
        <is>
          <t>JÄMTLANDS LÄN</t>
        </is>
      </c>
      <c r="E525" t="inlineStr">
        <is>
          <t>ÖSTERSUND</t>
        </is>
      </c>
      <c r="F525" t="inlineStr">
        <is>
          <t>Kommuner</t>
        </is>
      </c>
      <c r="G525" t="n">
        <v>0.2</v>
      </c>
      <c r="H525" t="n">
        <v>0</v>
      </c>
      <c r="I525" t="n">
        <v>0</v>
      </c>
      <c r="J525" t="n">
        <v>0</v>
      </c>
      <c r="K525" t="n">
        <v>0</v>
      </c>
      <c r="L525" t="n">
        <v>0</v>
      </c>
      <c r="M525" t="n">
        <v>0</v>
      </c>
      <c r="N525" t="n">
        <v>0</v>
      </c>
      <c r="O525" t="n">
        <v>0</v>
      </c>
      <c r="P525" t="n">
        <v>0</v>
      </c>
      <c r="Q525" t="n">
        <v>0</v>
      </c>
      <c r="R525" s="2" t="inlineStr"/>
    </row>
    <row r="526" ht="15" customHeight="1">
      <c r="A526" t="inlineStr">
        <is>
          <t>A 54965-2025</t>
        </is>
      </c>
      <c r="B526" s="1" t="n">
        <v>45967.49037037037</v>
      </c>
      <c r="C526" s="1" t="n">
        <v>46029</v>
      </c>
      <c r="D526" t="inlineStr">
        <is>
          <t>JÄMTLANDS LÄN</t>
        </is>
      </c>
      <c r="E526" t="inlineStr">
        <is>
          <t>ÖSTERSUND</t>
        </is>
      </c>
      <c r="G526" t="n">
        <v>4.3</v>
      </c>
      <c r="H526" t="n">
        <v>0</v>
      </c>
      <c r="I526" t="n">
        <v>0</v>
      </c>
      <c r="J526" t="n">
        <v>0</v>
      </c>
      <c r="K526" t="n">
        <v>0</v>
      </c>
      <c r="L526" t="n">
        <v>0</v>
      </c>
      <c r="M526" t="n">
        <v>0</v>
      </c>
      <c r="N526" t="n">
        <v>0</v>
      </c>
      <c r="O526" t="n">
        <v>0</v>
      </c>
      <c r="P526" t="n">
        <v>0</v>
      </c>
      <c r="Q526" t="n">
        <v>0</v>
      </c>
      <c r="R526" s="2" t="inlineStr"/>
    </row>
    <row r="527" ht="15" customHeight="1">
      <c r="A527" t="inlineStr">
        <is>
          <t>A 63193-2025</t>
        </is>
      </c>
      <c r="B527" s="1" t="n">
        <v>46010.45428240741</v>
      </c>
      <c r="C527" s="1" t="n">
        <v>46029</v>
      </c>
      <c r="D527" t="inlineStr">
        <is>
          <t>JÄMTLANDS LÄN</t>
        </is>
      </c>
      <c r="E527" t="inlineStr">
        <is>
          <t>ÖSTERSUND</t>
        </is>
      </c>
      <c r="G527" t="n">
        <v>9</v>
      </c>
      <c r="H527" t="n">
        <v>0</v>
      </c>
      <c r="I527" t="n">
        <v>0</v>
      </c>
      <c r="J527" t="n">
        <v>0</v>
      </c>
      <c r="K527" t="n">
        <v>0</v>
      </c>
      <c r="L527" t="n">
        <v>0</v>
      </c>
      <c r="M527" t="n">
        <v>0</v>
      </c>
      <c r="N527" t="n">
        <v>0</v>
      </c>
      <c r="O527" t="n">
        <v>0</v>
      </c>
      <c r="P527" t="n">
        <v>0</v>
      </c>
      <c r="Q527" t="n">
        <v>0</v>
      </c>
      <c r="R527" s="2" t="inlineStr"/>
      <c r="U527">
        <f>HYPERLINK("https://klasma.github.io/Logging_2380/knärot/A 63193-2025 karta knärot.png", "A 63193-2025")</f>
        <v/>
      </c>
      <c r="V527">
        <f>HYPERLINK("https://klasma.github.io/Logging_2380/klagomål/A 63193-2025 FSC-klagomål.docx", "A 63193-2025")</f>
        <v/>
      </c>
      <c r="W527">
        <f>HYPERLINK("https://klasma.github.io/Logging_2380/klagomålsmail/A 63193-2025 FSC-klagomål mail.docx", "A 63193-2025")</f>
        <v/>
      </c>
      <c r="X527">
        <f>HYPERLINK("https://klasma.github.io/Logging_2380/tillsyn/A 63193-2025 tillsynsbegäran.docx", "A 63193-2025")</f>
        <v/>
      </c>
      <c r="Y527">
        <f>HYPERLINK("https://klasma.github.io/Logging_2380/tillsynsmail/A 63193-2025 tillsynsbegäran mail.docx", "A 63193-2025")</f>
        <v/>
      </c>
    </row>
    <row r="528" ht="15" customHeight="1">
      <c r="A528" t="inlineStr">
        <is>
          <t>A 55179-2025</t>
        </is>
      </c>
      <c r="B528" s="1" t="n">
        <v>45968.53167824074</v>
      </c>
      <c r="C528" s="1" t="n">
        <v>46029</v>
      </c>
      <c r="D528" t="inlineStr">
        <is>
          <t>JÄMTLANDS LÄN</t>
        </is>
      </c>
      <c r="E528" t="inlineStr">
        <is>
          <t>ÖSTERSUND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14831-2025</t>
        </is>
      </c>
      <c r="B529" s="1" t="n">
        <v>45743.37109953703</v>
      </c>
      <c r="C529" s="1" t="n">
        <v>46029</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54931-2025</t>
        </is>
      </c>
      <c r="B530" s="1" t="n">
        <v>45967.42462962963</v>
      </c>
      <c r="C530" s="1" t="n">
        <v>46029</v>
      </c>
      <c r="D530" t="inlineStr">
        <is>
          <t>JÄMTLANDS LÄN</t>
        </is>
      </c>
      <c r="E530" t="inlineStr">
        <is>
          <t>ÖSTERSUND</t>
        </is>
      </c>
      <c r="G530" t="n">
        <v>7.1</v>
      </c>
      <c r="H530" t="n">
        <v>0</v>
      </c>
      <c r="I530" t="n">
        <v>0</v>
      </c>
      <c r="J530" t="n">
        <v>0</v>
      </c>
      <c r="K530" t="n">
        <v>0</v>
      </c>
      <c r="L530" t="n">
        <v>0</v>
      </c>
      <c r="M530" t="n">
        <v>0</v>
      </c>
      <c r="N530" t="n">
        <v>0</v>
      </c>
      <c r="O530" t="n">
        <v>0</v>
      </c>
      <c r="P530" t="n">
        <v>0</v>
      </c>
      <c r="Q530" t="n">
        <v>0</v>
      </c>
      <c r="R530" s="2" t="inlineStr"/>
    </row>
    <row r="531" ht="15" customHeight="1">
      <c r="A531" t="inlineStr">
        <is>
          <t>A 49592-2024</t>
        </is>
      </c>
      <c r="B531" s="1" t="n">
        <v>45596.55266203704</v>
      </c>
      <c r="C531" s="1" t="n">
        <v>46029</v>
      </c>
      <c r="D531" t="inlineStr">
        <is>
          <t>JÄMTLANDS LÄN</t>
        </is>
      </c>
      <c r="E531" t="inlineStr">
        <is>
          <t>ÖSTERSUND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63245-2025</t>
        </is>
      </c>
      <c r="B532" s="1" t="n">
        <v>46010.53825231481</v>
      </c>
      <c r="C532" s="1" t="n">
        <v>46029</v>
      </c>
      <c r="D532" t="inlineStr">
        <is>
          <t>JÄMTLANDS LÄN</t>
        </is>
      </c>
      <c r="E532" t="inlineStr">
        <is>
          <t>ÖSTERSUND</t>
        </is>
      </c>
      <c r="G532" t="n">
        <v>1.8</v>
      </c>
      <c r="H532" t="n">
        <v>0</v>
      </c>
      <c r="I532" t="n">
        <v>0</v>
      </c>
      <c r="J532" t="n">
        <v>0</v>
      </c>
      <c r="K532" t="n">
        <v>0</v>
      </c>
      <c r="L532" t="n">
        <v>0</v>
      </c>
      <c r="M532" t="n">
        <v>0</v>
      </c>
      <c r="N532" t="n">
        <v>0</v>
      </c>
      <c r="O532" t="n">
        <v>0</v>
      </c>
      <c r="P532" t="n">
        <v>0</v>
      </c>
      <c r="Q532" t="n">
        <v>0</v>
      </c>
      <c r="R532" s="2" t="inlineStr"/>
    </row>
    <row r="533" ht="15" customHeight="1">
      <c r="A533" t="inlineStr">
        <is>
          <t>A 56847-2024</t>
        </is>
      </c>
      <c r="B533" s="1" t="n">
        <v>45628.53381944444</v>
      </c>
      <c r="C533" s="1" t="n">
        <v>46029</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44798-2023</t>
        </is>
      </c>
      <c r="B534" s="1" t="n">
        <v>45190</v>
      </c>
      <c r="C534" s="1" t="n">
        <v>46029</v>
      </c>
      <c r="D534" t="inlineStr">
        <is>
          <t>JÄMTLANDS LÄN</t>
        </is>
      </c>
      <c r="E534" t="inlineStr">
        <is>
          <t>ÖSTERSUND</t>
        </is>
      </c>
      <c r="G534" t="n">
        <v>1.1</v>
      </c>
      <c r="H534" t="n">
        <v>0</v>
      </c>
      <c r="I534" t="n">
        <v>0</v>
      </c>
      <c r="J534" t="n">
        <v>0</v>
      </c>
      <c r="K534" t="n">
        <v>0</v>
      </c>
      <c r="L534" t="n">
        <v>0</v>
      </c>
      <c r="M534" t="n">
        <v>0</v>
      </c>
      <c r="N534" t="n">
        <v>0</v>
      </c>
      <c r="O534" t="n">
        <v>0</v>
      </c>
      <c r="P534" t="n">
        <v>0</v>
      </c>
      <c r="Q534" t="n">
        <v>0</v>
      </c>
      <c r="R534" s="2" t="inlineStr"/>
    </row>
    <row r="535" ht="15" customHeight="1">
      <c r="A535" t="inlineStr">
        <is>
          <t>A 61376-2024</t>
        </is>
      </c>
      <c r="B535" s="1" t="n">
        <v>45646.39434027778</v>
      </c>
      <c r="C535" s="1" t="n">
        <v>46029</v>
      </c>
      <c r="D535" t="inlineStr">
        <is>
          <t>JÄMTLANDS LÄN</t>
        </is>
      </c>
      <c r="E535" t="inlineStr">
        <is>
          <t>ÖSTERSUND</t>
        </is>
      </c>
      <c r="G535" t="n">
        <v>4.6</v>
      </c>
      <c r="H535" t="n">
        <v>0</v>
      </c>
      <c r="I535" t="n">
        <v>0</v>
      </c>
      <c r="J535" t="n">
        <v>0</v>
      </c>
      <c r="K535" t="n">
        <v>0</v>
      </c>
      <c r="L535" t="n">
        <v>0</v>
      </c>
      <c r="M535" t="n">
        <v>0</v>
      </c>
      <c r="N535" t="n">
        <v>0</v>
      </c>
      <c r="O535" t="n">
        <v>0</v>
      </c>
      <c r="P535" t="n">
        <v>0</v>
      </c>
      <c r="Q535" t="n">
        <v>0</v>
      </c>
      <c r="R535" s="2" t="inlineStr"/>
    </row>
    <row r="536" ht="15" customHeight="1">
      <c r="A536" t="inlineStr">
        <is>
          <t>A 49788-2024</t>
        </is>
      </c>
      <c r="B536" s="1" t="n">
        <v>45597.36623842592</v>
      </c>
      <c r="C536" s="1" t="n">
        <v>46029</v>
      </c>
      <c r="D536" t="inlineStr">
        <is>
          <t>JÄMTLANDS LÄN</t>
        </is>
      </c>
      <c r="E536" t="inlineStr">
        <is>
          <t>ÖSTERSUND</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63195-2025</t>
        </is>
      </c>
      <c r="B537" s="1" t="n">
        <v>46010.45680555556</v>
      </c>
      <c r="C537" s="1" t="n">
        <v>46029</v>
      </c>
      <c r="D537" t="inlineStr">
        <is>
          <t>JÄMTLANDS LÄN</t>
        </is>
      </c>
      <c r="E537" t="inlineStr">
        <is>
          <t>ÖSTERSUND</t>
        </is>
      </c>
      <c r="G537" t="n">
        <v>1.7</v>
      </c>
      <c r="H537" t="n">
        <v>0</v>
      </c>
      <c r="I537" t="n">
        <v>0</v>
      </c>
      <c r="J537" t="n">
        <v>0</v>
      </c>
      <c r="K537" t="n">
        <v>0</v>
      </c>
      <c r="L537" t="n">
        <v>0</v>
      </c>
      <c r="M537" t="n">
        <v>0</v>
      </c>
      <c r="N537" t="n">
        <v>0</v>
      </c>
      <c r="O537" t="n">
        <v>0</v>
      </c>
      <c r="P537" t="n">
        <v>0</v>
      </c>
      <c r="Q537" t="n">
        <v>0</v>
      </c>
      <c r="R537" s="2" t="inlineStr"/>
    </row>
    <row r="538" ht="15" customHeight="1">
      <c r="A538" t="inlineStr">
        <is>
          <t>A 58406-2024</t>
        </is>
      </c>
      <c r="B538" s="1" t="n">
        <v>45634.70898148148</v>
      </c>
      <c r="C538" s="1" t="n">
        <v>46029</v>
      </c>
      <c r="D538" t="inlineStr">
        <is>
          <t>JÄMTLANDS LÄN</t>
        </is>
      </c>
      <c r="E538" t="inlineStr">
        <is>
          <t>ÖSTERSUND</t>
        </is>
      </c>
      <c r="G538" t="n">
        <v>3.8</v>
      </c>
      <c r="H538" t="n">
        <v>0</v>
      </c>
      <c r="I538" t="n">
        <v>0</v>
      </c>
      <c r="J538" t="n">
        <v>0</v>
      </c>
      <c r="K538" t="n">
        <v>0</v>
      </c>
      <c r="L538" t="n">
        <v>0</v>
      </c>
      <c r="M538" t="n">
        <v>0</v>
      </c>
      <c r="N538" t="n">
        <v>0</v>
      </c>
      <c r="O538" t="n">
        <v>0</v>
      </c>
      <c r="P538" t="n">
        <v>0</v>
      </c>
      <c r="Q538" t="n">
        <v>0</v>
      </c>
      <c r="R538" s="2" t="inlineStr"/>
    </row>
    <row r="539" ht="15" customHeight="1">
      <c r="A539" t="inlineStr">
        <is>
          <t>A 61002-2024</t>
        </is>
      </c>
      <c r="B539" s="1" t="n">
        <v>45645.44158564815</v>
      </c>
      <c r="C539" s="1" t="n">
        <v>46029</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33501-2023</t>
        </is>
      </c>
      <c r="B540" s="1" t="n">
        <v>45118</v>
      </c>
      <c r="C540" s="1" t="n">
        <v>46029</v>
      </c>
      <c r="D540" t="inlineStr">
        <is>
          <t>JÄMTLANDS LÄN</t>
        </is>
      </c>
      <c r="E540" t="inlineStr">
        <is>
          <t>ÖSTERSUND</t>
        </is>
      </c>
      <c r="G540" t="n">
        <v>5.8</v>
      </c>
      <c r="H540" t="n">
        <v>0</v>
      </c>
      <c r="I540" t="n">
        <v>0</v>
      </c>
      <c r="J540" t="n">
        <v>0</v>
      </c>
      <c r="K540" t="n">
        <v>0</v>
      </c>
      <c r="L540" t="n">
        <v>0</v>
      </c>
      <c r="M540" t="n">
        <v>0</v>
      </c>
      <c r="N540" t="n">
        <v>0</v>
      </c>
      <c r="O540" t="n">
        <v>0</v>
      </c>
      <c r="P540" t="n">
        <v>0</v>
      </c>
      <c r="Q540" t="n">
        <v>0</v>
      </c>
      <c r="R540" s="2" t="inlineStr"/>
    </row>
    <row r="541" ht="15" customHeight="1">
      <c r="A541" t="inlineStr">
        <is>
          <t>A 231-2022</t>
        </is>
      </c>
      <c r="B541" s="1" t="n">
        <v>44564.93909722222</v>
      </c>
      <c r="C541" s="1" t="n">
        <v>46029</v>
      </c>
      <c r="D541" t="inlineStr">
        <is>
          <t>JÄMTLANDS LÄN</t>
        </is>
      </c>
      <c r="E541" t="inlineStr">
        <is>
          <t>ÖSTERSUND</t>
        </is>
      </c>
      <c r="G541" t="n">
        <v>1.9</v>
      </c>
      <c r="H541" t="n">
        <v>0</v>
      </c>
      <c r="I541" t="n">
        <v>0</v>
      </c>
      <c r="J541" t="n">
        <v>0</v>
      </c>
      <c r="K541" t="n">
        <v>0</v>
      </c>
      <c r="L541" t="n">
        <v>0</v>
      </c>
      <c r="M541" t="n">
        <v>0</v>
      </c>
      <c r="N541" t="n">
        <v>0</v>
      </c>
      <c r="O541" t="n">
        <v>0</v>
      </c>
      <c r="P541" t="n">
        <v>0</v>
      </c>
      <c r="Q541" t="n">
        <v>0</v>
      </c>
      <c r="R541" s="2" t="inlineStr"/>
    </row>
    <row r="542" ht="15" customHeight="1">
      <c r="A542" t="inlineStr">
        <is>
          <t>A 52854-2024</t>
        </is>
      </c>
      <c r="B542" s="1" t="n">
        <v>45610.61030092592</v>
      </c>
      <c r="C542" s="1" t="n">
        <v>46029</v>
      </c>
      <c r="D542" t="inlineStr">
        <is>
          <t>JÄMTLANDS LÄN</t>
        </is>
      </c>
      <c r="E542" t="inlineStr">
        <is>
          <t>ÖSTERSUND</t>
        </is>
      </c>
      <c r="G542" t="n">
        <v>2.5</v>
      </c>
      <c r="H542" t="n">
        <v>0</v>
      </c>
      <c r="I542" t="n">
        <v>0</v>
      </c>
      <c r="J542" t="n">
        <v>0</v>
      </c>
      <c r="K542" t="n">
        <v>0</v>
      </c>
      <c r="L542" t="n">
        <v>0</v>
      </c>
      <c r="M542" t="n">
        <v>0</v>
      </c>
      <c r="N542" t="n">
        <v>0</v>
      </c>
      <c r="O542" t="n">
        <v>0</v>
      </c>
      <c r="P542" t="n">
        <v>0</v>
      </c>
      <c r="Q542" t="n">
        <v>0</v>
      </c>
      <c r="R542" s="2" t="inlineStr"/>
    </row>
    <row r="543" ht="15" customHeight="1">
      <c r="A543" t="inlineStr">
        <is>
          <t>A 63693-2025</t>
        </is>
      </c>
      <c r="B543" s="1" t="n">
        <v>46014.5496875</v>
      </c>
      <c r="C543" s="1" t="n">
        <v>46029</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8216-2025</t>
        </is>
      </c>
      <c r="B544" s="1" t="n">
        <v>45708.44947916667</v>
      </c>
      <c r="C544" s="1" t="n">
        <v>46029</v>
      </c>
      <c r="D544" t="inlineStr">
        <is>
          <t>JÄMTLANDS LÄN</t>
        </is>
      </c>
      <c r="E544" t="inlineStr">
        <is>
          <t>ÖSTERSUND</t>
        </is>
      </c>
      <c r="F544" t="inlineStr">
        <is>
          <t>Övriga Aktiebolag</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3615-2025</t>
        </is>
      </c>
      <c r="B545" s="1" t="n">
        <v>45681.36493055556</v>
      </c>
      <c r="C545" s="1" t="n">
        <v>46029</v>
      </c>
      <c r="D545" t="inlineStr">
        <is>
          <t>JÄMTLANDS LÄN</t>
        </is>
      </c>
      <c r="E545" t="inlineStr">
        <is>
          <t>ÖSTERSUND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63516-2025</t>
        </is>
      </c>
      <c r="B546" s="1" t="n">
        <v>46013.50993055556</v>
      </c>
      <c r="C546" s="1" t="n">
        <v>46029</v>
      </c>
      <c r="D546" t="inlineStr">
        <is>
          <t>JÄMTLANDS LÄN</t>
        </is>
      </c>
      <c r="E546" t="inlineStr">
        <is>
          <t>ÖSTERSUND</t>
        </is>
      </c>
      <c r="G546" t="n">
        <v>4.8</v>
      </c>
      <c r="H546" t="n">
        <v>0</v>
      </c>
      <c r="I546" t="n">
        <v>0</v>
      </c>
      <c r="J546" t="n">
        <v>0</v>
      </c>
      <c r="K546" t="n">
        <v>0</v>
      </c>
      <c r="L546" t="n">
        <v>0</v>
      </c>
      <c r="M546" t="n">
        <v>0</v>
      </c>
      <c r="N546" t="n">
        <v>0</v>
      </c>
      <c r="O546" t="n">
        <v>0</v>
      </c>
      <c r="P546" t="n">
        <v>0</v>
      </c>
      <c r="Q546" t="n">
        <v>0</v>
      </c>
      <c r="R546" s="2" t="inlineStr"/>
    </row>
    <row r="547" ht="15" customHeight="1">
      <c r="A547" t="inlineStr">
        <is>
          <t>A 3651-2025</t>
        </is>
      </c>
      <c r="B547" s="1" t="n">
        <v>45681.40689814815</v>
      </c>
      <c r="C547" s="1" t="n">
        <v>46029</v>
      </c>
      <c r="D547" t="inlineStr">
        <is>
          <t>JÄMTLANDS LÄN</t>
        </is>
      </c>
      <c r="E547" t="inlineStr">
        <is>
          <t>ÖSTERSUND</t>
        </is>
      </c>
      <c r="F547" t="inlineStr">
        <is>
          <t>SCA</t>
        </is>
      </c>
      <c r="G547" t="n">
        <v>9.6</v>
      </c>
      <c r="H547" t="n">
        <v>0</v>
      </c>
      <c r="I547" t="n">
        <v>0</v>
      </c>
      <c r="J547" t="n">
        <v>0</v>
      </c>
      <c r="K547" t="n">
        <v>0</v>
      </c>
      <c r="L547" t="n">
        <v>0</v>
      </c>
      <c r="M547" t="n">
        <v>0</v>
      </c>
      <c r="N547" t="n">
        <v>0</v>
      </c>
      <c r="O547" t="n">
        <v>0</v>
      </c>
      <c r="P547" t="n">
        <v>0</v>
      </c>
      <c r="Q547" t="n">
        <v>0</v>
      </c>
      <c r="R547" s="2" t="inlineStr"/>
    </row>
    <row r="548" ht="15" customHeight="1">
      <c r="A548" t="inlineStr">
        <is>
          <t>A 3664-2025</t>
        </is>
      </c>
      <c r="B548" s="1" t="n">
        <v>45681.4275462963</v>
      </c>
      <c r="C548" s="1" t="n">
        <v>46029</v>
      </c>
      <c r="D548" t="inlineStr">
        <is>
          <t>JÄMTLANDS LÄN</t>
        </is>
      </c>
      <c r="E548" t="inlineStr">
        <is>
          <t>ÖSTERSUND</t>
        </is>
      </c>
      <c r="F548" t="inlineStr">
        <is>
          <t>SCA</t>
        </is>
      </c>
      <c r="G548" t="n">
        <v>10.9</v>
      </c>
      <c r="H548" t="n">
        <v>0</v>
      </c>
      <c r="I548" t="n">
        <v>0</v>
      </c>
      <c r="J548" t="n">
        <v>0</v>
      </c>
      <c r="K548" t="n">
        <v>0</v>
      </c>
      <c r="L548" t="n">
        <v>0</v>
      </c>
      <c r="M548" t="n">
        <v>0</v>
      </c>
      <c r="N548" t="n">
        <v>0</v>
      </c>
      <c r="O548" t="n">
        <v>0</v>
      </c>
      <c r="P548" t="n">
        <v>0</v>
      </c>
      <c r="Q548" t="n">
        <v>0</v>
      </c>
      <c r="R548" s="2" t="inlineStr"/>
    </row>
    <row r="549" ht="15" customHeight="1">
      <c r="A549" t="inlineStr">
        <is>
          <t>A 12429-2025</t>
        </is>
      </c>
      <c r="B549" s="1" t="n">
        <v>45730.45930555555</v>
      </c>
      <c r="C549" s="1" t="n">
        <v>46029</v>
      </c>
      <c r="D549" t="inlineStr">
        <is>
          <t>JÄMTLANDS LÄN</t>
        </is>
      </c>
      <c r="E549" t="inlineStr">
        <is>
          <t>ÖSTERSUND</t>
        </is>
      </c>
      <c r="F549" t="inlineStr">
        <is>
          <t>Övriga Aktiebolag</t>
        </is>
      </c>
      <c r="G549" t="n">
        <v>4.4</v>
      </c>
      <c r="H549" t="n">
        <v>0</v>
      </c>
      <c r="I549" t="n">
        <v>0</v>
      </c>
      <c r="J549" t="n">
        <v>0</v>
      </c>
      <c r="K549" t="n">
        <v>0</v>
      </c>
      <c r="L549" t="n">
        <v>0</v>
      </c>
      <c r="M549" t="n">
        <v>0</v>
      </c>
      <c r="N549" t="n">
        <v>0</v>
      </c>
      <c r="O549" t="n">
        <v>0</v>
      </c>
      <c r="P549" t="n">
        <v>0</v>
      </c>
      <c r="Q549" t="n">
        <v>0</v>
      </c>
      <c r="R549" s="2" t="inlineStr"/>
    </row>
    <row r="550" ht="15" customHeight="1">
      <c r="A550" t="inlineStr">
        <is>
          <t>A 63475-2025</t>
        </is>
      </c>
      <c r="B550" s="1" t="n">
        <v>46013.4459375</v>
      </c>
      <c r="C550" s="1" t="n">
        <v>46029</v>
      </c>
      <c r="D550" t="inlineStr">
        <is>
          <t>JÄMTLANDS LÄN</t>
        </is>
      </c>
      <c r="E550" t="inlineStr">
        <is>
          <t>ÖSTERSUND</t>
        </is>
      </c>
      <c r="G550" t="n">
        <v>4.4</v>
      </c>
      <c r="H550" t="n">
        <v>0</v>
      </c>
      <c r="I550" t="n">
        <v>0</v>
      </c>
      <c r="J550" t="n">
        <v>0</v>
      </c>
      <c r="K550" t="n">
        <v>0</v>
      </c>
      <c r="L550" t="n">
        <v>0</v>
      </c>
      <c r="M550" t="n">
        <v>0</v>
      </c>
      <c r="N550" t="n">
        <v>0</v>
      </c>
      <c r="O550" t="n">
        <v>0</v>
      </c>
      <c r="P550" t="n">
        <v>0</v>
      </c>
      <c r="Q550" t="n">
        <v>0</v>
      </c>
      <c r="R550" s="2" t="inlineStr"/>
    </row>
    <row r="551" ht="15" customHeight="1">
      <c r="A551" t="inlineStr">
        <is>
          <t>A 56165-2025</t>
        </is>
      </c>
      <c r="B551" s="1" t="n">
        <v>45974.38310185185</v>
      </c>
      <c r="C551" s="1" t="n">
        <v>46029</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5140-2025</t>
        </is>
      </c>
      <c r="B552" s="1" t="n">
        <v>45691</v>
      </c>
      <c r="C552" s="1" t="n">
        <v>46029</v>
      </c>
      <c r="D552" t="inlineStr">
        <is>
          <t>JÄMTLANDS LÄN</t>
        </is>
      </c>
      <c r="E552" t="inlineStr">
        <is>
          <t>ÖSTERSUND</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29703-2023</t>
        </is>
      </c>
      <c r="B553" s="1" t="n">
        <v>45107</v>
      </c>
      <c r="C553" s="1" t="n">
        <v>46029</v>
      </c>
      <c r="D553" t="inlineStr">
        <is>
          <t>JÄMTLANDS LÄN</t>
        </is>
      </c>
      <c r="E553" t="inlineStr">
        <is>
          <t>ÖSTERSUND</t>
        </is>
      </c>
      <c r="G553" t="n">
        <v>0.3</v>
      </c>
      <c r="H553" t="n">
        <v>0</v>
      </c>
      <c r="I553" t="n">
        <v>0</v>
      </c>
      <c r="J553" t="n">
        <v>0</v>
      </c>
      <c r="K553" t="n">
        <v>0</v>
      </c>
      <c r="L553" t="n">
        <v>0</v>
      </c>
      <c r="M553" t="n">
        <v>0</v>
      </c>
      <c r="N553" t="n">
        <v>0</v>
      </c>
      <c r="O553" t="n">
        <v>0</v>
      </c>
      <c r="P553" t="n">
        <v>0</v>
      </c>
      <c r="Q553" t="n">
        <v>0</v>
      </c>
      <c r="R553" s="2" t="inlineStr"/>
    </row>
    <row r="554" ht="15" customHeight="1">
      <c r="A554" t="inlineStr">
        <is>
          <t>A 18429-2025</t>
        </is>
      </c>
      <c r="B554" s="1" t="n">
        <v>45762.63375</v>
      </c>
      <c r="C554" s="1" t="n">
        <v>46029</v>
      </c>
      <c r="D554" t="inlineStr">
        <is>
          <t>JÄMTLANDS LÄN</t>
        </is>
      </c>
      <c r="E554" t="inlineStr">
        <is>
          <t>ÖSTERSUND</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51479-2023</t>
        </is>
      </c>
      <c r="B555" s="1" t="n">
        <v>45221.92429398148</v>
      </c>
      <c r="C555" s="1" t="n">
        <v>46029</v>
      </c>
      <c r="D555" t="inlineStr">
        <is>
          <t>JÄMTLANDS LÄN</t>
        </is>
      </c>
      <c r="E555" t="inlineStr">
        <is>
          <t>ÖSTERSUND</t>
        </is>
      </c>
      <c r="G555" t="n">
        <v>1.9</v>
      </c>
      <c r="H555" t="n">
        <v>0</v>
      </c>
      <c r="I555" t="n">
        <v>0</v>
      </c>
      <c r="J555" t="n">
        <v>0</v>
      </c>
      <c r="K555" t="n">
        <v>0</v>
      </c>
      <c r="L555" t="n">
        <v>0</v>
      </c>
      <c r="M555" t="n">
        <v>0</v>
      </c>
      <c r="N555" t="n">
        <v>0</v>
      </c>
      <c r="O555" t="n">
        <v>0</v>
      </c>
      <c r="P555" t="n">
        <v>0</v>
      </c>
      <c r="Q555" t="n">
        <v>0</v>
      </c>
      <c r="R555" s="2" t="inlineStr"/>
    </row>
    <row r="556" ht="15" customHeight="1">
      <c r="A556" t="inlineStr">
        <is>
          <t>A 11933-2022</t>
        </is>
      </c>
      <c r="B556" s="1" t="n">
        <v>44635</v>
      </c>
      <c r="C556" s="1" t="n">
        <v>46029</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56903-2025</t>
        </is>
      </c>
      <c r="B557" s="1" t="n">
        <v>45978.57414351852</v>
      </c>
      <c r="C557" s="1" t="n">
        <v>46029</v>
      </c>
      <c r="D557" t="inlineStr">
        <is>
          <t>JÄMTLANDS LÄN</t>
        </is>
      </c>
      <c r="E557" t="inlineStr">
        <is>
          <t>ÖSTERSUND</t>
        </is>
      </c>
      <c r="G557" t="n">
        <v>3</v>
      </c>
      <c r="H557" t="n">
        <v>0</v>
      </c>
      <c r="I557" t="n">
        <v>0</v>
      </c>
      <c r="J557" t="n">
        <v>0</v>
      </c>
      <c r="K557" t="n">
        <v>0</v>
      </c>
      <c r="L557" t="n">
        <v>0</v>
      </c>
      <c r="M557" t="n">
        <v>0</v>
      </c>
      <c r="N557" t="n">
        <v>0</v>
      </c>
      <c r="O557" t="n">
        <v>0</v>
      </c>
      <c r="P557" t="n">
        <v>0</v>
      </c>
      <c r="Q557" t="n">
        <v>0</v>
      </c>
      <c r="R557" s="2" t="inlineStr"/>
    </row>
    <row r="558" ht="15" customHeight="1">
      <c r="A558" t="inlineStr">
        <is>
          <t>A 45980-2023</t>
        </is>
      </c>
      <c r="B558" s="1" t="n">
        <v>45189</v>
      </c>
      <c r="C558" s="1" t="n">
        <v>46029</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53660-2024</t>
        </is>
      </c>
      <c r="B559" s="1" t="n">
        <v>45615.31297453704</v>
      </c>
      <c r="C559" s="1" t="n">
        <v>46029</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63861-2025</t>
        </is>
      </c>
      <c r="B560" s="1" t="n">
        <v>46020.49056712963</v>
      </c>
      <c r="C560" s="1" t="n">
        <v>46029</v>
      </c>
      <c r="D560" t="inlineStr">
        <is>
          <t>JÄMTLANDS LÄN</t>
        </is>
      </c>
      <c r="E560" t="inlineStr">
        <is>
          <t>ÖSTERSUND</t>
        </is>
      </c>
      <c r="G560" t="n">
        <v>1</v>
      </c>
      <c r="H560" t="n">
        <v>0</v>
      </c>
      <c r="I560" t="n">
        <v>0</v>
      </c>
      <c r="J560" t="n">
        <v>0</v>
      </c>
      <c r="K560" t="n">
        <v>0</v>
      </c>
      <c r="L560" t="n">
        <v>0</v>
      </c>
      <c r="M560" t="n">
        <v>0</v>
      </c>
      <c r="N560" t="n">
        <v>0</v>
      </c>
      <c r="O560" t="n">
        <v>0</v>
      </c>
      <c r="P560" t="n">
        <v>0</v>
      </c>
      <c r="Q560" t="n">
        <v>0</v>
      </c>
      <c r="R560" s="2" t="inlineStr"/>
    </row>
    <row r="561" ht="15" customHeight="1">
      <c r="A561" t="inlineStr">
        <is>
          <t>A 19566-2024</t>
        </is>
      </c>
      <c r="B561" s="1" t="n">
        <v>45429.92313657407</v>
      </c>
      <c r="C561" s="1" t="n">
        <v>46029</v>
      </c>
      <c r="D561" t="inlineStr">
        <is>
          <t>JÄMTLANDS LÄN</t>
        </is>
      </c>
      <c r="E561" t="inlineStr">
        <is>
          <t>ÖSTERSUND</t>
        </is>
      </c>
      <c r="G561" t="n">
        <v>0</v>
      </c>
      <c r="H561" t="n">
        <v>0</v>
      </c>
      <c r="I561" t="n">
        <v>0</v>
      </c>
      <c r="J561" t="n">
        <v>0</v>
      </c>
      <c r="K561" t="n">
        <v>0</v>
      </c>
      <c r="L561" t="n">
        <v>0</v>
      </c>
      <c r="M561" t="n">
        <v>0</v>
      </c>
      <c r="N561" t="n">
        <v>0</v>
      </c>
      <c r="O561" t="n">
        <v>0</v>
      </c>
      <c r="P561" t="n">
        <v>0</v>
      </c>
      <c r="Q561" t="n">
        <v>0</v>
      </c>
      <c r="R561" s="2" t="inlineStr"/>
    </row>
    <row r="562" ht="15" customHeight="1">
      <c r="A562" t="inlineStr">
        <is>
          <t>A 56690-2025</t>
        </is>
      </c>
      <c r="B562" s="1" t="n">
        <v>45976.58684027778</v>
      </c>
      <c r="C562" s="1" t="n">
        <v>46029</v>
      </c>
      <c r="D562" t="inlineStr">
        <is>
          <t>JÄMTLANDS LÄN</t>
        </is>
      </c>
      <c r="E562" t="inlineStr">
        <is>
          <t>ÖSTERSUND</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21495-2022</t>
        </is>
      </c>
      <c r="B563" s="1" t="n">
        <v>44706</v>
      </c>
      <c r="C563" s="1" t="n">
        <v>46029</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63856-2025</t>
        </is>
      </c>
      <c r="B564" s="1" t="n">
        <v>46020.47796296296</v>
      </c>
      <c r="C564" s="1" t="n">
        <v>46029</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61836-2025</t>
        </is>
      </c>
      <c r="B565" s="1" t="n">
        <v>46003</v>
      </c>
      <c r="C565" s="1" t="n">
        <v>46029</v>
      </c>
      <c r="D565" t="inlineStr">
        <is>
          <t>JÄMTLANDS LÄN</t>
        </is>
      </c>
      <c r="E565" t="inlineStr">
        <is>
          <t>ÖSTERSUND</t>
        </is>
      </c>
      <c r="G565" t="n">
        <v>4.6</v>
      </c>
      <c r="H565" t="n">
        <v>0</v>
      </c>
      <c r="I565" t="n">
        <v>0</v>
      </c>
      <c r="J565" t="n">
        <v>0</v>
      </c>
      <c r="K565" t="n">
        <v>0</v>
      </c>
      <c r="L565" t="n">
        <v>0</v>
      </c>
      <c r="M565" t="n">
        <v>0</v>
      </c>
      <c r="N565" t="n">
        <v>0</v>
      </c>
      <c r="O565" t="n">
        <v>0</v>
      </c>
      <c r="P565" t="n">
        <v>0</v>
      </c>
      <c r="Q565" t="n">
        <v>0</v>
      </c>
      <c r="R565" s="2" t="inlineStr"/>
    </row>
    <row r="566" ht="15" customHeight="1">
      <c r="A566" t="inlineStr">
        <is>
          <t>A 12102-2025</t>
        </is>
      </c>
      <c r="B566" s="1" t="n">
        <v>45729.3425</v>
      </c>
      <c r="C566" s="1" t="n">
        <v>46029</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63981-2025</t>
        </is>
      </c>
      <c r="B567" s="1" t="n">
        <v>46021.34450231482</v>
      </c>
      <c r="C567" s="1" t="n">
        <v>46029</v>
      </c>
      <c r="D567" t="inlineStr">
        <is>
          <t>JÄMTLANDS LÄN</t>
        </is>
      </c>
      <c r="E567" t="inlineStr">
        <is>
          <t>ÖSTERSUND</t>
        </is>
      </c>
      <c r="G567" t="n">
        <v>17.7</v>
      </c>
      <c r="H567" t="n">
        <v>0</v>
      </c>
      <c r="I567" t="n">
        <v>0</v>
      </c>
      <c r="J567" t="n">
        <v>0</v>
      </c>
      <c r="K567" t="n">
        <v>0</v>
      </c>
      <c r="L567" t="n">
        <v>0</v>
      </c>
      <c r="M567" t="n">
        <v>0</v>
      </c>
      <c r="N567" t="n">
        <v>0</v>
      </c>
      <c r="O567" t="n">
        <v>0</v>
      </c>
      <c r="P567" t="n">
        <v>0</v>
      </c>
      <c r="Q567" t="n">
        <v>0</v>
      </c>
      <c r="R567" s="2" t="inlineStr"/>
    </row>
    <row r="568" ht="15" customHeight="1">
      <c r="A568" t="inlineStr">
        <is>
          <t>A 61611-2025</t>
        </is>
      </c>
      <c r="B568" s="1" t="n">
        <v>46002</v>
      </c>
      <c r="C568" s="1" t="n">
        <v>46029</v>
      </c>
      <c r="D568" t="inlineStr">
        <is>
          <t>JÄMTLANDS LÄN</t>
        </is>
      </c>
      <c r="E568" t="inlineStr">
        <is>
          <t>ÖSTERSUND</t>
        </is>
      </c>
      <c r="G568" t="n">
        <v>5</v>
      </c>
      <c r="H568" t="n">
        <v>0</v>
      </c>
      <c r="I568" t="n">
        <v>0</v>
      </c>
      <c r="J568" t="n">
        <v>0</v>
      </c>
      <c r="K568" t="n">
        <v>0</v>
      </c>
      <c r="L568" t="n">
        <v>0</v>
      </c>
      <c r="M568" t="n">
        <v>0</v>
      </c>
      <c r="N568" t="n">
        <v>0</v>
      </c>
      <c r="O568" t="n">
        <v>0</v>
      </c>
      <c r="P568" t="n">
        <v>0</v>
      </c>
      <c r="Q568" t="n">
        <v>0</v>
      </c>
      <c r="R568" s="2" t="inlineStr"/>
    </row>
    <row r="569" ht="15" customHeight="1">
      <c r="A569" t="inlineStr">
        <is>
          <t>A 63982-2025</t>
        </is>
      </c>
      <c r="B569" s="1" t="n">
        <v>46021.34454861111</v>
      </c>
      <c r="C569" s="1" t="n">
        <v>46029</v>
      </c>
      <c r="D569" t="inlineStr">
        <is>
          <t>JÄMTLANDS LÄN</t>
        </is>
      </c>
      <c r="E569" t="inlineStr">
        <is>
          <t>ÖSTERSUND</t>
        </is>
      </c>
      <c r="G569" t="n">
        <v>6.5</v>
      </c>
      <c r="H569" t="n">
        <v>0</v>
      </c>
      <c r="I569" t="n">
        <v>0</v>
      </c>
      <c r="J569" t="n">
        <v>0</v>
      </c>
      <c r="K569" t="n">
        <v>0</v>
      </c>
      <c r="L569" t="n">
        <v>0</v>
      </c>
      <c r="M569" t="n">
        <v>0</v>
      </c>
      <c r="N569" t="n">
        <v>0</v>
      </c>
      <c r="O569" t="n">
        <v>0</v>
      </c>
      <c r="P569" t="n">
        <v>0</v>
      </c>
      <c r="Q569" t="n">
        <v>0</v>
      </c>
      <c r="R569" s="2" t="inlineStr"/>
    </row>
    <row r="570" ht="15" customHeight="1">
      <c r="A570" t="inlineStr">
        <is>
          <t>A 7005-2025</t>
        </is>
      </c>
      <c r="B570" s="1" t="n">
        <v>45701.60046296296</v>
      </c>
      <c r="C570" s="1" t="n">
        <v>46029</v>
      </c>
      <c r="D570" t="inlineStr">
        <is>
          <t>JÄMTLANDS LÄN</t>
        </is>
      </c>
      <c r="E570" t="inlineStr">
        <is>
          <t>ÖSTERSUND</t>
        </is>
      </c>
      <c r="G570" t="n">
        <v>3.3</v>
      </c>
      <c r="H570" t="n">
        <v>0</v>
      </c>
      <c r="I570" t="n">
        <v>0</v>
      </c>
      <c r="J570" t="n">
        <v>0</v>
      </c>
      <c r="K570" t="n">
        <v>0</v>
      </c>
      <c r="L570" t="n">
        <v>0</v>
      </c>
      <c r="M570" t="n">
        <v>0</v>
      </c>
      <c r="N570" t="n">
        <v>0</v>
      </c>
      <c r="O570" t="n">
        <v>0</v>
      </c>
      <c r="P570" t="n">
        <v>0</v>
      </c>
      <c r="Q570" t="n">
        <v>0</v>
      </c>
      <c r="R570" s="2" t="inlineStr"/>
    </row>
    <row r="571" ht="15" customHeight="1">
      <c r="A571" t="inlineStr">
        <is>
          <t>A 57556-2024</t>
        </is>
      </c>
      <c r="B571" s="1" t="n">
        <v>45630</v>
      </c>
      <c r="C571" s="1" t="n">
        <v>46029</v>
      </c>
      <c r="D571" t="inlineStr">
        <is>
          <t>JÄMTLANDS LÄN</t>
        </is>
      </c>
      <c r="E571" t="inlineStr">
        <is>
          <t>ÖSTERSUND</t>
        </is>
      </c>
      <c r="G571" t="n">
        <v>5.5</v>
      </c>
      <c r="H571" t="n">
        <v>0</v>
      </c>
      <c r="I571" t="n">
        <v>0</v>
      </c>
      <c r="J571" t="n">
        <v>0</v>
      </c>
      <c r="K571" t="n">
        <v>0</v>
      </c>
      <c r="L571" t="n">
        <v>0</v>
      </c>
      <c r="M571" t="n">
        <v>0</v>
      </c>
      <c r="N571" t="n">
        <v>0</v>
      </c>
      <c r="O571" t="n">
        <v>0</v>
      </c>
      <c r="P571" t="n">
        <v>0</v>
      </c>
      <c r="Q571" t="n">
        <v>0</v>
      </c>
      <c r="R571" s="2" t="inlineStr"/>
    </row>
    <row r="572" ht="15" customHeight="1">
      <c r="A572" t="inlineStr">
        <is>
          <t>A 61330-2025</t>
        </is>
      </c>
      <c r="B572" s="1" t="n">
        <v>46001</v>
      </c>
      <c r="C572" s="1" t="n">
        <v>46029</v>
      </c>
      <c r="D572" t="inlineStr">
        <is>
          <t>JÄMTLANDS LÄN</t>
        </is>
      </c>
      <c r="E572" t="inlineStr">
        <is>
          <t>ÖSTERSUND</t>
        </is>
      </c>
      <c r="G572" t="n">
        <v>4.5</v>
      </c>
      <c r="H572" t="n">
        <v>0</v>
      </c>
      <c r="I572" t="n">
        <v>0</v>
      </c>
      <c r="J572" t="n">
        <v>0</v>
      </c>
      <c r="K572" t="n">
        <v>0</v>
      </c>
      <c r="L572" t="n">
        <v>0</v>
      </c>
      <c r="M572" t="n">
        <v>0</v>
      </c>
      <c r="N572" t="n">
        <v>0</v>
      </c>
      <c r="O572" t="n">
        <v>0</v>
      </c>
      <c r="P572" t="n">
        <v>0</v>
      </c>
      <c r="Q572" t="n">
        <v>0</v>
      </c>
      <c r="R572" s="2" t="inlineStr"/>
    </row>
    <row r="573" ht="15" customHeight="1">
      <c r="A573" t="inlineStr">
        <is>
          <t>A 60537-2025</t>
        </is>
      </c>
      <c r="B573" s="1" t="n">
        <v>45995</v>
      </c>
      <c r="C573" s="1" t="n">
        <v>46029</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63807-2025</t>
        </is>
      </c>
      <c r="B574" s="1" t="n">
        <v>46019</v>
      </c>
      <c r="C574" s="1" t="n">
        <v>46029</v>
      </c>
      <c r="D574" t="inlineStr">
        <is>
          <t>JÄMTLANDS LÄN</t>
        </is>
      </c>
      <c r="E574" t="inlineStr">
        <is>
          <t>ÖSTERSUND</t>
        </is>
      </c>
      <c r="G574" t="n">
        <v>2.4</v>
      </c>
      <c r="H574" t="n">
        <v>0</v>
      </c>
      <c r="I574" t="n">
        <v>0</v>
      </c>
      <c r="J574" t="n">
        <v>0</v>
      </c>
      <c r="K574" t="n">
        <v>0</v>
      </c>
      <c r="L574" t="n">
        <v>0</v>
      </c>
      <c r="M574" t="n">
        <v>0</v>
      </c>
      <c r="N574" t="n">
        <v>0</v>
      </c>
      <c r="O574" t="n">
        <v>0</v>
      </c>
      <c r="P574" t="n">
        <v>0</v>
      </c>
      <c r="Q574" t="n">
        <v>0</v>
      </c>
      <c r="R574" s="2" t="inlineStr"/>
    </row>
    <row r="575" ht="15" customHeight="1">
      <c r="A575" t="inlineStr">
        <is>
          <t>A 64022-2025</t>
        </is>
      </c>
      <c r="B575" s="1" t="n">
        <v>46021.46912037037</v>
      </c>
      <c r="C575" s="1" t="n">
        <v>46029</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8389-2025</t>
        </is>
      </c>
      <c r="B576" s="1" t="n">
        <v>45709.36497685185</v>
      </c>
      <c r="C576" s="1" t="n">
        <v>46029</v>
      </c>
      <c r="D576" t="inlineStr">
        <is>
          <t>JÄMTLANDS LÄN</t>
        </is>
      </c>
      <c r="E576" t="inlineStr">
        <is>
          <t>ÖSTERSUND</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57513-2025</t>
        </is>
      </c>
      <c r="B577" s="1" t="n">
        <v>45980.61142361111</v>
      </c>
      <c r="C577" s="1" t="n">
        <v>46029</v>
      </c>
      <c r="D577" t="inlineStr">
        <is>
          <t>JÄMTLANDS LÄN</t>
        </is>
      </c>
      <c r="E577" t="inlineStr">
        <is>
          <t>ÖSTERSUND</t>
        </is>
      </c>
      <c r="G577" t="n">
        <v>3.8</v>
      </c>
      <c r="H577" t="n">
        <v>0</v>
      </c>
      <c r="I577" t="n">
        <v>0</v>
      </c>
      <c r="J577" t="n">
        <v>0</v>
      </c>
      <c r="K577" t="n">
        <v>0</v>
      </c>
      <c r="L577" t="n">
        <v>0</v>
      </c>
      <c r="M577" t="n">
        <v>0</v>
      </c>
      <c r="N577" t="n">
        <v>0</v>
      </c>
      <c r="O577" t="n">
        <v>0</v>
      </c>
      <c r="P577" t="n">
        <v>0</v>
      </c>
      <c r="Q577" t="n">
        <v>0</v>
      </c>
      <c r="R577" s="2" t="inlineStr"/>
    </row>
    <row r="578" ht="15" customHeight="1">
      <c r="A578" t="inlineStr">
        <is>
          <t>A 58099-2025</t>
        </is>
      </c>
      <c r="B578" s="1" t="n">
        <v>45982.5862037037</v>
      </c>
      <c r="C578" s="1" t="n">
        <v>46029</v>
      </c>
      <c r="D578" t="inlineStr">
        <is>
          <t>JÄMTLANDS LÄN</t>
        </is>
      </c>
      <c r="E578" t="inlineStr">
        <is>
          <t>ÖSTERSUND</t>
        </is>
      </c>
      <c r="G578" t="n">
        <v>6.1</v>
      </c>
      <c r="H578" t="n">
        <v>0</v>
      </c>
      <c r="I578" t="n">
        <v>0</v>
      </c>
      <c r="J578" t="n">
        <v>0</v>
      </c>
      <c r="K578" t="n">
        <v>0</v>
      </c>
      <c r="L578" t="n">
        <v>0</v>
      </c>
      <c r="M578" t="n">
        <v>0</v>
      </c>
      <c r="N578" t="n">
        <v>0</v>
      </c>
      <c r="O578" t="n">
        <v>0</v>
      </c>
      <c r="P578" t="n">
        <v>0</v>
      </c>
      <c r="Q578" t="n">
        <v>0</v>
      </c>
      <c r="R578" s="2" t="inlineStr"/>
    </row>
    <row r="579" ht="15" customHeight="1">
      <c r="A579" t="inlineStr">
        <is>
          <t>A 44048-2024</t>
        </is>
      </c>
      <c r="B579" s="1" t="n">
        <v>45572.59430555555</v>
      </c>
      <c r="C579" s="1" t="n">
        <v>46029</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55235-2023</t>
        </is>
      </c>
      <c r="B580" s="1" t="n">
        <v>45231</v>
      </c>
      <c r="C580" s="1" t="n">
        <v>46029</v>
      </c>
      <c r="D580" t="inlineStr">
        <is>
          <t>JÄMTLANDS LÄN</t>
        </is>
      </c>
      <c r="E580" t="inlineStr">
        <is>
          <t>ÖSTERSUND</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4063-2025</t>
        </is>
      </c>
      <c r="B581" s="1" t="n">
        <v>45684</v>
      </c>
      <c r="C581" s="1" t="n">
        <v>46029</v>
      </c>
      <c r="D581" t="inlineStr">
        <is>
          <t>JÄMTLANDS LÄN</t>
        </is>
      </c>
      <c r="E581" t="inlineStr">
        <is>
          <t>ÖSTERSUND</t>
        </is>
      </c>
      <c r="G581" t="n">
        <v>2.9</v>
      </c>
      <c r="H581" t="n">
        <v>0</v>
      </c>
      <c r="I581" t="n">
        <v>0</v>
      </c>
      <c r="J581" t="n">
        <v>0</v>
      </c>
      <c r="K581" t="n">
        <v>0</v>
      </c>
      <c r="L581" t="n">
        <v>0</v>
      </c>
      <c r="M581" t="n">
        <v>0</v>
      </c>
      <c r="N581" t="n">
        <v>0</v>
      </c>
      <c r="O581" t="n">
        <v>0</v>
      </c>
      <c r="P581" t="n">
        <v>0</v>
      </c>
      <c r="Q581" t="n">
        <v>0</v>
      </c>
      <c r="R581" s="2" t="inlineStr"/>
    </row>
    <row r="582" ht="15" customHeight="1">
      <c r="A582" t="inlineStr">
        <is>
          <t>A 58122-2025</t>
        </is>
      </c>
      <c r="B582" s="1" t="n">
        <v>45982.61043981482</v>
      </c>
      <c r="C582" s="1" t="n">
        <v>46029</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58354-2025</t>
        </is>
      </c>
      <c r="B583" s="1" t="n">
        <v>45985.51131944444</v>
      </c>
      <c r="C583" s="1" t="n">
        <v>46029</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58440-2025</t>
        </is>
      </c>
      <c r="B584" s="1" t="n">
        <v>45985.61524305555</v>
      </c>
      <c r="C584" s="1" t="n">
        <v>46029</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7936-2025</t>
        </is>
      </c>
      <c r="B585" s="1" t="n">
        <v>45707</v>
      </c>
      <c r="C585" s="1" t="n">
        <v>46029</v>
      </c>
      <c r="D585" t="inlineStr">
        <is>
          <t>JÄMTLANDS LÄN</t>
        </is>
      </c>
      <c r="E585" t="inlineStr">
        <is>
          <t>ÖSTERSUND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7940-2025</t>
        </is>
      </c>
      <c r="B586" s="1" t="n">
        <v>45707.40493055555</v>
      </c>
      <c r="C586" s="1" t="n">
        <v>46029</v>
      </c>
      <c r="D586" t="inlineStr">
        <is>
          <t>JÄMTLANDS LÄN</t>
        </is>
      </c>
      <c r="E586" t="inlineStr">
        <is>
          <t>ÖSTERSUND</t>
        </is>
      </c>
      <c r="F586" t="inlineStr">
        <is>
          <t>Övriga Aktiebolag</t>
        </is>
      </c>
      <c r="G586" t="n">
        <v>48.1</v>
      </c>
      <c r="H586" t="n">
        <v>0</v>
      </c>
      <c r="I586" t="n">
        <v>0</v>
      </c>
      <c r="J586" t="n">
        <v>0</v>
      </c>
      <c r="K586" t="n">
        <v>0</v>
      </c>
      <c r="L586" t="n">
        <v>0</v>
      </c>
      <c r="M586" t="n">
        <v>0</v>
      </c>
      <c r="N586" t="n">
        <v>0</v>
      </c>
      <c r="O586" t="n">
        <v>0</v>
      </c>
      <c r="P586" t="n">
        <v>0</v>
      </c>
      <c r="Q586" t="n">
        <v>0</v>
      </c>
      <c r="R586" s="2" t="inlineStr"/>
    </row>
    <row r="587" ht="15" customHeight="1">
      <c r="A587" t="inlineStr">
        <is>
          <t>A 12946-2022</t>
        </is>
      </c>
      <c r="B587" s="1" t="n">
        <v>44642.93471064815</v>
      </c>
      <c r="C587" s="1" t="n">
        <v>46029</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79-2025</t>
        </is>
      </c>
      <c r="B588" s="1" t="n">
        <v>45659.44413194444</v>
      </c>
      <c r="C588" s="1" t="n">
        <v>46029</v>
      </c>
      <c r="D588" t="inlineStr">
        <is>
          <t>JÄMTLANDS LÄN</t>
        </is>
      </c>
      <c r="E588" t="inlineStr">
        <is>
          <t>ÖSTERSUND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31040-2021</t>
        </is>
      </c>
      <c r="B589" s="1" t="n">
        <v>44368</v>
      </c>
      <c r="C589" s="1" t="n">
        <v>46029</v>
      </c>
      <c r="D589" t="inlineStr">
        <is>
          <t>JÄMTLANDS LÄN</t>
        </is>
      </c>
      <c r="E589" t="inlineStr">
        <is>
          <t>ÖSTERSUND</t>
        </is>
      </c>
      <c r="G589" t="n">
        <v>4.3</v>
      </c>
      <c r="H589" t="n">
        <v>0</v>
      </c>
      <c r="I589" t="n">
        <v>0</v>
      </c>
      <c r="J589" t="n">
        <v>0</v>
      </c>
      <c r="K589" t="n">
        <v>0</v>
      </c>
      <c r="L589" t="n">
        <v>0</v>
      </c>
      <c r="M589" t="n">
        <v>0</v>
      </c>
      <c r="N589" t="n">
        <v>0</v>
      </c>
      <c r="O589" t="n">
        <v>0</v>
      </c>
      <c r="P589" t="n">
        <v>0</v>
      </c>
      <c r="Q589" t="n">
        <v>0</v>
      </c>
      <c r="R589" s="2" t="inlineStr"/>
    </row>
    <row r="590" ht="15" customHeight="1">
      <c r="A590" t="inlineStr">
        <is>
          <t>A 2753-2025</t>
        </is>
      </c>
      <c r="B590" s="1" t="n">
        <v>45677.47302083333</v>
      </c>
      <c r="C590" s="1" t="n">
        <v>46029</v>
      </c>
      <c r="D590" t="inlineStr">
        <is>
          <t>JÄMTLANDS LÄN</t>
        </is>
      </c>
      <c r="E590" t="inlineStr">
        <is>
          <t>ÖSTERSUND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379-2026</t>
        </is>
      </c>
      <c r="B591" s="1" t="n">
        <v>46027.7344212963</v>
      </c>
      <c r="C591" s="1" t="n">
        <v>46029</v>
      </c>
      <c r="D591" t="inlineStr">
        <is>
          <t>JÄMTLANDS LÄN</t>
        </is>
      </c>
      <c r="E591" t="inlineStr">
        <is>
          <t>ÖSTERSUND</t>
        </is>
      </c>
      <c r="G591" t="n">
        <v>5.6</v>
      </c>
      <c r="H591" t="n">
        <v>0</v>
      </c>
      <c r="I591" t="n">
        <v>0</v>
      </c>
      <c r="J591" t="n">
        <v>0</v>
      </c>
      <c r="K591" t="n">
        <v>0</v>
      </c>
      <c r="L591" t="n">
        <v>0</v>
      </c>
      <c r="M591" t="n">
        <v>0</v>
      </c>
      <c r="N591" t="n">
        <v>0</v>
      </c>
      <c r="O591" t="n">
        <v>0</v>
      </c>
      <c r="P591" t="n">
        <v>0</v>
      </c>
      <c r="Q591" t="n">
        <v>0</v>
      </c>
      <c r="R591" s="2" t="inlineStr"/>
    </row>
    <row r="592" ht="15" customHeight="1">
      <c r="A592" t="inlineStr">
        <is>
          <t>A 318-2026</t>
        </is>
      </c>
      <c r="B592" s="1" t="n">
        <v>46027.57334490741</v>
      </c>
      <c r="C592" s="1" t="n">
        <v>46029</v>
      </c>
      <c r="D592" t="inlineStr">
        <is>
          <t>JÄMTLANDS LÄN</t>
        </is>
      </c>
      <c r="E592" t="inlineStr">
        <is>
          <t>ÖSTERSUND</t>
        </is>
      </c>
      <c r="G592" t="n">
        <v>2</v>
      </c>
      <c r="H592" t="n">
        <v>0</v>
      </c>
      <c r="I592" t="n">
        <v>0</v>
      </c>
      <c r="J592" t="n">
        <v>0</v>
      </c>
      <c r="K592" t="n">
        <v>0</v>
      </c>
      <c r="L592" t="n">
        <v>0</v>
      </c>
      <c r="M592" t="n">
        <v>0</v>
      </c>
      <c r="N592" t="n">
        <v>0</v>
      </c>
      <c r="O592" t="n">
        <v>0</v>
      </c>
      <c r="P592" t="n">
        <v>0</v>
      </c>
      <c r="Q592" t="n">
        <v>0</v>
      </c>
      <c r="R592" s="2" t="inlineStr"/>
    </row>
    <row r="593" ht="15" customHeight="1">
      <c r="A593" t="inlineStr">
        <is>
          <t>A 58353-2025</t>
        </is>
      </c>
      <c r="B593" s="1" t="n">
        <v>45985.51128472222</v>
      </c>
      <c r="C593" s="1" t="n">
        <v>46029</v>
      </c>
      <c r="D593" t="inlineStr">
        <is>
          <t>JÄMTLANDS LÄN</t>
        </is>
      </c>
      <c r="E593" t="inlineStr">
        <is>
          <t>ÖSTERSUND</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58583-2025</t>
        </is>
      </c>
      <c r="B594" s="1" t="n">
        <v>45986.39024305555</v>
      </c>
      <c r="C594" s="1" t="n">
        <v>46029</v>
      </c>
      <c r="D594" t="inlineStr">
        <is>
          <t>JÄMTLANDS LÄN</t>
        </is>
      </c>
      <c r="E594" t="inlineStr">
        <is>
          <t>ÖSTERSUND</t>
        </is>
      </c>
      <c r="G594" t="n">
        <v>43.1</v>
      </c>
      <c r="H594" t="n">
        <v>0</v>
      </c>
      <c r="I594" t="n">
        <v>0</v>
      </c>
      <c r="J594" t="n">
        <v>0</v>
      </c>
      <c r="K594" t="n">
        <v>0</v>
      </c>
      <c r="L594" t="n">
        <v>0</v>
      </c>
      <c r="M594" t="n">
        <v>0</v>
      </c>
      <c r="N594" t="n">
        <v>0</v>
      </c>
      <c r="O594" t="n">
        <v>0</v>
      </c>
      <c r="P594" t="n">
        <v>0</v>
      </c>
      <c r="Q594" t="n">
        <v>0</v>
      </c>
      <c r="R594" s="2" t="inlineStr"/>
    </row>
    <row r="595" ht="15" customHeight="1">
      <c r="A595" t="inlineStr">
        <is>
          <t>A 44327-2023</t>
        </is>
      </c>
      <c r="B595" s="1" t="n">
        <v>45188</v>
      </c>
      <c r="C595" s="1" t="n">
        <v>46029</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27780-2022</t>
        </is>
      </c>
      <c r="B596" s="1" t="n">
        <v>44743</v>
      </c>
      <c r="C596" s="1" t="n">
        <v>46029</v>
      </c>
      <c r="D596" t="inlineStr">
        <is>
          <t>JÄMTLANDS LÄN</t>
        </is>
      </c>
      <c r="E596" t="inlineStr">
        <is>
          <t>ÖSTERSUND</t>
        </is>
      </c>
      <c r="G596" t="n">
        <v>2.2</v>
      </c>
      <c r="H596" t="n">
        <v>0</v>
      </c>
      <c r="I596" t="n">
        <v>0</v>
      </c>
      <c r="J596" t="n">
        <v>0</v>
      </c>
      <c r="K596" t="n">
        <v>0</v>
      </c>
      <c r="L596" t="n">
        <v>0</v>
      </c>
      <c r="M596" t="n">
        <v>0</v>
      </c>
      <c r="N596" t="n">
        <v>0</v>
      </c>
      <c r="O596" t="n">
        <v>0</v>
      </c>
      <c r="P596" t="n">
        <v>0</v>
      </c>
      <c r="Q596" t="n">
        <v>0</v>
      </c>
      <c r="R596" s="2" t="inlineStr"/>
    </row>
    <row r="597" ht="15" customHeight="1">
      <c r="A597" t="inlineStr">
        <is>
          <t>A 23555-2022</t>
        </is>
      </c>
      <c r="B597" s="1" t="n">
        <v>44721</v>
      </c>
      <c r="C597" s="1" t="n">
        <v>46029</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330-2026</t>
        </is>
      </c>
      <c r="B598" s="1" t="n">
        <v>46027.59451388889</v>
      </c>
      <c r="C598" s="1" t="n">
        <v>46029</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10267-2025</t>
        </is>
      </c>
      <c r="B599" s="1" t="n">
        <v>45720.3859375</v>
      </c>
      <c r="C599" s="1" t="n">
        <v>46029</v>
      </c>
      <c r="D599" t="inlineStr">
        <is>
          <t>JÄMTLANDS LÄN</t>
        </is>
      </c>
      <c r="E599" t="inlineStr">
        <is>
          <t>ÖSTERSUND</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10493-2025</t>
        </is>
      </c>
      <c r="B600" s="1" t="n">
        <v>45721.36320601852</v>
      </c>
      <c r="C600" s="1" t="n">
        <v>46029</v>
      </c>
      <c r="D600" t="inlineStr">
        <is>
          <t>JÄMTLANDS LÄN</t>
        </is>
      </c>
      <c r="E600" t="inlineStr">
        <is>
          <t>ÖSTERSUND</t>
        </is>
      </c>
      <c r="G600" t="n">
        <v>1.7</v>
      </c>
      <c r="H600" t="n">
        <v>0</v>
      </c>
      <c r="I600" t="n">
        <v>0</v>
      </c>
      <c r="J600" t="n">
        <v>0</v>
      </c>
      <c r="K600" t="n">
        <v>0</v>
      </c>
      <c r="L600" t="n">
        <v>0</v>
      </c>
      <c r="M600" t="n">
        <v>0</v>
      </c>
      <c r="N600" t="n">
        <v>0</v>
      </c>
      <c r="O600" t="n">
        <v>0</v>
      </c>
      <c r="P600" t="n">
        <v>0</v>
      </c>
      <c r="Q600" t="n">
        <v>0</v>
      </c>
      <c r="R600" s="2" t="inlineStr"/>
    </row>
    <row r="601" ht="15" customHeight="1">
      <c r="A601" t="inlineStr">
        <is>
          <t>A 58373-2025</t>
        </is>
      </c>
      <c r="B601" s="1" t="n">
        <v>45985.53162037037</v>
      </c>
      <c r="C601" s="1" t="n">
        <v>46029</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3844-2024</t>
        </is>
      </c>
      <c r="B602" s="1" t="n">
        <v>45321</v>
      </c>
      <c r="C602" s="1" t="n">
        <v>46029</v>
      </c>
      <c r="D602" t="inlineStr">
        <is>
          <t>JÄMTLANDS LÄN</t>
        </is>
      </c>
      <c r="E602" t="inlineStr">
        <is>
          <t>ÖSTERSUND</t>
        </is>
      </c>
      <c r="G602" t="n">
        <v>2.2</v>
      </c>
      <c r="H602" t="n">
        <v>0</v>
      </c>
      <c r="I602" t="n">
        <v>0</v>
      </c>
      <c r="J602" t="n">
        <v>0</v>
      </c>
      <c r="K602" t="n">
        <v>0</v>
      </c>
      <c r="L602" t="n">
        <v>0</v>
      </c>
      <c r="M602" t="n">
        <v>0</v>
      </c>
      <c r="N602" t="n">
        <v>0</v>
      </c>
      <c r="O602" t="n">
        <v>0</v>
      </c>
      <c r="P602" t="n">
        <v>0</v>
      </c>
      <c r="Q602" t="n">
        <v>0</v>
      </c>
      <c r="R602" s="2" t="inlineStr"/>
    </row>
    <row r="603" ht="15" customHeight="1">
      <c r="A603" t="inlineStr">
        <is>
          <t>A 59648-2022</t>
        </is>
      </c>
      <c r="B603" s="1" t="n">
        <v>44907</v>
      </c>
      <c r="C603" s="1" t="n">
        <v>46029</v>
      </c>
      <c r="D603" t="inlineStr">
        <is>
          <t>JÄMTLANDS LÄN</t>
        </is>
      </c>
      <c r="E603" t="inlineStr">
        <is>
          <t>ÖSTERSUND</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2978-2024</t>
        </is>
      </c>
      <c r="B604" s="1" t="n">
        <v>45315</v>
      </c>
      <c r="C604" s="1" t="n">
        <v>46029</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61791-2023</t>
        </is>
      </c>
      <c r="B605" s="1" t="n">
        <v>45265.95795138889</v>
      </c>
      <c r="C605" s="1" t="n">
        <v>46029</v>
      </c>
      <c r="D605" t="inlineStr">
        <is>
          <t>JÄMTLANDS LÄN</t>
        </is>
      </c>
      <c r="E605" t="inlineStr">
        <is>
          <t>ÖSTERSUND</t>
        </is>
      </c>
      <c r="F605" t="inlineStr">
        <is>
          <t>SCA</t>
        </is>
      </c>
      <c r="G605" t="n">
        <v>11.4</v>
      </c>
      <c r="H605" t="n">
        <v>0</v>
      </c>
      <c r="I605" t="n">
        <v>0</v>
      </c>
      <c r="J605" t="n">
        <v>0</v>
      </c>
      <c r="K605" t="n">
        <v>0</v>
      </c>
      <c r="L605" t="n">
        <v>0</v>
      </c>
      <c r="M605" t="n">
        <v>0</v>
      </c>
      <c r="N605" t="n">
        <v>0</v>
      </c>
      <c r="O605" t="n">
        <v>0</v>
      </c>
      <c r="P605" t="n">
        <v>0</v>
      </c>
      <c r="Q605" t="n">
        <v>0</v>
      </c>
      <c r="R605" s="2" t="inlineStr"/>
    </row>
    <row r="606" ht="15" customHeight="1">
      <c r="A606" t="inlineStr">
        <is>
          <t>A 3255-2025</t>
        </is>
      </c>
      <c r="B606" s="1" t="n">
        <v>45679.55256944444</v>
      </c>
      <c r="C606" s="1" t="n">
        <v>46029</v>
      </c>
      <c r="D606" t="inlineStr">
        <is>
          <t>JÄMTLANDS LÄN</t>
        </is>
      </c>
      <c r="E606" t="inlineStr">
        <is>
          <t>ÖSTERSUND</t>
        </is>
      </c>
      <c r="F606" t="inlineStr">
        <is>
          <t>SCA</t>
        </is>
      </c>
      <c r="G606" t="n">
        <v>16.7</v>
      </c>
      <c r="H606" t="n">
        <v>0</v>
      </c>
      <c r="I606" t="n">
        <v>0</v>
      </c>
      <c r="J606" t="n">
        <v>0</v>
      </c>
      <c r="K606" t="n">
        <v>0</v>
      </c>
      <c r="L606" t="n">
        <v>0</v>
      </c>
      <c r="M606" t="n">
        <v>0</v>
      </c>
      <c r="N606" t="n">
        <v>0</v>
      </c>
      <c r="O606" t="n">
        <v>0</v>
      </c>
      <c r="P606" t="n">
        <v>0</v>
      </c>
      <c r="Q606" t="n">
        <v>0</v>
      </c>
      <c r="R606" s="2" t="inlineStr"/>
    </row>
    <row r="607" ht="15" customHeight="1">
      <c r="A607" t="inlineStr">
        <is>
          <t>A 2615-2024</t>
        </is>
      </c>
      <c r="B607" s="1" t="n">
        <v>45313</v>
      </c>
      <c r="C607" s="1" t="n">
        <v>46029</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1159-2024</t>
        </is>
      </c>
      <c r="B608" s="1" t="n">
        <v>45302.52006944444</v>
      </c>
      <c r="C608" s="1" t="n">
        <v>46029</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35556-2022</t>
        </is>
      </c>
      <c r="B609" s="1" t="n">
        <v>44799</v>
      </c>
      <c r="C609" s="1" t="n">
        <v>46029</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55235-2023</t>
        </is>
      </c>
      <c r="B610" s="1" t="n">
        <v>45231</v>
      </c>
      <c r="C610" s="1" t="n">
        <v>46029</v>
      </c>
      <c r="D610" t="inlineStr">
        <is>
          <t>JÄMTLANDS LÄN</t>
        </is>
      </c>
      <c r="E610" t="inlineStr">
        <is>
          <t>ÖSTERSUND</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60794-2023</t>
        </is>
      </c>
      <c r="B611" s="1" t="n">
        <v>45260</v>
      </c>
      <c r="C611" s="1" t="n">
        <v>46029</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63099-2023</t>
        </is>
      </c>
      <c r="B612" s="1" t="n">
        <v>45273</v>
      </c>
      <c r="C612" s="1" t="n">
        <v>46029</v>
      </c>
      <c r="D612" t="inlineStr">
        <is>
          <t>JÄMTLANDS LÄN</t>
        </is>
      </c>
      <c r="E612" t="inlineStr">
        <is>
          <t>ÖSTERSUND</t>
        </is>
      </c>
      <c r="G612" t="n">
        <v>1.5</v>
      </c>
      <c r="H612" t="n">
        <v>0</v>
      </c>
      <c r="I612" t="n">
        <v>0</v>
      </c>
      <c r="J612" t="n">
        <v>0</v>
      </c>
      <c r="K612" t="n">
        <v>0</v>
      </c>
      <c r="L612" t="n">
        <v>0</v>
      </c>
      <c r="M612" t="n">
        <v>0</v>
      </c>
      <c r="N612" t="n">
        <v>0</v>
      </c>
      <c r="O612" t="n">
        <v>0</v>
      </c>
      <c r="P612" t="n">
        <v>0</v>
      </c>
      <c r="Q612" t="n">
        <v>0</v>
      </c>
      <c r="R612" s="2" t="inlineStr"/>
    </row>
    <row r="613" ht="15" customHeight="1">
      <c r="A613" t="inlineStr">
        <is>
          <t>A 16682-2023</t>
        </is>
      </c>
      <c r="B613" s="1" t="n">
        <v>45028</v>
      </c>
      <c r="C613" s="1" t="n">
        <v>46029</v>
      </c>
      <c r="D613" t="inlineStr">
        <is>
          <t>JÄMTLANDS LÄN</t>
        </is>
      </c>
      <c r="E613" t="inlineStr">
        <is>
          <t>ÖSTERSUND</t>
        </is>
      </c>
      <c r="G613" t="n">
        <v>7.9</v>
      </c>
      <c r="H613" t="n">
        <v>0</v>
      </c>
      <c r="I613" t="n">
        <v>0</v>
      </c>
      <c r="J613" t="n">
        <v>0</v>
      </c>
      <c r="K613" t="n">
        <v>0</v>
      </c>
      <c r="L613" t="n">
        <v>0</v>
      </c>
      <c r="M613" t="n">
        <v>0</v>
      </c>
      <c r="N613" t="n">
        <v>0</v>
      </c>
      <c r="O613" t="n">
        <v>0</v>
      </c>
      <c r="P613" t="n">
        <v>0</v>
      </c>
      <c r="Q613" t="n">
        <v>0</v>
      </c>
      <c r="R613" s="2" t="inlineStr"/>
    </row>
    <row r="614" ht="15" customHeight="1">
      <c r="A614" t="inlineStr">
        <is>
          <t>A 70256-2021</t>
        </is>
      </c>
      <c r="B614" s="1" t="n">
        <v>44533</v>
      </c>
      <c r="C614" s="1" t="n">
        <v>46029</v>
      </c>
      <c r="D614" t="inlineStr">
        <is>
          <t>JÄMTLANDS LÄN</t>
        </is>
      </c>
      <c r="E614" t="inlineStr">
        <is>
          <t>ÖSTERSUND</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8972-2022</t>
        </is>
      </c>
      <c r="B615" s="1" t="n">
        <v>44614.91989583334</v>
      </c>
      <c r="C615" s="1" t="n">
        <v>46029</v>
      </c>
      <c r="D615" t="inlineStr">
        <is>
          <t>JÄMTLANDS LÄN</t>
        </is>
      </c>
      <c r="E615" t="inlineStr">
        <is>
          <t>ÖSTERSUND</t>
        </is>
      </c>
      <c r="G615" t="n">
        <v>0.8</v>
      </c>
      <c r="H615" t="n">
        <v>0</v>
      </c>
      <c r="I615" t="n">
        <v>0</v>
      </c>
      <c r="J615" t="n">
        <v>0</v>
      </c>
      <c r="K615" t="n">
        <v>0</v>
      </c>
      <c r="L615" t="n">
        <v>0</v>
      </c>
      <c r="M615" t="n">
        <v>0</v>
      </c>
      <c r="N615" t="n">
        <v>0</v>
      </c>
      <c r="O615" t="n">
        <v>0</v>
      </c>
      <c r="P615" t="n">
        <v>0</v>
      </c>
      <c r="Q615" t="n">
        <v>0</v>
      </c>
      <c r="R615" s="2" t="inlineStr"/>
    </row>
    <row r="616" ht="15" customHeight="1">
      <c r="A616" t="inlineStr">
        <is>
          <t>A 47627-2024</t>
        </is>
      </c>
      <c r="B616" s="1" t="n">
        <v>45588.3440625</v>
      </c>
      <c r="C616" s="1" t="n">
        <v>46029</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47628-2024</t>
        </is>
      </c>
      <c r="B617" s="1" t="n">
        <v>45588.34418981482</v>
      </c>
      <c r="C617" s="1" t="n">
        <v>46029</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45004-2022</t>
        </is>
      </c>
      <c r="B618" s="1" t="n">
        <v>44840</v>
      </c>
      <c r="C618" s="1" t="n">
        <v>46029</v>
      </c>
      <c r="D618" t="inlineStr">
        <is>
          <t>JÄMTLANDS LÄN</t>
        </is>
      </c>
      <c r="E618" t="inlineStr">
        <is>
          <t>ÖSTERSUND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53378-2023</t>
        </is>
      </c>
      <c r="B619" s="1" t="n">
        <v>45223</v>
      </c>
      <c r="C619" s="1" t="n">
        <v>46029</v>
      </c>
      <c r="D619" t="inlineStr">
        <is>
          <t>JÄMTLANDS LÄN</t>
        </is>
      </c>
      <c r="E619" t="inlineStr">
        <is>
          <t>ÖSTERSUND</t>
        </is>
      </c>
      <c r="G619" t="n">
        <v>1.5</v>
      </c>
      <c r="H619" t="n">
        <v>0</v>
      </c>
      <c r="I619" t="n">
        <v>0</v>
      </c>
      <c r="J619" t="n">
        <v>0</v>
      </c>
      <c r="K619" t="n">
        <v>0</v>
      </c>
      <c r="L619" t="n">
        <v>0</v>
      </c>
      <c r="M619" t="n">
        <v>0</v>
      </c>
      <c r="N619" t="n">
        <v>0</v>
      </c>
      <c r="O619" t="n">
        <v>0</v>
      </c>
      <c r="P619" t="n">
        <v>0</v>
      </c>
      <c r="Q619" t="n">
        <v>0</v>
      </c>
      <c r="R619" s="2" t="inlineStr"/>
    </row>
    <row r="620" ht="15" customHeight="1">
      <c r="A620" t="inlineStr">
        <is>
          <t>A 2747-2025</t>
        </is>
      </c>
      <c r="B620" s="1" t="n">
        <v>45677.4649537037</v>
      </c>
      <c r="C620" s="1" t="n">
        <v>46029</v>
      </c>
      <c r="D620" t="inlineStr">
        <is>
          <t>JÄMTLANDS LÄN</t>
        </is>
      </c>
      <c r="E620" t="inlineStr">
        <is>
          <t>ÖSTERSUND</t>
        </is>
      </c>
      <c r="F620" t="inlineStr">
        <is>
          <t>Sveaskog</t>
        </is>
      </c>
      <c r="G620" t="n">
        <v>6.4</v>
      </c>
      <c r="H620" t="n">
        <v>0</v>
      </c>
      <c r="I620" t="n">
        <v>0</v>
      </c>
      <c r="J620" t="n">
        <v>0</v>
      </c>
      <c r="K620" t="n">
        <v>0</v>
      </c>
      <c r="L620" t="n">
        <v>0</v>
      </c>
      <c r="M620" t="n">
        <v>0</v>
      </c>
      <c r="N620" t="n">
        <v>0</v>
      </c>
      <c r="O620" t="n">
        <v>0</v>
      </c>
      <c r="P620" t="n">
        <v>0</v>
      </c>
      <c r="Q620" t="n">
        <v>0</v>
      </c>
      <c r="R620" s="2" t="inlineStr"/>
    </row>
    <row r="621" ht="15" customHeight="1">
      <c r="A621" t="inlineStr">
        <is>
          <t>A 33801-2022</t>
        </is>
      </c>
      <c r="B621" s="1" t="n">
        <v>44790</v>
      </c>
      <c r="C621" s="1" t="n">
        <v>46029</v>
      </c>
      <c r="D621" t="inlineStr">
        <is>
          <t>JÄMTLANDS LÄN</t>
        </is>
      </c>
      <c r="E621" t="inlineStr">
        <is>
          <t>ÖSTERSUND</t>
        </is>
      </c>
      <c r="G621" t="n">
        <v>7.6</v>
      </c>
      <c r="H621" t="n">
        <v>0</v>
      </c>
      <c r="I621" t="n">
        <v>0</v>
      </c>
      <c r="J621" t="n">
        <v>0</v>
      </c>
      <c r="K621" t="n">
        <v>0</v>
      </c>
      <c r="L621" t="n">
        <v>0</v>
      </c>
      <c r="M621" t="n">
        <v>0</v>
      </c>
      <c r="N621" t="n">
        <v>0</v>
      </c>
      <c r="O621" t="n">
        <v>0</v>
      </c>
      <c r="P621" t="n">
        <v>0</v>
      </c>
      <c r="Q621" t="n">
        <v>0</v>
      </c>
      <c r="R621" s="2" t="inlineStr"/>
    </row>
    <row r="622" ht="15" customHeight="1">
      <c r="A622" t="inlineStr">
        <is>
          <t>A 27689-2024</t>
        </is>
      </c>
      <c r="B622" s="1" t="n">
        <v>45475.3378125</v>
      </c>
      <c r="C622" s="1" t="n">
        <v>46029</v>
      </c>
      <c r="D622" t="inlineStr">
        <is>
          <t>JÄMTLANDS LÄN</t>
        </is>
      </c>
      <c r="E622" t="inlineStr">
        <is>
          <t>ÖSTERSUND</t>
        </is>
      </c>
      <c r="G622" t="n">
        <v>0.6</v>
      </c>
      <c r="H622" t="n">
        <v>0</v>
      </c>
      <c r="I622" t="n">
        <v>0</v>
      </c>
      <c r="J622" t="n">
        <v>0</v>
      </c>
      <c r="K622" t="n">
        <v>0</v>
      </c>
      <c r="L622" t="n">
        <v>0</v>
      </c>
      <c r="M622" t="n">
        <v>0</v>
      </c>
      <c r="N622" t="n">
        <v>0</v>
      </c>
      <c r="O622" t="n">
        <v>0</v>
      </c>
      <c r="P622" t="n">
        <v>0</v>
      </c>
      <c r="Q622" t="n">
        <v>0</v>
      </c>
      <c r="R622" s="2" t="inlineStr"/>
    </row>
    <row r="623" ht="15" customHeight="1">
      <c r="A623" t="inlineStr">
        <is>
          <t>A 4966-2025</t>
        </is>
      </c>
      <c r="B623" s="1" t="n">
        <v>45690.63628472222</v>
      </c>
      <c r="C623" s="1" t="n">
        <v>46029</v>
      </c>
      <c r="D623" t="inlineStr">
        <is>
          <t>JÄMTLANDS LÄN</t>
        </is>
      </c>
      <c r="E623" t="inlineStr">
        <is>
          <t>ÖSTERSUND</t>
        </is>
      </c>
      <c r="G623" t="n">
        <v>3.4</v>
      </c>
      <c r="H623" t="n">
        <v>0</v>
      </c>
      <c r="I623" t="n">
        <v>0</v>
      </c>
      <c r="J623" t="n">
        <v>0</v>
      </c>
      <c r="K623" t="n">
        <v>0</v>
      </c>
      <c r="L623" t="n">
        <v>0</v>
      </c>
      <c r="M623" t="n">
        <v>0</v>
      </c>
      <c r="N623" t="n">
        <v>0</v>
      </c>
      <c r="O623" t="n">
        <v>0</v>
      </c>
      <c r="P623" t="n">
        <v>0</v>
      </c>
      <c r="Q623" t="n">
        <v>0</v>
      </c>
      <c r="R623" s="2" t="inlineStr"/>
    </row>
    <row r="624" ht="15" customHeight="1">
      <c r="A624" t="inlineStr">
        <is>
          <t>A 6877-2024</t>
        </is>
      </c>
      <c r="B624" s="1" t="n">
        <v>45342</v>
      </c>
      <c r="C624" s="1" t="n">
        <v>46029</v>
      </c>
      <c r="D624" t="inlineStr">
        <is>
          <t>JÄMTLANDS LÄN</t>
        </is>
      </c>
      <c r="E624" t="inlineStr">
        <is>
          <t>ÖSTERSUND</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4136-2023</t>
        </is>
      </c>
      <c r="B625" s="1" t="n">
        <v>44952</v>
      </c>
      <c r="C625" s="1" t="n">
        <v>46029</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4872-2023</t>
        </is>
      </c>
      <c r="B626" s="1" t="n">
        <v>44957</v>
      </c>
      <c r="C626" s="1" t="n">
        <v>46029</v>
      </c>
      <c r="D626" t="inlineStr">
        <is>
          <t>JÄMTLANDS LÄN</t>
        </is>
      </c>
      <c r="E626" t="inlineStr">
        <is>
          <t>ÖSTERSUND</t>
        </is>
      </c>
      <c r="G626" t="n">
        <v>10.7</v>
      </c>
      <c r="H626" t="n">
        <v>0</v>
      </c>
      <c r="I626" t="n">
        <v>0</v>
      </c>
      <c r="J626" t="n">
        <v>0</v>
      </c>
      <c r="K626" t="n">
        <v>0</v>
      </c>
      <c r="L626" t="n">
        <v>0</v>
      </c>
      <c r="M626" t="n">
        <v>0</v>
      </c>
      <c r="N626" t="n">
        <v>0</v>
      </c>
      <c r="O626" t="n">
        <v>0</v>
      </c>
      <c r="P626" t="n">
        <v>0</v>
      </c>
      <c r="Q626" t="n">
        <v>0</v>
      </c>
      <c r="R626" s="2" t="inlineStr"/>
    </row>
    <row r="627" ht="15" customHeight="1">
      <c r="A627" t="inlineStr">
        <is>
          <t>A 13921-2023</t>
        </is>
      </c>
      <c r="B627" s="1" t="n">
        <v>45008</v>
      </c>
      <c r="C627" s="1" t="n">
        <v>46029</v>
      </c>
      <c r="D627" t="inlineStr">
        <is>
          <t>JÄMTLANDS LÄN</t>
        </is>
      </c>
      <c r="E627" t="inlineStr">
        <is>
          <t>ÖSTERSUND</t>
        </is>
      </c>
      <c r="G627" t="n">
        <v>0.3</v>
      </c>
      <c r="H627" t="n">
        <v>0</v>
      </c>
      <c r="I627" t="n">
        <v>0</v>
      </c>
      <c r="J627" t="n">
        <v>0</v>
      </c>
      <c r="K627" t="n">
        <v>0</v>
      </c>
      <c r="L627" t="n">
        <v>0</v>
      </c>
      <c r="M627" t="n">
        <v>0</v>
      </c>
      <c r="N627" t="n">
        <v>0</v>
      </c>
      <c r="O627" t="n">
        <v>0</v>
      </c>
      <c r="P627" t="n">
        <v>0</v>
      </c>
      <c r="Q627" t="n">
        <v>0</v>
      </c>
      <c r="R627" s="2" t="inlineStr"/>
    </row>
    <row r="628" ht="15" customHeight="1">
      <c r="A628" t="inlineStr">
        <is>
          <t>A 11877-2024</t>
        </is>
      </c>
      <c r="B628" s="1" t="n">
        <v>45376</v>
      </c>
      <c r="C628" s="1" t="n">
        <v>46029</v>
      </c>
      <c r="D628" t="inlineStr">
        <is>
          <t>JÄMTLANDS LÄN</t>
        </is>
      </c>
      <c r="E628" t="inlineStr">
        <is>
          <t>ÖSTERSUND</t>
        </is>
      </c>
      <c r="G628" t="n">
        <v>2.6</v>
      </c>
      <c r="H628" t="n">
        <v>0</v>
      </c>
      <c r="I628" t="n">
        <v>0</v>
      </c>
      <c r="J628" t="n">
        <v>0</v>
      </c>
      <c r="K628" t="n">
        <v>0</v>
      </c>
      <c r="L628" t="n">
        <v>0</v>
      </c>
      <c r="M628" t="n">
        <v>0</v>
      </c>
      <c r="N628" t="n">
        <v>0</v>
      </c>
      <c r="O628" t="n">
        <v>0</v>
      </c>
      <c r="P628" t="n">
        <v>0</v>
      </c>
      <c r="Q628" t="n">
        <v>0</v>
      </c>
      <c r="R628" s="2" t="inlineStr"/>
    </row>
    <row r="629" ht="15" customHeight="1">
      <c r="A629" t="inlineStr">
        <is>
          <t>A 61653-2022</t>
        </is>
      </c>
      <c r="B629" s="1" t="n">
        <v>44916</v>
      </c>
      <c r="C629" s="1" t="n">
        <v>46029</v>
      </c>
      <c r="D629" t="inlineStr">
        <is>
          <t>JÄMTLANDS LÄN</t>
        </is>
      </c>
      <c r="E629" t="inlineStr">
        <is>
          <t>ÖSTERSUND</t>
        </is>
      </c>
      <c r="G629" t="n">
        <v>7.6</v>
      </c>
      <c r="H629" t="n">
        <v>0</v>
      </c>
      <c r="I629" t="n">
        <v>0</v>
      </c>
      <c r="J629" t="n">
        <v>0</v>
      </c>
      <c r="K629" t="n">
        <v>0</v>
      </c>
      <c r="L629" t="n">
        <v>0</v>
      </c>
      <c r="M629" t="n">
        <v>0</v>
      </c>
      <c r="N629" t="n">
        <v>0</v>
      </c>
      <c r="O629" t="n">
        <v>0</v>
      </c>
      <c r="P629" t="n">
        <v>0</v>
      </c>
      <c r="Q629" t="n">
        <v>0</v>
      </c>
      <c r="R629" s="2" t="inlineStr"/>
    </row>
    <row r="630" ht="15" customHeight="1">
      <c r="A630" t="inlineStr">
        <is>
          <t>A 12285-2022</t>
        </is>
      </c>
      <c r="B630" s="1" t="n">
        <v>44637</v>
      </c>
      <c r="C630" s="1" t="n">
        <v>46029</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56067-2022</t>
        </is>
      </c>
      <c r="B631" s="1" t="n">
        <v>44889.59378472222</v>
      </c>
      <c r="C631" s="1" t="n">
        <v>46029</v>
      </c>
      <c r="D631" t="inlineStr">
        <is>
          <t>JÄMTLANDS LÄN</t>
        </is>
      </c>
      <c r="E631" t="inlineStr">
        <is>
          <t>ÖSTERSUND</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53802-2022</t>
        </is>
      </c>
      <c r="B632" s="1" t="n">
        <v>44875</v>
      </c>
      <c r="C632" s="1" t="n">
        <v>46029</v>
      </c>
      <c r="D632" t="inlineStr">
        <is>
          <t>JÄMTLANDS LÄN</t>
        </is>
      </c>
      <c r="E632" t="inlineStr">
        <is>
          <t>ÖSTERSUND</t>
        </is>
      </c>
      <c r="G632" t="n">
        <v>0.2</v>
      </c>
      <c r="H632" t="n">
        <v>0</v>
      </c>
      <c r="I632" t="n">
        <v>0</v>
      </c>
      <c r="J632" t="n">
        <v>0</v>
      </c>
      <c r="K632" t="n">
        <v>0</v>
      </c>
      <c r="L632" t="n">
        <v>0</v>
      </c>
      <c r="M632" t="n">
        <v>0</v>
      </c>
      <c r="N632" t="n">
        <v>0</v>
      </c>
      <c r="O632" t="n">
        <v>0</v>
      </c>
      <c r="P632" t="n">
        <v>0</v>
      </c>
      <c r="Q632" t="n">
        <v>0</v>
      </c>
      <c r="R632" s="2" t="inlineStr"/>
    </row>
    <row r="633" ht="15" customHeight="1">
      <c r="A633" t="inlineStr">
        <is>
          <t>A 8423-2023</t>
        </is>
      </c>
      <c r="B633" s="1" t="n">
        <v>44977</v>
      </c>
      <c r="C633" s="1" t="n">
        <v>46029</v>
      </c>
      <c r="D633" t="inlineStr">
        <is>
          <t>JÄMTLANDS LÄN</t>
        </is>
      </c>
      <c r="E633" t="inlineStr">
        <is>
          <t>ÖSTERSUND</t>
        </is>
      </c>
      <c r="F633" t="inlineStr">
        <is>
          <t>Övriga Aktiebolag</t>
        </is>
      </c>
      <c r="G633" t="n">
        <v>53.1</v>
      </c>
      <c r="H633" t="n">
        <v>0</v>
      </c>
      <c r="I633" t="n">
        <v>0</v>
      </c>
      <c r="J633" t="n">
        <v>0</v>
      </c>
      <c r="K633" t="n">
        <v>0</v>
      </c>
      <c r="L633" t="n">
        <v>0</v>
      </c>
      <c r="M633" t="n">
        <v>0</v>
      </c>
      <c r="N633" t="n">
        <v>0</v>
      </c>
      <c r="O633" t="n">
        <v>0</v>
      </c>
      <c r="P633" t="n">
        <v>0</v>
      </c>
      <c r="Q633" t="n">
        <v>0</v>
      </c>
      <c r="R633" s="2" t="inlineStr"/>
    </row>
    <row r="634" ht="15" customHeight="1">
      <c r="A634" t="inlineStr">
        <is>
          <t>A 3749-2023</t>
        </is>
      </c>
      <c r="B634" s="1" t="n">
        <v>44949</v>
      </c>
      <c r="C634" s="1" t="n">
        <v>46029</v>
      </c>
      <c r="D634" t="inlineStr">
        <is>
          <t>JÄMTLANDS LÄN</t>
        </is>
      </c>
      <c r="E634" t="inlineStr">
        <is>
          <t>ÖSTERSUND</t>
        </is>
      </c>
      <c r="G634" t="n">
        <v>0.2</v>
      </c>
      <c r="H634" t="n">
        <v>0</v>
      </c>
      <c r="I634" t="n">
        <v>0</v>
      </c>
      <c r="J634" t="n">
        <v>0</v>
      </c>
      <c r="K634" t="n">
        <v>0</v>
      </c>
      <c r="L634" t="n">
        <v>0</v>
      </c>
      <c r="M634" t="n">
        <v>0</v>
      </c>
      <c r="N634" t="n">
        <v>0</v>
      </c>
      <c r="O634" t="n">
        <v>0</v>
      </c>
      <c r="P634" t="n">
        <v>0</v>
      </c>
      <c r="Q634" t="n">
        <v>0</v>
      </c>
      <c r="R634" s="2" t="inlineStr"/>
    </row>
    <row r="635" ht="15" customHeight="1">
      <c r="A635" t="inlineStr">
        <is>
          <t>A 55678-2023</t>
        </is>
      </c>
      <c r="B635" s="1" t="n">
        <v>45239.33032407407</v>
      </c>
      <c r="C635" s="1" t="n">
        <v>46029</v>
      </c>
      <c r="D635" t="inlineStr">
        <is>
          <t>JÄMTLANDS LÄN</t>
        </is>
      </c>
      <c r="E635" t="inlineStr">
        <is>
          <t>ÖSTERSUND</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23563-2022</t>
        </is>
      </c>
      <c r="B636" s="1" t="n">
        <v>44721.47241898148</v>
      </c>
      <c r="C636" s="1" t="n">
        <v>46029</v>
      </c>
      <c r="D636" t="inlineStr">
        <is>
          <t>JÄMTLANDS LÄN</t>
        </is>
      </c>
      <c r="E636" t="inlineStr">
        <is>
          <t>ÖSTERSUND</t>
        </is>
      </c>
      <c r="F636" t="inlineStr">
        <is>
          <t>Övriga Aktiebolag</t>
        </is>
      </c>
      <c r="G636" t="n">
        <v>3.7</v>
      </c>
      <c r="H636" t="n">
        <v>0</v>
      </c>
      <c r="I636" t="n">
        <v>0</v>
      </c>
      <c r="J636" t="n">
        <v>0</v>
      </c>
      <c r="K636" t="n">
        <v>0</v>
      </c>
      <c r="L636" t="n">
        <v>0</v>
      </c>
      <c r="M636" t="n">
        <v>0</v>
      </c>
      <c r="N636" t="n">
        <v>0</v>
      </c>
      <c r="O636" t="n">
        <v>0</v>
      </c>
      <c r="P636" t="n">
        <v>0</v>
      </c>
      <c r="Q636" t="n">
        <v>0</v>
      </c>
      <c r="R636" s="2" t="inlineStr"/>
    </row>
    <row r="637" ht="15" customHeight="1">
      <c r="A637" t="inlineStr">
        <is>
          <t>A 53380-2023</t>
        </is>
      </c>
      <c r="B637" s="1" t="n">
        <v>45223</v>
      </c>
      <c r="C637" s="1" t="n">
        <v>46029</v>
      </c>
      <c r="D637" t="inlineStr">
        <is>
          <t>JÄMTLANDS LÄN</t>
        </is>
      </c>
      <c r="E637" t="inlineStr">
        <is>
          <t>ÖSTERSUND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64645-2021</t>
        </is>
      </c>
      <c r="B638" s="1" t="n">
        <v>44511.94629629629</v>
      </c>
      <c r="C638" s="1" t="n">
        <v>46029</v>
      </c>
      <c r="D638" t="inlineStr">
        <is>
          <t>JÄMTLANDS LÄN</t>
        </is>
      </c>
      <c r="E638" t="inlineStr">
        <is>
          <t>ÖSTERSUND</t>
        </is>
      </c>
      <c r="G638" t="n">
        <v>3.2</v>
      </c>
      <c r="H638" t="n">
        <v>0</v>
      </c>
      <c r="I638" t="n">
        <v>0</v>
      </c>
      <c r="J638" t="n">
        <v>0</v>
      </c>
      <c r="K638" t="n">
        <v>0</v>
      </c>
      <c r="L638" t="n">
        <v>0</v>
      </c>
      <c r="M638" t="n">
        <v>0</v>
      </c>
      <c r="N638" t="n">
        <v>0</v>
      </c>
      <c r="O638" t="n">
        <v>0</v>
      </c>
      <c r="P638" t="n">
        <v>0</v>
      </c>
      <c r="Q638" t="n">
        <v>0</v>
      </c>
      <c r="R638" s="2" t="inlineStr"/>
    </row>
    <row r="639" ht="15" customHeight="1">
      <c r="A639" t="inlineStr">
        <is>
          <t>A 54913-2024</t>
        </is>
      </c>
      <c r="B639" s="1" t="n">
        <v>45618.6917824074</v>
      </c>
      <c r="C639" s="1" t="n">
        <v>46029</v>
      </c>
      <c r="D639" t="inlineStr">
        <is>
          <t>JÄMTLANDS LÄN</t>
        </is>
      </c>
      <c r="E639" t="inlineStr">
        <is>
          <t>ÖSTERSUND</t>
        </is>
      </c>
      <c r="G639" t="n">
        <v>4.7</v>
      </c>
      <c r="H639" t="n">
        <v>0</v>
      </c>
      <c r="I639" t="n">
        <v>0</v>
      </c>
      <c r="J639" t="n">
        <v>0</v>
      </c>
      <c r="K639" t="n">
        <v>0</v>
      </c>
      <c r="L639" t="n">
        <v>0</v>
      </c>
      <c r="M639" t="n">
        <v>0</v>
      </c>
      <c r="N639" t="n">
        <v>0</v>
      </c>
      <c r="O639" t="n">
        <v>0</v>
      </c>
      <c r="P639" t="n">
        <v>0</v>
      </c>
      <c r="Q639" t="n">
        <v>0</v>
      </c>
      <c r="R639" s="2" t="inlineStr"/>
    </row>
    <row r="640" ht="15" customHeight="1">
      <c r="A640" t="inlineStr">
        <is>
          <t>A 50218-2024</t>
        </is>
      </c>
      <c r="B640" s="1" t="n">
        <v>45600.53160879629</v>
      </c>
      <c r="C640" s="1" t="n">
        <v>46029</v>
      </c>
      <c r="D640" t="inlineStr">
        <is>
          <t>JÄMTLANDS LÄN</t>
        </is>
      </c>
      <c r="E640" t="inlineStr">
        <is>
          <t>ÖSTERSUND</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30602-2023</t>
        </is>
      </c>
      <c r="B641" s="1" t="n">
        <v>45112</v>
      </c>
      <c r="C641" s="1" t="n">
        <v>46029</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1893-2023</t>
        </is>
      </c>
      <c r="B642" s="1" t="n">
        <v>44937</v>
      </c>
      <c r="C642" s="1" t="n">
        <v>46029</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17574-2022</t>
        </is>
      </c>
      <c r="B643" s="1" t="n">
        <v>44679.92574074074</v>
      </c>
      <c r="C643" s="1" t="n">
        <v>46029</v>
      </c>
      <c r="D643" t="inlineStr">
        <is>
          <t>JÄMTLANDS LÄN</t>
        </is>
      </c>
      <c r="E643" t="inlineStr">
        <is>
          <t>ÖSTERSUND</t>
        </is>
      </c>
      <c r="G643" t="n">
        <v>0.8</v>
      </c>
      <c r="H643" t="n">
        <v>0</v>
      </c>
      <c r="I643" t="n">
        <v>0</v>
      </c>
      <c r="J643" t="n">
        <v>0</v>
      </c>
      <c r="K643" t="n">
        <v>0</v>
      </c>
      <c r="L643" t="n">
        <v>0</v>
      </c>
      <c r="M643" t="n">
        <v>0</v>
      </c>
      <c r="N643" t="n">
        <v>0</v>
      </c>
      <c r="O643" t="n">
        <v>0</v>
      </c>
      <c r="P643" t="n">
        <v>0</v>
      </c>
      <c r="Q643" t="n">
        <v>0</v>
      </c>
      <c r="R643" s="2" t="inlineStr"/>
    </row>
    <row r="644" ht="15" customHeight="1">
      <c r="A644" t="inlineStr">
        <is>
          <t>A 10305-2023</t>
        </is>
      </c>
      <c r="B644" s="1" t="n">
        <v>44986</v>
      </c>
      <c r="C644" s="1" t="n">
        <v>46029</v>
      </c>
      <c r="D644" t="inlineStr">
        <is>
          <t>JÄMTLANDS LÄN</t>
        </is>
      </c>
      <c r="E644" t="inlineStr">
        <is>
          <t>ÖSTERSUND</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7573-2022</t>
        </is>
      </c>
      <c r="B645" s="1" t="n">
        <v>44607</v>
      </c>
      <c r="C645" s="1" t="n">
        <v>46029</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27343-2022</t>
        </is>
      </c>
      <c r="B646" s="1" t="n">
        <v>44742</v>
      </c>
      <c r="C646" s="1" t="n">
        <v>46029</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43557-2024</t>
        </is>
      </c>
      <c r="B647" s="1" t="n">
        <v>45569.39229166666</v>
      </c>
      <c r="C647" s="1" t="n">
        <v>46029</v>
      </c>
      <c r="D647" t="inlineStr">
        <is>
          <t>JÄMTLANDS LÄN</t>
        </is>
      </c>
      <c r="E647" t="inlineStr">
        <is>
          <t>ÖSTERSUND</t>
        </is>
      </c>
      <c r="G647" t="n">
        <v>3.6</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46029</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59691-2024</t>
        </is>
      </c>
      <c r="B649" s="1" t="n">
        <v>45639.40684027778</v>
      </c>
      <c r="C649" s="1" t="n">
        <v>46029</v>
      </c>
      <c r="D649" t="inlineStr">
        <is>
          <t>JÄMTLANDS LÄN</t>
        </is>
      </c>
      <c r="E649" t="inlineStr">
        <is>
          <t>ÖSTERSUND</t>
        </is>
      </c>
      <c r="F649" t="inlineStr">
        <is>
          <t>SCA</t>
        </is>
      </c>
      <c r="G649" t="n">
        <v>15.9</v>
      </c>
      <c r="H649" t="n">
        <v>0</v>
      </c>
      <c r="I649" t="n">
        <v>0</v>
      </c>
      <c r="J649" t="n">
        <v>0</v>
      </c>
      <c r="K649" t="n">
        <v>0</v>
      </c>
      <c r="L649" t="n">
        <v>0</v>
      </c>
      <c r="M649" t="n">
        <v>0</v>
      </c>
      <c r="N649" t="n">
        <v>0</v>
      </c>
      <c r="O649" t="n">
        <v>0</v>
      </c>
      <c r="P649" t="n">
        <v>0</v>
      </c>
      <c r="Q649" t="n">
        <v>0</v>
      </c>
      <c r="R649" s="2" t="inlineStr"/>
    </row>
    <row r="650" ht="15" customHeight="1">
      <c r="A650" t="inlineStr">
        <is>
          <t>A 12998-2025</t>
        </is>
      </c>
      <c r="B650" s="1" t="n">
        <v>45734.48991898148</v>
      </c>
      <c r="C650" s="1" t="n">
        <v>46029</v>
      </c>
      <c r="D650" t="inlineStr">
        <is>
          <t>JÄMTLANDS LÄN</t>
        </is>
      </c>
      <c r="E650" t="inlineStr">
        <is>
          <t>ÖSTERSUND</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32225-2024</t>
        </is>
      </c>
      <c r="B651" s="1" t="n">
        <v>45511.92825231481</v>
      </c>
      <c r="C651" s="1" t="n">
        <v>46029</v>
      </c>
      <c r="D651" t="inlineStr">
        <is>
          <t>JÄMTLANDS LÄN</t>
        </is>
      </c>
      <c r="E651" t="inlineStr">
        <is>
          <t>ÖSTERSUND</t>
        </is>
      </c>
      <c r="G651" t="n">
        <v>2</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46029</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60088-2024</t>
        </is>
      </c>
      <c r="B653" s="1" t="n">
        <v>45642.54847222222</v>
      </c>
      <c r="C653" s="1" t="n">
        <v>46029</v>
      </c>
      <c r="D653" t="inlineStr">
        <is>
          <t>JÄMTLANDS LÄN</t>
        </is>
      </c>
      <c r="E653" t="inlineStr">
        <is>
          <t>ÖSTERSUND</t>
        </is>
      </c>
      <c r="G653" t="n">
        <v>5</v>
      </c>
      <c r="H653" t="n">
        <v>0</v>
      </c>
      <c r="I653" t="n">
        <v>0</v>
      </c>
      <c r="J653" t="n">
        <v>0</v>
      </c>
      <c r="K653" t="n">
        <v>0</v>
      </c>
      <c r="L653" t="n">
        <v>0</v>
      </c>
      <c r="M653" t="n">
        <v>0</v>
      </c>
      <c r="N653" t="n">
        <v>0</v>
      </c>
      <c r="O653" t="n">
        <v>0</v>
      </c>
      <c r="P653" t="n">
        <v>0</v>
      </c>
      <c r="Q653" t="n">
        <v>0</v>
      </c>
      <c r="R653" s="2" t="inlineStr"/>
    </row>
    <row r="654" ht="15" customHeight="1">
      <c r="A654" t="inlineStr">
        <is>
          <t>A 4135-2023</t>
        </is>
      </c>
      <c r="B654" s="1" t="n">
        <v>44952</v>
      </c>
      <c r="C654" s="1" t="n">
        <v>46029</v>
      </c>
      <c r="D654" t="inlineStr">
        <is>
          <t>JÄMTLANDS LÄN</t>
        </is>
      </c>
      <c r="E654" t="inlineStr">
        <is>
          <t>ÖSTERSUND</t>
        </is>
      </c>
      <c r="G654" t="n">
        <v>1.3</v>
      </c>
      <c r="H654" t="n">
        <v>0</v>
      </c>
      <c r="I654" t="n">
        <v>0</v>
      </c>
      <c r="J654" t="n">
        <v>0</v>
      </c>
      <c r="K654" t="n">
        <v>0</v>
      </c>
      <c r="L654" t="n">
        <v>0</v>
      </c>
      <c r="M654" t="n">
        <v>0</v>
      </c>
      <c r="N654" t="n">
        <v>0</v>
      </c>
      <c r="O654" t="n">
        <v>0</v>
      </c>
      <c r="P654" t="n">
        <v>0</v>
      </c>
      <c r="Q654" t="n">
        <v>0</v>
      </c>
      <c r="R654" s="2" t="inlineStr"/>
    </row>
    <row r="655" ht="15" customHeight="1">
      <c r="A655" t="inlineStr">
        <is>
          <t>A 7549-2025</t>
        </is>
      </c>
      <c r="B655" s="1" t="n">
        <v>45705.57454861111</v>
      </c>
      <c r="C655" s="1" t="n">
        <v>46029</v>
      </c>
      <c r="D655" t="inlineStr">
        <is>
          <t>JÄMTLANDS LÄN</t>
        </is>
      </c>
      <c r="E655" t="inlineStr">
        <is>
          <t>ÖSTERSUND</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6067-2025</t>
        </is>
      </c>
      <c r="B656" s="1" t="n">
        <v>45696.34405092592</v>
      </c>
      <c r="C656" s="1" t="n">
        <v>46029</v>
      </c>
      <c r="D656" t="inlineStr">
        <is>
          <t>JÄMTLANDS LÄN</t>
        </is>
      </c>
      <c r="E656" t="inlineStr">
        <is>
          <t>ÖSTERSUND</t>
        </is>
      </c>
      <c r="G656" t="n">
        <v>2.1</v>
      </c>
      <c r="H656" t="n">
        <v>0</v>
      </c>
      <c r="I656" t="n">
        <v>0</v>
      </c>
      <c r="J656" t="n">
        <v>0</v>
      </c>
      <c r="K656" t="n">
        <v>0</v>
      </c>
      <c r="L656" t="n">
        <v>0</v>
      </c>
      <c r="M656" t="n">
        <v>0</v>
      </c>
      <c r="N656" t="n">
        <v>0</v>
      </c>
      <c r="O656" t="n">
        <v>0</v>
      </c>
      <c r="P656" t="n">
        <v>0</v>
      </c>
      <c r="Q656" t="n">
        <v>0</v>
      </c>
      <c r="R656" s="2" t="inlineStr"/>
    </row>
    <row r="657" ht="15" customHeight="1">
      <c r="A657" t="inlineStr">
        <is>
          <t>A 54663-2022</t>
        </is>
      </c>
      <c r="B657" s="1" t="n">
        <v>44883.44737268519</v>
      </c>
      <c r="C657" s="1" t="n">
        <v>46029</v>
      </c>
      <c r="D657" t="inlineStr">
        <is>
          <t>JÄMTLANDS LÄN</t>
        </is>
      </c>
      <c r="E657" t="inlineStr">
        <is>
          <t>ÖSTERSUND</t>
        </is>
      </c>
      <c r="G657" t="n">
        <v>0.8</v>
      </c>
      <c r="H657" t="n">
        <v>0</v>
      </c>
      <c r="I657" t="n">
        <v>0</v>
      </c>
      <c r="J657" t="n">
        <v>0</v>
      </c>
      <c r="K657" t="n">
        <v>0</v>
      </c>
      <c r="L657" t="n">
        <v>0</v>
      </c>
      <c r="M657" t="n">
        <v>0</v>
      </c>
      <c r="N657" t="n">
        <v>0</v>
      </c>
      <c r="O657" t="n">
        <v>0</v>
      </c>
      <c r="P657" t="n">
        <v>0</v>
      </c>
      <c r="Q657" t="n">
        <v>0</v>
      </c>
      <c r="R657" s="2" t="inlineStr"/>
    </row>
    <row r="658" ht="15" customHeight="1">
      <c r="A658" t="inlineStr">
        <is>
          <t>A 18578-2025</t>
        </is>
      </c>
      <c r="B658" s="1" t="n">
        <v>45763</v>
      </c>
      <c r="C658" s="1" t="n">
        <v>46029</v>
      </c>
      <c r="D658" t="inlineStr">
        <is>
          <t>JÄMTLANDS LÄN</t>
        </is>
      </c>
      <c r="E658" t="inlineStr">
        <is>
          <t>ÖSTERSUND</t>
        </is>
      </c>
      <c r="G658" t="n">
        <v>0.8</v>
      </c>
      <c r="H658" t="n">
        <v>0</v>
      </c>
      <c r="I658" t="n">
        <v>0</v>
      </c>
      <c r="J658" t="n">
        <v>0</v>
      </c>
      <c r="K658" t="n">
        <v>0</v>
      </c>
      <c r="L658" t="n">
        <v>0</v>
      </c>
      <c r="M658" t="n">
        <v>0</v>
      </c>
      <c r="N658" t="n">
        <v>0</v>
      </c>
      <c r="O658" t="n">
        <v>0</v>
      </c>
      <c r="P658" t="n">
        <v>0</v>
      </c>
      <c r="Q658" t="n">
        <v>0</v>
      </c>
      <c r="R658" s="2" t="inlineStr"/>
    </row>
    <row r="659" ht="15" customHeight="1">
      <c r="A659" t="inlineStr">
        <is>
          <t>A 43511-2022</t>
        </is>
      </c>
      <c r="B659" s="1" t="n">
        <v>44837.36724537037</v>
      </c>
      <c r="C659" s="1" t="n">
        <v>46029</v>
      </c>
      <c r="D659" t="inlineStr">
        <is>
          <t>JÄMTLANDS LÄN</t>
        </is>
      </c>
      <c r="E659" t="inlineStr">
        <is>
          <t>ÖSTERSUND</t>
        </is>
      </c>
      <c r="G659" t="n">
        <v>3.7</v>
      </c>
      <c r="H659" t="n">
        <v>0</v>
      </c>
      <c r="I659" t="n">
        <v>0</v>
      </c>
      <c r="J659" t="n">
        <v>0</v>
      </c>
      <c r="K659" t="n">
        <v>0</v>
      </c>
      <c r="L659" t="n">
        <v>0</v>
      </c>
      <c r="M659" t="n">
        <v>0</v>
      </c>
      <c r="N659" t="n">
        <v>0</v>
      </c>
      <c r="O659" t="n">
        <v>0</v>
      </c>
      <c r="P659" t="n">
        <v>0</v>
      </c>
      <c r="Q659" t="n">
        <v>0</v>
      </c>
      <c r="R659" s="2" t="inlineStr"/>
    </row>
    <row r="660" ht="15" customHeight="1">
      <c r="A660" t="inlineStr">
        <is>
          <t>A 2730-2025</t>
        </is>
      </c>
      <c r="B660" s="1" t="n">
        <v>45677.44393518518</v>
      </c>
      <c r="C660" s="1" t="n">
        <v>46029</v>
      </c>
      <c r="D660" t="inlineStr">
        <is>
          <t>JÄMTLANDS LÄN</t>
        </is>
      </c>
      <c r="E660" t="inlineStr">
        <is>
          <t>ÖSTERSUND</t>
        </is>
      </c>
      <c r="G660" t="n">
        <v>2.5</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45177.93612268518</v>
      </c>
      <c r="C661" s="1" t="n">
        <v>46029</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43016-2024</t>
        </is>
      </c>
      <c r="B662" s="1" t="n">
        <v>45567.39192129629</v>
      </c>
      <c r="C662" s="1" t="n">
        <v>46029</v>
      </c>
      <c r="D662" t="inlineStr">
        <is>
          <t>JÄMTLANDS LÄN</t>
        </is>
      </c>
      <c r="E662" t="inlineStr">
        <is>
          <t>ÖSTERSUND</t>
        </is>
      </c>
      <c r="G662" t="n">
        <v>5.3</v>
      </c>
      <c r="H662" t="n">
        <v>0</v>
      </c>
      <c r="I662" t="n">
        <v>0</v>
      </c>
      <c r="J662" t="n">
        <v>0</v>
      </c>
      <c r="K662" t="n">
        <v>0</v>
      </c>
      <c r="L662" t="n">
        <v>0</v>
      </c>
      <c r="M662" t="n">
        <v>0</v>
      </c>
      <c r="N662" t="n">
        <v>0</v>
      </c>
      <c r="O662" t="n">
        <v>0</v>
      </c>
      <c r="P662" t="n">
        <v>0</v>
      </c>
      <c r="Q662" t="n">
        <v>0</v>
      </c>
      <c r="R662" s="2" t="inlineStr"/>
    </row>
    <row r="663" ht="15" customHeight="1">
      <c r="A663" t="inlineStr">
        <is>
          <t>A 51865-2024</t>
        </is>
      </c>
      <c r="B663" s="1" t="n">
        <v>45607.55260416667</v>
      </c>
      <c r="C663" s="1" t="n">
        <v>46029</v>
      </c>
      <c r="D663" t="inlineStr">
        <is>
          <t>JÄMTLANDS LÄN</t>
        </is>
      </c>
      <c r="E663" t="inlineStr">
        <is>
          <t>ÖSTERSUND</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58364-2024</t>
        </is>
      </c>
      <c r="B664" s="1" t="n">
        <v>45632.68814814815</v>
      </c>
      <c r="C664" s="1" t="n">
        <v>46029</v>
      </c>
      <c r="D664" t="inlineStr">
        <is>
          <t>JÄMTLANDS LÄN</t>
        </is>
      </c>
      <c r="E664" t="inlineStr">
        <is>
          <t>ÖSTERSUND</t>
        </is>
      </c>
      <c r="G664" t="n">
        <v>5.5</v>
      </c>
      <c r="H664" t="n">
        <v>0</v>
      </c>
      <c r="I664" t="n">
        <v>0</v>
      </c>
      <c r="J664" t="n">
        <v>0</v>
      </c>
      <c r="K664" t="n">
        <v>0</v>
      </c>
      <c r="L664" t="n">
        <v>0</v>
      </c>
      <c r="M664" t="n">
        <v>0</v>
      </c>
      <c r="N664" t="n">
        <v>0</v>
      </c>
      <c r="O664" t="n">
        <v>0</v>
      </c>
      <c r="P664" t="n">
        <v>0</v>
      </c>
      <c r="Q664" t="n">
        <v>0</v>
      </c>
      <c r="R664" s="2" t="inlineStr"/>
    </row>
    <row r="665" ht="15" customHeight="1">
      <c r="A665" t="inlineStr">
        <is>
          <t>A 44489-2024</t>
        </is>
      </c>
      <c r="B665" s="1" t="n">
        <v>45574.38943287037</v>
      </c>
      <c r="C665" s="1" t="n">
        <v>46029</v>
      </c>
      <c r="D665" t="inlineStr">
        <is>
          <t>JÄMTLANDS LÄN</t>
        </is>
      </c>
      <c r="E665" t="inlineStr">
        <is>
          <t>ÖSTERSUND</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56111-2022</t>
        </is>
      </c>
      <c r="B666" s="1" t="n">
        <v>44889</v>
      </c>
      <c r="C666" s="1" t="n">
        <v>46029</v>
      </c>
      <c r="D666" t="inlineStr">
        <is>
          <t>JÄMTLANDS LÄN</t>
        </is>
      </c>
      <c r="E666" t="inlineStr">
        <is>
          <t>ÖSTERSUND</t>
        </is>
      </c>
      <c r="G666" t="n">
        <v>2.5</v>
      </c>
      <c r="H666" t="n">
        <v>0</v>
      </c>
      <c r="I666" t="n">
        <v>0</v>
      </c>
      <c r="J666" t="n">
        <v>0</v>
      </c>
      <c r="K666" t="n">
        <v>0</v>
      </c>
      <c r="L666" t="n">
        <v>0</v>
      </c>
      <c r="M666" t="n">
        <v>0</v>
      </c>
      <c r="N666" t="n">
        <v>0</v>
      </c>
      <c r="O666" t="n">
        <v>0</v>
      </c>
      <c r="P666" t="n">
        <v>0</v>
      </c>
      <c r="Q666" t="n">
        <v>0</v>
      </c>
      <c r="R666" s="2" t="inlineStr"/>
    </row>
    <row r="667" ht="15" customHeight="1">
      <c r="A667" t="inlineStr">
        <is>
          <t>A 4521-2025</t>
        </is>
      </c>
      <c r="B667" s="1" t="n">
        <v>45686</v>
      </c>
      <c r="C667" s="1" t="n">
        <v>46029</v>
      </c>
      <c r="D667" t="inlineStr">
        <is>
          <t>JÄMTLANDS LÄN</t>
        </is>
      </c>
      <c r="E667" t="inlineStr">
        <is>
          <t>ÖSTERSUND</t>
        </is>
      </c>
      <c r="G667" t="n">
        <v>28.4</v>
      </c>
      <c r="H667" t="n">
        <v>0</v>
      </c>
      <c r="I667" t="n">
        <v>0</v>
      </c>
      <c r="J667" t="n">
        <v>0</v>
      </c>
      <c r="K667" t="n">
        <v>0</v>
      </c>
      <c r="L667" t="n">
        <v>0</v>
      </c>
      <c r="M667" t="n">
        <v>0</v>
      </c>
      <c r="N667" t="n">
        <v>0</v>
      </c>
      <c r="O667" t="n">
        <v>0</v>
      </c>
      <c r="P667" t="n">
        <v>0</v>
      </c>
      <c r="Q667" t="n">
        <v>0</v>
      </c>
      <c r="R667" s="2" t="inlineStr"/>
    </row>
    <row r="668" ht="15" customHeight="1">
      <c r="A668" t="inlineStr">
        <is>
          <t>A 6578-2021</t>
        </is>
      </c>
      <c r="B668" s="1" t="n">
        <v>44236</v>
      </c>
      <c r="C668" s="1" t="n">
        <v>46029</v>
      </c>
      <c r="D668" t="inlineStr">
        <is>
          <t>JÄMTLANDS LÄN</t>
        </is>
      </c>
      <c r="E668" t="inlineStr">
        <is>
          <t>ÖSTERSUND</t>
        </is>
      </c>
      <c r="G668" t="n">
        <v>1.4</v>
      </c>
      <c r="H668" t="n">
        <v>0</v>
      </c>
      <c r="I668" t="n">
        <v>0</v>
      </c>
      <c r="J668" t="n">
        <v>0</v>
      </c>
      <c r="K668" t="n">
        <v>0</v>
      </c>
      <c r="L668" t="n">
        <v>0</v>
      </c>
      <c r="M668" t="n">
        <v>0</v>
      </c>
      <c r="N668" t="n">
        <v>0</v>
      </c>
      <c r="O668" t="n">
        <v>0</v>
      </c>
      <c r="P668" t="n">
        <v>0</v>
      </c>
      <c r="Q668" t="n">
        <v>0</v>
      </c>
      <c r="R668" s="2" t="inlineStr"/>
    </row>
    <row r="669" ht="15" customHeight="1">
      <c r="A669" t="inlineStr">
        <is>
          <t>A 51826-2024</t>
        </is>
      </c>
      <c r="B669" s="1" t="n">
        <v>45607.50137731482</v>
      </c>
      <c r="C669" s="1" t="n">
        <v>46029</v>
      </c>
      <c r="D669" t="inlineStr">
        <is>
          <t>JÄMTLANDS LÄN</t>
        </is>
      </c>
      <c r="E669" t="inlineStr">
        <is>
          <t>ÖSTERSUND</t>
        </is>
      </c>
      <c r="G669" t="n">
        <v>1.1</v>
      </c>
      <c r="H669" t="n">
        <v>0</v>
      </c>
      <c r="I669" t="n">
        <v>0</v>
      </c>
      <c r="J669" t="n">
        <v>0</v>
      </c>
      <c r="K669" t="n">
        <v>0</v>
      </c>
      <c r="L669" t="n">
        <v>0</v>
      </c>
      <c r="M669" t="n">
        <v>0</v>
      </c>
      <c r="N669" t="n">
        <v>0</v>
      </c>
      <c r="O669" t="n">
        <v>0</v>
      </c>
      <c r="P669" t="n">
        <v>0</v>
      </c>
      <c r="Q669" t="n">
        <v>0</v>
      </c>
      <c r="R669" s="2" t="inlineStr"/>
    </row>
    <row r="670" ht="15" customHeight="1">
      <c r="A670" t="inlineStr">
        <is>
          <t>A 17570-2025</t>
        </is>
      </c>
      <c r="B670" s="1" t="n">
        <v>45757.64563657407</v>
      </c>
      <c r="C670" s="1" t="n">
        <v>46029</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60681-2022</t>
        </is>
      </c>
      <c r="B671" s="1" t="n">
        <v>44911.93994212963</v>
      </c>
      <c r="C671" s="1" t="n">
        <v>46029</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48696-2024</t>
        </is>
      </c>
      <c r="B672" s="1" t="n">
        <v>45593.51123842593</v>
      </c>
      <c r="C672" s="1" t="n">
        <v>46029</v>
      </c>
      <c r="D672" t="inlineStr">
        <is>
          <t>JÄMTLANDS LÄN</t>
        </is>
      </c>
      <c r="E672" t="inlineStr">
        <is>
          <t>ÖSTERSUND</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22126-2021</t>
        </is>
      </c>
      <c r="B673" s="1" t="n">
        <v>44323</v>
      </c>
      <c r="C673" s="1" t="n">
        <v>46029</v>
      </c>
      <c r="D673" t="inlineStr">
        <is>
          <t>JÄMTLANDS LÄN</t>
        </is>
      </c>
      <c r="E673" t="inlineStr">
        <is>
          <t>ÖSTERSUND</t>
        </is>
      </c>
      <c r="G673" t="n">
        <v>1.4</v>
      </c>
      <c r="H673" t="n">
        <v>0</v>
      </c>
      <c r="I673" t="n">
        <v>0</v>
      </c>
      <c r="J673" t="n">
        <v>0</v>
      </c>
      <c r="K673" t="n">
        <v>0</v>
      </c>
      <c r="L673" t="n">
        <v>0</v>
      </c>
      <c r="M673" t="n">
        <v>0</v>
      </c>
      <c r="N673" t="n">
        <v>0</v>
      </c>
      <c r="O673" t="n">
        <v>0</v>
      </c>
      <c r="P673" t="n">
        <v>0</v>
      </c>
      <c r="Q673" t="n">
        <v>0</v>
      </c>
      <c r="R673" s="2" t="inlineStr"/>
    </row>
    <row r="674" ht="15" customHeight="1">
      <c r="A674" t="inlineStr">
        <is>
          <t>A 39975-2024</t>
        </is>
      </c>
      <c r="B674" s="1" t="n">
        <v>45553.60474537037</v>
      </c>
      <c r="C674" s="1" t="n">
        <v>46029</v>
      </c>
      <c r="D674" t="inlineStr">
        <is>
          <t>JÄMTLANDS LÄN</t>
        </is>
      </c>
      <c r="E674" t="inlineStr">
        <is>
          <t>ÖSTERSUND</t>
        </is>
      </c>
      <c r="G674" t="n">
        <v>3.8</v>
      </c>
      <c r="H674" t="n">
        <v>0</v>
      </c>
      <c r="I674" t="n">
        <v>0</v>
      </c>
      <c r="J674" t="n">
        <v>0</v>
      </c>
      <c r="K674" t="n">
        <v>0</v>
      </c>
      <c r="L674" t="n">
        <v>0</v>
      </c>
      <c r="M674" t="n">
        <v>0</v>
      </c>
      <c r="N674" t="n">
        <v>0</v>
      </c>
      <c r="O674" t="n">
        <v>0</v>
      </c>
      <c r="P674" t="n">
        <v>0</v>
      </c>
      <c r="Q674" t="n">
        <v>0</v>
      </c>
      <c r="R674" s="2" t="inlineStr"/>
    </row>
    <row r="675" ht="15" customHeight="1">
      <c r="A675" t="inlineStr">
        <is>
          <t>A 51936-2023</t>
        </is>
      </c>
      <c r="B675" s="1" t="n">
        <v>45223.5036574074</v>
      </c>
      <c r="C675" s="1" t="n">
        <v>46029</v>
      </c>
      <c r="D675" t="inlineStr">
        <is>
          <t>JÄMTLANDS LÄN</t>
        </is>
      </c>
      <c r="E675" t="inlineStr">
        <is>
          <t>ÖSTERSUND</t>
        </is>
      </c>
      <c r="G675" t="n">
        <v>8.4</v>
      </c>
      <c r="H675" t="n">
        <v>0</v>
      </c>
      <c r="I675" t="n">
        <v>0</v>
      </c>
      <c r="J675" t="n">
        <v>0</v>
      </c>
      <c r="K675" t="n">
        <v>0</v>
      </c>
      <c r="L675" t="n">
        <v>0</v>
      </c>
      <c r="M675" t="n">
        <v>0</v>
      </c>
      <c r="N675" t="n">
        <v>0</v>
      </c>
      <c r="O675" t="n">
        <v>0</v>
      </c>
      <c r="P675" t="n">
        <v>0</v>
      </c>
      <c r="Q675" t="n">
        <v>0</v>
      </c>
      <c r="R675" s="2" t="inlineStr"/>
    </row>
    <row r="676" ht="15" customHeight="1">
      <c r="A676" t="inlineStr">
        <is>
          <t>A 51941-2023</t>
        </is>
      </c>
      <c r="B676" s="1" t="n">
        <v>45223</v>
      </c>
      <c r="C676" s="1" t="n">
        <v>46029</v>
      </c>
      <c r="D676" t="inlineStr">
        <is>
          <t>JÄMTLANDS LÄN</t>
        </is>
      </c>
      <c r="E676" t="inlineStr">
        <is>
          <t>ÖSTERSUND</t>
        </is>
      </c>
      <c r="G676" t="n">
        <v>4.6</v>
      </c>
      <c r="H676" t="n">
        <v>0</v>
      </c>
      <c r="I676" t="n">
        <v>0</v>
      </c>
      <c r="J676" t="n">
        <v>0</v>
      </c>
      <c r="K676" t="n">
        <v>0</v>
      </c>
      <c r="L676" t="n">
        <v>0</v>
      </c>
      <c r="M676" t="n">
        <v>0</v>
      </c>
      <c r="N676" t="n">
        <v>0</v>
      </c>
      <c r="O676" t="n">
        <v>0</v>
      </c>
      <c r="P676" t="n">
        <v>0</v>
      </c>
      <c r="Q676" t="n">
        <v>0</v>
      </c>
      <c r="R676" s="2" t="inlineStr"/>
    </row>
    <row r="677" ht="15" customHeight="1">
      <c r="A677" t="inlineStr">
        <is>
          <t>A 14523-2023</t>
        </is>
      </c>
      <c r="B677" s="1" t="n">
        <v>45012</v>
      </c>
      <c r="C677" s="1" t="n">
        <v>46029</v>
      </c>
      <c r="D677" t="inlineStr">
        <is>
          <t>JÄMTLANDS LÄN</t>
        </is>
      </c>
      <c r="E677" t="inlineStr">
        <is>
          <t>ÖSTERSUND</t>
        </is>
      </c>
      <c r="G677" t="n">
        <v>4.5</v>
      </c>
      <c r="H677" t="n">
        <v>0</v>
      </c>
      <c r="I677" t="n">
        <v>0</v>
      </c>
      <c r="J677" t="n">
        <v>0</v>
      </c>
      <c r="K677" t="n">
        <v>0</v>
      </c>
      <c r="L677" t="n">
        <v>0</v>
      </c>
      <c r="M677" t="n">
        <v>0</v>
      </c>
      <c r="N677" t="n">
        <v>0</v>
      </c>
      <c r="O677" t="n">
        <v>0</v>
      </c>
      <c r="P677" t="n">
        <v>0</v>
      </c>
      <c r="Q677" t="n">
        <v>0</v>
      </c>
      <c r="R677" s="2" t="inlineStr"/>
    </row>
    <row r="678" ht="15" customHeight="1">
      <c r="A678" t="inlineStr">
        <is>
          <t>A 13282-2023</t>
        </is>
      </c>
      <c r="B678" s="1" t="n">
        <v>45004</v>
      </c>
      <c r="C678" s="1" t="n">
        <v>46029</v>
      </c>
      <c r="D678" t="inlineStr">
        <is>
          <t>JÄMTLANDS LÄN</t>
        </is>
      </c>
      <c r="E678" t="inlineStr">
        <is>
          <t>ÖSTERSUND</t>
        </is>
      </c>
      <c r="G678" t="n">
        <v>28.5</v>
      </c>
      <c r="H678" t="n">
        <v>0</v>
      </c>
      <c r="I678" t="n">
        <v>0</v>
      </c>
      <c r="J678" t="n">
        <v>0</v>
      </c>
      <c r="K678" t="n">
        <v>0</v>
      </c>
      <c r="L678" t="n">
        <v>0</v>
      </c>
      <c r="M678" t="n">
        <v>0</v>
      </c>
      <c r="N678" t="n">
        <v>0</v>
      </c>
      <c r="O678" t="n">
        <v>0</v>
      </c>
      <c r="P678" t="n">
        <v>0</v>
      </c>
      <c r="Q678" t="n">
        <v>0</v>
      </c>
      <c r="R678" s="2" t="inlineStr"/>
    </row>
    <row r="679" ht="15" customHeight="1">
      <c r="A679" t="inlineStr">
        <is>
          <t>A 54973-2023</t>
        </is>
      </c>
      <c r="B679" s="1" t="n">
        <v>45236.92776620371</v>
      </c>
      <c r="C679" s="1" t="n">
        <v>46029</v>
      </c>
      <c r="D679" t="inlineStr">
        <is>
          <t>JÄMTLANDS LÄN</t>
        </is>
      </c>
      <c r="E679" t="inlineStr">
        <is>
          <t>ÖSTERSUND</t>
        </is>
      </c>
      <c r="G679" t="n">
        <v>15.4</v>
      </c>
      <c r="H679" t="n">
        <v>0</v>
      </c>
      <c r="I679" t="n">
        <v>0</v>
      </c>
      <c r="J679" t="n">
        <v>0</v>
      </c>
      <c r="K679" t="n">
        <v>0</v>
      </c>
      <c r="L679" t="n">
        <v>0</v>
      </c>
      <c r="M679" t="n">
        <v>0</v>
      </c>
      <c r="N679" t="n">
        <v>0</v>
      </c>
      <c r="O679" t="n">
        <v>0</v>
      </c>
      <c r="P679" t="n">
        <v>0</v>
      </c>
      <c r="Q679" t="n">
        <v>0</v>
      </c>
      <c r="R679" s="2" t="inlineStr"/>
    </row>
    <row r="680" ht="15" customHeight="1">
      <c r="A680" t="inlineStr">
        <is>
          <t>A 4901-2025</t>
        </is>
      </c>
      <c r="B680" s="1" t="n">
        <v>45688.67965277778</v>
      </c>
      <c r="C680" s="1" t="n">
        <v>46029</v>
      </c>
      <c r="D680" t="inlineStr">
        <is>
          <t>JÄMTLANDS LÄN</t>
        </is>
      </c>
      <c r="E680" t="inlineStr">
        <is>
          <t>ÖSTERSUND</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46029</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47804-2024</t>
        </is>
      </c>
      <c r="B682" s="1" t="n">
        <v>45588.61498842593</v>
      </c>
      <c r="C682" s="1" t="n">
        <v>46029</v>
      </c>
      <c r="D682" t="inlineStr">
        <is>
          <t>JÄMTLANDS LÄN</t>
        </is>
      </c>
      <c r="E682" t="inlineStr">
        <is>
          <t>ÖSTERSUND</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10306-2023</t>
        </is>
      </c>
      <c r="B683" s="1" t="n">
        <v>44986.94196759259</v>
      </c>
      <c r="C683" s="1" t="n">
        <v>46029</v>
      </c>
      <c r="D683" t="inlineStr">
        <is>
          <t>JÄMTLANDS LÄN</t>
        </is>
      </c>
      <c r="E683" t="inlineStr">
        <is>
          <t>ÖSTERSUND</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8261-2025</t>
        </is>
      </c>
      <c r="B684" s="1" t="n">
        <v>45708.50256944444</v>
      </c>
      <c r="C684" s="1" t="n">
        <v>46029</v>
      </c>
      <c r="D684" t="inlineStr">
        <is>
          <t>JÄMTLANDS LÄN</t>
        </is>
      </c>
      <c r="E684" t="inlineStr">
        <is>
          <t>ÖSTERSUND</t>
        </is>
      </c>
      <c r="G684" t="n">
        <v>5.4</v>
      </c>
      <c r="H684" t="n">
        <v>0</v>
      </c>
      <c r="I684" t="n">
        <v>0</v>
      </c>
      <c r="J684" t="n">
        <v>0</v>
      </c>
      <c r="K684" t="n">
        <v>0</v>
      </c>
      <c r="L684" t="n">
        <v>0</v>
      </c>
      <c r="M684" t="n">
        <v>0</v>
      </c>
      <c r="N684" t="n">
        <v>0</v>
      </c>
      <c r="O684" t="n">
        <v>0</v>
      </c>
      <c r="P684" t="n">
        <v>0</v>
      </c>
      <c r="Q684" t="n">
        <v>0</v>
      </c>
      <c r="R684" s="2" t="inlineStr"/>
    </row>
    <row r="685" ht="15" customHeight="1">
      <c r="A685" t="inlineStr">
        <is>
          <t>A 12352-2025</t>
        </is>
      </c>
      <c r="B685" s="1" t="n">
        <v>45730.36263888889</v>
      </c>
      <c r="C685" s="1" t="n">
        <v>46029</v>
      </c>
      <c r="D685" t="inlineStr">
        <is>
          <t>JÄMTLANDS LÄN</t>
        </is>
      </c>
      <c r="E685" t="inlineStr">
        <is>
          <t>ÖSTERSUND</t>
        </is>
      </c>
      <c r="G685" t="n">
        <v>7.8</v>
      </c>
      <c r="H685" t="n">
        <v>0</v>
      </c>
      <c r="I685" t="n">
        <v>0</v>
      </c>
      <c r="J685" t="n">
        <v>0</v>
      </c>
      <c r="K685" t="n">
        <v>0</v>
      </c>
      <c r="L685" t="n">
        <v>0</v>
      </c>
      <c r="M685" t="n">
        <v>0</v>
      </c>
      <c r="N685" t="n">
        <v>0</v>
      </c>
      <c r="O685" t="n">
        <v>0</v>
      </c>
      <c r="P685" t="n">
        <v>0</v>
      </c>
      <c r="Q685" t="n">
        <v>0</v>
      </c>
      <c r="R685" s="2" t="inlineStr"/>
    </row>
    <row r="686" ht="15" customHeight="1">
      <c r="A686" t="inlineStr">
        <is>
          <t>A 296-2023</t>
        </is>
      </c>
      <c r="B686" s="1" t="n">
        <v>44922</v>
      </c>
      <c r="C686" s="1" t="n">
        <v>46029</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5553-2025</t>
        </is>
      </c>
      <c r="B687" s="1" t="n">
        <v>45693</v>
      </c>
      <c r="C687" s="1" t="n">
        <v>46029</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64314-2023</t>
        </is>
      </c>
      <c r="B688" s="1" t="n">
        <v>45280</v>
      </c>
      <c r="C688" s="1" t="n">
        <v>46029</v>
      </c>
      <c r="D688" t="inlineStr">
        <is>
          <t>JÄMTLANDS LÄN</t>
        </is>
      </c>
      <c r="E688" t="inlineStr">
        <is>
          <t>ÖSTERSUND</t>
        </is>
      </c>
      <c r="G688" t="n">
        <v>0.6</v>
      </c>
      <c r="H688" t="n">
        <v>0</v>
      </c>
      <c r="I688" t="n">
        <v>0</v>
      </c>
      <c r="J688" t="n">
        <v>0</v>
      </c>
      <c r="K688" t="n">
        <v>0</v>
      </c>
      <c r="L688" t="n">
        <v>0</v>
      </c>
      <c r="M688" t="n">
        <v>0</v>
      </c>
      <c r="N688" t="n">
        <v>0</v>
      </c>
      <c r="O688" t="n">
        <v>0</v>
      </c>
      <c r="P688" t="n">
        <v>0</v>
      </c>
      <c r="Q688" t="n">
        <v>0</v>
      </c>
      <c r="R688" s="2" t="inlineStr"/>
    </row>
    <row r="689" ht="15" customHeight="1">
      <c r="A689" t="inlineStr">
        <is>
          <t>A 13655-2025</t>
        </is>
      </c>
      <c r="B689" s="1" t="n">
        <v>45736.71956018519</v>
      </c>
      <c r="C689" s="1" t="n">
        <v>46029</v>
      </c>
      <c r="D689" t="inlineStr">
        <is>
          <t>JÄMTLANDS LÄN</t>
        </is>
      </c>
      <c r="E689" t="inlineStr">
        <is>
          <t>ÖSTERSUND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32998-2021</t>
        </is>
      </c>
      <c r="B690" s="1" t="n">
        <v>44375</v>
      </c>
      <c r="C690" s="1" t="n">
        <v>46029</v>
      </c>
      <c r="D690" t="inlineStr">
        <is>
          <t>JÄMTLANDS LÄN</t>
        </is>
      </c>
      <c r="E690" t="inlineStr">
        <is>
          <t>ÖSTERSUND</t>
        </is>
      </c>
      <c r="G690" t="n">
        <v>0.1</v>
      </c>
      <c r="H690" t="n">
        <v>0</v>
      </c>
      <c r="I690" t="n">
        <v>0</v>
      </c>
      <c r="J690" t="n">
        <v>0</v>
      </c>
      <c r="K690" t="n">
        <v>0</v>
      </c>
      <c r="L690" t="n">
        <v>0</v>
      </c>
      <c r="M690" t="n">
        <v>0</v>
      </c>
      <c r="N690" t="n">
        <v>0</v>
      </c>
      <c r="O690" t="n">
        <v>0</v>
      </c>
      <c r="P690" t="n">
        <v>0</v>
      </c>
      <c r="Q690" t="n">
        <v>0</v>
      </c>
      <c r="R690" s="2" t="inlineStr"/>
    </row>
    <row r="691" ht="15" customHeight="1">
      <c r="A691" t="inlineStr">
        <is>
          <t>A 60575-2022</t>
        </is>
      </c>
      <c r="B691" s="1" t="n">
        <v>44911.5662037037</v>
      </c>
      <c r="C691" s="1" t="n">
        <v>46029</v>
      </c>
      <c r="D691" t="inlineStr">
        <is>
          <t>JÄMTLANDS LÄN</t>
        </is>
      </c>
      <c r="E691" t="inlineStr">
        <is>
          <t>ÖSTERSUND</t>
        </is>
      </c>
      <c r="G691" t="n">
        <v>1</v>
      </c>
      <c r="H691" t="n">
        <v>0</v>
      </c>
      <c r="I691" t="n">
        <v>0</v>
      </c>
      <c r="J691" t="n">
        <v>0</v>
      </c>
      <c r="K691" t="n">
        <v>0</v>
      </c>
      <c r="L691" t="n">
        <v>0</v>
      </c>
      <c r="M691" t="n">
        <v>0</v>
      </c>
      <c r="N691" t="n">
        <v>0</v>
      </c>
      <c r="O691" t="n">
        <v>0</v>
      </c>
      <c r="P691" t="n">
        <v>0</v>
      </c>
      <c r="Q691" t="n">
        <v>0</v>
      </c>
      <c r="R691" s="2" t="inlineStr"/>
    </row>
    <row r="692" ht="15" customHeight="1">
      <c r="A692" t="inlineStr">
        <is>
          <t>A 1211-2025</t>
        </is>
      </c>
      <c r="B692" s="1" t="n">
        <v>45667.40662037037</v>
      </c>
      <c r="C692" s="1" t="n">
        <v>46029</v>
      </c>
      <c r="D692" t="inlineStr">
        <is>
          <t>JÄMTLANDS LÄN</t>
        </is>
      </c>
      <c r="E692" t="inlineStr">
        <is>
          <t>ÖSTERSUND</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37597-2023</t>
        </is>
      </c>
      <c r="B693" s="1" t="n">
        <v>45159.42180555555</v>
      </c>
      <c r="C693" s="1" t="n">
        <v>46029</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3997-2025</t>
        </is>
      </c>
      <c r="B694" s="1" t="n">
        <v>45684.56725694444</v>
      </c>
      <c r="C694" s="1" t="n">
        <v>46029</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54587-2024</t>
        </is>
      </c>
      <c r="B695" s="1" t="n">
        <v>45617.65800925926</v>
      </c>
      <c r="C695" s="1" t="n">
        <v>46029</v>
      </c>
      <c r="D695" t="inlineStr">
        <is>
          <t>JÄMTLANDS LÄN</t>
        </is>
      </c>
      <c r="E695" t="inlineStr">
        <is>
          <t>ÖSTERSUND</t>
        </is>
      </c>
      <c r="G695" t="n">
        <v>14</v>
      </c>
      <c r="H695" t="n">
        <v>0</v>
      </c>
      <c r="I695" t="n">
        <v>0</v>
      </c>
      <c r="J695" t="n">
        <v>0</v>
      </c>
      <c r="K695" t="n">
        <v>0</v>
      </c>
      <c r="L695" t="n">
        <v>0</v>
      </c>
      <c r="M695" t="n">
        <v>0</v>
      </c>
      <c r="N695" t="n">
        <v>0</v>
      </c>
      <c r="O695" t="n">
        <v>0</v>
      </c>
      <c r="P695" t="n">
        <v>0</v>
      </c>
      <c r="Q695" t="n">
        <v>0</v>
      </c>
      <c r="R695" s="2" t="inlineStr"/>
    </row>
    <row r="696" ht="15" customHeight="1">
      <c r="A696" t="inlineStr">
        <is>
          <t>A 61506-2023</t>
        </is>
      </c>
      <c r="B696" s="1" t="n">
        <v>45264</v>
      </c>
      <c r="C696" s="1" t="n">
        <v>46029</v>
      </c>
      <c r="D696" t="inlineStr">
        <is>
          <t>JÄMTLANDS LÄN</t>
        </is>
      </c>
      <c r="E696" t="inlineStr">
        <is>
          <t>ÖSTERSUND</t>
        </is>
      </c>
      <c r="G696" t="n">
        <v>3</v>
      </c>
      <c r="H696" t="n">
        <v>0</v>
      </c>
      <c r="I696" t="n">
        <v>0</v>
      </c>
      <c r="J696" t="n">
        <v>0</v>
      </c>
      <c r="K696" t="n">
        <v>0</v>
      </c>
      <c r="L696" t="n">
        <v>0</v>
      </c>
      <c r="M696" t="n">
        <v>0</v>
      </c>
      <c r="N696" t="n">
        <v>0</v>
      </c>
      <c r="O696" t="n">
        <v>0</v>
      </c>
      <c r="P696" t="n">
        <v>0</v>
      </c>
      <c r="Q696" t="n">
        <v>0</v>
      </c>
      <c r="R696" s="2" t="inlineStr"/>
    </row>
    <row r="697" ht="15" customHeight="1">
      <c r="A697" t="inlineStr">
        <is>
          <t>A 16336-2025</t>
        </is>
      </c>
      <c r="B697" s="1" t="n">
        <v>45751.36519675926</v>
      </c>
      <c r="C697" s="1" t="n">
        <v>46029</v>
      </c>
      <c r="D697" t="inlineStr">
        <is>
          <t>JÄMTLANDS LÄN</t>
        </is>
      </c>
      <c r="E697" t="inlineStr">
        <is>
          <t>ÖSTERSUND</t>
        </is>
      </c>
      <c r="G697" t="n">
        <v>0.9</v>
      </c>
      <c r="H697" t="n">
        <v>0</v>
      </c>
      <c r="I697" t="n">
        <v>0</v>
      </c>
      <c r="J697" t="n">
        <v>0</v>
      </c>
      <c r="K697" t="n">
        <v>0</v>
      </c>
      <c r="L697" t="n">
        <v>0</v>
      </c>
      <c r="M697" t="n">
        <v>0</v>
      </c>
      <c r="N697" t="n">
        <v>0</v>
      </c>
      <c r="O697" t="n">
        <v>0</v>
      </c>
      <c r="P697" t="n">
        <v>0</v>
      </c>
      <c r="Q697" t="n">
        <v>0</v>
      </c>
      <c r="R697" s="2" t="inlineStr"/>
    </row>
    <row r="698" ht="15" customHeight="1">
      <c r="A698" t="inlineStr">
        <is>
          <t>A 207-2025</t>
        </is>
      </c>
      <c r="B698" s="1" t="n">
        <v>45660.32672453704</v>
      </c>
      <c r="C698" s="1" t="n">
        <v>46029</v>
      </c>
      <c r="D698" t="inlineStr">
        <is>
          <t>JÄMTLANDS LÄN</t>
        </is>
      </c>
      <c r="E698" t="inlineStr">
        <is>
          <t>ÖSTERSUND</t>
        </is>
      </c>
      <c r="G698" t="n">
        <v>4</v>
      </c>
      <c r="H698" t="n">
        <v>0</v>
      </c>
      <c r="I698" t="n">
        <v>0</v>
      </c>
      <c r="J698" t="n">
        <v>0</v>
      </c>
      <c r="K698" t="n">
        <v>0</v>
      </c>
      <c r="L698" t="n">
        <v>0</v>
      </c>
      <c r="M698" t="n">
        <v>0</v>
      </c>
      <c r="N698" t="n">
        <v>0</v>
      </c>
      <c r="O698" t="n">
        <v>0</v>
      </c>
      <c r="P698" t="n">
        <v>0</v>
      </c>
      <c r="Q698" t="n">
        <v>0</v>
      </c>
      <c r="R698" s="2" t="inlineStr"/>
    </row>
    <row r="699" ht="15" customHeight="1">
      <c r="A699" t="inlineStr">
        <is>
          <t>A 61332-2024</t>
        </is>
      </c>
      <c r="B699" s="1" t="n">
        <v>45646.35685185185</v>
      </c>
      <c r="C699" s="1" t="n">
        <v>46029</v>
      </c>
      <c r="D699" t="inlineStr">
        <is>
          <t>JÄMTLANDS LÄN</t>
        </is>
      </c>
      <c r="E699" t="inlineStr">
        <is>
          <t>ÖSTERSUND</t>
        </is>
      </c>
      <c r="G699" t="n">
        <v>3.2</v>
      </c>
      <c r="H699" t="n">
        <v>0</v>
      </c>
      <c r="I699" t="n">
        <v>0</v>
      </c>
      <c r="J699" t="n">
        <v>0</v>
      </c>
      <c r="K699" t="n">
        <v>0</v>
      </c>
      <c r="L699" t="n">
        <v>0</v>
      </c>
      <c r="M699" t="n">
        <v>0</v>
      </c>
      <c r="N699" t="n">
        <v>0</v>
      </c>
      <c r="O699" t="n">
        <v>0</v>
      </c>
      <c r="P699" t="n">
        <v>0</v>
      </c>
      <c r="Q699" t="n">
        <v>0</v>
      </c>
      <c r="R699" s="2" t="inlineStr"/>
    </row>
    <row r="700" ht="15" customHeight="1">
      <c r="A700" t="inlineStr">
        <is>
          <t>A 17709-2024</t>
        </is>
      </c>
      <c r="B700" s="1" t="n">
        <v>45418.4843287037</v>
      </c>
      <c r="C700" s="1" t="n">
        <v>46029</v>
      </c>
      <c r="D700" t="inlineStr">
        <is>
          <t>JÄMTLANDS LÄN</t>
        </is>
      </c>
      <c r="E700" t="inlineStr">
        <is>
          <t>ÖSTERSUND</t>
        </is>
      </c>
      <c r="G700" t="n">
        <v>2.9</v>
      </c>
      <c r="H700" t="n">
        <v>0</v>
      </c>
      <c r="I700" t="n">
        <v>0</v>
      </c>
      <c r="J700" t="n">
        <v>0</v>
      </c>
      <c r="K700" t="n">
        <v>0</v>
      </c>
      <c r="L700" t="n">
        <v>0</v>
      </c>
      <c r="M700" t="n">
        <v>0</v>
      </c>
      <c r="N700" t="n">
        <v>0</v>
      </c>
      <c r="O700" t="n">
        <v>0</v>
      </c>
      <c r="P700" t="n">
        <v>0</v>
      </c>
      <c r="Q700" t="n">
        <v>0</v>
      </c>
      <c r="R700" s="2" t="inlineStr"/>
    </row>
    <row r="701" ht="15" customHeight="1">
      <c r="A701" t="inlineStr">
        <is>
          <t>A 21060-2025</t>
        </is>
      </c>
      <c r="B701" s="1" t="n">
        <v>45777.58025462963</v>
      </c>
      <c r="C701" s="1" t="n">
        <v>46029</v>
      </c>
      <c r="D701" t="inlineStr">
        <is>
          <t>JÄMTLANDS LÄN</t>
        </is>
      </c>
      <c r="E701" t="inlineStr">
        <is>
          <t>ÖSTERSUND</t>
        </is>
      </c>
      <c r="G701" t="n">
        <v>2.9</v>
      </c>
      <c r="H701" t="n">
        <v>0</v>
      </c>
      <c r="I701" t="n">
        <v>0</v>
      </c>
      <c r="J701" t="n">
        <v>0</v>
      </c>
      <c r="K701" t="n">
        <v>0</v>
      </c>
      <c r="L701" t="n">
        <v>0</v>
      </c>
      <c r="M701" t="n">
        <v>0</v>
      </c>
      <c r="N701" t="n">
        <v>0</v>
      </c>
      <c r="O701" t="n">
        <v>0</v>
      </c>
      <c r="P701" t="n">
        <v>0</v>
      </c>
      <c r="Q701" t="n">
        <v>0</v>
      </c>
      <c r="R701" s="2" t="inlineStr"/>
    </row>
    <row r="702" ht="15" customHeight="1">
      <c r="A702" t="inlineStr">
        <is>
          <t>A 21094-2025</t>
        </is>
      </c>
      <c r="B702" s="1" t="n">
        <v>45777.62665509259</v>
      </c>
      <c r="C702" s="1" t="n">
        <v>46029</v>
      </c>
      <c r="D702" t="inlineStr">
        <is>
          <t>JÄMTLANDS LÄN</t>
        </is>
      </c>
      <c r="E702" t="inlineStr">
        <is>
          <t>ÖSTERSUND</t>
        </is>
      </c>
      <c r="G702" t="n">
        <v>3.3</v>
      </c>
      <c r="H702" t="n">
        <v>0</v>
      </c>
      <c r="I702" t="n">
        <v>0</v>
      </c>
      <c r="J702" t="n">
        <v>0</v>
      </c>
      <c r="K702" t="n">
        <v>0</v>
      </c>
      <c r="L702" t="n">
        <v>0</v>
      </c>
      <c r="M702" t="n">
        <v>0</v>
      </c>
      <c r="N702" t="n">
        <v>0</v>
      </c>
      <c r="O702" t="n">
        <v>0</v>
      </c>
      <c r="P702" t="n">
        <v>0</v>
      </c>
      <c r="Q702" t="n">
        <v>0</v>
      </c>
      <c r="R702" s="2" t="inlineStr"/>
    </row>
    <row r="703" ht="15" customHeight="1">
      <c r="A703" t="inlineStr">
        <is>
          <t>A 21237-2025</t>
        </is>
      </c>
      <c r="B703" s="1" t="n">
        <v>45779</v>
      </c>
      <c r="C703" s="1" t="n">
        <v>46029</v>
      </c>
      <c r="D703" t="inlineStr">
        <is>
          <t>JÄMTLANDS LÄN</t>
        </is>
      </c>
      <c r="E703" t="inlineStr">
        <is>
          <t>ÖSTERSUND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14848-2025</t>
        </is>
      </c>
      <c r="B704" s="1" t="n">
        <v>45743.39528935185</v>
      </c>
      <c r="C704" s="1" t="n">
        <v>46029</v>
      </c>
      <c r="D704" t="inlineStr">
        <is>
          <t>JÄMTLANDS LÄN</t>
        </is>
      </c>
      <c r="E704" t="inlineStr">
        <is>
          <t>ÖSTERSUND</t>
        </is>
      </c>
      <c r="G704" t="n">
        <v>12.1</v>
      </c>
      <c r="H704" t="n">
        <v>0</v>
      </c>
      <c r="I704" t="n">
        <v>0</v>
      </c>
      <c r="J704" t="n">
        <v>0</v>
      </c>
      <c r="K704" t="n">
        <v>0</v>
      </c>
      <c r="L704" t="n">
        <v>0</v>
      </c>
      <c r="M704" t="n">
        <v>0</v>
      </c>
      <c r="N704" t="n">
        <v>0</v>
      </c>
      <c r="O704" t="n">
        <v>0</v>
      </c>
      <c r="P704" t="n">
        <v>0</v>
      </c>
      <c r="Q704" t="n">
        <v>0</v>
      </c>
      <c r="R704" s="2" t="inlineStr"/>
    </row>
    <row r="705" ht="15" customHeight="1">
      <c r="A705" t="inlineStr">
        <is>
          <t>A 16812-2025</t>
        </is>
      </c>
      <c r="B705" s="1" t="n">
        <v>45754</v>
      </c>
      <c r="C705" s="1" t="n">
        <v>46029</v>
      </c>
      <c r="D705" t="inlineStr">
        <is>
          <t>JÄMTLANDS LÄN</t>
        </is>
      </c>
      <c r="E705" t="inlineStr">
        <is>
          <t>ÖSTERSUND</t>
        </is>
      </c>
      <c r="F705" t="inlineStr">
        <is>
          <t>Övriga statliga verk och myndigheter</t>
        </is>
      </c>
      <c r="G705" t="n">
        <v>3.7</v>
      </c>
      <c r="H705" t="n">
        <v>0</v>
      </c>
      <c r="I705" t="n">
        <v>0</v>
      </c>
      <c r="J705" t="n">
        <v>0</v>
      </c>
      <c r="K705" t="n">
        <v>0</v>
      </c>
      <c r="L705" t="n">
        <v>0</v>
      </c>
      <c r="M705" t="n">
        <v>0</v>
      </c>
      <c r="N705" t="n">
        <v>0</v>
      </c>
      <c r="O705" t="n">
        <v>0</v>
      </c>
      <c r="P705" t="n">
        <v>0</v>
      </c>
      <c r="Q705" t="n">
        <v>0</v>
      </c>
      <c r="R705" s="2" t="inlineStr"/>
    </row>
    <row r="706" ht="15" customHeight="1">
      <c r="A706" t="inlineStr">
        <is>
          <t>A 16725-2025</t>
        </is>
      </c>
      <c r="B706" s="1" t="n">
        <v>45754</v>
      </c>
      <c r="C706" s="1" t="n">
        <v>46029</v>
      </c>
      <c r="D706" t="inlineStr">
        <is>
          <t>JÄMTLANDS LÄN</t>
        </is>
      </c>
      <c r="E706" t="inlineStr">
        <is>
          <t>ÖSTERSUND</t>
        </is>
      </c>
      <c r="F706" t="inlineStr">
        <is>
          <t>Övriga statliga verk och myndigheter</t>
        </is>
      </c>
      <c r="G706" t="n">
        <v>3.7</v>
      </c>
      <c r="H706" t="n">
        <v>0</v>
      </c>
      <c r="I706" t="n">
        <v>0</v>
      </c>
      <c r="J706" t="n">
        <v>0</v>
      </c>
      <c r="K706" t="n">
        <v>0</v>
      </c>
      <c r="L706" t="n">
        <v>0</v>
      </c>
      <c r="M706" t="n">
        <v>0</v>
      </c>
      <c r="N706" t="n">
        <v>0</v>
      </c>
      <c r="O706" t="n">
        <v>0</v>
      </c>
      <c r="P706" t="n">
        <v>0</v>
      </c>
      <c r="Q706" t="n">
        <v>0</v>
      </c>
      <c r="R706" s="2" t="inlineStr"/>
    </row>
    <row r="707" ht="15" customHeight="1">
      <c r="A707" t="inlineStr">
        <is>
          <t>A 4480-2025</t>
        </is>
      </c>
      <c r="B707" s="1" t="n">
        <v>45686.64175925926</v>
      </c>
      <c r="C707" s="1" t="n">
        <v>46029</v>
      </c>
      <c r="D707" t="inlineStr">
        <is>
          <t>JÄMTLANDS LÄN</t>
        </is>
      </c>
      <c r="E707" t="inlineStr">
        <is>
          <t>ÖSTERSUND</t>
        </is>
      </c>
      <c r="G707" t="n">
        <v>27.7</v>
      </c>
      <c r="H707" t="n">
        <v>0</v>
      </c>
      <c r="I707" t="n">
        <v>0</v>
      </c>
      <c r="J707" t="n">
        <v>0</v>
      </c>
      <c r="K707" t="n">
        <v>0</v>
      </c>
      <c r="L707" t="n">
        <v>0</v>
      </c>
      <c r="M707" t="n">
        <v>0</v>
      </c>
      <c r="N707" t="n">
        <v>0</v>
      </c>
      <c r="O707" t="n">
        <v>0</v>
      </c>
      <c r="P707" t="n">
        <v>0</v>
      </c>
      <c r="Q707" t="n">
        <v>0</v>
      </c>
      <c r="R707" s="2" t="inlineStr"/>
    </row>
    <row r="708" ht="15" customHeight="1">
      <c r="A708" t="inlineStr">
        <is>
          <t>A 22612-2025</t>
        </is>
      </c>
      <c r="B708" s="1" t="n">
        <v>45789.42538194444</v>
      </c>
      <c r="C708" s="1" t="n">
        <v>46029</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22384-2025</t>
        </is>
      </c>
      <c r="B709" s="1" t="n">
        <v>45786</v>
      </c>
      <c r="C709" s="1" t="n">
        <v>46029</v>
      </c>
      <c r="D709" t="inlineStr">
        <is>
          <t>JÄMTLANDS LÄN</t>
        </is>
      </c>
      <c r="E709" t="inlineStr">
        <is>
          <t>ÖSTERSUND</t>
        </is>
      </c>
      <c r="G709" t="n">
        <v>1.4</v>
      </c>
      <c r="H709" t="n">
        <v>0</v>
      </c>
      <c r="I709" t="n">
        <v>0</v>
      </c>
      <c r="J709" t="n">
        <v>0</v>
      </c>
      <c r="K709" t="n">
        <v>0</v>
      </c>
      <c r="L709" t="n">
        <v>0</v>
      </c>
      <c r="M709" t="n">
        <v>0</v>
      </c>
      <c r="N709" t="n">
        <v>0</v>
      </c>
      <c r="O709" t="n">
        <v>0</v>
      </c>
      <c r="P709" t="n">
        <v>0</v>
      </c>
      <c r="Q709" t="n">
        <v>0</v>
      </c>
      <c r="R709" s="2" t="inlineStr"/>
    </row>
    <row r="710" ht="15" customHeight="1">
      <c r="A710" t="inlineStr">
        <is>
          <t>A 17948-2025</t>
        </is>
      </c>
      <c r="B710" s="1" t="n">
        <v>45760.66995370371</v>
      </c>
      <c r="C710" s="1" t="n">
        <v>46029</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4520-2025</t>
        </is>
      </c>
      <c r="B711" s="1" t="n">
        <v>45686.92384259259</v>
      </c>
      <c r="C711" s="1" t="n">
        <v>46029</v>
      </c>
      <c r="D711" t="inlineStr">
        <is>
          <t>JÄMTLANDS LÄN</t>
        </is>
      </c>
      <c r="E711" t="inlineStr">
        <is>
          <t>ÖSTERSUND</t>
        </is>
      </c>
      <c r="G711" t="n">
        <v>15.2</v>
      </c>
      <c r="H711" t="n">
        <v>0</v>
      </c>
      <c r="I711" t="n">
        <v>0</v>
      </c>
      <c r="J711" t="n">
        <v>0</v>
      </c>
      <c r="K711" t="n">
        <v>0</v>
      </c>
      <c r="L711" t="n">
        <v>0</v>
      </c>
      <c r="M711" t="n">
        <v>0</v>
      </c>
      <c r="N711" t="n">
        <v>0</v>
      </c>
      <c r="O711" t="n">
        <v>0</v>
      </c>
      <c r="P711" t="n">
        <v>0</v>
      </c>
      <c r="Q711" t="n">
        <v>0</v>
      </c>
      <c r="R711" s="2" t="inlineStr"/>
    </row>
    <row r="712" ht="15" customHeight="1">
      <c r="A712" t="inlineStr">
        <is>
          <t>A 4523-2025</t>
        </is>
      </c>
      <c r="B712" s="1" t="n">
        <v>45686.92864583333</v>
      </c>
      <c r="C712" s="1" t="n">
        <v>46029</v>
      </c>
      <c r="D712" t="inlineStr">
        <is>
          <t>JÄMTLANDS LÄN</t>
        </is>
      </c>
      <c r="E712" t="inlineStr">
        <is>
          <t>ÖSTERSUND</t>
        </is>
      </c>
      <c r="G712" t="n">
        <v>15.2</v>
      </c>
      <c r="H712" t="n">
        <v>0</v>
      </c>
      <c r="I712" t="n">
        <v>0</v>
      </c>
      <c r="J712" t="n">
        <v>0</v>
      </c>
      <c r="K712" t="n">
        <v>0</v>
      </c>
      <c r="L712" t="n">
        <v>0</v>
      </c>
      <c r="M712" t="n">
        <v>0</v>
      </c>
      <c r="N712" t="n">
        <v>0</v>
      </c>
      <c r="O712" t="n">
        <v>0</v>
      </c>
      <c r="P712" t="n">
        <v>0</v>
      </c>
      <c r="Q712" t="n">
        <v>0</v>
      </c>
      <c r="R712" s="2" t="inlineStr"/>
    </row>
    <row r="713" ht="15" customHeight="1">
      <c r="A713" t="inlineStr">
        <is>
          <t>A 22713-2025</t>
        </is>
      </c>
      <c r="B713" s="1" t="n">
        <v>45789.56414351852</v>
      </c>
      <c r="C713" s="1" t="n">
        <v>46029</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22822-2025</t>
        </is>
      </c>
      <c r="B714" s="1" t="n">
        <v>45789</v>
      </c>
      <c r="C714" s="1" t="n">
        <v>46029</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22920-2025</t>
        </is>
      </c>
      <c r="B715" s="1" t="n">
        <v>45790.43905092592</v>
      </c>
      <c r="C715" s="1" t="n">
        <v>46029</v>
      </c>
      <c r="D715" t="inlineStr">
        <is>
          <t>JÄMTLANDS LÄN</t>
        </is>
      </c>
      <c r="E715" t="inlineStr">
        <is>
          <t>ÖSTERSUND</t>
        </is>
      </c>
      <c r="G715" t="n">
        <v>0.4</v>
      </c>
      <c r="H715" t="n">
        <v>0</v>
      </c>
      <c r="I715" t="n">
        <v>0</v>
      </c>
      <c r="J715" t="n">
        <v>0</v>
      </c>
      <c r="K715" t="n">
        <v>0</v>
      </c>
      <c r="L715" t="n">
        <v>0</v>
      </c>
      <c r="M715" t="n">
        <v>0</v>
      </c>
      <c r="N715" t="n">
        <v>0</v>
      </c>
      <c r="O715" t="n">
        <v>0</v>
      </c>
      <c r="P715" t="n">
        <v>0</v>
      </c>
      <c r="Q715" t="n">
        <v>0</v>
      </c>
      <c r="R715" s="2" t="inlineStr"/>
    </row>
    <row r="716" ht="15" customHeight="1">
      <c r="A716" t="inlineStr">
        <is>
          <t>A 23249-2025</t>
        </is>
      </c>
      <c r="B716" s="1" t="n">
        <v>45791</v>
      </c>
      <c r="C716" s="1" t="n">
        <v>46029</v>
      </c>
      <c r="D716" t="inlineStr">
        <is>
          <t>JÄMTLANDS LÄN</t>
        </is>
      </c>
      <c r="E716" t="inlineStr">
        <is>
          <t>ÖSTERSUND</t>
        </is>
      </c>
      <c r="G716" t="n">
        <v>10</v>
      </c>
      <c r="H716" t="n">
        <v>0</v>
      </c>
      <c r="I716" t="n">
        <v>0</v>
      </c>
      <c r="J716" t="n">
        <v>0</v>
      </c>
      <c r="K716" t="n">
        <v>0</v>
      </c>
      <c r="L716" t="n">
        <v>0</v>
      </c>
      <c r="M716" t="n">
        <v>0</v>
      </c>
      <c r="N716" t="n">
        <v>0</v>
      </c>
      <c r="O716" t="n">
        <v>0</v>
      </c>
      <c r="P716" t="n">
        <v>0</v>
      </c>
      <c r="Q716" t="n">
        <v>0</v>
      </c>
      <c r="R716" s="2" t="inlineStr"/>
    </row>
    <row r="717" ht="15" customHeight="1">
      <c r="A717" t="inlineStr">
        <is>
          <t>A 23100-2025</t>
        </is>
      </c>
      <c r="B717" s="1" t="n">
        <v>45791.35212962963</v>
      </c>
      <c r="C717" s="1" t="n">
        <v>46029</v>
      </c>
      <c r="D717" t="inlineStr">
        <is>
          <t>JÄMTLANDS LÄN</t>
        </is>
      </c>
      <c r="E717" t="inlineStr">
        <is>
          <t>ÖSTERSUND</t>
        </is>
      </c>
      <c r="G717" t="n">
        <v>4.5</v>
      </c>
      <c r="H717" t="n">
        <v>0</v>
      </c>
      <c r="I717" t="n">
        <v>0</v>
      </c>
      <c r="J717" t="n">
        <v>0</v>
      </c>
      <c r="K717" t="n">
        <v>0</v>
      </c>
      <c r="L717" t="n">
        <v>0</v>
      </c>
      <c r="M717" t="n">
        <v>0</v>
      </c>
      <c r="N717" t="n">
        <v>0</v>
      </c>
      <c r="O717" t="n">
        <v>0</v>
      </c>
      <c r="P717" t="n">
        <v>0</v>
      </c>
      <c r="Q717" t="n">
        <v>0</v>
      </c>
      <c r="R717" s="2" t="inlineStr"/>
    </row>
    <row r="718" ht="15" customHeight="1">
      <c r="A718" t="inlineStr">
        <is>
          <t>A 23078-2025</t>
        </is>
      </c>
      <c r="B718" s="1" t="n">
        <v>45791.27984953704</v>
      </c>
      <c r="C718" s="1" t="n">
        <v>46029</v>
      </c>
      <c r="D718" t="inlineStr">
        <is>
          <t>JÄMTLANDS LÄN</t>
        </is>
      </c>
      <c r="E718" t="inlineStr">
        <is>
          <t>ÖSTERSUND</t>
        </is>
      </c>
      <c r="G718" t="n">
        <v>2.8</v>
      </c>
      <c r="H718" t="n">
        <v>0</v>
      </c>
      <c r="I718" t="n">
        <v>0</v>
      </c>
      <c r="J718" t="n">
        <v>0</v>
      </c>
      <c r="K718" t="n">
        <v>0</v>
      </c>
      <c r="L718" t="n">
        <v>0</v>
      </c>
      <c r="M718" t="n">
        <v>0</v>
      </c>
      <c r="N718" t="n">
        <v>0</v>
      </c>
      <c r="O718" t="n">
        <v>0</v>
      </c>
      <c r="P718" t="n">
        <v>0</v>
      </c>
      <c r="Q718" t="n">
        <v>0</v>
      </c>
      <c r="R718" s="2" t="inlineStr"/>
    </row>
    <row r="719" ht="15" customHeight="1">
      <c r="A719" t="inlineStr">
        <is>
          <t>A 23110-2025</t>
        </is>
      </c>
      <c r="B719" s="1" t="n">
        <v>45791.36526620371</v>
      </c>
      <c r="C719" s="1" t="n">
        <v>46029</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7938-2025</t>
        </is>
      </c>
      <c r="B720" s="1" t="n">
        <v>45707</v>
      </c>
      <c r="C720" s="1" t="n">
        <v>46029</v>
      </c>
      <c r="D720" t="inlineStr">
        <is>
          <t>JÄMTLANDS LÄN</t>
        </is>
      </c>
      <c r="E720" t="inlineStr">
        <is>
          <t>ÖSTERSUND</t>
        </is>
      </c>
      <c r="G720" t="n">
        <v>3</v>
      </c>
      <c r="H720" t="n">
        <v>0</v>
      </c>
      <c r="I720" t="n">
        <v>0</v>
      </c>
      <c r="J720" t="n">
        <v>0</v>
      </c>
      <c r="K720" t="n">
        <v>0</v>
      </c>
      <c r="L720" t="n">
        <v>0</v>
      </c>
      <c r="M720" t="n">
        <v>0</v>
      </c>
      <c r="N720" t="n">
        <v>0</v>
      </c>
      <c r="O720" t="n">
        <v>0</v>
      </c>
      <c r="P720" t="n">
        <v>0</v>
      </c>
      <c r="Q720" t="n">
        <v>0</v>
      </c>
      <c r="R720" s="2" t="inlineStr"/>
    </row>
    <row r="721">
      <c r="A721" t="inlineStr">
        <is>
          <t>A 41780-2024</t>
        </is>
      </c>
      <c r="B721" s="1" t="n">
        <v>45561.34908564815</v>
      </c>
      <c r="C721" s="1" t="n">
        <v>46029</v>
      </c>
      <c r="D721" t="inlineStr">
        <is>
          <t>JÄMTLANDS LÄN</t>
        </is>
      </c>
      <c r="E721" t="inlineStr">
        <is>
          <t>ÖSTERSUND</t>
        </is>
      </c>
      <c r="F721" t="inlineStr">
        <is>
          <t>SCA</t>
        </is>
      </c>
      <c r="G721" t="n">
        <v>1.3</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2026-01-07T10:46:45Z</dcterms:created>
  <dcterms:modified xmlns:dcterms="http://purl.org/dc/terms/" xmlns:xsi="http://www.w3.org/2001/XMLSchema-instance" xsi:type="dcterms:W3CDTF">2026-01-07T10:46:46Z</dcterms:modified>
</cp:coreProperties>
</file>