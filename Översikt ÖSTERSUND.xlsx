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45718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45718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45718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45718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45718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45718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45718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45718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45718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45718</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45718</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45718</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45718</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45718</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45718</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45718</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45718</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45718</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45718</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45718</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45718</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45718</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45718</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45718</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45718</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45718</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45718</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45718</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45718</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45718</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45718</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45718</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45718</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45718</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45718</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45718</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45718</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45718</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45718</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45718</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45718</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45718</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45718</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45718</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45718</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45718</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45718</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45718</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45718</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45718</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45718</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45718</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45718</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45718</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45718</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45718</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45718</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45718</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45718</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45718</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45718</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45718</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45718</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45718</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45718</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45718</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45718</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45718</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45718</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45718</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45718</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45718</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45718</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45718</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45718</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45718</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45718</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45718</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45718</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45718</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45718</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45718</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45718</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45718</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45718</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45718</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45718</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45718</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45718</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45718</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45718</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45718</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45718</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45718</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45718</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45718</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45718</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45718</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45718</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45718</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45718</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45718</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45718</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45718</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45718</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45718</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45718</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45718</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45718</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45718</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45718</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45718</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45718</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45718</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45718</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45718</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45718</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45718</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45718</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45718</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45718</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45718</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45718</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45718</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45718</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45718</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45718</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45718</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45718</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45718</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45718</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45718</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45718</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45718</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45718</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30941-2019</t>
        </is>
      </c>
      <c r="B138" s="1" t="n">
        <v>43636</v>
      </c>
      <c r="C138" s="1" t="n">
        <v>45718</v>
      </c>
      <c r="D138" t="inlineStr">
        <is>
          <t>JÄMTLANDS LÄN</t>
        </is>
      </c>
      <c r="E138" t="inlineStr">
        <is>
          <t>ÖSTERSUND</t>
        </is>
      </c>
      <c r="F138" t="inlineStr">
        <is>
          <t>SCA</t>
        </is>
      </c>
      <c r="G138" t="n">
        <v>1.9</v>
      </c>
      <c r="H138" t="n">
        <v>1</v>
      </c>
      <c r="I138" t="n">
        <v>1</v>
      </c>
      <c r="J138" t="n">
        <v>0</v>
      </c>
      <c r="K138" t="n">
        <v>0</v>
      </c>
      <c r="L138" t="n">
        <v>0</v>
      </c>
      <c r="M138" t="n">
        <v>0</v>
      </c>
      <c r="N138" t="n">
        <v>0</v>
      </c>
      <c r="O138" t="n">
        <v>0</v>
      </c>
      <c r="P138" t="n">
        <v>0</v>
      </c>
      <c r="Q138" t="n">
        <v>1</v>
      </c>
      <c r="R138" s="2" t="inlineStr">
        <is>
          <t>Tvåblad</t>
        </is>
      </c>
      <c r="S138">
        <f>HYPERLINK("https://klasma.github.io/Logging_2380/artfynd/A 30941-2019 artfynd.xlsx", "A 30941-2019")</f>
        <v/>
      </c>
      <c r="T138">
        <f>HYPERLINK("https://klasma.github.io/Logging_2380/kartor/A 30941-2019 karta.png", "A 30941-2019")</f>
        <v/>
      </c>
      <c r="V138">
        <f>HYPERLINK("https://klasma.github.io/Logging_2380/klagomål/A 30941-2019 FSC-klagomål.docx", "A 30941-2019")</f>
        <v/>
      </c>
      <c r="W138">
        <f>HYPERLINK("https://klasma.github.io/Logging_2380/klagomålsmail/A 30941-2019 FSC-klagomål mail.docx", "A 30941-2019")</f>
        <v/>
      </c>
      <c r="X138">
        <f>HYPERLINK("https://klasma.github.io/Logging_2380/tillsyn/A 30941-2019 tillsynsbegäran.docx", "A 30941-2019")</f>
        <v/>
      </c>
      <c r="Y138">
        <f>HYPERLINK("https://klasma.github.io/Logging_2380/tillsynsmail/A 30941-2019 tillsynsbegäran mail.docx", "A 30941-2019")</f>
        <v/>
      </c>
    </row>
    <row r="139" ht="15" customHeight="1">
      <c r="A139" t="inlineStr">
        <is>
          <t>A 57757-2019</t>
        </is>
      </c>
      <c r="B139" s="1" t="n">
        <v>43768</v>
      </c>
      <c r="C139" s="1" t="n">
        <v>45718</v>
      </c>
      <c r="D139" t="inlineStr">
        <is>
          <t>JÄMTLANDS LÄN</t>
        </is>
      </c>
      <c r="E139" t="inlineStr">
        <is>
          <t>ÖSTERSUND</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HYPERLINK("https://klasma.github.io/Logging_2380/artfynd/A 57757-2019 artfynd.xlsx", "A 57757-2019")</f>
        <v/>
      </c>
      <c r="T139">
        <f>HYPERLINK("https://klasma.github.io/Logging_2380/kartor/A 57757-2019 karta.png", "A 57757-2019")</f>
        <v/>
      </c>
      <c r="V139">
        <f>HYPERLINK("https://klasma.github.io/Logging_2380/klagomål/A 57757-2019 FSC-klagomål.docx", "A 57757-2019")</f>
        <v/>
      </c>
      <c r="W139">
        <f>HYPERLINK("https://klasma.github.io/Logging_2380/klagomålsmail/A 57757-2019 FSC-klagomål mail.docx", "A 57757-2019")</f>
        <v/>
      </c>
      <c r="X139">
        <f>HYPERLINK("https://klasma.github.io/Logging_2380/tillsyn/A 57757-2019 tillsynsbegäran.docx", "A 57757-2019")</f>
        <v/>
      </c>
      <c r="Y139">
        <f>HYPERLINK("https://klasma.github.io/Logging_2380/tillsynsmail/A 57757-2019 tillsynsbegäran mail.docx", "A 57757-2019")</f>
        <v/>
      </c>
    </row>
    <row r="140" ht="15" customHeight="1">
      <c r="A140" t="inlineStr">
        <is>
          <t>A 61628-2019</t>
        </is>
      </c>
      <c r="B140" s="1" t="n">
        <v>43784</v>
      </c>
      <c r="C140" s="1" t="n">
        <v>45718</v>
      </c>
      <c r="D140" t="inlineStr">
        <is>
          <t>JÄMTLANDS LÄN</t>
        </is>
      </c>
      <c r="E140" t="inlineStr">
        <is>
          <t>ÖSTERSUND</t>
        </is>
      </c>
      <c r="G140" t="n">
        <v>5.6</v>
      </c>
      <c r="H140" t="n">
        <v>0</v>
      </c>
      <c r="I140" t="n">
        <v>1</v>
      </c>
      <c r="J140" t="n">
        <v>0</v>
      </c>
      <c r="K140" t="n">
        <v>0</v>
      </c>
      <c r="L140" t="n">
        <v>0</v>
      </c>
      <c r="M140" t="n">
        <v>0</v>
      </c>
      <c r="N140" t="n">
        <v>0</v>
      </c>
      <c r="O140" t="n">
        <v>0</v>
      </c>
      <c r="P140" t="n">
        <v>0</v>
      </c>
      <c r="Q140" t="n">
        <v>1</v>
      </c>
      <c r="R140" s="2" t="inlineStr">
        <is>
          <t>Tibast</t>
        </is>
      </c>
      <c r="S140">
        <f>HYPERLINK("https://klasma.github.io/Logging_2380/artfynd/A 61628-2019 artfynd.xlsx", "A 61628-2019")</f>
        <v/>
      </c>
      <c r="T140">
        <f>HYPERLINK("https://klasma.github.io/Logging_2380/kartor/A 61628-2019 karta.png", "A 61628-2019")</f>
        <v/>
      </c>
      <c r="V140">
        <f>HYPERLINK("https://klasma.github.io/Logging_2380/klagomål/A 61628-2019 FSC-klagomål.docx", "A 61628-2019")</f>
        <v/>
      </c>
      <c r="W140">
        <f>HYPERLINK("https://klasma.github.io/Logging_2380/klagomålsmail/A 61628-2019 FSC-klagomål mail.docx", "A 61628-2019")</f>
        <v/>
      </c>
      <c r="X140">
        <f>HYPERLINK("https://klasma.github.io/Logging_2380/tillsyn/A 61628-2019 tillsynsbegäran.docx", "A 61628-2019")</f>
        <v/>
      </c>
      <c r="Y140">
        <f>HYPERLINK("https://klasma.github.io/Logging_2380/tillsynsmail/A 61628-2019 tillsynsbegäran mail.docx", "A 61628-2019")</f>
        <v/>
      </c>
    </row>
    <row r="141" ht="15" customHeight="1">
      <c r="A141" t="inlineStr">
        <is>
          <t>A 11561-2020</t>
        </is>
      </c>
      <c r="B141" s="1" t="n">
        <v>43893</v>
      </c>
      <c r="C141" s="1" t="n">
        <v>45718</v>
      </c>
      <c r="D141" t="inlineStr">
        <is>
          <t>JÄMTLANDS LÄN</t>
        </is>
      </c>
      <c r="E141" t="inlineStr">
        <is>
          <t>ÖSTERSUND</t>
        </is>
      </c>
      <c r="G141" t="n">
        <v>6.2</v>
      </c>
      <c r="H141" t="n">
        <v>1</v>
      </c>
      <c r="I141" t="n">
        <v>0</v>
      </c>
      <c r="J141" t="n">
        <v>0</v>
      </c>
      <c r="K141" t="n">
        <v>0</v>
      </c>
      <c r="L141" t="n">
        <v>0</v>
      </c>
      <c r="M141" t="n">
        <v>0</v>
      </c>
      <c r="N141" t="n">
        <v>0</v>
      </c>
      <c r="O141" t="n">
        <v>0</v>
      </c>
      <c r="P141" t="n">
        <v>0</v>
      </c>
      <c r="Q141" t="n">
        <v>1</v>
      </c>
      <c r="R141" s="2" t="inlineStr">
        <is>
          <t>Revlummer</t>
        </is>
      </c>
      <c r="S141">
        <f>HYPERLINK("https://klasma.github.io/Logging_2380/artfynd/A 11561-2020 artfynd.xlsx", "A 11561-2020")</f>
        <v/>
      </c>
      <c r="T141">
        <f>HYPERLINK("https://klasma.github.io/Logging_2380/kartor/A 11561-2020 karta.png", "A 11561-2020")</f>
        <v/>
      </c>
      <c r="V141">
        <f>HYPERLINK("https://klasma.github.io/Logging_2380/klagomål/A 11561-2020 FSC-klagomål.docx", "A 11561-2020")</f>
        <v/>
      </c>
      <c r="W141">
        <f>HYPERLINK("https://klasma.github.io/Logging_2380/klagomålsmail/A 11561-2020 FSC-klagomål mail.docx", "A 11561-2020")</f>
        <v/>
      </c>
      <c r="X141">
        <f>HYPERLINK("https://klasma.github.io/Logging_2380/tillsyn/A 11561-2020 tillsynsbegäran.docx", "A 11561-2020")</f>
        <v/>
      </c>
      <c r="Y141">
        <f>HYPERLINK("https://klasma.github.io/Logging_2380/tillsynsmail/A 11561-2020 tillsynsbegäran mail.docx", "A 11561-2020")</f>
        <v/>
      </c>
    </row>
    <row r="142" ht="15" customHeight="1">
      <c r="A142" t="inlineStr">
        <is>
          <t>A 35980-2020</t>
        </is>
      </c>
      <c r="B142" s="1" t="n">
        <v>44047</v>
      </c>
      <c r="C142" s="1" t="n">
        <v>45718</v>
      </c>
      <c r="D142" t="inlineStr">
        <is>
          <t>JÄMTLANDS LÄN</t>
        </is>
      </c>
      <c r="E142" t="inlineStr">
        <is>
          <t>ÖSTERSUND</t>
        </is>
      </c>
      <c r="G142" t="n">
        <v>0.7</v>
      </c>
      <c r="H142" t="n">
        <v>0</v>
      </c>
      <c r="I142" t="n">
        <v>0</v>
      </c>
      <c r="J142" t="n">
        <v>1</v>
      </c>
      <c r="K142" t="n">
        <v>0</v>
      </c>
      <c r="L142" t="n">
        <v>0</v>
      </c>
      <c r="M142" t="n">
        <v>0</v>
      </c>
      <c r="N142" t="n">
        <v>0</v>
      </c>
      <c r="O142" t="n">
        <v>1</v>
      </c>
      <c r="P142" t="n">
        <v>0</v>
      </c>
      <c r="Q142" t="n">
        <v>1</v>
      </c>
      <c r="R142" s="2" t="inlineStr">
        <is>
          <t>Slåtterfibbla</t>
        </is>
      </c>
      <c r="S142">
        <f>HYPERLINK("https://klasma.github.io/Logging_2380/artfynd/A 35980-2020 artfynd.xlsx", "A 35980-2020")</f>
        <v/>
      </c>
      <c r="T142">
        <f>HYPERLINK("https://klasma.github.io/Logging_2380/kartor/A 35980-2020 karta.png", "A 35980-2020")</f>
        <v/>
      </c>
      <c r="U142">
        <f>HYPERLINK("https://klasma.github.io/Logging_2380/knärot/A 35980-2020 karta knärot.png", "A 35980-2020")</f>
        <v/>
      </c>
      <c r="V142">
        <f>HYPERLINK("https://klasma.github.io/Logging_2380/klagomål/A 35980-2020 FSC-klagomål.docx", "A 35980-2020")</f>
        <v/>
      </c>
      <c r="W142">
        <f>HYPERLINK("https://klasma.github.io/Logging_2380/klagomålsmail/A 35980-2020 FSC-klagomål mail.docx", "A 35980-2020")</f>
        <v/>
      </c>
      <c r="X142">
        <f>HYPERLINK("https://klasma.github.io/Logging_2380/tillsyn/A 35980-2020 tillsynsbegäran.docx", "A 35980-2020")</f>
        <v/>
      </c>
      <c r="Y142">
        <f>HYPERLINK("https://klasma.github.io/Logging_2380/tillsynsmail/A 35980-2020 tillsynsbegäran mail.docx", "A 35980-2020")</f>
        <v/>
      </c>
    </row>
    <row r="143" ht="15" customHeight="1">
      <c r="A143" t="inlineStr">
        <is>
          <t>A 63775-2020</t>
        </is>
      </c>
      <c r="B143" s="1" t="n">
        <v>44165</v>
      </c>
      <c r="C143" s="1" t="n">
        <v>45718</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Fläcknycklar</t>
        </is>
      </c>
      <c r="S143">
        <f>HYPERLINK("https://klasma.github.io/Logging_2380/artfynd/A 63775-2020 artfynd.xlsx", "A 63775-2020")</f>
        <v/>
      </c>
      <c r="T143">
        <f>HYPERLINK("https://klasma.github.io/Logging_2380/kartor/A 63775-2020 karta.png", "A 63775-2020")</f>
        <v/>
      </c>
      <c r="V143">
        <f>HYPERLINK("https://klasma.github.io/Logging_2380/klagomål/A 63775-2020 FSC-klagomål.docx", "A 63775-2020")</f>
        <v/>
      </c>
      <c r="W143">
        <f>HYPERLINK("https://klasma.github.io/Logging_2380/klagomålsmail/A 63775-2020 FSC-klagomål mail.docx", "A 63775-2020")</f>
        <v/>
      </c>
      <c r="X143">
        <f>HYPERLINK("https://klasma.github.io/Logging_2380/tillsyn/A 63775-2020 tillsynsbegäran.docx", "A 63775-2020")</f>
        <v/>
      </c>
      <c r="Y143">
        <f>HYPERLINK("https://klasma.github.io/Logging_2380/tillsynsmail/A 63775-2020 tillsynsbegäran mail.docx", "A 63775-2020")</f>
        <v/>
      </c>
    </row>
    <row r="144" ht="15" customHeight="1">
      <c r="A144" t="inlineStr">
        <is>
          <t>A 13362-2021</t>
        </is>
      </c>
      <c r="B144" s="1" t="n">
        <v>44272</v>
      </c>
      <c r="C144" s="1" t="n">
        <v>45718</v>
      </c>
      <c r="D144" t="inlineStr">
        <is>
          <t>JÄMTLANDS LÄN</t>
        </is>
      </c>
      <c r="E144" t="inlineStr">
        <is>
          <t>ÖSTERSUND</t>
        </is>
      </c>
      <c r="G144" t="n">
        <v>0.8</v>
      </c>
      <c r="H144" t="n">
        <v>1</v>
      </c>
      <c r="I144" t="n">
        <v>0</v>
      </c>
      <c r="J144" t="n">
        <v>0</v>
      </c>
      <c r="K144" t="n">
        <v>0</v>
      </c>
      <c r="L144" t="n">
        <v>0</v>
      </c>
      <c r="M144" t="n">
        <v>0</v>
      </c>
      <c r="N144" t="n">
        <v>0</v>
      </c>
      <c r="O144" t="n">
        <v>0</v>
      </c>
      <c r="P144" t="n">
        <v>0</v>
      </c>
      <c r="Q144" t="n">
        <v>1</v>
      </c>
      <c r="R144" s="2" t="inlineStr">
        <is>
          <t>Blåsippa</t>
        </is>
      </c>
      <c r="S144">
        <f>HYPERLINK("https://klasma.github.io/Logging_2380/artfynd/A 13362-2021 artfynd.xlsx", "A 13362-2021")</f>
        <v/>
      </c>
      <c r="T144">
        <f>HYPERLINK("https://klasma.github.io/Logging_2380/kartor/A 13362-2021 karta.png", "A 13362-2021")</f>
        <v/>
      </c>
      <c r="V144">
        <f>HYPERLINK("https://klasma.github.io/Logging_2380/klagomål/A 13362-2021 FSC-klagomål.docx", "A 13362-2021")</f>
        <v/>
      </c>
      <c r="W144">
        <f>HYPERLINK("https://klasma.github.io/Logging_2380/klagomålsmail/A 13362-2021 FSC-klagomål mail.docx", "A 13362-2021")</f>
        <v/>
      </c>
      <c r="X144">
        <f>HYPERLINK("https://klasma.github.io/Logging_2380/tillsyn/A 13362-2021 tillsynsbegäran.docx", "A 13362-2021")</f>
        <v/>
      </c>
      <c r="Y144">
        <f>HYPERLINK("https://klasma.github.io/Logging_2380/tillsynsmail/A 13362-2021 tillsynsbegäran mail.docx", "A 13362-2021")</f>
        <v/>
      </c>
    </row>
    <row r="145" ht="15" customHeight="1">
      <c r="A145" t="inlineStr">
        <is>
          <t>A 17217-2021</t>
        </is>
      </c>
      <c r="B145" s="1" t="n">
        <v>44298</v>
      </c>
      <c r="C145" s="1" t="n">
        <v>45718</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25839-2021</t>
        </is>
      </c>
      <c r="B146" s="1" t="n">
        <v>44343</v>
      </c>
      <c r="C146" s="1" t="n">
        <v>45718</v>
      </c>
      <c r="D146" t="inlineStr">
        <is>
          <t>JÄMTLANDS LÄN</t>
        </is>
      </c>
      <c r="E146" t="inlineStr">
        <is>
          <t>ÖSTERSUND</t>
        </is>
      </c>
      <c r="G146" t="n">
        <v>13</v>
      </c>
      <c r="H146" t="n">
        <v>1</v>
      </c>
      <c r="I146" t="n">
        <v>0</v>
      </c>
      <c r="J146" t="n">
        <v>0</v>
      </c>
      <c r="K146" t="n">
        <v>0</v>
      </c>
      <c r="L146" t="n">
        <v>1</v>
      </c>
      <c r="M146" t="n">
        <v>0</v>
      </c>
      <c r="N146" t="n">
        <v>0</v>
      </c>
      <c r="O146" t="n">
        <v>1</v>
      </c>
      <c r="P146" t="n">
        <v>1</v>
      </c>
      <c r="Q146" t="n">
        <v>1</v>
      </c>
      <c r="R146" s="2" t="inlineStr">
        <is>
          <t>Violett guldvinge</t>
        </is>
      </c>
      <c r="S146">
        <f>HYPERLINK("https://klasma.github.io/Logging_2380/artfynd/A 25839-2021 artfynd.xlsx", "A 25839-2021")</f>
        <v/>
      </c>
      <c r="T146">
        <f>HYPERLINK("https://klasma.github.io/Logging_2380/kartor/A 25839-2021 karta.png", "A 25839-2021")</f>
        <v/>
      </c>
      <c r="V146">
        <f>HYPERLINK("https://klasma.github.io/Logging_2380/klagomål/A 25839-2021 FSC-klagomål.docx", "A 25839-2021")</f>
        <v/>
      </c>
      <c r="W146">
        <f>HYPERLINK("https://klasma.github.io/Logging_2380/klagomålsmail/A 25839-2021 FSC-klagomål mail.docx", "A 25839-2021")</f>
        <v/>
      </c>
      <c r="X146">
        <f>HYPERLINK("https://klasma.github.io/Logging_2380/tillsyn/A 25839-2021 tillsynsbegäran.docx", "A 25839-2021")</f>
        <v/>
      </c>
      <c r="Y146">
        <f>HYPERLINK("https://klasma.github.io/Logging_2380/tillsynsmail/A 25839-2021 tillsynsbegäran mail.docx", "A 25839-2021")</f>
        <v/>
      </c>
    </row>
    <row r="147" ht="15" customHeight="1">
      <c r="A147" t="inlineStr">
        <is>
          <t>A 31328-2021</t>
        </is>
      </c>
      <c r="B147" s="1" t="n">
        <v>44368</v>
      </c>
      <c r="C147" s="1" t="n">
        <v>45718</v>
      </c>
      <c r="D147" t="inlineStr">
        <is>
          <t>JÄMTLANDS LÄN</t>
        </is>
      </c>
      <c r="E147" t="inlineStr">
        <is>
          <t>ÖSTERSUND</t>
        </is>
      </c>
      <c r="G147" t="n">
        <v>6.3</v>
      </c>
      <c r="H147" t="n">
        <v>1</v>
      </c>
      <c r="I147" t="n">
        <v>0</v>
      </c>
      <c r="J147" t="n">
        <v>0</v>
      </c>
      <c r="K147" t="n">
        <v>0</v>
      </c>
      <c r="L147" t="n">
        <v>0</v>
      </c>
      <c r="M147" t="n">
        <v>0</v>
      </c>
      <c r="N147" t="n">
        <v>0</v>
      </c>
      <c r="O147" t="n">
        <v>0</v>
      </c>
      <c r="P147" t="n">
        <v>0</v>
      </c>
      <c r="Q147" t="n">
        <v>1</v>
      </c>
      <c r="R147" s="2" t="inlineStr">
        <is>
          <t>Fläcknycklar</t>
        </is>
      </c>
      <c r="S147">
        <f>HYPERLINK("https://klasma.github.io/Logging_2380/artfynd/A 31328-2021 artfynd.xlsx", "A 31328-2021")</f>
        <v/>
      </c>
      <c r="T147">
        <f>HYPERLINK("https://klasma.github.io/Logging_2380/kartor/A 31328-2021 karta.png", "A 31328-2021")</f>
        <v/>
      </c>
      <c r="V147">
        <f>HYPERLINK("https://klasma.github.io/Logging_2380/klagomål/A 31328-2021 FSC-klagomål.docx", "A 31328-2021")</f>
        <v/>
      </c>
      <c r="W147">
        <f>HYPERLINK("https://klasma.github.io/Logging_2380/klagomålsmail/A 31328-2021 FSC-klagomål mail.docx", "A 31328-2021")</f>
        <v/>
      </c>
      <c r="X147">
        <f>HYPERLINK("https://klasma.github.io/Logging_2380/tillsyn/A 31328-2021 tillsynsbegäran.docx", "A 31328-2021")</f>
        <v/>
      </c>
      <c r="Y147">
        <f>HYPERLINK("https://klasma.github.io/Logging_2380/tillsynsmail/A 31328-2021 tillsynsbegäran mail.docx", "A 31328-2021")</f>
        <v/>
      </c>
    </row>
    <row r="148" ht="15" customHeight="1">
      <c r="A148" t="inlineStr">
        <is>
          <t>A 33137-2021</t>
        </is>
      </c>
      <c r="B148" s="1" t="n">
        <v>44376</v>
      </c>
      <c r="C148" s="1" t="n">
        <v>45718</v>
      </c>
      <c r="D148" t="inlineStr">
        <is>
          <t>JÄMTLANDS LÄN</t>
        </is>
      </c>
      <c r="E148" t="inlineStr">
        <is>
          <t>ÖSTERSUND</t>
        </is>
      </c>
      <c r="F148" t="inlineStr">
        <is>
          <t>Kommuner</t>
        </is>
      </c>
      <c r="G148" t="n">
        <v>3.7</v>
      </c>
      <c r="H148" t="n">
        <v>1</v>
      </c>
      <c r="I148" t="n">
        <v>1</v>
      </c>
      <c r="J148" t="n">
        <v>0</v>
      </c>
      <c r="K148" t="n">
        <v>0</v>
      </c>
      <c r="L148" t="n">
        <v>0</v>
      </c>
      <c r="M148" t="n">
        <v>0</v>
      </c>
      <c r="N148" t="n">
        <v>0</v>
      </c>
      <c r="O148" t="n">
        <v>0</v>
      </c>
      <c r="P148" t="n">
        <v>0</v>
      </c>
      <c r="Q148" t="n">
        <v>1</v>
      </c>
      <c r="R148" s="2" t="inlineStr">
        <is>
          <t>Guckusko</t>
        </is>
      </c>
      <c r="S148">
        <f>HYPERLINK("https://klasma.github.io/Logging_2380/artfynd/A 33137-2021 artfynd.xlsx", "A 33137-2021")</f>
        <v/>
      </c>
      <c r="T148">
        <f>HYPERLINK("https://klasma.github.io/Logging_2380/kartor/A 33137-2021 karta.png", "A 33137-2021")</f>
        <v/>
      </c>
      <c r="V148">
        <f>HYPERLINK("https://klasma.github.io/Logging_2380/klagomål/A 33137-2021 FSC-klagomål.docx", "A 33137-2021")</f>
        <v/>
      </c>
      <c r="W148">
        <f>HYPERLINK("https://klasma.github.io/Logging_2380/klagomålsmail/A 33137-2021 FSC-klagomål mail.docx", "A 33137-2021")</f>
        <v/>
      </c>
      <c r="X148">
        <f>HYPERLINK("https://klasma.github.io/Logging_2380/tillsyn/A 33137-2021 tillsynsbegäran.docx", "A 33137-2021")</f>
        <v/>
      </c>
      <c r="Y148">
        <f>HYPERLINK("https://klasma.github.io/Logging_2380/tillsynsmail/A 33137-2021 tillsynsbegäran mail.docx", "A 33137-2021")</f>
        <v/>
      </c>
    </row>
    <row r="149" ht="15" customHeight="1">
      <c r="A149" t="inlineStr">
        <is>
          <t>A 46163-2021</t>
        </is>
      </c>
      <c r="B149" s="1" t="n">
        <v>44441</v>
      </c>
      <c r="C149" s="1" t="n">
        <v>45718</v>
      </c>
      <c r="D149" t="inlineStr">
        <is>
          <t>JÄMTLANDS LÄN</t>
        </is>
      </c>
      <c r="E149" t="inlineStr">
        <is>
          <t>ÖSTERSUND</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46163-2021 artfynd.xlsx", "A 46163-2021")</f>
        <v/>
      </c>
      <c r="T149">
        <f>HYPERLINK("https://klasma.github.io/Logging_2380/kartor/A 46163-2021 karta.png", "A 46163-2021")</f>
        <v/>
      </c>
      <c r="V149">
        <f>HYPERLINK("https://klasma.github.io/Logging_2380/klagomål/A 46163-2021 FSC-klagomål.docx", "A 46163-2021")</f>
        <v/>
      </c>
      <c r="W149">
        <f>HYPERLINK("https://klasma.github.io/Logging_2380/klagomålsmail/A 46163-2021 FSC-klagomål mail.docx", "A 46163-2021")</f>
        <v/>
      </c>
      <c r="X149">
        <f>HYPERLINK("https://klasma.github.io/Logging_2380/tillsyn/A 46163-2021 tillsynsbegäran.docx", "A 46163-2021")</f>
        <v/>
      </c>
      <c r="Y149">
        <f>HYPERLINK("https://klasma.github.io/Logging_2380/tillsynsmail/A 46163-2021 tillsynsbegäran mail.docx", "A 46163-2021")</f>
        <v/>
      </c>
      <c r="Z149">
        <f>HYPERLINK("https://klasma.github.io/Logging_2380/fåglar/A 46163-2021 prioriterade fågelarter.docx", "A 46163-2021")</f>
        <v/>
      </c>
    </row>
    <row r="150" ht="15" customHeight="1">
      <c r="A150" t="inlineStr">
        <is>
          <t>A 55821-2021</t>
        </is>
      </c>
      <c r="B150" s="1" t="n">
        <v>44476</v>
      </c>
      <c r="C150" s="1" t="n">
        <v>45718</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59433-2021</t>
        </is>
      </c>
      <c r="B151" s="1" t="n">
        <v>44491</v>
      </c>
      <c r="C151" s="1" t="n">
        <v>45718</v>
      </c>
      <c r="D151" t="inlineStr">
        <is>
          <t>JÄMTLANDS LÄN</t>
        </is>
      </c>
      <c r="E151" t="inlineStr">
        <is>
          <t>ÖSTERSUND</t>
        </is>
      </c>
      <c r="F151" t="inlineStr">
        <is>
          <t>Övriga statliga verk och myndigheter</t>
        </is>
      </c>
      <c r="G151" t="n">
        <v>1.6</v>
      </c>
      <c r="H151" t="n">
        <v>0</v>
      </c>
      <c r="I151" t="n">
        <v>0</v>
      </c>
      <c r="J151" t="n">
        <v>1</v>
      </c>
      <c r="K151" t="n">
        <v>0</v>
      </c>
      <c r="L151" t="n">
        <v>0</v>
      </c>
      <c r="M151" t="n">
        <v>0</v>
      </c>
      <c r="N151" t="n">
        <v>0</v>
      </c>
      <c r="O151" t="n">
        <v>1</v>
      </c>
      <c r="P151" t="n">
        <v>0</v>
      </c>
      <c r="Q151" t="n">
        <v>1</v>
      </c>
      <c r="R151" s="2" t="inlineStr">
        <is>
          <t>Brunpudrad nållav</t>
        </is>
      </c>
      <c r="S151">
        <f>HYPERLINK("https://klasma.github.io/Logging_2380/artfynd/A 59433-2021 artfynd.xlsx", "A 59433-2021")</f>
        <v/>
      </c>
      <c r="T151">
        <f>HYPERLINK("https://klasma.github.io/Logging_2380/kartor/A 59433-2021 karta.png", "A 59433-2021")</f>
        <v/>
      </c>
      <c r="V151">
        <f>HYPERLINK("https://klasma.github.io/Logging_2380/klagomål/A 59433-2021 FSC-klagomål.docx", "A 59433-2021")</f>
        <v/>
      </c>
      <c r="W151">
        <f>HYPERLINK("https://klasma.github.io/Logging_2380/klagomålsmail/A 59433-2021 FSC-klagomål mail.docx", "A 59433-2021")</f>
        <v/>
      </c>
      <c r="X151">
        <f>HYPERLINK("https://klasma.github.io/Logging_2380/tillsyn/A 59433-2021 tillsynsbegäran.docx", "A 59433-2021")</f>
        <v/>
      </c>
      <c r="Y151">
        <f>HYPERLINK("https://klasma.github.io/Logging_2380/tillsynsmail/A 59433-2021 tillsynsbegäran mail.docx", "A 59433-2021")</f>
        <v/>
      </c>
    </row>
    <row r="152" ht="15" customHeight="1">
      <c r="A152" t="inlineStr">
        <is>
          <t>A 9739-2022</t>
        </is>
      </c>
      <c r="B152" s="1" t="n">
        <v>44617</v>
      </c>
      <c r="C152" s="1" t="n">
        <v>45718</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10336-2022</t>
        </is>
      </c>
      <c r="B153" s="1" t="n">
        <v>44623</v>
      </c>
      <c r="C153" s="1" t="n">
        <v>45718</v>
      </c>
      <c r="D153" t="inlineStr">
        <is>
          <t>JÄMTLANDS LÄN</t>
        </is>
      </c>
      <c r="E153" t="inlineStr">
        <is>
          <t>ÖSTERSUND</t>
        </is>
      </c>
      <c r="G153" t="n">
        <v>0.9</v>
      </c>
      <c r="H153" t="n">
        <v>0</v>
      </c>
      <c r="I153" t="n">
        <v>1</v>
      </c>
      <c r="J153" t="n">
        <v>0</v>
      </c>
      <c r="K153" t="n">
        <v>0</v>
      </c>
      <c r="L153" t="n">
        <v>0</v>
      </c>
      <c r="M153" t="n">
        <v>0</v>
      </c>
      <c r="N153" t="n">
        <v>0</v>
      </c>
      <c r="O153" t="n">
        <v>0</v>
      </c>
      <c r="P153" t="n">
        <v>0</v>
      </c>
      <c r="Q153" t="n">
        <v>1</v>
      </c>
      <c r="R153" s="2" t="inlineStr">
        <is>
          <t>Underviol</t>
        </is>
      </c>
      <c r="S153">
        <f>HYPERLINK("https://klasma.github.io/Logging_2380/artfynd/A 10336-2022 artfynd.xlsx", "A 10336-2022")</f>
        <v/>
      </c>
      <c r="T153">
        <f>HYPERLINK("https://klasma.github.io/Logging_2380/kartor/A 10336-2022 karta.png", "A 10336-2022")</f>
        <v/>
      </c>
      <c r="V153">
        <f>HYPERLINK("https://klasma.github.io/Logging_2380/klagomål/A 10336-2022 FSC-klagomål.docx", "A 10336-2022")</f>
        <v/>
      </c>
      <c r="W153">
        <f>HYPERLINK("https://klasma.github.io/Logging_2380/klagomålsmail/A 10336-2022 FSC-klagomål mail.docx", "A 10336-2022")</f>
        <v/>
      </c>
      <c r="X153">
        <f>HYPERLINK("https://klasma.github.io/Logging_2380/tillsyn/A 10336-2022 tillsynsbegäran.docx", "A 10336-2022")</f>
        <v/>
      </c>
      <c r="Y153">
        <f>HYPERLINK("https://klasma.github.io/Logging_2380/tillsynsmail/A 10336-2022 tillsynsbegäran mail.docx", "A 10336-2022")</f>
        <v/>
      </c>
    </row>
    <row r="154" ht="15" customHeight="1">
      <c r="A154" t="inlineStr">
        <is>
          <t>A 19798-2022</t>
        </is>
      </c>
      <c r="B154" s="1" t="n">
        <v>44694</v>
      </c>
      <c r="C154" s="1" t="n">
        <v>45718</v>
      </c>
      <c r="D154" t="inlineStr">
        <is>
          <t>JÄMTLANDS LÄN</t>
        </is>
      </c>
      <c r="E154" t="inlineStr">
        <is>
          <t>ÖSTERSUND</t>
        </is>
      </c>
      <c r="F154" t="inlineStr">
        <is>
          <t>SCA</t>
        </is>
      </c>
      <c r="G154" t="n">
        <v>1</v>
      </c>
      <c r="H154" t="n">
        <v>1</v>
      </c>
      <c r="I154" t="n">
        <v>1</v>
      </c>
      <c r="J154" t="n">
        <v>0</v>
      </c>
      <c r="K154" t="n">
        <v>0</v>
      </c>
      <c r="L154" t="n">
        <v>0</v>
      </c>
      <c r="M154" t="n">
        <v>0</v>
      </c>
      <c r="N154" t="n">
        <v>0</v>
      </c>
      <c r="O154" t="n">
        <v>0</v>
      </c>
      <c r="P154" t="n">
        <v>0</v>
      </c>
      <c r="Q154" t="n">
        <v>1</v>
      </c>
      <c r="R154" s="2" t="inlineStr">
        <is>
          <t>Guckusko</t>
        </is>
      </c>
      <c r="S154">
        <f>HYPERLINK("https://klasma.github.io/Logging_2380/artfynd/A 19798-2022 artfynd.xlsx", "A 19798-2022")</f>
        <v/>
      </c>
      <c r="T154">
        <f>HYPERLINK("https://klasma.github.io/Logging_2380/kartor/A 19798-2022 karta.png", "A 19798-2022")</f>
        <v/>
      </c>
      <c r="V154">
        <f>HYPERLINK("https://klasma.github.io/Logging_2380/klagomål/A 19798-2022 FSC-klagomål.docx", "A 19798-2022")</f>
        <v/>
      </c>
      <c r="W154">
        <f>HYPERLINK("https://klasma.github.io/Logging_2380/klagomålsmail/A 19798-2022 FSC-klagomål mail.docx", "A 19798-2022")</f>
        <v/>
      </c>
      <c r="X154">
        <f>HYPERLINK("https://klasma.github.io/Logging_2380/tillsyn/A 19798-2022 tillsynsbegäran.docx", "A 19798-2022")</f>
        <v/>
      </c>
      <c r="Y154">
        <f>HYPERLINK("https://klasma.github.io/Logging_2380/tillsynsmail/A 19798-2022 tillsynsbegäran mail.docx", "A 19798-2022")</f>
        <v/>
      </c>
    </row>
    <row r="155" ht="15" customHeight="1">
      <c r="A155" t="inlineStr">
        <is>
          <t>A 27578-2022</t>
        </is>
      </c>
      <c r="B155" s="1" t="n">
        <v>44742</v>
      </c>
      <c r="C155" s="1" t="n">
        <v>45718</v>
      </c>
      <c r="D155" t="inlineStr">
        <is>
          <t>JÄMTLANDS LÄN</t>
        </is>
      </c>
      <c r="E155" t="inlineStr">
        <is>
          <t>ÖSTERSUND</t>
        </is>
      </c>
      <c r="F155" t="inlineStr">
        <is>
          <t>SCA</t>
        </is>
      </c>
      <c r="G155" t="n">
        <v>2</v>
      </c>
      <c r="H155" t="n">
        <v>1</v>
      </c>
      <c r="I155" t="n">
        <v>0</v>
      </c>
      <c r="J155" t="n">
        <v>0</v>
      </c>
      <c r="K155" t="n">
        <v>0</v>
      </c>
      <c r="L155" t="n">
        <v>0</v>
      </c>
      <c r="M155" t="n">
        <v>0</v>
      </c>
      <c r="N155" t="n">
        <v>0</v>
      </c>
      <c r="O155" t="n">
        <v>0</v>
      </c>
      <c r="P155" t="n">
        <v>0</v>
      </c>
      <c r="Q155" t="n">
        <v>1</v>
      </c>
      <c r="R155" s="2" t="inlineStr">
        <is>
          <t>Blåsippa</t>
        </is>
      </c>
      <c r="S155">
        <f>HYPERLINK("https://klasma.github.io/Logging_2380/artfynd/A 27578-2022 artfynd.xlsx", "A 27578-2022")</f>
        <v/>
      </c>
      <c r="T155">
        <f>HYPERLINK("https://klasma.github.io/Logging_2380/kartor/A 27578-2022 karta.png", "A 27578-2022")</f>
        <v/>
      </c>
      <c r="V155">
        <f>HYPERLINK("https://klasma.github.io/Logging_2380/klagomål/A 27578-2022 FSC-klagomål.docx", "A 27578-2022")</f>
        <v/>
      </c>
      <c r="W155">
        <f>HYPERLINK("https://klasma.github.io/Logging_2380/klagomålsmail/A 27578-2022 FSC-klagomål mail.docx", "A 27578-2022")</f>
        <v/>
      </c>
      <c r="X155">
        <f>HYPERLINK("https://klasma.github.io/Logging_2380/tillsyn/A 27578-2022 tillsynsbegäran.docx", "A 27578-2022")</f>
        <v/>
      </c>
      <c r="Y155">
        <f>HYPERLINK("https://klasma.github.io/Logging_2380/tillsynsmail/A 27578-2022 tillsynsbegäran mail.docx", "A 27578-2022")</f>
        <v/>
      </c>
    </row>
    <row r="156" ht="15" customHeight="1">
      <c r="A156" t="inlineStr">
        <is>
          <t>A 27576-2022</t>
        </is>
      </c>
      <c r="B156" s="1" t="n">
        <v>44742</v>
      </c>
      <c r="C156" s="1" t="n">
        <v>45718</v>
      </c>
      <c r="D156" t="inlineStr">
        <is>
          <t>JÄMTLANDS LÄN</t>
        </is>
      </c>
      <c r="E156" t="inlineStr">
        <is>
          <t>ÖSTERSUND</t>
        </is>
      </c>
      <c r="F156" t="inlineStr">
        <is>
          <t>SCA</t>
        </is>
      </c>
      <c r="G156" t="n">
        <v>0.6</v>
      </c>
      <c r="H156" t="n">
        <v>0</v>
      </c>
      <c r="I156" t="n">
        <v>0</v>
      </c>
      <c r="J156" t="n">
        <v>1</v>
      </c>
      <c r="K156" t="n">
        <v>0</v>
      </c>
      <c r="L156" t="n">
        <v>0</v>
      </c>
      <c r="M156" t="n">
        <v>0</v>
      </c>
      <c r="N156" t="n">
        <v>0</v>
      </c>
      <c r="O156" t="n">
        <v>1</v>
      </c>
      <c r="P156" t="n">
        <v>0</v>
      </c>
      <c r="Q156" t="n">
        <v>1</v>
      </c>
      <c r="R156" s="2" t="inlineStr">
        <is>
          <t>Ullticka</t>
        </is>
      </c>
      <c r="S156">
        <f>HYPERLINK("https://klasma.github.io/Logging_2380/artfynd/A 27576-2022 artfynd.xlsx", "A 27576-2022")</f>
        <v/>
      </c>
      <c r="T156">
        <f>HYPERLINK("https://klasma.github.io/Logging_2380/kartor/A 27576-2022 karta.png", "A 27576-2022")</f>
        <v/>
      </c>
      <c r="U156">
        <f>HYPERLINK("https://klasma.github.io/Logging_2380/knärot/A 27576-2022 karta knärot.png", "A 27576-2022")</f>
        <v/>
      </c>
      <c r="V156">
        <f>HYPERLINK("https://klasma.github.io/Logging_2380/klagomål/A 27576-2022 FSC-klagomål.docx", "A 27576-2022")</f>
        <v/>
      </c>
      <c r="W156">
        <f>HYPERLINK("https://klasma.github.io/Logging_2380/klagomålsmail/A 27576-2022 FSC-klagomål mail.docx", "A 27576-2022")</f>
        <v/>
      </c>
      <c r="X156">
        <f>HYPERLINK("https://klasma.github.io/Logging_2380/tillsyn/A 27576-2022 tillsynsbegäran.docx", "A 27576-2022")</f>
        <v/>
      </c>
      <c r="Y156">
        <f>HYPERLINK("https://klasma.github.io/Logging_2380/tillsynsmail/A 27576-2022 tillsynsbegäran mail.docx", "A 27576-2022")</f>
        <v/>
      </c>
    </row>
    <row r="157" ht="15" customHeight="1">
      <c r="A157" t="inlineStr">
        <is>
          <t>A 33267-2022</t>
        </is>
      </c>
      <c r="B157" s="1" t="n">
        <v>44785</v>
      </c>
      <c r="C157" s="1" t="n">
        <v>45718</v>
      </c>
      <c r="D157" t="inlineStr">
        <is>
          <t>JÄMTLANDS LÄN</t>
        </is>
      </c>
      <c r="E157" t="inlineStr">
        <is>
          <t>ÖSTERSUND</t>
        </is>
      </c>
      <c r="G157" t="n">
        <v>0.9</v>
      </c>
      <c r="H157" t="n">
        <v>1</v>
      </c>
      <c r="I157" t="n">
        <v>0</v>
      </c>
      <c r="J157" t="n">
        <v>1</v>
      </c>
      <c r="K157" t="n">
        <v>0</v>
      </c>
      <c r="L157" t="n">
        <v>0</v>
      </c>
      <c r="M157" t="n">
        <v>0</v>
      </c>
      <c r="N157" t="n">
        <v>0</v>
      </c>
      <c r="O157" t="n">
        <v>1</v>
      </c>
      <c r="P157" t="n">
        <v>0</v>
      </c>
      <c r="Q157" t="n">
        <v>1</v>
      </c>
      <c r="R157" s="2" t="inlineStr">
        <is>
          <t>Talltita</t>
        </is>
      </c>
      <c r="S157">
        <f>HYPERLINK("https://klasma.github.io/Logging_2380/artfynd/A 33267-2022 artfynd.xlsx", "A 33267-2022")</f>
        <v/>
      </c>
      <c r="T157">
        <f>HYPERLINK("https://klasma.github.io/Logging_2380/kartor/A 33267-2022 karta.png", "A 33267-2022")</f>
        <v/>
      </c>
      <c r="V157">
        <f>HYPERLINK("https://klasma.github.io/Logging_2380/klagomål/A 33267-2022 FSC-klagomål.docx", "A 33267-2022")</f>
        <v/>
      </c>
      <c r="W157">
        <f>HYPERLINK("https://klasma.github.io/Logging_2380/klagomålsmail/A 33267-2022 FSC-klagomål mail.docx", "A 33267-2022")</f>
        <v/>
      </c>
      <c r="X157">
        <f>HYPERLINK("https://klasma.github.io/Logging_2380/tillsyn/A 33267-2022 tillsynsbegäran.docx", "A 33267-2022")</f>
        <v/>
      </c>
      <c r="Y157">
        <f>HYPERLINK("https://klasma.github.io/Logging_2380/tillsynsmail/A 33267-2022 tillsynsbegäran mail.docx", "A 33267-2022")</f>
        <v/>
      </c>
      <c r="Z157">
        <f>HYPERLINK("https://klasma.github.io/Logging_2380/fåglar/A 33267-2022 prioriterade fågelarter.docx", "A 33267-2022")</f>
        <v/>
      </c>
    </row>
    <row r="158" ht="15" customHeight="1">
      <c r="A158" t="inlineStr">
        <is>
          <t>A 43947-2022</t>
        </is>
      </c>
      <c r="B158" s="1" t="n">
        <v>44838</v>
      </c>
      <c r="C158" s="1" t="n">
        <v>45718</v>
      </c>
      <c r="D158" t="inlineStr">
        <is>
          <t>JÄMTLANDS LÄN</t>
        </is>
      </c>
      <c r="E158" t="inlineStr">
        <is>
          <t>ÖSTERSUND</t>
        </is>
      </c>
      <c r="F158" t="inlineStr">
        <is>
          <t>Övriga Aktiebolag</t>
        </is>
      </c>
      <c r="G158" t="n">
        <v>15.7</v>
      </c>
      <c r="H158" t="n">
        <v>0</v>
      </c>
      <c r="I158" t="n">
        <v>0</v>
      </c>
      <c r="J158" t="n">
        <v>0</v>
      </c>
      <c r="K158" t="n">
        <v>1</v>
      </c>
      <c r="L158" t="n">
        <v>0</v>
      </c>
      <c r="M158" t="n">
        <v>0</v>
      </c>
      <c r="N158" t="n">
        <v>0</v>
      </c>
      <c r="O158" t="n">
        <v>1</v>
      </c>
      <c r="P158" t="n">
        <v>1</v>
      </c>
      <c r="Q158" t="n">
        <v>1</v>
      </c>
      <c r="R158" s="2" t="inlineStr">
        <is>
          <t>Sprickporing</t>
        </is>
      </c>
      <c r="S158">
        <f>HYPERLINK("https://klasma.github.io/Logging_2380/artfynd/A 43947-2022 artfynd.xlsx", "A 43947-2022")</f>
        <v/>
      </c>
      <c r="T158">
        <f>HYPERLINK("https://klasma.github.io/Logging_2380/kartor/A 43947-2022 karta.png", "A 43947-2022")</f>
        <v/>
      </c>
      <c r="V158">
        <f>HYPERLINK("https://klasma.github.io/Logging_2380/klagomål/A 43947-2022 FSC-klagomål.docx", "A 43947-2022")</f>
        <v/>
      </c>
      <c r="W158">
        <f>HYPERLINK("https://klasma.github.io/Logging_2380/klagomålsmail/A 43947-2022 FSC-klagomål mail.docx", "A 43947-2022")</f>
        <v/>
      </c>
      <c r="X158">
        <f>HYPERLINK("https://klasma.github.io/Logging_2380/tillsyn/A 43947-2022 tillsynsbegäran.docx", "A 43947-2022")</f>
        <v/>
      </c>
      <c r="Y158">
        <f>HYPERLINK("https://klasma.github.io/Logging_2380/tillsynsmail/A 43947-2022 tillsynsbegäran mail.docx", "A 43947-2022")</f>
        <v/>
      </c>
    </row>
    <row r="159" ht="15" customHeight="1">
      <c r="A159" t="inlineStr">
        <is>
          <t>A 45441-2022</t>
        </is>
      </c>
      <c r="B159" s="1" t="n">
        <v>44844</v>
      </c>
      <c r="C159" s="1" t="n">
        <v>45718</v>
      </c>
      <c r="D159" t="inlineStr">
        <is>
          <t>JÄMTLANDS LÄN</t>
        </is>
      </c>
      <c r="E159" t="inlineStr">
        <is>
          <t>ÖSTERSUND</t>
        </is>
      </c>
      <c r="F159" t="inlineStr">
        <is>
          <t>SCA</t>
        </is>
      </c>
      <c r="G159" t="n">
        <v>1.8</v>
      </c>
      <c r="H159" t="n">
        <v>0</v>
      </c>
      <c r="I159" t="n">
        <v>1</v>
      </c>
      <c r="J159" t="n">
        <v>0</v>
      </c>
      <c r="K159" t="n">
        <v>0</v>
      </c>
      <c r="L159" t="n">
        <v>0</v>
      </c>
      <c r="M159" t="n">
        <v>0</v>
      </c>
      <c r="N159" t="n">
        <v>0</v>
      </c>
      <c r="O159" t="n">
        <v>0</v>
      </c>
      <c r="P159" t="n">
        <v>0</v>
      </c>
      <c r="Q159" t="n">
        <v>1</v>
      </c>
      <c r="R159" s="2" t="inlineStr">
        <is>
          <t>Korallblylav</t>
        </is>
      </c>
      <c r="S159">
        <f>HYPERLINK("https://klasma.github.io/Logging_2380/artfynd/A 45441-2022 artfynd.xlsx", "A 45441-2022")</f>
        <v/>
      </c>
      <c r="T159">
        <f>HYPERLINK("https://klasma.github.io/Logging_2380/kartor/A 45441-2022 karta.png", "A 45441-2022")</f>
        <v/>
      </c>
      <c r="V159">
        <f>HYPERLINK("https://klasma.github.io/Logging_2380/klagomål/A 45441-2022 FSC-klagomål.docx", "A 45441-2022")</f>
        <v/>
      </c>
      <c r="W159">
        <f>HYPERLINK("https://klasma.github.io/Logging_2380/klagomålsmail/A 45441-2022 FSC-klagomål mail.docx", "A 45441-2022")</f>
        <v/>
      </c>
      <c r="X159">
        <f>HYPERLINK("https://klasma.github.io/Logging_2380/tillsyn/A 45441-2022 tillsynsbegäran.docx", "A 45441-2022")</f>
        <v/>
      </c>
      <c r="Y159">
        <f>HYPERLINK("https://klasma.github.io/Logging_2380/tillsynsmail/A 45441-2022 tillsynsbegäran mail.docx", "A 45441-2022")</f>
        <v/>
      </c>
    </row>
    <row r="160" ht="15" customHeight="1">
      <c r="A160" t="inlineStr">
        <is>
          <t>A 56245-2022</t>
        </is>
      </c>
      <c r="B160" s="1" t="n">
        <v>44890</v>
      </c>
      <c r="C160" s="1" t="n">
        <v>45718</v>
      </c>
      <c r="D160" t="inlineStr">
        <is>
          <t>JÄMTLANDS LÄN</t>
        </is>
      </c>
      <c r="E160" t="inlineStr">
        <is>
          <t>ÖSTERSUND</t>
        </is>
      </c>
      <c r="F160" t="inlineStr">
        <is>
          <t>Övriga Aktiebolag</t>
        </is>
      </c>
      <c r="G160" t="n">
        <v>10.6</v>
      </c>
      <c r="H160" t="n">
        <v>0</v>
      </c>
      <c r="I160" t="n">
        <v>0</v>
      </c>
      <c r="J160" t="n">
        <v>1</v>
      </c>
      <c r="K160" t="n">
        <v>0</v>
      </c>
      <c r="L160" t="n">
        <v>0</v>
      </c>
      <c r="M160" t="n">
        <v>0</v>
      </c>
      <c r="N160" t="n">
        <v>0</v>
      </c>
      <c r="O160" t="n">
        <v>1</v>
      </c>
      <c r="P160" t="n">
        <v>0</v>
      </c>
      <c r="Q160" t="n">
        <v>1</v>
      </c>
      <c r="R160" s="2" t="inlineStr">
        <is>
          <t>Garnlav</t>
        </is>
      </c>
      <c r="S160">
        <f>HYPERLINK("https://klasma.github.io/Logging_2380/artfynd/A 56245-2022 artfynd.xlsx", "A 56245-2022")</f>
        <v/>
      </c>
      <c r="T160">
        <f>HYPERLINK("https://klasma.github.io/Logging_2380/kartor/A 56245-2022 karta.png", "A 56245-2022")</f>
        <v/>
      </c>
      <c r="V160">
        <f>HYPERLINK("https://klasma.github.io/Logging_2380/klagomål/A 56245-2022 FSC-klagomål.docx", "A 56245-2022")</f>
        <v/>
      </c>
      <c r="W160">
        <f>HYPERLINK("https://klasma.github.io/Logging_2380/klagomålsmail/A 56245-2022 FSC-klagomål mail.docx", "A 56245-2022")</f>
        <v/>
      </c>
      <c r="X160">
        <f>HYPERLINK("https://klasma.github.io/Logging_2380/tillsyn/A 56245-2022 tillsynsbegäran.docx", "A 56245-2022")</f>
        <v/>
      </c>
      <c r="Y160">
        <f>HYPERLINK("https://klasma.github.io/Logging_2380/tillsynsmail/A 56245-2022 tillsynsbegäran mail.docx", "A 56245-2022")</f>
        <v/>
      </c>
    </row>
    <row r="161" ht="15" customHeight="1">
      <c r="A161" t="inlineStr">
        <is>
          <t>A 58181-2022</t>
        </is>
      </c>
      <c r="B161" s="1" t="n">
        <v>44900</v>
      </c>
      <c r="C161" s="1" t="n">
        <v>45718</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59739-2022</t>
        </is>
      </c>
      <c r="B162" s="1" t="n">
        <v>44908</v>
      </c>
      <c r="C162" s="1" t="n">
        <v>45718</v>
      </c>
      <c r="D162" t="inlineStr">
        <is>
          <t>JÄMTLANDS LÄN</t>
        </is>
      </c>
      <c r="E162" t="inlineStr">
        <is>
          <t>ÖSTERSUND</t>
        </is>
      </c>
      <c r="F162" t="inlineStr">
        <is>
          <t>Kommuner</t>
        </is>
      </c>
      <c r="G162" t="n">
        <v>1.9</v>
      </c>
      <c r="H162" t="n">
        <v>0</v>
      </c>
      <c r="I162" t="n">
        <v>1</v>
      </c>
      <c r="J162" t="n">
        <v>0</v>
      </c>
      <c r="K162" t="n">
        <v>0</v>
      </c>
      <c r="L162" t="n">
        <v>0</v>
      </c>
      <c r="M162" t="n">
        <v>0</v>
      </c>
      <c r="N162" t="n">
        <v>0</v>
      </c>
      <c r="O162" t="n">
        <v>0</v>
      </c>
      <c r="P162" t="n">
        <v>0</v>
      </c>
      <c r="Q162" t="n">
        <v>1</v>
      </c>
      <c r="R162" s="2" t="inlineStr">
        <is>
          <t>Vedticka</t>
        </is>
      </c>
      <c r="S162">
        <f>HYPERLINK("https://klasma.github.io/Logging_2380/artfynd/A 59739-2022 artfynd.xlsx", "A 59739-2022")</f>
        <v/>
      </c>
      <c r="T162">
        <f>HYPERLINK("https://klasma.github.io/Logging_2380/kartor/A 59739-2022 karta.png", "A 59739-2022")</f>
        <v/>
      </c>
      <c r="V162">
        <f>HYPERLINK("https://klasma.github.io/Logging_2380/klagomål/A 59739-2022 FSC-klagomål.docx", "A 59739-2022")</f>
        <v/>
      </c>
      <c r="W162">
        <f>HYPERLINK("https://klasma.github.io/Logging_2380/klagomålsmail/A 59739-2022 FSC-klagomål mail.docx", "A 59739-2022")</f>
        <v/>
      </c>
      <c r="X162">
        <f>HYPERLINK("https://klasma.github.io/Logging_2380/tillsyn/A 59739-2022 tillsynsbegäran.docx", "A 59739-2022")</f>
        <v/>
      </c>
      <c r="Y162">
        <f>HYPERLINK("https://klasma.github.io/Logging_2380/tillsynsmail/A 59739-2022 tillsynsbegäran mail.docx", "A 59739-2022")</f>
        <v/>
      </c>
    </row>
    <row r="163" ht="15" customHeight="1">
      <c r="A163" t="inlineStr">
        <is>
          <t>A 28980-2023</t>
        </is>
      </c>
      <c r="B163" s="1" t="n">
        <v>45096</v>
      </c>
      <c r="C163" s="1" t="n">
        <v>45718</v>
      </c>
      <c r="D163" t="inlineStr">
        <is>
          <t>JÄMTLANDS LÄN</t>
        </is>
      </c>
      <c r="E163" t="inlineStr">
        <is>
          <t>ÖSTERSUND</t>
        </is>
      </c>
      <c r="G163" t="n">
        <v>2.7</v>
      </c>
      <c r="H163" t="n">
        <v>0</v>
      </c>
      <c r="I163" t="n">
        <v>1</v>
      </c>
      <c r="J163" t="n">
        <v>0</v>
      </c>
      <c r="K163" t="n">
        <v>0</v>
      </c>
      <c r="L163" t="n">
        <v>0</v>
      </c>
      <c r="M163" t="n">
        <v>0</v>
      </c>
      <c r="N163" t="n">
        <v>0</v>
      </c>
      <c r="O163" t="n">
        <v>0</v>
      </c>
      <c r="P163" t="n">
        <v>0</v>
      </c>
      <c r="Q163" t="n">
        <v>1</v>
      </c>
      <c r="R163" s="2" t="inlineStr">
        <is>
          <t>Finbräken</t>
        </is>
      </c>
      <c r="S163">
        <f>HYPERLINK("https://klasma.github.io/Logging_2380/artfynd/A 28980-2023 artfynd.xlsx", "A 28980-2023")</f>
        <v/>
      </c>
      <c r="T163">
        <f>HYPERLINK("https://klasma.github.io/Logging_2380/kartor/A 28980-2023 karta.png", "A 28980-2023")</f>
        <v/>
      </c>
      <c r="V163">
        <f>HYPERLINK("https://klasma.github.io/Logging_2380/klagomål/A 28980-2023 FSC-klagomål.docx", "A 28980-2023")</f>
        <v/>
      </c>
      <c r="W163">
        <f>HYPERLINK("https://klasma.github.io/Logging_2380/klagomålsmail/A 28980-2023 FSC-klagomål mail.docx", "A 28980-2023")</f>
        <v/>
      </c>
      <c r="X163">
        <f>HYPERLINK("https://klasma.github.io/Logging_2380/tillsyn/A 28980-2023 tillsynsbegäran.docx", "A 28980-2023")</f>
        <v/>
      </c>
      <c r="Y163">
        <f>HYPERLINK("https://klasma.github.io/Logging_2380/tillsynsmail/A 28980-2023 tillsynsbegäran mail.docx", "A 28980-2023")</f>
        <v/>
      </c>
    </row>
    <row r="164" ht="15" customHeight="1">
      <c r="A164" t="inlineStr">
        <is>
          <t>A 32411-2023</t>
        </is>
      </c>
      <c r="B164" s="1" t="n">
        <v>45120</v>
      </c>
      <c r="C164" s="1" t="n">
        <v>45718</v>
      </c>
      <c r="D164" t="inlineStr">
        <is>
          <t>JÄMTLANDS LÄN</t>
        </is>
      </c>
      <c r="E164" t="inlineStr">
        <is>
          <t>ÖSTERSUND</t>
        </is>
      </c>
      <c r="G164" t="n">
        <v>8.5</v>
      </c>
      <c r="H164" t="n">
        <v>1</v>
      </c>
      <c r="I164" t="n">
        <v>1</v>
      </c>
      <c r="J164" t="n">
        <v>0</v>
      </c>
      <c r="K164" t="n">
        <v>0</v>
      </c>
      <c r="L164" t="n">
        <v>0</v>
      </c>
      <c r="M164" t="n">
        <v>0</v>
      </c>
      <c r="N164" t="n">
        <v>0</v>
      </c>
      <c r="O164" t="n">
        <v>0</v>
      </c>
      <c r="P164" t="n">
        <v>0</v>
      </c>
      <c r="Q164" t="n">
        <v>1</v>
      </c>
      <c r="R164" s="2" t="inlineStr">
        <is>
          <t>Spindelblomster</t>
        </is>
      </c>
      <c r="S164">
        <f>HYPERLINK("https://klasma.github.io/Logging_2380/artfynd/A 32411-2023 artfynd.xlsx", "A 32411-2023")</f>
        <v/>
      </c>
      <c r="T164">
        <f>HYPERLINK("https://klasma.github.io/Logging_2380/kartor/A 32411-2023 karta.png", "A 32411-2023")</f>
        <v/>
      </c>
      <c r="V164">
        <f>HYPERLINK("https://klasma.github.io/Logging_2380/klagomål/A 32411-2023 FSC-klagomål.docx", "A 32411-2023")</f>
        <v/>
      </c>
      <c r="W164">
        <f>HYPERLINK("https://klasma.github.io/Logging_2380/klagomålsmail/A 32411-2023 FSC-klagomål mail.docx", "A 32411-2023")</f>
        <v/>
      </c>
      <c r="X164">
        <f>HYPERLINK("https://klasma.github.io/Logging_2380/tillsyn/A 32411-2023 tillsynsbegäran.docx", "A 32411-2023")</f>
        <v/>
      </c>
      <c r="Y164">
        <f>HYPERLINK("https://klasma.github.io/Logging_2380/tillsynsmail/A 32411-2023 tillsynsbegäran mail.docx", "A 32411-2023")</f>
        <v/>
      </c>
    </row>
    <row r="165" ht="15" customHeight="1">
      <c r="A165" t="inlineStr">
        <is>
          <t>A 50825-2023</t>
        </is>
      </c>
      <c r="B165" s="1" t="n">
        <v>45217</v>
      </c>
      <c r="C165" s="1" t="n">
        <v>45718</v>
      </c>
      <c r="D165" t="inlineStr">
        <is>
          <t>JÄMTLANDS LÄN</t>
        </is>
      </c>
      <c r="E165" t="inlineStr">
        <is>
          <t>ÖSTERSUND</t>
        </is>
      </c>
      <c r="G165" t="n">
        <v>24.3</v>
      </c>
      <c r="H165" t="n">
        <v>0</v>
      </c>
      <c r="I165" t="n">
        <v>0</v>
      </c>
      <c r="J165" t="n">
        <v>1</v>
      </c>
      <c r="K165" t="n">
        <v>0</v>
      </c>
      <c r="L165" t="n">
        <v>0</v>
      </c>
      <c r="M165" t="n">
        <v>0</v>
      </c>
      <c r="N165" t="n">
        <v>0</v>
      </c>
      <c r="O165" t="n">
        <v>1</v>
      </c>
      <c r="P165" t="n">
        <v>0</v>
      </c>
      <c r="Q165" t="n">
        <v>1</v>
      </c>
      <c r="R165" s="2" t="inlineStr">
        <is>
          <t>Granticka</t>
        </is>
      </c>
      <c r="S165">
        <f>HYPERLINK("https://klasma.github.io/Logging_2380/artfynd/A 50825-2023 artfynd.xlsx", "A 50825-2023")</f>
        <v/>
      </c>
      <c r="T165">
        <f>HYPERLINK("https://klasma.github.io/Logging_2380/kartor/A 50825-2023 karta.png", "A 50825-2023")</f>
        <v/>
      </c>
      <c r="V165">
        <f>HYPERLINK("https://klasma.github.io/Logging_2380/klagomål/A 50825-2023 FSC-klagomål.docx", "A 50825-2023")</f>
        <v/>
      </c>
      <c r="W165">
        <f>HYPERLINK("https://klasma.github.io/Logging_2380/klagomålsmail/A 50825-2023 FSC-klagomål mail.docx", "A 50825-2023")</f>
        <v/>
      </c>
      <c r="X165">
        <f>HYPERLINK("https://klasma.github.io/Logging_2380/tillsyn/A 50825-2023 tillsynsbegäran.docx", "A 50825-2023")</f>
        <v/>
      </c>
      <c r="Y165">
        <f>HYPERLINK("https://klasma.github.io/Logging_2380/tillsynsmail/A 50825-2023 tillsynsbegäran mail.docx", "A 50825-2023")</f>
        <v/>
      </c>
    </row>
    <row r="166" ht="15" customHeight="1">
      <c r="A166" t="inlineStr">
        <is>
          <t>A 56025-2023</t>
        </is>
      </c>
      <c r="B166" s="1" t="n">
        <v>45233</v>
      </c>
      <c r="C166" s="1" t="n">
        <v>45718</v>
      </c>
      <c r="D166" t="inlineStr">
        <is>
          <t>JÄMTLANDS LÄN</t>
        </is>
      </c>
      <c r="E166" t="inlineStr">
        <is>
          <t>ÖSTERSUND</t>
        </is>
      </c>
      <c r="G166" t="n">
        <v>3.9</v>
      </c>
      <c r="H166" t="n">
        <v>1</v>
      </c>
      <c r="I166" t="n">
        <v>0</v>
      </c>
      <c r="J166" t="n">
        <v>1</v>
      </c>
      <c r="K166" t="n">
        <v>0</v>
      </c>
      <c r="L166" t="n">
        <v>0</v>
      </c>
      <c r="M166" t="n">
        <v>0</v>
      </c>
      <c r="N166" t="n">
        <v>0</v>
      </c>
      <c r="O166" t="n">
        <v>1</v>
      </c>
      <c r="P166" t="n">
        <v>0</v>
      </c>
      <c r="Q166" t="n">
        <v>1</v>
      </c>
      <c r="R166" s="2" t="inlineStr">
        <is>
          <t>Jämtlandsmaskros</t>
        </is>
      </c>
      <c r="S166">
        <f>HYPERLINK("https://klasma.github.io/Logging_2380/artfynd/A 56025-2023 artfynd.xlsx", "A 56025-2023")</f>
        <v/>
      </c>
      <c r="T166">
        <f>HYPERLINK("https://klasma.github.io/Logging_2380/kartor/A 56025-2023 karta.png", "A 56025-2023")</f>
        <v/>
      </c>
      <c r="V166">
        <f>HYPERLINK("https://klasma.github.io/Logging_2380/klagomål/A 56025-2023 FSC-klagomål.docx", "A 56025-2023")</f>
        <v/>
      </c>
      <c r="W166">
        <f>HYPERLINK("https://klasma.github.io/Logging_2380/klagomålsmail/A 56025-2023 FSC-klagomål mail.docx", "A 56025-2023")</f>
        <v/>
      </c>
      <c r="X166">
        <f>HYPERLINK("https://klasma.github.io/Logging_2380/tillsyn/A 56025-2023 tillsynsbegäran.docx", "A 56025-2023")</f>
        <v/>
      </c>
      <c r="Y166">
        <f>HYPERLINK("https://klasma.github.io/Logging_2380/tillsynsmail/A 56025-2023 tillsynsbegäran mail.docx", "A 56025-2023")</f>
        <v/>
      </c>
    </row>
    <row r="167" ht="15" customHeight="1">
      <c r="A167" t="inlineStr">
        <is>
          <t>A 57864-2023</t>
        </is>
      </c>
      <c r="B167" s="1" t="n">
        <v>45244</v>
      </c>
      <c r="C167" s="1" t="n">
        <v>45718</v>
      </c>
      <c r="D167" t="inlineStr">
        <is>
          <t>JÄMTLANDS LÄN</t>
        </is>
      </c>
      <c r="E167" t="inlineStr">
        <is>
          <t>ÖSTERSUND</t>
        </is>
      </c>
      <c r="G167" t="n">
        <v>3.1</v>
      </c>
      <c r="H167" t="n">
        <v>1</v>
      </c>
      <c r="I167" t="n">
        <v>0</v>
      </c>
      <c r="J167" t="n">
        <v>0</v>
      </c>
      <c r="K167" t="n">
        <v>0</v>
      </c>
      <c r="L167" t="n">
        <v>0</v>
      </c>
      <c r="M167" t="n">
        <v>0</v>
      </c>
      <c r="N167" t="n">
        <v>0</v>
      </c>
      <c r="O167" t="n">
        <v>0</v>
      </c>
      <c r="P167" t="n">
        <v>0</v>
      </c>
      <c r="Q167" t="n">
        <v>1</v>
      </c>
      <c r="R167" s="2" t="inlineStr">
        <is>
          <t>Mattlummer</t>
        </is>
      </c>
      <c r="S167">
        <f>HYPERLINK("https://klasma.github.io/Logging_2380/artfynd/A 57864-2023 artfynd.xlsx", "A 57864-2023")</f>
        <v/>
      </c>
      <c r="T167">
        <f>HYPERLINK("https://klasma.github.io/Logging_2380/kartor/A 57864-2023 karta.png", "A 57864-2023")</f>
        <v/>
      </c>
      <c r="V167">
        <f>HYPERLINK("https://klasma.github.io/Logging_2380/klagomål/A 57864-2023 FSC-klagomål.docx", "A 57864-2023")</f>
        <v/>
      </c>
      <c r="W167">
        <f>HYPERLINK("https://klasma.github.io/Logging_2380/klagomålsmail/A 57864-2023 FSC-klagomål mail.docx", "A 57864-2023")</f>
        <v/>
      </c>
      <c r="X167">
        <f>HYPERLINK("https://klasma.github.io/Logging_2380/tillsyn/A 57864-2023 tillsynsbegäran.docx", "A 57864-2023")</f>
        <v/>
      </c>
      <c r="Y167">
        <f>HYPERLINK("https://klasma.github.io/Logging_2380/tillsynsmail/A 57864-2023 tillsynsbegäran mail.docx", "A 57864-2023")</f>
        <v/>
      </c>
    </row>
    <row r="168" ht="15" customHeight="1">
      <c r="A168" t="inlineStr">
        <is>
          <t>A 64380-2023</t>
        </is>
      </c>
      <c r="B168" s="1" t="n">
        <v>45280</v>
      </c>
      <c r="C168" s="1" t="n">
        <v>45718</v>
      </c>
      <c r="D168" t="inlineStr">
        <is>
          <t>JÄMTLANDS LÄN</t>
        </is>
      </c>
      <c r="E168" t="inlineStr">
        <is>
          <t>ÖSTERSUND</t>
        </is>
      </c>
      <c r="G168" t="n">
        <v>12.4</v>
      </c>
      <c r="H168" t="n">
        <v>0</v>
      </c>
      <c r="I168" t="n">
        <v>0</v>
      </c>
      <c r="J168" t="n">
        <v>1</v>
      </c>
      <c r="K168" t="n">
        <v>0</v>
      </c>
      <c r="L168" t="n">
        <v>0</v>
      </c>
      <c r="M168" t="n">
        <v>0</v>
      </c>
      <c r="N168" t="n">
        <v>0</v>
      </c>
      <c r="O168" t="n">
        <v>1</v>
      </c>
      <c r="P168" t="n">
        <v>0</v>
      </c>
      <c r="Q168" t="n">
        <v>1</v>
      </c>
      <c r="R168" s="2" t="inlineStr">
        <is>
          <t>Luddfingersvamp</t>
        </is>
      </c>
      <c r="S168">
        <f>HYPERLINK("https://klasma.github.io/Logging_2380/artfynd/A 64380-2023 artfynd.xlsx", "A 64380-2023")</f>
        <v/>
      </c>
      <c r="T168">
        <f>HYPERLINK("https://klasma.github.io/Logging_2380/kartor/A 64380-2023 karta.png", "A 64380-2023")</f>
        <v/>
      </c>
      <c r="V168">
        <f>HYPERLINK("https://klasma.github.io/Logging_2380/klagomål/A 64380-2023 FSC-klagomål.docx", "A 64380-2023")</f>
        <v/>
      </c>
      <c r="W168">
        <f>HYPERLINK("https://klasma.github.io/Logging_2380/klagomålsmail/A 64380-2023 FSC-klagomål mail.docx", "A 64380-2023")</f>
        <v/>
      </c>
      <c r="X168">
        <f>HYPERLINK("https://klasma.github.io/Logging_2380/tillsyn/A 64380-2023 tillsynsbegäran.docx", "A 64380-2023")</f>
        <v/>
      </c>
      <c r="Y168">
        <f>HYPERLINK("https://klasma.github.io/Logging_2380/tillsynsmail/A 64380-2023 tillsynsbegäran mail.docx", "A 64380-2023")</f>
        <v/>
      </c>
    </row>
    <row r="169" ht="15" customHeight="1">
      <c r="A169" t="inlineStr">
        <is>
          <t>A 3272-2024</t>
        </is>
      </c>
      <c r="B169" s="1" t="n">
        <v>45316</v>
      </c>
      <c r="C169" s="1" t="n">
        <v>45718</v>
      </c>
      <c r="D169" t="inlineStr">
        <is>
          <t>JÄMTLANDS LÄN</t>
        </is>
      </c>
      <c r="E169" t="inlineStr">
        <is>
          <t>ÖSTERSUND</t>
        </is>
      </c>
      <c r="G169" t="n">
        <v>5.6</v>
      </c>
      <c r="H169" t="n">
        <v>1</v>
      </c>
      <c r="I169" t="n">
        <v>1</v>
      </c>
      <c r="J169" t="n">
        <v>0</v>
      </c>
      <c r="K169" t="n">
        <v>0</v>
      </c>
      <c r="L169" t="n">
        <v>0</v>
      </c>
      <c r="M169" t="n">
        <v>0</v>
      </c>
      <c r="N169" t="n">
        <v>0</v>
      </c>
      <c r="O169" t="n">
        <v>0</v>
      </c>
      <c r="P169" t="n">
        <v>0</v>
      </c>
      <c r="Q169" t="n">
        <v>1</v>
      </c>
      <c r="R169" s="2" t="inlineStr">
        <is>
          <t>Korallrot</t>
        </is>
      </c>
      <c r="S169">
        <f>HYPERLINK("https://klasma.github.io/Logging_2380/artfynd/A 3272-2024 artfynd.xlsx", "A 3272-2024")</f>
        <v/>
      </c>
      <c r="T169">
        <f>HYPERLINK("https://klasma.github.io/Logging_2380/kartor/A 3272-2024 karta.png", "A 3272-2024")</f>
        <v/>
      </c>
      <c r="V169">
        <f>HYPERLINK("https://klasma.github.io/Logging_2380/klagomål/A 3272-2024 FSC-klagomål.docx", "A 3272-2024")</f>
        <v/>
      </c>
      <c r="W169">
        <f>HYPERLINK("https://klasma.github.io/Logging_2380/klagomålsmail/A 3272-2024 FSC-klagomål mail.docx", "A 3272-2024")</f>
        <v/>
      </c>
      <c r="X169">
        <f>HYPERLINK("https://klasma.github.io/Logging_2380/tillsyn/A 3272-2024 tillsynsbegäran.docx", "A 3272-2024")</f>
        <v/>
      </c>
      <c r="Y169">
        <f>HYPERLINK("https://klasma.github.io/Logging_2380/tillsynsmail/A 3272-2024 tillsynsbegäran mail.docx", "A 3272-2024")</f>
        <v/>
      </c>
    </row>
    <row r="170" ht="15" customHeight="1">
      <c r="A170" t="inlineStr">
        <is>
          <t>A 5781-2024</t>
        </is>
      </c>
      <c r="B170" s="1" t="n">
        <v>45335</v>
      </c>
      <c r="C170" s="1" t="n">
        <v>45718</v>
      </c>
      <c r="D170" t="inlineStr">
        <is>
          <t>JÄMTLANDS LÄN</t>
        </is>
      </c>
      <c r="E170" t="inlineStr">
        <is>
          <t>ÖSTERSUND</t>
        </is>
      </c>
      <c r="G170" t="n">
        <v>8.800000000000001</v>
      </c>
      <c r="H170" t="n">
        <v>1</v>
      </c>
      <c r="I170" t="n">
        <v>1</v>
      </c>
      <c r="J170" t="n">
        <v>0</v>
      </c>
      <c r="K170" t="n">
        <v>0</v>
      </c>
      <c r="L170" t="n">
        <v>0</v>
      </c>
      <c r="M170" t="n">
        <v>0</v>
      </c>
      <c r="N170" t="n">
        <v>0</v>
      </c>
      <c r="O170" t="n">
        <v>0</v>
      </c>
      <c r="P170" t="n">
        <v>0</v>
      </c>
      <c r="Q170" t="n">
        <v>1</v>
      </c>
      <c r="R170" s="2" t="inlineStr">
        <is>
          <t>Guckusko</t>
        </is>
      </c>
      <c r="S170">
        <f>HYPERLINK("https://klasma.github.io/Logging_2380/artfynd/A 5781-2024 artfynd.xlsx", "A 5781-2024")</f>
        <v/>
      </c>
      <c r="T170">
        <f>HYPERLINK("https://klasma.github.io/Logging_2380/kartor/A 5781-2024 karta.png", "A 5781-2024")</f>
        <v/>
      </c>
      <c r="V170">
        <f>HYPERLINK("https://klasma.github.io/Logging_2380/klagomål/A 5781-2024 FSC-klagomål.docx", "A 5781-2024")</f>
        <v/>
      </c>
      <c r="W170">
        <f>HYPERLINK("https://klasma.github.io/Logging_2380/klagomålsmail/A 5781-2024 FSC-klagomål mail.docx", "A 5781-2024")</f>
        <v/>
      </c>
      <c r="X170">
        <f>HYPERLINK("https://klasma.github.io/Logging_2380/tillsyn/A 5781-2024 tillsynsbegäran.docx", "A 5781-2024")</f>
        <v/>
      </c>
      <c r="Y170">
        <f>HYPERLINK("https://klasma.github.io/Logging_2380/tillsynsmail/A 5781-2024 tillsynsbegäran mail.docx", "A 5781-2024")</f>
        <v/>
      </c>
    </row>
    <row r="171" ht="15" customHeight="1">
      <c r="A171" t="inlineStr">
        <is>
          <t>A 5779-2024</t>
        </is>
      </c>
      <c r="B171" s="1" t="n">
        <v>45335</v>
      </c>
      <c r="C171" s="1" t="n">
        <v>45718</v>
      </c>
      <c r="D171" t="inlineStr">
        <is>
          <t>JÄMTLANDS LÄN</t>
        </is>
      </c>
      <c r="E171" t="inlineStr">
        <is>
          <t>ÖSTERSUND</t>
        </is>
      </c>
      <c r="G171" t="n">
        <v>9.9</v>
      </c>
      <c r="H171" t="n">
        <v>0</v>
      </c>
      <c r="I171" t="n">
        <v>1</v>
      </c>
      <c r="J171" t="n">
        <v>0</v>
      </c>
      <c r="K171" t="n">
        <v>0</v>
      </c>
      <c r="L171" t="n">
        <v>0</v>
      </c>
      <c r="M171" t="n">
        <v>0</v>
      </c>
      <c r="N171" t="n">
        <v>0</v>
      </c>
      <c r="O171" t="n">
        <v>0</v>
      </c>
      <c r="P171" t="n">
        <v>0</v>
      </c>
      <c r="Q171" t="n">
        <v>1</v>
      </c>
      <c r="R171" s="2" t="inlineStr">
        <is>
          <t>Kransrams</t>
        </is>
      </c>
      <c r="S171">
        <f>HYPERLINK("https://klasma.github.io/Logging_2380/artfynd/A 5779-2024 artfynd.xlsx", "A 5779-2024")</f>
        <v/>
      </c>
      <c r="T171">
        <f>HYPERLINK("https://klasma.github.io/Logging_2380/kartor/A 5779-2024 karta.png", "A 5779-2024")</f>
        <v/>
      </c>
      <c r="V171">
        <f>HYPERLINK("https://klasma.github.io/Logging_2380/klagomål/A 5779-2024 FSC-klagomål.docx", "A 5779-2024")</f>
        <v/>
      </c>
      <c r="W171">
        <f>HYPERLINK("https://klasma.github.io/Logging_2380/klagomålsmail/A 5779-2024 FSC-klagomål mail.docx", "A 5779-2024")</f>
        <v/>
      </c>
      <c r="X171">
        <f>HYPERLINK("https://klasma.github.io/Logging_2380/tillsyn/A 5779-2024 tillsynsbegäran.docx", "A 5779-2024")</f>
        <v/>
      </c>
      <c r="Y171">
        <f>HYPERLINK("https://klasma.github.io/Logging_2380/tillsynsmail/A 5779-2024 tillsynsbegäran mail.docx", "A 5779-2024")</f>
        <v/>
      </c>
    </row>
    <row r="172" ht="15" customHeight="1">
      <c r="A172" t="inlineStr">
        <is>
          <t>A 11513-2024</t>
        </is>
      </c>
      <c r="B172" s="1" t="n">
        <v>45372</v>
      </c>
      <c r="C172" s="1" t="n">
        <v>45718</v>
      </c>
      <c r="D172" t="inlineStr">
        <is>
          <t>JÄMTLANDS LÄN</t>
        </is>
      </c>
      <c r="E172" t="inlineStr">
        <is>
          <t>ÖSTERSUND</t>
        </is>
      </c>
      <c r="G172" t="n">
        <v>21.2</v>
      </c>
      <c r="H172" t="n">
        <v>0</v>
      </c>
      <c r="I172" t="n">
        <v>1</v>
      </c>
      <c r="J172" t="n">
        <v>0</v>
      </c>
      <c r="K172" t="n">
        <v>0</v>
      </c>
      <c r="L172" t="n">
        <v>0</v>
      </c>
      <c r="M172" t="n">
        <v>0</v>
      </c>
      <c r="N172" t="n">
        <v>0</v>
      </c>
      <c r="O172" t="n">
        <v>0</v>
      </c>
      <c r="P172" t="n">
        <v>0</v>
      </c>
      <c r="Q172" t="n">
        <v>1</v>
      </c>
      <c r="R172" s="2" t="inlineStr">
        <is>
          <t>Tibast</t>
        </is>
      </c>
      <c r="S172">
        <f>HYPERLINK("https://klasma.github.io/Logging_2380/artfynd/A 11513-2024 artfynd.xlsx", "A 11513-2024")</f>
        <v/>
      </c>
      <c r="T172">
        <f>HYPERLINK("https://klasma.github.io/Logging_2380/kartor/A 11513-2024 karta.png", "A 11513-2024")</f>
        <v/>
      </c>
      <c r="V172">
        <f>HYPERLINK("https://klasma.github.io/Logging_2380/klagomål/A 11513-2024 FSC-klagomål.docx", "A 11513-2024")</f>
        <v/>
      </c>
      <c r="W172">
        <f>HYPERLINK("https://klasma.github.io/Logging_2380/klagomålsmail/A 11513-2024 FSC-klagomål mail.docx", "A 11513-2024")</f>
        <v/>
      </c>
      <c r="X172">
        <f>HYPERLINK("https://klasma.github.io/Logging_2380/tillsyn/A 11513-2024 tillsynsbegäran.docx", "A 11513-2024")</f>
        <v/>
      </c>
      <c r="Y172">
        <f>HYPERLINK("https://klasma.github.io/Logging_2380/tillsynsmail/A 11513-2024 tillsynsbegäran mail.docx", "A 11513-2024")</f>
        <v/>
      </c>
    </row>
    <row r="173" ht="15" customHeight="1">
      <c r="A173" t="inlineStr">
        <is>
          <t>A 15090-2024</t>
        </is>
      </c>
      <c r="B173" s="1" t="n">
        <v>45399</v>
      </c>
      <c r="C173" s="1" t="n">
        <v>45718</v>
      </c>
      <c r="D173" t="inlineStr">
        <is>
          <t>JÄMTLANDS LÄN</t>
        </is>
      </c>
      <c r="E173" t="inlineStr">
        <is>
          <t>ÖSTERSUND</t>
        </is>
      </c>
      <c r="G173" t="n">
        <v>18</v>
      </c>
      <c r="H173" t="n">
        <v>0</v>
      </c>
      <c r="I173" t="n">
        <v>1</v>
      </c>
      <c r="J173" t="n">
        <v>0</v>
      </c>
      <c r="K173" t="n">
        <v>0</v>
      </c>
      <c r="L173" t="n">
        <v>0</v>
      </c>
      <c r="M173" t="n">
        <v>0</v>
      </c>
      <c r="N173" t="n">
        <v>0</v>
      </c>
      <c r="O173" t="n">
        <v>0</v>
      </c>
      <c r="P173" t="n">
        <v>0</v>
      </c>
      <c r="Q173" t="n">
        <v>1</v>
      </c>
      <c r="R173" s="2" t="inlineStr">
        <is>
          <t>Svavelriska</t>
        </is>
      </c>
      <c r="S173">
        <f>HYPERLINK("https://klasma.github.io/Logging_2380/artfynd/A 15090-2024 artfynd.xlsx", "A 15090-2024")</f>
        <v/>
      </c>
      <c r="T173">
        <f>HYPERLINK("https://klasma.github.io/Logging_2380/kartor/A 15090-2024 karta.png", "A 15090-2024")</f>
        <v/>
      </c>
      <c r="V173">
        <f>HYPERLINK("https://klasma.github.io/Logging_2380/klagomål/A 15090-2024 FSC-klagomål.docx", "A 15090-2024")</f>
        <v/>
      </c>
      <c r="W173">
        <f>HYPERLINK("https://klasma.github.io/Logging_2380/klagomålsmail/A 15090-2024 FSC-klagomål mail.docx", "A 15090-2024")</f>
        <v/>
      </c>
      <c r="X173">
        <f>HYPERLINK("https://klasma.github.io/Logging_2380/tillsyn/A 15090-2024 tillsynsbegäran.docx", "A 15090-2024")</f>
        <v/>
      </c>
      <c r="Y173">
        <f>HYPERLINK("https://klasma.github.io/Logging_2380/tillsynsmail/A 15090-2024 tillsynsbegäran mail.docx", "A 15090-2024")</f>
        <v/>
      </c>
    </row>
    <row r="174" ht="15" customHeight="1">
      <c r="A174" t="inlineStr">
        <is>
          <t>A 18951-2024</t>
        </is>
      </c>
      <c r="B174" s="1" t="n">
        <v>45427</v>
      </c>
      <c r="C174" s="1" t="n">
        <v>45718</v>
      </c>
      <c r="D174" t="inlineStr">
        <is>
          <t>JÄMTLANDS LÄN</t>
        </is>
      </c>
      <c r="E174" t="inlineStr">
        <is>
          <t>ÖSTERSUND</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HYPERLINK("https://klasma.github.io/Logging_2380/artfynd/A 18951-2024 artfynd.xlsx", "A 18951-2024")</f>
        <v/>
      </c>
      <c r="T174">
        <f>HYPERLINK("https://klasma.github.io/Logging_2380/kartor/A 18951-2024 karta.png", "A 18951-2024")</f>
        <v/>
      </c>
      <c r="V174">
        <f>HYPERLINK("https://klasma.github.io/Logging_2380/klagomål/A 18951-2024 FSC-klagomål.docx", "A 18951-2024")</f>
        <v/>
      </c>
      <c r="W174">
        <f>HYPERLINK("https://klasma.github.io/Logging_2380/klagomålsmail/A 18951-2024 FSC-klagomål mail.docx", "A 18951-2024")</f>
        <v/>
      </c>
      <c r="X174">
        <f>HYPERLINK("https://klasma.github.io/Logging_2380/tillsyn/A 18951-2024 tillsynsbegäran.docx", "A 18951-2024")</f>
        <v/>
      </c>
      <c r="Y174">
        <f>HYPERLINK("https://klasma.github.io/Logging_2380/tillsynsmail/A 18951-2024 tillsynsbegäran mail.docx", "A 18951-2024")</f>
        <v/>
      </c>
    </row>
    <row r="175" ht="15" customHeight="1">
      <c r="A175" t="inlineStr">
        <is>
          <t>A 21614-2024</t>
        </is>
      </c>
      <c r="B175" s="1" t="n">
        <v>45442</v>
      </c>
      <c r="C175" s="1" t="n">
        <v>45718</v>
      </c>
      <c r="D175" t="inlineStr">
        <is>
          <t>JÄMTLANDS LÄN</t>
        </is>
      </c>
      <c r="E175" t="inlineStr">
        <is>
          <t>ÖSTERSUND</t>
        </is>
      </c>
      <c r="F175" t="inlineStr">
        <is>
          <t>SCA</t>
        </is>
      </c>
      <c r="G175" t="n">
        <v>3.5</v>
      </c>
      <c r="H175" t="n">
        <v>0</v>
      </c>
      <c r="I175" t="n">
        <v>0</v>
      </c>
      <c r="J175" t="n">
        <v>1</v>
      </c>
      <c r="K175" t="n">
        <v>0</v>
      </c>
      <c r="L175" t="n">
        <v>0</v>
      </c>
      <c r="M175" t="n">
        <v>0</v>
      </c>
      <c r="N175" t="n">
        <v>0</v>
      </c>
      <c r="O175" t="n">
        <v>1</v>
      </c>
      <c r="P175" t="n">
        <v>0</v>
      </c>
      <c r="Q175" t="n">
        <v>1</v>
      </c>
      <c r="R175" s="2" t="inlineStr">
        <is>
          <t>Lunglav</t>
        </is>
      </c>
      <c r="S175">
        <f>HYPERLINK("https://klasma.github.io/Logging_2380/artfynd/A 21614-2024 artfynd.xlsx", "A 21614-2024")</f>
        <v/>
      </c>
      <c r="T175">
        <f>HYPERLINK("https://klasma.github.io/Logging_2380/kartor/A 21614-2024 karta.png", "A 21614-2024")</f>
        <v/>
      </c>
      <c r="U175">
        <f>HYPERLINK("https://klasma.github.io/Logging_2380/knärot/A 21614-2024 karta knärot.png", "A 21614-2024")</f>
        <v/>
      </c>
      <c r="V175">
        <f>HYPERLINK("https://klasma.github.io/Logging_2380/klagomål/A 21614-2024 FSC-klagomål.docx", "A 21614-2024")</f>
        <v/>
      </c>
      <c r="W175">
        <f>HYPERLINK("https://klasma.github.io/Logging_2380/klagomålsmail/A 21614-2024 FSC-klagomål mail.docx", "A 21614-2024")</f>
        <v/>
      </c>
      <c r="X175">
        <f>HYPERLINK("https://klasma.github.io/Logging_2380/tillsyn/A 21614-2024 tillsynsbegäran.docx", "A 21614-2024")</f>
        <v/>
      </c>
      <c r="Y175">
        <f>HYPERLINK("https://klasma.github.io/Logging_2380/tillsynsmail/A 21614-2024 tillsynsbegäran mail.docx", "A 21614-2024")</f>
        <v/>
      </c>
    </row>
    <row r="176" ht="15" customHeight="1">
      <c r="A176" t="inlineStr">
        <is>
          <t>A 31883-2024</t>
        </is>
      </c>
      <c r="B176" s="1" t="n">
        <v>45510</v>
      </c>
      <c r="C176" s="1" t="n">
        <v>45718</v>
      </c>
      <c r="D176" t="inlineStr">
        <is>
          <t>JÄMTLANDS LÄN</t>
        </is>
      </c>
      <c r="E176" t="inlineStr">
        <is>
          <t>ÖSTERSUND</t>
        </is>
      </c>
      <c r="F176" t="inlineStr">
        <is>
          <t>SCA</t>
        </is>
      </c>
      <c r="G176" t="n">
        <v>3.3</v>
      </c>
      <c r="H176" t="n">
        <v>1</v>
      </c>
      <c r="I176" t="n">
        <v>0</v>
      </c>
      <c r="J176" t="n">
        <v>0</v>
      </c>
      <c r="K176" t="n">
        <v>1</v>
      </c>
      <c r="L176" t="n">
        <v>0</v>
      </c>
      <c r="M176" t="n">
        <v>0</v>
      </c>
      <c r="N176" t="n">
        <v>0</v>
      </c>
      <c r="O176" t="n">
        <v>1</v>
      </c>
      <c r="P176" t="n">
        <v>1</v>
      </c>
      <c r="Q176" t="n">
        <v>1</v>
      </c>
      <c r="R176" s="2" t="inlineStr">
        <is>
          <t>Doftticka</t>
        </is>
      </c>
      <c r="S176">
        <f>HYPERLINK("https://klasma.github.io/Logging_2380/artfynd/A 31883-2024 artfynd.xlsx", "A 31883-2024")</f>
        <v/>
      </c>
      <c r="T176">
        <f>HYPERLINK("https://klasma.github.io/Logging_2380/kartor/A 31883-2024 karta.png", "A 31883-2024")</f>
        <v/>
      </c>
      <c r="V176">
        <f>HYPERLINK("https://klasma.github.io/Logging_2380/klagomål/A 31883-2024 FSC-klagomål.docx", "A 31883-2024")</f>
        <v/>
      </c>
      <c r="W176">
        <f>HYPERLINK("https://klasma.github.io/Logging_2380/klagomålsmail/A 31883-2024 FSC-klagomål mail.docx", "A 31883-2024")</f>
        <v/>
      </c>
      <c r="X176">
        <f>HYPERLINK("https://klasma.github.io/Logging_2380/tillsyn/A 31883-2024 tillsynsbegäran.docx", "A 31883-2024")</f>
        <v/>
      </c>
      <c r="Y176">
        <f>HYPERLINK("https://klasma.github.io/Logging_2380/tillsynsmail/A 31883-2024 tillsynsbegäran mail.docx", "A 31883-2024")</f>
        <v/>
      </c>
    </row>
    <row r="177" ht="15" customHeight="1">
      <c r="A177" t="inlineStr">
        <is>
          <t>A 35422-2024</t>
        </is>
      </c>
      <c r="B177" s="1" t="n">
        <v>45531</v>
      </c>
      <c r="C177" s="1" t="n">
        <v>45718</v>
      </c>
      <c r="D177" t="inlineStr">
        <is>
          <t>JÄMTLANDS LÄN</t>
        </is>
      </c>
      <c r="E177" t="inlineStr">
        <is>
          <t>ÖSTERSUND</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HYPERLINK("https://klasma.github.io/Logging_2380/artfynd/A 35422-2024 artfynd.xlsx", "A 35422-2024")</f>
        <v/>
      </c>
      <c r="T177">
        <f>HYPERLINK("https://klasma.github.io/Logging_2380/kartor/A 35422-2024 karta.png", "A 35422-2024")</f>
        <v/>
      </c>
      <c r="V177">
        <f>HYPERLINK("https://klasma.github.io/Logging_2380/klagomål/A 35422-2024 FSC-klagomål.docx", "A 35422-2024")</f>
        <v/>
      </c>
      <c r="W177">
        <f>HYPERLINK("https://klasma.github.io/Logging_2380/klagomålsmail/A 35422-2024 FSC-klagomål mail.docx", "A 35422-2024")</f>
        <v/>
      </c>
      <c r="X177">
        <f>HYPERLINK("https://klasma.github.io/Logging_2380/tillsyn/A 35422-2024 tillsynsbegäran.docx", "A 35422-2024")</f>
        <v/>
      </c>
      <c r="Y177">
        <f>HYPERLINK("https://klasma.github.io/Logging_2380/tillsynsmail/A 35422-2024 tillsynsbegäran mail.docx", "A 35422-2024")</f>
        <v/>
      </c>
    </row>
    <row r="178" ht="15" customHeight="1">
      <c r="A178" t="inlineStr">
        <is>
          <t>A 35421-2024</t>
        </is>
      </c>
      <c r="B178" s="1" t="n">
        <v>45531</v>
      </c>
      <c r="C178" s="1" t="n">
        <v>45718</v>
      </c>
      <c r="D178" t="inlineStr">
        <is>
          <t>JÄMTLANDS LÄN</t>
        </is>
      </c>
      <c r="E178" t="inlineStr">
        <is>
          <t>ÖSTERSUND</t>
        </is>
      </c>
      <c r="F178" t="inlineStr">
        <is>
          <t>SCA</t>
        </is>
      </c>
      <c r="G178" t="n">
        <v>1.6</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35421-2024 artfynd.xlsx", "A 35421-2024")</f>
        <v/>
      </c>
      <c r="T178">
        <f>HYPERLINK("https://klasma.github.io/Logging_2380/kartor/A 35421-2024 karta.png", "A 35421-2024")</f>
        <v/>
      </c>
      <c r="V178">
        <f>HYPERLINK("https://klasma.github.io/Logging_2380/klagomål/A 35421-2024 FSC-klagomål.docx", "A 35421-2024")</f>
        <v/>
      </c>
      <c r="W178">
        <f>HYPERLINK("https://klasma.github.io/Logging_2380/klagomålsmail/A 35421-2024 FSC-klagomål mail.docx", "A 35421-2024")</f>
        <v/>
      </c>
      <c r="X178">
        <f>HYPERLINK("https://klasma.github.io/Logging_2380/tillsyn/A 35421-2024 tillsynsbegäran.docx", "A 35421-2024")</f>
        <v/>
      </c>
      <c r="Y178">
        <f>HYPERLINK("https://klasma.github.io/Logging_2380/tillsynsmail/A 35421-2024 tillsynsbegäran mail.docx", "A 35421-2024")</f>
        <v/>
      </c>
    </row>
    <row r="179" ht="15" customHeight="1">
      <c r="A179" t="inlineStr">
        <is>
          <t>A 36472-2024</t>
        </is>
      </c>
      <c r="B179" s="1" t="n">
        <v>45537</v>
      </c>
      <c r="C179" s="1" t="n">
        <v>45718</v>
      </c>
      <c r="D179" t="inlineStr">
        <is>
          <t>JÄMTLANDS LÄN</t>
        </is>
      </c>
      <c r="E179" t="inlineStr">
        <is>
          <t>ÖSTERSUND</t>
        </is>
      </c>
      <c r="F179" t="inlineStr">
        <is>
          <t>SCA</t>
        </is>
      </c>
      <c r="G179" t="n">
        <v>2.1</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36472-2024 artfynd.xlsx", "A 36472-2024")</f>
        <v/>
      </c>
      <c r="T179">
        <f>HYPERLINK("https://klasma.github.io/Logging_2380/kartor/A 36472-2024 karta.png", "A 36472-2024")</f>
        <v/>
      </c>
      <c r="V179">
        <f>HYPERLINK("https://klasma.github.io/Logging_2380/klagomål/A 36472-2024 FSC-klagomål.docx", "A 36472-2024")</f>
        <v/>
      </c>
      <c r="W179">
        <f>HYPERLINK("https://klasma.github.io/Logging_2380/klagomålsmail/A 36472-2024 FSC-klagomål mail.docx", "A 36472-2024")</f>
        <v/>
      </c>
      <c r="X179">
        <f>HYPERLINK("https://klasma.github.io/Logging_2380/tillsyn/A 36472-2024 tillsynsbegäran.docx", "A 36472-2024")</f>
        <v/>
      </c>
      <c r="Y179">
        <f>HYPERLINK("https://klasma.github.io/Logging_2380/tillsynsmail/A 36472-2024 tillsynsbegäran mail.docx", "A 36472-2024")</f>
        <v/>
      </c>
    </row>
    <row r="180" ht="15" customHeight="1">
      <c r="A180" t="inlineStr">
        <is>
          <t>A 40694-2024</t>
        </is>
      </c>
      <c r="B180" s="1" t="n">
        <v>45558</v>
      </c>
      <c r="C180" s="1" t="n">
        <v>45718</v>
      </c>
      <c r="D180" t="inlineStr">
        <is>
          <t>JÄMTLANDS LÄN</t>
        </is>
      </c>
      <c r="E180" t="inlineStr">
        <is>
          <t>ÖSTERSUND</t>
        </is>
      </c>
      <c r="F180" t="inlineStr">
        <is>
          <t>SCA</t>
        </is>
      </c>
      <c r="G180" t="n">
        <v>6.2</v>
      </c>
      <c r="H180" t="n">
        <v>0</v>
      </c>
      <c r="I180" t="n">
        <v>0</v>
      </c>
      <c r="J180" t="n">
        <v>1</v>
      </c>
      <c r="K180" t="n">
        <v>0</v>
      </c>
      <c r="L180" t="n">
        <v>0</v>
      </c>
      <c r="M180" t="n">
        <v>0</v>
      </c>
      <c r="N180" t="n">
        <v>0</v>
      </c>
      <c r="O180" t="n">
        <v>1</v>
      </c>
      <c r="P180" t="n">
        <v>0</v>
      </c>
      <c r="Q180" t="n">
        <v>1</v>
      </c>
      <c r="R180" s="2" t="inlineStr">
        <is>
          <t>Reliktbock</t>
        </is>
      </c>
      <c r="S180">
        <f>HYPERLINK("https://klasma.github.io/Logging_2380/artfynd/A 40694-2024 artfynd.xlsx", "A 40694-2024")</f>
        <v/>
      </c>
      <c r="T180">
        <f>HYPERLINK("https://klasma.github.io/Logging_2380/kartor/A 40694-2024 karta.png", "A 40694-2024")</f>
        <v/>
      </c>
      <c r="V180">
        <f>HYPERLINK("https://klasma.github.io/Logging_2380/klagomål/A 40694-2024 FSC-klagomål.docx", "A 40694-2024")</f>
        <v/>
      </c>
      <c r="W180">
        <f>HYPERLINK("https://klasma.github.io/Logging_2380/klagomålsmail/A 40694-2024 FSC-klagomål mail.docx", "A 40694-2024")</f>
        <v/>
      </c>
      <c r="X180">
        <f>HYPERLINK("https://klasma.github.io/Logging_2380/tillsyn/A 40694-2024 tillsynsbegäran.docx", "A 40694-2024")</f>
        <v/>
      </c>
      <c r="Y180">
        <f>HYPERLINK("https://klasma.github.io/Logging_2380/tillsynsmail/A 40694-2024 tillsynsbegäran mail.docx", "A 40694-2024")</f>
        <v/>
      </c>
    </row>
    <row r="181" ht="15" customHeight="1">
      <c r="A181" t="inlineStr">
        <is>
          <t>A 40692-2024</t>
        </is>
      </c>
      <c r="B181" s="1" t="n">
        <v>45558</v>
      </c>
      <c r="C181" s="1" t="n">
        <v>45718</v>
      </c>
      <c r="D181" t="inlineStr">
        <is>
          <t>JÄMTLANDS LÄN</t>
        </is>
      </c>
      <c r="E181" t="inlineStr">
        <is>
          <t>ÖSTERSUND</t>
        </is>
      </c>
      <c r="F181" t="inlineStr">
        <is>
          <t>SCA</t>
        </is>
      </c>
      <c r="G181" t="n">
        <v>0.9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40692-2024 artfynd.xlsx", "A 40692-2024")</f>
        <v/>
      </c>
      <c r="T181">
        <f>HYPERLINK("https://klasma.github.io/Logging_2380/kartor/A 40692-2024 karta.png", "A 40692-2024")</f>
        <v/>
      </c>
      <c r="V181">
        <f>HYPERLINK("https://klasma.github.io/Logging_2380/klagomål/A 40692-2024 FSC-klagomål.docx", "A 40692-2024")</f>
        <v/>
      </c>
      <c r="W181">
        <f>HYPERLINK("https://klasma.github.io/Logging_2380/klagomålsmail/A 40692-2024 FSC-klagomål mail.docx", "A 40692-2024")</f>
        <v/>
      </c>
      <c r="X181">
        <f>HYPERLINK("https://klasma.github.io/Logging_2380/tillsyn/A 40692-2024 tillsynsbegäran.docx", "A 40692-2024")</f>
        <v/>
      </c>
      <c r="Y181">
        <f>HYPERLINK("https://klasma.github.io/Logging_2380/tillsynsmail/A 40692-2024 tillsynsbegäran mail.docx", "A 40692-2024")</f>
        <v/>
      </c>
    </row>
    <row r="182" ht="15" customHeight="1">
      <c r="A182" t="inlineStr">
        <is>
          <t>A 40696-2024</t>
        </is>
      </c>
      <c r="B182" s="1" t="n">
        <v>45558</v>
      </c>
      <c r="C182" s="1" t="n">
        <v>45718</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41312-2024</t>
        </is>
      </c>
      <c r="B183" s="1" t="n">
        <v>45559</v>
      </c>
      <c r="C183" s="1" t="n">
        <v>45718</v>
      </c>
      <c r="D183" t="inlineStr">
        <is>
          <t>JÄMTLANDS LÄN</t>
        </is>
      </c>
      <c r="E183" t="inlineStr">
        <is>
          <t>ÖSTERSUND</t>
        </is>
      </c>
      <c r="F183" t="inlineStr">
        <is>
          <t>SCA</t>
        </is>
      </c>
      <c r="G183" t="n">
        <v>2.6</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41312-2024 artfynd.xlsx", "A 41312-2024")</f>
        <v/>
      </c>
      <c r="T183">
        <f>HYPERLINK("https://klasma.github.io/Logging_2380/kartor/A 41312-2024 karta.png", "A 41312-2024")</f>
        <v/>
      </c>
      <c r="V183">
        <f>HYPERLINK("https://klasma.github.io/Logging_2380/klagomål/A 41312-2024 FSC-klagomål.docx", "A 41312-2024")</f>
        <v/>
      </c>
      <c r="W183">
        <f>HYPERLINK("https://klasma.github.io/Logging_2380/klagomålsmail/A 41312-2024 FSC-klagomål mail.docx", "A 41312-2024")</f>
        <v/>
      </c>
      <c r="X183">
        <f>HYPERLINK("https://klasma.github.io/Logging_2380/tillsyn/A 41312-2024 tillsynsbegäran.docx", "A 41312-2024")</f>
        <v/>
      </c>
      <c r="Y183">
        <f>HYPERLINK("https://klasma.github.io/Logging_2380/tillsynsmail/A 41312-2024 tillsynsbegäran mail.docx", "A 41312-2024")</f>
        <v/>
      </c>
    </row>
    <row r="184" ht="15" customHeight="1">
      <c r="A184" t="inlineStr">
        <is>
          <t>A 41275-2024</t>
        </is>
      </c>
      <c r="B184" s="1" t="n">
        <v>45559</v>
      </c>
      <c r="C184" s="1" t="n">
        <v>45718</v>
      </c>
      <c r="D184" t="inlineStr">
        <is>
          <t>JÄMTLANDS LÄN</t>
        </is>
      </c>
      <c r="E184" t="inlineStr">
        <is>
          <t>ÖSTERSUND</t>
        </is>
      </c>
      <c r="F184" t="inlineStr">
        <is>
          <t>SCA</t>
        </is>
      </c>
      <c r="G184" t="n">
        <v>3.3</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41275-2024 artfynd.xlsx", "A 41275-2024")</f>
        <v/>
      </c>
      <c r="T184">
        <f>HYPERLINK("https://klasma.github.io/Logging_2380/kartor/A 41275-2024 karta.png", "A 41275-2024")</f>
        <v/>
      </c>
      <c r="V184">
        <f>HYPERLINK("https://klasma.github.io/Logging_2380/klagomål/A 41275-2024 FSC-klagomål.docx", "A 41275-2024")</f>
        <v/>
      </c>
      <c r="W184">
        <f>HYPERLINK("https://klasma.github.io/Logging_2380/klagomålsmail/A 41275-2024 FSC-klagomål mail.docx", "A 41275-2024")</f>
        <v/>
      </c>
      <c r="X184">
        <f>HYPERLINK("https://klasma.github.io/Logging_2380/tillsyn/A 41275-2024 tillsynsbegäran.docx", "A 41275-2024")</f>
        <v/>
      </c>
      <c r="Y184">
        <f>HYPERLINK("https://klasma.github.io/Logging_2380/tillsynsmail/A 41275-2024 tillsynsbegäran mail.docx", "A 41275-2024")</f>
        <v/>
      </c>
    </row>
    <row r="185" ht="15" customHeight="1">
      <c r="A185" t="inlineStr">
        <is>
          <t>A 41279-2024</t>
        </is>
      </c>
      <c r="B185" s="1" t="n">
        <v>45559</v>
      </c>
      <c r="C185" s="1" t="n">
        <v>45718</v>
      </c>
      <c r="D185" t="inlineStr">
        <is>
          <t>JÄMTLANDS LÄN</t>
        </is>
      </c>
      <c r="E185" t="inlineStr">
        <is>
          <t>ÖSTERSUND</t>
        </is>
      </c>
      <c r="F185" t="inlineStr">
        <is>
          <t>SCA</t>
        </is>
      </c>
      <c r="G185" t="n">
        <v>1.6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41279-2024 artfynd.xlsx", "A 41279-2024")</f>
        <v/>
      </c>
      <c r="T185">
        <f>HYPERLINK("https://klasma.github.io/Logging_2380/kartor/A 41279-2024 karta.png", "A 41279-2024")</f>
        <v/>
      </c>
      <c r="V185">
        <f>HYPERLINK("https://klasma.github.io/Logging_2380/klagomål/A 41279-2024 FSC-klagomål.docx", "A 41279-2024")</f>
        <v/>
      </c>
      <c r="W185">
        <f>HYPERLINK("https://klasma.github.io/Logging_2380/klagomålsmail/A 41279-2024 FSC-klagomål mail.docx", "A 41279-2024")</f>
        <v/>
      </c>
      <c r="X185">
        <f>HYPERLINK("https://klasma.github.io/Logging_2380/tillsyn/A 41279-2024 tillsynsbegäran.docx", "A 41279-2024")</f>
        <v/>
      </c>
      <c r="Y185">
        <f>HYPERLINK("https://klasma.github.io/Logging_2380/tillsynsmail/A 41279-2024 tillsynsbegäran mail.docx", "A 41279-2024")</f>
        <v/>
      </c>
    </row>
    <row r="186" ht="15" customHeight="1">
      <c r="A186" t="inlineStr">
        <is>
          <t>A 41286-2024</t>
        </is>
      </c>
      <c r="B186" s="1" t="n">
        <v>45559</v>
      </c>
      <c r="C186" s="1" t="n">
        <v>45718</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41286-2024 artfynd.xlsx", "A 41286-2024")</f>
        <v/>
      </c>
      <c r="T186">
        <f>HYPERLINK("https://klasma.github.io/Logging_2380/kartor/A 41286-2024 karta.png", "A 41286-2024")</f>
        <v/>
      </c>
      <c r="V186">
        <f>HYPERLINK("https://klasma.github.io/Logging_2380/klagomål/A 41286-2024 FSC-klagomål.docx", "A 41286-2024")</f>
        <v/>
      </c>
      <c r="W186">
        <f>HYPERLINK("https://klasma.github.io/Logging_2380/klagomålsmail/A 41286-2024 FSC-klagomål mail.docx", "A 41286-2024")</f>
        <v/>
      </c>
      <c r="X186">
        <f>HYPERLINK("https://klasma.github.io/Logging_2380/tillsyn/A 41286-2024 tillsynsbegäran.docx", "A 41286-2024")</f>
        <v/>
      </c>
      <c r="Y186">
        <f>HYPERLINK("https://klasma.github.io/Logging_2380/tillsynsmail/A 41286-2024 tillsynsbegäran mail.docx", "A 41286-2024")</f>
        <v/>
      </c>
    </row>
    <row r="187" ht="15" customHeight="1">
      <c r="A187" t="inlineStr">
        <is>
          <t>A 41755-2024</t>
        </is>
      </c>
      <c r="B187" s="1" t="n">
        <v>45561</v>
      </c>
      <c r="C187" s="1" t="n">
        <v>45718</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41755-2024 artfynd.xlsx", "A 41755-2024")</f>
        <v/>
      </c>
      <c r="T187">
        <f>HYPERLINK("https://klasma.github.io/Logging_2380/kartor/A 41755-2024 karta.png", "A 41755-2024")</f>
        <v/>
      </c>
      <c r="V187">
        <f>HYPERLINK("https://klasma.github.io/Logging_2380/klagomål/A 41755-2024 FSC-klagomål.docx", "A 41755-2024")</f>
        <v/>
      </c>
      <c r="W187">
        <f>HYPERLINK("https://klasma.github.io/Logging_2380/klagomålsmail/A 41755-2024 FSC-klagomål mail.docx", "A 41755-2024")</f>
        <v/>
      </c>
      <c r="X187">
        <f>HYPERLINK("https://klasma.github.io/Logging_2380/tillsyn/A 41755-2024 tillsynsbegäran.docx", "A 41755-2024")</f>
        <v/>
      </c>
      <c r="Y187">
        <f>HYPERLINK("https://klasma.github.io/Logging_2380/tillsynsmail/A 41755-2024 tillsynsbegäran mail.docx", "A 41755-2024")</f>
        <v/>
      </c>
    </row>
    <row r="188" ht="15" customHeight="1">
      <c r="A188" t="inlineStr">
        <is>
          <t>A 41762-2024</t>
        </is>
      </c>
      <c r="B188" s="1" t="n">
        <v>45561</v>
      </c>
      <c r="C188" s="1" t="n">
        <v>45718</v>
      </c>
      <c r="D188" t="inlineStr">
        <is>
          <t>JÄMTLANDS LÄN</t>
        </is>
      </c>
      <c r="E188" t="inlineStr">
        <is>
          <t>ÖSTERSUND</t>
        </is>
      </c>
      <c r="F188" t="inlineStr">
        <is>
          <t>SCA</t>
        </is>
      </c>
      <c r="G188" t="n">
        <v>5.9</v>
      </c>
      <c r="H188" t="n">
        <v>0</v>
      </c>
      <c r="I188" t="n">
        <v>1</v>
      </c>
      <c r="J188" t="n">
        <v>0</v>
      </c>
      <c r="K188" t="n">
        <v>0</v>
      </c>
      <c r="L188" t="n">
        <v>0</v>
      </c>
      <c r="M188" t="n">
        <v>0</v>
      </c>
      <c r="N188" t="n">
        <v>0</v>
      </c>
      <c r="O188" t="n">
        <v>0</v>
      </c>
      <c r="P188" t="n">
        <v>0</v>
      </c>
      <c r="Q188" t="n">
        <v>1</v>
      </c>
      <c r="R188" s="2" t="inlineStr">
        <is>
          <t>Dropptaggsvamp</t>
        </is>
      </c>
      <c r="S188">
        <f>HYPERLINK("https://klasma.github.io/Logging_2380/artfynd/A 41762-2024 artfynd.xlsx", "A 41762-2024")</f>
        <v/>
      </c>
      <c r="T188">
        <f>HYPERLINK("https://klasma.github.io/Logging_2380/kartor/A 41762-2024 karta.png", "A 41762-2024")</f>
        <v/>
      </c>
      <c r="V188">
        <f>HYPERLINK("https://klasma.github.io/Logging_2380/klagomål/A 41762-2024 FSC-klagomål.docx", "A 41762-2024")</f>
        <v/>
      </c>
      <c r="W188">
        <f>HYPERLINK("https://klasma.github.io/Logging_2380/klagomålsmail/A 41762-2024 FSC-klagomål mail.docx", "A 41762-2024")</f>
        <v/>
      </c>
      <c r="X188">
        <f>HYPERLINK("https://klasma.github.io/Logging_2380/tillsyn/A 41762-2024 tillsynsbegäran.docx", "A 41762-2024")</f>
        <v/>
      </c>
      <c r="Y188">
        <f>HYPERLINK("https://klasma.github.io/Logging_2380/tillsynsmail/A 41762-2024 tillsynsbegäran mail.docx", "A 41762-2024")</f>
        <v/>
      </c>
    </row>
    <row r="189" ht="15" customHeight="1">
      <c r="A189" t="inlineStr">
        <is>
          <t>A 41770-2024</t>
        </is>
      </c>
      <c r="B189" s="1" t="n">
        <v>45561</v>
      </c>
      <c r="C189" s="1" t="n">
        <v>45718</v>
      </c>
      <c r="D189" t="inlineStr">
        <is>
          <t>JÄMTLANDS LÄN</t>
        </is>
      </c>
      <c r="E189" t="inlineStr">
        <is>
          <t>ÖSTERSUND</t>
        </is>
      </c>
      <c r="F189" t="inlineStr">
        <is>
          <t>SCA</t>
        </is>
      </c>
      <c r="G189" t="n">
        <v>4.4</v>
      </c>
      <c r="H189" t="n">
        <v>0</v>
      </c>
      <c r="I189" t="n">
        <v>1</v>
      </c>
      <c r="J189" t="n">
        <v>0</v>
      </c>
      <c r="K189" t="n">
        <v>0</v>
      </c>
      <c r="L189" t="n">
        <v>0</v>
      </c>
      <c r="M189" t="n">
        <v>0</v>
      </c>
      <c r="N189" t="n">
        <v>0</v>
      </c>
      <c r="O189" t="n">
        <v>0</v>
      </c>
      <c r="P189" t="n">
        <v>0</v>
      </c>
      <c r="Q189" t="n">
        <v>1</v>
      </c>
      <c r="R189" s="2" t="inlineStr">
        <is>
          <t>Vedticka</t>
        </is>
      </c>
      <c r="S189">
        <f>HYPERLINK("https://klasma.github.io/Logging_2380/artfynd/A 41770-2024 artfynd.xlsx", "A 41770-2024")</f>
        <v/>
      </c>
      <c r="T189">
        <f>HYPERLINK("https://klasma.github.io/Logging_2380/kartor/A 41770-2024 karta.png", "A 41770-2024")</f>
        <v/>
      </c>
      <c r="V189">
        <f>HYPERLINK("https://klasma.github.io/Logging_2380/klagomål/A 41770-2024 FSC-klagomål.docx", "A 41770-2024")</f>
        <v/>
      </c>
      <c r="W189">
        <f>HYPERLINK("https://klasma.github.io/Logging_2380/klagomålsmail/A 41770-2024 FSC-klagomål mail.docx", "A 41770-2024")</f>
        <v/>
      </c>
      <c r="X189">
        <f>HYPERLINK("https://klasma.github.io/Logging_2380/tillsyn/A 41770-2024 tillsynsbegäran.docx", "A 41770-2024")</f>
        <v/>
      </c>
      <c r="Y189">
        <f>HYPERLINK("https://klasma.github.io/Logging_2380/tillsynsmail/A 41770-2024 tillsynsbegäran mail.docx", "A 41770-2024")</f>
        <v/>
      </c>
    </row>
    <row r="190" ht="15" customHeight="1">
      <c r="A190" t="inlineStr">
        <is>
          <t>A 44049-2024</t>
        </is>
      </c>
      <c r="B190" s="1" t="n">
        <v>45572</v>
      </c>
      <c r="C190" s="1" t="n">
        <v>45718</v>
      </c>
      <c r="D190" t="inlineStr">
        <is>
          <t>JÄMTLANDS LÄN</t>
        </is>
      </c>
      <c r="E190" t="inlineStr">
        <is>
          <t>ÖSTERSUND</t>
        </is>
      </c>
      <c r="F190" t="inlineStr">
        <is>
          <t>SCA</t>
        </is>
      </c>
      <c r="G190" t="n">
        <v>4.5</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44049-2024 artfynd.xlsx", "A 44049-2024")</f>
        <v/>
      </c>
      <c r="T190">
        <f>HYPERLINK("https://klasma.github.io/Logging_2380/kartor/A 44049-2024 karta.png", "A 44049-2024")</f>
        <v/>
      </c>
      <c r="V190">
        <f>HYPERLINK("https://klasma.github.io/Logging_2380/klagomål/A 44049-2024 FSC-klagomål.docx", "A 44049-2024")</f>
        <v/>
      </c>
      <c r="W190">
        <f>HYPERLINK("https://klasma.github.io/Logging_2380/klagomålsmail/A 44049-2024 FSC-klagomål mail.docx", "A 44049-2024")</f>
        <v/>
      </c>
      <c r="X190">
        <f>HYPERLINK("https://klasma.github.io/Logging_2380/tillsyn/A 44049-2024 tillsynsbegäran.docx", "A 44049-2024")</f>
        <v/>
      </c>
      <c r="Y190">
        <f>HYPERLINK("https://klasma.github.io/Logging_2380/tillsynsmail/A 44049-2024 tillsynsbegäran mail.docx", "A 44049-2024")</f>
        <v/>
      </c>
    </row>
    <row r="191" ht="15" customHeight="1">
      <c r="A191" t="inlineStr">
        <is>
          <t>A 44737-2024</t>
        </is>
      </c>
      <c r="B191" s="1" t="n">
        <v>45574</v>
      </c>
      <c r="C191" s="1" t="n">
        <v>45718</v>
      </c>
      <c r="D191" t="inlineStr">
        <is>
          <t>JÄMTLANDS LÄN</t>
        </is>
      </c>
      <c r="E191" t="inlineStr">
        <is>
          <t>ÖSTERSUND</t>
        </is>
      </c>
      <c r="F191" t="inlineStr">
        <is>
          <t>SCA</t>
        </is>
      </c>
      <c r="G191" t="n">
        <v>6.3</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44737-2024 artfynd.xlsx", "A 44737-2024")</f>
        <v/>
      </c>
      <c r="T191">
        <f>HYPERLINK("https://klasma.github.io/Logging_2380/kartor/A 44737-2024 karta.png", "A 44737-2024")</f>
        <v/>
      </c>
      <c r="V191">
        <f>HYPERLINK("https://klasma.github.io/Logging_2380/klagomål/A 44737-2024 FSC-klagomål.docx", "A 44737-2024")</f>
        <v/>
      </c>
      <c r="W191">
        <f>HYPERLINK("https://klasma.github.io/Logging_2380/klagomålsmail/A 44737-2024 FSC-klagomål mail.docx", "A 44737-2024")</f>
        <v/>
      </c>
      <c r="X191">
        <f>HYPERLINK("https://klasma.github.io/Logging_2380/tillsyn/A 44737-2024 tillsynsbegäran.docx", "A 44737-2024")</f>
        <v/>
      </c>
      <c r="Y191">
        <f>HYPERLINK("https://klasma.github.io/Logging_2380/tillsynsmail/A 44737-2024 tillsynsbegäran mail.docx", "A 44737-2024")</f>
        <v/>
      </c>
    </row>
    <row r="192" ht="15" customHeight="1">
      <c r="A192" t="inlineStr">
        <is>
          <t>A 45267-2024</t>
        </is>
      </c>
      <c r="B192" s="1" t="n">
        <v>45576</v>
      </c>
      <c r="C192" s="1" t="n">
        <v>45718</v>
      </c>
      <c r="D192" t="inlineStr">
        <is>
          <t>JÄMTLANDS LÄN</t>
        </is>
      </c>
      <c r="E192" t="inlineStr">
        <is>
          <t>ÖSTERSUND</t>
        </is>
      </c>
      <c r="G192" t="n">
        <v>8.6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45267-2024 artfynd.xlsx", "A 45267-2024")</f>
        <v/>
      </c>
      <c r="T192">
        <f>HYPERLINK("https://klasma.github.io/Logging_2380/kartor/A 45267-2024 karta.png", "A 45267-2024")</f>
        <v/>
      </c>
      <c r="V192">
        <f>HYPERLINK("https://klasma.github.io/Logging_2380/klagomål/A 45267-2024 FSC-klagomål.docx", "A 45267-2024")</f>
        <v/>
      </c>
      <c r="W192">
        <f>HYPERLINK("https://klasma.github.io/Logging_2380/klagomålsmail/A 45267-2024 FSC-klagomål mail.docx", "A 45267-2024")</f>
        <v/>
      </c>
      <c r="X192">
        <f>HYPERLINK("https://klasma.github.io/Logging_2380/tillsyn/A 45267-2024 tillsynsbegäran.docx", "A 45267-2024")</f>
        <v/>
      </c>
      <c r="Y192">
        <f>HYPERLINK("https://klasma.github.io/Logging_2380/tillsynsmail/A 45267-2024 tillsynsbegäran mail.docx", "A 45267-2024")</f>
        <v/>
      </c>
      <c r="Z192">
        <f>HYPERLINK("https://klasma.github.io/Logging_2380/fåglar/A 45267-2024 prioriterade fågelarter.docx", "A 45267-2024")</f>
        <v/>
      </c>
    </row>
    <row r="193" ht="15" customHeight="1">
      <c r="A193" t="inlineStr">
        <is>
          <t>A 47176-2024</t>
        </is>
      </c>
      <c r="B193" s="1" t="n">
        <v>45586</v>
      </c>
      <c r="C193" s="1" t="n">
        <v>45718</v>
      </c>
      <c r="D193" t="inlineStr">
        <is>
          <t>JÄMTLANDS LÄN</t>
        </is>
      </c>
      <c r="E193" t="inlineStr">
        <is>
          <t>ÖSTERSUND</t>
        </is>
      </c>
      <c r="F193" t="inlineStr">
        <is>
          <t>SCA</t>
        </is>
      </c>
      <c r="G193" t="n">
        <v>2.9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47176-2024 artfynd.xlsx", "A 47176-2024")</f>
        <v/>
      </c>
      <c r="T193">
        <f>HYPERLINK("https://klasma.github.io/Logging_2380/kartor/A 47176-2024 karta.png", "A 47176-2024")</f>
        <v/>
      </c>
      <c r="V193">
        <f>HYPERLINK("https://klasma.github.io/Logging_2380/klagomål/A 47176-2024 FSC-klagomål.docx", "A 47176-2024")</f>
        <v/>
      </c>
      <c r="W193">
        <f>HYPERLINK("https://klasma.github.io/Logging_2380/klagomålsmail/A 47176-2024 FSC-klagomål mail.docx", "A 47176-2024")</f>
        <v/>
      </c>
      <c r="X193">
        <f>HYPERLINK("https://klasma.github.io/Logging_2380/tillsyn/A 47176-2024 tillsynsbegäran.docx", "A 47176-2024")</f>
        <v/>
      </c>
      <c r="Y193">
        <f>HYPERLINK("https://klasma.github.io/Logging_2380/tillsynsmail/A 47176-2024 tillsynsbegäran mail.docx", "A 47176-2024")</f>
        <v/>
      </c>
    </row>
    <row r="194" ht="15" customHeight="1">
      <c r="A194" t="inlineStr">
        <is>
          <t>A 56201-2024</t>
        </is>
      </c>
      <c r="B194" s="1" t="n">
        <v>45624</v>
      </c>
      <c r="C194" s="1" t="n">
        <v>45718</v>
      </c>
      <c r="D194" t="inlineStr">
        <is>
          <t>JÄMTLANDS LÄN</t>
        </is>
      </c>
      <c r="E194" t="inlineStr">
        <is>
          <t>ÖSTERSUND</t>
        </is>
      </c>
      <c r="F194" t="inlineStr">
        <is>
          <t>SCA</t>
        </is>
      </c>
      <c r="G194" t="n">
        <v>5.9</v>
      </c>
      <c r="H194" t="n">
        <v>1</v>
      </c>
      <c r="I194" t="n">
        <v>0</v>
      </c>
      <c r="J194" t="n">
        <v>0</v>
      </c>
      <c r="K194" t="n">
        <v>1</v>
      </c>
      <c r="L194" t="n">
        <v>0</v>
      </c>
      <c r="M194" t="n">
        <v>0</v>
      </c>
      <c r="N194" t="n">
        <v>0</v>
      </c>
      <c r="O194" t="n">
        <v>1</v>
      </c>
      <c r="P194" t="n">
        <v>1</v>
      </c>
      <c r="Q194" t="n">
        <v>1</v>
      </c>
      <c r="R194" s="2" t="inlineStr">
        <is>
          <t>Doftticka</t>
        </is>
      </c>
      <c r="S194">
        <f>HYPERLINK("https://klasma.github.io/Logging_2380/artfynd/A 56201-2024 artfynd.xlsx", "A 56201-2024")</f>
        <v/>
      </c>
      <c r="T194">
        <f>HYPERLINK("https://klasma.github.io/Logging_2380/kartor/A 56201-2024 karta.png", "A 56201-2024")</f>
        <v/>
      </c>
      <c r="V194">
        <f>HYPERLINK("https://klasma.github.io/Logging_2380/klagomål/A 56201-2024 FSC-klagomål.docx", "A 56201-2024")</f>
        <v/>
      </c>
      <c r="W194">
        <f>HYPERLINK("https://klasma.github.io/Logging_2380/klagomålsmail/A 56201-2024 FSC-klagomål mail.docx", "A 56201-2024")</f>
        <v/>
      </c>
      <c r="X194">
        <f>HYPERLINK("https://klasma.github.io/Logging_2380/tillsyn/A 56201-2024 tillsynsbegäran.docx", "A 56201-2024")</f>
        <v/>
      </c>
      <c r="Y194">
        <f>HYPERLINK("https://klasma.github.io/Logging_2380/tillsynsmail/A 56201-2024 tillsynsbegäran mail.docx", "A 56201-2024")</f>
        <v/>
      </c>
    </row>
    <row r="195" ht="15" customHeight="1">
      <c r="A195" t="inlineStr">
        <is>
          <t>A 57065-2024</t>
        </is>
      </c>
      <c r="B195" s="1" t="n">
        <v>45629</v>
      </c>
      <c r="C195" s="1" t="n">
        <v>45718</v>
      </c>
      <c r="D195" t="inlineStr">
        <is>
          <t>JÄMTLANDS LÄN</t>
        </is>
      </c>
      <c r="E195" t="inlineStr">
        <is>
          <t>ÖSTERSUND</t>
        </is>
      </c>
      <c r="F195" t="inlineStr">
        <is>
          <t>SCA</t>
        </is>
      </c>
      <c r="G195" t="n">
        <v>6.3</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57065-2024 artfynd.xlsx", "A 57065-2024")</f>
        <v/>
      </c>
      <c r="T195">
        <f>HYPERLINK("https://klasma.github.io/Logging_2380/kartor/A 57065-2024 karta.png", "A 57065-2024")</f>
        <v/>
      </c>
      <c r="V195">
        <f>HYPERLINK("https://klasma.github.io/Logging_2380/klagomål/A 57065-2024 FSC-klagomål.docx", "A 57065-2024")</f>
        <v/>
      </c>
      <c r="W195">
        <f>HYPERLINK("https://klasma.github.io/Logging_2380/klagomålsmail/A 57065-2024 FSC-klagomål mail.docx", "A 57065-2024")</f>
        <v/>
      </c>
      <c r="X195">
        <f>HYPERLINK("https://klasma.github.io/Logging_2380/tillsyn/A 57065-2024 tillsynsbegäran.docx", "A 57065-2024")</f>
        <v/>
      </c>
      <c r="Y195">
        <f>HYPERLINK("https://klasma.github.io/Logging_2380/tillsynsmail/A 57065-2024 tillsynsbegäran mail.docx", "A 57065-2024")</f>
        <v/>
      </c>
      <c r="Z195">
        <f>HYPERLINK("https://klasma.github.io/Logging_2380/fåglar/A 57065-2024 prioriterade fågelarter.docx", "A 57065-2024")</f>
        <v/>
      </c>
    </row>
    <row r="196" ht="15" customHeight="1">
      <c r="A196" t="inlineStr">
        <is>
          <t>A 59108-2024</t>
        </is>
      </c>
      <c r="B196" s="1" t="n">
        <v>45637</v>
      </c>
      <c r="C196" s="1" t="n">
        <v>45718</v>
      </c>
      <c r="D196" t="inlineStr">
        <is>
          <t>JÄMTLANDS LÄN</t>
        </is>
      </c>
      <c r="E196" t="inlineStr">
        <is>
          <t>ÖSTERSUND</t>
        </is>
      </c>
      <c r="F196" t="inlineStr">
        <is>
          <t>SCA</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59108-2024 artfynd.xlsx", "A 59108-2024")</f>
        <v/>
      </c>
      <c r="T196">
        <f>HYPERLINK("https://klasma.github.io/Logging_2380/kartor/A 59108-2024 karta.png", "A 59108-2024")</f>
        <v/>
      </c>
      <c r="V196">
        <f>HYPERLINK("https://klasma.github.io/Logging_2380/klagomål/A 59108-2024 FSC-klagomål.docx", "A 59108-2024")</f>
        <v/>
      </c>
      <c r="W196">
        <f>HYPERLINK("https://klasma.github.io/Logging_2380/klagomålsmail/A 59108-2024 FSC-klagomål mail.docx", "A 59108-2024")</f>
        <v/>
      </c>
      <c r="X196">
        <f>HYPERLINK("https://klasma.github.io/Logging_2380/tillsyn/A 59108-2024 tillsynsbegäran.docx", "A 59108-2024")</f>
        <v/>
      </c>
      <c r="Y196">
        <f>HYPERLINK("https://klasma.github.io/Logging_2380/tillsynsmail/A 59108-2024 tillsynsbegäran mail.docx", "A 59108-2024")</f>
        <v/>
      </c>
      <c r="Z196">
        <f>HYPERLINK("https://klasma.github.io/Logging_2380/fåglar/A 59108-2024 prioriterade fågelarter.docx", "A 59108-2024")</f>
        <v/>
      </c>
    </row>
    <row r="197" ht="15" customHeight="1">
      <c r="A197" t="inlineStr">
        <is>
          <t>A 61179-2024</t>
        </is>
      </c>
      <c r="B197" s="1" t="n">
        <v>45645</v>
      </c>
      <c r="C197" s="1" t="n">
        <v>45718</v>
      </c>
      <c r="D197" t="inlineStr">
        <is>
          <t>JÄMTLANDS LÄN</t>
        </is>
      </c>
      <c r="E197" t="inlineStr">
        <is>
          <t>ÖSTERSUND</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HYPERLINK("https://klasma.github.io/Logging_2380/artfynd/A 61179-2024 artfynd.xlsx", "A 61179-2024")</f>
        <v/>
      </c>
      <c r="T197">
        <f>HYPERLINK("https://klasma.github.io/Logging_2380/kartor/A 61179-2024 karta.png", "A 61179-2024")</f>
        <v/>
      </c>
      <c r="U197">
        <f>HYPERLINK("https://klasma.github.io/Logging_2380/knärot/A 61179-2024 karta knärot.png", "A 61179-2024")</f>
        <v/>
      </c>
      <c r="V197">
        <f>HYPERLINK("https://klasma.github.io/Logging_2380/klagomål/A 61179-2024 FSC-klagomål.docx", "A 61179-2024")</f>
        <v/>
      </c>
      <c r="W197">
        <f>HYPERLINK("https://klasma.github.io/Logging_2380/klagomålsmail/A 61179-2024 FSC-klagomål mail.docx", "A 61179-2024")</f>
        <v/>
      </c>
      <c r="X197">
        <f>HYPERLINK("https://klasma.github.io/Logging_2380/tillsyn/A 61179-2024 tillsynsbegäran.docx", "A 61179-2024")</f>
        <v/>
      </c>
      <c r="Y197">
        <f>HYPERLINK("https://klasma.github.io/Logging_2380/tillsynsmail/A 61179-2024 tillsynsbegäran mail.docx", "A 61179-2024")</f>
        <v/>
      </c>
    </row>
    <row r="198" ht="15" customHeight="1">
      <c r="A198" t="inlineStr">
        <is>
          <t>A 3995-2025</t>
        </is>
      </c>
      <c r="B198" s="1" t="n">
        <v>45684</v>
      </c>
      <c r="C198" s="1" t="n">
        <v>45718</v>
      </c>
      <c r="D198" t="inlineStr">
        <is>
          <t>JÄMTLANDS LÄN</t>
        </is>
      </c>
      <c r="E198" t="inlineStr">
        <is>
          <t>ÖSTERSUND</t>
        </is>
      </c>
      <c r="G198" t="n">
        <v>6.5</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3995-2025 artfynd.xlsx", "A 3995-2025")</f>
        <v/>
      </c>
      <c r="T198">
        <f>HYPERLINK("https://klasma.github.io/Logging_2380/kartor/A 3995-2025 karta.png", "A 3995-2025")</f>
        <v/>
      </c>
      <c r="V198">
        <f>HYPERLINK("https://klasma.github.io/Logging_2380/klagomål/A 3995-2025 FSC-klagomål.docx", "A 3995-2025")</f>
        <v/>
      </c>
      <c r="W198">
        <f>HYPERLINK("https://klasma.github.io/Logging_2380/klagomålsmail/A 3995-2025 FSC-klagomål mail.docx", "A 3995-2025")</f>
        <v/>
      </c>
      <c r="X198">
        <f>HYPERLINK("https://klasma.github.io/Logging_2380/tillsyn/A 3995-2025 tillsynsbegäran.docx", "A 3995-2025")</f>
        <v/>
      </c>
      <c r="Y198">
        <f>HYPERLINK("https://klasma.github.io/Logging_2380/tillsynsmail/A 3995-2025 tillsynsbegäran mail.docx", "A 3995-2025")</f>
        <v/>
      </c>
      <c r="Z198">
        <f>HYPERLINK("https://klasma.github.io/Logging_2380/fåglar/A 3995-2025 prioriterade fågelarter.docx", "A 3995-2025")</f>
        <v/>
      </c>
    </row>
    <row r="199" ht="15" customHeight="1">
      <c r="A199" t="inlineStr">
        <is>
          <t>A 4372-2025</t>
        </is>
      </c>
      <c r="B199" s="1" t="n">
        <v>45686</v>
      </c>
      <c r="C199" s="1" t="n">
        <v>45718</v>
      </c>
      <c r="D199" t="inlineStr">
        <is>
          <t>JÄMTLANDS LÄN</t>
        </is>
      </c>
      <c r="E199" t="inlineStr">
        <is>
          <t>ÖSTERSUND</t>
        </is>
      </c>
      <c r="G199" t="n">
        <v>4.5</v>
      </c>
      <c r="H199" t="n">
        <v>0</v>
      </c>
      <c r="I199" t="n">
        <v>0</v>
      </c>
      <c r="J199" t="n">
        <v>1</v>
      </c>
      <c r="K199" t="n">
        <v>0</v>
      </c>
      <c r="L199" t="n">
        <v>0</v>
      </c>
      <c r="M199" t="n">
        <v>0</v>
      </c>
      <c r="N199" t="n">
        <v>0</v>
      </c>
      <c r="O199" t="n">
        <v>1</v>
      </c>
      <c r="P199" t="n">
        <v>0</v>
      </c>
      <c r="Q199" t="n">
        <v>1</v>
      </c>
      <c r="R199" s="2" t="inlineStr">
        <is>
          <t>Lunglav</t>
        </is>
      </c>
      <c r="S199">
        <f>HYPERLINK("https://klasma.github.io/Logging_2380/artfynd/A 4372-2025 artfynd.xlsx", "A 4372-2025")</f>
        <v/>
      </c>
      <c r="T199">
        <f>HYPERLINK("https://klasma.github.io/Logging_2380/kartor/A 4372-2025 karta.png", "A 4372-2025")</f>
        <v/>
      </c>
      <c r="V199">
        <f>HYPERLINK("https://klasma.github.io/Logging_2380/klagomål/A 4372-2025 FSC-klagomål.docx", "A 4372-2025")</f>
        <v/>
      </c>
      <c r="W199">
        <f>HYPERLINK("https://klasma.github.io/Logging_2380/klagomålsmail/A 4372-2025 FSC-klagomål mail.docx", "A 4372-2025")</f>
        <v/>
      </c>
      <c r="X199">
        <f>HYPERLINK("https://klasma.github.io/Logging_2380/tillsyn/A 4372-2025 tillsynsbegäran.docx", "A 4372-2025")</f>
        <v/>
      </c>
      <c r="Y199">
        <f>HYPERLINK("https://klasma.github.io/Logging_2380/tillsynsmail/A 4372-2025 tillsynsbegäran mail.docx", "A 4372-2025")</f>
        <v/>
      </c>
    </row>
    <row r="200" ht="15" customHeight="1">
      <c r="A200" t="inlineStr">
        <is>
          <t>A 5978-2025</t>
        </is>
      </c>
      <c r="B200" s="1" t="n">
        <v>45695</v>
      </c>
      <c r="C200" s="1" t="n">
        <v>45718</v>
      </c>
      <c r="D200" t="inlineStr">
        <is>
          <t>JÄMTLANDS LÄN</t>
        </is>
      </c>
      <c r="E200" t="inlineStr">
        <is>
          <t>ÖSTERSUND</t>
        </is>
      </c>
      <c r="G200" t="n">
        <v>3.2</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HYPERLINK("https://klasma.github.io/Logging_2380/artfynd/A 5978-2025 artfynd.xlsx", "A 5978-2025")</f>
        <v/>
      </c>
      <c r="T200">
        <f>HYPERLINK("https://klasma.github.io/Logging_2380/kartor/A 5978-2025 karta.png", "A 5978-2025")</f>
        <v/>
      </c>
      <c r="V200">
        <f>HYPERLINK("https://klasma.github.io/Logging_2380/klagomål/A 5978-2025 FSC-klagomål.docx", "A 5978-2025")</f>
        <v/>
      </c>
      <c r="W200">
        <f>HYPERLINK("https://klasma.github.io/Logging_2380/klagomålsmail/A 5978-2025 FSC-klagomål mail.docx", "A 5978-2025")</f>
        <v/>
      </c>
      <c r="X200">
        <f>HYPERLINK("https://klasma.github.io/Logging_2380/tillsyn/A 5978-2025 tillsynsbegäran.docx", "A 5978-2025")</f>
        <v/>
      </c>
      <c r="Y200">
        <f>HYPERLINK("https://klasma.github.io/Logging_2380/tillsynsmail/A 5978-2025 tillsynsbegäran mail.docx", "A 5978-2025")</f>
        <v/>
      </c>
    </row>
    <row r="201" ht="15" customHeight="1">
      <c r="A201" t="inlineStr">
        <is>
          <t>A 20319-2019</t>
        </is>
      </c>
      <c r="B201" s="1" t="n">
        <v>43571</v>
      </c>
      <c r="C201" s="1" t="n">
        <v>45718</v>
      </c>
      <c r="D201" t="inlineStr">
        <is>
          <t>JÄMTLANDS LÄN</t>
        </is>
      </c>
      <c r="E201" t="inlineStr">
        <is>
          <t>ÖSTERSUND</t>
        </is>
      </c>
      <c r="G201" t="n">
        <v>1.3</v>
      </c>
      <c r="H201" t="n">
        <v>0</v>
      </c>
      <c r="I201" t="n">
        <v>0</v>
      </c>
      <c r="J201" t="n">
        <v>0</v>
      </c>
      <c r="K201" t="n">
        <v>0</v>
      </c>
      <c r="L201" t="n">
        <v>0</v>
      </c>
      <c r="M201" t="n">
        <v>0</v>
      </c>
      <c r="N201" t="n">
        <v>0</v>
      </c>
      <c r="O201" t="n">
        <v>0</v>
      </c>
      <c r="P201" t="n">
        <v>0</v>
      </c>
      <c r="Q201" t="n">
        <v>0</v>
      </c>
      <c r="R201" s="2" t="inlineStr"/>
    </row>
    <row r="202" ht="15" customHeight="1">
      <c r="A202" t="inlineStr">
        <is>
          <t>A 21727-2019</t>
        </is>
      </c>
      <c r="B202" s="1" t="n">
        <v>43581</v>
      </c>
      <c r="C202" s="1" t="n">
        <v>45718</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21793-2019</t>
        </is>
      </c>
      <c r="B203" s="1" t="n">
        <v>43581</v>
      </c>
      <c r="C203" s="1" t="n">
        <v>45718</v>
      </c>
      <c r="D203" t="inlineStr">
        <is>
          <t>JÄMTLANDS LÄN</t>
        </is>
      </c>
      <c r="E203" t="inlineStr">
        <is>
          <t>ÖSTERSUND</t>
        </is>
      </c>
      <c r="F203" t="inlineStr">
        <is>
          <t>SCA</t>
        </is>
      </c>
      <c r="G203" t="n">
        <v>3.6</v>
      </c>
      <c r="H203" t="n">
        <v>0</v>
      </c>
      <c r="I203" t="n">
        <v>0</v>
      </c>
      <c r="J203" t="n">
        <v>0</v>
      </c>
      <c r="K203" t="n">
        <v>0</v>
      </c>
      <c r="L203" t="n">
        <v>0</v>
      </c>
      <c r="M203" t="n">
        <v>0</v>
      </c>
      <c r="N203" t="n">
        <v>0</v>
      </c>
      <c r="O203" t="n">
        <v>0</v>
      </c>
      <c r="P203" t="n">
        <v>0</v>
      </c>
      <c r="Q203" t="n">
        <v>0</v>
      </c>
      <c r="R203" s="2" t="inlineStr"/>
    </row>
    <row r="204" ht="15" customHeight="1">
      <c r="A204" t="inlineStr">
        <is>
          <t>A 22119-2019</t>
        </is>
      </c>
      <c r="B204" s="1" t="n">
        <v>43584</v>
      </c>
      <c r="C204" s="1" t="n">
        <v>45718</v>
      </c>
      <c r="D204" t="inlineStr">
        <is>
          <t>JÄMTLANDS LÄN</t>
        </is>
      </c>
      <c r="E204" t="inlineStr">
        <is>
          <t>ÖSTERSUND</t>
        </is>
      </c>
      <c r="G204" t="n">
        <v>7</v>
      </c>
      <c r="H204" t="n">
        <v>0</v>
      </c>
      <c r="I204" t="n">
        <v>0</v>
      </c>
      <c r="J204" t="n">
        <v>0</v>
      </c>
      <c r="K204" t="n">
        <v>0</v>
      </c>
      <c r="L204" t="n">
        <v>0</v>
      </c>
      <c r="M204" t="n">
        <v>0</v>
      </c>
      <c r="N204" t="n">
        <v>0</v>
      </c>
      <c r="O204" t="n">
        <v>0</v>
      </c>
      <c r="P204" t="n">
        <v>0</v>
      </c>
      <c r="Q204" t="n">
        <v>0</v>
      </c>
      <c r="R204" s="2" t="inlineStr"/>
    </row>
    <row r="205" ht="15" customHeight="1">
      <c r="A205" t="inlineStr">
        <is>
          <t>A 22115-2019</t>
        </is>
      </c>
      <c r="B205" s="1" t="n">
        <v>43584</v>
      </c>
      <c r="C205" s="1" t="n">
        <v>45718</v>
      </c>
      <c r="D205" t="inlineStr">
        <is>
          <t>JÄMTLANDS LÄN</t>
        </is>
      </c>
      <c r="E205" t="inlineStr">
        <is>
          <t>ÖSTERSUND</t>
        </is>
      </c>
      <c r="G205" t="n">
        <v>15.1</v>
      </c>
      <c r="H205" t="n">
        <v>0</v>
      </c>
      <c r="I205" t="n">
        <v>0</v>
      </c>
      <c r="J205" t="n">
        <v>0</v>
      </c>
      <c r="K205" t="n">
        <v>0</v>
      </c>
      <c r="L205" t="n">
        <v>0</v>
      </c>
      <c r="M205" t="n">
        <v>0</v>
      </c>
      <c r="N205" t="n">
        <v>0</v>
      </c>
      <c r="O205" t="n">
        <v>0</v>
      </c>
      <c r="P205" t="n">
        <v>0</v>
      </c>
      <c r="Q205" t="n">
        <v>0</v>
      </c>
      <c r="R205" s="2" t="inlineStr"/>
      <c r="U205">
        <f>HYPERLINK("https://klasma.github.io/Logging_2380/knärot/A 22115-2019 karta knärot.png", "A 22115-2019")</f>
        <v/>
      </c>
      <c r="V205">
        <f>HYPERLINK("https://klasma.github.io/Logging_2380/klagomål/A 22115-2019 FSC-klagomål.docx", "A 22115-2019")</f>
        <v/>
      </c>
      <c r="W205">
        <f>HYPERLINK("https://klasma.github.io/Logging_2380/klagomålsmail/A 22115-2019 FSC-klagomål mail.docx", "A 22115-2019")</f>
        <v/>
      </c>
      <c r="X205">
        <f>HYPERLINK("https://klasma.github.io/Logging_2380/tillsyn/A 22115-2019 tillsynsbegäran.docx", "A 22115-2019")</f>
        <v/>
      </c>
      <c r="Y205">
        <f>HYPERLINK("https://klasma.github.io/Logging_2380/tillsynsmail/A 22115-2019 tillsynsbegäran mail.docx", "A 22115-2019")</f>
        <v/>
      </c>
    </row>
    <row r="206" ht="15" customHeight="1">
      <c r="A206" t="inlineStr">
        <is>
          <t>A 23609-2019</t>
        </is>
      </c>
      <c r="B206" s="1" t="n">
        <v>43594</v>
      </c>
      <c r="C206" s="1" t="n">
        <v>45718</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23940-2019</t>
        </is>
      </c>
      <c r="B207" s="1" t="n">
        <v>43595</v>
      </c>
      <c r="C207" s="1" t="n">
        <v>45718</v>
      </c>
      <c r="D207" t="inlineStr">
        <is>
          <t>JÄMTLANDS LÄN</t>
        </is>
      </c>
      <c r="E207" t="inlineStr">
        <is>
          <t>ÖSTERSUND</t>
        </is>
      </c>
      <c r="F207" t="inlineStr">
        <is>
          <t>SCA</t>
        </is>
      </c>
      <c r="G207" t="n">
        <v>0.7</v>
      </c>
      <c r="H207" t="n">
        <v>0</v>
      </c>
      <c r="I207" t="n">
        <v>0</v>
      </c>
      <c r="J207" t="n">
        <v>0</v>
      </c>
      <c r="K207" t="n">
        <v>0</v>
      </c>
      <c r="L207" t="n">
        <v>0</v>
      </c>
      <c r="M207" t="n">
        <v>0</v>
      </c>
      <c r="N207" t="n">
        <v>0</v>
      </c>
      <c r="O207" t="n">
        <v>0</v>
      </c>
      <c r="P207" t="n">
        <v>0</v>
      </c>
      <c r="Q207" t="n">
        <v>0</v>
      </c>
      <c r="R207" s="2" t="inlineStr"/>
    </row>
    <row r="208" ht="15" customHeight="1">
      <c r="A208" t="inlineStr">
        <is>
          <t>A 25205-2019</t>
        </is>
      </c>
      <c r="B208" s="1" t="n">
        <v>43600</v>
      </c>
      <c r="C208" s="1" t="n">
        <v>45718</v>
      </c>
      <c r="D208" t="inlineStr">
        <is>
          <t>JÄMTLANDS LÄN</t>
        </is>
      </c>
      <c r="E208" t="inlineStr">
        <is>
          <t>ÖSTERSUND</t>
        </is>
      </c>
      <c r="G208" t="n">
        <v>3.8</v>
      </c>
      <c r="H208" t="n">
        <v>0</v>
      </c>
      <c r="I208" t="n">
        <v>0</v>
      </c>
      <c r="J208" t="n">
        <v>0</v>
      </c>
      <c r="K208" t="n">
        <v>0</v>
      </c>
      <c r="L208" t="n">
        <v>0</v>
      </c>
      <c r="M208" t="n">
        <v>0</v>
      </c>
      <c r="N208" t="n">
        <v>0</v>
      </c>
      <c r="O208" t="n">
        <v>0</v>
      </c>
      <c r="P208" t="n">
        <v>0</v>
      </c>
      <c r="Q208" t="n">
        <v>0</v>
      </c>
      <c r="R208" s="2" t="inlineStr"/>
    </row>
    <row r="209" ht="15" customHeight="1">
      <c r="A209" t="inlineStr">
        <is>
          <t>A 28892-2019</t>
        </is>
      </c>
      <c r="B209" s="1" t="n">
        <v>43619</v>
      </c>
      <c r="C209" s="1" t="n">
        <v>45718</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28899-2019</t>
        </is>
      </c>
      <c r="B210" s="1" t="n">
        <v>43619</v>
      </c>
      <c r="C210" s="1" t="n">
        <v>45718</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28884-2019</t>
        </is>
      </c>
      <c r="B211" s="1" t="n">
        <v>43619</v>
      </c>
      <c r="C211" s="1" t="n">
        <v>45718</v>
      </c>
      <c r="D211" t="inlineStr">
        <is>
          <t>JÄMTLANDS LÄN</t>
        </is>
      </c>
      <c r="E211" t="inlineStr">
        <is>
          <t>ÖSTERSUND</t>
        </is>
      </c>
      <c r="G211" t="n">
        <v>0.3</v>
      </c>
      <c r="H211" t="n">
        <v>0</v>
      </c>
      <c r="I211" t="n">
        <v>0</v>
      </c>
      <c r="J211" t="n">
        <v>0</v>
      </c>
      <c r="K211" t="n">
        <v>0</v>
      </c>
      <c r="L211" t="n">
        <v>0</v>
      </c>
      <c r="M211" t="n">
        <v>0</v>
      </c>
      <c r="N211" t="n">
        <v>0</v>
      </c>
      <c r="O211" t="n">
        <v>0</v>
      </c>
      <c r="P211" t="n">
        <v>0</v>
      </c>
      <c r="Q211" t="n">
        <v>0</v>
      </c>
      <c r="R211" s="2" t="inlineStr"/>
    </row>
    <row r="212" ht="15" customHeight="1">
      <c r="A212" t="inlineStr">
        <is>
          <t>A 27977-2019</t>
        </is>
      </c>
      <c r="B212" s="1" t="n">
        <v>43620</v>
      </c>
      <c r="C212" s="1" t="n">
        <v>45718</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29058-2019</t>
        </is>
      </c>
      <c r="B213" s="1" t="n">
        <v>43621</v>
      </c>
      <c r="C213" s="1" t="n">
        <v>45718</v>
      </c>
      <c r="D213" t="inlineStr">
        <is>
          <t>JÄMTLANDS LÄN</t>
        </is>
      </c>
      <c r="E213" t="inlineStr">
        <is>
          <t>ÖSTERSUND</t>
        </is>
      </c>
      <c r="G213" t="n">
        <v>1.4</v>
      </c>
      <c r="H213" t="n">
        <v>0</v>
      </c>
      <c r="I213" t="n">
        <v>0</v>
      </c>
      <c r="J213" t="n">
        <v>0</v>
      </c>
      <c r="K213" t="n">
        <v>0</v>
      </c>
      <c r="L213" t="n">
        <v>0</v>
      </c>
      <c r="M213" t="n">
        <v>0</v>
      </c>
      <c r="N213" t="n">
        <v>0</v>
      </c>
      <c r="O213" t="n">
        <v>0</v>
      </c>
      <c r="P213" t="n">
        <v>0</v>
      </c>
      <c r="Q213" t="n">
        <v>0</v>
      </c>
      <c r="R213" s="2" t="inlineStr"/>
    </row>
    <row r="214" ht="15" customHeight="1">
      <c r="A214" t="inlineStr">
        <is>
          <t>A 31189-2019</t>
        </is>
      </c>
      <c r="B214" s="1" t="n">
        <v>43635</v>
      </c>
      <c r="C214" s="1" t="n">
        <v>45718</v>
      </c>
      <c r="D214" t="inlineStr">
        <is>
          <t>JÄMTLANDS LÄN</t>
        </is>
      </c>
      <c r="E214" t="inlineStr">
        <is>
          <t>ÖSTERSUND</t>
        </is>
      </c>
      <c r="G214" t="n">
        <v>5.5</v>
      </c>
      <c r="H214" t="n">
        <v>0</v>
      </c>
      <c r="I214" t="n">
        <v>0</v>
      </c>
      <c r="J214" t="n">
        <v>0</v>
      </c>
      <c r="K214" t="n">
        <v>0</v>
      </c>
      <c r="L214" t="n">
        <v>0</v>
      </c>
      <c r="M214" t="n">
        <v>0</v>
      </c>
      <c r="N214" t="n">
        <v>0</v>
      </c>
      <c r="O214" t="n">
        <v>0</v>
      </c>
      <c r="P214" t="n">
        <v>0</v>
      </c>
      <c r="Q214" t="n">
        <v>0</v>
      </c>
      <c r="R214" s="2" t="inlineStr"/>
    </row>
    <row r="215" ht="15" customHeight="1">
      <c r="A215" t="inlineStr">
        <is>
          <t>A 30940-2019</t>
        </is>
      </c>
      <c r="B215" s="1" t="n">
        <v>43637</v>
      </c>
      <c r="C215" s="1" t="n">
        <v>45718</v>
      </c>
      <c r="D215" t="inlineStr">
        <is>
          <t>JÄMTLANDS LÄN</t>
        </is>
      </c>
      <c r="E215" t="inlineStr">
        <is>
          <t>ÖSTERSUND</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30946-2019</t>
        </is>
      </c>
      <c r="B216" s="1" t="n">
        <v>43636</v>
      </c>
      <c r="C216" s="1" t="n">
        <v>45718</v>
      </c>
      <c r="D216" t="inlineStr">
        <is>
          <t>JÄMTLANDS LÄN</t>
        </is>
      </c>
      <c r="E216" t="inlineStr">
        <is>
          <t>ÖSTERSUND</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31617-2019</t>
        </is>
      </c>
      <c r="B217" s="1" t="n">
        <v>43640</v>
      </c>
      <c r="C217" s="1" t="n">
        <v>45718</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31621-2019</t>
        </is>
      </c>
      <c r="B218" s="1" t="n">
        <v>43640</v>
      </c>
      <c r="C218" s="1" t="n">
        <v>45718</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34903-2019</t>
        </is>
      </c>
      <c r="B219" s="1" t="n">
        <v>43650</v>
      </c>
      <c r="C219" s="1" t="n">
        <v>45718</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35500-2019</t>
        </is>
      </c>
      <c r="B220" s="1" t="n">
        <v>43651</v>
      </c>
      <c r="C220" s="1" t="n">
        <v>45718</v>
      </c>
      <c r="D220" t="inlineStr">
        <is>
          <t>JÄMTLANDS LÄN</t>
        </is>
      </c>
      <c r="E220" t="inlineStr">
        <is>
          <t>ÖSTERSUND</t>
        </is>
      </c>
      <c r="F220" t="inlineStr">
        <is>
          <t>SCA</t>
        </is>
      </c>
      <c r="G220" t="n">
        <v>7</v>
      </c>
      <c r="H220" t="n">
        <v>0</v>
      </c>
      <c r="I220" t="n">
        <v>0</v>
      </c>
      <c r="J220" t="n">
        <v>0</v>
      </c>
      <c r="K220" t="n">
        <v>0</v>
      </c>
      <c r="L220" t="n">
        <v>0</v>
      </c>
      <c r="M220" t="n">
        <v>0</v>
      </c>
      <c r="N220" t="n">
        <v>0</v>
      </c>
      <c r="O220" t="n">
        <v>0</v>
      </c>
      <c r="P220" t="n">
        <v>0</v>
      </c>
      <c r="Q220" t="n">
        <v>0</v>
      </c>
      <c r="R220" s="2" t="inlineStr"/>
    </row>
    <row r="221" ht="15" customHeight="1">
      <c r="A221" t="inlineStr">
        <is>
          <t>A 35535-2019</t>
        </is>
      </c>
      <c r="B221" s="1" t="n">
        <v>43654</v>
      </c>
      <c r="C221" s="1" t="n">
        <v>45718</v>
      </c>
      <c r="D221" t="inlineStr">
        <is>
          <t>JÄMTLANDS LÄN</t>
        </is>
      </c>
      <c r="E221" t="inlineStr">
        <is>
          <t>ÖSTERSUND</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34109-2019</t>
        </is>
      </c>
      <c r="B222" s="1" t="n">
        <v>43654</v>
      </c>
      <c r="C222" s="1" t="n">
        <v>45718</v>
      </c>
      <c r="D222" t="inlineStr">
        <is>
          <t>JÄMTLANDS LÄN</t>
        </is>
      </c>
      <c r="E222" t="inlineStr">
        <is>
          <t>ÖSTERSUND</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34246-2019</t>
        </is>
      </c>
      <c r="B223" s="1" t="n">
        <v>43655</v>
      </c>
      <c r="C223" s="1" t="n">
        <v>45718</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35678-2019</t>
        </is>
      </c>
      <c r="B224" s="1" t="n">
        <v>43656</v>
      </c>
      <c r="C224" s="1" t="n">
        <v>45718</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35688-2019</t>
        </is>
      </c>
      <c r="B225" s="1" t="n">
        <v>43656</v>
      </c>
      <c r="C225" s="1" t="n">
        <v>45718</v>
      </c>
      <c r="D225" t="inlineStr">
        <is>
          <t>JÄMTLANDS LÄN</t>
        </is>
      </c>
      <c r="E225" t="inlineStr">
        <is>
          <t>ÖSTERSUND</t>
        </is>
      </c>
      <c r="G225" t="n">
        <v>12.6</v>
      </c>
      <c r="H225" t="n">
        <v>0</v>
      </c>
      <c r="I225" t="n">
        <v>0</v>
      </c>
      <c r="J225" t="n">
        <v>0</v>
      </c>
      <c r="K225" t="n">
        <v>0</v>
      </c>
      <c r="L225" t="n">
        <v>0</v>
      </c>
      <c r="M225" t="n">
        <v>0</v>
      </c>
      <c r="N225" t="n">
        <v>0</v>
      </c>
      <c r="O225" t="n">
        <v>0</v>
      </c>
      <c r="P225" t="n">
        <v>0</v>
      </c>
      <c r="Q225" t="n">
        <v>0</v>
      </c>
      <c r="R225" s="2" t="inlineStr"/>
    </row>
    <row r="226" ht="15" customHeight="1">
      <c r="A226" t="inlineStr">
        <is>
          <t>A 36003-2019</t>
        </is>
      </c>
      <c r="B226" s="1" t="n">
        <v>43657</v>
      </c>
      <c r="C226" s="1" t="n">
        <v>45718</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36652-2019</t>
        </is>
      </c>
      <c r="B227" s="1" t="n">
        <v>43670</v>
      </c>
      <c r="C227" s="1" t="n">
        <v>45718</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37222-2019</t>
        </is>
      </c>
      <c r="B228" s="1" t="n">
        <v>43676</v>
      </c>
      <c r="C228" s="1" t="n">
        <v>45718</v>
      </c>
      <c r="D228" t="inlineStr">
        <is>
          <t>JÄMTLANDS LÄN</t>
        </is>
      </c>
      <c r="E228" t="inlineStr">
        <is>
          <t>ÖSTERSUND</t>
        </is>
      </c>
      <c r="G228" t="n">
        <v>2.4</v>
      </c>
      <c r="H228" t="n">
        <v>0</v>
      </c>
      <c r="I228" t="n">
        <v>0</v>
      </c>
      <c r="J228" t="n">
        <v>0</v>
      </c>
      <c r="K228" t="n">
        <v>0</v>
      </c>
      <c r="L228" t="n">
        <v>0</v>
      </c>
      <c r="M228" t="n">
        <v>0</v>
      </c>
      <c r="N228" t="n">
        <v>0</v>
      </c>
      <c r="O228" t="n">
        <v>0</v>
      </c>
      <c r="P228" t="n">
        <v>0</v>
      </c>
      <c r="Q228" t="n">
        <v>0</v>
      </c>
      <c r="R228" s="2" t="inlineStr"/>
    </row>
    <row r="229" ht="15" customHeight="1">
      <c r="A229" t="inlineStr">
        <is>
          <t>A 38662-2019</t>
        </is>
      </c>
      <c r="B229" s="1" t="n">
        <v>43684</v>
      </c>
      <c r="C229" s="1" t="n">
        <v>45718</v>
      </c>
      <c r="D229" t="inlineStr">
        <is>
          <t>JÄMTLANDS LÄN</t>
        </is>
      </c>
      <c r="E229" t="inlineStr">
        <is>
          <t>ÖSTERSUND</t>
        </is>
      </c>
      <c r="G229" t="n">
        <v>2.2</v>
      </c>
      <c r="H229" t="n">
        <v>0</v>
      </c>
      <c r="I229" t="n">
        <v>0</v>
      </c>
      <c r="J229" t="n">
        <v>0</v>
      </c>
      <c r="K229" t="n">
        <v>0</v>
      </c>
      <c r="L229" t="n">
        <v>0</v>
      </c>
      <c r="M229" t="n">
        <v>0</v>
      </c>
      <c r="N229" t="n">
        <v>0</v>
      </c>
      <c r="O229" t="n">
        <v>0</v>
      </c>
      <c r="P229" t="n">
        <v>0</v>
      </c>
      <c r="Q229" t="n">
        <v>0</v>
      </c>
      <c r="R229" s="2" t="inlineStr"/>
    </row>
    <row r="230" ht="15" customHeight="1">
      <c r="A230" t="inlineStr">
        <is>
          <t>A 39459-2019</t>
        </is>
      </c>
      <c r="B230" s="1" t="n">
        <v>43686</v>
      </c>
      <c r="C230" s="1" t="n">
        <v>45718</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40530-2019</t>
        </is>
      </c>
      <c r="B231" s="1" t="n">
        <v>43696</v>
      </c>
      <c r="C231" s="1" t="n">
        <v>45718</v>
      </c>
      <c r="D231" t="inlineStr">
        <is>
          <t>JÄMTLANDS LÄN</t>
        </is>
      </c>
      <c r="E231" t="inlineStr">
        <is>
          <t>ÖSTERSUND</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41364-2019</t>
        </is>
      </c>
      <c r="B232" s="1" t="n">
        <v>43696</v>
      </c>
      <c r="C232" s="1" t="n">
        <v>45718</v>
      </c>
      <c r="D232" t="inlineStr">
        <is>
          <t>JÄMTLANDS LÄN</t>
        </is>
      </c>
      <c r="E232" t="inlineStr">
        <is>
          <t>ÖSTERSUND</t>
        </is>
      </c>
      <c r="G232" t="n">
        <v>1.2</v>
      </c>
      <c r="H232" t="n">
        <v>0</v>
      </c>
      <c r="I232" t="n">
        <v>0</v>
      </c>
      <c r="J232" t="n">
        <v>0</v>
      </c>
      <c r="K232" t="n">
        <v>0</v>
      </c>
      <c r="L232" t="n">
        <v>0</v>
      </c>
      <c r="M232" t="n">
        <v>0</v>
      </c>
      <c r="N232" t="n">
        <v>0</v>
      </c>
      <c r="O232" t="n">
        <v>0</v>
      </c>
      <c r="P232" t="n">
        <v>0</v>
      </c>
      <c r="Q232" t="n">
        <v>0</v>
      </c>
      <c r="R232" s="2" t="inlineStr"/>
    </row>
    <row r="233" ht="15" customHeight="1">
      <c r="A233" t="inlineStr">
        <is>
          <t>A 40531-2019</t>
        </is>
      </c>
      <c r="B233" s="1" t="n">
        <v>43696</v>
      </c>
      <c r="C233" s="1" t="n">
        <v>45718</v>
      </c>
      <c r="D233" t="inlineStr">
        <is>
          <t>JÄMTLANDS LÄN</t>
        </is>
      </c>
      <c r="E233" t="inlineStr">
        <is>
          <t>ÖSTERSUND</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41556-2019</t>
        </is>
      </c>
      <c r="B234" s="1" t="n">
        <v>43696</v>
      </c>
      <c r="C234" s="1" t="n">
        <v>45718</v>
      </c>
      <c r="D234" t="inlineStr">
        <is>
          <t>JÄMTLANDS LÄN</t>
        </is>
      </c>
      <c r="E234" t="inlineStr">
        <is>
          <t>ÖSTERSUND</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41588-2019</t>
        </is>
      </c>
      <c r="B235" s="1" t="n">
        <v>43699</v>
      </c>
      <c r="C235" s="1" t="n">
        <v>45718</v>
      </c>
      <c r="D235" t="inlineStr">
        <is>
          <t>JÄMTLANDS LÄN</t>
        </is>
      </c>
      <c r="E235" t="inlineStr">
        <is>
          <t>ÖSTERSUND</t>
        </is>
      </c>
      <c r="G235" t="n">
        <v>26.7</v>
      </c>
      <c r="H235" t="n">
        <v>0</v>
      </c>
      <c r="I235" t="n">
        <v>0</v>
      </c>
      <c r="J235" t="n">
        <v>0</v>
      </c>
      <c r="K235" t="n">
        <v>0</v>
      </c>
      <c r="L235" t="n">
        <v>0</v>
      </c>
      <c r="M235" t="n">
        <v>0</v>
      </c>
      <c r="N235" t="n">
        <v>0</v>
      </c>
      <c r="O235" t="n">
        <v>0</v>
      </c>
      <c r="P235" t="n">
        <v>0</v>
      </c>
      <c r="Q235" t="n">
        <v>0</v>
      </c>
      <c r="R235" s="2" t="inlineStr"/>
    </row>
    <row r="236" ht="15" customHeight="1">
      <c r="A236" t="inlineStr">
        <is>
          <t>A 43249-2019</t>
        </is>
      </c>
      <c r="B236" s="1" t="n">
        <v>43703</v>
      </c>
      <c r="C236" s="1" t="n">
        <v>45718</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43425-2019</t>
        </is>
      </c>
      <c r="B237" s="1" t="n">
        <v>43703</v>
      </c>
      <c r="C237" s="1" t="n">
        <v>45718</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46346-2019</t>
        </is>
      </c>
      <c r="B238" s="1" t="n">
        <v>43718</v>
      </c>
      <c r="C238" s="1" t="n">
        <v>45718</v>
      </c>
      <c r="D238" t="inlineStr">
        <is>
          <t>JÄMTLANDS LÄN</t>
        </is>
      </c>
      <c r="E238" t="inlineStr">
        <is>
          <t>ÖSTERSUND</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47810-2019</t>
        </is>
      </c>
      <c r="B239" s="1" t="n">
        <v>43724</v>
      </c>
      <c r="C239" s="1" t="n">
        <v>45718</v>
      </c>
      <c r="D239" t="inlineStr">
        <is>
          <t>JÄMTLANDS LÄN</t>
        </is>
      </c>
      <c r="E239" t="inlineStr">
        <is>
          <t>ÖSTERSUND</t>
        </is>
      </c>
      <c r="F239" t="inlineStr">
        <is>
          <t>SCA</t>
        </is>
      </c>
      <c r="G239" t="n">
        <v>0.5</v>
      </c>
      <c r="H239" t="n">
        <v>0</v>
      </c>
      <c r="I239" t="n">
        <v>0</v>
      </c>
      <c r="J239" t="n">
        <v>0</v>
      </c>
      <c r="K239" t="n">
        <v>0</v>
      </c>
      <c r="L239" t="n">
        <v>0</v>
      </c>
      <c r="M239" t="n">
        <v>0</v>
      </c>
      <c r="N239" t="n">
        <v>0</v>
      </c>
      <c r="O239" t="n">
        <v>0</v>
      </c>
      <c r="P239" t="n">
        <v>0</v>
      </c>
      <c r="Q239" t="n">
        <v>0</v>
      </c>
      <c r="R239" s="2" t="inlineStr"/>
    </row>
    <row r="240" ht="15" customHeight="1">
      <c r="A240" t="inlineStr">
        <is>
          <t>A 48115-2019</t>
        </is>
      </c>
      <c r="B240" s="1" t="n">
        <v>43725</v>
      </c>
      <c r="C240" s="1" t="n">
        <v>45718</v>
      </c>
      <c r="D240" t="inlineStr">
        <is>
          <t>JÄMTLANDS LÄN</t>
        </is>
      </c>
      <c r="E240" t="inlineStr">
        <is>
          <t>ÖSTERSUND</t>
        </is>
      </c>
      <c r="F240" t="inlineStr">
        <is>
          <t>SCA</t>
        </is>
      </c>
      <c r="G240" t="n">
        <v>3</v>
      </c>
      <c r="H240" t="n">
        <v>0</v>
      </c>
      <c r="I240" t="n">
        <v>0</v>
      </c>
      <c r="J240" t="n">
        <v>0</v>
      </c>
      <c r="K240" t="n">
        <v>0</v>
      </c>
      <c r="L240" t="n">
        <v>0</v>
      </c>
      <c r="M240" t="n">
        <v>0</v>
      </c>
      <c r="N240" t="n">
        <v>0</v>
      </c>
      <c r="O240" t="n">
        <v>0</v>
      </c>
      <c r="P240" t="n">
        <v>0</v>
      </c>
      <c r="Q240" t="n">
        <v>0</v>
      </c>
      <c r="R240" s="2" t="inlineStr"/>
    </row>
    <row r="241" ht="15" customHeight="1">
      <c r="A241" t="inlineStr">
        <is>
          <t>A 48680-2019</t>
        </is>
      </c>
      <c r="B241" s="1" t="n">
        <v>43727</v>
      </c>
      <c r="C241" s="1" t="n">
        <v>45718</v>
      </c>
      <c r="D241" t="inlineStr">
        <is>
          <t>JÄMTLANDS LÄN</t>
        </is>
      </c>
      <c r="E241" t="inlineStr">
        <is>
          <t>ÖSTERSUND</t>
        </is>
      </c>
      <c r="G241" t="n">
        <v>3</v>
      </c>
      <c r="H241" t="n">
        <v>0</v>
      </c>
      <c r="I241" t="n">
        <v>0</v>
      </c>
      <c r="J241" t="n">
        <v>0</v>
      </c>
      <c r="K241" t="n">
        <v>0</v>
      </c>
      <c r="L241" t="n">
        <v>0</v>
      </c>
      <c r="M241" t="n">
        <v>0</v>
      </c>
      <c r="N241" t="n">
        <v>0</v>
      </c>
      <c r="O241" t="n">
        <v>0</v>
      </c>
      <c r="P241" t="n">
        <v>0</v>
      </c>
      <c r="Q241" t="n">
        <v>0</v>
      </c>
      <c r="R241" s="2" t="inlineStr"/>
    </row>
    <row r="242" ht="15" customHeight="1">
      <c r="A242" t="inlineStr">
        <is>
          <t>A 49629-2019</t>
        </is>
      </c>
      <c r="B242" s="1" t="n">
        <v>43732</v>
      </c>
      <c r="C242" s="1" t="n">
        <v>45718</v>
      </c>
      <c r="D242" t="inlineStr">
        <is>
          <t>JÄMTLANDS LÄN</t>
        </is>
      </c>
      <c r="E242" t="inlineStr">
        <is>
          <t>ÖSTERSUND</t>
        </is>
      </c>
      <c r="F242" t="inlineStr">
        <is>
          <t>Övriga Aktiebolag</t>
        </is>
      </c>
      <c r="G242" t="n">
        <v>2.1</v>
      </c>
      <c r="H242" t="n">
        <v>0</v>
      </c>
      <c r="I242" t="n">
        <v>0</v>
      </c>
      <c r="J242" t="n">
        <v>0</v>
      </c>
      <c r="K242" t="n">
        <v>0</v>
      </c>
      <c r="L242" t="n">
        <v>0</v>
      </c>
      <c r="M242" t="n">
        <v>0</v>
      </c>
      <c r="N242" t="n">
        <v>0</v>
      </c>
      <c r="O242" t="n">
        <v>0</v>
      </c>
      <c r="P242" t="n">
        <v>0</v>
      </c>
      <c r="Q242" t="n">
        <v>0</v>
      </c>
      <c r="R242" s="2" t="inlineStr"/>
    </row>
    <row r="243" ht="15" customHeight="1">
      <c r="A243" t="inlineStr">
        <is>
          <t>A 51347-2019</t>
        </is>
      </c>
      <c r="B243" s="1" t="n">
        <v>43732</v>
      </c>
      <c r="C243" s="1" t="n">
        <v>45718</v>
      </c>
      <c r="D243" t="inlineStr">
        <is>
          <t>JÄMTLANDS LÄN</t>
        </is>
      </c>
      <c r="E243" t="inlineStr">
        <is>
          <t>ÖSTERSUND</t>
        </is>
      </c>
      <c r="G243" t="n">
        <v>3.8</v>
      </c>
      <c r="H243" t="n">
        <v>0</v>
      </c>
      <c r="I243" t="n">
        <v>0</v>
      </c>
      <c r="J243" t="n">
        <v>0</v>
      </c>
      <c r="K243" t="n">
        <v>0</v>
      </c>
      <c r="L243" t="n">
        <v>0</v>
      </c>
      <c r="M243" t="n">
        <v>0</v>
      </c>
      <c r="N243" t="n">
        <v>0</v>
      </c>
      <c r="O243" t="n">
        <v>0</v>
      </c>
      <c r="P243" t="n">
        <v>0</v>
      </c>
      <c r="Q243" t="n">
        <v>0</v>
      </c>
      <c r="R243" s="2" t="inlineStr"/>
    </row>
    <row r="244" ht="15" customHeight="1">
      <c r="A244" t="inlineStr">
        <is>
          <t>A 49997-2019</t>
        </is>
      </c>
      <c r="B244" s="1" t="n">
        <v>43733</v>
      </c>
      <c r="C244" s="1" t="n">
        <v>45718</v>
      </c>
      <c r="D244" t="inlineStr">
        <is>
          <t>JÄMTLANDS LÄN</t>
        </is>
      </c>
      <c r="E244" t="inlineStr">
        <is>
          <t>ÖSTERSUND</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50316-2019</t>
        </is>
      </c>
      <c r="B245" s="1" t="n">
        <v>43735</v>
      </c>
      <c r="C245" s="1" t="n">
        <v>45718</v>
      </c>
      <c r="D245" t="inlineStr">
        <is>
          <t>JÄMTLANDS LÄN</t>
        </is>
      </c>
      <c r="E245" t="inlineStr">
        <is>
          <t>ÖSTERSUND</t>
        </is>
      </c>
      <c r="G245" t="n">
        <v>9.5</v>
      </c>
      <c r="H245" t="n">
        <v>0</v>
      </c>
      <c r="I245" t="n">
        <v>0</v>
      </c>
      <c r="J245" t="n">
        <v>0</v>
      </c>
      <c r="K245" t="n">
        <v>0</v>
      </c>
      <c r="L245" t="n">
        <v>0</v>
      </c>
      <c r="M245" t="n">
        <v>0</v>
      </c>
      <c r="N245" t="n">
        <v>0</v>
      </c>
      <c r="O245" t="n">
        <v>0</v>
      </c>
      <c r="P245" t="n">
        <v>0</v>
      </c>
      <c r="Q245" t="n">
        <v>0</v>
      </c>
      <c r="R245" s="2" t="inlineStr"/>
    </row>
    <row r="246" ht="15" customHeight="1">
      <c r="A246" t="inlineStr">
        <is>
          <t>A 50779-2019</t>
        </is>
      </c>
      <c r="B246" s="1" t="n">
        <v>43738</v>
      </c>
      <c r="C246" s="1" t="n">
        <v>45718</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50968-2019</t>
        </is>
      </c>
      <c r="B247" s="1" t="n">
        <v>43738</v>
      </c>
      <c r="C247" s="1" t="n">
        <v>45718</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54498-2019</t>
        </is>
      </c>
      <c r="B248" s="1" t="n">
        <v>43747</v>
      </c>
      <c r="C248" s="1" t="n">
        <v>45718</v>
      </c>
      <c r="D248" t="inlineStr">
        <is>
          <t>JÄMTLANDS LÄN</t>
        </is>
      </c>
      <c r="E248" t="inlineStr">
        <is>
          <t>ÖSTERSUND</t>
        </is>
      </c>
      <c r="G248" t="n">
        <v>1</v>
      </c>
      <c r="H248" t="n">
        <v>0</v>
      </c>
      <c r="I248" t="n">
        <v>0</v>
      </c>
      <c r="J248" t="n">
        <v>0</v>
      </c>
      <c r="K248" t="n">
        <v>0</v>
      </c>
      <c r="L248" t="n">
        <v>0</v>
      </c>
      <c r="M248" t="n">
        <v>0</v>
      </c>
      <c r="N248" t="n">
        <v>0</v>
      </c>
      <c r="O248" t="n">
        <v>0</v>
      </c>
      <c r="P248" t="n">
        <v>0</v>
      </c>
      <c r="Q248" t="n">
        <v>0</v>
      </c>
      <c r="R248" s="2" t="inlineStr"/>
    </row>
    <row r="249" ht="15" customHeight="1">
      <c r="A249" t="inlineStr">
        <is>
          <t>A 53297-2019</t>
        </is>
      </c>
      <c r="B249" s="1" t="n">
        <v>43748</v>
      </c>
      <c r="C249" s="1" t="n">
        <v>45718</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53533-2019</t>
        </is>
      </c>
      <c r="B250" s="1" t="n">
        <v>43749</v>
      </c>
      <c r="C250" s="1" t="n">
        <v>45718</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53859-2019</t>
        </is>
      </c>
      <c r="B251" s="1" t="n">
        <v>43752</v>
      </c>
      <c r="C251" s="1" t="n">
        <v>45718</v>
      </c>
      <c r="D251" t="inlineStr">
        <is>
          <t>JÄMTLANDS LÄN</t>
        </is>
      </c>
      <c r="E251" t="inlineStr">
        <is>
          <t>ÖSTERSUND</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57466-2019</t>
        </is>
      </c>
      <c r="B252" s="1" t="n">
        <v>43761</v>
      </c>
      <c r="C252" s="1" t="n">
        <v>45718</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56512-2019</t>
        </is>
      </c>
      <c r="B253" s="1" t="n">
        <v>43762</v>
      </c>
      <c r="C253" s="1" t="n">
        <v>45718</v>
      </c>
      <c r="D253" t="inlineStr">
        <is>
          <t>JÄMTLANDS LÄN</t>
        </is>
      </c>
      <c r="E253" t="inlineStr">
        <is>
          <t>ÖSTERSUND</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57845-2019</t>
        </is>
      </c>
      <c r="B254" s="1" t="n">
        <v>43768</v>
      </c>
      <c r="C254" s="1" t="n">
        <v>45718</v>
      </c>
      <c r="D254" t="inlineStr">
        <is>
          <t>JÄMTLANDS LÄN</t>
        </is>
      </c>
      <c r="E254" t="inlineStr">
        <is>
          <t>ÖSTERSUND</t>
        </is>
      </c>
      <c r="G254" t="n">
        <v>3.7</v>
      </c>
      <c r="H254" t="n">
        <v>0</v>
      </c>
      <c r="I254" t="n">
        <v>0</v>
      </c>
      <c r="J254" t="n">
        <v>0</v>
      </c>
      <c r="K254" t="n">
        <v>0</v>
      </c>
      <c r="L254" t="n">
        <v>0</v>
      </c>
      <c r="M254" t="n">
        <v>0</v>
      </c>
      <c r="N254" t="n">
        <v>0</v>
      </c>
      <c r="O254" t="n">
        <v>0</v>
      </c>
      <c r="P254" t="n">
        <v>0</v>
      </c>
      <c r="Q254" t="n">
        <v>0</v>
      </c>
      <c r="R254" s="2" t="inlineStr"/>
    </row>
    <row r="255" ht="15" customHeight="1">
      <c r="A255" t="inlineStr">
        <is>
          <t>A 58216-2019</t>
        </is>
      </c>
      <c r="B255" s="1" t="n">
        <v>43770</v>
      </c>
      <c r="C255" s="1" t="n">
        <v>45718</v>
      </c>
      <c r="D255" t="inlineStr">
        <is>
          <t>JÄMTLANDS LÄN</t>
        </is>
      </c>
      <c r="E255" t="inlineStr">
        <is>
          <t>ÖSTERSUND</t>
        </is>
      </c>
      <c r="G255" t="n">
        <v>2.4</v>
      </c>
      <c r="H255" t="n">
        <v>0</v>
      </c>
      <c r="I255" t="n">
        <v>0</v>
      </c>
      <c r="J255" t="n">
        <v>0</v>
      </c>
      <c r="K255" t="n">
        <v>0</v>
      </c>
      <c r="L255" t="n">
        <v>0</v>
      </c>
      <c r="M255" t="n">
        <v>0</v>
      </c>
      <c r="N255" t="n">
        <v>0</v>
      </c>
      <c r="O255" t="n">
        <v>0</v>
      </c>
      <c r="P255" t="n">
        <v>0</v>
      </c>
      <c r="Q255" t="n">
        <v>0</v>
      </c>
      <c r="R255" s="2" t="inlineStr"/>
    </row>
    <row r="256" ht="15" customHeight="1">
      <c r="A256" t="inlineStr">
        <is>
          <t>A 58210-2019</t>
        </is>
      </c>
      <c r="B256" s="1" t="n">
        <v>43770</v>
      </c>
      <c r="C256" s="1" t="n">
        <v>45718</v>
      </c>
      <c r="D256" t="inlineStr">
        <is>
          <t>JÄMTLANDS LÄN</t>
        </is>
      </c>
      <c r="E256" t="inlineStr">
        <is>
          <t>ÖSTERSUND</t>
        </is>
      </c>
      <c r="G256" t="n">
        <v>2.6</v>
      </c>
      <c r="H256" t="n">
        <v>0</v>
      </c>
      <c r="I256" t="n">
        <v>0</v>
      </c>
      <c r="J256" t="n">
        <v>0</v>
      </c>
      <c r="K256" t="n">
        <v>0</v>
      </c>
      <c r="L256" t="n">
        <v>0</v>
      </c>
      <c r="M256" t="n">
        <v>0</v>
      </c>
      <c r="N256" t="n">
        <v>0</v>
      </c>
      <c r="O256" t="n">
        <v>0</v>
      </c>
      <c r="P256" t="n">
        <v>0</v>
      </c>
      <c r="Q256" t="n">
        <v>0</v>
      </c>
      <c r="R256" s="2" t="inlineStr"/>
    </row>
    <row r="257" ht="15" customHeight="1">
      <c r="A257" t="inlineStr">
        <is>
          <t>A 59437-2019</t>
        </is>
      </c>
      <c r="B257" s="1" t="n">
        <v>43773</v>
      </c>
      <c r="C257" s="1" t="n">
        <v>45718</v>
      </c>
      <c r="D257" t="inlineStr">
        <is>
          <t>JÄMTLANDS LÄN</t>
        </is>
      </c>
      <c r="E257" t="inlineStr">
        <is>
          <t>ÖSTERSUND</t>
        </is>
      </c>
      <c r="G257" t="n">
        <v>6.2</v>
      </c>
      <c r="H257" t="n">
        <v>0</v>
      </c>
      <c r="I257" t="n">
        <v>0</v>
      </c>
      <c r="J257" t="n">
        <v>0</v>
      </c>
      <c r="K257" t="n">
        <v>0</v>
      </c>
      <c r="L257" t="n">
        <v>0</v>
      </c>
      <c r="M257" t="n">
        <v>0</v>
      </c>
      <c r="N257" t="n">
        <v>0</v>
      </c>
      <c r="O257" t="n">
        <v>0</v>
      </c>
      <c r="P257" t="n">
        <v>0</v>
      </c>
      <c r="Q257" t="n">
        <v>0</v>
      </c>
      <c r="R257" s="2" t="inlineStr"/>
    </row>
    <row r="258" ht="15" customHeight="1">
      <c r="A258" t="inlineStr">
        <is>
          <t>A 60240-2019</t>
        </is>
      </c>
      <c r="B258" s="1" t="n">
        <v>43776</v>
      </c>
      <c r="C258" s="1" t="n">
        <v>45718</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60001-2019</t>
        </is>
      </c>
      <c r="B259" s="1" t="n">
        <v>43777</v>
      </c>
      <c r="C259" s="1" t="n">
        <v>45718</v>
      </c>
      <c r="D259" t="inlineStr">
        <is>
          <t>JÄMTLANDS LÄN</t>
        </is>
      </c>
      <c r="E259" t="inlineStr">
        <is>
          <t>ÖSTERSUND</t>
        </is>
      </c>
      <c r="G259" t="n">
        <v>3.2</v>
      </c>
      <c r="H259" t="n">
        <v>0</v>
      </c>
      <c r="I259" t="n">
        <v>0</v>
      </c>
      <c r="J259" t="n">
        <v>0</v>
      </c>
      <c r="K259" t="n">
        <v>0</v>
      </c>
      <c r="L259" t="n">
        <v>0</v>
      </c>
      <c r="M259" t="n">
        <v>0</v>
      </c>
      <c r="N259" t="n">
        <v>0</v>
      </c>
      <c r="O259" t="n">
        <v>0</v>
      </c>
      <c r="P259" t="n">
        <v>0</v>
      </c>
      <c r="Q259" t="n">
        <v>0</v>
      </c>
      <c r="R259" s="2" t="inlineStr"/>
    </row>
    <row r="260" ht="15" customHeight="1">
      <c r="A260" t="inlineStr">
        <is>
          <t>A 60669-2019</t>
        </is>
      </c>
      <c r="B260" s="1" t="n">
        <v>43781</v>
      </c>
      <c r="C260" s="1" t="n">
        <v>45718</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60604-2019</t>
        </is>
      </c>
      <c r="B261" s="1" t="n">
        <v>43781</v>
      </c>
      <c r="C261" s="1" t="n">
        <v>45718</v>
      </c>
      <c r="D261" t="inlineStr">
        <is>
          <t>JÄMTLANDS LÄN</t>
        </is>
      </c>
      <c r="E261" t="inlineStr">
        <is>
          <t>ÖSTERSUND</t>
        </is>
      </c>
      <c r="G261" t="n">
        <v>8.9</v>
      </c>
      <c r="H261" t="n">
        <v>0</v>
      </c>
      <c r="I261" t="n">
        <v>0</v>
      </c>
      <c r="J261" t="n">
        <v>0</v>
      </c>
      <c r="K261" t="n">
        <v>0</v>
      </c>
      <c r="L261" t="n">
        <v>0</v>
      </c>
      <c r="M261" t="n">
        <v>0</v>
      </c>
      <c r="N261" t="n">
        <v>0</v>
      </c>
      <c r="O261" t="n">
        <v>0</v>
      </c>
      <c r="P261" t="n">
        <v>0</v>
      </c>
      <c r="Q261" t="n">
        <v>0</v>
      </c>
      <c r="R261" s="2" t="inlineStr"/>
    </row>
    <row r="262" ht="15" customHeight="1">
      <c r="A262" t="inlineStr">
        <is>
          <t>A 62234-2019</t>
        </is>
      </c>
      <c r="B262" s="1" t="n">
        <v>43784</v>
      </c>
      <c r="C262" s="1" t="n">
        <v>45718</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62136-2019</t>
        </is>
      </c>
      <c r="B263" s="1" t="n">
        <v>43787</v>
      </c>
      <c r="C263" s="1" t="n">
        <v>45718</v>
      </c>
      <c r="D263" t="inlineStr">
        <is>
          <t>JÄMTLANDS LÄN</t>
        </is>
      </c>
      <c r="E263" t="inlineStr">
        <is>
          <t>ÖSTERSUND</t>
        </is>
      </c>
      <c r="F263" t="inlineStr">
        <is>
          <t>Övriga Aktiebolag</t>
        </is>
      </c>
      <c r="G263" t="n">
        <v>35.2</v>
      </c>
      <c r="H263" t="n">
        <v>0</v>
      </c>
      <c r="I263" t="n">
        <v>0</v>
      </c>
      <c r="J263" t="n">
        <v>0</v>
      </c>
      <c r="K263" t="n">
        <v>0</v>
      </c>
      <c r="L263" t="n">
        <v>0</v>
      </c>
      <c r="M263" t="n">
        <v>0</v>
      </c>
      <c r="N263" t="n">
        <v>0</v>
      </c>
      <c r="O263" t="n">
        <v>0</v>
      </c>
      <c r="P263" t="n">
        <v>0</v>
      </c>
      <c r="Q263" t="n">
        <v>0</v>
      </c>
      <c r="R263" s="2" t="inlineStr"/>
    </row>
    <row r="264" ht="15" customHeight="1">
      <c r="A264" t="inlineStr">
        <is>
          <t>A 64622-2019</t>
        </is>
      </c>
      <c r="B264" s="1" t="n">
        <v>43794</v>
      </c>
      <c r="C264" s="1" t="n">
        <v>45718</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65335-2019</t>
        </is>
      </c>
      <c r="B265" s="1" t="n">
        <v>43802</v>
      </c>
      <c r="C265" s="1" t="n">
        <v>45718</v>
      </c>
      <c r="D265" t="inlineStr">
        <is>
          <t>JÄMTLANDS LÄN</t>
        </is>
      </c>
      <c r="E265" t="inlineStr">
        <is>
          <t>ÖSTERSUND</t>
        </is>
      </c>
      <c r="G265" t="n">
        <v>2.8</v>
      </c>
      <c r="H265" t="n">
        <v>0</v>
      </c>
      <c r="I265" t="n">
        <v>0</v>
      </c>
      <c r="J265" t="n">
        <v>0</v>
      </c>
      <c r="K265" t="n">
        <v>0</v>
      </c>
      <c r="L265" t="n">
        <v>0</v>
      </c>
      <c r="M265" t="n">
        <v>0</v>
      </c>
      <c r="N265" t="n">
        <v>0</v>
      </c>
      <c r="O265" t="n">
        <v>0</v>
      </c>
      <c r="P265" t="n">
        <v>0</v>
      </c>
      <c r="Q265" t="n">
        <v>0</v>
      </c>
      <c r="R265" s="2" t="inlineStr"/>
    </row>
    <row r="266" ht="15" customHeight="1">
      <c r="A266" t="inlineStr">
        <is>
          <t>A 67010-2019</t>
        </is>
      </c>
      <c r="B266" s="1" t="n">
        <v>43805</v>
      </c>
      <c r="C266" s="1" t="n">
        <v>45718</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66592-2019</t>
        </is>
      </c>
      <c r="B267" s="1" t="n">
        <v>43809</v>
      </c>
      <c r="C267" s="1" t="n">
        <v>45718</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67863-2019</t>
        </is>
      </c>
      <c r="B268" s="1" t="n">
        <v>43809</v>
      </c>
      <c r="C268" s="1" t="n">
        <v>45718</v>
      </c>
      <c r="D268" t="inlineStr">
        <is>
          <t>JÄMTLANDS LÄN</t>
        </is>
      </c>
      <c r="E268" t="inlineStr">
        <is>
          <t>ÖSTERSUND</t>
        </is>
      </c>
      <c r="G268" t="n">
        <v>2.3</v>
      </c>
      <c r="H268" t="n">
        <v>0</v>
      </c>
      <c r="I268" t="n">
        <v>0</v>
      </c>
      <c r="J268" t="n">
        <v>0</v>
      </c>
      <c r="K268" t="n">
        <v>0</v>
      </c>
      <c r="L268" t="n">
        <v>0</v>
      </c>
      <c r="M268" t="n">
        <v>0</v>
      </c>
      <c r="N268" t="n">
        <v>0</v>
      </c>
      <c r="O268" t="n">
        <v>0</v>
      </c>
      <c r="P268" t="n">
        <v>0</v>
      </c>
      <c r="Q268" t="n">
        <v>0</v>
      </c>
      <c r="R268" s="2" t="inlineStr"/>
    </row>
    <row r="269" ht="15" customHeight="1">
      <c r="A269" t="inlineStr">
        <is>
          <t>A 68238-2019</t>
        </is>
      </c>
      <c r="B269" s="1" t="n">
        <v>43817</v>
      </c>
      <c r="C269" s="1" t="n">
        <v>45718</v>
      </c>
      <c r="D269" t="inlineStr">
        <is>
          <t>JÄMTLANDS LÄN</t>
        </is>
      </c>
      <c r="E269" t="inlineStr">
        <is>
          <t>ÖSTERSUND</t>
        </is>
      </c>
      <c r="G269" t="n">
        <v>2.7</v>
      </c>
      <c r="H269" t="n">
        <v>0</v>
      </c>
      <c r="I269" t="n">
        <v>0</v>
      </c>
      <c r="J269" t="n">
        <v>0</v>
      </c>
      <c r="K269" t="n">
        <v>0</v>
      </c>
      <c r="L269" t="n">
        <v>0</v>
      </c>
      <c r="M269" t="n">
        <v>0</v>
      </c>
      <c r="N269" t="n">
        <v>0</v>
      </c>
      <c r="O269" t="n">
        <v>0</v>
      </c>
      <c r="P269" t="n">
        <v>0</v>
      </c>
      <c r="Q269" t="n">
        <v>0</v>
      </c>
      <c r="R269" s="2" t="inlineStr"/>
    </row>
    <row r="270" ht="15" customHeight="1">
      <c r="A270" t="inlineStr">
        <is>
          <t>A 745-2020</t>
        </is>
      </c>
      <c r="B270" s="1" t="n">
        <v>43838</v>
      </c>
      <c r="C270" s="1" t="n">
        <v>45718</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1088-2020</t>
        </is>
      </c>
      <c r="B271" s="1" t="n">
        <v>43840</v>
      </c>
      <c r="C271" s="1" t="n">
        <v>45718</v>
      </c>
      <c r="D271" t="inlineStr">
        <is>
          <t>JÄMTLANDS LÄN</t>
        </is>
      </c>
      <c r="E271" t="inlineStr">
        <is>
          <t>ÖSTERSUND</t>
        </is>
      </c>
      <c r="G271" t="n">
        <v>4.4</v>
      </c>
      <c r="H271" t="n">
        <v>0</v>
      </c>
      <c r="I271" t="n">
        <v>0</v>
      </c>
      <c r="J271" t="n">
        <v>0</v>
      </c>
      <c r="K271" t="n">
        <v>0</v>
      </c>
      <c r="L271" t="n">
        <v>0</v>
      </c>
      <c r="M271" t="n">
        <v>0</v>
      </c>
      <c r="N271" t="n">
        <v>0</v>
      </c>
      <c r="O271" t="n">
        <v>0</v>
      </c>
      <c r="P271" t="n">
        <v>0</v>
      </c>
      <c r="Q271" t="n">
        <v>0</v>
      </c>
      <c r="R271" s="2" t="inlineStr"/>
    </row>
    <row r="272" ht="15" customHeight="1">
      <c r="A272" t="inlineStr">
        <is>
          <t>A 1268-2020</t>
        </is>
      </c>
      <c r="B272" s="1" t="n">
        <v>43840</v>
      </c>
      <c r="C272" s="1" t="n">
        <v>45718</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1077-2020</t>
        </is>
      </c>
      <c r="B273" s="1" t="n">
        <v>43840</v>
      </c>
      <c r="C273" s="1" t="n">
        <v>45718</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5905-2020</t>
        </is>
      </c>
      <c r="B274" s="1" t="n">
        <v>43861</v>
      </c>
      <c r="C274" s="1" t="n">
        <v>45718</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6028-2020</t>
        </is>
      </c>
      <c r="B275" s="1" t="n">
        <v>43864</v>
      </c>
      <c r="C275" s="1" t="n">
        <v>45718</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6522-2020</t>
        </is>
      </c>
      <c r="B276" s="1" t="n">
        <v>43864</v>
      </c>
      <c r="C276" s="1" t="n">
        <v>45718</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6566-2020</t>
        </is>
      </c>
      <c r="B277" s="1" t="n">
        <v>43865</v>
      </c>
      <c r="C277" s="1" t="n">
        <v>45718</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7255-2020</t>
        </is>
      </c>
      <c r="B278" s="1" t="n">
        <v>43871</v>
      </c>
      <c r="C278" s="1" t="n">
        <v>45718</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7570-2020</t>
        </is>
      </c>
      <c r="B279" s="1" t="n">
        <v>43871</v>
      </c>
      <c r="C279" s="1" t="n">
        <v>45718</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8401-2020</t>
        </is>
      </c>
      <c r="B280" s="1" t="n">
        <v>43875</v>
      </c>
      <c r="C280" s="1" t="n">
        <v>45718</v>
      </c>
      <c r="D280" t="inlineStr">
        <is>
          <t>JÄMTLANDS LÄN</t>
        </is>
      </c>
      <c r="E280" t="inlineStr">
        <is>
          <t>ÖSTERSUND</t>
        </is>
      </c>
      <c r="G280" t="n">
        <v>1.3</v>
      </c>
      <c r="H280" t="n">
        <v>0</v>
      </c>
      <c r="I280" t="n">
        <v>0</v>
      </c>
      <c r="J280" t="n">
        <v>0</v>
      </c>
      <c r="K280" t="n">
        <v>0</v>
      </c>
      <c r="L280" t="n">
        <v>0</v>
      </c>
      <c r="M280" t="n">
        <v>0</v>
      </c>
      <c r="N280" t="n">
        <v>0</v>
      </c>
      <c r="O280" t="n">
        <v>0</v>
      </c>
      <c r="P280" t="n">
        <v>0</v>
      </c>
      <c r="Q280" t="n">
        <v>0</v>
      </c>
      <c r="R280" s="2" t="inlineStr"/>
    </row>
    <row r="281" ht="15" customHeight="1">
      <c r="A281" t="inlineStr">
        <is>
          <t>A 11566-2020</t>
        </is>
      </c>
      <c r="B281" s="1" t="n">
        <v>43893</v>
      </c>
      <c r="C281" s="1" t="n">
        <v>45718</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12202-2020</t>
        </is>
      </c>
      <c r="B282" s="1" t="n">
        <v>43895</v>
      </c>
      <c r="C282" s="1" t="n">
        <v>45718</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13264-2020</t>
        </is>
      </c>
      <c r="B283" s="1" t="n">
        <v>43901</v>
      </c>
      <c r="C283" s="1" t="n">
        <v>45718</v>
      </c>
      <c r="D283" t="inlineStr">
        <is>
          <t>JÄMTLANDS LÄN</t>
        </is>
      </c>
      <c r="E283" t="inlineStr">
        <is>
          <t>ÖSTERSUND</t>
        </is>
      </c>
      <c r="G283" t="n">
        <v>4.4</v>
      </c>
      <c r="H283" t="n">
        <v>0</v>
      </c>
      <c r="I283" t="n">
        <v>0</v>
      </c>
      <c r="J283" t="n">
        <v>0</v>
      </c>
      <c r="K283" t="n">
        <v>0</v>
      </c>
      <c r="L283" t="n">
        <v>0</v>
      </c>
      <c r="M283" t="n">
        <v>0</v>
      </c>
      <c r="N283" t="n">
        <v>0</v>
      </c>
      <c r="O283" t="n">
        <v>0</v>
      </c>
      <c r="P283" t="n">
        <v>0</v>
      </c>
      <c r="Q283" t="n">
        <v>0</v>
      </c>
      <c r="R283" s="2" t="inlineStr"/>
    </row>
    <row r="284" ht="15" customHeight="1">
      <c r="A284" t="inlineStr">
        <is>
          <t>A 14917-2020</t>
        </is>
      </c>
      <c r="B284" s="1" t="n">
        <v>43906</v>
      </c>
      <c r="C284" s="1" t="n">
        <v>45718</v>
      </c>
      <c r="D284" t="inlineStr">
        <is>
          <t>JÄMTLANDS LÄN</t>
        </is>
      </c>
      <c r="E284" t="inlineStr">
        <is>
          <t>ÖSTERSUND</t>
        </is>
      </c>
      <c r="G284" t="n">
        <v>12.9</v>
      </c>
      <c r="H284" t="n">
        <v>0</v>
      </c>
      <c r="I284" t="n">
        <v>0</v>
      </c>
      <c r="J284" t="n">
        <v>0</v>
      </c>
      <c r="K284" t="n">
        <v>0</v>
      </c>
      <c r="L284" t="n">
        <v>0</v>
      </c>
      <c r="M284" t="n">
        <v>0</v>
      </c>
      <c r="N284" t="n">
        <v>0</v>
      </c>
      <c r="O284" t="n">
        <v>0</v>
      </c>
      <c r="P284" t="n">
        <v>0</v>
      </c>
      <c r="Q284" t="n">
        <v>0</v>
      </c>
      <c r="R284" s="2" t="inlineStr"/>
    </row>
    <row r="285" ht="15" customHeight="1">
      <c r="A285" t="inlineStr">
        <is>
          <t>A 15797-2020</t>
        </is>
      </c>
      <c r="B285" s="1" t="n">
        <v>43909</v>
      </c>
      <c r="C285" s="1" t="n">
        <v>45718</v>
      </c>
      <c r="D285" t="inlineStr">
        <is>
          <t>JÄMTLANDS LÄN</t>
        </is>
      </c>
      <c r="E285" t="inlineStr">
        <is>
          <t>ÖSTERSUND</t>
        </is>
      </c>
      <c r="G285" t="n">
        <v>3.5</v>
      </c>
      <c r="H285" t="n">
        <v>0</v>
      </c>
      <c r="I285" t="n">
        <v>0</v>
      </c>
      <c r="J285" t="n">
        <v>0</v>
      </c>
      <c r="K285" t="n">
        <v>0</v>
      </c>
      <c r="L285" t="n">
        <v>0</v>
      </c>
      <c r="M285" t="n">
        <v>0</v>
      </c>
      <c r="N285" t="n">
        <v>0</v>
      </c>
      <c r="O285" t="n">
        <v>0</v>
      </c>
      <c r="P285" t="n">
        <v>0</v>
      </c>
      <c r="Q285" t="n">
        <v>0</v>
      </c>
      <c r="R285" s="2" t="inlineStr"/>
    </row>
    <row r="286" ht="15" customHeight="1">
      <c r="A286" t="inlineStr">
        <is>
          <t>A 14903-2020</t>
        </is>
      </c>
      <c r="B286" s="1" t="n">
        <v>43910</v>
      </c>
      <c r="C286" s="1" t="n">
        <v>45718</v>
      </c>
      <c r="D286" t="inlineStr">
        <is>
          <t>JÄMTLANDS LÄN</t>
        </is>
      </c>
      <c r="E286" t="inlineStr">
        <is>
          <t>ÖSTERSUND</t>
        </is>
      </c>
      <c r="F286" t="inlineStr">
        <is>
          <t>Kyrkan</t>
        </is>
      </c>
      <c r="G286" t="n">
        <v>2.3</v>
      </c>
      <c r="H286" t="n">
        <v>0</v>
      </c>
      <c r="I286" t="n">
        <v>0</v>
      </c>
      <c r="J286" t="n">
        <v>0</v>
      </c>
      <c r="K286" t="n">
        <v>0</v>
      </c>
      <c r="L286" t="n">
        <v>0</v>
      </c>
      <c r="M286" t="n">
        <v>0</v>
      </c>
      <c r="N286" t="n">
        <v>0</v>
      </c>
      <c r="O286" t="n">
        <v>0</v>
      </c>
      <c r="P286" t="n">
        <v>0</v>
      </c>
      <c r="Q286" t="n">
        <v>0</v>
      </c>
      <c r="R286" s="2" t="inlineStr"/>
    </row>
    <row r="287" ht="15" customHeight="1">
      <c r="A287" t="inlineStr">
        <is>
          <t>A 17464-2020</t>
        </is>
      </c>
      <c r="B287" s="1" t="n">
        <v>43917</v>
      </c>
      <c r="C287" s="1" t="n">
        <v>45718</v>
      </c>
      <c r="D287" t="inlineStr">
        <is>
          <t>JÄMTLANDS LÄN</t>
        </is>
      </c>
      <c r="E287" t="inlineStr">
        <is>
          <t>ÖSTERSUND</t>
        </is>
      </c>
      <c r="G287" t="n">
        <v>3.8</v>
      </c>
      <c r="H287" t="n">
        <v>0</v>
      </c>
      <c r="I287" t="n">
        <v>0</v>
      </c>
      <c r="J287" t="n">
        <v>0</v>
      </c>
      <c r="K287" t="n">
        <v>0</v>
      </c>
      <c r="L287" t="n">
        <v>0</v>
      </c>
      <c r="M287" t="n">
        <v>0</v>
      </c>
      <c r="N287" t="n">
        <v>0</v>
      </c>
      <c r="O287" t="n">
        <v>0</v>
      </c>
      <c r="P287" t="n">
        <v>0</v>
      </c>
      <c r="Q287" t="n">
        <v>0</v>
      </c>
      <c r="R287" s="2" t="inlineStr"/>
    </row>
    <row r="288" ht="15" customHeight="1">
      <c r="A288" t="inlineStr">
        <is>
          <t>A 18339-2020</t>
        </is>
      </c>
      <c r="B288" s="1" t="n">
        <v>43928</v>
      </c>
      <c r="C288" s="1" t="n">
        <v>45718</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18683-2020</t>
        </is>
      </c>
      <c r="B289" s="1" t="n">
        <v>43930</v>
      </c>
      <c r="C289" s="1" t="n">
        <v>45718</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19631-2020</t>
        </is>
      </c>
      <c r="B290" s="1" t="n">
        <v>43936</v>
      </c>
      <c r="C290" s="1" t="n">
        <v>45718</v>
      </c>
      <c r="D290" t="inlineStr">
        <is>
          <t>JÄMTLANDS LÄN</t>
        </is>
      </c>
      <c r="E290" t="inlineStr">
        <is>
          <t>ÖSTERSUND</t>
        </is>
      </c>
      <c r="G290" t="n">
        <v>5.5</v>
      </c>
      <c r="H290" t="n">
        <v>0</v>
      </c>
      <c r="I290" t="n">
        <v>0</v>
      </c>
      <c r="J290" t="n">
        <v>0</v>
      </c>
      <c r="K290" t="n">
        <v>0</v>
      </c>
      <c r="L290" t="n">
        <v>0</v>
      </c>
      <c r="M290" t="n">
        <v>0</v>
      </c>
      <c r="N290" t="n">
        <v>0</v>
      </c>
      <c r="O290" t="n">
        <v>0</v>
      </c>
      <c r="P290" t="n">
        <v>0</v>
      </c>
      <c r="Q290" t="n">
        <v>0</v>
      </c>
      <c r="R290" s="2" t="inlineStr"/>
    </row>
    <row r="291" ht="15" customHeight="1">
      <c r="A291" t="inlineStr">
        <is>
          <t>A 19923-2020</t>
        </is>
      </c>
      <c r="B291" s="1" t="n">
        <v>43943</v>
      </c>
      <c r="C291" s="1" t="n">
        <v>45718</v>
      </c>
      <c r="D291" t="inlineStr">
        <is>
          <t>JÄMTLANDS LÄN</t>
        </is>
      </c>
      <c r="E291" t="inlineStr">
        <is>
          <t>ÖSTERSUND</t>
        </is>
      </c>
      <c r="G291" t="n">
        <v>0.5</v>
      </c>
      <c r="H291" t="n">
        <v>0</v>
      </c>
      <c r="I291" t="n">
        <v>0</v>
      </c>
      <c r="J291" t="n">
        <v>0</v>
      </c>
      <c r="K291" t="n">
        <v>0</v>
      </c>
      <c r="L291" t="n">
        <v>0</v>
      </c>
      <c r="M291" t="n">
        <v>0</v>
      </c>
      <c r="N291" t="n">
        <v>0</v>
      </c>
      <c r="O291" t="n">
        <v>0</v>
      </c>
      <c r="P291" t="n">
        <v>0</v>
      </c>
      <c r="Q291" t="n">
        <v>0</v>
      </c>
      <c r="R291" s="2" t="inlineStr"/>
    </row>
    <row r="292" ht="15" customHeight="1">
      <c r="A292" t="inlineStr">
        <is>
          <t>A 20198-2020</t>
        </is>
      </c>
      <c r="B292" s="1" t="n">
        <v>43944</v>
      </c>
      <c r="C292" s="1" t="n">
        <v>45718</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23507-2020</t>
        </is>
      </c>
      <c r="B293" s="1" t="n">
        <v>43969</v>
      </c>
      <c r="C293" s="1" t="n">
        <v>45718</v>
      </c>
      <c r="D293" t="inlineStr">
        <is>
          <t>JÄMTLANDS LÄN</t>
        </is>
      </c>
      <c r="E293" t="inlineStr">
        <is>
          <t>ÖSTERSUND</t>
        </is>
      </c>
      <c r="G293" t="n">
        <v>5.8</v>
      </c>
      <c r="H293" t="n">
        <v>0</v>
      </c>
      <c r="I293" t="n">
        <v>0</v>
      </c>
      <c r="J293" t="n">
        <v>0</v>
      </c>
      <c r="K293" t="n">
        <v>0</v>
      </c>
      <c r="L293" t="n">
        <v>0</v>
      </c>
      <c r="M293" t="n">
        <v>0</v>
      </c>
      <c r="N293" t="n">
        <v>0</v>
      </c>
      <c r="O293" t="n">
        <v>0</v>
      </c>
      <c r="P293" t="n">
        <v>0</v>
      </c>
      <c r="Q293" t="n">
        <v>0</v>
      </c>
      <c r="R293" s="2" t="inlineStr"/>
    </row>
    <row r="294" ht="15" customHeight="1">
      <c r="A294" t="inlineStr">
        <is>
          <t>A 23445-2020</t>
        </is>
      </c>
      <c r="B294" s="1" t="n">
        <v>43969</v>
      </c>
      <c r="C294" s="1" t="n">
        <v>45718</v>
      </c>
      <c r="D294" t="inlineStr">
        <is>
          <t>JÄMTLANDS LÄN</t>
        </is>
      </c>
      <c r="E294" t="inlineStr">
        <is>
          <t>ÖSTERSUND</t>
        </is>
      </c>
      <c r="G294" t="n">
        <v>0.9</v>
      </c>
      <c r="H294" t="n">
        <v>0</v>
      </c>
      <c r="I294" t="n">
        <v>0</v>
      </c>
      <c r="J294" t="n">
        <v>0</v>
      </c>
      <c r="K294" t="n">
        <v>0</v>
      </c>
      <c r="L294" t="n">
        <v>0</v>
      </c>
      <c r="M294" t="n">
        <v>0</v>
      </c>
      <c r="N294" t="n">
        <v>0</v>
      </c>
      <c r="O294" t="n">
        <v>0</v>
      </c>
      <c r="P294" t="n">
        <v>0</v>
      </c>
      <c r="Q294" t="n">
        <v>0</v>
      </c>
      <c r="R294" s="2" t="inlineStr"/>
    </row>
    <row r="295" ht="15" customHeight="1">
      <c r="A295" t="inlineStr">
        <is>
          <t>A 24259-2020</t>
        </is>
      </c>
      <c r="B295" s="1" t="n">
        <v>43970</v>
      </c>
      <c r="C295" s="1" t="n">
        <v>45718</v>
      </c>
      <c r="D295" t="inlineStr">
        <is>
          <t>JÄMTLANDS LÄN</t>
        </is>
      </c>
      <c r="E295" t="inlineStr">
        <is>
          <t>ÖSTERSUND</t>
        </is>
      </c>
      <c r="G295" t="n">
        <v>0.6</v>
      </c>
      <c r="H295" t="n">
        <v>0</v>
      </c>
      <c r="I295" t="n">
        <v>0</v>
      </c>
      <c r="J295" t="n">
        <v>0</v>
      </c>
      <c r="K295" t="n">
        <v>0</v>
      </c>
      <c r="L295" t="n">
        <v>0</v>
      </c>
      <c r="M295" t="n">
        <v>0</v>
      </c>
      <c r="N295" t="n">
        <v>0</v>
      </c>
      <c r="O295" t="n">
        <v>0</v>
      </c>
      <c r="P295" t="n">
        <v>0</v>
      </c>
      <c r="Q295" t="n">
        <v>0</v>
      </c>
      <c r="R295" s="2" t="inlineStr"/>
    </row>
    <row r="296" ht="15" customHeight="1">
      <c r="A296" t="inlineStr">
        <is>
          <t>A 24253-2020</t>
        </is>
      </c>
      <c r="B296" s="1" t="n">
        <v>43970</v>
      </c>
      <c r="C296" s="1" t="n">
        <v>45718</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25148-2020</t>
        </is>
      </c>
      <c r="B297" s="1" t="n">
        <v>43978</v>
      </c>
      <c r="C297" s="1" t="n">
        <v>45718</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26410-2020</t>
        </is>
      </c>
      <c r="B298" s="1" t="n">
        <v>43986</v>
      </c>
      <c r="C298" s="1" t="n">
        <v>45718</v>
      </c>
      <c r="D298" t="inlineStr">
        <is>
          <t>JÄMTLANDS LÄN</t>
        </is>
      </c>
      <c r="E298" t="inlineStr">
        <is>
          <t>ÖSTERSUND</t>
        </is>
      </c>
      <c r="G298" t="n">
        <v>2.1</v>
      </c>
      <c r="H298" t="n">
        <v>0</v>
      </c>
      <c r="I298" t="n">
        <v>0</v>
      </c>
      <c r="J298" t="n">
        <v>0</v>
      </c>
      <c r="K298" t="n">
        <v>0</v>
      </c>
      <c r="L298" t="n">
        <v>0</v>
      </c>
      <c r="M298" t="n">
        <v>0</v>
      </c>
      <c r="N298" t="n">
        <v>0</v>
      </c>
      <c r="O298" t="n">
        <v>0</v>
      </c>
      <c r="P298" t="n">
        <v>0</v>
      </c>
      <c r="Q298" t="n">
        <v>0</v>
      </c>
      <c r="R298" s="2" t="inlineStr"/>
    </row>
    <row r="299" ht="15" customHeight="1">
      <c r="A299" t="inlineStr">
        <is>
          <t>A 27576-2020</t>
        </is>
      </c>
      <c r="B299" s="1" t="n">
        <v>43992</v>
      </c>
      <c r="C299" s="1" t="n">
        <v>45718</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29635-2020</t>
        </is>
      </c>
      <c r="B300" s="1" t="n">
        <v>44000</v>
      </c>
      <c r="C300" s="1" t="n">
        <v>45718</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29435-2020</t>
        </is>
      </c>
      <c r="B301" s="1" t="n">
        <v>44004</v>
      </c>
      <c r="C301" s="1" t="n">
        <v>45718</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29479-2020</t>
        </is>
      </c>
      <c r="B302" s="1" t="n">
        <v>44005</v>
      </c>
      <c r="C302" s="1" t="n">
        <v>45718</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29581-2020</t>
        </is>
      </c>
      <c r="B303" s="1" t="n">
        <v>44004</v>
      </c>
      <c r="C303" s="1" t="n">
        <v>45718</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30676-2020</t>
        </is>
      </c>
      <c r="B304" s="1" t="n">
        <v>44008</v>
      </c>
      <c r="C304" s="1" t="n">
        <v>45718</v>
      </c>
      <c r="D304" t="inlineStr">
        <is>
          <t>JÄMTLANDS LÄN</t>
        </is>
      </c>
      <c r="E304" t="inlineStr">
        <is>
          <t>ÖSTERSUND</t>
        </is>
      </c>
      <c r="G304" t="n">
        <v>2.4</v>
      </c>
      <c r="H304" t="n">
        <v>0</v>
      </c>
      <c r="I304" t="n">
        <v>0</v>
      </c>
      <c r="J304" t="n">
        <v>0</v>
      </c>
      <c r="K304" t="n">
        <v>0</v>
      </c>
      <c r="L304" t="n">
        <v>0</v>
      </c>
      <c r="M304" t="n">
        <v>0</v>
      </c>
      <c r="N304" t="n">
        <v>0</v>
      </c>
      <c r="O304" t="n">
        <v>0</v>
      </c>
      <c r="P304" t="n">
        <v>0</v>
      </c>
      <c r="Q304" t="n">
        <v>0</v>
      </c>
      <c r="R304" s="2" t="inlineStr"/>
    </row>
    <row r="305" ht="15" customHeight="1">
      <c r="A305" t="inlineStr">
        <is>
          <t>A 33945-2020</t>
        </is>
      </c>
      <c r="B305" s="1" t="n">
        <v>44027</v>
      </c>
      <c r="C305" s="1" t="n">
        <v>45718</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34703-2020</t>
        </is>
      </c>
      <c r="B306" s="1" t="n">
        <v>44035</v>
      </c>
      <c r="C306" s="1" t="n">
        <v>45718</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37500-2020</t>
        </is>
      </c>
      <c r="B307" s="1" t="n">
        <v>44055</v>
      </c>
      <c r="C307" s="1" t="n">
        <v>45718</v>
      </c>
      <c r="D307" t="inlineStr">
        <is>
          <t>JÄMTLANDS LÄN</t>
        </is>
      </c>
      <c r="E307" t="inlineStr">
        <is>
          <t>ÖSTERSUND</t>
        </is>
      </c>
      <c r="G307" t="n">
        <v>4.8</v>
      </c>
      <c r="H307" t="n">
        <v>0</v>
      </c>
      <c r="I307" t="n">
        <v>0</v>
      </c>
      <c r="J307" t="n">
        <v>0</v>
      </c>
      <c r="K307" t="n">
        <v>0</v>
      </c>
      <c r="L307" t="n">
        <v>0</v>
      </c>
      <c r="M307" t="n">
        <v>0</v>
      </c>
      <c r="N307" t="n">
        <v>0</v>
      </c>
      <c r="O307" t="n">
        <v>0</v>
      </c>
      <c r="P307" t="n">
        <v>0</v>
      </c>
      <c r="Q307" t="n">
        <v>0</v>
      </c>
      <c r="R307" s="2" t="inlineStr"/>
    </row>
    <row r="308" ht="15" customHeight="1">
      <c r="A308" t="inlineStr">
        <is>
          <t>A 38099-2020</t>
        </is>
      </c>
      <c r="B308" s="1" t="n">
        <v>44057</v>
      </c>
      <c r="C308" s="1" t="n">
        <v>45718</v>
      </c>
      <c r="D308" t="inlineStr">
        <is>
          <t>JÄMTLANDS LÄN</t>
        </is>
      </c>
      <c r="E308" t="inlineStr">
        <is>
          <t>ÖSTERSUND</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41354-2020</t>
        </is>
      </c>
      <c r="B309" s="1" t="n">
        <v>44072</v>
      </c>
      <c r="C309" s="1" t="n">
        <v>45718</v>
      </c>
      <c r="D309" t="inlineStr">
        <is>
          <t>JÄMTLANDS LÄN</t>
        </is>
      </c>
      <c r="E309" t="inlineStr">
        <is>
          <t>ÖSTERSUND</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42712-2020</t>
        </is>
      </c>
      <c r="B310" s="1" t="n">
        <v>44076</v>
      </c>
      <c r="C310" s="1" t="n">
        <v>45718</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42749-2020</t>
        </is>
      </c>
      <c r="B311" s="1" t="n">
        <v>44078</v>
      </c>
      <c r="C311" s="1" t="n">
        <v>45718</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42765-2020</t>
        </is>
      </c>
      <c r="B312" s="1" t="n">
        <v>44077</v>
      </c>
      <c r="C312" s="1" t="n">
        <v>45718</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42766-2020</t>
        </is>
      </c>
      <c r="B313" s="1" t="n">
        <v>44077</v>
      </c>
      <c r="C313" s="1" t="n">
        <v>45718</v>
      </c>
      <c r="D313" t="inlineStr">
        <is>
          <t>JÄMTLANDS LÄN</t>
        </is>
      </c>
      <c r="E313" t="inlineStr">
        <is>
          <t>ÖSTERSUND</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43796-2020</t>
        </is>
      </c>
      <c r="B314" s="1" t="n">
        <v>44082</v>
      </c>
      <c r="C314" s="1" t="n">
        <v>45718</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45820-2020</t>
        </is>
      </c>
      <c r="B315" s="1" t="n">
        <v>44090</v>
      </c>
      <c r="C315" s="1" t="n">
        <v>45718</v>
      </c>
      <c r="D315" t="inlineStr">
        <is>
          <t>JÄMTLANDS LÄN</t>
        </is>
      </c>
      <c r="E315" t="inlineStr">
        <is>
          <t>ÖSTERSUND</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50121-2020</t>
        </is>
      </c>
      <c r="B316" s="1" t="n">
        <v>44106</v>
      </c>
      <c r="C316" s="1" t="n">
        <v>45718</v>
      </c>
      <c r="D316" t="inlineStr">
        <is>
          <t>JÄMTLANDS LÄN</t>
        </is>
      </c>
      <c r="E316" t="inlineStr">
        <is>
          <t>ÖSTERSUND</t>
        </is>
      </c>
      <c r="F316" t="inlineStr">
        <is>
          <t>Övriga statliga verk och myndigheter</t>
        </is>
      </c>
      <c r="G316" t="n">
        <v>5.2</v>
      </c>
      <c r="H316" t="n">
        <v>0</v>
      </c>
      <c r="I316" t="n">
        <v>0</v>
      </c>
      <c r="J316" t="n">
        <v>0</v>
      </c>
      <c r="K316" t="n">
        <v>0</v>
      </c>
      <c r="L316" t="n">
        <v>0</v>
      </c>
      <c r="M316" t="n">
        <v>0</v>
      </c>
      <c r="N316" t="n">
        <v>0</v>
      </c>
      <c r="O316" t="n">
        <v>0</v>
      </c>
      <c r="P316" t="n">
        <v>0</v>
      </c>
      <c r="Q316" t="n">
        <v>0</v>
      </c>
      <c r="R316" s="2" t="inlineStr"/>
    </row>
    <row r="317" ht="15" customHeight="1">
      <c r="A317" t="inlineStr">
        <is>
          <t>A 50153-2020</t>
        </is>
      </c>
      <c r="B317" s="1" t="n">
        <v>44106</v>
      </c>
      <c r="C317" s="1" t="n">
        <v>45718</v>
      </c>
      <c r="D317" t="inlineStr">
        <is>
          <t>JÄMTLANDS LÄN</t>
        </is>
      </c>
      <c r="E317" t="inlineStr">
        <is>
          <t>ÖSTERSUND</t>
        </is>
      </c>
      <c r="F317" t="inlineStr">
        <is>
          <t>Övriga statliga verk och myndigheter</t>
        </is>
      </c>
      <c r="G317" t="n">
        <v>4.6</v>
      </c>
      <c r="H317" t="n">
        <v>0</v>
      </c>
      <c r="I317" t="n">
        <v>0</v>
      </c>
      <c r="J317" t="n">
        <v>0</v>
      </c>
      <c r="K317" t="n">
        <v>0</v>
      </c>
      <c r="L317" t="n">
        <v>0</v>
      </c>
      <c r="M317" t="n">
        <v>0</v>
      </c>
      <c r="N317" t="n">
        <v>0</v>
      </c>
      <c r="O317" t="n">
        <v>0</v>
      </c>
      <c r="P317" t="n">
        <v>0</v>
      </c>
      <c r="Q317" t="n">
        <v>0</v>
      </c>
      <c r="R317" s="2" t="inlineStr"/>
    </row>
    <row r="318" ht="15" customHeight="1">
      <c r="A318" t="inlineStr">
        <is>
          <t>A 50144-2020</t>
        </is>
      </c>
      <c r="B318" s="1" t="n">
        <v>44106</v>
      </c>
      <c r="C318" s="1" t="n">
        <v>45718</v>
      </c>
      <c r="D318" t="inlineStr">
        <is>
          <t>JÄMTLANDS LÄN</t>
        </is>
      </c>
      <c r="E318" t="inlineStr">
        <is>
          <t>ÖSTERSUND</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50632-2020</t>
        </is>
      </c>
      <c r="B319" s="1" t="n">
        <v>44110</v>
      </c>
      <c r="C319" s="1" t="n">
        <v>45718</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52478-2020</t>
        </is>
      </c>
      <c r="B320" s="1" t="n">
        <v>44113</v>
      </c>
      <c r="C320" s="1" t="n">
        <v>45718</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52535-2020</t>
        </is>
      </c>
      <c r="B321" s="1" t="n">
        <v>44118</v>
      </c>
      <c r="C321" s="1" t="n">
        <v>45718</v>
      </c>
      <c r="D321" t="inlineStr">
        <is>
          <t>JÄMTLANDS LÄN</t>
        </is>
      </c>
      <c r="E321" t="inlineStr">
        <is>
          <t>ÖSTERSUND</t>
        </is>
      </c>
      <c r="G321" t="n">
        <v>2</v>
      </c>
      <c r="H321" t="n">
        <v>0</v>
      </c>
      <c r="I321" t="n">
        <v>0</v>
      </c>
      <c r="J321" t="n">
        <v>0</v>
      </c>
      <c r="K321" t="n">
        <v>0</v>
      </c>
      <c r="L321" t="n">
        <v>0</v>
      </c>
      <c r="M321" t="n">
        <v>0</v>
      </c>
      <c r="N321" t="n">
        <v>0</v>
      </c>
      <c r="O321" t="n">
        <v>0</v>
      </c>
      <c r="P321" t="n">
        <v>0</v>
      </c>
      <c r="Q321" t="n">
        <v>0</v>
      </c>
      <c r="R321" s="2" t="inlineStr"/>
    </row>
    <row r="322" ht="15" customHeight="1">
      <c r="A322" t="inlineStr">
        <is>
          <t>A 52777-2020</t>
        </is>
      </c>
      <c r="B322" s="1" t="n">
        <v>44118</v>
      </c>
      <c r="C322" s="1" t="n">
        <v>45718</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52791-2020</t>
        </is>
      </c>
      <c r="B323" s="1" t="n">
        <v>44118</v>
      </c>
      <c r="C323" s="1" t="n">
        <v>45718</v>
      </c>
      <c r="D323" t="inlineStr">
        <is>
          <t>JÄMTLANDS LÄN</t>
        </is>
      </c>
      <c r="E323" t="inlineStr">
        <is>
          <t>ÖSTERSUND</t>
        </is>
      </c>
      <c r="G323" t="n">
        <v>0.4</v>
      </c>
      <c r="H323" t="n">
        <v>0</v>
      </c>
      <c r="I323" t="n">
        <v>0</v>
      </c>
      <c r="J323" t="n">
        <v>0</v>
      </c>
      <c r="K323" t="n">
        <v>0</v>
      </c>
      <c r="L323" t="n">
        <v>0</v>
      </c>
      <c r="M323" t="n">
        <v>0</v>
      </c>
      <c r="N323" t="n">
        <v>0</v>
      </c>
      <c r="O323" t="n">
        <v>0</v>
      </c>
      <c r="P323" t="n">
        <v>0</v>
      </c>
      <c r="Q323" t="n">
        <v>0</v>
      </c>
      <c r="R323" s="2" t="inlineStr"/>
    </row>
    <row r="324" ht="15" customHeight="1">
      <c r="A324" t="inlineStr">
        <is>
          <t>A 53323-2020</t>
        </is>
      </c>
      <c r="B324" s="1" t="n">
        <v>44123</v>
      </c>
      <c r="C324" s="1" t="n">
        <v>45718</v>
      </c>
      <c r="D324" t="inlineStr">
        <is>
          <t>JÄMTLANDS LÄN</t>
        </is>
      </c>
      <c r="E324" t="inlineStr">
        <is>
          <t>ÖSTERSUND</t>
        </is>
      </c>
      <c r="F324" t="inlineStr">
        <is>
          <t>Övriga Aktiebolag</t>
        </is>
      </c>
      <c r="G324" t="n">
        <v>2.2</v>
      </c>
      <c r="H324" t="n">
        <v>0</v>
      </c>
      <c r="I324" t="n">
        <v>0</v>
      </c>
      <c r="J324" t="n">
        <v>0</v>
      </c>
      <c r="K324" t="n">
        <v>0</v>
      </c>
      <c r="L324" t="n">
        <v>0</v>
      </c>
      <c r="M324" t="n">
        <v>0</v>
      </c>
      <c r="N324" t="n">
        <v>0</v>
      </c>
      <c r="O324" t="n">
        <v>0</v>
      </c>
      <c r="P324" t="n">
        <v>0</v>
      </c>
      <c r="Q324" t="n">
        <v>0</v>
      </c>
      <c r="R324" s="2" t="inlineStr"/>
    </row>
    <row r="325" ht="15" customHeight="1">
      <c r="A325" t="inlineStr">
        <is>
          <t>A 53967-2020</t>
        </is>
      </c>
      <c r="B325" s="1" t="n">
        <v>44125</v>
      </c>
      <c r="C325" s="1" t="n">
        <v>45718</v>
      </c>
      <c r="D325" t="inlineStr">
        <is>
          <t>JÄMTLANDS LÄN</t>
        </is>
      </c>
      <c r="E325" t="inlineStr">
        <is>
          <t>ÖSTERSUND</t>
        </is>
      </c>
      <c r="G325" t="n">
        <v>25.8</v>
      </c>
      <c r="H325" t="n">
        <v>0</v>
      </c>
      <c r="I325" t="n">
        <v>0</v>
      </c>
      <c r="J325" t="n">
        <v>0</v>
      </c>
      <c r="K325" t="n">
        <v>0</v>
      </c>
      <c r="L325" t="n">
        <v>0</v>
      </c>
      <c r="M325" t="n">
        <v>0</v>
      </c>
      <c r="N325" t="n">
        <v>0</v>
      </c>
      <c r="O325" t="n">
        <v>0</v>
      </c>
      <c r="P325" t="n">
        <v>0</v>
      </c>
      <c r="Q325" t="n">
        <v>0</v>
      </c>
      <c r="R325" s="2" t="inlineStr"/>
    </row>
    <row r="326" ht="15" customHeight="1">
      <c r="A326" t="inlineStr">
        <is>
          <t>A 54539-2020</t>
        </is>
      </c>
      <c r="B326" s="1" t="n">
        <v>44126</v>
      </c>
      <c r="C326" s="1" t="n">
        <v>45718</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54844-2020</t>
        </is>
      </c>
      <c r="B327" s="1" t="n">
        <v>44126</v>
      </c>
      <c r="C327" s="1" t="n">
        <v>45718</v>
      </c>
      <c r="D327" t="inlineStr">
        <is>
          <t>JÄMTLANDS LÄN</t>
        </is>
      </c>
      <c r="E327" t="inlineStr">
        <is>
          <t>ÖSTERSUND</t>
        </is>
      </c>
      <c r="G327" t="n">
        <v>6.9</v>
      </c>
      <c r="H327" t="n">
        <v>0</v>
      </c>
      <c r="I327" t="n">
        <v>0</v>
      </c>
      <c r="J327" t="n">
        <v>0</v>
      </c>
      <c r="K327" t="n">
        <v>0</v>
      </c>
      <c r="L327" t="n">
        <v>0</v>
      </c>
      <c r="M327" t="n">
        <v>0</v>
      </c>
      <c r="N327" t="n">
        <v>0</v>
      </c>
      <c r="O327" t="n">
        <v>0</v>
      </c>
      <c r="P327" t="n">
        <v>0</v>
      </c>
      <c r="Q327" t="n">
        <v>0</v>
      </c>
      <c r="R327" s="2" t="inlineStr"/>
    </row>
    <row r="328" ht="15" customHeight="1">
      <c r="A328" t="inlineStr">
        <is>
          <t>A 56220-2020</t>
        </is>
      </c>
      <c r="B328" s="1" t="n">
        <v>44133</v>
      </c>
      <c r="C328" s="1" t="n">
        <v>45718</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56486-2020</t>
        </is>
      </c>
      <c r="B329" s="1" t="n">
        <v>44137</v>
      </c>
      <c r="C329" s="1" t="n">
        <v>45718</v>
      </c>
      <c r="D329" t="inlineStr">
        <is>
          <t>JÄMTLANDS LÄN</t>
        </is>
      </c>
      <c r="E329" t="inlineStr">
        <is>
          <t>ÖSTERSUND</t>
        </is>
      </c>
      <c r="G329" t="n">
        <v>5.8</v>
      </c>
      <c r="H329" t="n">
        <v>0</v>
      </c>
      <c r="I329" t="n">
        <v>0</v>
      </c>
      <c r="J329" t="n">
        <v>0</v>
      </c>
      <c r="K329" t="n">
        <v>0</v>
      </c>
      <c r="L329" t="n">
        <v>0</v>
      </c>
      <c r="M329" t="n">
        <v>0</v>
      </c>
      <c r="N329" t="n">
        <v>0</v>
      </c>
      <c r="O329" t="n">
        <v>0</v>
      </c>
      <c r="P329" t="n">
        <v>0</v>
      </c>
      <c r="Q329" t="n">
        <v>0</v>
      </c>
      <c r="R329" s="2" t="inlineStr"/>
    </row>
    <row r="330" ht="15" customHeight="1">
      <c r="A330" t="inlineStr">
        <is>
          <t>A 56636-2020</t>
        </is>
      </c>
      <c r="B330" s="1" t="n">
        <v>44137</v>
      </c>
      <c r="C330" s="1" t="n">
        <v>45718</v>
      </c>
      <c r="D330" t="inlineStr">
        <is>
          <t>JÄMTLANDS LÄN</t>
        </is>
      </c>
      <c r="E330" t="inlineStr">
        <is>
          <t>ÖSTERSUND</t>
        </is>
      </c>
      <c r="F330" t="inlineStr">
        <is>
          <t>Övriga Aktiebolag</t>
        </is>
      </c>
      <c r="G330" t="n">
        <v>16.2</v>
      </c>
      <c r="H330" t="n">
        <v>0</v>
      </c>
      <c r="I330" t="n">
        <v>0</v>
      </c>
      <c r="J330" t="n">
        <v>0</v>
      </c>
      <c r="K330" t="n">
        <v>0</v>
      </c>
      <c r="L330" t="n">
        <v>0</v>
      </c>
      <c r="M330" t="n">
        <v>0</v>
      </c>
      <c r="N330" t="n">
        <v>0</v>
      </c>
      <c r="O330" t="n">
        <v>0</v>
      </c>
      <c r="P330" t="n">
        <v>0</v>
      </c>
      <c r="Q330" t="n">
        <v>0</v>
      </c>
      <c r="R330" s="2" t="inlineStr"/>
    </row>
    <row r="331" ht="15" customHeight="1">
      <c r="A331" t="inlineStr">
        <is>
          <t>A 56642-2020</t>
        </is>
      </c>
      <c r="B331" s="1" t="n">
        <v>44137</v>
      </c>
      <c r="C331" s="1" t="n">
        <v>45718</v>
      </c>
      <c r="D331" t="inlineStr">
        <is>
          <t>JÄMTLANDS LÄN</t>
        </is>
      </c>
      <c r="E331" t="inlineStr">
        <is>
          <t>ÖSTERSUND</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57616-2020</t>
        </is>
      </c>
      <c r="B332" s="1" t="n">
        <v>44140</v>
      </c>
      <c r="C332" s="1" t="n">
        <v>45718</v>
      </c>
      <c r="D332" t="inlineStr">
        <is>
          <t>JÄMTLANDS LÄN</t>
        </is>
      </c>
      <c r="E332" t="inlineStr">
        <is>
          <t>ÖSTERSUND</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57624-2020</t>
        </is>
      </c>
      <c r="B333" s="1" t="n">
        <v>44140</v>
      </c>
      <c r="C333" s="1" t="n">
        <v>45718</v>
      </c>
      <c r="D333" t="inlineStr">
        <is>
          <t>JÄMTLANDS LÄN</t>
        </is>
      </c>
      <c r="E333" t="inlineStr">
        <is>
          <t>ÖSTERSUND</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57791-2020</t>
        </is>
      </c>
      <c r="B334" s="1" t="n">
        <v>44141</v>
      </c>
      <c r="C334" s="1" t="n">
        <v>45718</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57771-2020</t>
        </is>
      </c>
      <c r="B335" s="1" t="n">
        <v>44141</v>
      </c>
      <c r="C335" s="1" t="n">
        <v>45718</v>
      </c>
      <c r="D335" t="inlineStr">
        <is>
          <t>JÄMTLANDS LÄN</t>
        </is>
      </c>
      <c r="E335" t="inlineStr">
        <is>
          <t>ÖSTERSUND</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60050-2020</t>
        </is>
      </c>
      <c r="B336" s="1" t="n">
        <v>44151</v>
      </c>
      <c r="C336" s="1" t="n">
        <v>45718</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60126-2020</t>
        </is>
      </c>
      <c r="B337" s="1" t="n">
        <v>44152</v>
      </c>
      <c r="C337" s="1" t="n">
        <v>45718</v>
      </c>
      <c r="D337" t="inlineStr">
        <is>
          <t>JÄMTLANDS LÄN</t>
        </is>
      </c>
      <c r="E337" t="inlineStr">
        <is>
          <t>ÖSTERSUND</t>
        </is>
      </c>
      <c r="G337" t="n">
        <v>1</v>
      </c>
      <c r="H337" t="n">
        <v>0</v>
      </c>
      <c r="I337" t="n">
        <v>0</v>
      </c>
      <c r="J337" t="n">
        <v>0</v>
      </c>
      <c r="K337" t="n">
        <v>0</v>
      </c>
      <c r="L337" t="n">
        <v>0</v>
      </c>
      <c r="M337" t="n">
        <v>0</v>
      </c>
      <c r="N337" t="n">
        <v>0</v>
      </c>
      <c r="O337" t="n">
        <v>0</v>
      </c>
      <c r="P337" t="n">
        <v>0</v>
      </c>
      <c r="Q337" t="n">
        <v>0</v>
      </c>
      <c r="R337" s="2" t="inlineStr"/>
    </row>
    <row r="338" ht="15" customHeight="1">
      <c r="A338" t="inlineStr">
        <is>
          <t>A 63171-2020</t>
        </is>
      </c>
      <c r="B338" s="1" t="n">
        <v>44162</v>
      </c>
      <c r="C338" s="1" t="n">
        <v>45718</v>
      </c>
      <c r="D338" t="inlineStr">
        <is>
          <t>JÄMTLANDS LÄN</t>
        </is>
      </c>
      <c r="E338" t="inlineStr">
        <is>
          <t>ÖSTERSUND</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65410-2020</t>
        </is>
      </c>
      <c r="B339" s="1" t="n">
        <v>44173</v>
      </c>
      <c r="C339" s="1" t="n">
        <v>45718</v>
      </c>
      <c r="D339" t="inlineStr">
        <is>
          <t>JÄMTLANDS LÄN</t>
        </is>
      </c>
      <c r="E339" t="inlineStr">
        <is>
          <t>ÖSTERSUND</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66269-2020</t>
        </is>
      </c>
      <c r="B340" s="1" t="n">
        <v>44174</v>
      </c>
      <c r="C340" s="1" t="n">
        <v>45718</v>
      </c>
      <c r="D340" t="inlineStr">
        <is>
          <t>JÄMTLANDS LÄN</t>
        </is>
      </c>
      <c r="E340" t="inlineStr">
        <is>
          <t>ÖSTERSUND</t>
        </is>
      </c>
      <c r="F340" t="inlineStr">
        <is>
          <t>Övriga statliga verk och myndigheter</t>
        </is>
      </c>
      <c r="G340" t="n">
        <v>10</v>
      </c>
      <c r="H340" t="n">
        <v>0</v>
      </c>
      <c r="I340" t="n">
        <v>0</v>
      </c>
      <c r="J340" t="n">
        <v>0</v>
      </c>
      <c r="K340" t="n">
        <v>0</v>
      </c>
      <c r="L340" t="n">
        <v>0</v>
      </c>
      <c r="M340" t="n">
        <v>0</v>
      </c>
      <c r="N340" t="n">
        <v>0</v>
      </c>
      <c r="O340" t="n">
        <v>0</v>
      </c>
      <c r="P340" t="n">
        <v>0</v>
      </c>
      <c r="Q340" t="n">
        <v>0</v>
      </c>
      <c r="R340" s="2" t="inlineStr"/>
    </row>
    <row r="341" ht="15" customHeight="1">
      <c r="A341" t="inlineStr">
        <is>
          <t>A 66288-2020</t>
        </is>
      </c>
      <c r="B341" s="1" t="n">
        <v>44174</v>
      </c>
      <c r="C341" s="1" t="n">
        <v>45718</v>
      </c>
      <c r="D341" t="inlineStr">
        <is>
          <t>JÄMTLANDS LÄN</t>
        </is>
      </c>
      <c r="E341" t="inlineStr">
        <is>
          <t>ÖSTERSUND</t>
        </is>
      </c>
      <c r="F341" t="inlineStr">
        <is>
          <t>Övriga statliga verk och myndigheter</t>
        </is>
      </c>
      <c r="G341" t="n">
        <v>1.2</v>
      </c>
      <c r="H341" t="n">
        <v>0</v>
      </c>
      <c r="I341" t="n">
        <v>0</v>
      </c>
      <c r="J341" t="n">
        <v>0</v>
      </c>
      <c r="K341" t="n">
        <v>0</v>
      </c>
      <c r="L341" t="n">
        <v>0</v>
      </c>
      <c r="M341" t="n">
        <v>0</v>
      </c>
      <c r="N341" t="n">
        <v>0</v>
      </c>
      <c r="O341" t="n">
        <v>0</v>
      </c>
      <c r="P341" t="n">
        <v>0</v>
      </c>
      <c r="Q341" t="n">
        <v>0</v>
      </c>
      <c r="R341" s="2" t="inlineStr"/>
    </row>
    <row r="342" ht="15" customHeight="1">
      <c r="A342" t="inlineStr">
        <is>
          <t>A 66286-2020</t>
        </is>
      </c>
      <c r="B342" s="1" t="n">
        <v>44174</v>
      </c>
      <c r="C342" s="1" t="n">
        <v>45718</v>
      </c>
      <c r="D342" t="inlineStr">
        <is>
          <t>JÄMTLANDS LÄN</t>
        </is>
      </c>
      <c r="E342" t="inlineStr">
        <is>
          <t>ÖSTERSUND</t>
        </is>
      </c>
      <c r="F342" t="inlineStr">
        <is>
          <t>Övriga statliga verk och myndigheter</t>
        </is>
      </c>
      <c r="G342" t="n">
        <v>1.1</v>
      </c>
      <c r="H342" t="n">
        <v>0</v>
      </c>
      <c r="I342" t="n">
        <v>0</v>
      </c>
      <c r="J342" t="n">
        <v>0</v>
      </c>
      <c r="K342" t="n">
        <v>0</v>
      </c>
      <c r="L342" t="n">
        <v>0</v>
      </c>
      <c r="M342" t="n">
        <v>0</v>
      </c>
      <c r="N342" t="n">
        <v>0</v>
      </c>
      <c r="O342" t="n">
        <v>0</v>
      </c>
      <c r="P342" t="n">
        <v>0</v>
      </c>
      <c r="Q342" t="n">
        <v>0</v>
      </c>
      <c r="R342" s="2" t="inlineStr"/>
    </row>
    <row r="343" ht="15" customHeight="1">
      <c r="A343" t="inlineStr">
        <is>
          <t>A 67646-2020</t>
        </is>
      </c>
      <c r="B343" s="1" t="n">
        <v>44180</v>
      </c>
      <c r="C343" s="1" t="n">
        <v>45718</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67643-2020</t>
        </is>
      </c>
      <c r="B344" s="1" t="n">
        <v>44180</v>
      </c>
      <c r="C344" s="1" t="n">
        <v>45718</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68408-2020</t>
        </is>
      </c>
      <c r="B345" s="1" t="n">
        <v>44186</v>
      </c>
      <c r="C345" s="1" t="n">
        <v>45718</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68937-2020</t>
        </is>
      </c>
      <c r="B346" s="1" t="n">
        <v>44187</v>
      </c>
      <c r="C346" s="1" t="n">
        <v>45718</v>
      </c>
      <c r="D346" t="inlineStr">
        <is>
          <t>JÄMTLANDS LÄN</t>
        </is>
      </c>
      <c r="E346" t="inlineStr">
        <is>
          <t>ÖSTERSUND</t>
        </is>
      </c>
      <c r="G346" t="n">
        <v>4.7</v>
      </c>
      <c r="H346" t="n">
        <v>0</v>
      </c>
      <c r="I346" t="n">
        <v>0</v>
      </c>
      <c r="J346" t="n">
        <v>0</v>
      </c>
      <c r="K346" t="n">
        <v>0</v>
      </c>
      <c r="L346" t="n">
        <v>0</v>
      </c>
      <c r="M346" t="n">
        <v>0</v>
      </c>
      <c r="N346" t="n">
        <v>0</v>
      </c>
      <c r="O346" t="n">
        <v>0</v>
      </c>
      <c r="P346" t="n">
        <v>0</v>
      </c>
      <c r="Q346" t="n">
        <v>0</v>
      </c>
      <c r="R346" s="2" t="inlineStr"/>
    </row>
    <row r="347" ht="15" customHeight="1">
      <c r="A347" t="inlineStr">
        <is>
          <t>A 126-2021</t>
        </is>
      </c>
      <c r="B347" s="1" t="n">
        <v>44200</v>
      </c>
      <c r="C347" s="1" t="n">
        <v>45718</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501-2021</t>
        </is>
      </c>
      <c r="B348" s="1" t="n">
        <v>44200</v>
      </c>
      <c r="C348" s="1" t="n">
        <v>45718</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1322-2021</t>
        </is>
      </c>
      <c r="B349" s="1" t="n">
        <v>44208</v>
      </c>
      <c r="C349" s="1" t="n">
        <v>45718</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2686-2021</t>
        </is>
      </c>
      <c r="B350" s="1" t="n">
        <v>44214</v>
      </c>
      <c r="C350" s="1" t="n">
        <v>45718</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5460-2021</t>
        </is>
      </c>
      <c r="B351" s="1" t="n">
        <v>44229</v>
      </c>
      <c r="C351" s="1" t="n">
        <v>45718</v>
      </c>
      <c r="D351" t="inlineStr">
        <is>
          <t>JÄMTLANDS LÄN</t>
        </is>
      </c>
      <c r="E351" t="inlineStr">
        <is>
          <t>ÖSTERSUND</t>
        </is>
      </c>
      <c r="G351" t="n">
        <v>14.2</v>
      </c>
      <c r="H351" t="n">
        <v>0</v>
      </c>
      <c r="I351" t="n">
        <v>0</v>
      </c>
      <c r="J351" t="n">
        <v>0</v>
      </c>
      <c r="K351" t="n">
        <v>0</v>
      </c>
      <c r="L351" t="n">
        <v>0</v>
      </c>
      <c r="M351" t="n">
        <v>0</v>
      </c>
      <c r="N351" t="n">
        <v>0</v>
      </c>
      <c r="O351" t="n">
        <v>0</v>
      </c>
      <c r="P351" t="n">
        <v>0</v>
      </c>
      <c r="Q351" t="n">
        <v>0</v>
      </c>
      <c r="R351" s="2" t="inlineStr"/>
    </row>
    <row r="352" ht="15" customHeight="1">
      <c r="A352" t="inlineStr">
        <is>
          <t>A 6578-2021</t>
        </is>
      </c>
      <c r="B352" s="1" t="n">
        <v>44236</v>
      </c>
      <c r="C352" s="1" t="n">
        <v>45718</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8396-2021</t>
        </is>
      </c>
      <c r="B353" s="1" t="n">
        <v>44238</v>
      </c>
      <c r="C353" s="1" t="n">
        <v>45718</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10590-2021</t>
        </is>
      </c>
      <c r="B354" s="1" t="n">
        <v>44258</v>
      </c>
      <c r="C354" s="1" t="n">
        <v>45718</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10911-2021</t>
        </is>
      </c>
      <c r="B355" s="1" t="n">
        <v>44259</v>
      </c>
      <c r="C355" s="1" t="n">
        <v>45718</v>
      </c>
      <c r="D355" t="inlineStr">
        <is>
          <t>JÄMTLANDS LÄN</t>
        </is>
      </c>
      <c r="E355" t="inlineStr">
        <is>
          <t>ÖSTERSUND</t>
        </is>
      </c>
      <c r="F355" t="inlineStr">
        <is>
          <t>Kyrkan</t>
        </is>
      </c>
      <c r="G355" t="n">
        <v>0.9</v>
      </c>
      <c r="H355" t="n">
        <v>0</v>
      </c>
      <c r="I355" t="n">
        <v>0</v>
      </c>
      <c r="J355" t="n">
        <v>0</v>
      </c>
      <c r="K355" t="n">
        <v>0</v>
      </c>
      <c r="L355" t="n">
        <v>0</v>
      </c>
      <c r="M355" t="n">
        <v>0</v>
      </c>
      <c r="N355" t="n">
        <v>0</v>
      </c>
      <c r="O355" t="n">
        <v>0</v>
      </c>
      <c r="P355" t="n">
        <v>0</v>
      </c>
      <c r="Q355" t="n">
        <v>0</v>
      </c>
      <c r="R355" s="2" t="inlineStr"/>
    </row>
    <row r="356" ht="15" customHeight="1">
      <c r="A356" t="inlineStr">
        <is>
          <t>A 10834-2021</t>
        </is>
      </c>
      <c r="B356" s="1" t="n">
        <v>44259</v>
      </c>
      <c r="C356" s="1" t="n">
        <v>45718</v>
      </c>
      <c r="D356" t="inlineStr">
        <is>
          <t>JÄMTLANDS LÄN</t>
        </is>
      </c>
      <c r="E356" t="inlineStr">
        <is>
          <t>ÖSTERSUND</t>
        </is>
      </c>
      <c r="G356" t="n">
        <v>12.2</v>
      </c>
      <c r="H356" t="n">
        <v>0</v>
      </c>
      <c r="I356" t="n">
        <v>0</v>
      </c>
      <c r="J356" t="n">
        <v>0</v>
      </c>
      <c r="K356" t="n">
        <v>0</v>
      </c>
      <c r="L356" t="n">
        <v>0</v>
      </c>
      <c r="M356" t="n">
        <v>0</v>
      </c>
      <c r="N356" t="n">
        <v>0</v>
      </c>
      <c r="O356" t="n">
        <v>0</v>
      </c>
      <c r="P356" t="n">
        <v>0</v>
      </c>
      <c r="Q356" t="n">
        <v>0</v>
      </c>
      <c r="R356" s="2" t="inlineStr"/>
    </row>
    <row r="357" ht="15" customHeight="1">
      <c r="A357" t="inlineStr">
        <is>
          <t>A 12710-2021</t>
        </is>
      </c>
      <c r="B357" s="1" t="n">
        <v>44270</v>
      </c>
      <c r="C357" s="1" t="n">
        <v>45718</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12705-2021</t>
        </is>
      </c>
      <c r="B358" s="1" t="n">
        <v>44270</v>
      </c>
      <c r="C358" s="1" t="n">
        <v>45718</v>
      </c>
      <c r="D358" t="inlineStr">
        <is>
          <t>JÄMTLANDS LÄN</t>
        </is>
      </c>
      <c r="E358" t="inlineStr">
        <is>
          <t>ÖSTERSUND</t>
        </is>
      </c>
      <c r="G358" t="n">
        <v>3.5</v>
      </c>
      <c r="H358" t="n">
        <v>0</v>
      </c>
      <c r="I358" t="n">
        <v>0</v>
      </c>
      <c r="J358" t="n">
        <v>0</v>
      </c>
      <c r="K358" t="n">
        <v>0</v>
      </c>
      <c r="L358" t="n">
        <v>0</v>
      </c>
      <c r="M358" t="n">
        <v>0</v>
      </c>
      <c r="N358" t="n">
        <v>0</v>
      </c>
      <c r="O358" t="n">
        <v>0</v>
      </c>
      <c r="P358" t="n">
        <v>0</v>
      </c>
      <c r="Q358" t="n">
        <v>0</v>
      </c>
      <c r="R358" s="2" t="inlineStr"/>
    </row>
    <row r="359" ht="15" customHeight="1">
      <c r="A359" t="inlineStr">
        <is>
          <t>A 14155-2021</t>
        </is>
      </c>
      <c r="B359" s="1" t="n">
        <v>44278</v>
      </c>
      <c r="C359" s="1" t="n">
        <v>45718</v>
      </c>
      <c r="D359" t="inlineStr">
        <is>
          <t>JÄMTLANDS LÄN</t>
        </is>
      </c>
      <c r="E359" t="inlineStr">
        <is>
          <t>ÖSTERSUND</t>
        </is>
      </c>
      <c r="G359" t="n">
        <v>2.6</v>
      </c>
      <c r="H359" t="n">
        <v>0</v>
      </c>
      <c r="I359" t="n">
        <v>0</v>
      </c>
      <c r="J359" t="n">
        <v>0</v>
      </c>
      <c r="K359" t="n">
        <v>0</v>
      </c>
      <c r="L359" t="n">
        <v>0</v>
      </c>
      <c r="M359" t="n">
        <v>0</v>
      </c>
      <c r="N359" t="n">
        <v>0</v>
      </c>
      <c r="O359" t="n">
        <v>0</v>
      </c>
      <c r="P359" t="n">
        <v>0</v>
      </c>
      <c r="Q359" t="n">
        <v>0</v>
      </c>
      <c r="R359" s="2" t="inlineStr"/>
    </row>
    <row r="360" ht="15" customHeight="1">
      <c r="A360" t="inlineStr">
        <is>
          <t>A 15659-2021</t>
        </is>
      </c>
      <c r="B360" s="1" t="n">
        <v>44298</v>
      </c>
      <c r="C360" s="1" t="n">
        <v>45718</v>
      </c>
      <c r="D360" t="inlineStr">
        <is>
          <t>JÄMTLANDS LÄN</t>
        </is>
      </c>
      <c r="E360" t="inlineStr">
        <is>
          <t>ÖSTERSUND</t>
        </is>
      </c>
      <c r="G360" t="n">
        <v>13.3</v>
      </c>
      <c r="H360" t="n">
        <v>0</v>
      </c>
      <c r="I360" t="n">
        <v>0</v>
      </c>
      <c r="J360" t="n">
        <v>0</v>
      </c>
      <c r="K360" t="n">
        <v>0</v>
      </c>
      <c r="L360" t="n">
        <v>0</v>
      </c>
      <c r="M360" t="n">
        <v>0</v>
      </c>
      <c r="N360" t="n">
        <v>0</v>
      </c>
      <c r="O360" t="n">
        <v>0</v>
      </c>
      <c r="P360" t="n">
        <v>0</v>
      </c>
      <c r="Q360" t="n">
        <v>0</v>
      </c>
      <c r="R360" s="2" t="inlineStr"/>
    </row>
    <row r="361" ht="15" customHeight="1">
      <c r="A361" t="inlineStr">
        <is>
          <t>A 17362-2021</t>
        </is>
      </c>
      <c r="B361" s="1" t="n">
        <v>44298</v>
      </c>
      <c r="C361" s="1" t="n">
        <v>45718</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17596-2021</t>
        </is>
      </c>
      <c r="B362" s="1" t="n">
        <v>44299</v>
      </c>
      <c r="C362" s="1" t="n">
        <v>45718</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19541-2021</t>
        </is>
      </c>
      <c r="B363" s="1" t="n">
        <v>44312</v>
      </c>
      <c r="C363" s="1" t="n">
        <v>45718</v>
      </c>
      <c r="D363" t="inlineStr">
        <is>
          <t>JÄMTLANDS LÄN</t>
        </is>
      </c>
      <c r="E363" t="inlineStr">
        <is>
          <t>ÖSTERSUND</t>
        </is>
      </c>
      <c r="G363" t="n">
        <v>0.7</v>
      </c>
      <c r="H363" t="n">
        <v>0</v>
      </c>
      <c r="I363" t="n">
        <v>0</v>
      </c>
      <c r="J363" t="n">
        <v>0</v>
      </c>
      <c r="K363" t="n">
        <v>0</v>
      </c>
      <c r="L363" t="n">
        <v>0</v>
      </c>
      <c r="M363" t="n">
        <v>0</v>
      </c>
      <c r="N363" t="n">
        <v>0</v>
      </c>
      <c r="O363" t="n">
        <v>0</v>
      </c>
      <c r="P363" t="n">
        <v>0</v>
      </c>
      <c r="Q363" t="n">
        <v>0</v>
      </c>
      <c r="R363" s="2" t="inlineStr"/>
    </row>
    <row r="364" ht="15" customHeight="1">
      <c r="A364" t="inlineStr">
        <is>
          <t>A 20290-2021</t>
        </is>
      </c>
      <c r="B364" s="1" t="n">
        <v>44314</v>
      </c>
      <c r="C364" s="1" t="n">
        <v>45718</v>
      </c>
      <c r="D364" t="inlineStr">
        <is>
          <t>JÄMTLANDS LÄN</t>
        </is>
      </c>
      <c r="E364" t="inlineStr">
        <is>
          <t>ÖSTERSUND</t>
        </is>
      </c>
      <c r="F364" t="inlineStr">
        <is>
          <t>SCA</t>
        </is>
      </c>
      <c r="G364" t="n">
        <v>8.1</v>
      </c>
      <c r="H364" t="n">
        <v>0</v>
      </c>
      <c r="I364" t="n">
        <v>0</v>
      </c>
      <c r="J364" t="n">
        <v>0</v>
      </c>
      <c r="K364" t="n">
        <v>0</v>
      </c>
      <c r="L364" t="n">
        <v>0</v>
      </c>
      <c r="M364" t="n">
        <v>0</v>
      </c>
      <c r="N364" t="n">
        <v>0</v>
      </c>
      <c r="O364" t="n">
        <v>0</v>
      </c>
      <c r="P364" t="n">
        <v>0</v>
      </c>
      <c r="Q364" t="n">
        <v>0</v>
      </c>
      <c r="R364" s="2" t="inlineStr"/>
    </row>
    <row r="365" ht="15" customHeight="1">
      <c r="A365" t="inlineStr">
        <is>
          <t>A 20620-2021</t>
        </is>
      </c>
      <c r="B365" s="1" t="n">
        <v>44316</v>
      </c>
      <c r="C365" s="1" t="n">
        <v>45718</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21306-2021</t>
        </is>
      </c>
      <c r="B366" s="1" t="n">
        <v>44320</v>
      </c>
      <c r="C366" s="1" t="n">
        <v>45718</v>
      </c>
      <c r="D366" t="inlineStr">
        <is>
          <t>JÄMTLANDS LÄN</t>
        </is>
      </c>
      <c r="E366" t="inlineStr">
        <is>
          <t>ÖSTERSUND</t>
        </is>
      </c>
      <c r="G366" t="n">
        <v>4.5</v>
      </c>
      <c r="H366" t="n">
        <v>0</v>
      </c>
      <c r="I366" t="n">
        <v>0</v>
      </c>
      <c r="J366" t="n">
        <v>0</v>
      </c>
      <c r="K366" t="n">
        <v>0</v>
      </c>
      <c r="L366" t="n">
        <v>0</v>
      </c>
      <c r="M366" t="n">
        <v>0</v>
      </c>
      <c r="N366" t="n">
        <v>0</v>
      </c>
      <c r="O366" t="n">
        <v>0</v>
      </c>
      <c r="P366" t="n">
        <v>0</v>
      </c>
      <c r="Q366" t="n">
        <v>0</v>
      </c>
      <c r="R366" s="2" t="inlineStr"/>
    </row>
    <row r="367" ht="15" customHeight="1">
      <c r="A367" t="inlineStr">
        <is>
          <t>A 21849-2021</t>
        </is>
      </c>
      <c r="B367" s="1" t="n">
        <v>44322</v>
      </c>
      <c r="C367" s="1" t="n">
        <v>45718</v>
      </c>
      <c r="D367" t="inlineStr">
        <is>
          <t>JÄMTLANDS LÄN</t>
        </is>
      </c>
      <c r="E367" t="inlineStr">
        <is>
          <t>ÖSTERSUND</t>
        </is>
      </c>
      <c r="G367" t="n">
        <v>2.5</v>
      </c>
      <c r="H367" t="n">
        <v>0</v>
      </c>
      <c r="I367" t="n">
        <v>0</v>
      </c>
      <c r="J367" t="n">
        <v>0</v>
      </c>
      <c r="K367" t="n">
        <v>0</v>
      </c>
      <c r="L367" t="n">
        <v>0</v>
      </c>
      <c r="M367" t="n">
        <v>0</v>
      </c>
      <c r="N367" t="n">
        <v>0</v>
      </c>
      <c r="O367" t="n">
        <v>0</v>
      </c>
      <c r="P367" t="n">
        <v>0</v>
      </c>
      <c r="Q367" t="n">
        <v>0</v>
      </c>
      <c r="R367" s="2" t="inlineStr"/>
    </row>
    <row r="368" ht="15" customHeight="1">
      <c r="A368" t="inlineStr">
        <is>
          <t>A 22126-2021</t>
        </is>
      </c>
      <c r="B368" s="1" t="n">
        <v>44323</v>
      </c>
      <c r="C368" s="1" t="n">
        <v>45718</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23187-2021</t>
        </is>
      </c>
      <c r="B369" s="1" t="n">
        <v>44328</v>
      </c>
      <c r="C369" s="1" t="n">
        <v>45718</v>
      </c>
      <c r="D369" t="inlineStr">
        <is>
          <t>JÄMTLANDS LÄN</t>
        </is>
      </c>
      <c r="E369" t="inlineStr">
        <is>
          <t>ÖSTERSUND</t>
        </is>
      </c>
      <c r="G369" t="n">
        <v>1.8</v>
      </c>
      <c r="H369" t="n">
        <v>0</v>
      </c>
      <c r="I369" t="n">
        <v>0</v>
      </c>
      <c r="J369" t="n">
        <v>0</v>
      </c>
      <c r="K369" t="n">
        <v>0</v>
      </c>
      <c r="L369" t="n">
        <v>0</v>
      </c>
      <c r="M369" t="n">
        <v>0</v>
      </c>
      <c r="N369" t="n">
        <v>0</v>
      </c>
      <c r="O369" t="n">
        <v>0</v>
      </c>
      <c r="P369" t="n">
        <v>0</v>
      </c>
      <c r="Q369" t="n">
        <v>0</v>
      </c>
      <c r="R369" s="2" t="inlineStr"/>
    </row>
    <row r="370" ht="15" customHeight="1">
      <c r="A370" t="inlineStr">
        <is>
          <t>A 23895-2021</t>
        </is>
      </c>
      <c r="B370" s="1" t="n">
        <v>44335</v>
      </c>
      <c r="C370" s="1" t="n">
        <v>45718</v>
      </c>
      <c r="D370" t="inlineStr">
        <is>
          <t>JÄMTLANDS LÄN</t>
        </is>
      </c>
      <c r="E370" t="inlineStr">
        <is>
          <t>ÖSTERSUND</t>
        </is>
      </c>
      <c r="G370" t="n">
        <v>0.6</v>
      </c>
      <c r="H370" t="n">
        <v>0</v>
      </c>
      <c r="I370" t="n">
        <v>0</v>
      </c>
      <c r="J370" t="n">
        <v>0</v>
      </c>
      <c r="K370" t="n">
        <v>0</v>
      </c>
      <c r="L370" t="n">
        <v>0</v>
      </c>
      <c r="M370" t="n">
        <v>0</v>
      </c>
      <c r="N370" t="n">
        <v>0</v>
      </c>
      <c r="O370" t="n">
        <v>0</v>
      </c>
      <c r="P370" t="n">
        <v>0</v>
      </c>
      <c r="Q370" t="n">
        <v>0</v>
      </c>
      <c r="R370" s="2" t="inlineStr"/>
    </row>
    <row r="371" ht="15" customHeight="1">
      <c r="A371" t="inlineStr">
        <is>
          <t>A 24312-2021</t>
        </is>
      </c>
      <c r="B371" s="1" t="n">
        <v>44336</v>
      </c>
      <c r="C371" s="1" t="n">
        <v>45718</v>
      </c>
      <c r="D371" t="inlineStr">
        <is>
          <t>JÄMTLANDS LÄN</t>
        </is>
      </c>
      <c r="E371" t="inlineStr">
        <is>
          <t>ÖSTERSUND</t>
        </is>
      </c>
      <c r="G371" t="n">
        <v>10.6</v>
      </c>
      <c r="H371" t="n">
        <v>0</v>
      </c>
      <c r="I371" t="n">
        <v>0</v>
      </c>
      <c r="J371" t="n">
        <v>0</v>
      </c>
      <c r="K371" t="n">
        <v>0</v>
      </c>
      <c r="L371" t="n">
        <v>0</v>
      </c>
      <c r="M371" t="n">
        <v>0</v>
      </c>
      <c r="N371" t="n">
        <v>0</v>
      </c>
      <c r="O371" t="n">
        <v>0</v>
      </c>
      <c r="P371" t="n">
        <v>0</v>
      </c>
      <c r="Q371" t="n">
        <v>0</v>
      </c>
      <c r="R371" s="2" t="inlineStr"/>
    </row>
    <row r="372" ht="15" customHeight="1">
      <c r="A372" t="inlineStr">
        <is>
          <t>A 24706-2021</t>
        </is>
      </c>
      <c r="B372" s="1" t="n">
        <v>44340</v>
      </c>
      <c r="C372" s="1" t="n">
        <v>45718</v>
      </c>
      <c r="D372" t="inlineStr">
        <is>
          <t>JÄMTLANDS LÄN</t>
        </is>
      </c>
      <c r="E372" t="inlineStr">
        <is>
          <t>ÖSTERSUND</t>
        </is>
      </c>
      <c r="G372" t="n">
        <v>5.6</v>
      </c>
      <c r="H372" t="n">
        <v>0</v>
      </c>
      <c r="I372" t="n">
        <v>0</v>
      </c>
      <c r="J372" t="n">
        <v>0</v>
      </c>
      <c r="K372" t="n">
        <v>0</v>
      </c>
      <c r="L372" t="n">
        <v>0</v>
      </c>
      <c r="M372" t="n">
        <v>0</v>
      </c>
      <c r="N372" t="n">
        <v>0</v>
      </c>
      <c r="O372" t="n">
        <v>0</v>
      </c>
      <c r="P372" t="n">
        <v>0</v>
      </c>
      <c r="Q372" t="n">
        <v>0</v>
      </c>
      <c r="R372" s="2" t="inlineStr"/>
    </row>
    <row r="373" ht="15" customHeight="1">
      <c r="A373" t="inlineStr">
        <is>
          <t>A 24721-2021</t>
        </is>
      </c>
      <c r="B373" s="1" t="n">
        <v>44340</v>
      </c>
      <c r="C373" s="1" t="n">
        <v>45718</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26254-2021</t>
        </is>
      </c>
      <c r="B374" s="1" t="n">
        <v>44347</v>
      </c>
      <c r="C374" s="1" t="n">
        <v>45718</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26259-2021</t>
        </is>
      </c>
      <c r="B375" s="1" t="n">
        <v>44347</v>
      </c>
      <c r="C375" s="1" t="n">
        <v>45718</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27061-2021</t>
        </is>
      </c>
      <c r="B376" s="1" t="n">
        <v>44349</v>
      </c>
      <c r="C376" s="1" t="n">
        <v>45718</v>
      </c>
      <c r="D376" t="inlineStr">
        <is>
          <t>JÄMTLANDS LÄN</t>
        </is>
      </c>
      <c r="E376" t="inlineStr">
        <is>
          <t>ÖSTERSUND</t>
        </is>
      </c>
      <c r="G376" t="n">
        <v>3.2</v>
      </c>
      <c r="H376" t="n">
        <v>0</v>
      </c>
      <c r="I376" t="n">
        <v>0</v>
      </c>
      <c r="J376" t="n">
        <v>0</v>
      </c>
      <c r="K376" t="n">
        <v>0</v>
      </c>
      <c r="L376" t="n">
        <v>0</v>
      </c>
      <c r="M376" t="n">
        <v>0</v>
      </c>
      <c r="N376" t="n">
        <v>0</v>
      </c>
      <c r="O376" t="n">
        <v>0</v>
      </c>
      <c r="P376" t="n">
        <v>0</v>
      </c>
      <c r="Q376" t="n">
        <v>0</v>
      </c>
      <c r="R376" s="2" t="inlineStr"/>
    </row>
    <row r="377" ht="15" customHeight="1">
      <c r="A377" t="inlineStr">
        <is>
          <t>A 27004-2021</t>
        </is>
      </c>
      <c r="B377" s="1" t="n">
        <v>44349</v>
      </c>
      <c r="C377" s="1" t="n">
        <v>45718</v>
      </c>
      <c r="D377" t="inlineStr">
        <is>
          <t>JÄMTLANDS LÄN</t>
        </is>
      </c>
      <c r="E377" t="inlineStr">
        <is>
          <t>ÖSTERSUND</t>
        </is>
      </c>
      <c r="G377" t="n">
        <v>1.3</v>
      </c>
      <c r="H377" t="n">
        <v>0</v>
      </c>
      <c r="I377" t="n">
        <v>0</v>
      </c>
      <c r="J377" t="n">
        <v>0</v>
      </c>
      <c r="K377" t="n">
        <v>0</v>
      </c>
      <c r="L377" t="n">
        <v>0</v>
      </c>
      <c r="M377" t="n">
        <v>0</v>
      </c>
      <c r="N377" t="n">
        <v>0</v>
      </c>
      <c r="O377" t="n">
        <v>0</v>
      </c>
      <c r="P377" t="n">
        <v>0</v>
      </c>
      <c r="Q377" t="n">
        <v>0</v>
      </c>
      <c r="R377" s="2" t="inlineStr"/>
    </row>
    <row r="378" ht="15" customHeight="1">
      <c r="A378" t="inlineStr">
        <is>
          <t>A 29582-2021</t>
        </is>
      </c>
      <c r="B378" s="1" t="n">
        <v>44362</v>
      </c>
      <c r="C378" s="1" t="n">
        <v>45718</v>
      </c>
      <c r="D378" t="inlineStr">
        <is>
          <t>JÄMTLANDS LÄN</t>
        </is>
      </c>
      <c r="E378" t="inlineStr">
        <is>
          <t>ÖSTERSUND</t>
        </is>
      </c>
      <c r="G378" t="n">
        <v>31.5</v>
      </c>
      <c r="H378" t="n">
        <v>0</v>
      </c>
      <c r="I378" t="n">
        <v>0</v>
      </c>
      <c r="J378" t="n">
        <v>0</v>
      </c>
      <c r="K378" t="n">
        <v>0</v>
      </c>
      <c r="L378" t="n">
        <v>0</v>
      </c>
      <c r="M378" t="n">
        <v>0</v>
      </c>
      <c r="N378" t="n">
        <v>0</v>
      </c>
      <c r="O378" t="n">
        <v>0</v>
      </c>
      <c r="P378" t="n">
        <v>0</v>
      </c>
      <c r="Q378" t="n">
        <v>0</v>
      </c>
      <c r="R378" s="2" t="inlineStr"/>
    </row>
    <row r="379" ht="15" customHeight="1">
      <c r="A379" t="inlineStr">
        <is>
          <t>A 29707-2021</t>
        </is>
      </c>
      <c r="B379" s="1" t="n">
        <v>44362</v>
      </c>
      <c r="C379" s="1" t="n">
        <v>45718</v>
      </c>
      <c r="D379" t="inlineStr">
        <is>
          <t>JÄMTLANDS LÄN</t>
        </is>
      </c>
      <c r="E379" t="inlineStr">
        <is>
          <t>ÖSTERSUND</t>
        </is>
      </c>
      <c r="G379" t="n">
        <v>4</v>
      </c>
      <c r="H379" t="n">
        <v>0</v>
      </c>
      <c r="I379" t="n">
        <v>0</v>
      </c>
      <c r="J379" t="n">
        <v>0</v>
      </c>
      <c r="K379" t="n">
        <v>0</v>
      </c>
      <c r="L379" t="n">
        <v>0</v>
      </c>
      <c r="M379" t="n">
        <v>0</v>
      </c>
      <c r="N379" t="n">
        <v>0</v>
      </c>
      <c r="O379" t="n">
        <v>0</v>
      </c>
      <c r="P379" t="n">
        <v>0</v>
      </c>
      <c r="Q379" t="n">
        <v>0</v>
      </c>
      <c r="R379" s="2" t="inlineStr"/>
    </row>
    <row r="380" ht="15" customHeight="1">
      <c r="A380" t="inlineStr">
        <is>
          <t>A 31040-2021</t>
        </is>
      </c>
      <c r="B380" s="1" t="n">
        <v>44368</v>
      </c>
      <c r="C380" s="1" t="n">
        <v>45718</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32994-2021</t>
        </is>
      </c>
      <c r="B381" s="1" t="n">
        <v>44375</v>
      </c>
      <c r="C381" s="1" t="n">
        <v>45718</v>
      </c>
      <c r="D381" t="inlineStr">
        <is>
          <t>JÄMTLANDS LÄN</t>
        </is>
      </c>
      <c r="E381" t="inlineStr">
        <is>
          <t>ÖSTERSUND</t>
        </is>
      </c>
      <c r="G381" t="n">
        <v>0.1</v>
      </c>
      <c r="H381" t="n">
        <v>0</v>
      </c>
      <c r="I381" t="n">
        <v>0</v>
      </c>
      <c r="J381" t="n">
        <v>0</v>
      </c>
      <c r="K381" t="n">
        <v>0</v>
      </c>
      <c r="L381" t="n">
        <v>0</v>
      </c>
      <c r="M381" t="n">
        <v>0</v>
      </c>
      <c r="N381" t="n">
        <v>0</v>
      </c>
      <c r="O381" t="n">
        <v>0</v>
      </c>
      <c r="P381" t="n">
        <v>0</v>
      </c>
      <c r="Q381" t="n">
        <v>0</v>
      </c>
      <c r="R381" s="2" t="inlineStr"/>
    </row>
    <row r="382" ht="15" customHeight="1">
      <c r="A382" t="inlineStr">
        <is>
          <t>A 33004-2021</t>
        </is>
      </c>
      <c r="B382" s="1" t="n">
        <v>44375</v>
      </c>
      <c r="C382" s="1" t="n">
        <v>45718</v>
      </c>
      <c r="D382" t="inlineStr">
        <is>
          <t>JÄMTLANDS LÄN</t>
        </is>
      </c>
      <c r="E382" t="inlineStr">
        <is>
          <t>ÖSTERSUND</t>
        </is>
      </c>
      <c r="G382" t="n">
        <v>0.6</v>
      </c>
      <c r="H382" t="n">
        <v>0</v>
      </c>
      <c r="I382" t="n">
        <v>0</v>
      </c>
      <c r="J382" t="n">
        <v>0</v>
      </c>
      <c r="K382" t="n">
        <v>0</v>
      </c>
      <c r="L382" t="n">
        <v>0</v>
      </c>
      <c r="M382" t="n">
        <v>0</v>
      </c>
      <c r="N382" t="n">
        <v>0</v>
      </c>
      <c r="O382" t="n">
        <v>0</v>
      </c>
      <c r="P382" t="n">
        <v>0</v>
      </c>
      <c r="Q382" t="n">
        <v>0</v>
      </c>
      <c r="R382" s="2" t="inlineStr"/>
    </row>
    <row r="383" ht="15" customHeight="1">
      <c r="A383" t="inlineStr">
        <is>
          <t>A 32998-2021</t>
        </is>
      </c>
      <c r="B383" s="1" t="n">
        <v>44375</v>
      </c>
      <c r="C383" s="1" t="n">
        <v>45718</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32986-2021</t>
        </is>
      </c>
      <c r="B384" s="1" t="n">
        <v>44375</v>
      </c>
      <c r="C384" s="1" t="n">
        <v>45718</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33002-2021</t>
        </is>
      </c>
      <c r="B385" s="1" t="n">
        <v>44375</v>
      </c>
      <c r="C385" s="1" t="n">
        <v>45718</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32990-2021</t>
        </is>
      </c>
      <c r="B386" s="1" t="n">
        <v>44375</v>
      </c>
      <c r="C386" s="1" t="n">
        <v>45718</v>
      </c>
      <c r="D386" t="inlineStr">
        <is>
          <t>JÄMTLANDS LÄN</t>
        </is>
      </c>
      <c r="E386" t="inlineStr">
        <is>
          <t>ÖSTERSUND</t>
        </is>
      </c>
      <c r="G386" t="n">
        <v>0.2</v>
      </c>
      <c r="H386" t="n">
        <v>0</v>
      </c>
      <c r="I386" t="n">
        <v>0</v>
      </c>
      <c r="J386" t="n">
        <v>0</v>
      </c>
      <c r="K386" t="n">
        <v>0</v>
      </c>
      <c r="L386" t="n">
        <v>0</v>
      </c>
      <c r="M386" t="n">
        <v>0</v>
      </c>
      <c r="N386" t="n">
        <v>0</v>
      </c>
      <c r="O386" t="n">
        <v>0</v>
      </c>
      <c r="P386" t="n">
        <v>0</v>
      </c>
      <c r="Q386" t="n">
        <v>0</v>
      </c>
      <c r="R386" s="2" t="inlineStr"/>
    </row>
    <row r="387" ht="15" customHeight="1">
      <c r="A387" t="inlineStr">
        <is>
          <t>A 33831-2021</t>
        </is>
      </c>
      <c r="B387" s="1" t="n">
        <v>44378</v>
      </c>
      <c r="C387" s="1" t="n">
        <v>45718</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35032-2021</t>
        </is>
      </c>
      <c r="B388" s="1" t="n">
        <v>44383</v>
      </c>
      <c r="C388" s="1" t="n">
        <v>45718</v>
      </c>
      <c r="D388" t="inlineStr">
        <is>
          <t>JÄMTLANDS LÄN</t>
        </is>
      </c>
      <c r="E388" t="inlineStr">
        <is>
          <t>ÖSTERSUND</t>
        </is>
      </c>
      <c r="G388" t="n">
        <v>0.9</v>
      </c>
      <c r="H388" t="n">
        <v>0</v>
      </c>
      <c r="I388" t="n">
        <v>0</v>
      </c>
      <c r="J388" t="n">
        <v>0</v>
      </c>
      <c r="K388" t="n">
        <v>0</v>
      </c>
      <c r="L388" t="n">
        <v>0</v>
      </c>
      <c r="M388" t="n">
        <v>0</v>
      </c>
      <c r="N388" t="n">
        <v>0</v>
      </c>
      <c r="O388" t="n">
        <v>0</v>
      </c>
      <c r="P388" t="n">
        <v>0</v>
      </c>
      <c r="Q388" t="n">
        <v>0</v>
      </c>
      <c r="R388" s="2" t="inlineStr"/>
    </row>
    <row r="389" ht="15" customHeight="1">
      <c r="A389" t="inlineStr">
        <is>
          <t>A 35755-2021</t>
        </is>
      </c>
      <c r="B389" s="1" t="n">
        <v>44385</v>
      </c>
      <c r="C389" s="1" t="n">
        <v>45718</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38142-2021</t>
        </is>
      </c>
      <c r="B390" s="1" t="n">
        <v>44405</v>
      </c>
      <c r="C390" s="1" t="n">
        <v>45718</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38647-2021</t>
        </is>
      </c>
      <c r="B391" s="1" t="n">
        <v>44410</v>
      </c>
      <c r="C391" s="1" t="n">
        <v>45718</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38644-2021</t>
        </is>
      </c>
      <c r="B392" s="1" t="n">
        <v>44410</v>
      </c>
      <c r="C392" s="1" t="n">
        <v>45718</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39735-2021</t>
        </is>
      </c>
      <c r="B393" s="1" t="n">
        <v>44414</v>
      </c>
      <c r="C393" s="1" t="n">
        <v>45718</v>
      </c>
      <c r="D393" t="inlineStr">
        <is>
          <t>JÄMTLANDS LÄN</t>
        </is>
      </c>
      <c r="E393" t="inlineStr">
        <is>
          <t>ÖSTERSUND</t>
        </is>
      </c>
      <c r="G393" t="n">
        <v>4.5</v>
      </c>
      <c r="H393" t="n">
        <v>0</v>
      </c>
      <c r="I393" t="n">
        <v>0</v>
      </c>
      <c r="J393" t="n">
        <v>0</v>
      </c>
      <c r="K393" t="n">
        <v>0</v>
      </c>
      <c r="L393" t="n">
        <v>0</v>
      </c>
      <c r="M393" t="n">
        <v>0</v>
      </c>
      <c r="N393" t="n">
        <v>0</v>
      </c>
      <c r="O393" t="n">
        <v>0</v>
      </c>
      <c r="P393" t="n">
        <v>0</v>
      </c>
      <c r="Q393" t="n">
        <v>0</v>
      </c>
      <c r="R393" s="2" t="inlineStr"/>
    </row>
    <row r="394" ht="15" customHeight="1">
      <c r="A394" t="inlineStr">
        <is>
          <t>A 40038-2021</t>
        </is>
      </c>
      <c r="B394" s="1" t="n">
        <v>44418</v>
      </c>
      <c r="C394" s="1" t="n">
        <v>45718</v>
      </c>
      <c r="D394" t="inlineStr">
        <is>
          <t>JÄMTLANDS LÄN</t>
        </is>
      </c>
      <c r="E394" t="inlineStr">
        <is>
          <t>ÖSTERSUND</t>
        </is>
      </c>
      <c r="G394" t="n">
        <v>7</v>
      </c>
      <c r="H394" t="n">
        <v>0</v>
      </c>
      <c r="I394" t="n">
        <v>0</v>
      </c>
      <c r="J394" t="n">
        <v>0</v>
      </c>
      <c r="K394" t="n">
        <v>0</v>
      </c>
      <c r="L394" t="n">
        <v>0</v>
      </c>
      <c r="M394" t="n">
        <v>0</v>
      </c>
      <c r="N394" t="n">
        <v>0</v>
      </c>
      <c r="O394" t="n">
        <v>0</v>
      </c>
      <c r="P394" t="n">
        <v>0</v>
      </c>
      <c r="Q394" t="n">
        <v>0</v>
      </c>
      <c r="R394" s="2" t="inlineStr"/>
    </row>
    <row r="395" ht="15" customHeight="1">
      <c r="A395" t="inlineStr">
        <is>
          <t>A 41802-2021</t>
        </is>
      </c>
      <c r="B395" s="1" t="n">
        <v>44425</v>
      </c>
      <c r="C395" s="1" t="n">
        <v>45718</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42469-2021</t>
        </is>
      </c>
      <c r="B396" s="1" t="n">
        <v>44427</v>
      </c>
      <c r="C396" s="1" t="n">
        <v>45718</v>
      </c>
      <c r="D396" t="inlineStr">
        <is>
          <t>JÄMTLANDS LÄN</t>
        </is>
      </c>
      <c r="E396" t="inlineStr">
        <is>
          <t>ÖSTERSUND</t>
        </is>
      </c>
      <c r="G396" t="n">
        <v>1.5</v>
      </c>
      <c r="H396" t="n">
        <v>0</v>
      </c>
      <c r="I396" t="n">
        <v>0</v>
      </c>
      <c r="J396" t="n">
        <v>0</v>
      </c>
      <c r="K396" t="n">
        <v>0</v>
      </c>
      <c r="L396" t="n">
        <v>0</v>
      </c>
      <c r="M396" t="n">
        <v>0</v>
      </c>
      <c r="N396" t="n">
        <v>0</v>
      </c>
      <c r="O396" t="n">
        <v>0</v>
      </c>
      <c r="P396" t="n">
        <v>0</v>
      </c>
      <c r="Q396" t="n">
        <v>0</v>
      </c>
      <c r="R396" s="2" t="inlineStr"/>
    </row>
    <row r="397" ht="15" customHeight="1">
      <c r="A397" t="inlineStr">
        <is>
          <t>A 42793-2021</t>
        </is>
      </c>
      <c r="B397" s="1" t="n">
        <v>44428</v>
      </c>
      <c r="C397" s="1" t="n">
        <v>45718</v>
      </c>
      <c r="D397" t="inlineStr">
        <is>
          <t>JÄMTLANDS LÄN</t>
        </is>
      </c>
      <c r="E397" t="inlineStr">
        <is>
          <t>ÖSTERSUND</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42832-2021</t>
        </is>
      </c>
      <c r="B398" s="1" t="n">
        <v>44430</v>
      </c>
      <c r="C398" s="1" t="n">
        <v>45718</v>
      </c>
      <c r="D398" t="inlineStr">
        <is>
          <t>JÄMTLANDS LÄN</t>
        </is>
      </c>
      <c r="E398" t="inlineStr">
        <is>
          <t>ÖSTERSUND</t>
        </is>
      </c>
      <c r="G398" t="n">
        <v>9</v>
      </c>
      <c r="H398" t="n">
        <v>0</v>
      </c>
      <c r="I398" t="n">
        <v>0</v>
      </c>
      <c r="J398" t="n">
        <v>0</v>
      </c>
      <c r="K398" t="n">
        <v>0</v>
      </c>
      <c r="L398" t="n">
        <v>0</v>
      </c>
      <c r="M398" t="n">
        <v>0</v>
      </c>
      <c r="N398" t="n">
        <v>0</v>
      </c>
      <c r="O398" t="n">
        <v>0</v>
      </c>
      <c r="P398" t="n">
        <v>0</v>
      </c>
      <c r="Q398" t="n">
        <v>0</v>
      </c>
      <c r="R398" s="2" t="inlineStr"/>
    </row>
    <row r="399" ht="15" customHeight="1">
      <c r="A399" t="inlineStr">
        <is>
          <t>A 43310-2021</t>
        </is>
      </c>
      <c r="B399" s="1" t="n">
        <v>44432</v>
      </c>
      <c r="C399" s="1" t="n">
        <v>45718</v>
      </c>
      <c r="D399" t="inlineStr">
        <is>
          <t>JÄMTLANDS LÄN</t>
        </is>
      </c>
      <c r="E399" t="inlineStr">
        <is>
          <t>ÖSTERSUND</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44013-2021</t>
        </is>
      </c>
      <c r="B400" s="1" t="n">
        <v>44434</v>
      </c>
      <c r="C400" s="1" t="n">
        <v>45718</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44051-2021</t>
        </is>
      </c>
      <c r="B401" s="1" t="n">
        <v>44434</v>
      </c>
      <c r="C401" s="1" t="n">
        <v>45718</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44267-2021</t>
        </is>
      </c>
      <c r="B402" s="1" t="n">
        <v>44434</v>
      </c>
      <c r="C402" s="1" t="n">
        <v>45718</v>
      </c>
      <c r="D402" t="inlineStr">
        <is>
          <t>JÄMTLANDS LÄN</t>
        </is>
      </c>
      <c r="E402" t="inlineStr">
        <is>
          <t>ÖSTERSUND</t>
        </is>
      </c>
      <c r="G402" t="n">
        <v>1.1</v>
      </c>
      <c r="H402" t="n">
        <v>0</v>
      </c>
      <c r="I402" t="n">
        <v>0</v>
      </c>
      <c r="J402" t="n">
        <v>0</v>
      </c>
      <c r="K402" t="n">
        <v>0</v>
      </c>
      <c r="L402" t="n">
        <v>0</v>
      </c>
      <c r="M402" t="n">
        <v>0</v>
      </c>
      <c r="N402" t="n">
        <v>0</v>
      </c>
      <c r="O402" t="n">
        <v>0</v>
      </c>
      <c r="P402" t="n">
        <v>0</v>
      </c>
      <c r="Q402" t="n">
        <v>0</v>
      </c>
      <c r="R402" s="2" t="inlineStr"/>
    </row>
    <row r="403" ht="15" customHeight="1">
      <c r="A403" t="inlineStr">
        <is>
          <t>A 46002-2021</t>
        </is>
      </c>
      <c r="B403" s="1" t="n">
        <v>44441</v>
      </c>
      <c r="C403" s="1" t="n">
        <v>45718</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46004-2021</t>
        </is>
      </c>
      <c r="B404" s="1" t="n">
        <v>44441</v>
      </c>
      <c r="C404" s="1" t="n">
        <v>45718</v>
      </c>
      <c r="D404" t="inlineStr">
        <is>
          <t>JÄMTLANDS LÄN</t>
        </is>
      </c>
      <c r="E404" t="inlineStr">
        <is>
          <t>ÖSTERSUND</t>
        </is>
      </c>
      <c r="G404" t="n">
        <v>2.1</v>
      </c>
      <c r="H404" t="n">
        <v>0</v>
      </c>
      <c r="I404" t="n">
        <v>0</v>
      </c>
      <c r="J404" t="n">
        <v>0</v>
      </c>
      <c r="K404" t="n">
        <v>0</v>
      </c>
      <c r="L404" t="n">
        <v>0</v>
      </c>
      <c r="M404" t="n">
        <v>0</v>
      </c>
      <c r="N404" t="n">
        <v>0</v>
      </c>
      <c r="O404" t="n">
        <v>0</v>
      </c>
      <c r="P404" t="n">
        <v>0</v>
      </c>
      <c r="Q404" t="n">
        <v>0</v>
      </c>
      <c r="R404" s="2" t="inlineStr"/>
    </row>
    <row r="405" ht="15" customHeight="1">
      <c r="A405" t="inlineStr">
        <is>
          <t>A 46111-2021</t>
        </is>
      </c>
      <c r="B405" s="1" t="n">
        <v>44441</v>
      </c>
      <c r="C405" s="1" t="n">
        <v>45718</v>
      </c>
      <c r="D405" t="inlineStr">
        <is>
          <t>JÄMTLANDS LÄN</t>
        </is>
      </c>
      <c r="E405" t="inlineStr">
        <is>
          <t>ÖSTERSUND</t>
        </is>
      </c>
      <c r="G405" t="n">
        <v>4.6</v>
      </c>
      <c r="H405" t="n">
        <v>0</v>
      </c>
      <c r="I405" t="n">
        <v>0</v>
      </c>
      <c r="J405" t="n">
        <v>0</v>
      </c>
      <c r="K405" t="n">
        <v>0</v>
      </c>
      <c r="L405" t="n">
        <v>0</v>
      </c>
      <c r="M405" t="n">
        <v>0</v>
      </c>
      <c r="N405" t="n">
        <v>0</v>
      </c>
      <c r="O405" t="n">
        <v>0</v>
      </c>
      <c r="P405" t="n">
        <v>0</v>
      </c>
      <c r="Q405" t="n">
        <v>0</v>
      </c>
      <c r="R405" s="2" t="inlineStr"/>
    </row>
    <row r="406" ht="15" customHeight="1">
      <c r="A406" t="inlineStr">
        <is>
          <t>A 46139-2021</t>
        </is>
      </c>
      <c r="B406" s="1" t="n">
        <v>44441</v>
      </c>
      <c r="C406" s="1" t="n">
        <v>45718</v>
      </c>
      <c r="D406" t="inlineStr">
        <is>
          <t>JÄMTLANDS LÄN</t>
        </is>
      </c>
      <c r="E406" t="inlineStr">
        <is>
          <t>ÖSTERSUND</t>
        </is>
      </c>
      <c r="G406" t="n">
        <v>12.8</v>
      </c>
      <c r="H406" t="n">
        <v>0</v>
      </c>
      <c r="I406" t="n">
        <v>0</v>
      </c>
      <c r="J406" t="n">
        <v>0</v>
      </c>
      <c r="K406" t="n">
        <v>0</v>
      </c>
      <c r="L406" t="n">
        <v>0</v>
      </c>
      <c r="M406" t="n">
        <v>0</v>
      </c>
      <c r="N406" t="n">
        <v>0</v>
      </c>
      <c r="O406" t="n">
        <v>0</v>
      </c>
      <c r="P406" t="n">
        <v>0</v>
      </c>
      <c r="Q406" t="n">
        <v>0</v>
      </c>
      <c r="R406" s="2" t="inlineStr"/>
    </row>
    <row r="407" ht="15" customHeight="1">
      <c r="A407" t="inlineStr">
        <is>
          <t>A 48947-2021</t>
        </is>
      </c>
      <c r="B407" s="1" t="n">
        <v>44453</v>
      </c>
      <c r="C407" s="1" t="n">
        <v>45718</v>
      </c>
      <c r="D407" t="inlineStr">
        <is>
          <t>JÄMTLANDS LÄN</t>
        </is>
      </c>
      <c r="E407" t="inlineStr">
        <is>
          <t>ÖSTERSUND</t>
        </is>
      </c>
      <c r="G407" t="n">
        <v>22.3</v>
      </c>
      <c r="H407" t="n">
        <v>0</v>
      </c>
      <c r="I407" t="n">
        <v>0</v>
      </c>
      <c r="J407" t="n">
        <v>0</v>
      </c>
      <c r="K407" t="n">
        <v>0</v>
      </c>
      <c r="L407" t="n">
        <v>0</v>
      </c>
      <c r="M407" t="n">
        <v>0</v>
      </c>
      <c r="N407" t="n">
        <v>0</v>
      </c>
      <c r="O407" t="n">
        <v>0</v>
      </c>
      <c r="P407" t="n">
        <v>0</v>
      </c>
      <c r="Q407" t="n">
        <v>0</v>
      </c>
      <c r="R407" s="2" t="inlineStr"/>
    </row>
    <row r="408" ht="15" customHeight="1">
      <c r="A408" t="inlineStr">
        <is>
          <t>A 52913-2021</t>
        </is>
      </c>
      <c r="B408" s="1" t="n">
        <v>44466</v>
      </c>
      <c r="C408" s="1" t="n">
        <v>45718</v>
      </c>
      <c r="D408" t="inlineStr">
        <is>
          <t>JÄMTLANDS LÄN</t>
        </is>
      </c>
      <c r="E408" t="inlineStr">
        <is>
          <t>ÖSTERSUND</t>
        </is>
      </c>
      <c r="G408" t="n">
        <v>4.2</v>
      </c>
      <c r="H408" t="n">
        <v>0</v>
      </c>
      <c r="I408" t="n">
        <v>0</v>
      </c>
      <c r="J408" t="n">
        <v>0</v>
      </c>
      <c r="K408" t="n">
        <v>0</v>
      </c>
      <c r="L408" t="n">
        <v>0</v>
      </c>
      <c r="M408" t="n">
        <v>0</v>
      </c>
      <c r="N408" t="n">
        <v>0</v>
      </c>
      <c r="O408" t="n">
        <v>0</v>
      </c>
      <c r="P408" t="n">
        <v>0</v>
      </c>
      <c r="Q408" t="n">
        <v>0</v>
      </c>
      <c r="R408" s="2" t="inlineStr"/>
    </row>
    <row r="409" ht="15" customHeight="1">
      <c r="A409" t="inlineStr">
        <is>
          <t>A 55302-2021</t>
        </is>
      </c>
      <c r="B409" s="1" t="n">
        <v>44475</v>
      </c>
      <c r="C409" s="1" t="n">
        <v>45718</v>
      </c>
      <c r="D409" t="inlineStr">
        <is>
          <t>JÄMTLANDS LÄN</t>
        </is>
      </c>
      <c r="E409" t="inlineStr">
        <is>
          <t>ÖSTERSUND</t>
        </is>
      </c>
      <c r="G409" t="n">
        <v>0.3</v>
      </c>
      <c r="H409" t="n">
        <v>0</v>
      </c>
      <c r="I409" t="n">
        <v>0</v>
      </c>
      <c r="J409" t="n">
        <v>0</v>
      </c>
      <c r="K409" t="n">
        <v>0</v>
      </c>
      <c r="L409" t="n">
        <v>0</v>
      </c>
      <c r="M409" t="n">
        <v>0</v>
      </c>
      <c r="N409" t="n">
        <v>0</v>
      </c>
      <c r="O409" t="n">
        <v>0</v>
      </c>
      <c r="P409" t="n">
        <v>0</v>
      </c>
      <c r="Q409" t="n">
        <v>0</v>
      </c>
      <c r="R409" s="2" t="inlineStr"/>
    </row>
    <row r="410" ht="15" customHeight="1">
      <c r="A410" t="inlineStr">
        <is>
          <t>A 61631-2021</t>
        </is>
      </c>
      <c r="B410" s="1" t="n">
        <v>44501</v>
      </c>
      <c r="C410" s="1" t="n">
        <v>45718</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64092-2021</t>
        </is>
      </c>
      <c r="B411" s="1" t="n">
        <v>44510</v>
      </c>
      <c r="C411" s="1" t="n">
        <v>45718</v>
      </c>
      <c r="D411" t="inlineStr">
        <is>
          <t>JÄMTLANDS LÄN</t>
        </is>
      </c>
      <c r="E411" t="inlineStr">
        <is>
          <t>ÖSTERSUND</t>
        </is>
      </c>
      <c r="G411" t="n">
        <v>5.6</v>
      </c>
      <c r="H411" t="n">
        <v>0</v>
      </c>
      <c r="I411" t="n">
        <v>0</v>
      </c>
      <c r="J411" t="n">
        <v>0</v>
      </c>
      <c r="K411" t="n">
        <v>0</v>
      </c>
      <c r="L411" t="n">
        <v>0</v>
      </c>
      <c r="M411" t="n">
        <v>0</v>
      </c>
      <c r="N411" t="n">
        <v>0</v>
      </c>
      <c r="O411" t="n">
        <v>0</v>
      </c>
      <c r="P411" t="n">
        <v>0</v>
      </c>
      <c r="Q411" t="n">
        <v>0</v>
      </c>
      <c r="R411" s="2" t="inlineStr"/>
    </row>
    <row r="412" ht="15" customHeight="1">
      <c r="A412" t="inlineStr">
        <is>
          <t>A 64645-2021</t>
        </is>
      </c>
      <c r="B412" s="1" t="n">
        <v>44511</v>
      </c>
      <c r="C412" s="1" t="n">
        <v>45718</v>
      </c>
      <c r="D412" t="inlineStr">
        <is>
          <t>JÄMTLANDS LÄN</t>
        </is>
      </c>
      <c r="E412" t="inlineStr">
        <is>
          <t>ÖSTERSUND</t>
        </is>
      </c>
      <c r="G412" t="n">
        <v>3.2</v>
      </c>
      <c r="H412" t="n">
        <v>0</v>
      </c>
      <c r="I412" t="n">
        <v>0</v>
      </c>
      <c r="J412" t="n">
        <v>0</v>
      </c>
      <c r="K412" t="n">
        <v>0</v>
      </c>
      <c r="L412" t="n">
        <v>0</v>
      </c>
      <c r="M412" t="n">
        <v>0</v>
      </c>
      <c r="N412" t="n">
        <v>0</v>
      </c>
      <c r="O412" t="n">
        <v>0</v>
      </c>
      <c r="P412" t="n">
        <v>0</v>
      </c>
      <c r="Q412" t="n">
        <v>0</v>
      </c>
      <c r="R412" s="2" t="inlineStr"/>
    </row>
    <row r="413" ht="15" customHeight="1">
      <c r="A413" t="inlineStr">
        <is>
          <t>A 65428-2021</t>
        </is>
      </c>
      <c r="B413" s="1" t="n">
        <v>44515</v>
      </c>
      <c r="C413" s="1" t="n">
        <v>45718</v>
      </c>
      <c r="D413" t="inlineStr">
        <is>
          <t>JÄMTLANDS LÄN</t>
        </is>
      </c>
      <c r="E413" t="inlineStr">
        <is>
          <t>ÖSTERSUND</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65866-2021</t>
        </is>
      </c>
      <c r="B414" s="1" t="n">
        <v>44516</v>
      </c>
      <c r="C414" s="1" t="n">
        <v>45718</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65991-2021</t>
        </is>
      </c>
      <c r="B415" s="1" t="n">
        <v>44517</v>
      </c>
      <c r="C415" s="1" t="n">
        <v>45718</v>
      </c>
      <c r="D415" t="inlineStr">
        <is>
          <t>JÄMTLANDS LÄN</t>
        </is>
      </c>
      <c r="E415" t="inlineStr">
        <is>
          <t>ÖSTERSUND</t>
        </is>
      </c>
      <c r="G415" t="n">
        <v>4.3</v>
      </c>
      <c r="H415" t="n">
        <v>0</v>
      </c>
      <c r="I415" t="n">
        <v>0</v>
      </c>
      <c r="J415" t="n">
        <v>0</v>
      </c>
      <c r="K415" t="n">
        <v>0</v>
      </c>
      <c r="L415" t="n">
        <v>0</v>
      </c>
      <c r="M415" t="n">
        <v>0</v>
      </c>
      <c r="N415" t="n">
        <v>0</v>
      </c>
      <c r="O415" t="n">
        <v>0</v>
      </c>
      <c r="P415" t="n">
        <v>0</v>
      </c>
      <c r="Q415" t="n">
        <v>0</v>
      </c>
      <c r="R415" s="2" t="inlineStr"/>
    </row>
    <row r="416" ht="15" customHeight="1">
      <c r="A416" t="inlineStr">
        <is>
          <t>A 66940-2021</t>
        </is>
      </c>
      <c r="B416" s="1" t="n">
        <v>44522</v>
      </c>
      <c r="C416" s="1" t="n">
        <v>45718</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67695-2021</t>
        </is>
      </c>
      <c r="B417" s="1" t="n">
        <v>44524</v>
      </c>
      <c r="C417" s="1" t="n">
        <v>45718</v>
      </c>
      <c r="D417" t="inlineStr">
        <is>
          <t>JÄMTLANDS LÄN</t>
        </is>
      </c>
      <c r="E417" t="inlineStr">
        <is>
          <t>ÖSTERSUND</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67694-2021</t>
        </is>
      </c>
      <c r="B418" s="1" t="n">
        <v>44524</v>
      </c>
      <c r="C418" s="1" t="n">
        <v>45718</v>
      </c>
      <c r="D418" t="inlineStr">
        <is>
          <t>JÄMTLANDS LÄN</t>
        </is>
      </c>
      <c r="E418" t="inlineStr">
        <is>
          <t>ÖSTERSUND</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69190-2021</t>
        </is>
      </c>
      <c r="B419" s="1" t="n">
        <v>44529</v>
      </c>
      <c r="C419" s="1" t="n">
        <v>45718</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70256-2021</t>
        </is>
      </c>
      <c r="B420" s="1" t="n">
        <v>44533</v>
      </c>
      <c r="C420" s="1" t="n">
        <v>45718</v>
      </c>
      <c r="D420" t="inlineStr">
        <is>
          <t>JÄMTLANDS LÄN</t>
        </is>
      </c>
      <c r="E420" t="inlineStr">
        <is>
          <t>ÖSTERSUND</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70678-2021</t>
        </is>
      </c>
      <c r="B421" s="1" t="n">
        <v>44537</v>
      </c>
      <c r="C421" s="1" t="n">
        <v>45718</v>
      </c>
      <c r="D421" t="inlineStr">
        <is>
          <t>JÄMTLANDS LÄN</t>
        </is>
      </c>
      <c r="E421" t="inlineStr">
        <is>
          <t>ÖSTERSUND</t>
        </is>
      </c>
      <c r="G421" t="n">
        <v>21</v>
      </c>
      <c r="H421" t="n">
        <v>0</v>
      </c>
      <c r="I421" t="n">
        <v>0</v>
      </c>
      <c r="J421" t="n">
        <v>0</v>
      </c>
      <c r="K421" t="n">
        <v>0</v>
      </c>
      <c r="L421" t="n">
        <v>0</v>
      </c>
      <c r="M421" t="n">
        <v>0</v>
      </c>
      <c r="N421" t="n">
        <v>0</v>
      </c>
      <c r="O421" t="n">
        <v>0</v>
      </c>
      <c r="P421" t="n">
        <v>0</v>
      </c>
      <c r="Q421" t="n">
        <v>0</v>
      </c>
      <c r="R421" s="2" t="inlineStr"/>
    </row>
    <row r="422" ht="15" customHeight="1">
      <c r="A422" t="inlineStr">
        <is>
          <t>A 70816-2021</t>
        </is>
      </c>
      <c r="B422" s="1" t="n">
        <v>44537</v>
      </c>
      <c r="C422" s="1" t="n">
        <v>45718</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71823-2021</t>
        </is>
      </c>
      <c r="B423" s="1" t="n">
        <v>44539</v>
      </c>
      <c r="C423" s="1" t="n">
        <v>45718</v>
      </c>
      <c r="D423" t="inlineStr">
        <is>
          <t>JÄMTLANDS LÄN</t>
        </is>
      </c>
      <c r="E423" t="inlineStr">
        <is>
          <t>ÖSTERSUND</t>
        </is>
      </c>
      <c r="G423" t="n">
        <v>10.5</v>
      </c>
      <c r="H423" t="n">
        <v>0</v>
      </c>
      <c r="I423" t="n">
        <v>0</v>
      </c>
      <c r="J423" t="n">
        <v>0</v>
      </c>
      <c r="K423" t="n">
        <v>0</v>
      </c>
      <c r="L423" t="n">
        <v>0</v>
      </c>
      <c r="M423" t="n">
        <v>0</v>
      </c>
      <c r="N423" t="n">
        <v>0</v>
      </c>
      <c r="O423" t="n">
        <v>0</v>
      </c>
      <c r="P423" t="n">
        <v>0</v>
      </c>
      <c r="Q423" t="n">
        <v>0</v>
      </c>
      <c r="R423" s="2" t="inlineStr"/>
    </row>
    <row r="424" ht="15" customHeight="1">
      <c r="A424" t="inlineStr">
        <is>
          <t>A 72089-2021</t>
        </is>
      </c>
      <c r="B424" s="1" t="n">
        <v>44540</v>
      </c>
      <c r="C424" s="1" t="n">
        <v>45718</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72041-2021</t>
        </is>
      </c>
      <c r="B425" s="1" t="n">
        <v>44540</v>
      </c>
      <c r="C425" s="1" t="n">
        <v>45718</v>
      </c>
      <c r="D425" t="inlineStr">
        <is>
          <t>JÄMTLANDS LÄN</t>
        </is>
      </c>
      <c r="E425" t="inlineStr">
        <is>
          <t>ÖSTERSUND</t>
        </is>
      </c>
      <c r="G425" t="n">
        <v>0.4</v>
      </c>
      <c r="H425" t="n">
        <v>0</v>
      </c>
      <c r="I425" t="n">
        <v>0</v>
      </c>
      <c r="J425" t="n">
        <v>0</v>
      </c>
      <c r="K425" t="n">
        <v>0</v>
      </c>
      <c r="L425" t="n">
        <v>0</v>
      </c>
      <c r="M425" t="n">
        <v>0</v>
      </c>
      <c r="N425" t="n">
        <v>0</v>
      </c>
      <c r="O425" t="n">
        <v>0</v>
      </c>
      <c r="P425" t="n">
        <v>0</v>
      </c>
      <c r="Q425" t="n">
        <v>0</v>
      </c>
      <c r="R425" s="2" t="inlineStr"/>
    </row>
    <row r="426" ht="15" customHeight="1">
      <c r="A426" t="inlineStr">
        <is>
          <t>A 72258-2021</t>
        </is>
      </c>
      <c r="B426" s="1" t="n">
        <v>44540</v>
      </c>
      <c r="C426" s="1" t="n">
        <v>45718</v>
      </c>
      <c r="D426" t="inlineStr">
        <is>
          <t>JÄMTLANDS LÄN</t>
        </is>
      </c>
      <c r="E426" t="inlineStr">
        <is>
          <t>ÖSTERSUND</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72061-2021</t>
        </is>
      </c>
      <c r="B427" s="1" t="n">
        <v>44540</v>
      </c>
      <c r="C427" s="1" t="n">
        <v>45718</v>
      </c>
      <c r="D427" t="inlineStr">
        <is>
          <t>JÄMTLANDS LÄN</t>
        </is>
      </c>
      <c r="E427" t="inlineStr">
        <is>
          <t>ÖSTERSUND</t>
        </is>
      </c>
      <c r="G427" t="n">
        <v>5.3</v>
      </c>
      <c r="H427" t="n">
        <v>0</v>
      </c>
      <c r="I427" t="n">
        <v>0</v>
      </c>
      <c r="J427" t="n">
        <v>0</v>
      </c>
      <c r="K427" t="n">
        <v>0</v>
      </c>
      <c r="L427" t="n">
        <v>0</v>
      </c>
      <c r="M427" t="n">
        <v>0</v>
      </c>
      <c r="N427" t="n">
        <v>0</v>
      </c>
      <c r="O427" t="n">
        <v>0</v>
      </c>
      <c r="P427" t="n">
        <v>0</v>
      </c>
      <c r="Q427" t="n">
        <v>0</v>
      </c>
      <c r="R427" s="2" t="inlineStr"/>
    </row>
    <row r="428" ht="15" customHeight="1">
      <c r="A428" t="inlineStr">
        <is>
          <t>A 71956-2021</t>
        </is>
      </c>
      <c r="B428" s="1" t="n">
        <v>44544</v>
      </c>
      <c r="C428" s="1" t="n">
        <v>45718</v>
      </c>
      <c r="D428" t="inlineStr">
        <is>
          <t>JÄMTLANDS LÄN</t>
        </is>
      </c>
      <c r="E428" t="inlineStr">
        <is>
          <t>ÖSTERSUND</t>
        </is>
      </c>
      <c r="G428" t="n">
        <v>0.8</v>
      </c>
      <c r="H428" t="n">
        <v>0</v>
      </c>
      <c r="I428" t="n">
        <v>0</v>
      </c>
      <c r="J428" t="n">
        <v>0</v>
      </c>
      <c r="K428" t="n">
        <v>0</v>
      </c>
      <c r="L428" t="n">
        <v>0</v>
      </c>
      <c r="M428" t="n">
        <v>0</v>
      </c>
      <c r="N428" t="n">
        <v>0</v>
      </c>
      <c r="O428" t="n">
        <v>0</v>
      </c>
      <c r="P428" t="n">
        <v>0</v>
      </c>
      <c r="Q428" t="n">
        <v>0</v>
      </c>
      <c r="R428" s="2" t="inlineStr"/>
    </row>
    <row r="429" ht="15" customHeight="1">
      <c r="A429" t="inlineStr">
        <is>
          <t>A 72938-2021</t>
        </is>
      </c>
      <c r="B429" s="1" t="n">
        <v>44547</v>
      </c>
      <c r="C429" s="1" t="n">
        <v>45718</v>
      </c>
      <c r="D429" t="inlineStr">
        <is>
          <t>JÄMTLANDS LÄN</t>
        </is>
      </c>
      <c r="E429" t="inlineStr">
        <is>
          <t>ÖSTERSUND</t>
        </is>
      </c>
      <c r="G429" t="n">
        <v>4.5</v>
      </c>
      <c r="H429" t="n">
        <v>0</v>
      </c>
      <c r="I429" t="n">
        <v>0</v>
      </c>
      <c r="J429" t="n">
        <v>0</v>
      </c>
      <c r="K429" t="n">
        <v>0</v>
      </c>
      <c r="L429" t="n">
        <v>0</v>
      </c>
      <c r="M429" t="n">
        <v>0</v>
      </c>
      <c r="N429" t="n">
        <v>0</v>
      </c>
      <c r="O429" t="n">
        <v>0</v>
      </c>
      <c r="P429" t="n">
        <v>0</v>
      </c>
      <c r="Q429" t="n">
        <v>0</v>
      </c>
      <c r="R429" s="2" t="inlineStr"/>
    </row>
    <row r="430" ht="15" customHeight="1">
      <c r="A430" t="inlineStr">
        <is>
          <t>A 73078-2021</t>
        </is>
      </c>
      <c r="B430" s="1" t="n">
        <v>44550</v>
      </c>
      <c r="C430" s="1" t="n">
        <v>45718</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73066-2021</t>
        </is>
      </c>
      <c r="B431" s="1" t="n">
        <v>44550</v>
      </c>
      <c r="C431" s="1" t="n">
        <v>45718</v>
      </c>
      <c r="D431" t="inlineStr">
        <is>
          <t>JÄMTLANDS LÄN</t>
        </is>
      </c>
      <c r="E431" t="inlineStr">
        <is>
          <t>ÖSTERSUND</t>
        </is>
      </c>
      <c r="G431" t="n">
        <v>2.9</v>
      </c>
      <c r="H431" t="n">
        <v>0</v>
      </c>
      <c r="I431" t="n">
        <v>0</v>
      </c>
      <c r="J431" t="n">
        <v>0</v>
      </c>
      <c r="K431" t="n">
        <v>0</v>
      </c>
      <c r="L431" t="n">
        <v>0</v>
      </c>
      <c r="M431" t="n">
        <v>0</v>
      </c>
      <c r="N431" t="n">
        <v>0</v>
      </c>
      <c r="O431" t="n">
        <v>0</v>
      </c>
      <c r="P431" t="n">
        <v>0</v>
      </c>
      <c r="Q431" t="n">
        <v>0</v>
      </c>
      <c r="R431" s="2" t="inlineStr"/>
    </row>
    <row r="432" ht="15" customHeight="1">
      <c r="A432" t="inlineStr">
        <is>
          <t>A 73875-2021</t>
        </is>
      </c>
      <c r="B432" s="1" t="n">
        <v>44553</v>
      </c>
      <c r="C432" s="1" t="n">
        <v>45718</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73870-2021</t>
        </is>
      </c>
      <c r="B433" s="1" t="n">
        <v>44553</v>
      </c>
      <c r="C433" s="1" t="n">
        <v>45718</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154-2022</t>
        </is>
      </c>
      <c r="B434" s="1" t="n">
        <v>44561</v>
      </c>
      <c r="C434" s="1" t="n">
        <v>45718</v>
      </c>
      <c r="D434" t="inlineStr">
        <is>
          <t>JÄMTLANDS LÄN</t>
        </is>
      </c>
      <c r="E434" t="inlineStr">
        <is>
          <t>ÖSTERSUND</t>
        </is>
      </c>
      <c r="G434" t="n">
        <v>4.2</v>
      </c>
      <c r="H434" t="n">
        <v>0</v>
      </c>
      <c r="I434" t="n">
        <v>0</v>
      </c>
      <c r="J434" t="n">
        <v>0</v>
      </c>
      <c r="K434" t="n">
        <v>0</v>
      </c>
      <c r="L434" t="n">
        <v>0</v>
      </c>
      <c r="M434" t="n">
        <v>0</v>
      </c>
      <c r="N434" t="n">
        <v>0</v>
      </c>
      <c r="O434" t="n">
        <v>0</v>
      </c>
      <c r="P434" t="n">
        <v>0</v>
      </c>
      <c r="Q434" t="n">
        <v>0</v>
      </c>
      <c r="R434" s="2" t="inlineStr"/>
    </row>
    <row r="435" ht="15" customHeight="1">
      <c r="A435" t="inlineStr">
        <is>
          <t>A 231-2022</t>
        </is>
      </c>
      <c r="B435" s="1" t="n">
        <v>44564</v>
      </c>
      <c r="C435" s="1" t="n">
        <v>45718</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681-2022</t>
        </is>
      </c>
      <c r="B436" s="1" t="n">
        <v>44566</v>
      </c>
      <c r="C436" s="1" t="n">
        <v>45718</v>
      </c>
      <c r="D436" t="inlineStr">
        <is>
          <t>JÄMTLANDS LÄN</t>
        </is>
      </c>
      <c r="E436" t="inlineStr">
        <is>
          <t>ÖSTERSUND</t>
        </is>
      </c>
      <c r="G436" t="n">
        <v>2.3</v>
      </c>
      <c r="H436" t="n">
        <v>0</v>
      </c>
      <c r="I436" t="n">
        <v>0</v>
      </c>
      <c r="J436" t="n">
        <v>0</v>
      </c>
      <c r="K436" t="n">
        <v>0</v>
      </c>
      <c r="L436" t="n">
        <v>0</v>
      </c>
      <c r="M436" t="n">
        <v>0</v>
      </c>
      <c r="N436" t="n">
        <v>0</v>
      </c>
      <c r="O436" t="n">
        <v>0</v>
      </c>
      <c r="P436" t="n">
        <v>0</v>
      </c>
      <c r="Q436" t="n">
        <v>0</v>
      </c>
      <c r="R436" s="2" t="inlineStr"/>
    </row>
    <row r="437" ht="15" customHeight="1">
      <c r="A437" t="inlineStr">
        <is>
          <t>A 695-2022</t>
        </is>
      </c>
      <c r="B437" s="1" t="n">
        <v>44566</v>
      </c>
      <c r="C437" s="1" t="n">
        <v>45718</v>
      </c>
      <c r="D437" t="inlineStr">
        <is>
          <t>JÄMTLANDS LÄN</t>
        </is>
      </c>
      <c r="E437" t="inlineStr">
        <is>
          <t>ÖSTERSUND</t>
        </is>
      </c>
      <c r="G437" t="n">
        <v>14.9</v>
      </c>
      <c r="H437" t="n">
        <v>0</v>
      </c>
      <c r="I437" t="n">
        <v>0</v>
      </c>
      <c r="J437" t="n">
        <v>0</v>
      </c>
      <c r="K437" t="n">
        <v>0</v>
      </c>
      <c r="L437" t="n">
        <v>0</v>
      </c>
      <c r="M437" t="n">
        <v>0</v>
      </c>
      <c r="N437" t="n">
        <v>0</v>
      </c>
      <c r="O437" t="n">
        <v>0</v>
      </c>
      <c r="P437" t="n">
        <v>0</v>
      </c>
      <c r="Q437" t="n">
        <v>0</v>
      </c>
      <c r="R437" s="2" t="inlineStr"/>
    </row>
    <row r="438" ht="15" customHeight="1">
      <c r="A438" t="inlineStr">
        <is>
          <t>A 2431-2022</t>
        </is>
      </c>
      <c r="B438" s="1" t="n">
        <v>44579</v>
      </c>
      <c r="C438" s="1" t="n">
        <v>45718</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2763-2022</t>
        </is>
      </c>
      <c r="B439" s="1" t="n">
        <v>44580</v>
      </c>
      <c r="C439" s="1" t="n">
        <v>45718</v>
      </c>
      <c r="D439" t="inlineStr">
        <is>
          <t>JÄMTLANDS LÄN</t>
        </is>
      </c>
      <c r="E439" t="inlineStr">
        <is>
          <t>ÖSTERSUND</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2880-2022</t>
        </is>
      </c>
      <c r="B440" s="1" t="n">
        <v>44581</v>
      </c>
      <c r="C440" s="1" t="n">
        <v>45718</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3016-2022</t>
        </is>
      </c>
      <c r="B441" s="1" t="n">
        <v>44581</v>
      </c>
      <c r="C441" s="1" t="n">
        <v>45718</v>
      </c>
      <c r="D441" t="inlineStr">
        <is>
          <t>JÄMTLANDS LÄN</t>
        </is>
      </c>
      <c r="E441" t="inlineStr">
        <is>
          <t>ÖSTERSUND</t>
        </is>
      </c>
      <c r="G441" t="n">
        <v>3.3</v>
      </c>
      <c r="H441" t="n">
        <v>0</v>
      </c>
      <c r="I441" t="n">
        <v>0</v>
      </c>
      <c r="J441" t="n">
        <v>0</v>
      </c>
      <c r="K441" t="n">
        <v>0</v>
      </c>
      <c r="L441" t="n">
        <v>0</v>
      </c>
      <c r="M441" t="n">
        <v>0</v>
      </c>
      <c r="N441" t="n">
        <v>0</v>
      </c>
      <c r="O441" t="n">
        <v>0</v>
      </c>
      <c r="P441" t="n">
        <v>0</v>
      </c>
      <c r="Q441" t="n">
        <v>0</v>
      </c>
      <c r="R441" s="2" t="inlineStr"/>
    </row>
    <row r="442" ht="15" customHeight="1">
      <c r="A442" t="inlineStr">
        <is>
          <t>A 5145-2022</t>
        </is>
      </c>
      <c r="B442" s="1" t="n">
        <v>44594</v>
      </c>
      <c r="C442" s="1" t="n">
        <v>45718</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5670-2022</t>
        </is>
      </c>
      <c r="B443" s="1" t="n">
        <v>44595</v>
      </c>
      <c r="C443" s="1" t="n">
        <v>45718</v>
      </c>
      <c r="D443" t="inlineStr">
        <is>
          <t>JÄMTLANDS LÄN</t>
        </is>
      </c>
      <c r="E443" t="inlineStr">
        <is>
          <t>ÖSTERSUND</t>
        </is>
      </c>
      <c r="G443" t="n">
        <v>2.7</v>
      </c>
      <c r="H443" t="n">
        <v>0</v>
      </c>
      <c r="I443" t="n">
        <v>0</v>
      </c>
      <c r="J443" t="n">
        <v>0</v>
      </c>
      <c r="K443" t="n">
        <v>0</v>
      </c>
      <c r="L443" t="n">
        <v>0</v>
      </c>
      <c r="M443" t="n">
        <v>0</v>
      </c>
      <c r="N443" t="n">
        <v>0</v>
      </c>
      <c r="O443" t="n">
        <v>0</v>
      </c>
      <c r="P443" t="n">
        <v>0</v>
      </c>
      <c r="Q443" t="n">
        <v>0</v>
      </c>
      <c r="R443" s="2" t="inlineStr"/>
    </row>
    <row r="444" ht="15" customHeight="1">
      <c r="A444" t="inlineStr">
        <is>
          <t>A 6013-2022</t>
        </is>
      </c>
      <c r="B444" s="1" t="n">
        <v>44599</v>
      </c>
      <c r="C444" s="1" t="n">
        <v>45718</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6458-2022</t>
        </is>
      </c>
      <c r="B445" s="1" t="n">
        <v>44601</v>
      </c>
      <c r="C445" s="1" t="n">
        <v>45718</v>
      </c>
      <c r="D445" t="inlineStr">
        <is>
          <t>JÄMTLANDS LÄN</t>
        </is>
      </c>
      <c r="E445" t="inlineStr">
        <is>
          <t>ÖSTERSUND</t>
        </is>
      </c>
      <c r="G445" t="n">
        <v>3.1</v>
      </c>
      <c r="H445" t="n">
        <v>0</v>
      </c>
      <c r="I445" t="n">
        <v>0</v>
      </c>
      <c r="J445" t="n">
        <v>0</v>
      </c>
      <c r="K445" t="n">
        <v>0</v>
      </c>
      <c r="L445" t="n">
        <v>0</v>
      </c>
      <c r="M445" t="n">
        <v>0</v>
      </c>
      <c r="N445" t="n">
        <v>0</v>
      </c>
      <c r="O445" t="n">
        <v>0</v>
      </c>
      <c r="P445" t="n">
        <v>0</v>
      </c>
      <c r="Q445" t="n">
        <v>0</v>
      </c>
      <c r="R445" s="2" t="inlineStr"/>
    </row>
    <row r="446" ht="15" customHeight="1">
      <c r="A446" t="inlineStr">
        <is>
          <t>A 7573-2022</t>
        </is>
      </c>
      <c r="B446" s="1" t="n">
        <v>44607</v>
      </c>
      <c r="C446" s="1" t="n">
        <v>45718</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8027-2022</t>
        </is>
      </c>
      <c r="B447" s="1" t="n">
        <v>44609</v>
      </c>
      <c r="C447" s="1" t="n">
        <v>45718</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8227-2022</t>
        </is>
      </c>
      <c r="B448" s="1" t="n">
        <v>44609</v>
      </c>
      <c r="C448" s="1" t="n">
        <v>45718</v>
      </c>
      <c r="D448" t="inlineStr">
        <is>
          <t>JÄMTLANDS LÄN</t>
        </is>
      </c>
      <c r="E448" t="inlineStr">
        <is>
          <t>ÖSTERSUND</t>
        </is>
      </c>
      <c r="G448" t="n">
        <v>6.6</v>
      </c>
      <c r="H448" t="n">
        <v>0</v>
      </c>
      <c r="I448" t="n">
        <v>0</v>
      </c>
      <c r="J448" t="n">
        <v>0</v>
      </c>
      <c r="K448" t="n">
        <v>0</v>
      </c>
      <c r="L448" t="n">
        <v>0</v>
      </c>
      <c r="M448" t="n">
        <v>0</v>
      </c>
      <c r="N448" t="n">
        <v>0</v>
      </c>
      <c r="O448" t="n">
        <v>0</v>
      </c>
      <c r="P448" t="n">
        <v>0</v>
      </c>
      <c r="Q448" t="n">
        <v>0</v>
      </c>
      <c r="R448" s="2" t="inlineStr"/>
    </row>
    <row r="449" ht="15" customHeight="1">
      <c r="A449" t="inlineStr">
        <is>
          <t>A 8647-2022</t>
        </is>
      </c>
      <c r="B449" s="1" t="n">
        <v>44613</v>
      </c>
      <c r="C449" s="1" t="n">
        <v>45718</v>
      </c>
      <c r="D449" t="inlineStr">
        <is>
          <t>JÄMTLANDS LÄN</t>
        </is>
      </c>
      <c r="E449" t="inlineStr">
        <is>
          <t>ÖSTERSUND</t>
        </is>
      </c>
      <c r="G449" t="n">
        <v>1.1</v>
      </c>
      <c r="H449" t="n">
        <v>0</v>
      </c>
      <c r="I449" t="n">
        <v>0</v>
      </c>
      <c r="J449" t="n">
        <v>0</v>
      </c>
      <c r="K449" t="n">
        <v>0</v>
      </c>
      <c r="L449" t="n">
        <v>0</v>
      </c>
      <c r="M449" t="n">
        <v>0</v>
      </c>
      <c r="N449" t="n">
        <v>0</v>
      </c>
      <c r="O449" t="n">
        <v>0</v>
      </c>
      <c r="P449" t="n">
        <v>0</v>
      </c>
      <c r="Q449" t="n">
        <v>0</v>
      </c>
      <c r="R449" s="2" t="inlineStr"/>
    </row>
    <row r="450" ht="15" customHeight="1">
      <c r="A450" t="inlineStr">
        <is>
          <t>A 8972-2022</t>
        </is>
      </c>
      <c r="B450" s="1" t="n">
        <v>44614</v>
      </c>
      <c r="C450" s="1" t="n">
        <v>45718</v>
      </c>
      <c r="D450" t="inlineStr">
        <is>
          <t>JÄMTLANDS LÄN</t>
        </is>
      </c>
      <c r="E450" t="inlineStr">
        <is>
          <t>ÖSTERSUND</t>
        </is>
      </c>
      <c r="G450" t="n">
        <v>0.8</v>
      </c>
      <c r="H450" t="n">
        <v>0</v>
      </c>
      <c r="I450" t="n">
        <v>0</v>
      </c>
      <c r="J450" t="n">
        <v>0</v>
      </c>
      <c r="K450" t="n">
        <v>0</v>
      </c>
      <c r="L450" t="n">
        <v>0</v>
      </c>
      <c r="M450" t="n">
        <v>0</v>
      </c>
      <c r="N450" t="n">
        <v>0</v>
      </c>
      <c r="O450" t="n">
        <v>0</v>
      </c>
      <c r="P450" t="n">
        <v>0</v>
      </c>
      <c r="Q450" t="n">
        <v>0</v>
      </c>
      <c r="R450" s="2" t="inlineStr"/>
    </row>
    <row r="451" ht="15" customHeight="1">
      <c r="A451" t="inlineStr">
        <is>
          <t>A 11740-2022</t>
        </is>
      </c>
      <c r="B451" s="1" t="n">
        <v>44634</v>
      </c>
      <c r="C451" s="1" t="n">
        <v>45718</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11933-2022</t>
        </is>
      </c>
      <c r="B452" s="1" t="n">
        <v>44635</v>
      </c>
      <c r="C452" s="1" t="n">
        <v>45718</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12301-2022</t>
        </is>
      </c>
      <c r="B453" s="1" t="n">
        <v>44637</v>
      </c>
      <c r="C453" s="1" t="n">
        <v>45718</v>
      </c>
      <c r="D453" t="inlineStr">
        <is>
          <t>JÄMTLANDS LÄN</t>
        </is>
      </c>
      <c r="E453" t="inlineStr">
        <is>
          <t>ÖSTERSUND</t>
        </is>
      </c>
      <c r="G453" t="n">
        <v>5.8</v>
      </c>
      <c r="H453" t="n">
        <v>0</v>
      </c>
      <c r="I453" t="n">
        <v>0</v>
      </c>
      <c r="J453" t="n">
        <v>0</v>
      </c>
      <c r="K453" t="n">
        <v>0</v>
      </c>
      <c r="L453" t="n">
        <v>0</v>
      </c>
      <c r="M453" t="n">
        <v>0</v>
      </c>
      <c r="N453" t="n">
        <v>0</v>
      </c>
      <c r="O453" t="n">
        <v>0</v>
      </c>
      <c r="P453" t="n">
        <v>0</v>
      </c>
      <c r="Q453" t="n">
        <v>0</v>
      </c>
      <c r="R453" s="2" t="inlineStr"/>
    </row>
    <row r="454" ht="15" customHeight="1">
      <c r="A454" t="inlineStr">
        <is>
          <t>A 12285-2022</t>
        </is>
      </c>
      <c r="B454" s="1" t="n">
        <v>44637</v>
      </c>
      <c r="C454" s="1" t="n">
        <v>45718</v>
      </c>
      <c r="D454" t="inlineStr">
        <is>
          <t>JÄMTLANDS LÄN</t>
        </is>
      </c>
      <c r="E454" t="inlineStr">
        <is>
          <t>ÖSTERSUND</t>
        </is>
      </c>
      <c r="G454" t="n">
        <v>1.4</v>
      </c>
      <c r="H454" t="n">
        <v>0</v>
      </c>
      <c r="I454" t="n">
        <v>0</v>
      </c>
      <c r="J454" t="n">
        <v>0</v>
      </c>
      <c r="K454" t="n">
        <v>0</v>
      </c>
      <c r="L454" t="n">
        <v>0</v>
      </c>
      <c r="M454" t="n">
        <v>0</v>
      </c>
      <c r="N454" t="n">
        <v>0</v>
      </c>
      <c r="O454" t="n">
        <v>0</v>
      </c>
      <c r="P454" t="n">
        <v>0</v>
      </c>
      <c r="Q454" t="n">
        <v>0</v>
      </c>
      <c r="R454" s="2" t="inlineStr"/>
    </row>
    <row r="455" ht="15" customHeight="1">
      <c r="A455" t="inlineStr">
        <is>
          <t>A 12946-2022</t>
        </is>
      </c>
      <c r="B455" s="1" t="n">
        <v>44642</v>
      </c>
      <c r="C455" s="1" t="n">
        <v>45718</v>
      </c>
      <c r="D455" t="inlineStr">
        <is>
          <t>JÄMTLANDS LÄN</t>
        </is>
      </c>
      <c r="E455" t="inlineStr">
        <is>
          <t>ÖSTERSUND</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13024-2022</t>
        </is>
      </c>
      <c r="B456" s="1" t="n">
        <v>44643</v>
      </c>
      <c r="C456" s="1" t="n">
        <v>45718</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14653-2022</t>
        </is>
      </c>
      <c r="B457" s="1" t="n">
        <v>44655</v>
      </c>
      <c r="C457" s="1" t="n">
        <v>45718</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14657-2022</t>
        </is>
      </c>
      <c r="B458" s="1" t="n">
        <v>44655</v>
      </c>
      <c r="C458" s="1" t="n">
        <v>45718</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14658-2022</t>
        </is>
      </c>
      <c r="B459" s="1" t="n">
        <v>44655</v>
      </c>
      <c r="C459" s="1" t="n">
        <v>45718</v>
      </c>
      <c r="D459" t="inlineStr">
        <is>
          <t>JÄMTLANDS LÄN</t>
        </is>
      </c>
      <c r="E459" t="inlineStr">
        <is>
          <t>ÖSTERSUND</t>
        </is>
      </c>
      <c r="G459" t="n">
        <v>1.3</v>
      </c>
      <c r="H459" t="n">
        <v>0</v>
      </c>
      <c r="I459" t="n">
        <v>0</v>
      </c>
      <c r="J459" t="n">
        <v>0</v>
      </c>
      <c r="K459" t="n">
        <v>0</v>
      </c>
      <c r="L459" t="n">
        <v>0</v>
      </c>
      <c r="M459" t="n">
        <v>0</v>
      </c>
      <c r="N459" t="n">
        <v>0</v>
      </c>
      <c r="O459" t="n">
        <v>0</v>
      </c>
      <c r="P459" t="n">
        <v>0</v>
      </c>
      <c r="Q459" t="n">
        <v>0</v>
      </c>
      <c r="R459" s="2" t="inlineStr"/>
    </row>
    <row r="460" ht="15" customHeight="1">
      <c r="A460" t="inlineStr">
        <is>
          <t>A 16025-2022</t>
        </is>
      </c>
      <c r="B460" s="1" t="n">
        <v>44665</v>
      </c>
      <c r="C460" s="1" t="n">
        <v>45718</v>
      </c>
      <c r="D460" t="inlineStr">
        <is>
          <t>JÄMTLANDS LÄN</t>
        </is>
      </c>
      <c r="E460" t="inlineStr">
        <is>
          <t>ÖSTERSUND</t>
        </is>
      </c>
      <c r="G460" t="n">
        <v>6</v>
      </c>
      <c r="H460" t="n">
        <v>0</v>
      </c>
      <c r="I460" t="n">
        <v>0</v>
      </c>
      <c r="J460" t="n">
        <v>0</v>
      </c>
      <c r="K460" t="n">
        <v>0</v>
      </c>
      <c r="L460" t="n">
        <v>0</v>
      </c>
      <c r="M460" t="n">
        <v>0</v>
      </c>
      <c r="N460" t="n">
        <v>0</v>
      </c>
      <c r="O460" t="n">
        <v>0</v>
      </c>
      <c r="P460" t="n">
        <v>0</v>
      </c>
      <c r="Q460" t="n">
        <v>0</v>
      </c>
      <c r="R460" s="2" t="inlineStr"/>
    </row>
    <row r="461" ht="15" customHeight="1">
      <c r="A461" t="inlineStr">
        <is>
          <t>A 16034-2022</t>
        </is>
      </c>
      <c r="B461" s="1" t="n">
        <v>44665</v>
      </c>
      <c r="C461" s="1" t="n">
        <v>45718</v>
      </c>
      <c r="D461" t="inlineStr">
        <is>
          <t>JÄMTLANDS LÄN</t>
        </is>
      </c>
      <c r="E461" t="inlineStr">
        <is>
          <t>ÖSTERSUND</t>
        </is>
      </c>
      <c r="G461" t="n">
        <v>5.2</v>
      </c>
      <c r="H461" t="n">
        <v>0</v>
      </c>
      <c r="I461" t="n">
        <v>0</v>
      </c>
      <c r="J461" t="n">
        <v>0</v>
      </c>
      <c r="K461" t="n">
        <v>0</v>
      </c>
      <c r="L461" t="n">
        <v>0</v>
      </c>
      <c r="M461" t="n">
        <v>0</v>
      </c>
      <c r="N461" t="n">
        <v>0</v>
      </c>
      <c r="O461" t="n">
        <v>0</v>
      </c>
      <c r="P461" t="n">
        <v>0</v>
      </c>
      <c r="Q461" t="n">
        <v>0</v>
      </c>
      <c r="R461" s="2" t="inlineStr"/>
    </row>
    <row r="462" ht="15" customHeight="1">
      <c r="A462" t="inlineStr">
        <is>
          <t>A 17574-2022</t>
        </is>
      </c>
      <c r="B462" s="1" t="n">
        <v>44680</v>
      </c>
      <c r="C462" s="1" t="n">
        <v>45718</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17732-2022</t>
        </is>
      </c>
      <c r="B463" s="1" t="n">
        <v>44681</v>
      </c>
      <c r="C463" s="1" t="n">
        <v>45718</v>
      </c>
      <c r="D463" t="inlineStr">
        <is>
          <t>JÄMTLANDS LÄN</t>
        </is>
      </c>
      <c r="E463" t="inlineStr">
        <is>
          <t>ÖSTERSUND</t>
        </is>
      </c>
      <c r="G463" t="n">
        <v>5.4</v>
      </c>
      <c r="H463" t="n">
        <v>0</v>
      </c>
      <c r="I463" t="n">
        <v>0</v>
      </c>
      <c r="J463" t="n">
        <v>0</v>
      </c>
      <c r="K463" t="n">
        <v>0</v>
      </c>
      <c r="L463" t="n">
        <v>0</v>
      </c>
      <c r="M463" t="n">
        <v>0</v>
      </c>
      <c r="N463" t="n">
        <v>0</v>
      </c>
      <c r="O463" t="n">
        <v>0</v>
      </c>
      <c r="P463" t="n">
        <v>0</v>
      </c>
      <c r="Q463" t="n">
        <v>0</v>
      </c>
      <c r="R463" s="2" t="inlineStr"/>
    </row>
    <row r="464" ht="15" customHeight="1">
      <c r="A464" t="inlineStr">
        <is>
          <t>A 17734-2022</t>
        </is>
      </c>
      <c r="B464" s="1" t="n">
        <v>44680</v>
      </c>
      <c r="C464" s="1" t="n">
        <v>45718</v>
      </c>
      <c r="D464" t="inlineStr">
        <is>
          <t>JÄMTLANDS LÄN</t>
        </is>
      </c>
      <c r="E464" t="inlineStr">
        <is>
          <t>ÖSTERSUND</t>
        </is>
      </c>
      <c r="G464" t="n">
        <v>26.4</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45718</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45718</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45718</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45718</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45718</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45718</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45718</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45718</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45718</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45718</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45718</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45718</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45718</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45718</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45718</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45718</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45718</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45718</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45718</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45718</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45718</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45718</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45718</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45718</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45718</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45718</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45718</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45718</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45718</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45718</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45718</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45718</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45718</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45718</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45718</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45718</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45718</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45718</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45718</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45718</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45718</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45718</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45718</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45718</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45718</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45718</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45718</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45718</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45718</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45718</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45718</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45718</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45718</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45718</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45718</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45718</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45718</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45718</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45718</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45718</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45718</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45718</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45718</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45718</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45718</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45718</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45718</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45718</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45718</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45718</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45718</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45718</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45718</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45718</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45718</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45718</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45718</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45718</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45718</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45718</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45718</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45718</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45718</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45718</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45718</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45718</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45718</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45718</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45718</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45718</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45718</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45718</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45718</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45718</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45718</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45718</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45718</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45718</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45718</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45718</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45718</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45718</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45718</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45718</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45718</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45718</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45718</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45718</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45718</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45718</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45718</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45718</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45718</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45718</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45718</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45718</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45718</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45718</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45718</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45718</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45718</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45718</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45718</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45718</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45718</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45718</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45718</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45718</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45718</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45718</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45718</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45718</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45718</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45718</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45718</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45718</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45718</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45718</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45718</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45718</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45718</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45718</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45718</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45718</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45718</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45718</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45718</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45718</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45718</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45718</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45718</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45718</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45718</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45718</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45718</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45718</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45718</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45718</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45718</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45718</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45718</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45718</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45718</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45718</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45718</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45718</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45718</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45718</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45718</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45718</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45718</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45718</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45718</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45718</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45718</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45718</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45718</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45718</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45718</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45718</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45718</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45718</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45718</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45718</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45718</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45718</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45718</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45718</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45718</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45718</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45718</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45718</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45718</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45718</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45718</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45718</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45718</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45718</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45718</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45718</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45718</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45718</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45718</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45718</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45718</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45718</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45718</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45718</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45718</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45718</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45718</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45718</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45718</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45718</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45718</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45718</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45718</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45718</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45718</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45718</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45718</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45718</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45718</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45718</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45718</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45718</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45718</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45718</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45718</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45718</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45718</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45718</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45718</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45718</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45718</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45718</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45718</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45718</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45718</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45718</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45718</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45718</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45718</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45718</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45718</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45718</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45718</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45718</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45718</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45718</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45718</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45718</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45718</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45718</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45718</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45718</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45718</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45718</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45718</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45718</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45718</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45718</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45718</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45718</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45718</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45718</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45718</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45718</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45718</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45718</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45718</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45718</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45718</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45718</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45718</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45718</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45718</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45718</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45718</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45718</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45718</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45718</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45718</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45718</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45718</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45718</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45718</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45718</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45718</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45718</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45718</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45718</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45718</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45718</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45718</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45718</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45718</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45718</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45718</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45718</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45718</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45718</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45718</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45718</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45718</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45718</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45718</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45718</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45718</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45718</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45718</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45718</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45718</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45718</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45718</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45718</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45718</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45718</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45718</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45718</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45718</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45718</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45718</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45718</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45718</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45718</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45718</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45718</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45718</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45718</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45718</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45718</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45718</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45718</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45718</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45718</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45718</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45718</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45718</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45718</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45718</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45718</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45718</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45718</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45718</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45718</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45718</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45718</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45718</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45718</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45718</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45718</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45718</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45718</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45718</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45718</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45718</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45718</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45718</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45718</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45718</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45718</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45718</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45718</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45718</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45718</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45718</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45718</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45718</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45718</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45718</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45718</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45718</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45718</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45718</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45718</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45718</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45718</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45718</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45718</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45718</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45718</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45718</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45718</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45718</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45718</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45718</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45718</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45718</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45718</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45718</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45718</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45718</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45718</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45718</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45718</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45718</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45718</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45718</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45718</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45718</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45718</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45718</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45718</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45718</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45718</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45718</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45718</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45718</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45718</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45718</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45718</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45718</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45718</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45718</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45718</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45718</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45718</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45718</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45718</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45718</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45718</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45718</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45718</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45718</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45718</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45718</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45718</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45718</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45718</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45718</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45718</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45718</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45718</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45718</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45718</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45718</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45718</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45718</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45718</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45718</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45718</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45718</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45718</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45718</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45718</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45718</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45718</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45718</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45718</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45718</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45718</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45718</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45718</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45718</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45718</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45718</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45718</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45718</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45718</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45718</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45718</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45718</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45718</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45718</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45718</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45718</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45718</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45718</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45718</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45718</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45718</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45718</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45718</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45718</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45718</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45718</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45718</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45718</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45718</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45718</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45718</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45718</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45718</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45718</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45718</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45718</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45718</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45718</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45718</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45718</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45718</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45718</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45718</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45718</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45718</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45718</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45718</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45718</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45718</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45718</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45718</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45718</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45718</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45718</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45718</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45718</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45718</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45718</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45718</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45718</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45718</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45718</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45718</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45718</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45718</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45718</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45718</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45718</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45718</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45718</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45718</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45718</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45718</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45718</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45718</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45718</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45718</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45718</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45718</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45718</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45718</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45718</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45718</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45718</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45718</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45718</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45718</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45718</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45718</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45718</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45718</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45718</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45718</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45718</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45718</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45718</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45718</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45718</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45718</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45718</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45718</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45718</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45718</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45718</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45718</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45718</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45718</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45718</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45718</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45718</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45718</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45718</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45718</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45718</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45718</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45718</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45718</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45718</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3914-2025</t>
        </is>
      </c>
      <c r="B1034" s="1" t="n">
        <v>45684</v>
      </c>
      <c r="C1034" s="1" t="n">
        <v>45718</v>
      </c>
      <c r="D1034" t="inlineStr">
        <is>
          <t>JÄMTLANDS LÄN</t>
        </is>
      </c>
      <c r="E1034" t="inlineStr">
        <is>
          <t>ÖSTERSUND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3985-2025</t>
        </is>
      </c>
      <c r="B1035" s="1" t="n">
        <v>45684</v>
      </c>
      <c r="C1035" s="1" t="n">
        <v>45718</v>
      </c>
      <c r="D1035" t="inlineStr">
        <is>
          <t>JÄMTLANDS LÄN</t>
        </is>
      </c>
      <c r="E1035" t="inlineStr">
        <is>
          <t>ÖSTERSUND</t>
        </is>
      </c>
      <c r="F1035" t="inlineStr">
        <is>
          <t>SCA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3997-2025</t>
        </is>
      </c>
      <c r="B1036" s="1" t="n">
        <v>45684</v>
      </c>
      <c r="C1036" s="1" t="n">
        <v>45718</v>
      </c>
      <c r="D1036" t="inlineStr">
        <is>
          <t>JÄMTLANDS LÄN</t>
        </is>
      </c>
      <c r="E1036" t="inlineStr">
        <is>
          <t>ÖSTERSUND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45718</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45718</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4500-2025</t>
        </is>
      </c>
      <c r="B1039" s="1" t="n">
        <v>45686</v>
      </c>
      <c r="C1039" s="1" t="n">
        <v>45718</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45718</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45718</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45718</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45718</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4384-2025</t>
        </is>
      </c>
      <c r="B1044" s="1" t="n">
        <v>45686</v>
      </c>
      <c r="C1044" s="1" t="n">
        <v>45718</v>
      </c>
      <c r="D1044" t="inlineStr">
        <is>
          <t>JÄMTLANDS LÄN</t>
        </is>
      </c>
      <c r="E1044" t="inlineStr">
        <is>
          <t>ÖSTERSUND</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4523-2025</t>
        </is>
      </c>
      <c r="B1045" s="1" t="n">
        <v>45686</v>
      </c>
      <c r="C1045" s="1" t="n">
        <v>45718</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4521-2025</t>
        </is>
      </c>
      <c r="B1046" s="1" t="n">
        <v>45686</v>
      </c>
      <c r="C1046" s="1" t="n">
        <v>45718</v>
      </c>
      <c r="D1046" t="inlineStr">
        <is>
          <t>JÄMTLANDS LÄN</t>
        </is>
      </c>
      <c r="E1046" t="inlineStr">
        <is>
          <t>ÖSTERSUND</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45718</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45718</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4936-2025</t>
        </is>
      </c>
      <c r="B1049" s="1" t="n">
        <v>45688</v>
      </c>
      <c r="C1049" s="1" t="n">
        <v>45718</v>
      </c>
      <c r="D1049" t="inlineStr">
        <is>
          <t>JÄMTLANDS LÄN</t>
        </is>
      </c>
      <c r="E1049" t="inlineStr">
        <is>
          <t>ÖSTERSUND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4864-2025</t>
        </is>
      </c>
      <c r="B1050" s="1" t="n">
        <v>45688</v>
      </c>
      <c r="C1050" s="1" t="n">
        <v>45718</v>
      </c>
      <c r="D1050" t="inlineStr">
        <is>
          <t>JÄMTLANDS LÄN</t>
        </is>
      </c>
      <c r="E1050" t="inlineStr">
        <is>
          <t>ÖSTERSUND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45718</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45718</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5024-2025</t>
        </is>
      </c>
      <c r="B1053" s="1" t="n">
        <v>45691</v>
      </c>
      <c r="C1053" s="1" t="n">
        <v>45718</v>
      </c>
      <c r="D1053" t="inlineStr">
        <is>
          <t>JÄMTLANDS LÄN</t>
        </is>
      </c>
      <c r="E1053" t="inlineStr">
        <is>
          <t>ÖSTERSUND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45718</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5138-2025</t>
        </is>
      </c>
      <c r="B1055" s="1" t="n">
        <v>45691</v>
      </c>
      <c r="C1055" s="1" t="n">
        <v>45718</v>
      </c>
      <c r="D1055" t="inlineStr">
        <is>
          <t>JÄMTLANDS LÄN</t>
        </is>
      </c>
      <c r="E1055" t="inlineStr">
        <is>
          <t>ÖSTERSUND</t>
        </is>
      </c>
      <c r="F1055" t="inlineStr">
        <is>
          <t>Övriga Aktiebolag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5135-2025</t>
        </is>
      </c>
      <c r="B1056" s="1" t="n">
        <v>45691</v>
      </c>
      <c r="C1056" s="1" t="n">
        <v>45718</v>
      </c>
      <c r="D1056" t="inlineStr">
        <is>
          <t>JÄMTLANDS LÄN</t>
        </is>
      </c>
      <c r="E1056" t="inlineStr">
        <is>
          <t>ÖSTERSUND</t>
        </is>
      </c>
      <c r="F1056" t="inlineStr">
        <is>
          <t>Övriga Aktiebolag</t>
        </is>
      </c>
      <c r="G1056" t="n">
        <v>126.9</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45718</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45718</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45718</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45718</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45718</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5626-2025</t>
        </is>
      </c>
      <c r="B1062" s="1" t="n">
        <v>45693</v>
      </c>
      <c r="C1062" s="1" t="n">
        <v>45718</v>
      </c>
      <c r="D1062" t="inlineStr">
        <is>
          <t>JÄMTLANDS LÄN</t>
        </is>
      </c>
      <c r="E1062" t="inlineStr">
        <is>
          <t>ÖSTERSUND</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45718</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7005-2025</t>
        </is>
      </c>
      <c r="B1064" s="1" t="n">
        <v>45701</v>
      </c>
      <c r="C1064" s="1" t="n">
        <v>45718</v>
      </c>
      <c r="D1064" t="inlineStr">
        <is>
          <t>JÄMTLANDS LÄN</t>
        </is>
      </c>
      <c r="E1064" t="inlineStr">
        <is>
          <t>ÖSTERSUND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7030-2025</t>
        </is>
      </c>
      <c r="B1065" s="1" t="n">
        <v>45701</v>
      </c>
      <c r="C1065" s="1" t="n">
        <v>45718</v>
      </c>
      <c r="D1065" t="inlineStr">
        <is>
          <t>JÄMTLANDS LÄN</t>
        </is>
      </c>
      <c r="E1065" t="inlineStr">
        <is>
          <t>ÖSTERSUND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45718</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7233-2025</t>
        </is>
      </c>
      <c r="B1067" s="1" t="n">
        <v>45702</v>
      </c>
      <c r="C1067" s="1" t="n">
        <v>45718</v>
      </c>
      <c r="D1067" t="inlineStr">
        <is>
          <t>JÄMTLANDS LÄN</t>
        </is>
      </c>
      <c r="E1067" t="inlineStr">
        <is>
          <t>ÖSTERSUND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7289-2025</t>
        </is>
      </c>
      <c r="B1068" s="1" t="n">
        <v>45702</v>
      </c>
      <c r="C1068" s="1" t="n">
        <v>45718</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45718</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45718</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7911-2025</t>
        </is>
      </c>
      <c r="B1071" s="1" t="n">
        <v>45707</v>
      </c>
      <c r="C1071" s="1" t="n">
        <v>45718</v>
      </c>
      <c r="D1071" t="inlineStr">
        <is>
          <t>JÄMTLANDS LÄN</t>
        </is>
      </c>
      <c r="E1071" t="inlineStr">
        <is>
          <t>ÖSTERSUND</t>
        </is>
      </c>
      <c r="F1071" t="inlineStr">
        <is>
          <t>SCA</t>
        </is>
      </c>
      <c r="G1071" t="n">
        <v>17.9</v>
      </c>
      <c r="H1071" t="n">
        <v>0</v>
      </c>
      <c r="I1071" t="n">
        <v>0</v>
      </c>
      <c r="J1071" t="n">
        <v>0</v>
      </c>
      <c r="K1071" t="n">
        <v>0</v>
      </c>
      <c r="L1071" t="n">
        <v>0</v>
      </c>
      <c r="M1071" t="n">
        <v>0</v>
      </c>
      <c r="N1071" t="n">
        <v>0</v>
      </c>
      <c r="O1071" t="n">
        <v>0</v>
      </c>
      <c r="P1071" t="n">
        <v>0</v>
      </c>
      <c r="Q1071" t="n">
        <v>0</v>
      </c>
      <c r="R1071" s="2" t="inlineStr"/>
    </row>
    <row r="1072" ht="15" customHeight="1">
      <c r="A1072" t="inlineStr">
        <is>
          <t>A 7941-2025</t>
        </is>
      </c>
      <c r="B1072" s="1" t="n">
        <v>45707</v>
      </c>
      <c r="C1072" s="1" t="n">
        <v>45718</v>
      </c>
      <c r="D1072" t="inlineStr">
        <is>
          <t>JÄMTLANDS LÄN</t>
        </is>
      </c>
      <c r="E1072" t="inlineStr">
        <is>
          <t>ÖSTERSUND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7949-2025</t>
        </is>
      </c>
      <c r="B1073" s="1" t="n">
        <v>45707</v>
      </c>
      <c r="C1073" s="1" t="n">
        <v>45718</v>
      </c>
      <c r="D1073" t="inlineStr">
        <is>
          <t>JÄMTLANDS LÄN</t>
        </is>
      </c>
      <c r="E1073" t="inlineStr">
        <is>
          <t>ÖSTERSUND</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7953-2025</t>
        </is>
      </c>
      <c r="B1074" s="1" t="n">
        <v>45707</v>
      </c>
      <c r="C1074" s="1" t="n">
        <v>45718</v>
      </c>
      <c r="D1074" t="inlineStr">
        <is>
          <t>JÄMTLANDS LÄN</t>
        </is>
      </c>
      <c r="E1074" t="inlineStr">
        <is>
          <t>ÖSTERSUND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7936-2025</t>
        </is>
      </c>
      <c r="B1075" s="1" t="n">
        <v>45707</v>
      </c>
      <c r="C1075" s="1" t="n">
        <v>45718</v>
      </c>
      <c r="D1075" t="inlineStr">
        <is>
          <t>JÄMTLANDS LÄN</t>
        </is>
      </c>
      <c r="E1075" t="inlineStr">
        <is>
          <t>ÖSTERSUND</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7940-2025</t>
        </is>
      </c>
      <c r="B1076" s="1" t="n">
        <v>45707</v>
      </c>
      <c r="C1076" s="1" t="n">
        <v>45718</v>
      </c>
      <c r="D1076" t="inlineStr">
        <is>
          <t>JÄMTLANDS LÄN</t>
        </is>
      </c>
      <c r="E1076" t="inlineStr">
        <is>
          <t>ÖSTERSUND</t>
        </is>
      </c>
      <c r="F1076" t="inlineStr">
        <is>
          <t>Övriga Aktiebolag</t>
        </is>
      </c>
      <c r="G1076" t="n">
        <v>48.1</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45718</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8003-2025</t>
        </is>
      </c>
      <c r="B1078" s="1" t="n">
        <v>45707</v>
      </c>
      <c r="C1078" s="1" t="n">
        <v>45718</v>
      </c>
      <c r="D1078" t="inlineStr">
        <is>
          <t>JÄMTLANDS LÄN</t>
        </is>
      </c>
      <c r="E1078" t="inlineStr">
        <is>
          <t>ÖSTERSUND</t>
        </is>
      </c>
      <c r="F1078" t="inlineStr">
        <is>
          <t>Övriga Aktiebolag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8028-2025</t>
        </is>
      </c>
      <c r="B1079" s="1" t="n">
        <v>45707</v>
      </c>
      <c r="C1079" s="1" t="n">
        <v>45718</v>
      </c>
      <c r="D1079" t="inlineStr">
        <is>
          <t>JÄMTLANDS LÄN</t>
        </is>
      </c>
      <c r="E1079" t="inlineStr">
        <is>
          <t>ÖSTERSUND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7938-2025</t>
        </is>
      </c>
      <c r="B1080" s="1" t="n">
        <v>45707</v>
      </c>
      <c r="C1080" s="1" t="n">
        <v>45718</v>
      </c>
      <c r="D1080" t="inlineStr">
        <is>
          <t>JÄMTLANDS LÄN</t>
        </is>
      </c>
      <c r="E1080" t="inlineStr">
        <is>
          <t>ÖSTERSUND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8261-2025</t>
        </is>
      </c>
      <c r="B1081" s="1" t="n">
        <v>45708</v>
      </c>
      <c r="C1081" s="1" t="n">
        <v>45718</v>
      </c>
      <c r="D1081" t="inlineStr">
        <is>
          <t>JÄMTLANDS LÄN</t>
        </is>
      </c>
      <c r="E1081" t="inlineStr">
        <is>
          <t>ÖSTERSUND</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8216-2025</t>
        </is>
      </c>
      <c r="B1082" s="1" t="n">
        <v>45708</v>
      </c>
      <c r="C1082" s="1" t="n">
        <v>45718</v>
      </c>
      <c r="D1082" t="inlineStr">
        <is>
          <t>JÄMTLANDS LÄN</t>
        </is>
      </c>
      <c r="E1082" t="inlineStr">
        <is>
          <t>ÖSTERSUND</t>
        </is>
      </c>
      <c r="F1082" t="inlineStr">
        <is>
          <t>Övriga Aktiebolag</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45718</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8401-2025</t>
        </is>
      </c>
      <c r="B1084" s="1" t="n">
        <v>45709</v>
      </c>
      <c r="C1084" s="1" t="n">
        <v>45718</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9246-2025</t>
        </is>
      </c>
      <c r="B1085" s="1" t="n">
        <v>45714</v>
      </c>
      <c r="C1085" s="1" t="n">
        <v>45718</v>
      </c>
      <c r="D1085" t="inlineStr">
        <is>
          <t>JÄMTLANDS LÄN</t>
        </is>
      </c>
      <c r="E1085" t="inlineStr">
        <is>
          <t>ÖSTERSUND</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9552-2025</t>
        </is>
      </c>
      <c r="B1086" s="1" t="n">
        <v>45715</v>
      </c>
      <c r="C1086" s="1" t="n">
        <v>45718</v>
      </c>
      <c r="D1086" t="inlineStr">
        <is>
          <t>JÄMTLANDS LÄN</t>
        </is>
      </c>
      <c r="E1086" t="inlineStr">
        <is>
          <t>ÖSTERSUND</t>
        </is>
      </c>
      <c r="G1086" t="n">
        <v>1.6</v>
      </c>
      <c r="H1086" t="n">
        <v>0</v>
      </c>
      <c r="I1086" t="n">
        <v>0</v>
      </c>
      <c r="J1086" t="n">
        <v>0</v>
      </c>
      <c r="K1086" t="n">
        <v>0</v>
      </c>
      <c r="L1086" t="n">
        <v>0</v>
      </c>
      <c r="M1086" t="n">
        <v>0</v>
      </c>
      <c r="N1086" t="n">
        <v>0</v>
      </c>
      <c r="O1086" t="n">
        <v>0</v>
      </c>
      <c r="P1086" t="n">
        <v>0</v>
      </c>
      <c r="Q1086" t="n">
        <v>0</v>
      </c>
      <c r="R1086" s="2" t="inlineStr"/>
    </row>
    <row r="1087">
      <c r="A1087" t="inlineStr">
        <is>
          <t>A 9744-2025</t>
        </is>
      </c>
      <c r="B1087" s="1" t="n">
        <v>45716</v>
      </c>
      <c r="C1087" s="1" t="n">
        <v>45718</v>
      </c>
      <c r="D1087" t="inlineStr">
        <is>
          <t>JÄMTLANDS LÄN</t>
        </is>
      </c>
      <c r="E1087" t="inlineStr">
        <is>
          <t>ÖSTERSUND</t>
        </is>
      </c>
      <c r="F1087" t="inlineStr">
        <is>
          <t>SCA</t>
        </is>
      </c>
      <c r="G1087" t="n">
        <v>1.4</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2025-03-02T16:53:58Z</dcterms:created>
  <dcterms:modified xmlns:dcterms="http://purl.org/dc/terms/" xmlns:xsi="http://www.w3.org/2001/XMLSchema-instance" xsi:type="dcterms:W3CDTF">2025-03-02T16:53:59Z</dcterms:modified>
</cp:coreProperties>
</file>