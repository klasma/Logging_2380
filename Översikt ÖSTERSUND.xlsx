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46059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46059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46059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46059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46059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46059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46059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46059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46059</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46059</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46059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45932.58673611111</v>
      </c>
      <c r="C14" s="1" t="n">
        <v>46059</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46059</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46059</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46059</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46059</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56899-2025</t>
        </is>
      </c>
      <c r="B19" s="1" t="n">
        <v>45978.57238425926</v>
      </c>
      <c r="C19" s="1" t="n">
        <v>46059</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46059</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46059</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46059</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46059</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46059</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48959-2025</t>
        </is>
      </c>
      <c r="B25" s="1" t="n">
        <v>45937.55055555556</v>
      </c>
      <c r="C25" s="1" t="n">
        <v>46059</v>
      </c>
      <c r="D25" t="inlineStr">
        <is>
          <t>JÄMTLANDS LÄN</t>
        </is>
      </c>
      <c r="E25" t="inlineStr">
        <is>
          <t>ÖSTERSUND</t>
        </is>
      </c>
      <c r="G25" t="n">
        <v>10.5</v>
      </c>
      <c r="H25" t="n">
        <v>6</v>
      </c>
      <c r="I25" t="n">
        <v>2</v>
      </c>
      <c r="J25" t="n">
        <v>7</v>
      </c>
      <c r="K25" t="n">
        <v>1</v>
      </c>
      <c r="L25" t="n">
        <v>0</v>
      </c>
      <c r="M25" t="n">
        <v>0</v>
      </c>
      <c r="N25" t="n">
        <v>0</v>
      </c>
      <c r="O25" t="n">
        <v>8</v>
      </c>
      <c r="P25" t="n">
        <v>1</v>
      </c>
      <c r="Q25" t="n">
        <v>11</v>
      </c>
      <c r="R25" s="2" t="inlineStr">
        <is>
          <t>Knärot
Garnlav
Granticka
Harticka
Spillkråka
Talltita
Tretåig hackspett
Ullticka
Korallrot
Trådticka
Fläcknycklar</t>
        </is>
      </c>
      <c r="S25">
        <f>HYPERLINK("https://klasma.github.io/Logging_2380/artfynd/A 48959-2025 artfynd.xlsx", "A 48959-2025")</f>
        <v/>
      </c>
      <c r="T25">
        <f>HYPERLINK("https://klasma.github.io/Logging_2380/kartor/A 48959-2025 karta.png", "A 48959-2025")</f>
        <v/>
      </c>
      <c r="U25">
        <f>HYPERLINK("https://klasma.github.io/Logging_2380/knärot/A 48959-2025 karta knärot.png", "A 48959-2025")</f>
        <v/>
      </c>
      <c r="V25">
        <f>HYPERLINK("https://klasma.github.io/Logging_2380/klagomål/A 48959-2025 FSC-klagomål.docx", "A 48959-2025")</f>
        <v/>
      </c>
      <c r="W25">
        <f>HYPERLINK("https://klasma.github.io/Logging_2380/klagomålsmail/A 48959-2025 FSC-klagomål mail.docx", "A 48959-2025")</f>
        <v/>
      </c>
      <c r="X25">
        <f>HYPERLINK("https://klasma.github.io/Logging_2380/tillsyn/A 48959-2025 tillsynsbegäran.docx", "A 48959-2025")</f>
        <v/>
      </c>
      <c r="Y25">
        <f>HYPERLINK("https://klasma.github.io/Logging_2380/tillsynsmail/A 48959-2025 tillsynsbegäran mail.docx", "A 48959-2025")</f>
        <v/>
      </c>
      <c r="Z25">
        <f>HYPERLINK("https://klasma.github.io/Logging_2380/fåglar/A 48959-2025 prioriterade fågelarter.docx", "A 48959-2025")</f>
        <v/>
      </c>
    </row>
    <row r="26" ht="15" customHeight="1">
      <c r="A26" t="inlineStr">
        <is>
          <t>A 48030-2025</t>
        </is>
      </c>
      <c r="B26" s="1" t="n">
        <v>45932.65210648148</v>
      </c>
      <c r="C26" s="1" t="n">
        <v>46059</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5791-2026</t>
        </is>
      </c>
      <c r="B27" s="1" t="n">
        <v>46051.68951388889</v>
      </c>
      <c r="C27" s="1" t="n">
        <v>46059</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55314-2024</t>
        </is>
      </c>
      <c r="B28" s="1" t="n">
        <v>45621</v>
      </c>
      <c r="C28" s="1" t="n">
        <v>46059</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49056-2025</t>
        </is>
      </c>
      <c r="B29" s="1" t="n">
        <v>45937.64063657408</v>
      </c>
      <c r="C29" s="1" t="n">
        <v>46059</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61766-2024</t>
        </is>
      </c>
      <c r="B30" s="1" t="n">
        <v>45649</v>
      </c>
      <c r="C30" s="1" t="n">
        <v>46059</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46059</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46059</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46059</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51908-2025</t>
        </is>
      </c>
      <c r="B34" s="1" t="n">
        <v>45952.46650462963</v>
      </c>
      <c r="C34" s="1" t="n">
        <v>46059</v>
      </c>
      <c r="D34" t="inlineStr">
        <is>
          <t>JÄMTLANDS LÄN</t>
        </is>
      </c>
      <c r="E34" t="inlineStr">
        <is>
          <t>ÖSTERSUND</t>
        </is>
      </c>
      <c r="G34" t="n">
        <v>14.4</v>
      </c>
      <c r="H34" t="n">
        <v>5</v>
      </c>
      <c r="I34" t="n">
        <v>1</v>
      </c>
      <c r="J34" t="n">
        <v>4</v>
      </c>
      <c r="K34" t="n">
        <v>1</v>
      </c>
      <c r="L34" t="n">
        <v>0</v>
      </c>
      <c r="M34" t="n">
        <v>0</v>
      </c>
      <c r="N34" t="n">
        <v>0</v>
      </c>
      <c r="O34" t="n">
        <v>5</v>
      </c>
      <c r="P34" t="n">
        <v>1</v>
      </c>
      <c r="Q34" t="n">
        <v>9</v>
      </c>
      <c r="R34" s="2" t="inlineStr">
        <is>
          <t>Knärot
Garnlav
Lunglav
Talltita
Ullticka
Stuplav
Kungsfågel
Blåsippa
Revlummer</t>
        </is>
      </c>
      <c r="S34">
        <f>HYPERLINK("https://klasma.github.io/Logging_2380/artfynd/A 51908-2025 artfynd.xlsx", "A 51908-2025")</f>
        <v/>
      </c>
      <c r="T34">
        <f>HYPERLINK("https://klasma.github.io/Logging_2380/kartor/A 51908-2025 karta.png", "A 51908-2025")</f>
        <v/>
      </c>
      <c r="U34">
        <f>HYPERLINK("https://klasma.github.io/Logging_2380/knärot/A 51908-2025 karta knärot.png", "A 51908-2025")</f>
        <v/>
      </c>
      <c r="V34">
        <f>HYPERLINK("https://klasma.github.io/Logging_2380/klagomål/A 51908-2025 FSC-klagomål.docx", "A 51908-2025")</f>
        <v/>
      </c>
      <c r="W34">
        <f>HYPERLINK("https://klasma.github.io/Logging_2380/klagomålsmail/A 51908-2025 FSC-klagomål mail.docx", "A 51908-2025")</f>
        <v/>
      </c>
      <c r="X34">
        <f>HYPERLINK("https://klasma.github.io/Logging_2380/tillsyn/A 51908-2025 tillsynsbegäran.docx", "A 51908-2025")</f>
        <v/>
      </c>
      <c r="Y34">
        <f>HYPERLINK("https://klasma.github.io/Logging_2380/tillsynsmail/A 51908-2025 tillsynsbegäran mail.docx", "A 51908-2025")</f>
        <v/>
      </c>
      <c r="Z34">
        <f>HYPERLINK("https://klasma.github.io/Logging_2380/fåglar/A 51908-2025 prioriterade fågelarter.docx", "A 51908-2025")</f>
        <v/>
      </c>
    </row>
    <row r="35" ht="15" customHeight="1">
      <c r="A35" t="inlineStr">
        <is>
          <t>A 45224-2024</t>
        </is>
      </c>
      <c r="B35" s="1" t="n">
        <v>45575.77440972222</v>
      </c>
      <c r="C35" s="1" t="n">
        <v>46059</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27907-2024</t>
        </is>
      </c>
      <c r="B36" s="1" t="n">
        <v>45475.94597222222</v>
      </c>
      <c r="C36" s="1" t="n">
        <v>46059</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34816-2024</t>
        </is>
      </c>
      <c r="B37" s="1" t="n">
        <v>45526</v>
      </c>
      <c r="C37" s="1" t="n">
        <v>46059</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46059</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46059</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7710-2024</t>
        </is>
      </c>
      <c r="B40" s="1" t="n">
        <v>45349</v>
      </c>
      <c r="C40" s="1" t="n">
        <v>46059</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56648-2025</t>
        </is>
      </c>
      <c r="B41" s="1" t="n">
        <v>45975.63604166666</v>
      </c>
      <c r="C41" s="1" t="n">
        <v>46059</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63193-2025</t>
        </is>
      </c>
      <c r="B42" s="1" t="n">
        <v>46010.45428240741</v>
      </c>
      <c r="C42" s="1" t="n">
        <v>46059</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40777-2023</t>
        </is>
      </c>
      <c r="B43" s="1" t="n">
        <v>45170</v>
      </c>
      <c r="C43" s="1" t="n">
        <v>46059</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10744-2024</t>
        </is>
      </c>
      <c r="B44" s="1" t="n">
        <v>45369</v>
      </c>
      <c r="C44" s="1" t="n">
        <v>46059</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46059</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57729-2025</t>
        </is>
      </c>
      <c r="B46" s="1" t="n">
        <v>45981.50630787037</v>
      </c>
      <c r="C46" s="1" t="n">
        <v>46059</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39586-2025</t>
        </is>
      </c>
      <c r="B47" s="1" t="n">
        <v>45890</v>
      </c>
      <c r="C47" s="1" t="n">
        <v>46059</v>
      </c>
      <c r="D47" t="inlineStr">
        <is>
          <t>JÄMTLANDS LÄN</t>
        </is>
      </c>
      <c r="E47" t="inlineStr">
        <is>
          <t>ÖSTERSUND</t>
        </is>
      </c>
      <c r="G47" t="n">
        <v>4.6</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39586-2025 artfynd.xlsx", "A 39586-2025")</f>
        <v/>
      </c>
      <c r="T47">
        <f>HYPERLINK("https://klasma.github.io/Logging_2380/kartor/A 39586-2025 karta.png", "A 39586-2025")</f>
        <v/>
      </c>
      <c r="V47">
        <f>HYPERLINK("https://klasma.github.io/Logging_2380/klagomål/A 39586-2025 FSC-klagomål.docx", "A 39586-2025")</f>
        <v/>
      </c>
      <c r="W47">
        <f>HYPERLINK("https://klasma.github.io/Logging_2380/klagomålsmail/A 39586-2025 FSC-klagomål mail.docx", "A 39586-2025")</f>
        <v/>
      </c>
      <c r="X47">
        <f>HYPERLINK("https://klasma.github.io/Logging_2380/tillsyn/A 39586-2025 tillsynsbegäran.docx", "A 39586-2025")</f>
        <v/>
      </c>
      <c r="Y47">
        <f>HYPERLINK("https://klasma.github.io/Logging_2380/tillsynsmail/A 39586-2025 tillsynsbegäran mail.docx", "A 39586-2025")</f>
        <v/>
      </c>
      <c r="Z47">
        <f>HYPERLINK("https://klasma.github.io/Logging_2380/fåglar/A 39586-2025 prioriterade fågelarter.docx", "A 39586-2025")</f>
        <v/>
      </c>
    </row>
    <row r="48" ht="15" customHeight="1">
      <c r="A48" t="inlineStr">
        <is>
          <t>A 48736-2025</t>
        </is>
      </c>
      <c r="B48" s="1" t="n">
        <v>45936.66547453704</v>
      </c>
      <c r="C48" s="1" t="n">
        <v>46059</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31122-2025</t>
        </is>
      </c>
      <c r="B49" s="1" t="n">
        <v>45831</v>
      </c>
      <c r="C49" s="1" t="n">
        <v>46059</v>
      </c>
      <c r="D49" t="inlineStr">
        <is>
          <t>JÄMTLANDS LÄN</t>
        </is>
      </c>
      <c r="E49" t="inlineStr">
        <is>
          <t>ÖSTERSUND</t>
        </is>
      </c>
      <c r="G49" t="n">
        <v>5.5</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31122-2025 artfynd.xlsx", "A 31122-2025")</f>
        <v/>
      </c>
      <c r="T49">
        <f>HYPERLINK("https://klasma.github.io/Logging_2380/kartor/A 31122-2025 karta.png", "A 31122-2025")</f>
        <v/>
      </c>
      <c r="V49">
        <f>HYPERLINK("https://klasma.github.io/Logging_2380/klagomål/A 31122-2025 FSC-klagomål.docx", "A 31122-2025")</f>
        <v/>
      </c>
      <c r="W49">
        <f>HYPERLINK("https://klasma.github.io/Logging_2380/klagomålsmail/A 31122-2025 FSC-klagomål mail.docx", "A 31122-2025")</f>
        <v/>
      </c>
      <c r="X49">
        <f>HYPERLINK("https://klasma.github.io/Logging_2380/tillsyn/A 31122-2025 tillsynsbegäran.docx", "A 31122-2025")</f>
        <v/>
      </c>
      <c r="Y49">
        <f>HYPERLINK("https://klasma.github.io/Logging_2380/tillsynsmail/A 31122-2025 tillsynsbegäran mail.docx", "A 31122-2025")</f>
        <v/>
      </c>
      <c r="Z49">
        <f>HYPERLINK("https://klasma.github.io/Logging_2380/fåglar/A 31122-2025 prioriterade fågelarter.docx", "A 31122-2025")</f>
        <v/>
      </c>
    </row>
    <row r="50" ht="15" customHeight="1">
      <c r="A50" t="inlineStr">
        <is>
          <t>A 50529-2025</t>
        </is>
      </c>
      <c r="B50" s="1" t="n">
        <v>45945.47331018518</v>
      </c>
      <c r="C50" s="1" t="n">
        <v>46059</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26372-2025</t>
        </is>
      </c>
      <c r="B51" s="1" t="n">
        <v>45806</v>
      </c>
      <c r="C51" s="1" t="n">
        <v>46059</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52297-2025</t>
        </is>
      </c>
      <c r="B52" s="1" t="n">
        <v>45953</v>
      </c>
      <c r="C52" s="1" t="n">
        <v>46059</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53292-2025</t>
        </is>
      </c>
      <c r="B53" s="1" t="n">
        <v>45958</v>
      </c>
      <c r="C53" s="1" t="n">
        <v>46059</v>
      </c>
      <c r="D53" t="inlineStr">
        <is>
          <t>JÄMTLANDS LÄN</t>
        </is>
      </c>
      <c r="E53" t="inlineStr">
        <is>
          <t>ÖSTERSUND</t>
        </is>
      </c>
      <c r="G53" t="n">
        <v>3</v>
      </c>
      <c r="H53" t="n">
        <v>5</v>
      </c>
      <c r="I53" t="n">
        <v>0</v>
      </c>
      <c r="J53" t="n">
        <v>3</v>
      </c>
      <c r="K53" t="n">
        <v>1</v>
      </c>
      <c r="L53" t="n">
        <v>0</v>
      </c>
      <c r="M53" t="n">
        <v>0</v>
      </c>
      <c r="N53" t="n">
        <v>0</v>
      </c>
      <c r="O53" t="n">
        <v>4</v>
      </c>
      <c r="P53" t="n">
        <v>1</v>
      </c>
      <c r="Q53" t="n">
        <v>7</v>
      </c>
      <c r="R53" s="2" t="inlineStr">
        <is>
          <t>Knärot
Garnlav
Granticka
Talltita
Kungsfågel
Blåsippa
Revlummer</t>
        </is>
      </c>
      <c r="S53">
        <f>HYPERLINK("https://klasma.github.io/Logging_2380/artfynd/A 53292-2025 artfynd.xlsx", "A 53292-2025")</f>
        <v/>
      </c>
      <c r="T53">
        <f>HYPERLINK("https://klasma.github.io/Logging_2380/kartor/A 53292-2025 karta.png", "A 53292-2025")</f>
        <v/>
      </c>
      <c r="U53">
        <f>HYPERLINK("https://klasma.github.io/Logging_2380/knärot/A 53292-2025 karta knärot.png", "A 53292-2025")</f>
        <v/>
      </c>
      <c r="V53">
        <f>HYPERLINK("https://klasma.github.io/Logging_2380/klagomål/A 53292-2025 FSC-klagomål.docx", "A 53292-2025")</f>
        <v/>
      </c>
      <c r="W53">
        <f>HYPERLINK("https://klasma.github.io/Logging_2380/klagomålsmail/A 53292-2025 FSC-klagomål mail.docx", "A 53292-2025")</f>
        <v/>
      </c>
      <c r="X53">
        <f>HYPERLINK("https://klasma.github.io/Logging_2380/tillsyn/A 53292-2025 tillsynsbegäran.docx", "A 53292-2025")</f>
        <v/>
      </c>
      <c r="Y53">
        <f>HYPERLINK("https://klasma.github.io/Logging_2380/tillsynsmail/A 53292-2025 tillsynsbegäran mail.docx", "A 53292-2025")</f>
        <v/>
      </c>
      <c r="Z53">
        <f>HYPERLINK("https://klasma.github.io/Logging_2380/fåglar/A 53292-2025 prioriterade fågelarter.docx", "A 53292-2025")</f>
        <v/>
      </c>
    </row>
    <row r="54" ht="15" customHeight="1">
      <c r="A54" t="inlineStr">
        <is>
          <t>A 5203-2026</t>
        </is>
      </c>
      <c r="B54" s="1" t="n">
        <v>46049.67512731482</v>
      </c>
      <c r="C54" s="1" t="n">
        <v>46059</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54608-2023</t>
        </is>
      </c>
      <c r="B55" s="1" t="n">
        <v>45233</v>
      </c>
      <c r="C55" s="1" t="n">
        <v>46059</v>
      </c>
      <c r="D55" t="inlineStr">
        <is>
          <t>JÄMTLANDS LÄN</t>
        </is>
      </c>
      <c r="E55" t="inlineStr">
        <is>
          <t>ÖSTERSUND</t>
        </is>
      </c>
      <c r="F55" t="inlineStr">
        <is>
          <t>SCA</t>
        </is>
      </c>
      <c r="G55" t="n">
        <v>4.3</v>
      </c>
      <c r="H55" t="n">
        <v>1</v>
      </c>
      <c r="I55" t="n">
        <v>5</v>
      </c>
      <c r="J55" t="n">
        <v>2</v>
      </c>
      <c r="K55" t="n">
        <v>0</v>
      </c>
      <c r="L55" t="n">
        <v>0</v>
      </c>
      <c r="M55" t="n">
        <v>0</v>
      </c>
      <c r="N55" t="n">
        <v>0</v>
      </c>
      <c r="O55" t="n">
        <v>2</v>
      </c>
      <c r="P55" t="n">
        <v>0</v>
      </c>
      <c r="Q55" t="n">
        <v>7</v>
      </c>
      <c r="R55" s="2" t="inlineStr">
        <is>
          <t>Granticka
Ullticka
Guckusko
Svavelriska
Trådfräken
Trådticka
Underviol</t>
        </is>
      </c>
      <c r="S55">
        <f>HYPERLINK("https://klasma.github.io/Logging_2380/artfynd/A 54608-2023 artfynd.xlsx", "A 54608-2023")</f>
        <v/>
      </c>
      <c r="T55">
        <f>HYPERLINK("https://klasma.github.io/Logging_2380/kartor/A 54608-2023 karta.png", "A 54608-2023")</f>
        <v/>
      </c>
      <c r="V55">
        <f>HYPERLINK("https://klasma.github.io/Logging_2380/klagomål/A 54608-2023 FSC-klagomål.docx", "A 54608-2023")</f>
        <v/>
      </c>
      <c r="W55">
        <f>HYPERLINK("https://klasma.github.io/Logging_2380/klagomålsmail/A 54608-2023 FSC-klagomål mail.docx", "A 54608-2023")</f>
        <v/>
      </c>
      <c r="X55">
        <f>HYPERLINK("https://klasma.github.io/Logging_2380/tillsyn/A 54608-2023 tillsynsbegäran.docx", "A 54608-2023")</f>
        <v/>
      </c>
      <c r="Y55">
        <f>HYPERLINK("https://klasma.github.io/Logging_2380/tillsynsmail/A 54608-2023 tillsynsbegäran mail.docx", "A 54608-2023")</f>
        <v/>
      </c>
    </row>
    <row r="56" ht="15" customHeight="1">
      <c r="A56" t="inlineStr">
        <is>
          <t>A 16369-2023</t>
        </is>
      </c>
      <c r="B56" s="1" t="n">
        <v>45028</v>
      </c>
      <c r="C56" s="1" t="n">
        <v>46059</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28512-2021</t>
        </is>
      </c>
      <c r="B57" s="1" t="n">
        <v>44356</v>
      </c>
      <c r="C57" s="1" t="n">
        <v>46059</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46059</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24523-2021</t>
        </is>
      </c>
      <c r="B59" s="1" t="n">
        <v>44337</v>
      </c>
      <c r="C59" s="1" t="n">
        <v>46059</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46059</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46059</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40815-2025</t>
        </is>
      </c>
      <c r="B62" s="1" t="n">
        <v>45897</v>
      </c>
      <c r="C62" s="1" t="n">
        <v>46059</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62696-2025</t>
        </is>
      </c>
      <c r="B63" s="1" t="n">
        <v>46008.48708333333</v>
      </c>
      <c r="C63" s="1" t="n">
        <v>46059</v>
      </c>
      <c r="D63" t="inlineStr">
        <is>
          <t>JÄMTLANDS LÄN</t>
        </is>
      </c>
      <c r="E63" t="inlineStr">
        <is>
          <t>ÖSTERSUND</t>
        </is>
      </c>
      <c r="G63" t="n">
        <v>11.3</v>
      </c>
      <c r="H63" t="n">
        <v>3</v>
      </c>
      <c r="I63" t="n">
        <v>1</v>
      </c>
      <c r="J63" t="n">
        <v>4</v>
      </c>
      <c r="K63" t="n">
        <v>0</v>
      </c>
      <c r="L63" t="n">
        <v>0</v>
      </c>
      <c r="M63" t="n">
        <v>0</v>
      </c>
      <c r="N63" t="n">
        <v>0</v>
      </c>
      <c r="O63" t="n">
        <v>4</v>
      </c>
      <c r="P63" t="n">
        <v>0</v>
      </c>
      <c r="Q63" t="n">
        <v>6</v>
      </c>
      <c r="R63" s="2" t="inlineStr">
        <is>
          <t>Garnlav
Spillkråka
Tretåig hackspett
Ullticka
Stuplav
Revlummer</t>
        </is>
      </c>
      <c r="S63">
        <f>HYPERLINK("https://klasma.github.io/Logging_2380/artfynd/A 62696-2025 artfynd.xlsx", "A 62696-2025")</f>
        <v/>
      </c>
      <c r="T63">
        <f>HYPERLINK("https://klasma.github.io/Logging_2380/kartor/A 62696-2025 karta.png", "A 62696-2025")</f>
        <v/>
      </c>
      <c r="V63">
        <f>HYPERLINK("https://klasma.github.io/Logging_2380/klagomål/A 62696-2025 FSC-klagomål.docx", "A 62696-2025")</f>
        <v/>
      </c>
      <c r="W63">
        <f>HYPERLINK("https://klasma.github.io/Logging_2380/klagomålsmail/A 62696-2025 FSC-klagomål mail.docx", "A 62696-2025")</f>
        <v/>
      </c>
      <c r="X63">
        <f>HYPERLINK("https://klasma.github.io/Logging_2380/tillsyn/A 62696-2025 tillsynsbegäran.docx", "A 62696-2025")</f>
        <v/>
      </c>
      <c r="Y63">
        <f>HYPERLINK("https://klasma.github.io/Logging_2380/tillsynsmail/A 62696-2025 tillsynsbegäran mail.docx", "A 62696-2025")</f>
        <v/>
      </c>
      <c r="Z63">
        <f>HYPERLINK("https://klasma.github.io/Logging_2380/fåglar/A 62696-2025 prioriterade fågelarter.docx", "A 62696-2025")</f>
        <v/>
      </c>
    </row>
    <row r="64" ht="15" customHeight="1">
      <c r="A64" t="inlineStr">
        <is>
          <t>A 61212-2025</t>
        </is>
      </c>
      <c r="B64" s="1" t="n">
        <v>46000.61640046296</v>
      </c>
      <c r="C64" s="1" t="n">
        <v>46059</v>
      </c>
      <c r="D64" t="inlineStr">
        <is>
          <t>JÄMTLANDS LÄN</t>
        </is>
      </c>
      <c r="E64" t="inlineStr">
        <is>
          <t>ÖSTERSUND</t>
        </is>
      </c>
      <c r="G64" t="n">
        <v>7.8</v>
      </c>
      <c r="H64" t="n">
        <v>3</v>
      </c>
      <c r="I64" t="n">
        <v>0</v>
      </c>
      <c r="J64" t="n">
        <v>5</v>
      </c>
      <c r="K64" t="n">
        <v>1</v>
      </c>
      <c r="L64" t="n">
        <v>0</v>
      </c>
      <c r="M64" t="n">
        <v>0</v>
      </c>
      <c r="N64" t="n">
        <v>0</v>
      </c>
      <c r="O64" t="n">
        <v>6</v>
      </c>
      <c r="P64" t="n">
        <v>1</v>
      </c>
      <c r="Q64" t="n">
        <v>6</v>
      </c>
      <c r="R64" s="2" t="inlineStr">
        <is>
          <t>Knärot
Granticka
Harticka
Spillkråka
Talltita
Ullticka</t>
        </is>
      </c>
      <c r="S64">
        <f>HYPERLINK("https://klasma.github.io/Logging_2380/artfynd/A 61212-2025 artfynd.xlsx", "A 61212-2025")</f>
        <v/>
      </c>
      <c r="T64">
        <f>HYPERLINK("https://klasma.github.io/Logging_2380/kartor/A 61212-2025 karta.png", "A 61212-2025")</f>
        <v/>
      </c>
      <c r="U64">
        <f>HYPERLINK("https://klasma.github.io/Logging_2380/knärot/A 61212-2025 karta knärot.png", "A 61212-2025")</f>
        <v/>
      </c>
      <c r="V64">
        <f>HYPERLINK("https://klasma.github.io/Logging_2380/klagomål/A 61212-2025 FSC-klagomål.docx", "A 61212-2025")</f>
        <v/>
      </c>
      <c r="W64">
        <f>HYPERLINK("https://klasma.github.io/Logging_2380/klagomålsmail/A 61212-2025 FSC-klagomål mail.docx", "A 61212-2025")</f>
        <v/>
      </c>
      <c r="X64">
        <f>HYPERLINK("https://klasma.github.io/Logging_2380/tillsyn/A 61212-2025 tillsynsbegäran.docx", "A 61212-2025")</f>
        <v/>
      </c>
      <c r="Y64">
        <f>HYPERLINK("https://klasma.github.io/Logging_2380/tillsynsmail/A 61212-2025 tillsynsbegäran mail.docx", "A 61212-2025")</f>
        <v/>
      </c>
      <c r="Z64">
        <f>HYPERLINK("https://klasma.github.io/Logging_2380/fåglar/A 61212-2025 prioriterade fågelarter.docx", "A 61212-2025")</f>
        <v/>
      </c>
    </row>
    <row r="65" ht="15" customHeight="1">
      <c r="A65" t="inlineStr">
        <is>
          <t>A 63201-2025</t>
        </is>
      </c>
      <c r="B65" s="1" t="n">
        <v>46010.46366898148</v>
      </c>
      <c r="C65" s="1" t="n">
        <v>46059</v>
      </c>
      <c r="D65" t="inlineStr">
        <is>
          <t>JÄMTLANDS LÄN</t>
        </is>
      </c>
      <c r="E65" t="inlineStr">
        <is>
          <t>ÖSTERSUND</t>
        </is>
      </c>
      <c r="G65" t="n">
        <v>5.8</v>
      </c>
      <c r="H65" t="n">
        <v>5</v>
      </c>
      <c r="I65" t="n">
        <v>1</v>
      </c>
      <c r="J65" t="n">
        <v>2</v>
      </c>
      <c r="K65" t="n">
        <v>1</v>
      </c>
      <c r="L65" t="n">
        <v>0</v>
      </c>
      <c r="M65" t="n">
        <v>0</v>
      </c>
      <c r="N65" t="n">
        <v>0</v>
      </c>
      <c r="O65" t="n">
        <v>3</v>
      </c>
      <c r="P65" t="n">
        <v>1</v>
      </c>
      <c r="Q65" t="n">
        <v>6</v>
      </c>
      <c r="R65" s="2" t="inlineStr">
        <is>
          <t>Knärot
Spillkråka
Tretåig hackspett
Kransrams
Lavskrika
Revlummer</t>
        </is>
      </c>
      <c r="S65">
        <f>HYPERLINK("https://klasma.github.io/Logging_2380/artfynd/A 63201-2025 artfynd.xlsx", "A 63201-2025")</f>
        <v/>
      </c>
      <c r="T65">
        <f>HYPERLINK("https://klasma.github.io/Logging_2380/kartor/A 63201-2025 karta.png", "A 63201-2025")</f>
        <v/>
      </c>
      <c r="U65">
        <f>HYPERLINK("https://klasma.github.io/Logging_2380/knärot/A 63201-2025 karta knärot.png", "A 63201-2025")</f>
        <v/>
      </c>
      <c r="V65">
        <f>HYPERLINK("https://klasma.github.io/Logging_2380/klagomål/A 63201-2025 FSC-klagomål.docx", "A 63201-2025")</f>
        <v/>
      </c>
      <c r="W65">
        <f>HYPERLINK("https://klasma.github.io/Logging_2380/klagomålsmail/A 63201-2025 FSC-klagomål mail.docx", "A 63201-2025")</f>
        <v/>
      </c>
      <c r="X65">
        <f>HYPERLINK("https://klasma.github.io/Logging_2380/tillsyn/A 63201-2025 tillsynsbegäran.docx", "A 63201-2025")</f>
        <v/>
      </c>
      <c r="Y65">
        <f>HYPERLINK("https://klasma.github.io/Logging_2380/tillsynsmail/A 63201-2025 tillsynsbegäran mail.docx", "A 63201-2025")</f>
        <v/>
      </c>
      <c r="Z65">
        <f>HYPERLINK("https://klasma.github.io/Logging_2380/fåglar/A 63201-2025 prioriterade fågelarter.docx", "A 63201-2025")</f>
        <v/>
      </c>
    </row>
    <row r="66" ht="15" customHeight="1">
      <c r="A66" t="inlineStr">
        <is>
          <t>A 61153-2024</t>
        </is>
      </c>
      <c r="B66" s="1" t="n">
        <v>45645</v>
      </c>
      <c r="C66" s="1" t="n">
        <v>46059</v>
      </c>
      <c r="D66" t="inlineStr">
        <is>
          <t>JÄMTLANDS LÄN</t>
        </is>
      </c>
      <c r="E66" t="inlineStr">
        <is>
          <t>ÖSTERSUND</t>
        </is>
      </c>
      <c r="G66" t="n">
        <v>8.699999999999999</v>
      </c>
      <c r="H66" t="n">
        <v>5</v>
      </c>
      <c r="I66" t="n">
        <v>0</v>
      </c>
      <c r="J66" t="n">
        <v>4</v>
      </c>
      <c r="K66" t="n">
        <v>1</v>
      </c>
      <c r="L66" t="n">
        <v>0</v>
      </c>
      <c r="M66" t="n">
        <v>0</v>
      </c>
      <c r="N66" t="n">
        <v>0</v>
      </c>
      <c r="O66" t="n">
        <v>5</v>
      </c>
      <c r="P66" t="n">
        <v>1</v>
      </c>
      <c r="Q66" t="n">
        <v>6</v>
      </c>
      <c r="R66" s="2" t="inlineStr">
        <is>
          <t>Knärot
Garnlav
Mindre hackspett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3995-2025</t>
        </is>
      </c>
      <c r="B67" s="1" t="n">
        <v>45684</v>
      </c>
      <c r="C67" s="1" t="n">
        <v>46059</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46059</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40555-2024</t>
        </is>
      </c>
      <c r="B69" s="1" t="n">
        <v>45555</v>
      </c>
      <c r="C69" s="1" t="n">
        <v>46059</v>
      </c>
      <c r="D69" t="inlineStr">
        <is>
          <t>JÄMTLANDS LÄN</t>
        </is>
      </c>
      <c r="E69" t="inlineStr">
        <is>
          <t>ÖSTERSUND</t>
        </is>
      </c>
      <c r="G69" t="n">
        <v>7.7</v>
      </c>
      <c r="H69" t="n">
        <v>3</v>
      </c>
      <c r="I69" t="n">
        <v>3</v>
      </c>
      <c r="J69" t="n">
        <v>2</v>
      </c>
      <c r="K69" t="n">
        <v>1</v>
      </c>
      <c r="L69" t="n">
        <v>0</v>
      </c>
      <c r="M69" t="n">
        <v>0</v>
      </c>
      <c r="N69" t="n">
        <v>0</v>
      </c>
      <c r="O69" t="n">
        <v>3</v>
      </c>
      <c r="P69" t="n">
        <v>1</v>
      </c>
      <c r="Q69" t="n">
        <v>6</v>
      </c>
      <c r="R69" s="2" t="inlineStr">
        <is>
          <t>Knärot
Lunglav
Talltita
Guckusko
Luddlav
Skinnlav</t>
        </is>
      </c>
      <c r="S69">
        <f>HYPERLINK("https://klasma.github.io/Logging_2380/artfynd/A 40555-2024 artfynd.xlsx", "A 40555-2024")</f>
        <v/>
      </c>
      <c r="T69">
        <f>HYPERLINK("https://klasma.github.io/Logging_2380/kartor/A 40555-2024 karta.png", "A 40555-2024")</f>
        <v/>
      </c>
      <c r="U69">
        <f>HYPERLINK("https://klasma.github.io/Logging_2380/knärot/A 40555-2024 karta knärot.png", "A 40555-2024")</f>
        <v/>
      </c>
      <c r="V69">
        <f>HYPERLINK("https://klasma.github.io/Logging_2380/klagomål/A 40555-2024 FSC-klagomål.docx", "A 40555-2024")</f>
        <v/>
      </c>
      <c r="W69">
        <f>HYPERLINK("https://klasma.github.io/Logging_2380/klagomålsmail/A 40555-2024 FSC-klagomål mail.docx", "A 40555-2024")</f>
        <v/>
      </c>
      <c r="X69">
        <f>HYPERLINK("https://klasma.github.io/Logging_2380/tillsyn/A 40555-2024 tillsynsbegäran.docx", "A 40555-2024")</f>
        <v/>
      </c>
      <c r="Y69">
        <f>HYPERLINK("https://klasma.github.io/Logging_2380/tillsynsmail/A 40555-2024 tillsynsbegäran mail.docx", "A 40555-2024")</f>
        <v/>
      </c>
      <c r="Z69">
        <f>HYPERLINK("https://klasma.github.io/Logging_2380/fåglar/A 40555-2024 prioriterade fågelarter.docx", "A 40555-2024")</f>
        <v/>
      </c>
    </row>
    <row r="70" ht="15" customHeight="1">
      <c r="A70" t="inlineStr">
        <is>
          <t>A 27577-2022</t>
        </is>
      </c>
      <c r="B70" s="1" t="n">
        <v>44742</v>
      </c>
      <c r="C70" s="1" t="n">
        <v>46059</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45979-2023</t>
        </is>
      </c>
      <c r="B71" s="1" t="n">
        <v>45189</v>
      </c>
      <c r="C71" s="1" t="n">
        <v>46059</v>
      </c>
      <c r="D71" t="inlineStr">
        <is>
          <t>JÄMTLANDS LÄN</t>
        </is>
      </c>
      <c r="E71" t="inlineStr">
        <is>
          <t>ÖSTERSUND</t>
        </is>
      </c>
      <c r="G71" t="n">
        <v>3.3</v>
      </c>
      <c r="H71" t="n">
        <v>3</v>
      </c>
      <c r="I71" t="n">
        <v>2</v>
      </c>
      <c r="J71" t="n">
        <v>0</v>
      </c>
      <c r="K71" t="n">
        <v>0</v>
      </c>
      <c r="L71" t="n">
        <v>1</v>
      </c>
      <c r="M71" t="n">
        <v>0</v>
      </c>
      <c r="N71" t="n">
        <v>0</v>
      </c>
      <c r="O71" t="n">
        <v>1</v>
      </c>
      <c r="P71" t="n">
        <v>1</v>
      </c>
      <c r="Q71" t="n">
        <v>5</v>
      </c>
      <c r="R71" s="2" t="inlineStr">
        <is>
          <t>Trolldruvemätare
Svart trolldruva
Tvåblad
Dactylorhiza incarnata subsp. incarnata
Ängsnycklar</t>
        </is>
      </c>
      <c r="S71">
        <f>HYPERLINK("https://klasma.github.io/Logging_2380/artfynd/A 45979-2023 artfynd.xlsx", "A 45979-2023")</f>
        <v/>
      </c>
      <c r="T71">
        <f>HYPERLINK("https://klasma.github.io/Logging_2380/kartor/A 45979-2023 karta.png", "A 45979-2023")</f>
        <v/>
      </c>
      <c r="V71">
        <f>HYPERLINK("https://klasma.github.io/Logging_2380/klagomål/A 45979-2023 FSC-klagomål.docx", "A 45979-2023")</f>
        <v/>
      </c>
      <c r="W71">
        <f>HYPERLINK("https://klasma.github.io/Logging_2380/klagomålsmail/A 45979-2023 FSC-klagomål mail.docx", "A 45979-2023")</f>
        <v/>
      </c>
      <c r="X71">
        <f>HYPERLINK("https://klasma.github.io/Logging_2380/tillsyn/A 45979-2023 tillsynsbegäran.docx", "A 45979-2023")</f>
        <v/>
      </c>
      <c r="Y71">
        <f>HYPERLINK("https://klasma.github.io/Logging_2380/tillsynsmail/A 45979-2023 tillsynsbegäran mail.docx", "A 45979-2023")</f>
        <v/>
      </c>
    </row>
    <row r="72" ht="15" customHeight="1">
      <c r="A72" t="inlineStr">
        <is>
          <t>A 59537-2023</t>
        </is>
      </c>
      <c r="B72" s="1" t="n">
        <v>45254</v>
      </c>
      <c r="C72" s="1" t="n">
        <v>46059</v>
      </c>
      <c r="D72" t="inlineStr">
        <is>
          <t>JÄMTLANDS LÄN</t>
        </is>
      </c>
      <c r="E72" t="inlineStr">
        <is>
          <t>ÖSTERSUND</t>
        </is>
      </c>
      <c r="G72" t="n">
        <v>4.1</v>
      </c>
      <c r="H72" t="n">
        <v>3</v>
      </c>
      <c r="I72" t="n">
        <v>0</v>
      </c>
      <c r="J72" t="n">
        <v>4</v>
      </c>
      <c r="K72" t="n">
        <v>0</v>
      </c>
      <c r="L72" t="n">
        <v>0</v>
      </c>
      <c r="M72" t="n">
        <v>0</v>
      </c>
      <c r="N72" t="n">
        <v>0</v>
      </c>
      <c r="O72" t="n">
        <v>4</v>
      </c>
      <c r="P72" t="n">
        <v>0</v>
      </c>
      <c r="Q72" t="n">
        <v>5</v>
      </c>
      <c r="R72" s="2" t="inlineStr">
        <is>
          <t>Granticka
Kråka
Talltita
Ullticka
Revlummer</t>
        </is>
      </c>
      <c r="S72">
        <f>HYPERLINK("https://klasma.github.io/Logging_2380/artfynd/A 59537-2023 artfynd.xlsx", "A 59537-2023")</f>
        <v/>
      </c>
      <c r="T72">
        <f>HYPERLINK("https://klasma.github.io/Logging_2380/kartor/A 59537-2023 karta.png", "A 59537-2023")</f>
        <v/>
      </c>
      <c r="V72">
        <f>HYPERLINK("https://klasma.github.io/Logging_2380/klagomål/A 59537-2023 FSC-klagomål.docx", "A 59537-2023")</f>
        <v/>
      </c>
      <c r="W72">
        <f>HYPERLINK("https://klasma.github.io/Logging_2380/klagomålsmail/A 59537-2023 FSC-klagomål mail.docx", "A 59537-2023")</f>
        <v/>
      </c>
      <c r="X72">
        <f>HYPERLINK("https://klasma.github.io/Logging_2380/tillsyn/A 59537-2023 tillsynsbegäran.docx", "A 59537-2023")</f>
        <v/>
      </c>
      <c r="Y72">
        <f>HYPERLINK("https://klasma.github.io/Logging_2380/tillsynsmail/A 59537-2023 tillsynsbegäran mail.docx", "A 59537-2023")</f>
        <v/>
      </c>
      <c r="Z72">
        <f>HYPERLINK("https://klasma.github.io/Logging_2380/fåglar/A 59537-2023 prioriterade fågelarter.docx", "A 59537-2023")</f>
        <v/>
      </c>
    </row>
    <row r="73" ht="15" customHeight="1">
      <c r="A73" t="inlineStr">
        <is>
          <t>A 58372-2025</t>
        </is>
      </c>
      <c r="B73" s="1" t="n">
        <v>45985.53155092592</v>
      </c>
      <c r="C73" s="1" t="n">
        <v>46059</v>
      </c>
      <c r="D73" t="inlineStr">
        <is>
          <t>JÄMTLANDS LÄN</t>
        </is>
      </c>
      <c r="E73" t="inlineStr">
        <is>
          <t>ÖSTERSUND</t>
        </is>
      </c>
      <c r="G73" t="n">
        <v>7.1</v>
      </c>
      <c r="H73" t="n">
        <v>1</v>
      </c>
      <c r="I73" t="n">
        <v>0</v>
      </c>
      <c r="J73" t="n">
        <v>5</v>
      </c>
      <c r="K73" t="n">
        <v>0</v>
      </c>
      <c r="L73" t="n">
        <v>0</v>
      </c>
      <c r="M73" t="n">
        <v>0</v>
      </c>
      <c r="N73" t="n">
        <v>0</v>
      </c>
      <c r="O73" t="n">
        <v>5</v>
      </c>
      <c r="P73" t="n">
        <v>0</v>
      </c>
      <c r="Q73" t="n">
        <v>5</v>
      </c>
      <c r="R73" s="2" t="inlineStr">
        <is>
          <t>Garnlav
Harticka
Lunglav
Tretåig hackspett
Ullticka</t>
        </is>
      </c>
      <c r="S73">
        <f>HYPERLINK("https://klasma.github.io/Logging_2380/artfynd/A 58372-2025 artfynd.xlsx", "A 58372-2025")</f>
        <v/>
      </c>
      <c r="T73">
        <f>HYPERLINK("https://klasma.github.io/Logging_2380/kartor/A 58372-2025 karta.png", "A 58372-2025")</f>
        <v/>
      </c>
      <c r="V73">
        <f>HYPERLINK("https://klasma.github.io/Logging_2380/klagomål/A 58372-2025 FSC-klagomål.docx", "A 58372-2025")</f>
        <v/>
      </c>
      <c r="W73">
        <f>HYPERLINK("https://klasma.github.io/Logging_2380/klagomålsmail/A 58372-2025 FSC-klagomål mail.docx", "A 58372-2025")</f>
        <v/>
      </c>
      <c r="X73">
        <f>HYPERLINK("https://klasma.github.io/Logging_2380/tillsyn/A 58372-2025 tillsynsbegäran.docx", "A 58372-2025")</f>
        <v/>
      </c>
      <c r="Y73">
        <f>HYPERLINK("https://klasma.github.io/Logging_2380/tillsynsmail/A 58372-2025 tillsynsbegäran mail.docx", "A 58372-2025")</f>
        <v/>
      </c>
      <c r="Z73">
        <f>HYPERLINK("https://klasma.github.io/Logging_2380/fåglar/A 58372-2025 prioriterade fågelarter.docx", "A 58372-2025")</f>
        <v/>
      </c>
    </row>
    <row r="74" ht="15" customHeight="1">
      <c r="A74" t="inlineStr">
        <is>
          <t>A 56499-2025</t>
        </is>
      </c>
      <c r="B74" s="1" t="n">
        <v>45975.43427083334</v>
      </c>
      <c r="C74" s="1" t="n">
        <v>46059</v>
      </c>
      <c r="D74" t="inlineStr">
        <is>
          <t>JÄMTLANDS LÄN</t>
        </is>
      </c>
      <c r="E74" t="inlineStr">
        <is>
          <t>ÖSTERSUND</t>
        </is>
      </c>
      <c r="G74" t="n">
        <v>7.4</v>
      </c>
      <c r="H74" t="n">
        <v>2</v>
      </c>
      <c r="I74" t="n">
        <v>1</v>
      </c>
      <c r="J74" t="n">
        <v>3</v>
      </c>
      <c r="K74" t="n">
        <v>0</v>
      </c>
      <c r="L74" t="n">
        <v>0</v>
      </c>
      <c r="M74" t="n">
        <v>0</v>
      </c>
      <c r="N74" t="n">
        <v>0</v>
      </c>
      <c r="O74" t="n">
        <v>3</v>
      </c>
      <c r="P74" t="n">
        <v>0</v>
      </c>
      <c r="Q74" t="n">
        <v>5</v>
      </c>
      <c r="R74" s="2" t="inlineStr">
        <is>
          <t>Garnlav
Lunglav
Tretåig hackspett
Luddlav
Revlummer</t>
        </is>
      </c>
      <c r="S74">
        <f>HYPERLINK("https://klasma.github.io/Logging_2380/artfynd/A 56499-2025 artfynd.xlsx", "A 56499-2025")</f>
        <v/>
      </c>
      <c r="T74">
        <f>HYPERLINK("https://klasma.github.io/Logging_2380/kartor/A 56499-2025 karta.png", "A 56499-2025")</f>
        <v/>
      </c>
      <c r="V74">
        <f>HYPERLINK("https://klasma.github.io/Logging_2380/klagomål/A 56499-2025 FSC-klagomål.docx", "A 56499-2025")</f>
        <v/>
      </c>
      <c r="W74">
        <f>HYPERLINK("https://klasma.github.io/Logging_2380/klagomålsmail/A 56499-2025 FSC-klagomål mail.docx", "A 56499-2025")</f>
        <v/>
      </c>
      <c r="X74">
        <f>HYPERLINK("https://klasma.github.io/Logging_2380/tillsyn/A 56499-2025 tillsynsbegäran.docx", "A 56499-2025")</f>
        <v/>
      </c>
      <c r="Y74">
        <f>HYPERLINK("https://klasma.github.io/Logging_2380/tillsynsmail/A 56499-2025 tillsynsbegäran mail.docx", "A 56499-2025")</f>
        <v/>
      </c>
      <c r="Z74">
        <f>HYPERLINK("https://klasma.github.io/Logging_2380/fåglar/A 56499-2025 prioriterade fågelarter.docx", "A 56499-2025")</f>
        <v/>
      </c>
    </row>
    <row r="75" ht="15" customHeight="1">
      <c r="A75" t="inlineStr">
        <is>
          <t>A 62060-2025</t>
        </is>
      </c>
      <c r="B75" s="1" t="n">
        <v>46006.34435185185</v>
      </c>
      <c r="C75" s="1" t="n">
        <v>46059</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39941-2024</t>
        </is>
      </c>
      <c r="B76" s="1" t="n">
        <v>45553</v>
      </c>
      <c r="C76" s="1" t="n">
        <v>46059</v>
      </c>
      <c r="D76" t="inlineStr">
        <is>
          <t>JÄMTLANDS LÄN</t>
        </is>
      </c>
      <c r="E76" t="inlineStr">
        <is>
          <t>ÖSTERSUND</t>
        </is>
      </c>
      <c r="G76" t="n">
        <v>6</v>
      </c>
      <c r="H76" t="n">
        <v>0</v>
      </c>
      <c r="I76" t="n">
        <v>2</v>
      </c>
      <c r="J76" t="n">
        <v>3</v>
      </c>
      <c r="K76" t="n">
        <v>0</v>
      </c>
      <c r="L76" t="n">
        <v>0</v>
      </c>
      <c r="M76" t="n">
        <v>0</v>
      </c>
      <c r="N76" t="n">
        <v>0</v>
      </c>
      <c r="O76" t="n">
        <v>3</v>
      </c>
      <c r="P76" t="n">
        <v>0</v>
      </c>
      <c r="Q76" t="n">
        <v>5</v>
      </c>
      <c r="R76" s="2" t="inlineStr">
        <is>
          <t>Garnlav
Lunglav
Skrovellav
Bårdlav
Luddlav</t>
        </is>
      </c>
      <c r="S76">
        <f>HYPERLINK("https://klasma.github.io/Logging_2380/artfynd/A 39941-2024 artfynd.xlsx", "A 39941-2024")</f>
        <v/>
      </c>
      <c r="T76">
        <f>HYPERLINK("https://klasma.github.io/Logging_2380/kartor/A 39941-2024 karta.png", "A 39941-2024")</f>
        <v/>
      </c>
      <c r="V76">
        <f>HYPERLINK("https://klasma.github.io/Logging_2380/klagomål/A 39941-2024 FSC-klagomål.docx", "A 39941-2024")</f>
        <v/>
      </c>
      <c r="W76">
        <f>HYPERLINK("https://klasma.github.io/Logging_2380/klagomålsmail/A 39941-2024 FSC-klagomål mail.docx", "A 39941-2024")</f>
        <v/>
      </c>
      <c r="X76">
        <f>HYPERLINK("https://klasma.github.io/Logging_2380/tillsyn/A 39941-2024 tillsynsbegäran.docx", "A 39941-2024")</f>
        <v/>
      </c>
      <c r="Y76">
        <f>HYPERLINK("https://klasma.github.io/Logging_2380/tillsynsmail/A 39941-2024 tillsynsbegäran mail.docx", "A 39941-2024")</f>
        <v/>
      </c>
    </row>
    <row r="77" ht="15" customHeight="1">
      <c r="A77" t="inlineStr">
        <is>
          <t>A 56934-2025</t>
        </is>
      </c>
      <c r="B77" s="1" t="n">
        <v>45978.61351851852</v>
      </c>
      <c r="C77" s="1" t="n">
        <v>46059</v>
      </c>
      <c r="D77" t="inlineStr">
        <is>
          <t>JÄMTLANDS LÄN</t>
        </is>
      </c>
      <c r="E77" t="inlineStr">
        <is>
          <t>ÖSTERSUND</t>
        </is>
      </c>
      <c r="G77" t="n">
        <v>4.3</v>
      </c>
      <c r="H77" t="n">
        <v>2</v>
      </c>
      <c r="I77" t="n">
        <v>0</v>
      </c>
      <c r="J77" t="n">
        <v>4</v>
      </c>
      <c r="K77" t="n">
        <v>0</v>
      </c>
      <c r="L77" t="n">
        <v>0</v>
      </c>
      <c r="M77" t="n">
        <v>0</v>
      </c>
      <c r="N77" t="n">
        <v>0</v>
      </c>
      <c r="O77" t="n">
        <v>4</v>
      </c>
      <c r="P77" t="n">
        <v>0</v>
      </c>
      <c r="Q77" t="n">
        <v>5</v>
      </c>
      <c r="R77" s="2" t="inlineStr">
        <is>
          <t>Garnlav
Granticka
Harticka
Talltita
Revlummer</t>
        </is>
      </c>
      <c r="S77">
        <f>HYPERLINK("https://klasma.github.io/Logging_2380/artfynd/A 56934-2025 artfynd.xlsx", "A 56934-2025")</f>
        <v/>
      </c>
      <c r="T77">
        <f>HYPERLINK("https://klasma.github.io/Logging_2380/kartor/A 56934-2025 karta.png", "A 56934-2025")</f>
        <v/>
      </c>
      <c r="V77">
        <f>HYPERLINK("https://klasma.github.io/Logging_2380/klagomål/A 56934-2025 FSC-klagomål.docx", "A 56934-2025")</f>
        <v/>
      </c>
      <c r="W77">
        <f>HYPERLINK("https://klasma.github.io/Logging_2380/klagomålsmail/A 56934-2025 FSC-klagomål mail.docx", "A 56934-2025")</f>
        <v/>
      </c>
      <c r="X77">
        <f>HYPERLINK("https://klasma.github.io/Logging_2380/tillsyn/A 56934-2025 tillsynsbegäran.docx", "A 56934-2025")</f>
        <v/>
      </c>
      <c r="Y77">
        <f>HYPERLINK("https://klasma.github.io/Logging_2380/tillsynsmail/A 56934-2025 tillsynsbegäran mail.docx", "A 56934-2025")</f>
        <v/>
      </c>
      <c r="Z77">
        <f>HYPERLINK("https://klasma.github.io/Logging_2380/fåglar/A 56934-2025 prioriterade fågelarter.docx", "A 56934-2025")</f>
        <v/>
      </c>
    </row>
    <row r="78" ht="15" customHeight="1">
      <c r="A78" t="inlineStr">
        <is>
          <t>A 54731-2024</t>
        </is>
      </c>
      <c r="B78" s="1" t="n">
        <v>45618.43853009259</v>
      </c>
      <c r="C78" s="1" t="n">
        <v>46059</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38334-2023</t>
        </is>
      </c>
      <c r="B79" s="1" t="n">
        <v>45161</v>
      </c>
      <c r="C79" s="1" t="n">
        <v>46059</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7717-2024</t>
        </is>
      </c>
      <c r="B80" s="1" t="n">
        <v>45349</v>
      </c>
      <c r="C80" s="1" t="n">
        <v>46059</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46059</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29117-2025</t>
        </is>
      </c>
      <c r="B82" s="1" t="n">
        <v>45821.59243055555</v>
      </c>
      <c r="C82" s="1" t="n">
        <v>46059</v>
      </c>
      <c r="D82" t="inlineStr">
        <is>
          <t>JÄMTLANDS LÄN</t>
        </is>
      </c>
      <c r="E82" t="inlineStr">
        <is>
          <t>ÖSTERSUND</t>
        </is>
      </c>
      <c r="G82" t="n">
        <v>15.4</v>
      </c>
      <c r="H82" t="n">
        <v>5</v>
      </c>
      <c r="I82" t="n">
        <v>2</v>
      </c>
      <c r="J82" t="n">
        <v>0</v>
      </c>
      <c r="K82" t="n">
        <v>1</v>
      </c>
      <c r="L82" t="n">
        <v>0</v>
      </c>
      <c r="M82" t="n">
        <v>0</v>
      </c>
      <c r="N82" t="n">
        <v>0</v>
      </c>
      <c r="O82" t="n">
        <v>1</v>
      </c>
      <c r="P82" t="n">
        <v>1</v>
      </c>
      <c r="Q82" t="n">
        <v>5</v>
      </c>
      <c r="R82" s="2" t="inlineStr">
        <is>
          <t>Knärot
Guckusko
Spindelblomster
Fläcknycklar
Revlummer</t>
        </is>
      </c>
      <c r="S82">
        <f>HYPERLINK("https://klasma.github.io/Logging_2380/artfynd/A 29117-2025 artfynd.xlsx", "A 29117-2025")</f>
        <v/>
      </c>
      <c r="T82">
        <f>HYPERLINK("https://klasma.github.io/Logging_2380/kartor/A 29117-2025 karta.png", "A 29117-2025")</f>
        <v/>
      </c>
      <c r="U82">
        <f>HYPERLINK("https://klasma.github.io/Logging_2380/knärot/A 29117-2025 karta knärot.png", "A 29117-2025")</f>
        <v/>
      </c>
      <c r="V82">
        <f>HYPERLINK("https://klasma.github.io/Logging_2380/klagomål/A 29117-2025 FSC-klagomål.docx", "A 29117-2025")</f>
        <v/>
      </c>
      <c r="W82">
        <f>HYPERLINK("https://klasma.github.io/Logging_2380/klagomålsmail/A 29117-2025 FSC-klagomål mail.docx", "A 29117-2025")</f>
        <v/>
      </c>
      <c r="X82">
        <f>HYPERLINK("https://klasma.github.io/Logging_2380/tillsyn/A 29117-2025 tillsynsbegäran.docx", "A 29117-2025")</f>
        <v/>
      </c>
      <c r="Y82">
        <f>HYPERLINK("https://klasma.github.io/Logging_2380/tillsynsmail/A 29117-2025 tillsynsbegäran mail.docx", "A 29117-2025")</f>
        <v/>
      </c>
    </row>
    <row r="83" ht="15" customHeight="1">
      <c r="A83" t="inlineStr">
        <is>
          <t>A 57711-2025</t>
        </is>
      </c>
      <c r="B83" s="1" t="n">
        <v>45981.47217592593</v>
      </c>
      <c r="C83" s="1" t="n">
        <v>46059</v>
      </c>
      <c r="D83" t="inlineStr">
        <is>
          <t>JÄMTLANDS LÄN</t>
        </is>
      </c>
      <c r="E83" t="inlineStr">
        <is>
          <t>ÖSTERSUND</t>
        </is>
      </c>
      <c r="F83" t="inlineStr">
        <is>
          <t>Övriga Aktiebolag</t>
        </is>
      </c>
      <c r="G83" t="n">
        <v>2.6</v>
      </c>
      <c r="H83" t="n">
        <v>0</v>
      </c>
      <c r="I83" t="n">
        <v>4</v>
      </c>
      <c r="J83" t="n">
        <v>0</v>
      </c>
      <c r="K83" t="n">
        <v>0</v>
      </c>
      <c r="L83" t="n">
        <v>0</v>
      </c>
      <c r="M83" t="n">
        <v>0</v>
      </c>
      <c r="N83" t="n">
        <v>0</v>
      </c>
      <c r="O83" t="n">
        <v>0</v>
      </c>
      <c r="P83" t="n">
        <v>0</v>
      </c>
      <c r="Q83" t="n">
        <v>4</v>
      </c>
      <c r="R83" s="2" t="inlineStr">
        <is>
          <t>Diskvaxskivling
Fjällig taggsvamp s.str.
Kransrams
Kryddspindling</t>
        </is>
      </c>
      <c r="S83">
        <f>HYPERLINK("https://klasma.github.io/Logging_2380/artfynd/A 57711-2025 artfynd.xlsx", "A 57711-2025")</f>
        <v/>
      </c>
      <c r="T83">
        <f>HYPERLINK("https://klasma.github.io/Logging_2380/kartor/A 57711-2025 karta.png", "A 57711-2025")</f>
        <v/>
      </c>
      <c r="V83">
        <f>HYPERLINK("https://klasma.github.io/Logging_2380/klagomål/A 57711-2025 FSC-klagomål.docx", "A 57711-2025")</f>
        <v/>
      </c>
      <c r="W83">
        <f>HYPERLINK("https://klasma.github.io/Logging_2380/klagomålsmail/A 57711-2025 FSC-klagomål mail.docx", "A 57711-2025")</f>
        <v/>
      </c>
      <c r="X83">
        <f>HYPERLINK("https://klasma.github.io/Logging_2380/tillsyn/A 57711-2025 tillsynsbegäran.docx", "A 57711-2025")</f>
        <v/>
      </c>
      <c r="Y83">
        <f>HYPERLINK("https://klasma.github.io/Logging_2380/tillsynsmail/A 57711-2025 tillsynsbegäran mail.docx", "A 57711-2025")</f>
        <v/>
      </c>
    </row>
    <row r="84" ht="15" customHeight="1">
      <c r="A84" t="inlineStr">
        <is>
          <t>A 7698-2024</t>
        </is>
      </c>
      <c r="B84" s="1" t="n">
        <v>45349</v>
      </c>
      <c r="C84" s="1" t="n">
        <v>46059</v>
      </c>
      <c r="D84" t="inlineStr">
        <is>
          <t>JÄMTLANDS LÄN</t>
        </is>
      </c>
      <c r="E84" t="inlineStr">
        <is>
          <t>ÖSTERSUND</t>
        </is>
      </c>
      <c r="F84" t="inlineStr">
        <is>
          <t>Övriga Aktiebolag</t>
        </is>
      </c>
      <c r="G84" t="n">
        <v>4.5</v>
      </c>
      <c r="H84" t="n">
        <v>2</v>
      </c>
      <c r="I84" t="n">
        <v>1</v>
      </c>
      <c r="J84" t="n">
        <v>2</v>
      </c>
      <c r="K84" t="n">
        <v>0</v>
      </c>
      <c r="L84" t="n">
        <v>0</v>
      </c>
      <c r="M84" t="n">
        <v>0</v>
      </c>
      <c r="N84" t="n">
        <v>0</v>
      </c>
      <c r="O84" t="n">
        <v>2</v>
      </c>
      <c r="P84" t="n">
        <v>0</v>
      </c>
      <c r="Q84" t="n">
        <v>4</v>
      </c>
      <c r="R84" s="2" t="inlineStr">
        <is>
          <t>Brunklöver
Månlåsbräken
Tvåblad
Brudsporre</t>
        </is>
      </c>
      <c r="S84">
        <f>HYPERLINK("https://klasma.github.io/Logging_2380/artfynd/A 7698-2024 artfynd.xlsx", "A 7698-2024")</f>
        <v/>
      </c>
      <c r="T84">
        <f>HYPERLINK("https://klasma.github.io/Logging_2380/kartor/A 7698-2024 karta.png", "A 7698-2024")</f>
        <v/>
      </c>
      <c r="V84">
        <f>HYPERLINK("https://klasma.github.io/Logging_2380/klagomål/A 7698-2024 FSC-klagomål.docx", "A 7698-2024")</f>
        <v/>
      </c>
      <c r="W84">
        <f>HYPERLINK("https://klasma.github.io/Logging_2380/klagomålsmail/A 7698-2024 FSC-klagomål mail.docx", "A 7698-2024")</f>
        <v/>
      </c>
      <c r="X84">
        <f>HYPERLINK("https://klasma.github.io/Logging_2380/tillsyn/A 7698-2024 tillsynsbegäran.docx", "A 7698-2024")</f>
        <v/>
      </c>
      <c r="Y84">
        <f>HYPERLINK("https://klasma.github.io/Logging_2380/tillsynsmail/A 7698-2024 tillsynsbegäran mail.docx", "A 7698-2024")</f>
        <v/>
      </c>
    </row>
    <row r="85" ht="15" customHeight="1">
      <c r="A85" t="inlineStr">
        <is>
          <t>A 41493-2025</t>
        </is>
      </c>
      <c r="B85" s="1" t="n">
        <v>45901.49171296296</v>
      </c>
      <c r="C85" s="1" t="n">
        <v>46059</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60580-2024</t>
        </is>
      </c>
      <c r="B86" s="1" t="n">
        <v>45644</v>
      </c>
      <c r="C86" s="1" t="n">
        <v>46059</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31127-2025</t>
        </is>
      </c>
      <c r="B87" s="1" t="n">
        <v>45831</v>
      </c>
      <c r="C87" s="1" t="n">
        <v>46059</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49192-2025</t>
        </is>
      </c>
      <c r="B88" s="1" t="n">
        <v>45938.40790509259</v>
      </c>
      <c r="C88" s="1" t="n">
        <v>46059</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5171-2026</t>
        </is>
      </c>
      <c r="B89" s="1" t="n">
        <v>46049.64416666667</v>
      </c>
      <c r="C89" s="1" t="n">
        <v>46059</v>
      </c>
      <c r="D89" t="inlineStr">
        <is>
          <t>JÄMTLANDS LÄN</t>
        </is>
      </c>
      <c r="E89" t="inlineStr">
        <is>
          <t>ÖSTERSUND</t>
        </is>
      </c>
      <c r="G89" t="n">
        <v>4.1</v>
      </c>
      <c r="H89" t="n">
        <v>1</v>
      </c>
      <c r="I89" t="n">
        <v>4</v>
      </c>
      <c r="J89" t="n">
        <v>0</v>
      </c>
      <c r="K89" t="n">
        <v>0</v>
      </c>
      <c r="L89" t="n">
        <v>0</v>
      </c>
      <c r="M89" t="n">
        <v>0</v>
      </c>
      <c r="N89" t="n">
        <v>0</v>
      </c>
      <c r="O89" t="n">
        <v>0</v>
      </c>
      <c r="P89" t="n">
        <v>0</v>
      </c>
      <c r="Q89" t="n">
        <v>4</v>
      </c>
      <c r="R89" s="2" t="inlineStr">
        <is>
          <t>Fjällig taggsvamp s.str.
Korallblylav
Korallrot
Stuplav</t>
        </is>
      </c>
      <c r="S89">
        <f>HYPERLINK("https://klasma.github.io/Logging_2380/artfynd/A 5171-2026 artfynd.xlsx", "A 5171-2026")</f>
        <v/>
      </c>
      <c r="T89">
        <f>HYPERLINK("https://klasma.github.io/Logging_2380/kartor/A 5171-2026 karta.png", "A 5171-2026")</f>
        <v/>
      </c>
      <c r="V89">
        <f>HYPERLINK("https://klasma.github.io/Logging_2380/klagomål/A 5171-2026 FSC-klagomål.docx", "A 5171-2026")</f>
        <v/>
      </c>
      <c r="W89">
        <f>HYPERLINK("https://klasma.github.io/Logging_2380/klagomålsmail/A 5171-2026 FSC-klagomål mail.docx", "A 5171-2026")</f>
        <v/>
      </c>
      <c r="X89">
        <f>HYPERLINK("https://klasma.github.io/Logging_2380/tillsyn/A 5171-2026 tillsynsbegäran.docx", "A 5171-2026")</f>
        <v/>
      </c>
      <c r="Y89">
        <f>HYPERLINK("https://klasma.github.io/Logging_2380/tillsynsmail/A 5171-2026 tillsynsbegäran mail.docx", "A 5171-2026")</f>
        <v/>
      </c>
    </row>
    <row r="90" ht="15" customHeight="1">
      <c r="A90" t="inlineStr">
        <is>
          <t>A 55344-2023</t>
        </is>
      </c>
      <c r="B90" s="1" t="n">
        <v>45237</v>
      </c>
      <c r="C90" s="1" t="n">
        <v>46059</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2962-2023</t>
        </is>
      </c>
      <c r="B91" s="1" t="n">
        <v>44945</v>
      </c>
      <c r="C91" s="1" t="n">
        <v>46059</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55258-2025</t>
        </is>
      </c>
      <c r="B92" s="1" t="n">
        <v>45968.6444212963</v>
      </c>
      <c r="C92" s="1" t="n">
        <v>46059</v>
      </c>
      <c r="D92" t="inlineStr">
        <is>
          <t>JÄMTLANDS LÄN</t>
        </is>
      </c>
      <c r="E92" t="inlineStr">
        <is>
          <t>ÖSTERSUND</t>
        </is>
      </c>
      <c r="G92" t="n">
        <v>4.2</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55258-2025 artfynd.xlsx", "A 55258-2025")</f>
        <v/>
      </c>
      <c r="T92">
        <f>HYPERLINK("https://klasma.github.io/Logging_2380/kartor/A 55258-2025 karta.png", "A 55258-2025")</f>
        <v/>
      </c>
      <c r="V92">
        <f>HYPERLINK("https://klasma.github.io/Logging_2380/klagomål/A 55258-2025 FSC-klagomål.docx", "A 55258-2025")</f>
        <v/>
      </c>
      <c r="W92">
        <f>HYPERLINK("https://klasma.github.io/Logging_2380/klagomålsmail/A 55258-2025 FSC-klagomål mail.docx", "A 55258-2025")</f>
        <v/>
      </c>
      <c r="X92">
        <f>HYPERLINK("https://klasma.github.io/Logging_2380/tillsyn/A 55258-2025 tillsynsbegäran.docx", "A 55258-2025")</f>
        <v/>
      </c>
      <c r="Y92">
        <f>HYPERLINK("https://klasma.github.io/Logging_2380/tillsynsmail/A 55258-2025 tillsynsbegäran mail.docx", "A 55258-2025")</f>
        <v/>
      </c>
      <c r="Z92">
        <f>HYPERLINK("https://klasma.github.io/Logging_2380/fåglar/A 55258-2025 prioriterade fågelarter.docx", "A 55258-2025")</f>
        <v/>
      </c>
    </row>
    <row r="93" ht="15" customHeight="1">
      <c r="A93" t="inlineStr">
        <is>
          <t>A 38335-2023</t>
        </is>
      </c>
      <c r="B93" s="1" t="n">
        <v>45161</v>
      </c>
      <c r="C93" s="1" t="n">
        <v>46059</v>
      </c>
      <c r="D93" t="inlineStr">
        <is>
          <t>JÄMTLANDS LÄN</t>
        </is>
      </c>
      <c r="E93" t="inlineStr">
        <is>
          <t>ÖSTERSUND</t>
        </is>
      </c>
      <c r="G93" t="n">
        <v>15.1</v>
      </c>
      <c r="H93" t="n">
        <v>3</v>
      </c>
      <c r="I93" t="n">
        <v>0</v>
      </c>
      <c r="J93" t="n">
        <v>2</v>
      </c>
      <c r="K93" t="n">
        <v>1</v>
      </c>
      <c r="L93" t="n">
        <v>0</v>
      </c>
      <c r="M93" t="n">
        <v>0</v>
      </c>
      <c r="N93" t="n">
        <v>0</v>
      </c>
      <c r="O93" t="n">
        <v>3</v>
      </c>
      <c r="P93" t="n">
        <v>1</v>
      </c>
      <c r="Q93" t="n">
        <v>4</v>
      </c>
      <c r="R93" s="2" t="inlineStr">
        <is>
          <t>Tallbit
Rosenticka
Tretåig hackspett
Lavskrika</t>
        </is>
      </c>
      <c r="S93">
        <f>HYPERLINK("https://klasma.github.io/Logging_2380/artfynd/A 38335-2023 artfynd.xlsx", "A 38335-2023")</f>
        <v/>
      </c>
      <c r="T93">
        <f>HYPERLINK("https://klasma.github.io/Logging_2380/kartor/A 38335-2023 karta.png", "A 38335-2023")</f>
        <v/>
      </c>
      <c r="V93">
        <f>HYPERLINK("https://klasma.github.io/Logging_2380/klagomål/A 38335-2023 FSC-klagomål.docx", "A 38335-2023")</f>
        <v/>
      </c>
      <c r="W93">
        <f>HYPERLINK("https://klasma.github.io/Logging_2380/klagomålsmail/A 38335-2023 FSC-klagomål mail.docx", "A 38335-2023")</f>
        <v/>
      </c>
      <c r="X93">
        <f>HYPERLINK("https://klasma.github.io/Logging_2380/tillsyn/A 38335-2023 tillsynsbegäran.docx", "A 38335-2023")</f>
        <v/>
      </c>
      <c r="Y93">
        <f>HYPERLINK("https://klasma.github.io/Logging_2380/tillsynsmail/A 38335-2023 tillsynsbegäran mail.docx", "A 38335-2023")</f>
        <v/>
      </c>
      <c r="Z93">
        <f>HYPERLINK("https://klasma.github.io/Logging_2380/fåglar/A 38335-2023 prioriterade fågelarter.docx", "A 38335-2023")</f>
        <v/>
      </c>
    </row>
    <row r="94" ht="15" customHeight="1">
      <c r="A94" t="inlineStr">
        <is>
          <t>A 29135-2022</t>
        </is>
      </c>
      <c r="B94" s="1" t="n">
        <v>44750</v>
      </c>
      <c r="C94" s="1" t="n">
        <v>46059</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46059</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25369-2024</t>
        </is>
      </c>
      <c r="B96" s="1" t="n">
        <v>45462.95982638889</v>
      </c>
      <c r="C96" s="1" t="n">
        <v>46059</v>
      </c>
      <c r="D96" t="inlineStr">
        <is>
          <t>JÄMTLANDS LÄN</t>
        </is>
      </c>
      <c r="E96" t="inlineStr">
        <is>
          <t>ÖSTERSUND</t>
        </is>
      </c>
      <c r="G96" t="n">
        <v>14.7</v>
      </c>
      <c r="H96" t="n">
        <v>1</v>
      </c>
      <c r="I96" t="n">
        <v>2</v>
      </c>
      <c r="J96" t="n">
        <v>1</v>
      </c>
      <c r="K96" t="n">
        <v>0</v>
      </c>
      <c r="L96" t="n">
        <v>0</v>
      </c>
      <c r="M96" t="n">
        <v>0</v>
      </c>
      <c r="N96" t="n">
        <v>0</v>
      </c>
      <c r="O96" t="n">
        <v>1</v>
      </c>
      <c r="P96" t="n">
        <v>0</v>
      </c>
      <c r="Q96" t="n">
        <v>4</v>
      </c>
      <c r="R96" s="2" t="inlineStr">
        <is>
          <t>Ullticka
Kransrams
Underviol
Blåsippa</t>
        </is>
      </c>
      <c r="S96">
        <f>HYPERLINK("https://klasma.github.io/Logging_2380/artfynd/A 25369-2024 artfynd.xlsx", "A 25369-2024")</f>
        <v/>
      </c>
      <c r="T96">
        <f>HYPERLINK("https://klasma.github.io/Logging_2380/kartor/A 25369-2024 karta.png", "A 25369-2024")</f>
        <v/>
      </c>
      <c r="V96">
        <f>HYPERLINK("https://klasma.github.io/Logging_2380/klagomål/A 25369-2024 FSC-klagomål.docx", "A 25369-2024")</f>
        <v/>
      </c>
      <c r="W96">
        <f>HYPERLINK("https://klasma.github.io/Logging_2380/klagomålsmail/A 25369-2024 FSC-klagomål mail.docx", "A 25369-2024")</f>
        <v/>
      </c>
      <c r="X96">
        <f>HYPERLINK("https://klasma.github.io/Logging_2380/tillsyn/A 25369-2024 tillsynsbegäran.docx", "A 25369-2024")</f>
        <v/>
      </c>
      <c r="Y96">
        <f>HYPERLINK("https://klasma.github.io/Logging_2380/tillsynsmail/A 25369-2024 tillsynsbegäran mail.docx", "A 25369-2024")</f>
        <v/>
      </c>
    </row>
    <row r="97" ht="15" customHeight="1">
      <c r="A97" t="inlineStr">
        <is>
          <t>A 54421-2021</t>
        </is>
      </c>
      <c r="B97" s="1" t="n">
        <v>44473.43114583333</v>
      </c>
      <c r="C97" s="1" t="n">
        <v>46059</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36806-2025</t>
        </is>
      </c>
      <c r="B98" s="1" t="n">
        <v>45873.69988425926</v>
      </c>
      <c r="C98" s="1" t="n">
        <v>46059</v>
      </c>
      <c r="D98" t="inlineStr">
        <is>
          <t>JÄMTLANDS LÄN</t>
        </is>
      </c>
      <c r="E98" t="inlineStr">
        <is>
          <t>ÖSTERSUND</t>
        </is>
      </c>
      <c r="G98" t="n">
        <v>9.800000000000001</v>
      </c>
      <c r="H98" t="n">
        <v>2</v>
      </c>
      <c r="I98" t="n">
        <v>2</v>
      </c>
      <c r="J98" t="n">
        <v>0</v>
      </c>
      <c r="K98" t="n">
        <v>0</v>
      </c>
      <c r="L98" t="n">
        <v>0</v>
      </c>
      <c r="M98" t="n">
        <v>0</v>
      </c>
      <c r="N98" t="n">
        <v>0</v>
      </c>
      <c r="O98" t="n">
        <v>0</v>
      </c>
      <c r="P98" t="n">
        <v>0</v>
      </c>
      <c r="Q98" t="n">
        <v>3</v>
      </c>
      <c r="R98" s="2" t="inlineStr">
        <is>
          <t>Grönkulla
Vårärt
Blåsippa</t>
        </is>
      </c>
      <c r="S98">
        <f>HYPERLINK("https://klasma.github.io/Logging_2380/artfynd/A 36806-2025 artfynd.xlsx", "A 36806-2025")</f>
        <v/>
      </c>
      <c r="T98">
        <f>HYPERLINK("https://klasma.github.io/Logging_2380/kartor/A 36806-2025 karta.png", "A 36806-2025")</f>
        <v/>
      </c>
      <c r="V98">
        <f>HYPERLINK("https://klasma.github.io/Logging_2380/klagomål/A 36806-2025 FSC-klagomål.docx", "A 36806-2025")</f>
        <v/>
      </c>
      <c r="W98">
        <f>HYPERLINK("https://klasma.github.io/Logging_2380/klagomålsmail/A 36806-2025 FSC-klagomål mail.docx", "A 36806-2025")</f>
        <v/>
      </c>
      <c r="X98">
        <f>HYPERLINK("https://klasma.github.io/Logging_2380/tillsyn/A 36806-2025 tillsynsbegäran.docx", "A 36806-2025")</f>
        <v/>
      </c>
      <c r="Y98">
        <f>HYPERLINK("https://klasma.github.io/Logging_2380/tillsynsmail/A 36806-2025 tillsynsbegäran mail.docx", "A 36806-2025")</f>
        <v/>
      </c>
    </row>
    <row r="99" ht="15" customHeight="1">
      <c r="A99" t="inlineStr">
        <is>
          <t>A 60565-2022</t>
        </is>
      </c>
      <c r="B99" s="1" t="n">
        <v>44904</v>
      </c>
      <c r="C99" s="1" t="n">
        <v>46059</v>
      </c>
      <c r="D99" t="inlineStr">
        <is>
          <t>JÄMTLANDS LÄN</t>
        </is>
      </c>
      <c r="E99" t="inlineStr">
        <is>
          <t>ÖSTERSUND</t>
        </is>
      </c>
      <c r="G99" t="n">
        <v>2.5</v>
      </c>
      <c r="H99" t="n">
        <v>2</v>
      </c>
      <c r="I99" t="n">
        <v>0</v>
      </c>
      <c r="J99" t="n">
        <v>2</v>
      </c>
      <c r="K99" t="n">
        <v>0</v>
      </c>
      <c r="L99" t="n">
        <v>0</v>
      </c>
      <c r="M99" t="n">
        <v>0</v>
      </c>
      <c r="N99" t="n">
        <v>0</v>
      </c>
      <c r="O99" t="n">
        <v>2</v>
      </c>
      <c r="P99" t="n">
        <v>0</v>
      </c>
      <c r="Q99" t="n">
        <v>3</v>
      </c>
      <c r="R99" s="2" t="inlineStr">
        <is>
          <t>Garnlav
Talltita
Revlummer</t>
        </is>
      </c>
      <c r="S99">
        <f>HYPERLINK("https://klasma.github.io/Logging_2380/artfynd/A 60565-2022 artfynd.xlsx", "A 60565-2022")</f>
        <v/>
      </c>
      <c r="T99">
        <f>HYPERLINK("https://klasma.github.io/Logging_2380/kartor/A 60565-2022 karta.png", "A 60565-2022")</f>
        <v/>
      </c>
      <c r="V99">
        <f>HYPERLINK("https://klasma.github.io/Logging_2380/klagomål/A 60565-2022 FSC-klagomål.docx", "A 60565-2022")</f>
        <v/>
      </c>
      <c r="W99">
        <f>HYPERLINK("https://klasma.github.io/Logging_2380/klagomålsmail/A 60565-2022 FSC-klagomål mail.docx", "A 60565-2022")</f>
        <v/>
      </c>
      <c r="X99">
        <f>HYPERLINK("https://klasma.github.io/Logging_2380/tillsyn/A 60565-2022 tillsynsbegäran.docx", "A 60565-2022")</f>
        <v/>
      </c>
      <c r="Y99">
        <f>HYPERLINK("https://klasma.github.io/Logging_2380/tillsynsmail/A 60565-2022 tillsynsbegäran mail.docx", "A 60565-2022")</f>
        <v/>
      </c>
      <c r="Z99">
        <f>HYPERLINK("https://klasma.github.io/Logging_2380/fåglar/A 60565-2022 prioriterade fågelarter.docx", "A 60565-2022")</f>
        <v/>
      </c>
    </row>
    <row r="100" ht="15" customHeight="1">
      <c r="A100" t="inlineStr">
        <is>
          <t>A 46705-2023</t>
        </is>
      </c>
      <c r="B100" s="1" t="n">
        <v>45198</v>
      </c>
      <c r="C100" s="1" t="n">
        <v>46059</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5100-2023</t>
        </is>
      </c>
      <c r="B101" s="1" t="n">
        <v>44956</v>
      </c>
      <c r="C101" s="1" t="n">
        <v>46059</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46059</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56647-2025</t>
        </is>
      </c>
      <c r="B103" s="1" t="n">
        <v>45975.63585648148</v>
      </c>
      <c r="C103" s="1" t="n">
        <v>46059</v>
      </c>
      <c r="D103" t="inlineStr">
        <is>
          <t>JÄMTLANDS LÄN</t>
        </is>
      </c>
      <c r="E103" t="inlineStr">
        <is>
          <t>ÖSTERSUND</t>
        </is>
      </c>
      <c r="G103" t="n">
        <v>12.1</v>
      </c>
      <c r="H103" t="n">
        <v>1</v>
      </c>
      <c r="I103" t="n">
        <v>0</v>
      </c>
      <c r="J103" t="n">
        <v>2</v>
      </c>
      <c r="K103" t="n">
        <v>1</v>
      </c>
      <c r="L103" t="n">
        <v>0</v>
      </c>
      <c r="M103" t="n">
        <v>0</v>
      </c>
      <c r="N103" t="n">
        <v>0</v>
      </c>
      <c r="O103" t="n">
        <v>3</v>
      </c>
      <c r="P103" t="n">
        <v>1</v>
      </c>
      <c r="Q103" t="n">
        <v>3</v>
      </c>
      <c r="R103" s="2" t="inlineStr">
        <is>
          <t>Rynkskinn
Garnlav
Tretåig hackspett</t>
        </is>
      </c>
      <c r="S103">
        <f>HYPERLINK("https://klasma.github.io/Logging_2380/artfynd/A 56647-2025 artfynd.xlsx", "A 56647-2025")</f>
        <v/>
      </c>
      <c r="T103">
        <f>HYPERLINK("https://klasma.github.io/Logging_2380/kartor/A 56647-2025 karta.png", "A 56647-2025")</f>
        <v/>
      </c>
      <c r="V103">
        <f>HYPERLINK("https://klasma.github.io/Logging_2380/klagomål/A 56647-2025 FSC-klagomål.docx", "A 56647-2025")</f>
        <v/>
      </c>
      <c r="W103">
        <f>HYPERLINK("https://klasma.github.io/Logging_2380/klagomålsmail/A 56647-2025 FSC-klagomål mail.docx", "A 56647-2025")</f>
        <v/>
      </c>
      <c r="X103">
        <f>HYPERLINK("https://klasma.github.io/Logging_2380/tillsyn/A 56647-2025 tillsynsbegäran.docx", "A 56647-2025")</f>
        <v/>
      </c>
      <c r="Y103">
        <f>HYPERLINK("https://klasma.github.io/Logging_2380/tillsynsmail/A 56647-2025 tillsynsbegäran mail.docx", "A 56647-2025")</f>
        <v/>
      </c>
      <c r="Z103">
        <f>HYPERLINK("https://klasma.github.io/Logging_2380/fåglar/A 56647-2025 prioriterade fågelarter.docx", "A 56647-2025")</f>
        <v/>
      </c>
    </row>
    <row r="104" ht="15" customHeight="1">
      <c r="A104" t="inlineStr">
        <is>
          <t>A 53652-2024</t>
        </is>
      </c>
      <c r="B104" s="1" t="n">
        <v>45615.29761574074</v>
      </c>
      <c r="C104" s="1" t="n">
        <v>46059</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43981-2023</t>
        </is>
      </c>
      <c r="B105" s="1" t="n">
        <v>45187</v>
      </c>
      <c r="C105" s="1" t="n">
        <v>46059</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3846-2024</t>
        </is>
      </c>
      <c r="B106" s="1" t="n">
        <v>45321</v>
      </c>
      <c r="C106" s="1" t="n">
        <v>46059</v>
      </c>
      <c r="D106" t="inlineStr">
        <is>
          <t>JÄMTLANDS LÄN</t>
        </is>
      </c>
      <c r="E106" t="inlineStr">
        <is>
          <t>ÖSTERSUND</t>
        </is>
      </c>
      <c r="G106" t="n">
        <v>2.2</v>
      </c>
      <c r="H106" t="n">
        <v>0</v>
      </c>
      <c r="I106" t="n">
        <v>2</v>
      </c>
      <c r="J106" t="n">
        <v>1</v>
      </c>
      <c r="K106" t="n">
        <v>0</v>
      </c>
      <c r="L106" t="n">
        <v>0</v>
      </c>
      <c r="M106" t="n">
        <v>0</v>
      </c>
      <c r="N106" t="n">
        <v>0</v>
      </c>
      <c r="O106" t="n">
        <v>1</v>
      </c>
      <c r="P106" t="n">
        <v>0</v>
      </c>
      <c r="Q106" t="n">
        <v>3</v>
      </c>
      <c r="R106" s="2" t="inlineStr">
        <is>
          <t>Granticka
Olivspindling
Svavelriska</t>
        </is>
      </c>
      <c r="S106">
        <f>HYPERLINK("https://klasma.github.io/Logging_2380/artfynd/A 3846-2024 artfynd.xlsx", "A 3846-2024")</f>
        <v/>
      </c>
      <c r="T106">
        <f>HYPERLINK("https://klasma.github.io/Logging_2380/kartor/A 3846-2024 karta.png", "A 3846-2024")</f>
        <v/>
      </c>
      <c r="V106">
        <f>HYPERLINK("https://klasma.github.io/Logging_2380/klagomål/A 3846-2024 FSC-klagomål.docx", "A 3846-2024")</f>
        <v/>
      </c>
      <c r="W106">
        <f>HYPERLINK("https://klasma.github.io/Logging_2380/klagomålsmail/A 3846-2024 FSC-klagomål mail.docx", "A 3846-2024")</f>
        <v/>
      </c>
      <c r="X106">
        <f>HYPERLINK("https://klasma.github.io/Logging_2380/tillsyn/A 3846-2024 tillsynsbegäran.docx", "A 3846-2024")</f>
        <v/>
      </c>
      <c r="Y106">
        <f>HYPERLINK("https://klasma.github.io/Logging_2380/tillsynsmail/A 3846-2024 tillsynsbegäran mail.docx", "A 3846-2024")</f>
        <v/>
      </c>
    </row>
    <row r="107" ht="15" customHeight="1">
      <c r="A107" t="inlineStr">
        <is>
          <t>A 60565-2022</t>
        </is>
      </c>
      <c r="B107" s="1" t="n">
        <v>44904</v>
      </c>
      <c r="C107" s="1" t="n">
        <v>46059</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50895-2024</t>
        </is>
      </c>
      <c r="B108" s="1" t="n">
        <v>45602</v>
      </c>
      <c r="C108" s="1" t="n">
        <v>46059</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40695-2024</t>
        </is>
      </c>
      <c r="B109" s="1" t="n">
        <v>45558</v>
      </c>
      <c r="C109" s="1" t="n">
        <v>46059</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7965-2025</t>
        </is>
      </c>
      <c r="B110" s="1" t="n">
        <v>45707.45219907408</v>
      </c>
      <c r="C110" s="1" t="n">
        <v>46059</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36742-2024</t>
        </is>
      </c>
      <c r="B111" s="1" t="n">
        <v>45538.33584490741</v>
      </c>
      <c r="C111" s="1" t="n">
        <v>46059</v>
      </c>
      <c r="D111" t="inlineStr">
        <is>
          <t>JÄMTLANDS LÄN</t>
        </is>
      </c>
      <c r="E111" t="inlineStr">
        <is>
          <t>ÖSTERSUND</t>
        </is>
      </c>
      <c r="G111" t="n">
        <v>13.6</v>
      </c>
      <c r="H111" t="n">
        <v>0</v>
      </c>
      <c r="I111" t="n">
        <v>2</v>
      </c>
      <c r="J111" t="n">
        <v>1</v>
      </c>
      <c r="K111" t="n">
        <v>0</v>
      </c>
      <c r="L111" t="n">
        <v>0</v>
      </c>
      <c r="M111" t="n">
        <v>0</v>
      </c>
      <c r="N111" t="n">
        <v>0</v>
      </c>
      <c r="O111" t="n">
        <v>1</v>
      </c>
      <c r="P111" t="n">
        <v>0</v>
      </c>
      <c r="Q111" t="n">
        <v>3</v>
      </c>
      <c r="R111" s="2" t="inlineStr">
        <is>
          <t>Granticka
Skinnlav
Vedticka</t>
        </is>
      </c>
      <c r="S111">
        <f>HYPERLINK("https://klasma.github.io/Logging_2380/artfynd/A 36742-2024 artfynd.xlsx", "A 36742-2024")</f>
        <v/>
      </c>
      <c r="T111">
        <f>HYPERLINK("https://klasma.github.io/Logging_2380/kartor/A 36742-2024 karta.png", "A 36742-2024")</f>
        <v/>
      </c>
      <c r="V111">
        <f>HYPERLINK("https://klasma.github.io/Logging_2380/klagomål/A 36742-2024 FSC-klagomål.docx", "A 36742-2024")</f>
        <v/>
      </c>
      <c r="W111">
        <f>HYPERLINK("https://klasma.github.io/Logging_2380/klagomålsmail/A 36742-2024 FSC-klagomål mail.docx", "A 36742-2024")</f>
        <v/>
      </c>
      <c r="X111">
        <f>HYPERLINK("https://klasma.github.io/Logging_2380/tillsyn/A 36742-2024 tillsynsbegäran.docx", "A 36742-2024")</f>
        <v/>
      </c>
      <c r="Y111">
        <f>HYPERLINK("https://klasma.github.io/Logging_2380/tillsynsmail/A 36742-2024 tillsynsbegäran mail.docx", "A 36742-2024")</f>
        <v/>
      </c>
    </row>
    <row r="112" ht="15" customHeight="1">
      <c r="A112" t="inlineStr">
        <is>
          <t>A 52129-2023</t>
        </is>
      </c>
      <c r="B112" s="1" t="n">
        <v>45223</v>
      </c>
      <c r="C112" s="1" t="n">
        <v>46059</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40207-2025</t>
        </is>
      </c>
      <c r="B113" s="1" t="n">
        <v>45894.67988425926</v>
      </c>
      <c r="C113" s="1" t="n">
        <v>46059</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56750-2025</t>
        </is>
      </c>
      <c r="B114" s="1" t="n">
        <v>45975</v>
      </c>
      <c r="C114" s="1" t="n">
        <v>46059</v>
      </c>
      <c r="D114" t="inlineStr">
        <is>
          <t>JÄMTLANDS LÄN</t>
        </is>
      </c>
      <c r="E114" t="inlineStr">
        <is>
          <t>ÖSTERSUND</t>
        </is>
      </c>
      <c r="G114" t="n">
        <v>5.1</v>
      </c>
      <c r="H114" t="n">
        <v>1</v>
      </c>
      <c r="I114" t="n">
        <v>0</v>
      </c>
      <c r="J114" t="n">
        <v>1</v>
      </c>
      <c r="K114" t="n">
        <v>0</v>
      </c>
      <c r="L114" t="n">
        <v>0</v>
      </c>
      <c r="M114" t="n">
        <v>0</v>
      </c>
      <c r="N114" t="n">
        <v>0</v>
      </c>
      <c r="O114" t="n">
        <v>1</v>
      </c>
      <c r="P114" t="n">
        <v>0</v>
      </c>
      <c r="Q114" t="n">
        <v>2</v>
      </c>
      <c r="R114" s="2" t="inlineStr">
        <is>
          <t>Garnlav
Revlummer</t>
        </is>
      </c>
      <c r="S114">
        <f>HYPERLINK("https://klasma.github.io/Logging_2380/artfynd/A 56750-2025 artfynd.xlsx", "A 56750-2025")</f>
        <v/>
      </c>
      <c r="T114">
        <f>HYPERLINK("https://klasma.github.io/Logging_2380/kartor/A 56750-2025 karta.png", "A 56750-2025")</f>
        <v/>
      </c>
      <c r="V114">
        <f>HYPERLINK("https://klasma.github.io/Logging_2380/klagomål/A 56750-2025 FSC-klagomål.docx", "A 56750-2025")</f>
        <v/>
      </c>
      <c r="W114">
        <f>HYPERLINK("https://klasma.github.io/Logging_2380/klagomålsmail/A 56750-2025 FSC-klagomål mail.docx", "A 56750-2025")</f>
        <v/>
      </c>
      <c r="X114">
        <f>HYPERLINK("https://klasma.github.io/Logging_2380/tillsyn/A 56750-2025 tillsynsbegäran.docx", "A 56750-2025")</f>
        <v/>
      </c>
      <c r="Y114">
        <f>HYPERLINK("https://klasma.github.io/Logging_2380/tillsynsmail/A 56750-2025 tillsynsbegäran mail.docx", "A 56750-2025")</f>
        <v/>
      </c>
    </row>
    <row r="115" ht="15" customHeight="1">
      <c r="A115" t="inlineStr">
        <is>
          <t>A 63930-2023</t>
        </is>
      </c>
      <c r="B115" s="1" t="n">
        <v>45278</v>
      </c>
      <c r="C115" s="1" t="n">
        <v>46059</v>
      </c>
      <c r="D115" t="inlineStr">
        <is>
          <t>JÄMTLANDS LÄN</t>
        </is>
      </c>
      <c r="E115" t="inlineStr">
        <is>
          <t>ÖSTERSUND</t>
        </is>
      </c>
      <c r="G115" t="n">
        <v>2.1</v>
      </c>
      <c r="H115" t="n">
        <v>0</v>
      </c>
      <c r="I115" t="n">
        <v>2</v>
      </c>
      <c r="J115" t="n">
        <v>0</v>
      </c>
      <c r="K115" t="n">
        <v>0</v>
      </c>
      <c r="L115" t="n">
        <v>0</v>
      </c>
      <c r="M115" t="n">
        <v>0</v>
      </c>
      <c r="N115" t="n">
        <v>0</v>
      </c>
      <c r="O115" t="n">
        <v>0</v>
      </c>
      <c r="P115" t="n">
        <v>0</v>
      </c>
      <c r="Q115" t="n">
        <v>2</v>
      </c>
      <c r="R115" s="2" t="inlineStr">
        <is>
          <t>Strimspindling
Svavelriska</t>
        </is>
      </c>
      <c r="S115">
        <f>HYPERLINK("https://klasma.github.io/Logging_2380/artfynd/A 63930-2023 artfynd.xlsx", "A 63930-2023")</f>
        <v/>
      </c>
      <c r="T115">
        <f>HYPERLINK("https://klasma.github.io/Logging_2380/kartor/A 63930-2023 karta.png", "A 63930-2023")</f>
        <v/>
      </c>
      <c r="V115">
        <f>HYPERLINK("https://klasma.github.io/Logging_2380/klagomål/A 63930-2023 FSC-klagomål.docx", "A 63930-2023")</f>
        <v/>
      </c>
      <c r="W115">
        <f>HYPERLINK("https://klasma.github.io/Logging_2380/klagomålsmail/A 63930-2023 FSC-klagomål mail.docx", "A 63930-2023")</f>
        <v/>
      </c>
      <c r="X115">
        <f>HYPERLINK("https://klasma.github.io/Logging_2380/tillsyn/A 63930-2023 tillsynsbegäran.docx", "A 63930-2023")</f>
        <v/>
      </c>
      <c r="Y115">
        <f>HYPERLINK("https://klasma.github.io/Logging_2380/tillsynsmail/A 63930-2023 tillsynsbegäran mail.docx", "A 63930-2023")</f>
        <v/>
      </c>
    </row>
    <row r="116" ht="15" customHeight="1">
      <c r="A116" t="inlineStr">
        <is>
          <t>A 58931-2025</t>
        </is>
      </c>
      <c r="B116" s="1" t="n">
        <v>45987.55831018519</v>
      </c>
      <c r="C116" s="1" t="n">
        <v>46059</v>
      </c>
      <c r="D116" t="inlineStr">
        <is>
          <t>JÄMTLANDS LÄN</t>
        </is>
      </c>
      <c r="E116" t="inlineStr">
        <is>
          <t>ÖSTERSUND</t>
        </is>
      </c>
      <c r="G116" t="n">
        <v>3.9</v>
      </c>
      <c r="H116" t="n">
        <v>2</v>
      </c>
      <c r="I116" t="n">
        <v>0</v>
      </c>
      <c r="J116" t="n">
        <v>0</v>
      </c>
      <c r="K116" t="n">
        <v>0</v>
      </c>
      <c r="L116" t="n">
        <v>0</v>
      </c>
      <c r="M116" t="n">
        <v>0</v>
      </c>
      <c r="N116" t="n">
        <v>0</v>
      </c>
      <c r="O116" t="n">
        <v>0</v>
      </c>
      <c r="P116" t="n">
        <v>0</v>
      </c>
      <c r="Q116" t="n">
        <v>2</v>
      </c>
      <c r="R116" s="2" t="inlineStr">
        <is>
          <t>Blåsippa
Revlummer</t>
        </is>
      </c>
      <c r="S116">
        <f>HYPERLINK("https://klasma.github.io/Logging_2380/artfynd/A 58931-2025 artfynd.xlsx", "A 58931-2025")</f>
        <v/>
      </c>
      <c r="T116">
        <f>HYPERLINK("https://klasma.github.io/Logging_2380/kartor/A 58931-2025 karta.png", "A 58931-2025")</f>
        <v/>
      </c>
      <c r="V116">
        <f>HYPERLINK("https://klasma.github.io/Logging_2380/klagomål/A 58931-2025 FSC-klagomål.docx", "A 58931-2025")</f>
        <v/>
      </c>
      <c r="W116">
        <f>HYPERLINK("https://klasma.github.io/Logging_2380/klagomålsmail/A 58931-2025 FSC-klagomål mail.docx", "A 58931-2025")</f>
        <v/>
      </c>
      <c r="X116">
        <f>HYPERLINK("https://klasma.github.io/Logging_2380/tillsyn/A 58931-2025 tillsynsbegäran.docx", "A 58931-2025")</f>
        <v/>
      </c>
      <c r="Y116">
        <f>HYPERLINK("https://klasma.github.io/Logging_2380/tillsynsmail/A 58931-2025 tillsynsbegäran mail.docx", "A 58931-2025")</f>
        <v/>
      </c>
    </row>
    <row r="117" ht="15" customHeight="1">
      <c r="A117" t="inlineStr">
        <is>
          <t>A 45237-2025</t>
        </is>
      </c>
      <c r="B117" s="1" t="n">
        <v>45919.59467592592</v>
      </c>
      <c r="C117" s="1" t="n">
        <v>46059</v>
      </c>
      <c r="D117" t="inlineStr">
        <is>
          <t>JÄMTLANDS LÄN</t>
        </is>
      </c>
      <c r="E117" t="inlineStr">
        <is>
          <t>ÖSTERSUND</t>
        </is>
      </c>
      <c r="F117" t="inlineStr">
        <is>
          <t>SCA</t>
        </is>
      </c>
      <c r="G117" t="n">
        <v>1.5</v>
      </c>
      <c r="H117" t="n">
        <v>0</v>
      </c>
      <c r="I117" t="n">
        <v>0</v>
      </c>
      <c r="J117" t="n">
        <v>2</v>
      </c>
      <c r="K117" t="n">
        <v>0</v>
      </c>
      <c r="L117" t="n">
        <v>0</v>
      </c>
      <c r="M117" t="n">
        <v>0</v>
      </c>
      <c r="N117" t="n">
        <v>0</v>
      </c>
      <c r="O117" t="n">
        <v>2</v>
      </c>
      <c r="P117" t="n">
        <v>0</v>
      </c>
      <c r="Q117" t="n">
        <v>2</v>
      </c>
      <c r="R117" s="2" t="inlineStr">
        <is>
          <t>Dvärgbägarlav
Mörk kolflarnlav</t>
        </is>
      </c>
      <c r="S117">
        <f>HYPERLINK("https://klasma.github.io/Logging_2380/artfynd/A 45237-2025 artfynd.xlsx", "A 45237-2025")</f>
        <v/>
      </c>
      <c r="T117">
        <f>HYPERLINK("https://klasma.github.io/Logging_2380/kartor/A 45237-2025 karta.png", "A 45237-2025")</f>
        <v/>
      </c>
      <c r="V117">
        <f>HYPERLINK("https://klasma.github.io/Logging_2380/klagomål/A 45237-2025 FSC-klagomål.docx", "A 45237-2025")</f>
        <v/>
      </c>
      <c r="W117">
        <f>HYPERLINK("https://klasma.github.io/Logging_2380/klagomålsmail/A 45237-2025 FSC-klagomål mail.docx", "A 45237-2025")</f>
        <v/>
      </c>
      <c r="X117">
        <f>HYPERLINK("https://klasma.github.io/Logging_2380/tillsyn/A 45237-2025 tillsynsbegäran.docx", "A 45237-2025")</f>
        <v/>
      </c>
      <c r="Y117">
        <f>HYPERLINK("https://klasma.github.io/Logging_2380/tillsynsmail/A 45237-2025 tillsynsbegäran mail.docx", "A 45237-2025")</f>
        <v/>
      </c>
    </row>
    <row r="118" ht="15" customHeight="1">
      <c r="A118" t="inlineStr">
        <is>
          <t>A 59793-2022</t>
        </is>
      </c>
      <c r="B118" s="1" t="n">
        <v>44908</v>
      </c>
      <c r="C118" s="1" t="n">
        <v>46059</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39968-2024</t>
        </is>
      </c>
      <c r="B119" s="1" t="n">
        <v>45553.59296296296</v>
      </c>
      <c r="C119" s="1" t="n">
        <v>46059</v>
      </c>
      <c r="D119" t="inlineStr">
        <is>
          <t>JÄMTLANDS LÄN</t>
        </is>
      </c>
      <c r="E119" t="inlineStr">
        <is>
          <t>ÖSTERSUND</t>
        </is>
      </c>
      <c r="G119" t="n">
        <v>1.8</v>
      </c>
      <c r="H119" t="n">
        <v>2</v>
      </c>
      <c r="I119" t="n">
        <v>1</v>
      </c>
      <c r="J119" t="n">
        <v>0</v>
      </c>
      <c r="K119" t="n">
        <v>1</v>
      </c>
      <c r="L119" t="n">
        <v>0</v>
      </c>
      <c r="M119" t="n">
        <v>0</v>
      </c>
      <c r="N119" t="n">
        <v>0</v>
      </c>
      <c r="O119" t="n">
        <v>1</v>
      </c>
      <c r="P119" t="n">
        <v>1</v>
      </c>
      <c r="Q119" t="n">
        <v>2</v>
      </c>
      <c r="R119" s="2" t="inlineStr">
        <is>
          <t>Knärot
Spindelblomster</t>
        </is>
      </c>
      <c r="S119">
        <f>HYPERLINK("https://klasma.github.io/Logging_2380/artfynd/A 39968-2024 artfynd.xlsx", "A 39968-2024")</f>
        <v/>
      </c>
      <c r="T119">
        <f>HYPERLINK("https://klasma.github.io/Logging_2380/kartor/A 39968-2024 karta.png", "A 39968-2024")</f>
        <v/>
      </c>
      <c r="U119">
        <f>HYPERLINK("https://klasma.github.io/Logging_2380/knärot/A 39968-2024 karta knärot.png", "A 39968-2024")</f>
        <v/>
      </c>
      <c r="V119">
        <f>HYPERLINK("https://klasma.github.io/Logging_2380/klagomål/A 39968-2024 FSC-klagomål.docx", "A 39968-2024")</f>
        <v/>
      </c>
      <c r="W119">
        <f>HYPERLINK("https://klasma.github.io/Logging_2380/klagomålsmail/A 39968-2024 FSC-klagomål mail.docx", "A 39968-2024")</f>
        <v/>
      </c>
      <c r="X119">
        <f>HYPERLINK("https://klasma.github.io/Logging_2380/tillsyn/A 39968-2024 tillsynsbegäran.docx", "A 39968-2024")</f>
        <v/>
      </c>
      <c r="Y119">
        <f>HYPERLINK("https://klasma.github.io/Logging_2380/tillsynsmail/A 39968-2024 tillsynsbegäran mail.docx", "A 39968-2024")</f>
        <v/>
      </c>
    </row>
    <row r="120" ht="15" customHeight="1">
      <c r="A120" t="inlineStr">
        <is>
          <t>A 15700-2025</t>
        </is>
      </c>
      <c r="B120" s="1" t="n">
        <v>45748.47314814815</v>
      </c>
      <c r="C120" s="1" t="n">
        <v>46059</v>
      </c>
      <c r="D120" t="inlineStr">
        <is>
          <t>JÄMTLANDS LÄN</t>
        </is>
      </c>
      <c r="E120" t="inlineStr">
        <is>
          <t>ÖSTERSUND</t>
        </is>
      </c>
      <c r="G120" t="n">
        <v>0.9</v>
      </c>
      <c r="H120" t="n">
        <v>0</v>
      </c>
      <c r="I120" t="n">
        <v>2</v>
      </c>
      <c r="J120" t="n">
        <v>0</v>
      </c>
      <c r="K120" t="n">
        <v>0</v>
      </c>
      <c r="L120" t="n">
        <v>0</v>
      </c>
      <c r="M120" t="n">
        <v>0</v>
      </c>
      <c r="N120" t="n">
        <v>0</v>
      </c>
      <c r="O120" t="n">
        <v>0</v>
      </c>
      <c r="P120" t="n">
        <v>0</v>
      </c>
      <c r="Q120" t="n">
        <v>2</v>
      </c>
      <c r="R120" s="2" t="inlineStr">
        <is>
          <t>Brun klibbskivling
Droppklibbskivling</t>
        </is>
      </c>
      <c r="S120">
        <f>HYPERLINK("https://klasma.github.io/Logging_2380/artfynd/A 15700-2025 artfynd.xlsx", "A 15700-2025")</f>
        <v/>
      </c>
      <c r="T120">
        <f>HYPERLINK("https://klasma.github.io/Logging_2380/kartor/A 15700-2025 karta.png", "A 15700-2025")</f>
        <v/>
      </c>
      <c r="V120">
        <f>HYPERLINK("https://klasma.github.io/Logging_2380/klagomål/A 15700-2025 FSC-klagomål.docx", "A 15700-2025")</f>
        <v/>
      </c>
      <c r="W120">
        <f>HYPERLINK("https://klasma.github.io/Logging_2380/klagomålsmail/A 15700-2025 FSC-klagomål mail.docx", "A 15700-2025")</f>
        <v/>
      </c>
      <c r="X120">
        <f>HYPERLINK("https://klasma.github.io/Logging_2380/tillsyn/A 15700-2025 tillsynsbegäran.docx", "A 15700-2025")</f>
        <v/>
      </c>
      <c r="Y120">
        <f>HYPERLINK("https://klasma.github.io/Logging_2380/tillsynsmail/A 15700-2025 tillsynsbegäran mail.docx", "A 15700-2025")</f>
        <v/>
      </c>
    </row>
    <row r="121" ht="15" customHeight="1">
      <c r="A121" t="inlineStr">
        <is>
          <t>A 60614-2022</t>
        </is>
      </c>
      <c r="B121" s="1" t="n">
        <v>44911</v>
      </c>
      <c r="C121" s="1" t="n">
        <v>46059</v>
      </c>
      <c r="D121" t="inlineStr">
        <is>
          <t>JÄMTLANDS LÄN</t>
        </is>
      </c>
      <c r="E121" t="inlineStr">
        <is>
          <t>ÖSTERSUND</t>
        </is>
      </c>
      <c r="G121" t="n">
        <v>17.6</v>
      </c>
      <c r="H121" t="n">
        <v>1</v>
      </c>
      <c r="I121" t="n">
        <v>1</v>
      </c>
      <c r="J121" t="n">
        <v>0</v>
      </c>
      <c r="K121" t="n">
        <v>0</v>
      </c>
      <c r="L121" t="n">
        <v>0</v>
      </c>
      <c r="M121" t="n">
        <v>0</v>
      </c>
      <c r="N121" t="n">
        <v>0</v>
      </c>
      <c r="O121" t="n">
        <v>0</v>
      </c>
      <c r="P121" t="n">
        <v>0</v>
      </c>
      <c r="Q121" t="n">
        <v>2</v>
      </c>
      <c r="R121" s="2" t="inlineStr">
        <is>
          <t>Dropptaggsvamp
Blåsippa</t>
        </is>
      </c>
      <c r="S121">
        <f>HYPERLINK("https://klasma.github.io/Logging_2380/artfynd/A 60614-2022 artfynd.xlsx", "A 60614-2022")</f>
        <v/>
      </c>
      <c r="T121">
        <f>HYPERLINK("https://klasma.github.io/Logging_2380/kartor/A 60614-2022 karta.png", "A 60614-2022")</f>
        <v/>
      </c>
      <c r="V121">
        <f>HYPERLINK("https://klasma.github.io/Logging_2380/klagomål/A 60614-2022 FSC-klagomål.docx", "A 60614-2022")</f>
        <v/>
      </c>
      <c r="W121">
        <f>HYPERLINK("https://klasma.github.io/Logging_2380/klagomålsmail/A 60614-2022 FSC-klagomål mail.docx", "A 60614-2022")</f>
        <v/>
      </c>
      <c r="X121">
        <f>HYPERLINK("https://klasma.github.io/Logging_2380/tillsyn/A 60614-2022 tillsynsbegäran.docx", "A 60614-2022")</f>
        <v/>
      </c>
      <c r="Y121">
        <f>HYPERLINK("https://klasma.github.io/Logging_2380/tillsynsmail/A 60614-2022 tillsynsbegäran mail.docx", "A 60614-2022")</f>
        <v/>
      </c>
    </row>
    <row r="122" ht="15" customHeight="1">
      <c r="A122" t="inlineStr">
        <is>
          <t>A 54872-2025</t>
        </is>
      </c>
      <c r="B122" s="1" t="n">
        <v>45966.94104166667</v>
      </c>
      <c r="C122" s="1" t="n">
        <v>46059</v>
      </c>
      <c r="D122" t="inlineStr">
        <is>
          <t>JÄMTLANDS LÄN</t>
        </is>
      </c>
      <c r="E122" t="inlineStr">
        <is>
          <t>ÖSTERSUND</t>
        </is>
      </c>
      <c r="G122" t="n">
        <v>2.4</v>
      </c>
      <c r="H122" t="n">
        <v>1</v>
      </c>
      <c r="I122" t="n">
        <v>1</v>
      </c>
      <c r="J122" t="n">
        <v>1</v>
      </c>
      <c r="K122" t="n">
        <v>0</v>
      </c>
      <c r="L122" t="n">
        <v>0</v>
      </c>
      <c r="M122" t="n">
        <v>0</v>
      </c>
      <c r="N122" t="n">
        <v>0</v>
      </c>
      <c r="O122" t="n">
        <v>1</v>
      </c>
      <c r="P122" t="n">
        <v>0</v>
      </c>
      <c r="Q122" t="n">
        <v>2</v>
      </c>
      <c r="R122" s="2" t="inlineStr">
        <is>
          <t>Slåtterfibbla
Korallrot</t>
        </is>
      </c>
      <c r="S122">
        <f>HYPERLINK("https://klasma.github.io/Logging_2380/artfynd/A 54872-2025 artfynd.xlsx", "A 54872-2025")</f>
        <v/>
      </c>
      <c r="T122">
        <f>HYPERLINK("https://klasma.github.io/Logging_2380/kartor/A 54872-2025 karta.png", "A 54872-2025")</f>
        <v/>
      </c>
      <c r="V122">
        <f>HYPERLINK("https://klasma.github.io/Logging_2380/klagomål/A 54872-2025 FSC-klagomål.docx", "A 54872-2025")</f>
        <v/>
      </c>
      <c r="W122">
        <f>HYPERLINK("https://klasma.github.io/Logging_2380/klagomålsmail/A 54872-2025 FSC-klagomål mail.docx", "A 54872-2025")</f>
        <v/>
      </c>
      <c r="X122">
        <f>HYPERLINK("https://klasma.github.io/Logging_2380/tillsyn/A 54872-2025 tillsynsbegäran.docx", "A 54872-2025")</f>
        <v/>
      </c>
      <c r="Y122">
        <f>HYPERLINK("https://klasma.github.io/Logging_2380/tillsynsmail/A 54872-2025 tillsynsbegäran mail.docx", "A 54872-2025")</f>
        <v/>
      </c>
    </row>
    <row r="123" ht="15" customHeight="1">
      <c r="A123" t="inlineStr">
        <is>
          <t>A 35977-2024</t>
        </is>
      </c>
      <c r="B123" s="1" t="n">
        <v>45533.49601851852</v>
      </c>
      <c r="C123" s="1" t="n">
        <v>46059</v>
      </c>
      <c r="D123" t="inlineStr">
        <is>
          <t>JÄMTLANDS LÄN</t>
        </is>
      </c>
      <c r="E123" t="inlineStr">
        <is>
          <t>ÖSTERSUND</t>
        </is>
      </c>
      <c r="G123" t="n">
        <v>0.7</v>
      </c>
      <c r="H123" t="n">
        <v>0</v>
      </c>
      <c r="I123" t="n">
        <v>2</v>
      </c>
      <c r="J123" t="n">
        <v>0</v>
      </c>
      <c r="K123" t="n">
        <v>0</v>
      </c>
      <c r="L123" t="n">
        <v>0</v>
      </c>
      <c r="M123" t="n">
        <v>0</v>
      </c>
      <c r="N123" t="n">
        <v>0</v>
      </c>
      <c r="O123" t="n">
        <v>0</v>
      </c>
      <c r="P123" t="n">
        <v>0</v>
      </c>
      <c r="Q123" t="n">
        <v>2</v>
      </c>
      <c r="R123" s="2" t="inlineStr">
        <is>
          <t>Tibast
Trådticka</t>
        </is>
      </c>
      <c r="S123">
        <f>HYPERLINK("https://klasma.github.io/Logging_2380/artfynd/A 35977-2024 artfynd.xlsx", "A 35977-2024")</f>
        <v/>
      </c>
      <c r="T123">
        <f>HYPERLINK("https://klasma.github.io/Logging_2380/kartor/A 35977-2024 karta.png", "A 35977-2024")</f>
        <v/>
      </c>
      <c r="V123">
        <f>HYPERLINK("https://klasma.github.io/Logging_2380/klagomål/A 35977-2024 FSC-klagomål.docx", "A 35977-2024")</f>
        <v/>
      </c>
      <c r="W123">
        <f>HYPERLINK("https://klasma.github.io/Logging_2380/klagomålsmail/A 35977-2024 FSC-klagomål mail.docx", "A 35977-2024")</f>
        <v/>
      </c>
      <c r="X123">
        <f>HYPERLINK("https://klasma.github.io/Logging_2380/tillsyn/A 35977-2024 tillsynsbegäran.docx", "A 35977-2024")</f>
        <v/>
      </c>
      <c r="Y123">
        <f>HYPERLINK("https://klasma.github.io/Logging_2380/tillsynsmail/A 35977-2024 tillsynsbegäran mail.docx", "A 35977-2024")</f>
        <v/>
      </c>
    </row>
    <row r="124" ht="15" customHeight="1">
      <c r="A124" t="inlineStr">
        <is>
          <t>A 47385-2022</t>
        </is>
      </c>
      <c r="B124" s="1" t="n">
        <v>44853</v>
      </c>
      <c r="C124" s="1" t="n">
        <v>46059</v>
      </c>
      <c r="D124" t="inlineStr">
        <is>
          <t>JÄMTLANDS LÄN</t>
        </is>
      </c>
      <c r="E124" t="inlineStr">
        <is>
          <t>ÖSTERSUND</t>
        </is>
      </c>
      <c r="G124" t="n">
        <v>0.9</v>
      </c>
      <c r="H124" t="n">
        <v>0</v>
      </c>
      <c r="I124" t="n">
        <v>0</v>
      </c>
      <c r="J124" t="n">
        <v>2</v>
      </c>
      <c r="K124" t="n">
        <v>0</v>
      </c>
      <c r="L124" t="n">
        <v>0</v>
      </c>
      <c r="M124" t="n">
        <v>0</v>
      </c>
      <c r="N124" t="n">
        <v>0</v>
      </c>
      <c r="O124" t="n">
        <v>2</v>
      </c>
      <c r="P124" t="n">
        <v>0</v>
      </c>
      <c r="Q124" t="n">
        <v>2</v>
      </c>
      <c r="R124" s="2" t="inlineStr">
        <is>
          <t>Garnlav
Ullticka</t>
        </is>
      </c>
      <c r="S124">
        <f>HYPERLINK("https://klasma.github.io/Logging_2380/artfynd/A 47385-2022 artfynd.xlsx", "A 47385-2022")</f>
        <v/>
      </c>
      <c r="T124">
        <f>HYPERLINK("https://klasma.github.io/Logging_2380/kartor/A 47385-2022 karta.png", "A 47385-2022")</f>
        <v/>
      </c>
      <c r="U124">
        <f>HYPERLINK("https://klasma.github.io/Logging_2380/knärot/A 47385-2022 karta knärot.png", "A 47385-2022")</f>
        <v/>
      </c>
      <c r="V124">
        <f>HYPERLINK("https://klasma.github.io/Logging_2380/klagomål/A 47385-2022 FSC-klagomål.docx", "A 47385-2022")</f>
        <v/>
      </c>
      <c r="W124">
        <f>HYPERLINK("https://klasma.github.io/Logging_2380/klagomålsmail/A 47385-2022 FSC-klagomål mail.docx", "A 47385-2022")</f>
        <v/>
      </c>
      <c r="X124">
        <f>HYPERLINK("https://klasma.github.io/Logging_2380/tillsyn/A 47385-2022 tillsynsbegäran.docx", "A 47385-2022")</f>
        <v/>
      </c>
      <c r="Y124">
        <f>HYPERLINK("https://klasma.github.io/Logging_2380/tillsynsmail/A 47385-2022 tillsynsbegäran mail.docx", "A 47385-2022")</f>
        <v/>
      </c>
    </row>
    <row r="125" ht="15" customHeight="1">
      <c r="A125" t="inlineStr">
        <is>
          <t>A 50125-2024</t>
        </is>
      </c>
      <c r="B125" s="1" t="n">
        <v>45600.42737268518</v>
      </c>
      <c r="C125" s="1" t="n">
        <v>46059</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10529-2025</t>
        </is>
      </c>
      <c r="B126" s="1" t="n">
        <v>45721.44840277778</v>
      </c>
      <c r="C126" s="1" t="n">
        <v>46059</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60446-2024</t>
        </is>
      </c>
      <c r="B127" s="1" t="n">
        <v>45643.59420138889</v>
      </c>
      <c r="C127" s="1" t="n">
        <v>46059</v>
      </c>
      <c r="D127" t="inlineStr">
        <is>
          <t>JÄMTLANDS LÄN</t>
        </is>
      </c>
      <c r="E127" t="inlineStr">
        <is>
          <t>ÖSTERSUND</t>
        </is>
      </c>
      <c r="F127" t="inlineStr">
        <is>
          <t>SCA</t>
        </is>
      </c>
      <c r="G127" t="n">
        <v>3.6</v>
      </c>
      <c r="H127" t="n">
        <v>0</v>
      </c>
      <c r="I127" t="n">
        <v>1</v>
      </c>
      <c r="J127" t="n">
        <v>1</v>
      </c>
      <c r="K127" t="n">
        <v>0</v>
      </c>
      <c r="L127" t="n">
        <v>0</v>
      </c>
      <c r="M127" t="n">
        <v>0</v>
      </c>
      <c r="N127" t="n">
        <v>0</v>
      </c>
      <c r="O127" t="n">
        <v>1</v>
      </c>
      <c r="P127" t="n">
        <v>0</v>
      </c>
      <c r="Q127" t="n">
        <v>2</v>
      </c>
      <c r="R127" s="2" t="inlineStr">
        <is>
          <t>Ullticka
Vedticka</t>
        </is>
      </c>
      <c r="S127">
        <f>HYPERLINK("https://klasma.github.io/Logging_2380/artfynd/A 60446-2024 artfynd.xlsx", "A 60446-2024")</f>
        <v/>
      </c>
      <c r="T127">
        <f>HYPERLINK("https://klasma.github.io/Logging_2380/kartor/A 60446-2024 karta.png", "A 60446-2024")</f>
        <v/>
      </c>
      <c r="V127">
        <f>HYPERLINK("https://klasma.github.io/Logging_2380/klagomål/A 60446-2024 FSC-klagomål.docx", "A 60446-2024")</f>
        <v/>
      </c>
      <c r="W127">
        <f>HYPERLINK("https://klasma.github.io/Logging_2380/klagomålsmail/A 60446-2024 FSC-klagomål mail.docx", "A 60446-2024")</f>
        <v/>
      </c>
      <c r="X127">
        <f>HYPERLINK("https://klasma.github.io/Logging_2380/tillsyn/A 60446-2024 tillsynsbegäran.docx", "A 60446-2024")</f>
        <v/>
      </c>
      <c r="Y127">
        <f>HYPERLINK("https://klasma.github.io/Logging_2380/tillsynsmail/A 60446-2024 tillsynsbegäran mail.docx", "A 60446-2024")</f>
        <v/>
      </c>
    </row>
    <row r="128" ht="15" customHeight="1">
      <c r="A128" t="inlineStr">
        <is>
          <t>A 21615-2024</t>
        </is>
      </c>
      <c r="B128" s="1" t="n">
        <v>45441.95357638889</v>
      </c>
      <c r="C128" s="1" t="n">
        <v>46059</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56006-2023</t>
        </is>
      </c>
      <c r="B129" s="1" t="n">
        <v>45233</v>
      </c>
      <c r="C129" s="1" t="n">
        <v>46059</v>
      </c>
      <c r="D129" t="inlineStr">
        <is>
          <t>JÄMTLANDS LÄN</t>
        </is>
      </c>
      <c r="E129" t="inlineStr">
        <is>
          <t>ÖSTERSUND</t>
        </is>
      </c>
      <c r="G129" t="n">
        <v>2.3</v>
      </c>
      <c r="H129" t="n">
        <v>0</v>
      </c>
      <c r="I129" t="n">
        <v>2</v>
      </c>
      <c r="J129" t="n">
        <v>0</v>
      </c>
      <c r="K129" t="n">
        <v>0</v>
      </c>
      <c r="L129" t="n">
        <v>0</v>
      </c>
      <c r="M129" t="n">
        <v>0</v>
      </c>
      <c r="N129" t="n">
        <v>0</v>
      </c>
      <c r="O129" t="n">
        <v>0</v>
      </c>
      <c r="P129" t="n">
        <v>0</v>
      </c>
      <c r="Q129" t="n">
        <v>2</v>
      </c>
      <c r="R129" s="2" t="inlineStr">
        <is>
          <t>Korallblylav
Skinnlav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4916-2023</t>
        </is>
      </c>
      <c r="B130" s="1" t="n">
        <v>44956</v>
      </c>
      <c r="C130" s="1" t="n">
        <v>46059</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46105-2021</t>
        </is>
      </c>
      <c r="B131" s="1" t="n">
        <v>44441</v>
      </c>
      <c r="C131" s="1" t="n">
        <v>46059</v>
      </c>
      <c r="D131" t="inlineStr">
        <is>
          <t>JÄMTLANDS LÄN</t>
        </is>
      </c>
      <c r="E131" t="inlineStr">
        <is>
          <t>ÖSTERSUND</t>
        </is>
      </c>
      <c r="G131" t="n">
        <v>4.4</v>
      </c>
      <c r="H131" t="n">
        <v>2</v>
      </c>
      <c r="I131" t="n">
        <v>0</v>
      </c>
      <c r="J131" t="n">
        <v>1</v>
      </c>
      <c r="K131" t="n">
        <v>1</v>
      </c>
      <c r="L131" t="n">
        <v>0</v>
      </c>
      <c r="M131" t="n">
        <v>0</v>
      </c>
      <c r="N131" t="n">
        <v>0</v>
      </c>
      <c r="O131" t="n">
        <v>2</v>
      </c>
      <c r="P131" t="n">
        <v>1</v>
      </c>
      <c r="Q131" t="n">
        <v>2</v>
      </c>
      <c r="R131" s="2" t="inlineStr">
        <is>
          <t>Tallbit
Tretåig hackspett</t>
        </is>
      </c>
      <c r="S131">
        <f>HYPERLINK("https://klasma.github.io/Logging_2380/artfynd/A 46105-2021 artfynd.xlsx", "A 46105-2021")</f>
        <v/>
      </c>
      <c r="T131">
        <f>HYPERLINK("https://klasma.github.io/Logging_2380/kartor/A 46105-2021 karta.png", "A 46105-2021")</f>
        <v/>
      </c>
      <c r="V131">
        <f>HYPERLINK("https://klasma.github.io/Logging_2380/klagomål/A 46105-2021 FSC-klagomål.docx", "A 46105-2021")</f>
        <v/>
      </c>
      <c r="W131">
        <f>HYPERLINK("https://klasma.github.io/Logging_2380/klagomålsmail/A 46105-2021 FSC-klagomål mail.docx", "A 46105-2021")</f>
        <v/>
      </c>
      <c r="X131">
        <f>HYPERLINK("https://klasma.github.io/Logging_2380/tillsyn/A 46105-2021 tillsynsbegäran.docx", "A 46105-2021")</f>
        <v/>
      </c>
      <c r="Y131">
        <f>HYPERLINK("https://klasma.github.io/Logging_2380/tillsynsmail/A 46105-2021 tillsynsbegäran mail.docx", "A 46105-2021")</f>
        <v/>
      </c>
      <c r="Z131">
        <f>HYPERLINK("https://klasma.github.io/Logging_2380/fåglar/A 46105-2021 prioriterade fågelarter.docx", "A 46105-2021")</f>
        <v/>
      </c>
    </row>
    <row r="132" ht="15" customHeight="1">
      <c r="A132" t="inlineStr">
        <is>
          <t>A 60534-2022</t>
        </is>
      </c>
      <c r="B132" s="1" t="n">
        <v>44904</v>
      </c>
      <c r="C132" s="1" t="n">
        <v>46059</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13795-2025</t>
        </is>
      </c>
      <c r="B133" s="1" t="n">
        <v>45737</v>
      </c>
      <c r="C133" s="1" t="n">
        <v>46059</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26612-2025</t>
        </is>
      </c>
      <c r="B134" s="1" t="n">
        <v>45810</v>
      </c>
      <c r="C134" s="1" t="n">
        <v>46059</v>
      </c>
      <c r="D134" t="inlineStr">
        <is>
          <t>JÄMTLANDS LÄN</t>
        </is>
      </c>
      <c r="E134" t="inlineStr">
        <is>
          <t>ÖSTERSUND</t>
        </is>
      </c>
      <c r="G134" t="n">
        <v>20.6</v>
      </c>
      <c r="H134" t="n">
        <v>1</v>
      </c>
      <c r="I134" t="n">
        <v>0</v>
      </c>
      <c r="J134" t="n">
        <v>0</v>
      </c>
      <c r="K134" t="n">
        <v>1</v>
      </c>
      <c r="L134" t="n">
        <v>1</v>
      </c>
      <c r="M134" t="n">
        <v>0</v>
      </c>
      <c r="N134" t="n">
        <v>0</v>
      </c>
      <c r="O134" t="n">
        <v>2</v>
      </c>
      <c r="P134" t="n">
        <v>2</v>
      </c>
      <c r="Q134" t="n">
        <v>2</v>
      </c>
      <c r="R134" s="2" t="inlineStr">
        <is>
          <t>Violett guldvinge
Turkos blåvinge</t>
        </is>
      </c>
      <c r="S134">
        <f>HYPERLINK("https://klasma.github.io/Logging_2380/artfynd/A 26612-2025 artfynd.xlsx", "A 26612-2025")</f>
        <v/>
      </c>
      <c r="T134">
        <f>HYPERLINK("https://klasma.github.io/Logging_2380/kartor/A 26612-2025 karta.png", "A 26612-2025")</f>
        <v/>
      </c>
      <c r="V134">
        <f>HYPERLINK("https://klasma.github.io/Logging_2380/klagomål/A 26612-2025 FSC-klagomål.docx", "A 26612-2025")</f>
        <v/>
      </c>
      <c r="W134">
        <f>HYPERLINK("https://klasma.github.io/Logging_2380/klagomålsmail/A 26612-2025 FSC-klagomål mail.docx", "A 26612-2025")</f>
        <v/>
      </c>
      <c r="X134">
        <f>HYPERLINK("https://klasma.github.io/Logging_2380/tillsyn/A 26612-2025 tillsynsbegäran.docx", "A 26612-2025")</f>
        <v/>
      </c>
      <c r="Y134">
        <f>HYPERLINK("https://klasma.github.io/Logging_2380/tillsynsmail/A 26612-2025 tillsynsbegäran mail.docx", "A 26612-2025")</f>
        <v/>
      </c>
    </row>
    <row r="135" ht="15" customHeight="1">
      <c r="A135" t="inlineStr">
        <is>
          <t>A 33137-2021</t>
        </is>
      </c>
      <c r="B135" s="1" t="n">
        <v>44376</v>
      </c>
      <c r="C135" s="1" t="n">
        <v>46059</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46059</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46059</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36225-2025</t>
        </is>
      </c>
      <c r="B138" s="1" t="n">
        <v>45867.51128472222</v>
      </c>
      <c r="C138" s="1" t="n">
        <v>46059</v>
      </c>
      <c r="D138" t="inlineStr">
        <is>
          <t>JÄMTLANDS LÄN</t>
        </is>
      </c>
      <c r="E138" t="inlineStr">
        <is>
          <t>ÖSTERSUND</t>
        </is>
      </c>
      <c r="F138" t="inlineStr">
        <is>
          <t>SCA</t>
        </is>
      </c>
      <c r="G138" t="n">
        <v>1.8</v>
      </c>
      <c r="H138" t="n">
        <v>0</v>
      </c>
      <c r="I138" t="n">
        <v>0</v>
      </c>
      <c r="J138" t="n">
        <v>1</v>
      </c>
      <c r="K138" t="n">
        <v>0</v>
      </c>
      <c r="L138" t="n">
        <v>0</v>
      </c>
      <c r="M138" t="n">
        <v>0</v>
      </c>
      <c r="N138" t="n">
        <v>0</v>
      </c>
      <c r="O138" t="n">
        <v>1</v>
      </c>
      <c r="P138" t="n">
        <v>0</v>
      </c>
      <c r="Q138" t="n">
        <v>1</v>
      </c>
      <c r="R138" s="2" t="inlineStr">
        <is>
          <t>Kolflarnlav</t>
        </is>
      </c>
      <c r="S138">
        <f>HYPERLINK("https://klasma.github.io/Logging_2380/artfynd/A 36225-2025 artfynd.xlsx", "A 36225-2025")</f>
        <v/>
      </c>
      <c r="T138">
        <f>HYPERLINK("https://klasma.github.io/Logging_2380/kartor/A 36225-2025 karta.png", "A 36225-2025")</f>
        <v/>
      </c>
      <c r="V138">
        <f>HYPERLINK("https://klasma.github.io/Logging_2380/klagomål/A 36225-2025 FSC-klagomål.docx", "A 36225-2025")</f>
        <v/>
      </c>
      <c r="W138">
        <f>HYPERLINK("https://klasma.github.io/Logging_2380/klagomålsmail/A 36225-2025 FSC-klagomål mail.docx", "A 36225-2025")</f>
        <v/>
      </c>
      <c r="X138">
        <f>HYPERLINK("https://klasma.github.io/Logging_2380/tillsyn/A 36225-2025 tillsynsbegäran.docx", "A 36225-2025")</f>
        <v/>
      </c>
      <c r="Y138">
        <f>HYPERLINK("https://klasma.github.io/Logging_2380/tillsynsmail/A 36225-2025 tillsynsbegäran mail.docx", "A 36225-2025")</f>
        <v/>
      </c>
    </row>
    <row r="139" ht="15" customHeight="1">
      <c r="A139" t="inlineStr">
        <is>
          <t>A 24368-2025</t>
        </is>
      </c>
      <c r="B139" s="1" t="n">
        <v>45797.60623842593</v>
      </c>
      <c r="C139" s="1" t="n">
        <v>46059</v>
      </c>
      <c r="D139" t="inlineStr">
        <is>
          <t>JÄMTLANDS LÄN</t>
        </is>
      </c>
      <c r="E139" t="inlineStr">
        <is>
          <t>ÖSTERSUND</t>
        </is>
      </c>
      <c r="G139" t="n">
        <v>2.9</v>
      </c>
      <c r="H139" t="n">
        <v>0</v>
      </c>
      <c r="I139" t="n">
        <v>0</v>
      </c>
      <c r="J139" t="n">
        <v>0</v>
      </c>
      <c r="K139" t="n">
        <v>1</v>
      </c>
      <c r="L139" t="n">
        <v>0</v>
      </c>
      <c r="M139" t="n">
        <v>0</v>
      </c>
      <c r="N139" t="n">
        <v>0</v>
      </c>
      <c r="O139" t="n">
        <v>1</v>
      </c>
      <c r="P139" t="n">
        <v>1</v>
      </c>
      <c r="Q139" t="n">
        <v>1</v>
      </c>
      <c r="R139" s="2" t="inlineStr">
        <is>
          <t>Fjällfotad fingersvamp</t>
        </is>
      </c>
      <c r="S139">
        <f>HYPERLINK("https://klasma.github.io/Logging_2380/artfynd/A 24368-2025 artfynd.xlsx", "A 24368-2025")</f>
        <v/>
      </c>
      <c r="T139">
        <f>HYPERLINK("https://klasma.github.io/Logging_2380/kartor/A 24368-2025 karta.png", "A 24368-2025")</f>
        <v/>
      </c>
      <c r="V139">
        <f>HYPERLINK("https://klasma.github.io/Logging_2380/klagomål/A 24368-2025 FSC-klagomål.docx", "A 24368-2025")</f>
        <v/>
      </c>
      <c r="W139">
        <f>HYPERLINK("https://klasma.github.io/Logging_2380/klagomålsmail/A 24368-2025 FSC-klagomål mail.docx", "A 24368-2025")</f>
        <v/>
      </c>
      <c r="X139">
        <f>HYPERLINK("https://klasma.github.io/Logging_2380/tillsyn/A 24368-2025 tillsynsbegäran.docx", "A 24368-2025")</f>
        <v/>
      </c>
      <c r="Y139">
        <f>HYPERLINK("https://klasma.github.io/Logging_2380/tillsynsmail/A 24368-2025 tillsynsbegäran mail.docx", "A 24368-2025")</f>
        <v/>
      </c>
    </row>
    <row r="140" ht="15" customHeight="1">
      <c r="A140" t="inlineStr">
        <is>
          <t>A 46163-2021</t>
        </is>
      </c>
      <c r="B140" s="1" t="n">
        <v>44441</v>
      </c>
      <c r="C140" s="1" t="n">
        <v>46059</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46059</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64380-2023</t>
        </is>
      </c>
      <c r="B142" s="1" t="n">
        <v>45280.56451388889</v>
      </c>
      <c r="C142" s="1" t="n">
        <v>46059</v>
      </c>
      <c r="D142" t="inlineStr">
        <is>
          <t>JÄMTLANDS LÄN</t>
        </is>
      </c>
      <c r="E142" t="inlineStr">
        <is>
          <t>ÖSTERSUND</t>
        </is>
      </c>
      <c r="G142" t="n">
        <v>12.4</v>
      </c>
      <c r="H142" t="n">
        <v>0</v>
      </c>
      <c r="I142" t="n">
        <v>0</v>
      </c>
      <c r="J142" t="n">
        <v>1</v>
      </c>
      <c r="K142" t="n">
        <v>0</v>
      </c>
      <c r="L142" t="n">
        <v>0</v>
      </c>
      <c r="M142" t="n">
        <v>0</v>
      </c>
      <c r="N142" t="n">
        <v>0</v>
      </c>
      <c r="O142" t="n">
        <v>1</v>
      </c>
      <c r="P142" t="n">
        <v>0</v>
      </c>
      <c r="Q142" t="n">
        <v>1</v>
      </c>
      <c r="R142" s="2" t="inlineStr">
        <is>
          <t>Luddfingersvamp</t>
        </is>
      </c>
      <c r="S142">
        <f>HYPERLINK("https://klasma.github.io/Logging_2380/artfynd/A 64380-2023 artfynd.xlsx", "A 64380-2023")</f>
        <v/>
      </c>
      <c r="T142">
        <f>HYPERLINK("https://klasma.github.io/Logging_2380/kartor/A 64380-2023 karta.png", "A 64380-2023")</f>
        <v/>
      </c>
      <c r="V142">
        <f>HYPERLINK("https://klasma.github.io/Logging_2380/klagomål/A 64380-2023 FSC-klagomål.docx", "A 64380-2023")</f>
        <v/>
      </c>
      <c r="W142">
        <f>HYPERLINK("https://klasma.github.io/Logging_2380/klagomålsmail/A 64380-2023 FSC-klagomål mail.docx", "A 64380-2023")</f>
        <v/>
      </c>
      <c r="X142">
        <f>HYPERLINK("https://klasma.github.io/Logging_2380/tillsyn/A 64380-2023 tillsynsbegäran.docx", "A 64380-2023")</f>
        <v/>
      </c>
      <c r="Y142">
        <f>HYPERLINK("https://klasma.github.io/Logging_2380/tillsynsmail/A 64380-2023 tillsynsbegäran mail.docx", "A 64380-2023")</f>
        <v/>
      </c>
    </row>
    <row r="143" ht="15" customHeight="1">
      <c r="A143" t="inlineStr">
        <is>
          <t>A 40696-2024</t>
        </is>
      </c>
      <c r="B143" s="1" t="n">
        <v>45558</v>
      </c>
      <c r="C143" s="1" t="n">
        <v>46059</v>
      </c>
      <c r="D143" t="inlineStr">
        <is>
          <t>JÄMTLANDS LÄN</t>
        </is>
      </c>
      <c r="E143" t="inlineStr">
        <is>
          <t>ÖSTERSUND</t>
        </is>
      </c>
      <c r="F143" t="inlineStr">
        <is>
          <t>SCA</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HYPERLINK("https://klasma.github.io/Logging_2380/artfynd/A 40696-2024 artfynd.xlsx", "A 40696-2024")</f>
        <v/>
      </c>
      <c r="T143">
        <f>HYPERLINK("https://klasma.github.io/Logging_2380/kartor/A 40696-2024 karta.png", "A 40696-2024")</f>
        <v/>
      </c>
      <c r="V143">
        <f>HYPERLINK("https://klasma.github.io/Logging_2380/klagomål/A 40696-2024 FSC-klagomål.docx", "A 40696-2024")</f>
        <v/>
      </c>
      <c r="W143">
        <f>HYPERLINK("https://klasma.github.io/Logging_2380/klagomålsmail/A 40696-2024 FSC-klagomål mail.docx", "A 40696-2024")</f>
        <v/>
      </c>
      <c r="X143">
        <f>HYPERLINK("https://klasma.github.io/Logging_2380/tillsyn/A 40696-2024 tillsynsbegäran.docx", "A 40696-2024")</f>
        <v/>
      </c>
      <c r="Y143">
        <f>HYPERLINK("https://klasma.github.io/Logging_2380/tillsynsmail/A 40696-2024 tillsynsbegäran mail.docx", "A 40696-2024")</f>
        <v/>
      </c>
    </row>
    <row r="144" ht="15" customHeight="1">
      <c r="A144" t="inlineStr">
        <is>
          <t>A 58274-2025</t>
        </is>
      </c>
      <c r="B144" s="1" t="n">
        <v>45985.43086805556</v>
      </c>
      <c r="C144" s="1" t="n">
        <v>46059</v>
      </c>
      <c r="D144" t="inlineStr">
        <is>
          <t>JÄMTLANDS LÄN</t>
        </is>
      </c>
      <c r="E144" t="inlineStr">
        <is>
          <t>ÖSTERSUND</t>
        </is>
      </c>
      <c r="F144" t="inlineStr">
        <is>
          <t>Övriga Aktiebolag</t>
        </is>
      </c>
      <c r="G144" t="n">
        <v>18.7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58274-2025 artfynd.xlsx", "A 58274-2025")</f>
        <v/>
      </c>
      <c r="T144">
        <f>HYPERLINK("https://klasma.github.io/Logging_2380/kartor/A 58274-2025 karta.png", "A 58274-2025")</f>
        <v/>
      </c>
      <c r="V144">
        <f>HYPERLINK("https://klasma.github.io/Logging_2380/klagomål/A 58274-2025 FSC-klagomål.docx", "A 58274-2025")</f>
        <v/>
      </c>
      <c r="W144">
        <f>HYPERLINK("https://klasma.github.io/Logging_2380/klagomålsmail/A 58274-2025 FSC-klagomål mail.docx", "A 58274-2025")</f>
        <v/>
      </c>
      <c r="X144">
        <f>HYPERLINK("https://klasma.github.io/Logging_2380/tillsyn/A 58274-2025 tillsynsbegäran.docx", "A 58274-2025")</f>
        <v/>
      </c>
      <c r="Y144">
        <f>HYPERLINK("https://klasma.github.io/Logging_2380/tillsynsmail/A 58274-2025 tillsynsbegäran mail.docx", "A 58274-2025")</f>
        <v/>
      </c>
      <c r="Z144">
        <f>HYPERLINK("https://klasma.github.io/Logging_2380/fåglar/A 58274-2025 prioriterade fågelarter.docx", "A 58274-2025")</f>
        <v/>
      </c>
    </row>
    <row r="145" ht="15" customHeight="1">
      <c r="A145" t="inlineStr">
        <is>
          <t>A 59433-2021</t>
        </is>
      </c>
      <c r="B145" s="1" t="n">
        <v>44491</v>
      </c>
      <c r="C145" s="1" t="n">
        <v>46059</v>
      </c>
      <c r="D145" t="inlineStr">
        <is>
          <t>JÄMTLANDS LÄN</t>
        </is>
      </c>
      <c r="E145" t="inlineStr">
        <is>
          <t>ÖSTERSUND</t>
        </is>
      </c>
      <c r="F145" t="inlineStr">
        <is>
          <t>Övriga statliga verk och myndigheter</t>
        </is>
      </c>
      <c r="G145" t="n">
        <v>1.6</v>
      </c>
      <c r="H145" t="n">
        <v>0</v>
      </c>
      <c r="I145" t="n">
        <v>0</v>
      </c>
      <c r="J145" t="n">
        <v>1</v>
      </c>
      <c r="K145" t="n">
        <v>0</v>
      </c>
      <c r="L145" t="n">
        <v>0</v>
      </c>
      <c r="M145" t="n">
        <v>0</v>
      </c>
      <c r="N145" t="n">
        <v>0</v>
      </c>
      <c r="O145" t="n">
        <v>1</v>
      </c>
      <c r="P145" t="n">
        <v>0</v>
      </c>
      <c r="Q145" t="n">
        <v>1</v>
      </c>
      <c r="R145" s="2" t="inlineStr">
        <is>
          <t>Brunpudrad nållav</t>
        </is>
      </c>
      <c r="S145">
        <f>HYPERLINK("https://klasma.github.io/Logging_2380/artfynd/A 59433-2021 artfynd.xlsx", "A 59433-2021")</f>
        <v/>
      </c>
      <c r="T145">
        <f>HYPERLINK("https://klasma.github.io/Logging_2380/kartor/A 59433-2021 karta.png", "A 59433-2021")</f>
        <v/>
      </c>
      <c r="V145">
        <f>HYPERLINK("https://klasma.github.io/Logging_2380/klagomål/A 59433-2021 FSC-klagomål.docx", "A 59433-2021")</f>
        <v/>
      </c>
      <c r="W145">
        <f>HYPERLINK("https://klasma.github.io/Logging_2380/klagomålsmail/A 59433-2021 FSC-klagomål mail.docx", "A 59433-2021")</f>
        <v/>
      </c>
      <c r="X145">
        <f>HYPERLINK("https://klasma.github.io/Logging_2380/tillsyn/A 59433-2021 tillsynsbegäran.docx", "A 59433-2021")</f>
        <v/>
      </c>
      <c r="Y145">
        <f>HYPERLINK("https://klasma.github.io/Logging_2380/tillsynsmail/A 59433-2021 tillsynsbegäran mail.docx", "A 59433-2021")</f>
        <v/>
      </c>
    </row>
    <row r="146" ht="15" customHeight="1">
      <c r="A146" t="inlineStr">
        <is>
          <t>A 43188-2025</t>
        </is>
      </c>
      <c r="B146" s="1" t="n">
        <v>45910.41201388889</v>
      </c>
      <c r="C146" s="1" t="n">
        <v>46059</v>
      </c>
      <c r="D146" t="inlineStr">
        <is>
          <t>JÄMTLANDS LÄN</t>
        </is>
      </c>
      <c r="E146" t="inlineStr">
        <is>
          <t>ÖSTERSUND</t>
        </is>
      </c>
      <c r="G146" t="n">
        <v>8.6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43188-2025 artfynd.xlsx", "A 43188-2025")</f>
        <v/>
      </c>
      <c r="T146">
        <f>HYPERLINK("https://klasma.github.io/Logging_2380/kartor/A 43188-2025 karta.png", "A 43188-2025")</f>
        <v/>
      </c>
      <c r="V146">
        <f>HYPERLINK("https://klasma.github.io/Logging_2380/klagomål/A 43188-2025 FSC-klagomål.docx", "A 43188-2025")</f>
        <v/>
      </c>
      <c r="W146">
        <f>HYPERLINK("https://klasma.github.io/Logging_2380/klagomålsmail/A 43188-2025 FSC-klagomål mail.docx", "A 43188-2025")</f>
        <v/>
      </c>
      <c r="X146">
        <f>HYPERLINK("https://klasma.github.io/Logging_2380/tillsyn/A 43188-2025 tillsynsbegäran.docx", "A 43188-2025")</f>
        <v/>
      </c>
      <c r="Y146">
        <f>HYPERLINK("https://klasma.github.io/Logging_2380/tillsynsmail/A 43188-2025 tillsynsbegäran mail.docx", "A 43188-2025")</f>
        <v/>
      </c>
      <c r="Z146">
        <f>HYPERLINK("https://klasma.github.io/Logging_2380/fåglar/A 43188-2025 prioriterade fågelarter.docx", "A 43188-2025")</f>
        <v/>
      </c>
    </row>
    <row r="147" ht="15" customHeight="1">
      <c r="A147" t="inlineStr">
        <is>
          <t>A 41279-2024</t>
        </is>
      </c>
      <c r="B147" s="1" t="n">
        <v>45559</v>
      </c>
      <c r="C147" s="1" t="n">
        <v>46059</v>
      </c>
      <c r="D147" t="inlineStr">
        <is>
          <t>JÄMTLANDS LÄN</t>
        </is>
      </c>
      <c r="E147" t="inlineStr">
        <is>
          <t>ÖSTERSUND</t>
        </is>
      </c>
      <c r="F147" t="inlineStr">
        <is>
          <t>SCA</t>
        </is>
      </c>
      <c r="G147" t="n">
        <v>1.6</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41279-2024 artfynd.xlsx", "A 41279-2024")</f>
        <v/>
      </c>
      <c r="T147">
        <f>HYPERLINK("https://klasma.github.io/Logging_2380/kartor/A 41279-2024 karta.png", "A 41279-2024")</f>
        <v/>
      </c>
      <c r="V147">
        <f>HYPERLINK("https://klasma.github.io/Logging_2380/klagomål/A 41279-2024 FSC-klagomål.docx", "A 41279-2024")</f>
        <v/>
      </c>
      <c r="W147">
        <f>HYPERLINK("https://klasma.github.io/Logging_2380/klagomålsmail/A 41279-2024 FSC-klagomål mail.docx", "A 41279-2024")</f>
        <v/>
      </c>
      <c r="X147">
        <f>HYPERLINK("https://klasma.github.io/Logging_2380/tillsyn/A 41279-2024 tillsynsbegäran.docx", "A 41279-2024")</f>
        <v/>
      </c>
      <c r="Y147">
        <f>HYPERLINK("https://klasma.github.io/Logging_2380/tillsynsmail/A 41279-2024 tillsynsbegäran mail.docx", "A 41279-2024")</f>
        <v/>
      </c>
    </row>
    <row r="148" ht="15" customHeight="1">
      <c r="A148" t="inlineStr">
        <is>
          <t>A 58181-2022</t>
        </is>
      </c>
      <c r="B148" s="1" t="n">
        <v>44900</v>
      </c>
      <c r="C148" s="1" t="n">
        <v>46059</v>
      </c>
      <c r="D148" t="inlineStr">
        <is>
          <t>JÄMTLANDS LÄN</t>
        </is>
      </c>
      <c r="E148" t="inlineStr">
        <is>
          <t>ÖSTERSUND</t>
        </is>
      </c>
      <c r="G148" t="n">
        <v>14.8</v>
      </c>
      <c r="H148" t="n">
        <v>0</v>
      </c>
      <c r="I148" t="n">
        <v>1</v>
      </c>
      <c r="J148" t="n">
        <v>0</v>
      </c>
      <c r="K148" t="n">
        <v>0</v>
      </c>
      <c r="L148" t="n">
        <v>0</v>
      </c>
      <c r="M148" t="n">
        <v>0</v>
      </c>
      <c r="N148" t="n">
        <v>0</v>
      </c>
      <c r="O148" t="n">
        <v>0</v>
      </c>
      <c r="P148" t="n">
        <v>0</v>
      </c>
      <c r="Q148" t="n">
        <v>1</v>
      </c>
      <c r="R148" s="2" t="inlineStr">
        <is>
          <t>Finbräken</t>
        </is>
      </c>
      <c r="S148">
        <f>HYPERLINK("https://klasma.github.io/Logging_2380/artfynd/A 58181-2022 artfynd.xlsx", "A 58181-2022")</f>
        <v/>
      </c>
      <c r="T148">
        <f>HYPERLINK("https://klasma.github.io/Logging_2380/kartor/A 58181-2022 karta.png", "A 58181-2022")</f>
        <v/>
      </c>
      <c r="V148">
        <f>HYPERLINK("https://klasma.github.io/Logging_2380/klagomål/A 58181-2022 FSC-klagomål.docx", "A 58181-2022")</f>
        <v/>
      </c>
      <c r="W148">
        <f>HYPERLINK("https://klasma.github.io/Logging_2380/klagomålsmail/A 58181-2022 FSC-klagomål mail.docx", "A 58181-2022")</f>
        <v/>
      </c>
      <c r="X148">
        <f>HYPERLINK("https://klasma.github.io/Logging_2380/tillsyn/A 58181-2022 tillsynsbegäran.docx", "A 58181-2022")</f>
        <v/>
      </c>
      <c r="Y148">
        <f>HYPERLINK("https://klasma.github.io/Logging_2380/tillsynsmail/A 58181-2022 tillsynsbegäran mail.docx", "A 58181-2022")</f>
        <v/>
      </c>
    </row>
    <row r="149" ht="15" customHeight="1">
      <c r="A149" t="inlineStr">
        <is>
          <t>A 3512-2026</t>
        </is>
      </c>
      <c r="B149" s="1" t="n">
        <v>46042.58655092592</v>
      </c>
      <c r="C149" s="1" t="n">
        <v>46059</v>
      </c>
      <c r="D149" t="inlineStr">
        <is>
          <t>JÄMTLANDS LÄN</t>
        </is>
      </c>
      <c r="E149" t="inlineStr">
        <is>
          <t>ÖSTERSUND</t>
        </is>
      </c>
      <c r="G149" t="n">
        <v>5.7</v>
      </c>
      <c r="H149" t="n">
        <v>0</v>
      </c>
      <c r="I149" t="n">
        <v>0</v>
      </c>
      <c r="J149" t="n">
        <v>1</v>
      </c>
      <c r="K149" t="n">
        <v>0</v>
      </c>
      <c r="L149" t="n">
        <v>0</v>
      </c>
      <c r="M149" t="n">
        <v>0</v>
      </c>
      <c r="N149" t="n">
        <v>0</v>
      </c>
      <c r="O149" t="n">
        <v>1</v>
      </c>
      <c r="P149" t="n">
        <v>0</v>
      </c>
      <c r="Q149" t="n">
        <v>1</v>
      </c>
      <c r="R149" s="2" t="inlineStr">
        <is>
          <t>Slåtterfibbla</t>
        </is>
      </c>
      <c r="S149">
        <f>HYPERLINK("https://klasma.github.io/Logging_2380/artfynd/A 3512-2026 artfynd.xlsx", "A 3512-2026")</f>
        <v/>
      </c>
      <c r="T149">
        <f>HYPERLINK("https://klasma.github.io/Logging_2380/kartor/A 3512-2026 karta.png", "A 3512-2026")</f>
        <v/>
      </c>
      <c r="V149">
        <f>HYPERLINK("https://klasma.github.io/Logging_2380/klagomål/A 3512-2026 FSC-klagomål.docx", "A 3512-2026")</f>
        <v/>
      </c>
      <c r="W149">
        <f>HYPERLINK("https://klasma.github.io/Logging_2380/klagomålsmail/A 3512-2026 FSC-klagomål mail.docx", "A 3512-2026")</f>
        <v/>
      </c>
      <c r="X149">
        <f>HYPERLINK("https://klasma.github.io/Logging_2380/tillsyn/A 3512-2026 tillsynsbegäran.docx", "A 3512-2026")</f>
        <v/>
      </c>
      <c r="Y149">
        <f>HYPERLINK("https://klasma.github.io/Logging_2380/tillsynsmail/A 3512-2026 tillsynsbegäran mail.docx", "A 3512-2026")</f>
        <v/>
      </c>
    </row>
    <row r="150" ht="15" customHeight="1">
      <c r="A150" t="inlineStr">
        <is>
          <t>A 60966-2025</t>
        </is>
      </c>
      <c r="B150" s="1" t="n">
        <v>45999.67758101852</v>
      </c>
      <c r="C150" s="1" t="n">
        <v>46059</v>
      </c>
      <c r="D150" t="inlineStr">
        <is>
          <t>JÄMTLANDS LÄN</t>
        </is>
      </c>
      <c r="E150" t="inlineStr">
        <is>
          <t>ÖSTERSUND</t>
        </is>
      </c>
      <c r="F150" t="inlineStr">
        <is>
          <t>SCA</t>
        </is>
      </c>
      <c r="G150" t="n">
        <v>1.9</v>
      </c>
      <c r="H150" t="n">
        <v>1</v>
      </c>
      <c r="I150" t="n">
        <v>1</v>
      </c>
      <c r="J150" t="n">
        <v>0</v>
      </c>
      <c r="K150" t="n">
        <v>0</v>
      </c>
      <c r="L150" t="n">
        <v>0</v>
      </c>
      <c r="M150" t="n">
        <v>0</v>
      </c>
      <c r="N150" t="n">
        <v>0</v>
      </c>
      <c r="O150" t="n">
        <v>0</v>
      </c>
      <c r="P150" t="n">
        <v>0</v>
      </c>
      <c r="Q150" t="n">
        <v>1</v>
      </c>
      <c r="R150" s="2" t="inlineStr">
        <is>
          <t>Tvåblad</t>
        </is>
      </c>
      <c r="S150">
        <f>HYPERLINK("https://klasma.github.io/Logging_2380/artfynd/A 60966-2025 artfynd.xlsx", "A 60966-2025")</f>
        <v/>
      </c>
      <c r="T150">
        <f>HYPERLINK("https://klasma.github.io/Logging_2380/kartor/A 60966-2025 karta.png", "A 60966-2025")</f>
        <v/>
      </c>
      <c r="V150">
        <f>HYPERLINK("https://klasma.github.io/Logging_2380/klagomål/A 60966-2025 FSC-klagomål.docx", "A 60966-2025")</f>
        <v/>
      </c>
      <c r="W150">
        <f>HYPERLINK("https://klasma.github.io/Logging_2380/klagomålsmail/A 60966-2025 FSC-klagomål mail.docx", "A 60966-2025")</f>
        <v/>
      </c>
      <c r="X150">
        <f>HYPERLINK("https://klasma.github.io/Logging_2380/tillsyn/A 60966-2025 tillsynsbegäran.docx", "A 60966-2025")</f>
        <v/>
      </c>
      <c r="Y150">
        <f>HYPERLINK("https://klasma.github.io/Logging_2380/tillsynsmail/A 60966-2025 tillsynsbegäran mail.docx", "A 60966-2025")</f>
        <v/>
      </c>
    </row>
    <row r="151" ht="15" customHeight="1">
      <c r="A151" t="inlineStr">
        <is>
          <t>A 47580-2025</t>
        </is>
      </c>
      <c r="B151" s="1" t="n">
        <v>45931.40935185185</v>
      </c>
      <c r="C151" s="1" t="n">
        <v>46059</v>
      </c>
      <c r="D151" t="inlineStr">
        <is>
          <t>JÄMTLANDS LÄN</t>
        </is>
      </c>
      <c r="E151" t="inlineStr">
        <is>
          <t>ÖSTERSUND</t>
        </is>
      </c>
      <c r="G151" t="n">
        <v>4.1</v>
      </c>
      <c r="H151" t="n">
        <v>1</v>
      </c>
      <c r="I151" t="n">
        <v>0</v>
      </c>
      <c r="J151" t="n">
        <v>0</v>
      </c>
      <c r="K151" t="n">
        <v>0</v>
      </c>
      <c r="L151" t="n">
        <v>0</v>
      </c>
      <c r="M151" t="n">
        <v>0</v>
      </c>
      <c r="N151" t="n">
        <v>0</v>
      </c>
      <c r="O151" t="n">
        <v>0</v>
      </c>
      <c r="P151" t="n">
        <v>0</v>
      </c>
      <c r="Q151" t="n">
        <v>1</v>
      </c>
      <c r="R151" s="2" t="inlineStr">
        <is>
          <t>Revlummer</t>
        </is>
      </c>
      <c r="S151">
        <f>HYPERLINK("https://klasma.github.io/Logging_2380/artfynd/A 47580-2025 artfynd.xlsx", "A 47580-2025")</f>
        <v/>
      </c>
      <c r="T151">
        <f>HYPERLINK("https://klasma.github.io/Logging_2380/kartor/A 47580-2025 karta.png", "A 47580-2025")</f>
        <v/>
      </c>
      <c r="V151">
        <f>HYPERLINK("https://klasma.github.io/Logging_2380/klagomål/A 47580-2025 FSC-klagomål.docx", "A 47580-2025")</f>
        <v/>
      </c>
      <c r="W151">
        <f>HYPERLINK("https://klasma.github.io/Logging_2380/klagomålsmail/A 47580-2025 FSC-klagomål mail.docx", "A 47580-2025")</f>
        <v/>
      </c>
      <c r="X151">
        <f>HYPERLINK("https://klasma.github.io/Logging_2380/tillsyn/A 47580-2025 tillsynsbegäran.docx", "A 47580-2025")</f>
        <v/>
      </c>
      <c r="Y151">
        <f>HYPERLINK("https://klasma.github.io/Logging_2380/tillsynsmail/A 47580-2025 tillsynsbegäran mail.docx", "A 47580-2025")</f>
        <v/>
      </c>
    </row>
    <row r="152" ht="15" customHeight="1">
      <c r="A152" t="inlineStr">
        <is>
          <t>A 9739-2022</t>
        </is>
      </c>
      <c r="B152" s="1" t="n">
        <v>44617</v>
      </c>
      <c r="C152" s="1" t="n">
        <v>46059</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31883-2024</t>
        </is>
      </c>
      <c r="B153" s="1" t="n">
        <v>45509.9572800926</v>
      </c>
      <c r="C153" s="1" t="n">
        <v>46059</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57065-2024</t>
        </is>
      </c>
      <c r="B154" s="1" t="n">
        <v>45629.35344907407</v>
      </c>
      <c r="C154" s="1" t="n">
        <v>46059</v>
      </c>
      <c r="D154" t="inlineStr">
        <is>
          <t>JÄMTLANDS LÄN</t>
        </is>
      </c>
      <c r="E154" t="inlineStr">
        <is>
          <t>ÖSTERSUND</t>
        </is>
      </c>
      <c r="F154" t="inlineStr">
        <is>
          <t>SCA</t>
        </is>
      </c>
      <c r="G154" t="n">
        <v>6.3</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57065-2024 artfynd.xlsx", "A 57065-2024")</f>
        <v/>
      </c>
      <c r="T154">
        <f>HYPERLINK("https://klasma.github.io/Logging_2380/kartor/A 57065-2024 karta.png", "A 57065-2024")</f>
        <v/>
      </c>
      <c r="V154">
        <f>HYPERLINK("https://klasma.github.io/Logging_2380/klagomål/A 57065-2024 FSC-klagomål.docx", "A 57065-2024")</f>
        <v/>
      </c>
      <c r="W154">
        <f>HYPERLINK("https://klasma.github.io/Logging_2380/klagomålsmail/A 57065-2024 FSC-klagomål mail.docx", "A 57065-2024")</f>
        <v/>
      </c>
      <c r="X154">
        <f>HYPERLINK("https://klasma.github.io/Logging_2380/tillsyn/A 57065-2024 tillsynsbegäran.docx", "A 57065-2024")</f>
        <v/>
      </c>
      <c r="Y154">
        <f>HYPERLINK("https://klasma.github.io/Logging_2380/tillsynsmail/A 57065-2024 tillsynsbegäran mail.docx", "A 57065-2024")</f>
        <v/>
      </c>
      <c r="Z154">
        <f>HYPERLINK("https://klasma.github.io/Logging_2380/fåglar/A 57065-2024 prioriterade fågelarter.docx", "A 57065-2024")</f>
        <v/>
      </c>
    </row>
    <row r="155" ht="15" customHeight="1">
      <c r="A155" t="inlineStr">
        <is>
          <t>A 4223-2026</t>
        </is>
      </c>
      <c r="B155" s="1" t="n">
        <v>46044.84650462963</v>
      </c>
      <c r="C155" s="1" t="n">
        <v>46059</v>
      </c>
      <c r="D155" t="inlineStr">
        <is>
          <t>JÄMTLANDS LÄN</t>
        </is>
      </c>
      <c r="E155" t="inlineStr">
        <is>
          <t>ÖSTERSUND</t>
        </is>
      </c>
      <c r="G155" t="n">
        <v>3.5</v>
      </c>
      <c r="H155" t="n">
        <v>0</v>
      </c>
      <c r="I155" t="n">
        <v>0</v>
      </c>
      <c r="J155" t="n">
        <v>0</v>
      </c>
      <c r="K155" t="n">
        <v>1</v>
      </c>
      <c r="L155" t="n">
        <v>0</v>
      </c>
      <c r="M155" t="n">
        <v>0</v>
      </c>
      <c r="N155" t="n">
        <v>0</v>
      </c>
      <c r="O155" t="n">
        <v>1</v>
      </c>
      <c r="P155" t="n">
        <v>1</v>
      </c>
      <c r="Q155" t="n">
        <v>1</v>
      </c>
      <c r="R155" s="2" t="inlineStr">
        <is>
          <t>Taggfingersvamp</t>
        </is>
      </c>
      <c r="S155">
        <f>HYPERLINK("https://klasma.github.io/Logging_2380/artfynd/A 4223-2026 artfynd.xlsx", "A 4223-2026")</f>
        <v/>
      </c>
      <c r="T155">
        <f>HYPERLINK("https://klasma.github.io/Logging_2380/kartor/A 4223-2026 karta.png", "A 4223-2026")</f>
        <v/>
      </c>
      <c r="V155">
        <f>HYPERLINK("https://klasma.github.io/Logging_2380/klagomål/A 4223-2026 FSC-klagomål.docx", "A 4223-2026")</f>
        <v/>
      </c>
      <c r="W155">
        <f>HYPERLINK("https://klasma.github.io/Logging_2380/klagomålsmail/A 4223-2026 FSC-klagomål mail.docx", "A 4223-2026")</f>
        <v/>
      </c>
      <c r="X155">
        <f>HYPERLINK("https://klasma.github.io/Logging_2380/tillsyn/A 4223-2026 tillsynsbegäran.docx", "A 4223-2026")</f>
        <v/>
      </c>
      <c r="Y155">
        <f>HYPERLINK("https://klasma.github.io/Logging_2380/tillsynsmail/A 4223-2026 tillsynsbegäran mail.docx", "A 4223-2026")</f>
        <v/>
      </c>
    </row>
    <row r="156" ht="15" customHeight="1">
      <c r="A156" t="inlineStr">
        <is>
          <t>A 40781-2025</t>
        </is>
      </c>
      <c r="B156" s="1" t="n">
        <v>45897</v>
      </c>
      <c r="C156" s="1" t="n">
        <v>46059</v>
      </c>
      <c r="D156" t="inlineStr">
        <is>
          <t>JÄMTLANDS LÄN</t>
        </is>
      </c>
      <c r="E156" t="inlineStr">
        <is>
          <t>ÖSTERSUND</t>
        </is>
      </c>
      <c r="F156" t="inlineStr">
        <is>
          <t>Övriga Aktiebolag</t>
        </is>
      </c>
      <c r="G156" t="n">
        <v>2.2</v>
      </c>
      <c r="H156" t="n">
        <v>1</v>
      </c>
      <c r="I156" t="n">
        <v>0</v>
      </c>
      <c r="J156" t="n">
        <v>0</v>
      </c>
      <c r="K156" t="n">
        <v>0</v>
      </c>
      <c r="L156" t="n">
        <v>0</v>
      </c>
      <c r="M156" t="n">
        <v>0</v>
      </c>
      <c r="N156" t="n">
        <v>0</v>
      </c>
      <c r="O156" t="n">
        <v>0</v>
      </c>
      <c r="P156" t="n">
        <v>0</v>
      </c>
      <c r="Q156" t="n">
        <v>1</v>
      </c>
      <c r="R156" s="2" t="inlineStr">
        <is>
          <t>Blåsippa</t>
        </is>
      </c>
      <c r="S156">
        <f>HYPERLINK("https://klasma.github.io/Logging_2380/artfynd/A 40781-2025 artfynd.xlsx", "A 40781-2025")</f>
        <v/>
      </c>
      <c r="T156">
        <f>HYPERLINK("https://klasma.github.io/Logging_2380/kartor/A 40781-2025 karta.png", "A 40781-2025")</f>
        <v/>
      </c>
      <c r="V156">
        <f>HYPERLINK("https://klasma.github.io/Logging_2380/klagomål/A 40781-2025 FSC-klagomål.docx", "A 40781-2025")</f>
        <v/>
      </c>
      <c r="W156">
        <f>HYPERLINK("https://klasma.github.io/Logging_2380/klagomålsmail/A 40781-2025 FSC-klagomål mail.docx", "A 40781-2025")</f>
        <v/>
      </c>
      <c r="X156">
        <f>HYPERLINK("https://klasma.github.io/Logging_2380/tillsyn/A 40781-2025 tillsynsbegäran.docx", "A 40781-2025")</f>
        <v/>
      </c>
      <c r="Y156">
        <f>HYPERLINK("https://klasma.github.io/Logging_2380/tillsynsmail/A 40781-2025 tillsynsbegäran mail.docx", "A 40781-2025")</f>
        <v/>
      </c>
    </row>
    <row r="157" ht="15" customHeight="1">
      <c r="A157" t="inlineStr">
        <is>
          <t>A 3894-2026</t>
        </is>
      </c>
      <c r="B157" s="1" t="n">
        <v>46043.67922453704</v>
      </c>
      <c r="C157" s="1" t="n">
        <v>46059</v>
      </c>
      <c r="D157" t="inlineStr">
        <is>
          <t>JÄMTLANDS LÄN</t>
        </is>
      </c>
      <c r="E157" t="inlineStr">
        <is>
          <t>ÖSTERSUND</t>
        </is>
      </c>
      <c r="G157" t="n">
        <v>3.5</v>
      </c>
      <c r="H157" t="n">
        <v>0</v>
      </c>
      <c r="I157" t="n">
        <v>0</v>
      </c>
      <c r="J157" t="n">
        <v>0</v>
      </c>
      <c r="K157" t="n">
        <v>1</v>
      </c>
      <c r="L157" t="n">
        <v>0</v>
      </c>
      <c r="M157" t="n">
        <v>0</v>
      </c>
      <c r="N157" t="n">
        <v>0</v>
      </c>
      <c r="O157" t="n">
        <v>1</v>
      </c>
      <c r="P157" t="n">
        <v>1</v>
      </c>
      <c r="Q157" t="n">
        <v>1</v>
      </c>
      <c r="R157" s="2" t="inlineStr">
        <is>
          <t>Rynkskinn</t>
        </is>
      </c>
      <c r="S157">
        <f>HYPERLINK("https://klasma.github.io/Logging_2380/artfynd/A 3894-2026 artfynd.xlsx", "A 3894-2026")</f>
        <v/>
      </c>
      <c r="T157">
        <f>HYPERLINK("https://klasma.github.io/Logging_2380/kartor/A 3894-2026 karta.png", "A 3894-2026")</f>
        <v/>
      </c>
      <c r="V157">
        <f>HYPERLINK("https://klasma.github.io/Logging_2380/klagomål/A 3894-2026 FSC-klagomål.docx", "A 3894-2026")</f>
        <v/>
      </c>
      <c r="W157">
        <f>HYPERLINK("https://klasma.github.io/Logging_2380/klagomålsmail/A 3894-2026 FSC-klagomål mail.docx", "A 3894-2026")</f>
        <v/>
      </c>
      <c r="X157">
        <f>HYPERLINK("https://klasma.github.io/Logging_2380/tillsyn/A 3894-2026 tillsynsbegäran.docx", "A 3894-2026")</f>
        <v/>
      </c>
      <c r="Y157">
        <f>HYPERLINK("https://klasma.github.io/Logging_2380/tillsynsmail/A 3894-2026 tillsynsbegäran mail.docx", "A 3894-2026")</f>
        <v/>
      </c>
    </row>
    <row r="158" ht="15" customHeight="1">
      <c r="A158" t="inlineStr">
        <is>
          <t>A 40692-2024</t>
        </is>
      </c>
      <c r="B158" s="1" t="n">
        <v>45558</v>
      </c>
      <c r="C158" s="1" t="n">
        <v>46059</v>
      </c>
      <c r="D158" t="inlineStr">
        <is>
          <t>JÄMTLANDS LÄN</t>
        </is>
      </c>
      <c r="E158" t="inlineStr">
        <is>
          <t>ÖSTERSUND</t>
        </is>
      </c>
      <c r="F158" t="inlineStr">
        <is>
          <t>SCA</t>
        </is>
      </c>
      <c r="G158" t="n">
        <v>0.9</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40692-2024 artfynd.xlsx", "A 40692-2024")</f>
        <v/>
      </c>
      <c r="T158">
        <f>HYPERLINK("https://klasma.github.io/Logging_2380/kartor/A 40692-2024 karta.png", "A 40692-2024")</f>
        <v/>
      </c>
      <c r="V158">
        <f>HYPERLINK("https://klasma.github.io/Logging_2380/klagomål/A 40692-2024 FSC-klagomål.docx", "A 40692-2024")</f>
        <v/>
      </c>
      <c r="W158">
        <f>HYPERLINK("https://klasma.github.io/Logging_2380/klagomålsmail/A 40692-2024 FSC-klagomål mail.docx", "A 40692-2024")</f>
        <v/>
      </c>
      <c r="X158">
        <f>HYPERLINK("https://klasma.github.io/Logging_2380/tillsyn/A 40692-2024 tillsynsbegäran.docx", "A 40692-2024")</f>
        <v/>
      </c>
      <c r="Y158">
        <f>HYPERLINK("https://klasma.github.io/Logging_2380/tillsynsmail/A 40692-2024 tillsynsbegäran mail.docx", "A 40692-2024")</f>
        <v/>
      </c>
    </row>
    <row r="159" ht="15" customHeight="1">
      <c r="A159" t="inlineStr">
        <is>
          <t>A 43883-2024</t>
        </is>
      </c>
      <c r="B159" s="1" t="n">
        <v>45570</v>
      </c>
      <c r="C159" s="1" t="n">
        <v>46059</v>
      </c>
      <c r="D159" t="inlineStr">
        <is>
          <t>JÄMTLANDS LÄN</t>
        </is>
      </c>
      <c r="E159" t="inlineStr">
        <is>
          <t>ÖSTERSUND</t>
        </is>
      </c>
      <c r="G159" t="n">
        <v>3.8</v>
      </c>
      <c r="H159" t="n">
        <v>0</v>
      </c>
      <c r="I159" t="n">
        <v>0</v>
      </c>
      <c r="J159" t="n">
        <v>0</v>
      </c>
      <c r="K159" t="n">
        <v>1</v>
      </c>
      <c r="L159" t="n">
        <v>0</v>
      </c>
      <c r="M159" t="n">
        <v>0</v>
      </c>
      <c r="N159" t="n">
        <v>0</v>
      </c>
      <c r="O159" t="n">
        <v>1</v>
      </c>
      <c r="P159" t="n">
        <v>1</v>
      </c>
      <c r="Q159" t="n">
        <v>1</v>
      </c>
      <c r="R159" s="2" t="inlineStr">
        <is>
          <t>Frösöstarr</t>
        </is>
      </c>
      <c r="S159">
        <f>HYPERLINK("https://klasma.github.io/Logging_2380/artfynd/A 43883-2024 artfynd.xlsx", "A 43883-2024")</f>
        <v/>
      </c>
      <c r="T159">
        <f>HYPERLINK("https://klasma.github.io/Logging_2380/kartor/A 43883-2024 karta.png", "A 43883-2024")</f>
        <v/>
      </c>
      <c r="V159">
        <f>HYPERLINK("https://klasma.github.io/Logging_2380/klagomål/A 43883-2024 FSC-klagomål.docx", "A 43883-2024")</f>
        <v/>
      </c>
      <c r="W159">
        <f>HYPERLINK("https://klasma.github.io/Logging_2380/klagomålsmail/A 43883-2024 FSC-klagomål mail.docx", "A 43883-2024")</f>
        <v/>
      </c>
      <c r="X159">
        <f>HYPERLINK("https://klasma.github.io/Logging_2380/tillsyn/A 43883-2024 tillsynsbegäran.docx", "A 43883-2024")</f>
        <v/>
      </c>
      <c r="Y159">
        <f>HYPERLINK("https://klasma.github.io/Logging_2380/tillsynsmail/A 43883-2024 tillsynsbegäran mail.docx", "A 43883-2024")</f>
        <v/>
      </c>
    </row>
    <row r="160" ht="15" customHeight="1">
      <c r="A160" t="inlineStr">
        <is>
          <t>A 28980-2023</t>
        </is>
      </c>
      <c r="B160" s="1" t="n">
        <v>45096</v>
      </c>
      <c r="C160" s="1" t="n">
        <v>46059</v>
      </c>
      <c r="D160" t="inlineStr">
        <is>
          <t>JÄMTLANDS LÄN</t>
        </is>
      </c>
      <c r="E160" t="inlineStr">
        <is>
          <t>ÖSTERSUND</t>
        </is>
      </c>
      <c r="G160" t="n">
        <v>2.7</v>
      </c>
      <c r="H160" t="n">
        <v>0</v>
      </c>
      <c r="I160" t="n">
        <v>1</v>
      </c>
      <c r="J160" t="n">
        <v>0</v>
      </c>
      <c r="K160" t="n">
        <v>0</v>
      </c>
      <c r="L160" t="n">
        <v>0</v>
      </c>
      <c r="M160" t="n">
        <v>0</v>
      </c>
      <c r="N160" t="n">
        <v>0</v>
      </c>
      <c r="O160" t="n">
        <v>0</v>
      </c>
      <c r="P160" t="n">
        <v>0</v>
      </c>
      <c r="Q160" t="n">
        <v>1</v>
      </c>
      <c r="R160" s="2" t="inlineStr">
        <is>
          <t>Finbräken</t>
        </is>
      </c>
      <c r="S160">
        <f>HYPERLINK("https://klasma.github.io/Logging_2380/artfynd/A 28980-2023 artfynd.xlsx", "A 28980-2023")</f>
        <v/>
      </c>
      <c r="T160">
        <f>HYPERLINK("https://klasma.github.io/Logging_2380/kartor/A 28980-2023 karta.png", "A 28980-2023")</f>
        <v/>
      </c>
      <c r="V160">
        <f>HYPERLINK("https://klasma.github.io/Logging_2380/klagomål/A 28980-2023 FSC-klagomål.docx", "A 28980-2023")</f>
        <v/>
      </c>
      <c r="W160">
        <f>HYPERLINK("https://klasma.github.io/Logging_2380/klagomålsmail/A 28980-2023 FSC-klagomål mail.docx", "A 28980-2023")</f>
        <v/>
      </c>
      <c r="X160">
        <f>HYPERLINK("https://klasma.github.io/Logging_2380/tillsyn/A 28980-2023 tillsynsbegäran.docx", "A 28980-2023")</f>
        <v/>
      </c>
      <c r="Y160">
        <f>HYPERLINK("https://klasma.github.io/Logging_2380/tillsynsmail/A 28980-2023 tillsynsbegäran mail.docx", "A 28980-2023")</f>
        <v/>
      </c>
    </row>
    <row r="161" ht="15" customHeight="1">
      <c r="A161" t="inlineStr">
        <is>
          <t>A 4787-2026</t>
        </is>
      </c>
      <c r="B161" s="1" t="n">
        <v>46045</v>
      </c>
      <c r="C161" s="1" t="n">
        <v>46059</v>
      </c>
      <c r="D161" t="inlineStr">
        <is>
          <t>JÄMTLANDS LÄN</t>
        </is>
      </c>
      <c r="E161" t="inlineStr">
        <is>
          <t>ÖSTERSUND</t>
        </is>
      </c>
      <c r="G161" t="n">
        <v>4.1</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4787-2026 artfynd.xlsx", "A 4787-2026")</f>
        <v/>
      </c>
      <c r="T161">
        <f>HYPERLINK("https://klasma.github.io/Logging_2380/kartor/A 4787-2026 karta.png", "A 4787-2026")</f>
        <v/>
      </c>
      <c r="V161">
        <f>HYPERLINK("https://klasma.github.io/Logging_2380/klagomål/A 4787-2026 FSC-klagomål.docx", "A 4787-2026")</f>
        <v/>
      </c>
      <c r="W161">
        <f>HYPERLINK("https://klasma.github.io/Logging_2380/klagomålsmail/A 4787-2026 FSC-klagomål mail.docx", "A 4787-2026")</f>
        <v/>
      </c>
      <c r="X161">
        <f>HYPERLINK("https://klasma.github.io/Logging_2380/tillsyn/A 4787-2026 tillsynsbegäran.docx", "A 4787-2026")</f>
        <v/>
      </c>
      <c r="Y161">
        <f>HYPERLINK("https://klasma.github.io/Logging_2380/tillsynsmail/A 4787-2026 tillsynsbegäran mail.docx", "A 4787-2026")</f>
        <v/>
      </c>
      <c r="Z161">
        <f>HYPERLINK("https://klasma.github.io/Logging_2380/fåglar/A 4787-2026 prioriterade fågelarter.docx", "A 4787-2026")</f>
        <v/>
      </c>
    </row>
    <row r="162" ht="15" customHeight="1">
      <c r="A162" t="inlineStr">
        <is>
          <t>A 62835-2025</t>
        </is>
      </c>
      <c r="B162" s="1" t="n">
        <v>46008.67969907408</v>
      </c>
      <c r="C162" s="1" t="n">
        <v>46059</v>
      </c>
      <c r="D162" t="inlineStr">
        <is>
          <t>JÄMTLANDS LÄN</t>
        </is>
      </c>
      <c r="E162" t="inlineStr">
        <is>
          <t>ÖSTERSUND</t>
        </is>
      </c>
      <c r="G162" t="n">
        <v>2.2</v>
      </c>
      <c r="H162" t="n">
        <v>0</v>
      </c>
      <c r="I162" t="n">
        <v>0</v>
      </c>
      <c r="J162" t="n">
        <v>1</v>
      </c>
      <c r="K162" t="n">
        <v>0</v>
      </c>
      <c r="L162" t="n">
        <v>0</v>
      </c>
      <c r="M162" t="n">
        <v>0</v>
      </c>
      <c r="N162" t="n">
        <v>0</v>
      </c>
      <c r="O162" t="n">
        <v>1</v>
      </c>
      <c r="P162" t="n">
        <v>0</v>
      </c>
      <c r="Q162" t="n">
        <v>1</v>
      </c>
      <c r="R162" s="2" t="inlineStr">
        <is>
          <t>Åkerkål</t>
        </is>
      </c>
      <c r="S162">
        <f>HYPERLINK("https://klasma.github.io/Logging_2380/artfynd/A 62835-2025 artfynd.xlsx", "A 62835-2025")</f>
        <v/>
      </c>
      <c r="T162">
        <f>HYPERLINK("https://klasma.github.io/Logging_2380/kartor/A 62835-2025 karta.png", "A 62835-2025")</f>
        <v/>
      </c>
      <c r="V162">
        <f>HYPERLINK("https://klasma.github.io/Logging_2380/klagomål/A 62835-2025 FSC-klagomål.docx", "A 62835-2025")</f>
        <v/>
      </c>
      <c r="W162">
        <f>HYPERLINK("https://klasma.github.io/Logging_2380/klagomålsmail/A 62835-2025 FSC-klagomål mail.docx", "A 62835-2025")</f>
        <v/>
      </c>
      <c r="X162">
        <f>HYPERLINK("https://klasma.github.io/Logging_2380/tillsyn/A 62835-2025 tillsynsbegäran.docx", "A 62835-2025")</f>
        <v/>
      </c>
      <c r="Y162">
        <f>HYPERLINK("https://klasma.github.io/Logging_2380/tillsynsmail/A 62835-2025 tillsynsbegäran mail.docx", "A 62835-2025")</f>
        <v/>
      </c>
    </row>
    <row r="163" ht="15" customHeight="1">
      <c r="A163" t="inlineStr">
        <is>
          <t>A 5729-2026</t>
        </is>
      </c>
      <c r="B163" s="1" t="n">
        <v>46051.57149305556</v>
      </c>
      <c r="C163" s="1" t="n">
        <v>46059</v>
      </c>
      <c r="D163" t="inlineStr">
        <is>
          <t>JÄMTLANDS LÄN</t>
        </is>
      </c>
      <c r="E163" t="inlineStr">
        <is>
          <t>ÖSTERSUND</t>
        </is>
      </c>
      <c r="G163" t="n">
        <v>4.4</v>
      </c>
      <c r="H163" t="n">
        <v>0</v>
      </c>
      <c r="I163" t="n">
        <v>0</v>
      </c>
      <c r="J163" t="n">
        <v>1</v>
      </c>
      <c r="K163" t="n">
        <v>0</v>
      </c>
      <c r="L163" t="n">
        <v>0</v>
      </c>
      <c r="M163" t="n">
        <v>0</v>
      </c>
      <c r="N163" t="n">
        <v>0</v>
      </c>
      <c r="O163" t="n">
        <v>1</v>
      </c>
      <c r="P163" t="n">
        <v>0</v>
      </c>
      <c r="Q163" t="n">
        <v>1</v>
      </c>
      <c r="R163" s="2" t="inlineStr">
        <is>
          <t>Lunglav</t>
        </is>
      </c>
      <c r="S163">
        <f>HYPERLINK("https://klasma.github.io/Logging_2380/artfynd/A 5729-2026 artfynd.xlsx", "A 5729-2026")</f>
        <v/>
      </c>
      <c r="T163">
        <f>HYPERLINK("https://klasma.github.io/Logging_2380/kartor/A 5729-2026 karta.png", "A 5729-2026")</f>
        <v/>
      </c>
      <c r="V163">
        <f>HYPERLINK("https://klasma.github.io/Logging_2380/klagomål/A 5729-2026 FSC-klagomål.docx", "A 5729-2026")</f>
        <v/>
      </c>
      <c r="W163">
        <f>HYPERLINK("https://klasma.github.io/Logging_2380/klagomålsmail/A 5729-2026 FSC-klagomål mail.docx", "A 5729-2026")</f>
        <v/>
      </c>
      <c r="X163">
        <f>HYPERLINK("https://klasma.github.io/Logging_2380/tillsyn/A 5729-2026 tillsynsbegäran.docx", "A 5729-2026")</f>
        <v/>
      </c>
      <c r="Y163">
        <f>HYPERLINK("https://klasma.github.io/Logging_2380/tillsynsmail/A 5729-2026 tillsynsbegäran mail.docx", "A 5729-2026")</f>
        <v/>
      </c>
    </row>
    <row r="164" ht="15" customHeight="1">
      <c r="A164" t="inlineStr">
        <is>
          <t>A 53300-2025</t>
        </is>
      </c>
      <c r="B164" s="1" t="n">
        <v>45959.32394675926</v>
      </c>
      <c r="C164" s="1" t="n">
        <v>46059</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41312-2024</t>
        </is>
      </c>
      <c r="B165" s="1" t="n">
        <v>45559.63584490741</v>
      </c>
      <c r="C165" s="1" t="n">
        <v>46059</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56201-2024</t>
        </is>
      </c>
      <c r="B166" s="1" t="n">
        <v>45624.59462962963</v>
      </c>
      <c r="C166" s="1" t="n">
        <v>46059</v>
      </c>
      <c r="D166" t="inlineStr">
        <is>
          <t>JÄMTLANDS LÄN</t>
        </is>
      </c>
      <c r="E166" t="inlineStr">
        <is>
          <t>ÖSTERSUND</t>
        </is>
      </c>
      <c r="F166" t="inlineStr">
        <is>
          <t>SCA</t>
        </is>
      </c>
      <c r="G166" t="n">
        <v>5.9</v>
      </c>
      <c r="H166" t="n">
        <v>1</v>
      </c>
      <c r="I166" t="n">
        <v>0</v>
      </c>
      <c r="J166" t="n">
        <v>0</v>
      </c>
      <c r="K166" t="n">
        <v>1</v>
      </c>
      <c r="L166" t="n">
        <v>0</v>
      </c>
      <c r="M166" t="n">
        <v>0</v>
      </c>
      <c r="N166" t="n">
        <v>0</v>
      </c>
      <c r="O166" t="n">
        <v>1</v>
      </c>
      <c r="P166" t="n">
        <v>1</v>
      </c>
      <c r="Q166" t="n">
        <v>1</v>
      </c>
      <c r="R166" s="2" t="inlineStr">
        <is>
          <t>Doftticka</t>
        </is>
      </c>
      <c r="S166">
        <f>HYPERLINK("https://klasma.github.io/Logging_2380/artfynd/A 56201-2024 artfynd.xlsx", "A 56201-2024")</f>
        <v/>
      </c>
      <c r="T166">
        <f>HYPERLINK("https://klasma.github.io/Logging_2380/kartor/A 56201-2024 karta.png", "A 56201-2024")</f>
        <v/>
      </c>
      <c r="V166">
        <f>HYPERLINK("https://klasma.github.io/Logging_2380/klagomål/A 56201-2024 FSC-klagomål.docx", "A 56201-2024")</f>
        <v/>
      </c>
      <c r="W166">
        <f>HYPERLINK("https://klasma.github.io/Logging_2380/klagomålsmail/A 56201-2024 FSC-klagomål mail.docx", "A 56201-2024")</f>
        <v/>
      </c>
      <c r="X166">
        <f>HYPERLINK("https://klasma.github.io/Logging_2380/tillsyn/A 56201-2024 tillsynsbegäran.docx", "A 56201-2024")</f>
        <v/>
      </c>
      <c r="Y166">
        <f>HYPERLINK("https://klasma.github.io/Logging_2380/tillsynsmail/A 56201-2024 tillsynsbegäran mail.docx", "A 56201-2024")</f>
        <v/>
      </c>
    </row>
    <row r="167" ht="15" customHeight="1">
      <c r="A167" t="inlineStr">
        <is>
          <t>A 59108-2024</t>
        </is>
      </c>
      <c r="B167" s="1" t="n">
        <v>45637.34469907408</v>
      </c>
      <c r="C167" s="1" t="n">
        <v>46059</v>
      </c>
      <c r="D167" t="inlineStr">
        <is>
          <t>JÄMTLANDS LÄN</t>
        </is>
      </c>
      <c r="E167" t="inlineStr">
        <is>
          <t>ÖSTERSUND</t>
        </is>
      </c>
      <c r="F167" t="inlineStr">
        <is>
          <t>SCA</t>
        </is>
      </c>
      <c r="G167" t="n">
        <v>10.6</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59108-2024 artfynd.xlsx", "A 59108-2024")</f>
        <v/>
      </c>
      <c r="T167">
        <f>HYPERLINK("https://klasma.github.io/Logging_2380/kartor/A 59108-2024 karta.png", "A 59108-2024")</f>
        <v/>
      </c>
      <c r="V167">
        <f>HYPERLINK("https://klasma.github.io/Logging_2380/klagomål/A 59108-2024 FSC-klagomål.docx", "A 59108-2024")</f>
        <v/>
      </c>
      <c r="W167">
        <f>HYPERLINK("https://klasma.github.io/Logging_2380/klagomålsmail/A 59108-2024 FSC-klagomål mail.docx", "A 59108-2024")</f>
        <v/>
      </c>
      <c r="X167">
        <f>HYPERLINK("https://klasma.github.io/Logging_2380/tillsyn/A 59108-2024 tillsynsbegäran.docx", "A 59108-2024")</f>
        <v/>
      </c>
      <c r="Y167">
        <f>HYPERLINK("https://klasma.github.io/Logging_2380/tillsynsmail/A 59108-2024 tillsynsbegäran mail.docx", "A 59108-2024")</f>
        <v/>
      </c>
      <c r="Z167">
        <f>HYPERLINK("https://klasma.github.io/Logging_2380/fåglar/A 59108-2024 prioriterade fågelarter.docx", "A 59108-2024")</f>
        <v/>
      </c>
    </row>
    <row r="168" ht="15" customHeight="1">
      <c r="A168" t="inlineStr">
        <is>
          <t>A 55821-2021</t>
        </is>
      </c>
      <c r="B168" s="1" t="n">
        <v>44476</v>
      </c>
      <c r="C168" s="1" t="n">
        <v>46059</v>
      </c>
      <c r="D168" t="inlineStr">
        <is>
          <t>JÄMTLANDS LÄN</t>
        </is>
      </c>
      <c r="E168" t="inlineStr">
        <is>
          <t>ÖSTERSUND</t>
        </is>
      </c>
      <c r="G168" t="n">
        <v>7.2</v>
      </c>
      <c r="H168" t="n">
        <v>0</v>
      </c>
      <c r="I168" t="n">
        <v>0</v>
      </c>
      <c r="J168" t="n">
        <v>1</v>
      </c>
      <c r="K168" t="n">
        <v>0</v>
      </c>
      <c r="L168" t="n">
        <v>0</v>
      </c>
      <c r="M168" t="n">
        <v>0</v>
      </c>
      <c r="N168" t="n">
        <v>0</v>
      </c>
      <c r="O168" t="n">
        <v>1</v>
      </c>
      <c r="P168" t="n">
        <v>0</v>
      </c>
      <c r="Q168" t="n">
        <v>1</v>
      </c>
      <c r="R168" s="2" t="inlineStr">
        <is>
          <t>Harticka</t>
        </is>
      </c>
      <c r="S168">
        <f>HYPERLINK("https://klasma.github.io/Logging_2380/artfynd/A 55821-2021 artfynd.xlsx", "A 55821-2021")</f>
        <v/>
      </c>
      <c r="T168">
        <f>HYPERLINK("https://klasma.github.io/Logging_2380/kartor/A 55821-2021 karta.png", "A 55821-2021")</f>
        <v/>
      </c>
      <c r="V168">
        <f>HYPERLINK("https://klasma.github.io/Logging_2380/klagomål/A 55821-2021 FSC-klagomål.docx", "A 55821-2021")</f>
        <v/>
      </c>
      <c r="W168">
        <f>HYPERLINK("https://klasma.github.io/Logging_2380/klagomålsmail/A 55821-2021 FSC-klagomål mail.docx", "A 55821-2021")</f>
        <v/>
      </c>
      <c r="X168">
        <f>HYPERLINK("https://klasma.github.io/Logging_2380/tillsyn/A 55821-2021 tillsynsbegäran.docx", "A 55821-2021")</f>
        <v/>
      </c>
      <c r="Y168">
        <f>HYPERLINK("https://klasma.github.io/Logging_2380/tillsynsmail/A 55821-2021 tillsynsbegäran mail.docx", "A 55821-2021")</f>
        <v/>
      </c>
    </row>
    <row r="169" ht="15" customHeight="1">
      <c r="A169" t="inlineStr">
        <is>
          <t>A 54354-2024</t>
        </is>
      </c>
      <c r="B169" s="1" t="n">
        <v>45617.40244212963</v>
      </c>
      <c r="C169" s="1" t="n">
        <v>46059</v>
      </c>
      <c r="D169" t="inlineStr">
        <is>
          <t>JÄMTLANDS LÄN</t>
        </is>
      </c>
      <c r="E169" t="inlineStr">
        <is>
          <t>ÖSTERSUND</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54354-2024 artfynd.xlsx", "A 54354-2024")</f>
        <v/>
      </c>
      <c r="T169">
        <f>HYPERLINK("https://klasma.github.io/Logging_2380/kartor/A 54354-2024 karta.png", "A 54354-2024")</f>
        <v/>
      </c>
      <c r="V169">
        <f>HYPERLINK("https://klasma.github.io/Logging_2380/klagomål/A 54354-2024 FSC-klagomål.docx", "A 54354-2024")</f>
        <v/>
      </c>
      <c r="W169">
        <f>HYPERLINK("https://klasma.github.io/Logging_2380/klagomålsmail/A 54354-2024 FSC-klagomål mail.docx", "A 54354-2024")</f>
        <v/>
      </c>
      <c r="X169">
        <f>HYPERLINK("https://klasma.github.io/Logging_2380/tillsyn/A 54354-2024 tillsynsbegäran.docx", "A 54354-2024")</f>
        <v/>
      </c>
      <c r="Y169">
        <f>HYPERLINK("https://klasma.github.io/Logging_2380/tillsynsmail/A 54354-2024 tillsynsbegäran mail.docx", "A 54354-2024")</f>
        <v/>
      </c>
      <c r="Z169">
        <f>HYPERLINK("https://klasma.github.io/Logging_2380/fåglar/A 54354-2024 prioriterade fågelarter.docx", "A 54354-2024")</f>
        <v/>
      </c>
    </row>
    <row r="170" ht="15" customHeight="1">
      <c r="A170" t="inlineStr">
        <is>
          <t>A 44049-2024</t>
        </is>
      </c>
      <c r="B170" s="1" t="n">
        <v>45572.59462962963</v>
      </c>
      <c r="C170" s="1" t="n">
        <v>46059</v>
      </c>
      <c r="D170" t="inlineStr">
        <is>
          <t>JÄMTLANDS LÄN</t>
        </is>
      </c>
      <c r="E170" t="inlineStr">
        <is>
          <t>ÖSTERSUND</t>
        </is>
      </c>
      <c r="F170" t="inlineStr">
        <is>
          <t>SCA</t>
        </is>
      </c>
      <c r="G170" t="n">
        <v>4.5</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44049-2024 artfynd.xlsx", "A 44049-2024")</f>
        <v/>
      </c>
      <c r="T170">
        <f>HYPERLINK("https://klasma.github.io/Logging_2380/kartor/A 44049-2024 karta.png", "A 44049-2024")</f>
        <v/>
      </c>
      <c r="V170">
        <f>HYPERLINK("https://klasma.github.io/Logging_2380/klagomål/A 44049-2024 FSC-klagomål.docx", "A 44049-2024")</f>
        <v/>
      </c>
      <c r="W170">
        <f>HYPERLINK("https://klasma.github.io/Logging_2380/klagomålsmail/A 44049-2024 FSC-klagomål mail.docx", "A 44049-2024")</f>
        <v/>
      </c>
      <c r="X170">
        <f>HYPERLINK("https://klasma.github.io/Logging_2380/tillsyn/A 44049-2024 tillsynsbegäran.docx", "A 44049-2024")</f>
        <v/>
      </c>
      <c r="Y170">
        <f>HYPERLINK("https://klasma.github.io/Logging_2380/tillsynsmail/A 44049-2024 tillsynsbegäran mail.docx", "A 44049-2024")</f>
        <v/>
      </c>
    </row>
    <row r="171" ht="15" customHeight="1">
      <c r="A171" t="inlineStr">
        <is>
          <t>A 11513-2024</t>
        </is>
      </c>
      <c r="B171" s="1" t="n">
        <v>45372</v>
      </c>
      <c r="C171" s="1" t="n">
        <v>46059</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41770-2024</t>
        </is>
      </c>
      <c r="B172" s="1" t="n">
        <v>45561.34641203703</v>
      </c>
      <c r="C172" s="1" t="n">
        <v>46059</v>
      </c>
      <c r="D172" t="inlineStr">
        <is>
          <t>JÄMTLANDS LÄN</t>
        </is>
      </c>
      <c r="E172" t="inlineStr">
        <is>
          <t>ÖSTERSUND</t>
        </is>
      </c>
      <c r="F172" t="inlineStr">
        <is>
          <t>SCA</t>
        </is>
      </c>
      <c r="G172" t="n">
        <v>4.4</v>
      </c>
      <c r="H172" t="n">
        <v>0</v>
      </c>
      <c r="I172" t="n">
        <v>1</v>
      </c>
      <c r="J172" t="n">
        <v>0</v>
      </c>
      <c r="K172" t="n">
        <v>0</v>
      </c>
      <c r="L172" t="n">
        <v>0</v>
      </c>
      <c r="M172" t="n">
        <v>0</v>
      </c>
      <c r="N172" t="n">
        <v>0</v>
      </c>
      <c r="O172" t="n">
        <v>0</v>
      </c>
      <c r="P172" t="n">
        <v>0</v>
      </c>
      <c r="Q172" t="n">
        <v>1</v>
      </c>
      <c r="R172" s="2" t="inlineStr">
        <is>
          <t>Vedticka</t>
        </is>
      </c>
      <c r="S172">
        <f>HYPERLINK("https://klasma.github.io/Logging_2380/artfynd/A 41770-2024 artfynd.xlsx", "A 41770-2024")</f>
        <v/>
      </c>
      <c r="T172">
        <f>HYPERLINK("https://klasma.github.io/Logging_2380/kartor/A 41770-2024 karta.png", "A 41770-2024")</f>
        <v/>
      </c>
      <c r="V172">
        <f>HYPERLINK("https://klasma.github.io/Logging_2380/klagomål/A 41770-2024 FSC-klagomål.docx", "A 41770-2024")</f>
        <v/>
      </c>
      <c r="W172">
        <f>HYPERLINK("https://klasma.github.io/Logging_2380/klagomålsmail/A 41770-2024 FSC-klagomål mail.docx", "A 41770-2024")</f>
        <v/>
      </c>
      <c r="X172">
        <f>HYPERLINK("https://klasma.github.io/Logging_2380/tillsyn/A 41770-2024 tillsynsbegäran.docx", "A 41770-2024")</f>
        <v/>
      </c>
      <c r="Y172">
        <f>HYPERLINK("https://klasma.github.io/Logging_2380/tillsynsmail/A 41770-2024 tillsynsbegäran mail.docx", "A 41770-2024")</f>
        <v/>
      </c>
    </row>
    <row r="173" ht="15" customHeight="1">
      <c r="A173" t="inlineStr">
        <is>
          <t>A 33267-2022</t>
        </is>
      </c>
      <c r="B173" s="1" t="n">
        <v>44785</v>
      </c>
      <c r="C173" s="1" t="n">
        <v>46059</v>
      </c>
      <c r="D173" t="inlineStr">
        <is>
          <t>JÄMTLANDS LÄN</t>
        </is>
      </c>
      <c r="E173" t="inlineStr">
        <is>
          <t>ÖSTERSUND</t>
        </is>
      </c>
      <c r="G173" t="n">
        <v>0.9</v>
      </c>
      <c r="H173" t="n">
        <v>1</v>
      </c>
      <c r="I173" t="n">
        <v>0</v>
      </c>
      <c r="J173" t="n">
        <v>1</v>
      </c>
      <c r="K173" t="n">
        <v>0</v>
      </c>
      <c r="L173" t="n">
        <v>0</v>
      </c>
      <c r="M173" t="n">
        <v>0</v>
      </c>
      <c r="N173" t="n">
        <v>0</v>
      </c>
      <c r="O173" t="n">
        <v>1</v>
      </c>
      <c r="P173" t="n">
        <v>0</v>
      </c>
      <c r="Q173" t="n">
        <v>1</v>
      </c>
      <c r="R173" s="2" t="inlineStr">
        <is>
          <t>Talltita</t>
        </is>
      </c>
      <c r="S173">
        <f>HYPERLINK("https://klasma.github.io/Logging_2380/artfynd/A 33267-2022 artfynd.xlsx", "A 33267-2022")</f>
        <v/>
      </c>
      <c r="T173">
        <f>HYPERLINK("https://klasma.github.io/Logging_2380/kartor/A 33267-2022 karta.png", "A 33267-2022")</f>
        <v/>
      </c>
      <c r="V173">
        <f>HYPERLINK("https://klasma.github.io/Logging_2380/klagomål/A 33267-2022 FSC-klagomål.docx", "A 33267-2022")</f>
        <v/>
      </c>
      <c r="W173">
        <f>HYPERLINK("https://klasma.github.io/Logging_2380/klagomålsmail/A 33267-2022 FSC-klagomål mail.docx", "A 33267-2022")</f>
        <v/>
      </c>
      <c r="X173">
        <f>HYPERLINK("https://klasma.github.io/Logging_2380/tillsyn/A 33267-2022 tillsynsbegäran.docx", "A 33267-2022")</f>
        <v/>
      </c>
      <c r="Y173">
        <f>HYPERLINK("https://klasma.github.io/Logging_2380/tillsynsmail/A 33267-2022 tillsynsbegäran mail.docx", "A 33267-2022")</f>
        <v/>
      </c>
      <c r="Z173">
        <f>HYPERLINK("https://klasma.github.io/Logging_2380/fåglar/A 33267-2022 prioriterade fågelarter.docx", "A 33267-2022")</f>
        <v/>
      </c>
    </row>
    <row r="174" ht="15" customHeight="1">
      <c r="A174" t="inlineStr">
        <is>
          <t>A 55-2023</t>
        </is>
      </c>
      <c r="B174" s="1" t="n">
        <v>44928</v>
      </c>
      <c r="C174" s="1" t="n">
        <v>46059</v>
      </c>
      <c r="D174" t="inlineStr">
        <is>
          <t>JÄMTLANDS LÄN</t>
        </is>
      </c>
      <c r="E174" t="inlineStr">
        <is>
          <t>ÖSTERSUND</t>
        </is>
      </c>
      <c r="G174" t="n">
        <v>4</v>
      </c>
      <c r="H174" t="n">
        <v>1</v>
      </c>
      <c r="I174" t="n">
        <v>0</v>
      </c>
      <c r="J174" t="n">
        <v>0</v>
      </c>
      <c r="K174" t="n">
        <v>1</v>
      </c>
      <c r="L174" t="n">
        <v>0</v>
      </c>
      <c r="M174" t="n">
        <v>0</v>
      </c>
      <c r="N174" t="n">
        <v>0</v>
      </c>
      <c r="O174" t="n">
        <v>1</v>
      </c>
      <c r="P174" t="n">
        <v>1</v>
      </c>
      <c r="Q174" t="n">
        <v>1</v>
      </c>
      <c r="R174" s="2" t="inlineStr">
        <is>
          <t>Knärot</t>
        </is>
      </c>
      <c r="S174">
        <f>HYPERLINK("https://klasma.github.io/Logging_2380/artfynd/A 55-2023 artfynd.xlsx", "A 55-2023")</f>
        <v/>
      </c>
      <c r="T174">
        <f>HYPERLINK("https://klasma.github.io/Logging_2380/kartor/A 55-2023 karta.png", "A 55-2023")</f>
        <v/>
      </c>
      <c r="U174">
        <f>HYPERLINK("https://klasma.github.io/Logging_2380/knärot/A 55-2023 karta knärot.png", "A 55-2023")</f>
        <v/>
      </c>
      <c r="V174">
        <f>HYPERLINK("https://klasma.github.io/Logging_2380/klagomål/A 55-2023 FSC-klagomål.docx", "A 55-2023")</f>
        <v/>
      </c>
      <c r="W174">
        <f>HYPERLINK("https://klasma.github.io/Logging_2380/klagomålsmail/A 55-2023 FSC-klagomål mail.docx", "A 55-2023")</f>
        <v/>
      </c>
      <c r="X174">
        <f>HYPERLINK("https://klasma.github.io/Logging_2380/tillsyn/A 55-2023 tillsynsbegäran.docx", "A 55-2023")</f>
        <v/>
      </c>
      <c r="Y174">
        <f>HYPERLINK("https://klasma.github.io/Logging_2380/tillsynsmail/A 55-2023 tillsynsbegäran mail.docx", "A 55-2023")</f>
        <v/>
      </c>
    </row>
    <row r="175" ht="15" customHeight="1">
      <c r="A175" t="inlineStr">
        <is>
          <t>A 17217-2021</t>
        </is>
      </c>
      <c r="B175" s="1" t="n">
        <v>44298</v>
      </c>
      <c r="C175" s="1" t="n">
        <v>46059</v>
      </c>
      <c r="D175" t="inlineStr">
        <is>
          <t>JÄMTLANDS LÄN</t>
        </is>
      </c>
      <c r="E175" t="inlineStr">
        <is>
          <t>ÖSTERSUND</t>
        </is>
      </c>
      <c r="G175" t="n">
        <v>10.4</v>
      </c>
      <c r="H175" t="n">
        <v>0</v>
      </c>
      <c r="I175" t="n">
        <v>0</v>
      </c>
      <c r="J175" t="n">
        <v>1</v>
      </c>
      <c r="K175" t="n">
        <v>0</v>
      </c>
      <c r="L175" t="n">
        <v>0</v>
      </c>
      <c r="M175" t="n">
        <v>0</v>
      </c>
      <c r="N175" t="n">
        <v>0</v>
      </c>
      <c r="O175" t="n">
        <v>1</v>
      </c>
      <c r="P175" t="n">
        <v>0</v>
      </c>
      <c r="Q175" t="n">
        <v>1</v>
      </c>
      <c r="R175" s="2" t="inlineStr">
        <is>
          <t>Rödbrun klubbdyna</t>
        </is>
      </c>
      <c r="S175">
        <f>HYPERLINK("https://klasma.github.io/Logging_2380/artfynd/A 17217-2021 artfynd.xlsx", "A 17217-2021")</f>
        <v/>
      </c>
      <c r="T175">
        <f>HYPERLINK("https://klasma.github.io/Logging_2380/kartor/A 17217-2021 karta.png", "A 17217-2021")</f>
        <v/>
      </c>
      <c r="V175">
        <f>HYPERLINK("https://klasma.github.io/Logging_2380/klagomål/A 17217-2021 FSC-klagomål.docx", "A 17217-2021")</f>
        <v/>
      </c>
      <c r="W175">
        <f>HYPERLINK("https://klasma.github.io/Logging_2380/klagomålsmail/A 17217-2021 FSC-klagomål mail.docx", "A 17217-2021")</f>
        <v/>
      </c>
      <c r="X175">
        <f>HYPERLINK("https://klasma.github.io/Logging_2380/tillsyn/A 17217-2021 tillsynsbegäran.docx", "A 17217-2021")</f>
        <v/>
      </c>
      <c r="Y175">
        <f>HYPERLINK("https://klasma.github.io/Logging_2380/tillsynsmail/A 17217-2021 tillsynsbegäran mail.docx", "A 17217-2021")</f>
        <v/>
      </c>
    </row>
    <row r="176" ht="15" customHeight="1">
      <c r="A176" t="inlineStr">
        <is>
          <t>A 40694-2024</t>
        </is>
      </c>
      <c r="B176" s="1" t="n">
        <v>45558</v>
      </c>
      <c r="C176" s="1" t="n">
        <v>46059</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26605-2025</t>
        </is>
      </c>
      <c r="B177" s="1" t="n">
        <v>45809.86790509259</v>
      </c>
      <c r="C177" s="1" t="n">
        <v>46059</v>
      </c>
      <c r="D177" t="inlineStr">
        <is>
          <t>JÄMTLANDS LÄN</t>
        </is>
      </c>
      <c r="E177" t="inlineStr">
        <is>
          <t>ÖSTERSUND</t>
        </is>
      </c>
      <c r="G177" t="n">
        <v>1.3</v>
      </c>
      <c r="H177" t="n">
        <v>0</v>
      </c>
      <c r="I177" t="n">
        <v>0</v>
      </c>
      <c r="J177" t="n">
        <v>1</v>
      </c>
      <c r="K177" t="n">
        <v>0</v>
      </c>
      <c r="L177" t="n">
        <v>0</v>
      </c>
      <c r="M177" t="n">
        <v>0</v>
      </c>
      <c r="N177" t="n">
        <v>0</v>
      </c>
      <c r="O177" t="n">
        <v>1</v>
      </c>
      <c r="P177" t="n">
        <v>0</v>
      </c>
      <c r="Q177" t="n">
        <v>1</v>
      </c>
      <c r="R177" s="2" t="inlineStr">
        <is>
          <t>Garnlav</t>
        </is>
      </c>
      <c r="S177">
        <f>HYPERLINK("https://klasma.github.io/Logging_2380/artfynd/A 26605-2025 artfynd.xlsx", "A 26605-2025")</f>
        <v/>
      </c>
      <c r="T177">
        <f>HYPERLINK("https://klasma.github.io/Logging_2380/kartor/A 26605-2025 karta.png", "A 26605-2025")</f>
        <v/>
      </c>
      <c r="V177">
        <f>HYPERLINK("https://klasma.github.io/Logging_2380/klagomål/A 26605-2025 FSC-klagomål.docx", "A 26605-2025")</f>
        <v/>
      </c>
      <c r="W177">
        <f>HYPERLINK("https://klasma.github.io/Logging_2380/klagomålsmail/A 26605-2025 FSC-klagomål mail.docx", "A 26605-2025")</f>
        <v/>
      </c>
      <c r="X177">
        <f>HYPERLINK("https://klasma.github.io/Logging_2380/tillsyn/A 26605-2025 tillsynsbegäran.docx", "A 26605-2025")</f>
        <v/>
      </c>
      <c r="Y177">
        <f>HYPERLINK("https://klasma.github.io/Logging_2380/tillsynsmail/A 26605-2025 tillsynsbegäran mail.docx", "A 26605-2025")</f>
        <v/>
      </c>
    </row>
    <row r="178" ht="15" customHeight="1">
      <c r="A178" t="inlineStr">
        <is>
          <t>A 33550-2025</t>
        </is>
      </c>
      <c r="B178" s="1" t="n">
        <v>45841.57331018519</v>
      </c>
      <c r="C178" s="1" t="n">
        <v>46059</v>
      </c>
      <c r="D178" t="inlineStr">
        <is>
          <t>JÄMTLANDS LÄN</t>
        </is>
      </c>
      <c r="E178" t="inlineStr">
        <is>
          <t>ÖSTERSUND</t>
        </is>
      </c>
      <c r="F178" t="inlineStr">
        <is>
          <t>SCA</t>
        </is>
      </c>
      <c r="G178" t="n">
        <v>7.3</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33550-2025 artfynd.xlsx", "A 33550-2025")</f>
        <v/>
      </c>
      <c r="T178">
        <f>HYPERLINK("https://klasma.github.io/Logging_2380/kartor/A 33550-2025 karta.png", "A 33550-2025")</f>
        <v/>
      </c>
      <c r="V178">
        <f>HYPERLINK("https://klasma.github.io/Logging_2380/klagomål/A 33550-2025 FSC-klagomål.docx", "A 33550-2025")</f>
        <v/>
      </c>
      <c r="W178">
        <f>HYPERLINK("https://klasma.github.io/Logging_2380/klagomålsmail/A 33550-2025 FSC-klagomål mail.docx", "A 33550-2025")</f>
        <v/>
      </c>
      <c r="X178">
        <f>HYPERLINK("https://klasma.github.io/Logging_2380/tillsyn/A 33550-2025 tillsynsbegäran.docx", "A 33550-2025")</f>
        <v/>
      </c>
      <c r="Y178">
        <f>HYPERLINK("https://klasma.github.io/Logging_2380/tillsynsmail/A 33550-2025 tillsynsbegäran mail.docx", "A 33550-2025")</f>
        <v/>
      </c>
    </row>
    <row r="179" ht="15" customHeight="1">
      <c r="A179" t="inlineStr">
        <is>
          <t>A 20620-2021</t>
        </is>
      </c>
      <c r="B179" s="1" t="n">
        <v>44316</v>
      </c>
      <c r="C179" s="1" t="n">
        <v>46059</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46059</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46059</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46059</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8396-2021</t>
        </is>
      </c>
      <c r="B183" s="1" t="n">
        <v>44238</v>
      </c>
      <c r="C183" s="1" t="n">
        <v>46059</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64092-2021</t>
        </is>
      </c>
      <c r="B184" s="1" t="n">
        <v>44510.44064814815</v>
      </c>
      <c r="C184" s="1" t="n">
        <v>46059</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40038-2021</t>
        </is>
      </c>
      <c r="B185" s="1" t="n">
        <v>44418.45925925926</v>
      </c>
      <c r="C185" s="1" t="n">
        <v>46059</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46059</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46059</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46059</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46059</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46059</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46059</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46059</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19541-2021</t>
        </is>
      </c>
      <c r="B193" s="1" t="n">
        <v>44312.41724537037</v>
      </c>
      <c r="C193" s="1" t="n">
        <v>46059</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2880-2022</t>
        </is>
      </c>
      <c r="B194" s="1" t="n">
        <v>44581</v>
      </c>
      <c r="C194" s="1" t="n">
        <v>46059</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10834-2021</t>
        </is>
      </c>
      <c r="B195" s="1" t="n">
        <v>44259</v>
      </c>
      <c r="C195" s="1" t="n">
        <v>46059</v>
      </c>
      <c r="D195" t="inlineStr">
        <is>
          <t>JÄMTLANDS LÄN</t>
        </is>
      </c>
      <c r="E195" t="inlineStr">
        <is>
          <t>ÖSTERSUND</t>
        </is>
      </c>
      <c r="G195" t="n">
        <v>12.2</v>
      </c>
      <c r="H195" t="n">
        <v>0</v>
      </c>
      <c r="I195" t="n">
        <v>0</v>
      </c>
      <c r="J195" t="n">
        <v>0</v>
      </c>
      <c r="K195" t="n">
        <v>0</v>
      </c>
      <c r="L195" t="n">
        <v>0</v>
      </c>
      <c r="M195" t="n">
        <v>0</v>
      </c>
      <c r="N195" t="n">
        <v>0</v>
      </c>
      <c r="O195" t="n">
        <v>0</v>
      </c>
      <c r="P195" t="n">
        <v>0</v>
      </c>
      <c r="Q195" t="n">
        <v>0</v>
      </c>
      <c r="R195" s="2" t="inlineStr"/>
    </row>
    <row r="196" ht="15" customHeight="1">
      <c r="A196" t="inlineStr">
        <is>
          <t>A 47295-2022</t>
        </is>
      </c>
      <c r="B196" s="1" t="n">
        <v>44852</v>
      </c>
      <c r="C196" s="1" t="n">
        <v>46059</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46059</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46059</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26254-2021</t>
        </is>
      </c>
      <c r="B199" s="1" t="n">
        <v>44347</v>
      </c>
      <c r="C199" s="1" t="n">
        <v>46059</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46059</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46002-2021</t>
        </is>
      </c>
      <c r="B201" s="1" t="n">
        <v>44441.80453703704</v>
      </c>
      <c r="C201" s="1" t="n">
        <v>46059</v>
      </c>
      <c r="D201" t="inlineStr">
        <is>
          <t>JÄMTLANDS LÄN</t>
        </is>
      </c>
      <c r="E201" t="inlineStr">
        <is>
          <t>ÖSTERSUND</t>
        </is>
      </c>
      <c r="G201" t="n">
        <v>3.6</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46059</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46059</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46059</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26259-2021</t>
        </is>
      </c>
      <c r="B205" s="1" t="n">
        <v>44347</v>
      </c>
      <c r="C205" s="1" t="n">
        <v>46059</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46059</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695-2022</t>
        </is>
      </c>
      <c r="B207" s="1" t="n">
        <v>44566</v>
      </c>
      <c r="C207" s="1" t="n">
        <v>46059</v>
      </c>
      <c r="D207" t="inlineStr">
        <is>
          <t>JÄMTLANDS LÄN</t>
        </is>
      </c>
      <c r="E207" t="inlineStr">
        <is>
          <t>ÖSTERSUND</t>
        </is>
      </c>
      <c r="G207" t="n">
        <v>14.9</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46059</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46059</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46059</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46059</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17596-2021</t>
        </is>
      </c>
      <c r="B212" s="1" t="n">
        <v>44299</v>
      </c>
      <c r="C212" s="1" t="n">
        <v>46059</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46059</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46059</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46059</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46059</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46059</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46059</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46059</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46059</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46059</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46059</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46059</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46059</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46059</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65991-2021</t>
        </is>
      </c>
      <c r="B226" s="1" t="n">
        <v>44517.55134259259</v>
      </c>
      <c r="C226" s="1" t="n">
        <v>46059</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6458-2022</t>
        </is>
      </c>
      <c r="B227" s="1" t="n">
        <v>44601.36165509259</v>
      </c>
      <c r="C227" s="1" t="n">
        <v>46059</v>
      </c>
      <c r="D227" t="inlineStr">
        <is>
          <t>JÄMTLANDS LÄN</t>
        </is>
      </c>
      <c r="E227" t="inlineStr">
        <is>
          <t>ÖSTERSUND</t>
        </is>
      </c>
      <c r="G227" t="n">
        <v>3.1</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46059</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46059</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46059</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46059</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46059</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46059</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46059</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46059</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46059</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24721-2021</t>
        </is>
      </c>
      <c r="B237" s="1" t="n">
        <v>44340</v>
      </c>
      <c r="C237" s="1" t="n">
        <v>46059</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72061-2021</t>
        </is>
      </c>
      <c r="B238" s="1" t="n">
        <v>44540</v>
      </c>
      <c r="C238" s="1" t="n">
        <v>46059</v>
      </c>
      <c r="D238" t="inlineStr">
        <is>
          <t>JÄMTLANDS LÄN</t>
        </is>
      </c>
      <c r="E238" t="inlineStr">
        <is>
          <t>ÖSTERSUND</t>
        </is>
      </c>
      <c r="G238" t="n">
        <v>5.3</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46059</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26586-2025</t>
        </is>
      </c>
      <c r="B240" s="1" t="n">
        <v>45807.74140046296</v>
      </c>
      <c r="C240" s="1" t="n">
        <v>46059</v>
      </c>
      <c r="D240" t="inlineStr">
        <is>
          <t>JÄMTLANDS LÄN</t>
        </is>
      </c>
      <c r="E240" t="inlineStr">
        <is>
          <t>ÖSTERSUND</t>
        </is>
      </c>
      <c r="G240" t="n">
        <v>2.1</v>
      </c>
      <c r="H240" t="n">
        <v>0</v>
      </c>
      <c r="I240" t="n">
        <v>0</v>
      </c>
      <c r="J240" t="n">
        <v>0</v>
      </c>
      <c r="K240" t="n">
        <v>0</v>
      </c>
      <c r="L240" t="n">
        <v>0</v>
      </c>
      <c r="M240" t="n">
        <v>0</v>
      </c>
      <c r="N240" t="n">
        <v>0</v>
      </c>
      <c r="O240" t="n">
        <v>0</v>
      </c>
      <c r="P240" t="n">
        <v>0</v>
      </c>
      <c r="Q240" t="n">
        <v>0</v>
      </c>
      <c r="R240" s="2" t="inlineStr"/>
    </row>
    <row r="241" ht="15" customHeight="1">
      <c r="A241" t="inlineStr">
        <is>
          <t>A 55365-2024</t>
        </is>
      </c>
      <c r="B241" s="1" t="n">
        <v>45621.86827546296</v>
      </c>
      <c r="C241" s="1" t="n">
        <v>46059</v>
      </c>
      <c r="D241" t="inlineStr">
        <is>
          <t>JÄMTLANDS LÄN</t>
        </is>
      </c>
      <c r="E241" t="inlineStr">
        <is>
          <t>ÖSTERSUND</t>
        </is>
      </c>
      <c r="G241" t="n">
        <v>1.6</v>
      </c>
      <c r="H241" t="n">
        <v>0</v>
      </c>
      <c r="I241" t="n">
        <v>0</v>
      </c>
      <c r="J241" t="n">
        <v>0</v>
      </c>
      <c r="K241" t="n">
        <v>0</v>
      </c>
      <c r="L241" t="n">
        <v>0</v>
      </c>
      <c r="M241" t="n">
        <v>0</v>
      </c>
      <c r="N241" t="n">
        <v>0</v>
      </c>
      <c r="O241" t="n">
        <v>0</v>
      </c>
      <c r="P241" t="n">
        <v>0</v>
      </c>
      <c r="Q241" t="n">
        <v>0</v>
      </c>
      <c r="R241" s="2" t="inlineStr"/>
    </row>
    <row r="242" ht="15" customHeight="1">
      <c r="A242" t="inlineStr">
        <is>
          <t>A 60349-2024</t>
        </is>
      </c>
      <c r="B242" s="1" t="n">
        <v>45643.42986111111</v>
      </c>
      <c r="C242" s="1" t="n">
        <v>46059</v>
      </c>
      <c r="D242" t="inlineStr">
        <is>
          <t>JÄMTLANDS LÄN</t>
        </is>
      </c>
      <c r="E242" t="inlineStr">
        <is>
          <t>ÖSTERSUND</t>
        </is>
      </c>
      <c r="F242" t="inlineStr">
        <is>
          <t>Sveaskog</t>
        </is>
      </c>
      <c r="G242" t="n">
        <v>16.6</v>
      </c>
      <c r="H242" t="n">
        <v>0</v>
      </c>
      <c r="I242" t="n">
        <v>0</v>
      </c>
      <c r="J242" t="n">
        <v>0</v>
      </c>
      <c r="K242" t="n">
        <v>0</v>
      </c>
      <c r="L242" t="n">
        <v>0</v>
      </c>
      <c r="M242" t="n">
        <v>0</v>
      </c>
      <c r="N242" t="n">
        <v>0</v>
      </c>
      <c r="O242" t="n">
        <v>0</v>
      </c>
      <c r="P242" t="n">
        <v>0</v>
      </c>
      <c r="Q242" t="n">
        <v>0</v>
      </c>
      <c r="R242" s="2" t="inlineStr"/>
    </row>
    <row r="243" ht="15" customHeight="1">
      <c r="A243" t="inlineStr">
        <is>
          <t>A 36211-2025</t>
        </is>
      </c>
      <c r="B243" s="1" t="n">
        <v>45867.46946759259</v>
      </c>
      <c r="C243" s="1" t="n">
        <v>46059</v>
      </c>
      <c r="D243" t="inlineStr">
        <is>
          <t>JÄMTLANDS LÄN</t>
        </is>
      </c>
      <c r="E243" t="inlineStr">
        <is>
          <t>ÖSTERSUND</t>
        </is>
      </c>
      <c r="F243" t="inlineStr">
        <is>
          <t>SCA</t>
        </is>
      </c>
      <c r="G243" t="n">
        <v>3.8</v>
      </c>
      <c r="H243" t="n">
        <v>0</v>
      </c>
      <c r="I243" t="n">
        <v>0</v>
      </c>
      <c r="J243" t="n">
        <v>0</v>
      </c>
      <c r="K243" t="n">
        <v>0</v>
      </c>
      <c r="L243" t="n">
        <v>0</v>
      </c>
      <c r="M243" t="n">
        <v>0</v>
      </c>
      <c r="N243" t="n">
        <v>0</v>
      </c>
      <c r="O243" t="n">
        <v>0</v>
      </c>
      <c r="P243" t="n">
        <v>0</v>
      </c>
      <c r="Q243" t="n">
        <v>0</v>
      </c>
      <c r="R243" s="2" t="inlineStr"/>
    </row>
    <row r="244" ht="15" customHeight="1">
      <c r="A244" t="inlineStr">
        <is>
          <t>A 14657-2022</t>
        </is>
      </c>
      <c r="B244" s="1" t="n">
        <v>44655</v>
      </c>
      <c r="C244" s="1" t="n">
        <v>46059</v>
      </c>
      <c r="D244" t="inlineStr">
        <is>
          <t>JÄMTLANDS LÄN</t>
        </is>
      </c>
      <c r="E244" t="inlineStr">
        <is>
          <t>ÖSTERSUND</t>
        </is>
      </c>
      <c r="G244" t="n">
        <v>1.1</v>
      </c>
      <c r="H244" t="n">
        <v>0</v>
      </c>
      <c r="I244" t="n">
        <v>0</v>
      </c>
      <c r="J244" t="n">
        <v>0</v>
      </c>
      <c r="K244" t="n">
        <v>0</v>
      </c>
      <c r="L244" t="n">
        <v>0</v>
      </c>
      <c r="M244" t="n">
        <v>0</v>
      </c>
      <c r="N244" t="n">
        <v>0</v>
      </c>
      <c r="O244" t="n">
        <v>0</v>
      </c>
      <c r="P244" t="n">
        <v>0</v>
      </c>
      <c r="Q244" t="n">
        <v>0</v>
      </c>
      <c r="R244" s="2" t="inlineStr"/>
    </row>
    <row r="245" ht="15" customHeight="1">
      <c r="A245" t="inlineStr">
        <is>
          <t>A 19664-2025</t>
        </is>
      </c>
      <c r="B245" s="1" t="n">
        <v>45770.6925462963</v>
      </c>
      <c r="C245" s="1" t="n">
        <v>46059</v>
      </c>
      <c r="D245" t="inlineStr">
        <is>
          <t>JÄMTLANDS LÄN</t>
        </is>
      </c>
      <c r="E245" t="inlineStr">
        <is>
          <t>ÖSTERSUND</t>
        </is>
      </c>
      <c r="G245" t="n">
        <v>8.6</v>
      </c>
      <c r="H245" t="n">
        <v>0</v>
      </c>
      <c r="I245" t="n">
        <v>0</v>
      </c>
      <c r="J245" t="n">
        <v>0</v>
      </c>
      <c r="K245" t="n">
        <v>0</v>
      </c>
      <c r="L245" t="n">
        <v>0</v>
      </c>
      <c r="M245" t="n">
        <v>0</v>
      </c>
      <c r="N245" t="n">
        <v>0</v>
      </c>
      <c r="O245" t="n">
        <v>0</v>
      </c>
      <c r="P245" t="n">
        <v>0</v>
      </c>
      <c r="Q245" t="n">
        <v>0</v>
      </c>
      <c r="R245" s="2" t="inlineStr"/>
    </row>
    <row r="246" ht="15" customHeight="1">
      <c r="A246" t="inlineStr">
        <is>
          <t>A 31464-2024</t>
        </is>
      </c>
      <c r="B246" s="1" t="n">
        <v>45505.95078703704</v>
      </c>
      <c r="C246" s="1" t="n">
        <v>46059</v>
      </c>
      <c r="D246" t="inlineStr">
        <is>
          <t>JÄMTLANDS LÄN</t>
        </is>
      </c>
      <c r="E246" t="inlineStr">
        <is>
          <t>ÖSTERSUND</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5145-2022</t>
        </is>
      </c>
      <c r="B247" s="1" t="n">
        <v>44594</v>
      </c>
      <c r="C247" s="1" t="n">
        <v>46059</v>
      </c>
      <c r="D247" t="inlineStr">
        <is>
          <t>JÄMTLANDS LÄN</t>
        </is>
      </c>
      <c r="E247" t="inlineStr">
        <is>
          <t>ÖSTERSUND</t>
        </is>
      </c>
      <c r="G247" t="n">
        <v>2.6</v>
      </c>
      <c r="H247" t="n">
        <v>0</v>
      </c>
      <c r="I247" t="n">
        <v>0</v>
      </c>
      <c r="J247" t="n">
        <v>0</v>
      </c>
      <c r="K247" t="n">
        <v>0</v>
      </c>
      <c r="L247" t="n">
        <v>0</v>
      </c>
      <c r="M247" t="n">
        <v>0</v>
      </c>
      <c r="N247" t="n">
        <v>0</v>
      </c>
      <c r="O247" t="n">
        <v>0</v>
      </c>
      <c r="P247" t="n">
        <v>0</v>
      </c>
      <c r="Q247" t="n">
        <v>0</v>
      </c>
      <c r="R247" s="2" t="inlineStr"/>
    </row>
    <row r="248" ht="15" customHeight="1">
      <c r="A248" t="inlineStr">
        <is>
          <t>A 36566-2025</t>
        </is>
      </c>
      <c r="B248" s="1" t="n">
        <v>45869</v>
      </c>
      <c r="C248" s="1" t="n">
        <v>46059</v>
      </c>
      <c r="D248" t="inlineStr">
        <is>
          <t>JÄMTLANDS LÄN</t>
        </is>
      </c>
      <c r="E248" t="inlineStr">
        <is>
          <t>ÖSTERSUND</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47022-2024</t>
        </is>
      </c>
      <c r="B249" s="1" t="n">
        <v>45586.40660879629</v>
      </c>
      <c r="C249" s="1" t="n">
        <v>46059</v>
      </c>
      <c r="D249" t="inlineStr">
        <is>
          <t>JÄMTLANDS LÄN</t>
        </is>
      </c>
      <c r="E249" t="inlineStr">
        <is>
          <t>ÖSTERSUND</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21211-2022</t>
        </is>
      </c>
      <c r="B250" s="1" t="n">
        <v>44704.94370370371</v>
      </c>
      <c r="C250" s="1" t="n">
        <v>46059</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62225-2022</t>
        </is>
      </c>
      <c r="B251" s="1" t="n">
        <v>44922</v>
      </c>
      <c r="C251" s="1" t="n">
        <v>46059</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37085-2025</t>
        </is>
      </c>
      <c r="B252" s="1" t="n">
        <v>45875.44840277778</v>
      </c>
      <c r="C252" s="1" t="n">
        <v>46059</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38871-2025</t>
        </is>
      </c>
      <c r="B253" s="1" t="n">
        <v>45887.57407407407</v>
      </c>
      <c r="C253" s="1" t="n">
        <v>46059</v>
      </c>
      <c r="D253" t="inlineStr">
        <is>
          <t>JÄMTLANDS LÄN</t>
        </is>
      </c>
      <c r="E253" t="inlineStr">
        <is>
          <t>ÖSTERSUND</t>
        </is>
      </c>
      <c r="G253" t="n">
        <v>3</v>
      </c>
      <c r="H253" t="n">
        <v>0</v>
      </c>
      <c r="I253" t="n">
        <v>0</v>
      </c>
      <c r="J253" t="n">
        <v>0</v>
      </c>
      <c r="K253" t="n">
        <v>0</v>
      </c>
      <c r="L253" t="n">
        <v>0</v>
      </c>
      <c r="M253" t="n">
        <v>0</v>
      </c>
      <c r="N253" t="n">
        <v>0</v>
      </c>
      <c r="O253" t="n">
        <v>0</v>
      </c>
      <c r="P253" t="n">
        <v>0</v>
      </c>
      <c r="Q253" t="n">
        <v>0</v>
      </c>
      <c r="R253" s="2" t="inlineStr"/>
    </row>
    <row r="254" ht="15" customHeight="1">
      <c r="A254" t="inlineStr">
        <is>
          <t>A 39030-2025</t>
        </is>
      </c>
      <c r="B254" s="1" t="n">
        <v>45888.40700231482</v>
      </c>
      <c r="C254" s="1" t="n">
        <v>46059</v>
      </c>
      <c r="D254" t="inlineStr">
        <is>
          <t>JÄMTLANDS LÄN</t>
        </is>
      </c>
      <c r="E254" t="inlineStr">
        <is>
          <t>ÖSTERSUND</t>
        </is>
      </c>
      <c r="G254" t="n">
        <v>1.8</v>
      </c>
      <c r="H254" t="n">
        <v>0</v>
      </c>
      <c r="I254" t="n">
        <v>0</v>
      </c>
      <c r="J254" t="n">
        <v>0</v>
      </c>
      <c r="K254" t="n">
        <v>0</v>
      </c>
      <c r="L254" t="n">
        <v>0</v>
      </c>
      <c r="M254" t="n">
        <v>0</v>
      </c>
      <c r="N254" t="n">
        <v>0</v>
      </c>
      <c r="O254" t="n">
        <v>0</v>
      </c>
      <c r="P254" t="n">
        <v>0</v>
      </c>
      <c r="Q254" t="n">
        <v>0</v>
      </c>
      <c r="R254" s="2" t="inlineStr"/>
    </row>
    <row r="255" ht="15" customHeight="1">
      <c r="A255" t="inlineStr">
        <is>
          <t>A 55002-2024</t>
        </is>
      </c>
      <c r="B255" s="1" t="n">
        <v>45621</v>
      </c>
      <c r="C255" s="1" t="n">
        <v>46059</v>
      </c>
      <c r="D255" t="inlineStr">
        <is>
          <t>JÄMTLANDS LÄN</t>
        </is>
      </c>
      <c r="E255" t="inlineStr">
        <is>
          <t>ÖSTERSUND</t>
        </is>
      </c>
      <c r="F255" t="inlineStr">
        <is>
          <t>Övriga Aktiebolag</t>
        </is>
      </c>
      <c r="G255" t="n">
        <v>0.3</v>
      </c>
      <c r="H255" t="n">
        <v>0</v>
      </c>
      <c r="I255" t="n">
        <v>0</v>
      </c>
      <c r="J255" t="n">
        <v>0</v>
      </c>
      <c r="K255" t="n">
        <v>0</v>
      </c>
      <c r="L255" t="n">
        <v>0</v>
      </c>
      <c r="M255" t="n">
        <v>0</v>
      </c>
      <c r="N255" t="n">
        <v>0</v>
      </c>
      <c r="O255" t="n">
        <v>0</v>
      </c>
      <c r="P255" t="n">
        <v>0</v>
      </c>
      <c r="Q255" t="n">
        <v>0</v>
      </c>
      <c r="R255" s="2" t="inlineStr"/>
    </row>
    <row r="256" ht="15" customHeight="1">
      <c r="A256" t="inlineStr">
        <is>
          <t>A 6351-2024</t>
        </is>
      </c>
      <c r="B256" s="1" t="n">
        <v>45338</v>
      </c>
      <c r="C256" s="1" t="n">
        <v>46059</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9552-2025</t>
        </is>
      </c>
      <c r="B257" s="1" t="n">
        <v>45715.59545138889</v>
      </c>
      <c r="C257" s="1" t="n">
        <v>46059</v>
      </c>
      <c r="D257" t="inlineStr">
        <is>
          <t>JÄMTLANDS LÄN</t>
        </is>
      </c>
      <c r="E257" t="inlineStr">
        <is>
          <t>ÖSTERSUND</t>
        </is>
      </c>
      <c r="G257" t="n">
        <v>1.6</v>
      </c>
      <c r="H257" t="n">
        <v>0</v>
      </c>
      <c r="I257" t="n">
        <v>0</v>
      </c>
      <c r="J257" t="n">
        <v>0</v>
      </c>
      <c r="K257" t="n">
        <v>0</v>
      </c>
      <c r="L257" t="n">
        <v>0</v>
      </c>
      <c r="M257" t="n">
        <v>0</v>
      </c>
      <c r="N257" t="n">
        <v>0</v>
      </c>
      <c r="O257" t="n">
        <v>0</v>
      </c>
      <c r="P257" t="n">
        <v>0</v>
      </c>
      <c r="Q257" t="n">
        <v>0</v>
      </c>
      <c r="R257" s="2" t="inlineStr"/>
    </row>
    <row r="258" ht="15" customHeight="1">
      <c r="A258" t="inlineStr">
        <is>
          <t>A 38853-2025</t>
        </is>
      </c>
      <c r="B258" s="1" t="n">
        <v>45887.55666666666</v>
      </c>
      <c r="C258" s="1" t="n">
        <v>46059</v>
      </c>
      <c r="D258" t="inlineStr">
        <is>
          <t>JÄMTLANDS LÄN</t>
        </is>
      </c>
      <c r="E258" t="inlineStr">
        <is>
          <t>ÖSTERSUND</t>
        </is>
      </c>
      <c r="G258" t="n">
        <v>2.5</v>
      </c>
      <c r="H258" t="n">
        <v>0</v>
      </c>
      <c r="I258" t="n">
        <v>0</v>
      </c>
      <c r="J258" t="n">
        <v>0</v>
      </c>
      <c r="K258" t="n">
        <v>0</v>
      </c>
      <c r="L258" t="n">
        <v>0</v>
      </c>
      <c r="M258" t="n">
        <v>0</v>
      </c>
      <c r="N258" t="n">
        <v>0</v>
      </c>
      <c r="O258" t="n">
        <v>0</v>
      </c>
      <c r="P258" t="n">
        <v>0</v>
      </c>
      <c r="Q258" t="n">
        <v>0</v>
      </c>
      <c r="R258" s="2" t="inlineStr"/>
    </row>
    <row r="259" ht="15" customHeight="1">
      <c r="A259" t="inlineStr">
        <is>
          <t>A 4500-2025</t>
        </is>
      </c>
      <c r="B259" s="1" t="n">
        <v>45686.6859375</v>
      </c>
      <c r="C259" s="1" t="n">
        <v>46059</v>
      </c>
      <c r="D259" t="inlineStr">
        <is>
          <t>JÄMTLANDS LÄN</t>
        </is>
      </c>
      <c r="E259" t="inlineStr">
        <is>
          <t>ÖSTERSUND</t>
        </is>
      </c>
      <c r="G259" t="n">
        <v>28.4</v>
      </c>
      <c r="H259" t="n">
        <v>0</v>
      </c>
      <c r="I259" t="n">
        <v>0</v>
      </c>
      <c r="J259" t="n">
        <v>0</v>
      </c>
      <c r="K259" t="n">
        <v>0</v>
      </c>
      <c r="L259" t="n">
        <v>0</v>
      </c>
      <c r="M259" t="n">
        <v>0</v>
      </c>
      <c r="N259" t="n">
        <v>0</v>
      </c>
      <c r="O259" t="n">
        <v>0</v>
      </c>
      <c r="P259" t="n">
        <v>0</v>
      </c>
      <c r="Q259" t="n">
        <v>0</v>
      </c>
      <c r="R259" s="2" t="inlineStr"/>
    </row>
    <row r="260" ht="15" customHeight="1">
      <c r="A260" t="inlineStr">
        <is>
          <t>A 16335-2025</t>
        </is>
      </c>
      <c r="B260" s="1" t="n">
        <v>45751.36518518518</v>
      </c>
      <c r="C260" s="1" t="n">
        <v>46059</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56646-2024</t>
        </is>
      </c>
      <c r="B261" s="1" t="n">
        <v>45625</v>
      </c>
      <c r="C261" s="1" t="n">
        <v>46059</v>
      </c>
      <c r="D261" t="inlineStr">
        <is>
          <t>JÄMTLANDS LÄN</t>
        </is>
      </c>
      <c r="E261" t="inlineStr">
        <is>
          <t>ÖSTERSUND</t>
        </is>
      </c>
      <c r="G261" t="n">
        <v>18.9</v>
      </c>
      <c r="H261" t="n">
        <v>0</v>
      </c>
      <c r="I261" t="n">
        <v>0</v>
      </c>
      <c r="J261" t="n">
        <v>0</v>
      </c>
      <c r="K261" t="n">
        <v>0</v>
      </c>
      <c r="L261" t="n">
        <v>0</v>
      </c>
      <c r="M261" t="n">
        <v>0</v>
      </c>
      <c r="N261" t="n">
        <v>0</v>
      </c>
      <c r="O261" t="n">
        <v>0</v>
      </c>
      <c r="P261" t="n">
        <v>0</v>
      </c>
      <c r="Q261" t="n">
        <v>0</v>
      </c>
      <c r="R261" s="2" t="inlineStr"/>
    </row>
    <row r="262" ht="15" customHeight="1">
      <c r="A262" t="inlineStr">
        <is>
          <t>A 15686-2025</t>
        </is>
      </c>
      <c r="B262" s="1" t="n">
        <v>45748.46021990741</v>
      </c>
      <c r="C262" s="1" t="n">
        <v>46059</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14867-2025</t>
        </is>
      </c>
      <c r="B263" s="1" t="n">
        <v>45743.44207175926</v>
      </c>
      <c r="C263" s="1" t="n">
        <v>46059</v>
      </c>
      <c r="D263" t="inlineStr">
        <is>
          <t>JÄMTLANDS LÄN</t>
        </is>
      </c>
      <c r="E263" t="inlineStr">
        <is>
          <t>ÖSTERSUND</t>
        </is>
      </c>
      <c r="G263" t="n">
        <v>3.3</v>
      </c>
      <c r="H263" t="n">
        <v>0</v>
      </c>
      <c r="I263" t="n">
        <v>0</v>
      </c>
      <c r="J263" t="n">
        <v>0</v>
      </c>
      <c r="K263" t="n">
        <v>0</v>
      </c>
      <c r="L263" t="n">
        <v>0</v>
      </c>
      <c r="M263" t="n">
        <v>0</v>
      </c>
      <c r="N263" t="n">
        <v>0</v>
      </c>
      <c r="O263" t="n">
        <v>0</v>
      </c>
      <c r="P263" t="n">
        <v>0</v>
      </c>
      <c r="Q263" t="n">
        <v>0</v>
      </c>
      <c r="R263" s="2" t="inlineStr"/>
    </row>
    <row r="264" ht="15" customHeight="1">
      <c r="A264" t="inlineStr">
        <is>
          <t>A 14947-2025</t>
        </is>
      </c>
      <c r="B264" s="1" t="n">
        <v>45743.57336805556</v>
      </c>
      <c r="C264" s="1" t="n">
        <v>46059</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44051-2021</t>
        </is>
      </c>
      <c r="B265" s="1" t="n">
        <v>44434</v>
      </c>
      <c r="C265" s="1" t="n">
        <v>46059</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39103-2025</t>
        </is>
      </c>
      <c r="B266" s="1" t="n">
        <v>45888.52440972222</v>
      </c>
      <c r="C266" s="1" t="n">
        <v>46059</v>
      </c>
      <c r="D266" t="inlineStr">
        <is>
          <t>JÄMTLANDS LÄN</t>
        </is>
      </c>
      <c r="E266" t="inlineStr">
        <is>
          <t>ÖSTERSUND</t>
        </is>
      </c>
      <c r="G266" t="n">
        <v>23.9</v>
      </c>
      <c r="H266" t="n">
        <v>0</v>
      </c>
      <c r="I266" t="n">
        <v>0</v>
      </c>
      <c r="J266" t="n">
        <v>0</v>
      </c>
      <c r="K266" t="n">
        <v>0</v>
      </c>
      <c r="L266" t="n">
        <v>0</v>
      </c>
      <c r="M266" t="n">
        <v>0</v>
      </c>
      <c r="N266" t="n">
        <v>0</v>
      </c>
      <c r="O266" t="n">
        <v>0</v>
      </c>
      <c r="P266" t="n">
        <v>0</v>
      </c>
      <c r="Q266" t="n">
        <v>0</v>
      </c>
      <c r="R266" s="2" t="inlineStr"/>
    </row>
    <row r="267" ht="15" customHeight="1">
      <c r="A267" t="inlineStr">
        <is>
          <t>A 44013-2021</t>
        </is>
      </c>
      <c r="B267" s="1" t="n">
        <v>44434</v>
      </c>
      <c r="C267" s="1" t="n">
        <v>46059</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25221-2025</t>
        </is>
      </c>
      <c r="B268" s="1" t="n">
        <v>45800.47802083333</v>
      </c>
      <c r="C268" s="1" t="n">
        <v>46059</v>
      </c>
      <c r="D268" t="inlineStr">
        <is>
          <t>JÄMTLANDS LÄN</t>
        </is>
      </c>
      <c r="E268" t="inlineStr">
        <is>
          <t>ÖSTERSUND</t>
        </is>
      </c>
      <c r="G268" t="n">
        <v>1.1</v>
      </c>
      <c r="H268" t="n">
        <v>0</v>
      </c>
      <c r="I268" t="n">
        <v>0</v>
      </c>
      <c r="J268" t="n">
        <v>0</v>
      </c>
      <c r="K268" t="n">
        <v>0</v>
      </c>
      <c r="L268" t="n">
        <v>0</v>
      </c>
      <c r="M268" t="n">
        <v>0</v>
      </c>
      <c r="N268" t="n">
        <v>0</v>
      </c>
      <c r="O268" t="n">
        <v>0</v>
      </c>
      <c r="P268" t="n">
        <v>0</v>
      </c>
      <c r="Q268" t="n">
        <v>0</v>
      </c>
      <c r="R268" s="2" t="inlineStr"/>
    </row>
    <row r="269" ht="15" customHeight="1">
      <c r="A269" t="inlineStr">
        <is>
          <t>A 11182-2025</t>
        </is>
      </c>
      <c r="B269" s="1" t="n">
        <v>45725.44297453704</v>
      </c>
      <c r="C269" s="1" t="n">
        <v>46059</v>
      </c>
      <c r="D269" t="inlineStr">
        <is>
          <t>JÄMTLANDS LÄN</t>
        </is>
      </c>
      <c r="E269" t="inlineStr">
        <is>
          <t>ÖSTERSUND</t>
        </is>
      </c>
      <c r="G269" t="n">
        <v>3.3</v>
      </c>
      <c r="H269" t="n">
        <v>0</v>
      </c>
      <c r="I269" t="n">
        <v>0</v>
      </c>
      <c r="J269" t="n">
        <v>0</v>
      </c>
      <c r="K269" t="n">
        <v>0</v>
      </c>
      <c r="L269" t="n">
        <v>0</v>
      </c>
      <c r="M269" t="n">
        <v>0</v>
      </c>
      <c r="N269" t="n">
        <v>0</v>
      </c>
      <c r="O269" t="n">
        <v>0</v>
      </c>
      <c r="P269" t="n">
        <v>0</v>
      </c>
      <c r="Q269" t="n">
        <v>0</v>
      </c>
      <c r="R269" s="2" t="inlineStr"/>
    </row>
    <row r="270" ht="15" customHeight="1">
      <c r="A270" t="inlineStr">
        <is>
          <t>A 52128-2023</t>
        </is>
      </c>
      <c r="B270" s="1" t="n">
        <v>45223</v>
      </c>
      <c r="C270" s="1" t="n">
        <v>46059</v>
      </c>
      <c r="D270" t="inlineStr">
        <is>
          <t>JÄMTLANDS LÄN</t>
        </is>
      </c>
      <c r="E270" t="inlineStr">
        <is>
          <t>ÖSTERSUND</t>
        </is>
      </c>
      <c r="F270" t="inlineStr">
        <is>
          <t>SCA</t>
        </is>
      </c>
      <c r="G270" t="n">
        <v>11.9</v>
      </c>
      <c r="H270" t="n">
        <v>0</v>
      </c>
      <c r="I270" t="n">
        <v>0</v>
      </c>
      <c r="J270" t="n">
        <v>0</v>
      </c>
      <c r="K270" t="n">
        <v>0</v>
      </c>
      <c r="L270" t="n">
        <v>0</v>
      </c>
      <c r="M270" t="n">
        <v>0</v>
      </c>
      <c r="N270" t="n">
        <v>0</v>
      </c>
      <c r="O270" t="n">
        <v>0</v>
      </c>
      <c r="P270" t="n">
        <v>0</v>
      </c>
      <c r="Q270" t="n">
        <v>0</v>
      </c>
      <c r="R270" s="2" t="inlineStr"/>
    </row>
    <row r="271" ht="15" customHeight="1">
      <c r="A271" t="inlineStr">
        <is>
          <t>A 16753-2025</t>
        </is>
      </c>
      <c r="B271" s="1" t="n">
        <v>45754.56839120371</v>
      </c>
      <c r="C271" s="1" t="n">
        <v>46059</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18577-2025</t>
        </is>
      </c>
      <c r="B272" s="1" t="n">
        <v>45763</v>
      </c>
      <c r="C272" s="1" t="n">
        <v>46059</v>
      </c>
      <c r="D272" t="inlineStr">
        <is>
          <t>JÄMTLANDS LÄN</t>
        </is>
      </c>
      <c r="E272" t="inlineStr">
        <is>
          <t>ÖSTERSUND</t>
        </is>
      </c>
      <c r="G272" t="n">
        <v>3.5</v>
      </c>
      <c r="H272" t="n">
        <v>0</v>
      </c>
      <c r="I272" t="n">
        <v>0</v>
      </c>
      <c r="J272" t="n">
        <v>0</v>
      </c>
      <c r="K272" t="n">
        <v>0</v>
      </c>
      <c r="L272" t="n">
        <v>0</v>
      </c>
      <c r="M272" t="n">
        <v>0</v>
      </c>
      <c r="N272" t="n">
        <v>0</v>
      </c>
      <c r="O272" t="n">
        <v>0</v>
      </c>
      <c r="P272" t="n">
        <v>0</v>
      </c>
      <c r="Q272" t="n">
        <v>0</v>
      </c>
      <c r="R272" s="2" t="inlineStr"/>
    </row>
    <row r="273" ht="15" customHeight="1">
      <c r="A273" t="inlineStr">
        <is>
          <t>A 60174-2022</t>
        </is>
      </c>
      <c r="B273" s="1" t="n">
        <v>44909.9640162037</v>
      </c>
      <c r="C273" s="1" t="n">
        <v>46059</v>
      </c>
      <c r="D273" t="inlineStr">
        <is>
          <t>JÄMTLANDS LÄN</t>
        </is>
      </c>
      <c r="E273" t="inlineStr">
        <is>
          <t>ÖSTERSUND</t>
        </is>
      </c>
      <c r="F273" t="inlineStr">
        <is>
          <t>SCA</t>
        </is>
      </c>
      <c r="G273" t="n">
        <v>0.5</v>
      </c>
      <c r="H273" t="n">
        <v>0</v>
      </c>
      <c r="I273" t="n">
        <v>0</v>
      </c>
      <c r="J273" t="n">
        <v>0</v>
      </c>
      <c r="K273" t="n">
        <v>0</v>
      </c>
      <c r="L273" t="n">
        <v>0</v>
      </c>
      <c r="M273" t="n">
        <v>0</v>
      </c>
      <c r="N273" t="n">
        <v>0</v>
      </c>
      <c r="O273" t="n">
        <v>0</v>
      </c>
      <c r="P273" t="n">
        <v>0</v>
      </c>
      <c r="Q273" t="n">
        <v>0</v>
      </c>
      <c r="R273" s="2" t="inlineStr"/>
    </row>
    <row r="274" ht="15" customHeight="1">
      <c r="A274" t="inlineStr">
        <is>
          <t>A 20634-2023</t>
        </is>
      </c>
      <c r="B274" s="1" t="n">
        <v>45057.9441087963</v>
      </c>
      <c r="C274" s="1" t="n">
        <v>46059</v>
      </c>
      <c r="D274" t="inlineStr">
        <is>
          <t>JÄMTLANDS LÄN</t>
        </is>
      </c>
      <c r="E274" t="inlineStr">
        <is>
          <t>ÖSTERSUND</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30217-2022</t>
        </is>
      </c>
      <c r="B275" s="1" t="n">
        <v>44757.92671296297</v>
      </c>
      <c r="C275" s="1" t="n">
        <v>46059</v>
      </c>
      <c r="D275" t="inlineStr">
        <is>
          <t>JÄMTLANDS LÄN</t>
        </is>
      </c>
      <c r="E275" t="inlineStr">
        <is>
          <t>ÖSTERSUND</t>
        </is>
      </c>
      <c r="G275" t="n">
        <v>2.9</v>
      </c>
      <c r="H275" t="n">
        <v>0</v>
      </c>
      <c r="I275" t="n">
        <v>0</v>
      </c>
      <c r="J275" t="n">
        <v>0</v>
      </c>
      <c r="K275" t="n">
        <v>0</v>
      </c>
      <c r="L275" t="n">
        <v>0</v>
      </c>
      <c r="M275" t="n">
        <v>0</v>
      </c>
      <c r="N275" t="n">
        <v>0</v>
      </c>
      <c r="O275" t="n">
        <v>0</v>
      </c>
      <c r="P275" t="n">
        <v>0</v>
      </c>
      <c r="Q275" t="n">
        <v>0</v>
      </c>
      <c r="R275" s="2" t="inlineStr"/>
    </row>
    <row r="276" ht="15" customHeight="1">
      <c r="A276" t="inlineStr">
        <is>
          <t>A 64309-2023</t>
        </is>
      </c>
      <c r="B276" s="1" t="n">
        <v>45280</v>
      </c>
      <c r="C276" s="1" t="n">
        <v>46059</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11181-2025</t>
        </is>
      </c>
      <c r="B277" s="1" t="n">
        <v>45725.44039351852</v>
      </c>
      <c r="C277" s="1" t="n">
        <v>46059</v>
      </c>
      <c r="D277" t="inlineStr">
        <is>
          <t>JÄMTLANDS LÄN</t>
        </is>
      </c>
      <c r="E277" t="inlineStr">
        <is>
          <t>ÖSTERSUND</t>
        </is>
      </c>
      <c r="G277" t="n">
        <v>15.4</v>
      </c>
      <c r="H277" t="n">
        <v>0</v>
      </c>
      <c r="I277" t="n">
        <v>0</v>
      </c>
      <c r="J277" t="n">
        <v>0</v>
      </c>
      <c r="K277" t="n">
        <v>0</v>
      </c>
      <c r="L277" t="n">
        <v>0</v>
      </c>
      <c r="M277" t="n">
        <v>0</v>
      </c>
      <c r="N277" t="n">
        <v>0</v>
      </c>
      <c r="O277" t="n">
        <v>0</v>
      </c>
      <c r="P277" t="n">
        <v>0</v>
      </c>
      <c r="Q277" t="n">
        <v>0</v>
      </c>
      <c r="R277" s="2" t="inlineStr"/>
    </row>
    <row r="278" ht="15" customHeight="1">
      <c r="A278" t="inlineStr">
        <is>
          <t>A 27124-2023</t>
        </is>
      </c>
      <c r="B278" s="1" t="n">
        <v>45096</v>
      </c>
      <c r="C278" s="1" t="n">
        <v>46059</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53714-2022</t>
        </is>
      </c>
      <c r="B279" s="1" t="n">
        <v>44880</v>
      </c>
      <c r="C279" s="1" t="n">
        <v>46059</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60767-2022</t>
        </is>
      </c>
      <c r="B280" s="1" t="n">
        <v>44914.35599537037</v>
      </c>
      <c r="C280" s="1" t="n">
        <v>46059</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61530-2023</t>
        </is>
      </c>
      <c r="B281" s="1" t="n">
        <v>45261</v>
      </c>
      <c r="C281" s="1" t="n">
        <v>46059</v>
      </c>
      <c r="D281" t="inlineStr">
        <is>
          <t>JÄMTLANDS LÄN</t>
        </is>
      </c>
      <c r="E281" t="inlineStr">
        <is>
          <t>ÖSTERSUND</t>
        </is>
      </c>
      <c r="F281" t="inlineStr">
        <is>
          <t>Övriga statliga verk och myndigheter</t>
        </is>
      </c>
      <c r="G281" t="n">
        <v>1</v>
      </c>
      <c r="H281" t="n">
        <v>0</v>
      </c>
      <c r="I281" t="n">
        <v>0</v>
      </c>
      <c r="J281" t="n">
        <v>0</v>
      </c>
      <c r="K281" t="n">
        <v>0</v>
      </c>
      <c r="L281" t="n">
        <v>0</v>
      </c>
      <c r="M281" t="n">
        <v>0</v>
      </c>
      <c r="N281" t="n">
        <v>0</v>
      </c>
      <c r="O281" t="n">
        <v>0</v>
      </c>
      <c r="P281" t="n">
        <v>0</v>
      </c>
      <c r="Q281" t="n">
        <v>0</v>
      </c>
      <c r="R281" s="2" t="inlineStr"/>
    </row>
    <row r="282" ht="15" customHeight="1">
      <c r="A282" t="inlineStr">
        <is>
          <t>A 17066-2024</t>
        </is>
      </c>
      <c r="B282" s="1" t="n">
        <v>45412.46636574074</v>
      </c>
      <c r="C282" s="1" t="n">
        <v>46059</v>
      </c>
      <c r="D282" t="inlineStr">
        <is>
          <t>JÄMTLANDS LÄN</t>
        </is>
      </c>
      <c r="E282" t="inlineStr">
        <is>
          <t>ÖSTERSUND</t>
        </is>
      </c>
      <c r="G282" t="n">
        <v>4.2</v>
      </c>
      <c r="H282" t="n">
        <v>0</v>
      </c>
      <c r="I282" t="n">
        <v>0</v>
      </c>
      <c r="J282" t="n">
        <v>0</v>
      </c>
      <c r="K282" t="n">
        <v>0</v>
      </c>
      <c r="L282" t="n">
        <v>0</v>
      </c>
      <c r="M282" t="n">
        <v>0</v>
      </c>
      <c r="N282" t="n">
        <v>0</v>
      </c>
      <c r="O282" t="n">
        <v>0</v>
      </c>
      <c r="P282" t="n">
        <v>0</v>
      </c>
      <c r="Q282" t="n">
        <v>0</v>
      </c>
      <c r="R282" s="2" t="inlineStr"/>
    </row>
    <row r="283" ht="15" customHeight="1">
      <c r="A283" t="inlineStr">
        <is>
          <t>A 46139-2021</t>
        </is>
      </c>
      <c r="B283" s="1" t="n">
        <v>44441</v>
      </c>
      <c r="C283" s="1" t="n">
        <v>46059</v>
      </c>
      <c r="D283" t="inlineStr">
        <is>
          <t>JÄMTLANDS LÄN</t>
        </is>
      </c>
      <c r="E283" t="inlineStr">
        <is>
          <t>ÖSTERSUND</t>
        </is>
      </c>
      <c r="G283" t="n">
        <v>12.8</v>
      </c>
      <c r="H283" t="n">
        <v>0</v>
      </c>
      <c r="I283" t="n">
        <v>0</v>
      </c>
      <c r="J283" t="n">
        <v>0</v>
      </c>
      <c r="K283" t="n">
        <v>0</v>
      </c>
      <c r="L283" t="n">
        <v>0</v>
      </c>
      <c r="M283" t="n">
        <v>0</v>
      </c>
      <c r="N283" t="n">
        <v>0</v>
      </c>
      <c r="O283" t="n">
        <v>0</v>
      </c>
      <c r="P283" t="n">
        <v>0</v>
      </c>
      <c r="Q283" t="n">
        <v>0</v>
      </c>
      <c r="R283" s="2" t="inlineStr"/>
    </row>
    <row r="284" ht="15" customHeight="1">
      <c r="A284" t="inlineStr">
        <is>
          <t>A 14118-2025</t>
        </is>
      </c>
      <c r="B284" s="1" t="n">
        <v>45740.46325231482</v>
      </c>
      <c r="C284" s="1" t="n">
        <v>46059</v>
      </c>
      <c r="D284" t="inlineStr">
        <is>
          <t>JÄMTLANDS LÄN</t>
        </is>
      </c>
      <c r="E284" t="inlineStr">
        <is>
          <t>ÖSTERSUND</t>
        </is>
      </c>
      <c r="G284" t="n">
        <v>3.6</v>
      </c>
      <c r="H284" t="n">
        <v>0</v>
      </c>
      <c r="I284" t="n">
        <v>0</v>
      </c>
      <c r="J284" t="n">
        <v>0</v>
      </c>
      <c r="K284" t="n">
        <v>0</v>
      </c>
      <c r="L284" t="n">
        <v>0</v>
      </c>
      <c r="M284" t="n">
        <v>0</v>
      </c>
      <c r="N284" t="n">
        <v>0</v>
      </c>
      <c r="O284" t="n">
        <v>0</v>
      </c>
      <c r="P284" t="n">
        <v>0</v>
      </c>
      <c r="Q284" t="n">
        <v>0</v>
      </c>
      <c r="R284" s="2" t="inlineStr"/>
    </row>
    <row r="285" ht="15" customHeight="1">
      <c r="A285" t="inlineStr">
        <is>
          <t>A 4350-2024</t>
        </is>
      </c>
      <c r="B285" s="1" t="n">
        <v>45324.93804398148</v>
      </c>
      <c r="C285" s="1" t="n">
        <v>46059</v>
      </c>
      <c r="D285" t="inlineStr">
        <is>
          <t>JÄMTLANDS LÄN</t>
        </is>
      </c>
      <c r="E285" t="inlineStr">
        <is>
          <t>ÖSTERSUND</t>
        </is>
      </c>
      <c r="F285" t="inlineStr">
        <is>
          <t>SCA</t>
        </is>
      </c>
      <c r="G285" t="n">
        <v>6</v>
      </c>
      <c r="H285" t="n">
        <v>0</v>
      </c>
      <c r="I285" t="n">
        <v>0</v>
      </c>
      <c r="J285" t="n">
        <v>0</v>
      </c>
      <c r="K285" t="n">
        <v>0</v>
      </c>
      <c r="L285" t="n">
        <v>0</v>
      </c>
      <c r="M285" t="n">
        <v>0</v>
      </c>
      <c r="N285" t="n">
        <v>0</v>
      </c>
      <c r="O285" t="n">
        <v>0</v>
      </c>
      <c r="P285" t="n">
        <v>0</v>
      </c>
      <c r="Q285" t="n">
        <v>0</v>
      </c>
      <c r="R285" s="2" t="inlineStr"/>
    </row>
    <row r="286" ht="15" customHeight="1">
      <c r="A286" t="inlineStr">
        <is>
          <t>A 40360-2025</t>
        </is>
      </c>
      <c r="B286" s="1" t="n">
        <v>45895.49024305555</v>
      </c>
      <c r="C286" s="1" t="n">
        <v>46059</v>
      </c>
      <c r="D286" t="inlineStr">
        <is>
          <t>JÄMTLANDS LÄN</t>
        </is>
      </c>
      <c r="E286" t="inlineStr">
        <is>
          <t>ÖSTERSUND</t>
        </is>
      </c>
      <c r="G286" t="n">
        <v>3.7</v>
      </c>
      <c r="H286" t="n">
        <v>0</v>
      </c>
      <c r="I286" t="n">
        <v>0</v>
      </c>
      <c r="J286" t="n">
        <v>0</v>
      </c>
      <c r="K286" t="n">
        <v>0</v>
      </c>
      <c r="L286" t="n">
        <v>0</v>
      </c>
      <c r="M286" t="n">
        <v>0</v>
      </c>
      <c r="N286" t="n">
        <v>0</v>
      </c>
      <c r="O286" t="n">
        <v>0</v>
      </c>
      <c r="P286" t="n">
        <v>0</v>
      </c>
      <c r="Q286" t="n">
        <v>0</v>
      </c>
      <c r="R286" s="2" t="inlineStr"/>
    </row>
    <row r="287" ht="15" customHeight="1">
      <c r="A287" t="inlineStr">
        <is>
          <t>A 40325-2025</t>
        </is>
      </c>
      <c r="B287" s="1" t="n">
        <v>45895.4484837963</v>
      </c>
      <c r="C287" s="1" t="n">
        <v>46059</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40361-2025</t>
        </is>
      </c>
      <c r="B288" s="1" t="n">
        <v>45895.49026620371</v>
      </c>
      <c r="C288" s="1" t="n">
        <v>46059</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40326-2025</t>
        </is>
      </c>
      <c r="B289" s="1" t="n">
        <v>45895.44856481482</v>
      </c>
      <c r="C289" s="1" t="n">
        <v>46059</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14182-2025</t>
        </is>
      </c>
      <c r="B290" s="1" t="n">
        <v>45740.54168981482</v>
      </c>
      <c r="C290" s="1" t="n">
        <v>46059</v>
      </c>
      <c r="D290" t="inlineStr">
        <is>
          <t>JÄMTLANDS LÄN</t>
        </is>
      </c>
      <c r="E290" t="inlineStr">
        <is>
          <t>ÖSTERSUND</t>
        </is>
      </c>
      <c r="F290" t="inlineStr">
        <is>
          <t>Övriga Aktiebolag</t>
        </is>
      </c>
      <c r="G290" t="n">
        <v>20.1</v>
      </c>
      <c r="H290" t="n">
        <v>0</v>
      </c>
      <c r="I290" t="n">
        <v>0</v>
      </c>
      <c r="J290" t="n">
        <v>0</v>
      </c>
      <c r="K290" t="n">
        <v>0</v>
      </c>
      <c r="L290" t="n">
        <v>0</v>
      </c>
      <c r="M290" t="n">
        <v>0</v>
      </c>
      <c r="N290" t="n">
        <v>0</v>
      </c>
      <c r="O290" t="n">
        <v>0</v>
      </c>
      <c r="P290" t="n">
        <v>0</v>
      </c>
      <c r="Q290" t="n">
        <v>0</v>
      </c>
      <c r="R290" s="2" t="inlineStr"/>
    </row>
    <row r="291" ht="15" customHeight="1">
      <c r="A291" t="inlineStr">
        <is>
          <t>A 63861-2025</t>
        </is>
      </c>
      <c r="B291" s="1" t="n">
        <v>46020.49056712963</v>
      </c>
      <c r="C291" s="1" t="n">
        <v>46059</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7233-2025</t>
        </is>
      </c>
      <c r="B292" s="1" t="n">
        <v>45702.51765046296</v>
      </c>
      <c r="C292" s="1" t="n">
        <v>46059</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38142-2021</t>
        </is>
      </c>
      <c r="B293" s="1" t="n">
        <v>44405</v>
      </c>
      <c r="C293" s="1" t="n">
        <v>46059</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56690-2025</t>
        </is>
      </c>
      <c r="B294" s="1" t="n">
        <v>45976.58684027778</v>
      </c>
      <c r="C294" s="1" t="n">
        <v>46059</v>
      </c>
      <c r="D294" t="inlineStr">
        <is>
          <t>JÄMTLANDS LÄN</t>
        </is>
      </c>
      <c r="E294" t="inlineStr">
        <is>
          <t>ÖSTERSUND</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63856-2025</t>
        </is>
      </c>
      <c r="B295" s="1" t="n">
        <v>46020.47796296296</v>
      </c>
      <c r="C295" s="1" t="n">
        <v>46059</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11052-2024</t>
        </is>
      </c>
      <c r="B296" s="1" t="n">
        <v>45370</v>
      </c>
      <c r="C296" s="1" t="n">
        <v>46059</v>
      </c>
      <c r="D296" t="inlineStr">
        <is>
          <t>JÄMTLANDS LÄN</t>
        </is>
      </c>
      <c r="E296" t="inlineStr">
        <is>
          <t>ÖSTERSUND</t>
        </is>
      </c>
      <c r="G296" t="n">
        <v>2.3</v>
      </c>
      <c r="H296" t="n">
        <v>0</v>
      </c>
      <c r="I296" t="n">
        <v>0</v>
      </c>
      <c r="J296" t="n">
        <v>0</v>
      </c>
      <c r="K296" t="n">
        <v>0</v>
      </c>
      <c r="L296" t="n">
        <v>0</v>
      </c>
      <c r="M296" t="n">
        <v>0</v>
      </c>
      <c r="N296" t="n">
        <v>0</v>
      </c>
      <c r="O296" t="n">
        <v>0</v>
      </c>
      <c r="P296" t="n">
        <v>0</v>
      </c>
      <c r="Q296" t="n">
        <v>0</v>
      </c>
      <c r="R296" s="2" t="inlineStr"/>
    </row>
    <row r="297" ht="15" customHeight="1">
      <c r="A297" t="inlineStr">
        <is>
          <t>A 63981-2025</t>
        </is>
      </c>
      <c r="B297" s="1" t="n">
        <v>46021.34450231482</v>
      </c>
      <c r="C297" s="1" t="n">
        <v>46059</v>
      </c>
      <c r="D297" t="inlineStr">
        <is>
          <t>JÄMTLANDS LÄN</t>
        </is>
      </c>
      <c r="E297" t="inlineStr">
        <is>
          <t>ÖSTERSUND</t>
        </is>
      </c>
      <c r="G297" t="n">
        <v>17.7</v>
      </c>
      <c r="H297" t="n">
        <v>0</v>
      </c>
      <c r="I297" t="n">
        <v>0</v>
      </c>
      <c r="J297" t="n">
        <v>0</v>
      </c>
      <c r="K297" t="n">
        <v>0</v>
      </c>
      <c r="L297" t="n">
        <v>0</v>
      </c>
      <c r="M297" t="n">
        <v>0</v>
      </c>
      <c r="N297" t="n">
        <v>0</v>
      </c>
      <c r="O297" t="n">
        <v>0</v>
      </c>
      <c r="P297" t="n">
        <v>0</v>
      </c>
      <c r="Q297" t="n">
        <v>0</v>
      </c>
      <c r="R297" s="2" t="inlineStr"/>
    </row>
    <row r="298" ht="15" customHeight="1">
      <c r="A298" t="inlineStr">
        <is>
          <t>A 25535-2023</t>
        </is>
      </c>
      <c r="B298" s="1" t="n">
        <v>45089.54944444444</v>
      </c>
      <c r="C298" s="1" t="n">
        <v>46059</v>
      </c>
      <c r="D298" t="inlineStr">
        <is>
          <t>JÄMTLANDS LÄN</t>
        </is>
      </c>
      <c r="E298" t="inlineStr">
        <is>
          <t>ÖSTERSUND</t>
        </is>
      </c>
      <c r="G298" t="n">
        <v>1</v>
      </c>
      <c r="H298" t="n">
        <v>0</v>
      </c>
      <c r="I298" t="n">
        <v>0</v>
      </c>
      <c r="J298" t="n">
        <v>0</v>
      </c>
      <c r="K298" t="n">
        <v>0</v>
      </c>
      <c r="L298" t="n">
        <v>0</v>
      </c>
      <c r="M298" t="n">
        <v>0</v>
      </c>
      <c r="N298" t="n">
        <v>0</v>
      </c>
      <c r="O298" t="n">
        <v>0</v>
      </c>
      <c r="P298" t="n">
        <v>0</v>
      </c>
      <c r="Q298" t="n">
        <v>0</v>
      </c>
      <c r="R298" s="2" t="inlineStr"/>
    </row>
    <row r="299" ht="15" customHeight="1">
      <c r="A299" t="inlineStr">
        <is>
          <t>A 63982-2025</t>
        </is>
      </c>
      <c r="B299" s="1" t="n">
        <v>46021.34454861111</v>
      </c>
      <c r="C299" s="1" t="n">
        <v>46059</v>
      </c>
      <c r="D299" t="inlineStr">
        <is>
          <t>JÄMTLANDS LÄN</t>
        </is>
      </c>
      <c r="E299" t="inlineStr">
        <is>
          <t>ÖSTERSUND</t>
        </is>
      </c>
      <c r="G299" t="n">
        <v>6.5</v>
      </c>
      <c r="H299" t="n">
        <v>0</v>
      </c>
      <c r="I299" t="n">
        <v>0</v>
      </c>
      <c r="J299" t="n">
        <v>0</v>
      </c>
      <c r="K299" t="n">
        <v>0</v>
      </c>
      <c r="L299" t="n">
        <v>0</v>
      </c>
      <c r="M299" t="n">
        <v>0</v>
      </c>
      <c r="N299" t="n">
        <v>0</v>
      </c>
      <c r="O299" t="n">
        <v>0</v>
      </c>
      <c r="P299" t="n">
        <v>0</v>
      </c>
      <c r="Q299" t="n">
        <v>0</v>
      </c>
      <c r="R299" s="2" t="inlineStr"/>
    </row>
    <row r="300" ht="15" customHeight="1">
      <c r="A300" t="inlineStr">
        <is>
          <t>A 63807-2025</t>
        </is>
      </c>
      <c r="B300" s="1" t="n">
        <v>46019</v>
      </c>
      <c r="C300" s="1" t="n">
        <v>46059</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64022-2025</t>
        </is>
      </c>
      <c r="B301" s="1" t="n">
        <v>46021.46912037037</v>
      </c>
      <c r="C301" s="1" t="n">
        <v>46059</v>
      </c>
      <c r="D301" t="inlineStr">
        <is>
          <t>JÄMTLANDS LÄN</t>
        </is>
      </c>
      <c r="E301" t="inlineStr">
        <is>
          <t>ÖSTERSUND</t>
        </is>
      </c>
      <c r="G301" t="n">
        <v>2.1</v>
      </c>
      <c r="H301" t="n">
        <v>0</v>
      </c>
      <c r="I301" t="n">
        <v>0</v>
      </c>
      <c r="J301" t="n">
        <v>0</v>
      </c>
      <c r="K301" t="n">
        <v>0</v>
      </c>
      <c r="L301" t="n">
        <v>0</v>
      </c>
      <c r="M301" t="n">
        <v>0</v>
      </c>
      <c r="N301" t="n">
        <v>0</v>
      </c>
      <c r="O301" t="n">
        <v>0</v>
      </c>
      <c r="P301" t="n">
        <v>0</v>
      </c>
      <c r="Q301" t="n">
        <v>0</v>
      </c>
      <c r="R301" s="2" t="inlineStr"/>
    </row>
    <row r="302" ht="15" customHeight="1">
      <c r="A302" t="inlineStr">
        <is>
          <t>A 57513-2025</t>
        </is>
      </c>
      <c r="B302" s="1" t="n">
        <v>45980.61142361111</v>
      </c>
      <c r="C302" s="1" t="n">
        <v>46059</v>
      </c>
      <c r="D302" t="inlineStr">
        <is>
          <t>JÄMTLANDS LÄN</t>
        </is>
      </c>
      <c r="E302" t="inlineStr">
        <is>
          <t>ÖSTERSUND</t>
        </is>
      </c>
      <c r="G302" t="n">
        <v>3.8</v>
      </c>
      <c r="H302" t="n">
        <v>0</v>
      </c>
      <c r="I302" t="n">
        <v>0</v>
      </c>
      <c r="J302" t="n">
        <v>0</v>
      </c>
      <c r="K302" t="n">
        <v>0</v>
      </c>
      <c r="L302" t="n">
        <v>0</v>
      </c>
      <c r="M302" t="n">
        <v>0</v>
      </c>
      <c r="N302" t="n">
        <v>0</v>
      </c>
      <c r="O302" t="n">
        <v>0</v>
      </c>
      <c r="P302" t="n">
        <v>0</v>
      </c>
      <c r="Q302" t="n">
        <v>0</v>
      </c>
      <c r="R302" s="2" t="inlineStr"/>
    </row>
    <row r="303" ht="15" customHeight="1">
      <c r="A303" t="inlineStr">
        <is>
          <t>A 58099-2025</t>
        </is>
      </c>
      <c r="B303" s="1" t="n">
        <v>45982.5862037037</v>
      </c>
      <c r="C303" s="1" t="n">
        <v>46059</v>
      </c>
      <c r="D303" t="inlineStr">
        <is>
          <t>JÄMTLANDS LÄN</t>
        </is>
      </c>
      <c r="E303" t="inlineStr">
        <is>
          <t>ÖSTERSUND</t>
        </is>
      </c>
      <c r="G303" t="n">
        <v>6.1</v>
      </c>
      <c r="H303" t="n">
        <v>0</v>
      </c>
      <c r="I303" t="n">
        <v>0</v>
      </c>
      <c r="J303" t="n">
        <v>0</v>
      </c>
      <c r="K303" t="n">
        <v>0</v>
      </c>
      <c r="L303" t="n">
        <v>0</v>
      </c>
      <c r="M303" t="n">
        <v>0</v>
      </c>
      <c r="N303" t="n">
        <v>0</v>
      </c>
      <c r="O303" t="n">
        <v>0</v>
      </c>
      <c r="P303" t="n">
        <v>0</v>
      </c>
      <c r="Q303" t="n">
        <v>0</v>
      </c>
      <c r="R303" s="2" t="inlineStr"/>
    </row>
    <row r="304" ht="15" customHeight="1">
      <c r="A304" t="inlineStr">
        <is>
          <t>A 41675-2025</t>
        </is>
      </c>
      <c r="B304" s="1" t="n">
        <v>45902.36641203704</v>
      </c>
      <c r="C304" s="1" t="n">
        <v>46059</v>
      </c>
      <c r="D304" t="inlineStr">
        <is>
          <t>JÄMTLANDS LÄN</t>
        </is>
      </c>
      <c r="E304" t="inlineStr">
        <is>
          <t>ÖSTERSUND</t>
        </is>
      </c>
      <c r="G304" t="n">
        <v>0.5</v>
      </c>
      <c r="H304" t="n">
        <v>0</v>
      </c>
      <c r="I304" t="n">
        <v>0</v>
      </c>
      <c r="J304" t="n">
        <v>0</v>
      </c>
      <c r="K304" t="n">
        <v>0</v>
      </c>
      <c r="L304" t="n">
        <v>0</v>
      </c>
      <c r="M304" t="n">
        <v>0</v>
      </c>
      <c r="N304" t="n">
        <v>0</v>
      </c>
      <c r="O304" t="n">
        <v>0</v>
      </c>
      <c r="P304" t="n">
        <v>0</v>
      </c>
      <c r="Q304" t="n">
        <v>0</v>
      </c>
      <c r="R304" s="2" t="inlineStr"/>
    </row>
    <row r="305" ht="15" customHeight="1">
      <c r="A305" t="inlineStr">
        <is>
          <t>A 41708-2025</t>
        </is>
      </c>
      <c r="B305" s="1" t="n">
        <v>45902.42280092592</v>
      </c>
      <c r="C305" s="1" t="n">
        <v>46059</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6048-2024</t>
        </is>
      </c>
      <c r="B306" s="1" t="n">
        <v>45336</v>
      </c>
      <c r="C306" s="1" t="n">
        <v>46059</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41582-2025</t>
        </is>
      </c>
      <c r="B307" s="1" t="n">
        <v>45901</v>
      </c>
      <c r="C307" s="1" t="n">
        <v>46059</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15669-2025</t>
        </is>
      </c>
      <c r="B308" s="1" t="n">
        <v>45748.4396412037</v>
      </c>
      <c r="C308" s="1" t="n">
        <v>46059</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58122-2025</t>
        </is>
      </c>
      <c r="B309" s="1" t="n">
        <v>45982.61043981482</v>
      </c>
      <c r="C309" s="1" t="n">
        <v>46059</v>
      </c>
      <c r="D309" t="inlineStr">
        <is>
          <t>JÄMTLANDS LÄN</t>
        </is>
      </c>
      <c r="E309" t="inlineStr">
        <is>
          <t>ÖSTERSUND</t>
        </is>
      </c>
      <c r="G309" t="n">
        <v>2.2</v>
      </c>
      <c r="H309" t="n">
        <v>0</v>
      </c>
      <c r="I309" t="n">
        <v>0</v>
      </c>
      <c r="J309" t="n">
        <v>0</v>
      </c>
      <c r="K309" t="n">
        <v>0</v>
      </c>
      <c r="L309" t="n">
        <v>0</v>
      </c>
      <c r="M309" t="n">
        <v>0</v>
      </c>
      <c r="N309" t="n">
        <v>0</v>
      </c>
      <c r="O309" t="n">
        <v>0</v>
      </c>
      <c r="P309" t="n">
        <v>0</v>
      </c>
      <c r="Q309" t="n">
        <v>0</v>
      </c>
      <c r="R309" s="2" t="inlineStr"/>
    </row>
    <row r="310" ht="15" customHeight="1">
      <c r="A310" t="inlineStr">
        <is>
          <t>A 2984-2024</t>
        </is>
      </c>
      <c r="B310" s="1" t="n">
        <v>45315</v>
      </c>
      <c r="C310" s="1" t="n">
        <v>46059</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58354-2025</t>
        </is>
      </c>
      <c r="B311" s="1" t="n">
        <v>45985.51131944444</v>
      </c>
      <c r="C311" s="1" t="n">
        <v>46059</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58440-2025</t>
        </is>
      </c>
      <c r="B312" s="1" t="n">
        <v>45985.61524305555</v>
      </c>
      <c r="C312" s="1" t="n">
        <v>46059</v>
      </c>
      <c r="D312" t="inlineStr">
        <is>
          <t>JÄMTLANDS LÄN</t>
        </is>
      </c>
      <c r="E312" t="inlineStr">
        <is>
          <t>ÖSTERSUND</t>
        </is>
      </c>
      <c r="G312" t="n">
        <v>1.3</v>
      </c>
      <c r="H312" t="n">
        <v>0</v>
      </c>
      <c r="I312" t="n">
        <v>0</v>
      </c>
      <c r="J312" t="n">
        <v>0</v>
      </c>
      <c r="K312" t="n">
        <v>0</v>
      </c>
      <c r="L312" t="n">
        <v>0</v>
      </c>
      <c r="M312" t="n">
        <v>0</v>
      </c>
      <c r="N312" t="n">
        <v>0</v>
      </c>
      <c r="O312" t="n">
        <v>0</v>
      </c>
      <c r="P312" t="n">
        <v>0</v>
      </c>
      <c r="Q312" t="n">
        <v>0</v>
      </c>
      <c r="R312" s="2" t="inlineStr"/>
    </row>
    <row r="313" ht="15" customHeight="1">
      <c r="A313" t="inlineStr">
        <is>
          <t>A 42129-2025</t>
        </is>
      </c>
      <c r="B313" s="1" t="n">
        <v>45904.3452662037</v>
      </c>
      <c r="C313" s="1" t="n">
        <v>46059</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379-2026</t>
        </is>
      </c>
      <c r="B314" s="1" t="n">
        <v>46027.7344212963</v>
      </c>
      <c r="C314" s="1" t="n">
        <v>46059</v>
      </c>
      <c r="D314" t="inlineStr">
        <is>
          <t>JÄMTLANDS LÄN</t>
        </is>
      </c>
      <c r="E314" t="inlineStr">
        <is>
          <t>ÖSTERSUND</t>
        </is>
      </c>
      <c r="G314" t="n">
        <v>5.6</v>
      </c>
      <c r="H314" t="n">
        <v>0</v>
      </c>
      <c r="I314" t="n">
        <v>0</v>
      </c>
      <c r="J314" t="n">
        <v>0</v>
      </c>
      <c r="K314" t="n">
        <v>0</v>
      </c>
      <c r="L314" t="n">
        <v>0</v>
      </c>
      <c r="M314" t="n">
        <v>0</v>
      </c>
      <c r="N314" t="n">
        <v>0</v>
      </c>
      <c r="O314" t="n">
        <v>0</v>
      </c>
      <c r="P314" t="n">
        <v>0</v>
      </c>
      <c r="Q314" t="n">
        <v>0</v>
      </c>
      <c r="R314" s="2" t="inlineStr"/>
    </row>
    <row r="315" ht="15" customHeight="1">
      <c r="A315" t="inlineStr">
        <is>
          <t>A 318-2026</t>
        </is>
      </c>
      <c r="B315" s="1" t="n">
        <v>46027.57334490741</v>
      </c>
      <c r="C315" s="1" t="n">
        <v>46059</v>
      </c>
      <c r="D315" t="inlineStr">
        <is>
          <t>JÄMTLANDS LÄN</t>
        </is>
      </c>
      <c r="E315" t="inlineStr">
        <is>
          <t>ÖSTERSUND</t>
        </is>
      </c>
      <c r="G315" t="n">
        <v>2</v>
      </c>
      <c r="H315" t="n">
        <v>0</v>
      </c>
      <c r="I315" t="n">
        <v>0</v>
      </c>
      <c r="J315" t="n">
        <v>0</v>
      </c>
      <c r="K315" t="n">
        <v>0</v>
      </c>
      <c r="L315" t="n">
        <v>0</v>
      </c>
      <c r="M315" t="n">
        <v>0</v>
      </c>
      <c r="N315" t="n">
        <v>0</v>
      </c>
      <c r="O315" t="n">
        <v>0</v>
      </c>
      <c r="P315" t="n">
        <v>0</v>
      </c>
      <c r="Q315" t="n">
        <v>0</v>
      </c>
      <c r="R315" s="2" t="inlineStr"/>
    </row>
    <row r="316" ht="15" customHeight="1">
      <c r="A316" t="inlineStr">
        <is>
          <t>A 25995-2025</t>
        </is>
      </c>
      <c r="B316" s="1" t="n">
        <v>45804.656875</v>
      </c>
      <c r="C316" s="1" t="n">
        <v>46059</v>
      </c>
      <c r="D316" t="inlineStr">
        <is>
          <t>JÄMTLANDS LÄN</t>
        </is>
      </c>
      <c r="E316" t="inlineStr">
        <is>
          <t>ÖSTERSUND</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18627-2024</t>
        </is>
      </c>
      <c r="B317" s="1" t="n">
        <v>45425.96443287037</v>
      </c>
      <c r="C317" s="1" t="n">
        <v>46059</v>
      </c>
      <c r="D317" t="inlineStr">
        <is>
          <t>JÄMTLANDS LÄN</t>
        </is>
      </c>
      <c r="E317" t="inlineStr">
        <is>
          <t>ÖSTERSUND</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25385-2024</t>
        </is>
      </c>
      <c r="B318" s="1" t="n">
        <v>45462.96347222223</v>
      </c>
      <c r="C318" s="1" t="n">
        <v>46059</v>
      </c>
      <c r="D318" t="inlineStr">
        <is>
          <t>JÄMTLANDS LÄN</t>
        </is>
      </c>
      <c r="E318" t="inlineStr">
        <is>
          <t>ÖSTERSUND</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58353-2025</t>
        </is>
      </c>
      <c r="B319" s="1" t="n">
        <v>45985.51128472222</v>
      </c>
      <c r="C319" s="1" t="n">
        <v>46059</v>
      </c>
      <c r="D319" t="inlineStr">
        <is>
          <t>JÄMTLANDS LÄN</t>
        </is>
      </c>
      <c r="E319" t="inlineStr">
        <is>
          <t>ÖSTERSUND</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58583-2025</t>
        </is>
      </c>
      <c r="B320" s="1" t="n">
        <v>45986.39024305555</v>
      </c>
      <c r="C320" s="1" t="n">
        <v>46059</v>
      </c>
      <c r="D320" t="inlineStr">
        <is>
          <t>JÄMTLANDS LÄN</t>
        </is>
      </c>
      <c r="E320" t="inlineStr">
        <is>
          <t>ÖSTERSUND</t>
        </is>
      </c>
      <c r="G320" t="n">
        <v>43.1</v>
      </c>
      <c r="H320" t="n">
        <v>0</v>
      </c>
      <c r="I320" t="n">
        <v>0</v>
      </c>
      <c r="J320" t="n">
        <v>0</v>
      </c>
      <c r="K320" t="n">
        <v>0</v>
      </c>
      <c r="L320" t="n">
        <v>0</v>
      </c>
      <c r="M320" t="n">
        <v>0</v>
      </c>
      <c r="N320" t="n">
        <v>0</v>
      </c>
      <c r="O320" t="n">
        <v>0</v>
      </c>
      <c r="P320" t="n">
        <v>0</v>
      </c>
      <c r="Q320" t="n">
        <v>0</v>
      </c>
      <c r="R320" s="2" t="inlineStr"/>
    </row>
    <row r="321" ht="15" customHeight="1">
      <c r="A321" t="inlineStr">
        <is>
          <t>A 36099-2025</t>
        </is>
      </c>
      <c r="B321" s="1" t="n">
        <v>45866.51630787037</v>
      </c>
      <c r="C321" s="1" t="n">
        <v>46059</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330-2026</t>
        </is>
      </c>
      <c r="B322" s="1" t="n">
        <v>46027.59451388889</v>
      </c>
      <c r="C322" s="1" t="n">
        <v>46059</v>
      </c>
      <c r="D322" t="inlineStr">
        <is>
          <t>JÄMTLANDS LÄN</t>
        </is>
      </c>
      <c r="E322" t="inlineStr">
        <is>
          <t>ÖSTERSUND</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58373-2025</t>
        </is>
      </c>
      <c r="B323" s="1" t="n">
        <v>45985.53162037037</v>
      </c>
      <c r="C323" s="1" t="n">
        <v>46059</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33002-2021</t>
        </is>
      </c>
      <c r="B324" s="1" t="n">
        <v>44375</v>
      </c>
      <c r="C324" s="1" t="n">
        <v>46059</v>
      </c>
      <c r="D324" t="inlineStr">
        <is>
          <t>JÄMTLANDS LÄN</t>
        </is>
      </c>
      <c r="E324" t="inlineStr">
        <is>
          <t>ÖSTERSUND</t>
        </is>
      </c>
      <c r="G324" t="n">
        <v>0.2</v>
      </c>
      <c r="H324" t="n">
        <v>0</v>
      </c>
      <c r="I324" t="n">
        <v>0</v>
      </c>
      <c r="J324" t="n">
        <v>0</v>
      </c>
      <c r="K324" t="n">
        <v>0</v>
      </c>
      <c r="L324" t="n">
        <v>0</v>
      </c>
      <c r="M324" t="n">
        <v>0</v>
      </c>
      <c r="N324" t="n">
        <v>0</v>
      </c>
      <c r="O324" t="n">
        <v>0</v>
      </c>
      <c r="P324" t="n">
        <v>0</v>
      </c>
      <c r="Q324" t="n">
        <v>0</v>
      </c>
      <c r="R324" s="2" t="inlineStr"/>
    </row>
    <row r="325" ht="15" customHeight="1">
      <c r="A325" t="inlineStr">
        <is>
          <t>A 58818-2025</t>
        </is>
      </c>
      <c r="B325" s="1" t="n">
        <v>45987.33479166667</v>
      </c>
      <c r="C325" s="1" t="n">
        <v>46059</v>
      </c>
      <c r="D325" t="inlineStr">
        <is>
          <t>JÄMTLANDS LÄN</t>
        </is>
      </c>
      <c r="E325" t="inlineStr">
        <is>
          <t>ÖSTERSUND</t>
        </is>
      </c>
      <c r="G325" t="n">
        <v>3.6</v>
      </c>
      <c r="H325" t="n">
        <v>0</v>
      </c>
      <c r="I325" t="n">
        <v>0</v>
      </c>
      <c r="J325" t="n">
        <v>0</v>
      </c>
      <c r="K325" t="n">
        <v>0</v>
      </c>
      <c r="L325" t="n">
        <v>0</v>
      </c>
      <c r="M325" t="n">
        <v>0</v>
      </c>
      <c r="N325" t="n">
        <v>0</v>
      </c>
      <c r="O325" t="n">
        <v>0</v>
      </c>
      <c r="P325" t="n">
        <v>0</v>
      </c>
      <c r="Q325" t="n">
        <v>0</v>
      </c>
      <c r="R325" s="2" t="inlineStr"/>
    </row>
    <row r="326" ht="15" customHeight="1">
      <c r="A326" t="inlineStr">
        <is>
          <t>A 58824-2025</t>
        </is>
      </c>
      <c r="B326" s="1" t="n">
        <v>45987.34543981482</v>
      </c>
      <c r="C326" s="1" t="n">
        <v>46059</v>
      </c>
      <c r="D326" t="inlineStr">
        <is>
          <t>JÄMTLANDS LÄN</t>
        </is>
      </c>
      <c r="E326" t="inlineStr">
        <is>
          <t>ÖSTERSUND</t>
        </is>
      </c>
      <c r="G326" t="n">
        <v>3.2</v>
      </c>
      <c r="H326" t="n">
        <v>0</v>
      </c>
      <c r="I326" t="n">
        <v>0</v>
      </c>
      <c r="J326" t="n">
        <v>0</v>
      </c>
      <c r="K326" t="n">
        <v>0</v>
      </c>
      <c r="L326" t="n">
        <v>0</v>
      </c>
      <c r="M326" t="n">
        <v>0</v>
      </c>
      <c r="N326" t="n">
        <v>0</v>
      </c>
      <c r="O326" t="n">
        <v>0</v>
      </c>
      <c r="P326" t="n">
        <v>0</v>
      </c>
      <c r="Q326" t="n">
        <v>0</v>
      </c>
      <c r="R326" s="2" t="inlineStr"/>
    </row>
    <row r="327" ht="15" customHeight="1">
      <c r="A327" t="inlineStr">
        <is>
          <t>A 42989-2025</t>
        </is>
      </c>
      <c r="B327" s="1" t="n">
        <v>45909.44971064815</v>
      </c>
      <c r="C327" s="1" t="n">
        <v>46059</v>
      </c>
      <c r="D327" t="inlineStr">
        <is>
          <t>JÄMTLANDS LÄN</t>
        </is>
      </c>
      <c r="E327" t="inlineStr">
        <is>
          <t>ÖSTERSUND</t>
        </is>
      </c>
      <c r="G327" t="n">
        <v>3</v>
      </c>
      <c r="H327" t="n">
        <v>0</v>
      </c>
      <c r="I327" t="n">
        <v>0</v>
      </c>
      <c r="J327" t="n">
        <v>0</v>
      </c>
      <c r="K327" t="n">
        <v>0</v>
      </c>
      <c r="L327" t="n">
        <v>0</v>
      </c>
      <c r="M327" t="n">
        <v>0</v>
      </c>
      <c r="N327" t="n">
        <v>0</v>
      </c>
      <c r="O327" t="n">
        <v>0</v>
      </c>
      <c r="P327" t="n">
        <v>0</v>
      </c>
      <c r="Q327" t="n">
        <v>0</v>
      </c>
      <c r="R327" s="2" t="inlineStr"/>
    </row>
    <row r="328" ht="15" customHeight="1">
      <c r="A328" t="inlineStr">
        <is>
          <t>A 59188-2025</t>
        </is>
      </c>
      <c r="B328" s="1" t="n">
        <v>45988.58856481482</v>
      </c>
      <c r="C328" s="1" t="n">
        <v>46059</v>
      </c>
      <c r="D328" t="inlineStr">
        <is>
          <t>JÄMTLANDS LÄN</t>
        </is>
      </c>
      <c r="E328" t="inlineStr">
        <is>
          <t>ÖSTERSUND</t>
        </is>
      </c>
      <c r="G328" t="n">
        <v>1.2</v>
      </c>
      <c r="H328" t="n">
        <v>0</v>
      </c>
      <c r="I328" t="n">
        <v>0</v>
      </c>
      <c r="J328" t="n">
        <v>0</v>
      </c>
      <c r="K328" t="n">
        <v>0</v>
      </c>
      <c r="L328" t="n">
        <v>0</v>
      </c>
      <c r="M328" t="n">
        <v>0</v>
      </c>
      <c r="N328" t="n">
        <v>0</v>
      </c>
      <c r="O328" t="n">
        <v>0</v>
      </c>
      <c r="P328" t="n">
        <v>0</v>
      </c>
      <c r="Q328" t="n">
        <v>0</v>
      </c>
      <c r="R328" s="2" t="inlineStr"/>
    </row>
    <row r="329" ht="15" customHeight="1">
      <c r="A329" t="inlineStr">
        <is>
          <t>A 623-2026</t>
        </is>
      </c>
      <c r="B329" s="1" t="n">
        <v>46024</v>
      </c>
      <c r="C329" s="1" t="n">
        <v>46059</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43225-2025</t>
        </is>
      </c>
      <c r="B330" s="1" t="n">
        <v>45910.4900462963</v>
      </c>
      <c r="C330" s="1" t="n">
        <v>46059</v>
      </c>
      <c r="D330" t="inlineStr">
        <is>
          <t>JÄMTLANDS LÄN</t>
        </is>
      </c>
      <c r="E330" t="inlineStr">
        <is>
          <t>ÖSTERSUND</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58917-2025</t>
        </is>
      </c>
      <c r="B331" s="1" t="n">
        <v>45987.52949074074</v>
      </c>
      <c r="C331" s="1" t="n">
        <v>46059</v>
      </c>
      <c r="D331" t="inlineStr">
        <is>
          <t>JÄMTLANDS LÄN</t>
        </is>
      </c>
      <c r="E331" t="inlineStr">
        <is>
          <t>ÖSTERSUND</t>
        </is>
      </c>
      <c r="G331" t="n">
        <v>0.7</v>
      </c>
      <c r="H331" t="n">
        <v>0</v>
      </c>
      <c r="I331" t="n">
        <v>0</v>
      </c>
      <c r="J331" t="n">
        <v>0</v>
      </c>
      <c r="K331" t="n">
        <v>0</v>
      </c>
      <c r="L331" t="n">
        <v>0</v>
      </c>
      <c r="M331" t="n">
        <v>0</v>
      </c>
      <c r="N331" t="n">
        <v>0</v>
      </c>
      <c r="O331" t="n">
        <v>0</v>
      </c>
      <c r="P331" t="n">
        <v>0</v>
      </c>
      <c r="Q331" t="n">
        <v>0</v>
      </c>
      <c r="R331" s="2" t="inlineStr"/>
    </row>
    <row r="332" ht="15" customHeight="1">
      <c r="A332" t="inlineStr">
        <is>
          <t>A 485-2026</t>
        </is>
      </c>
      <c r="B332" s="1" t="n">
        <v>46029.41560185186</v>
      </c>
      <c r="C332" s="1" t="n">
        <v>46059</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21667-2024</t>
        </is>
      </c>
      <c r="B333" s="1" t="n">
        <v>45442.38511574074</v>
      </c>
      <c r="C333" s="1" t="n">
        <v>46059</v>
      </c>
      <c r="D333" t="inlineStr">
        <is>
          <t>JÄMTLANDS LÄN</t>
        </is>
      </c>
      <c r="E333" t="inlineStr">
        <is>
          <t>ÖSTERSUND</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43411-2025</t>
        </is>
      </c>
      <c r="B334" s="1" t="n">
        <v>45911.40074074074</v>
      </c>
      <c r="C334" s="1" t="n">
        <v>46059</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43548-2025</t>
        </is>
      </c>
      <c r="B335" s="1" t="n">
        <v>45911.61579861111</v>
      </c>
      <c r="C335" s="1" t="n">
        <v>46059</v>
      </c>
      <c r="D335" t="inlineStr">
        <is>
          <t>JÄMTLANDS LÄN</t>
        </is>
      </c>
      <c r="E335" t="inlineStr">
        <is>
          <t>ÖSTERSUND</t>
        </is>
      </c>
      <c r="F335" t="inlineStr">
        <is>
          <t>SCA</t>
        </is>
      </c>
      <c r="G335" t="n">
        <v>17.3</v>
      </c>
      <c r="H335" t="n">
        <v>0</v>
      </c>
      <c r="I335" t="n">
        <v>0</v>
      </c>
      <c r="J335" t="n">
        <v>0</v>
      </c>
      <c r="K335" t="n">
        <v>0</v>
      </c>
      <c r="L335" t="n">
        <v>0</v>
      </c>
      <c r="M335" t="n">
        <v>0</v>
      </c>
      <c r="N335" t="n">
        <v>0</v>
      </c>
      <c r="O335" t="n">
        <v>0</v>
      </c>
      <c r="P335" t="n">
        <v>0</v>
      </c>
      <c r="Q335" t="n">
        <v>0</v>
      </c>
      <c r="R335" s="2" t="inlineStr"/>
    </row>
    <row r="336" ht="15" customHeight="1">
      <c r="A336" t="inlineStr">
        <is>
          <t>A 43519-2025</t>
        </is>
      </c>
      <c r="B336" s="1" t="n">
        <v>45911.57349537037</v>
      </c>
      <c r="C336" s="1" t="n">
        <v>46059</v>
      </c>
      <c r="D336" t="inlineStr">
        <is>
          <t>JÄMTLANDS LÄN</t>
        </is>
      </c>
      <c r="E336" t="inlineStr">
        <is>
          <t>ÖSTERSUND</t>
        </is>
      </c>
      <c r="F336" t="inlineStr">
        <is>
          <t>SCA</t>
        </is>
      </c>
      <c r="G336" t="n">
        <v>14.4</v>
      </c>
      <c r="H336" t="n">
        <v>0</v>
      </c>
      <c r="I336" t="n">
        <v>0</v>
      </c>
      <c r="J336" t="n">
        <v>0</v>
      </c>
      <c r="K336" t="n">
        <v>0</v>
      </c>
      <c r="L336" t="n">
        <v>0</v>
      </c>
      <c r="M336" t="n">
        <v>0</v>
      </c>
      <c r="N336" t="n">
        <v>0</v>
      </c>
      <c r="O336" t="n">
        <v>0</v>
      </c>
      <c r="P336" t="n">
        <v>0</v>
      </c>
      <c r="Q336" t="n">
        <v>0</v>
      </c>
      <c r="R336" s="2" t="inlineStr"/>
    </row>
    <row r="337" ht="15" customHeight="1">
      <c r="A337" t="inlineStr">
        <is>
          <t>A 59619-2025</t>
        </is>
      </c>
      <c r="B337" s="1" t="n">
        <v>45992.38109953704</v>
      </c>
      <c r="C337" s="1" t="n">
        <v>46059</v>
      </c>
      <c r="D337" t="inlineStr">
        <is>
          <t>JÄMTLANDS LÄN</t>
        </is>
      </c>
      <c r="E337" t="inlineStr">
        <is>
          <t>ÖSTERSUND</t>
        </is>
      </c>
      <c r="G337" t="n">
        <v>3.6</v>
      </c>
      <c r="H337" t="n">
        <v>0</v>
      </c>
      <c r="I337" t="n">
        <v>0</v>
      </c>
      <c r="J337" t="n">
        <v>0</v>
      </c>
      <c r="K337" t="n">
        <v>0</v>
      </c>
      <c r="L337" t="n">
        <v>0</v>
      </c>
      <c r="M337" t="n">
        <v>0</v>
      </c>
      <c r="N337" t="n">
        <v>0</v>
      </c>
      <c r="O337" t="n">
        <v>0</v>
      </c>
      <c r="P337" t="n">
        <v>0</v>
      </c>
      <c r="Q337" t="n">
        <v>0</v>
      </c>
      <c r="R337" s="2" t="inlineStr"/>
    </row>
    <row r="338" ht="15" customHeight="1">
      <c r="A338" t="inlineStr">
        <is>
          <t>A 44446-2025</t>
        </is>
      </c>
      <c r="B338" s="1" t="n">
        <v>45916.59773148148</v>
      </c>
      <c r="C338" s="1" t="n">
        <v>46059</v>
      </c>
      <c r="D338" t="inlineStr">
        <is>
          <t>JÄMTLANDS LÄN</t>
        </is>
      </c>
      <c r="E338" t="inlineStr">
        <is>
          <t>ÖSTERSUND</t>
        </is>
      </c>
      <c r="G338" t="n">
        <v>1.9</v>
      </c>
      <c r="H338" t="n">
        <v>0</v>
      </c>
      <c r="I338" t="n">
        <v>0</v>
      </c>
      <c r="J338" t="n">
        <v>0</v>
      </c>
      <c r="K338" t="n">
        <v>0</v>
      </c>
      <c r="L338" t="n">
        <v>0</v>
      </c>
      <c r="M338" t="n">
        <v>0</v>
      </c>
      <c r="N338" t="n">
        <v>0</v>
      </c>
      <c r="O338" t="n">
        <v>0</v>
      </c>
      <c r="P338" t="n">
        <v>0</v>
      </c>
      <c r="Q338" t="n">
        <v>0</v>
      </c>
      <c r="R338" s="2" t="inlineStr"/>
    </row>
    <row r="339" ht="15" customHeight="1">
      <c r="A339" t="inlineStr">
        <is>
          <t>A 59015-2025</t>
        </is>
      </c>
      <c r="B339" s="1" t="n">
        <v>45987.83457175926</v>
      </c>
      <c r="C339" s="1" t="n">
        <v>46059</v>
      </c>
      <c r="D339" t="inlineStr">
        <is>
          <t>JÄMTLANDS LÄN</t>
        </is>
      </c>
      <c r="E339" t="inlineStr">
        <is>
          <t>ÖSTERSUND</t>
        </is>
      </c>
      <c r="G339" t="n">
        <v>2.4</v>
      </c>
      <c r="H339" t="n">
        <v>0</v>
      </c>
      <c r="I339" t="n">
        <v>0</v>
      </c>
      <c r="J339" t="n">
        <v>0</v>
      </c>
      <c r="K339" t="n">
        <v>0</v>
      </c>
      <c r="L339" t="n">
        <v>0</v>
      </c>
      <c r="M339" t="n">
        <v>0</v>
      </c>
      <c r="N339" t="n">
        <v>0</v>
      </c>
      <c r="O339" t="n">
        <v>0</v>
      </c>
      <c r="P339" t="n">
        <v>0</v>
      </c>
      <c r="Q339" t="n">
        <v>0</v>
      </c>
      <c r="R339" s="2" t="inlineStr"/>
    </row>
    <row r="340" ht="15" customHeight="1">
      <c r="A340" t="inlineStr">
        <is>
          <t>A 1374-2026</t>
        </is>
      </c>
      <c r="B340" s="1" t="n">
        <v>46031.6141087963</v>
      </c>
      <c r="C340" s="1" t="n">
        <v>46059</v>
      </c>
      <c r="D340" t="inlineStr">
        <is>
          <t>JÄMTLANDS LÄN</t>
        </is>
      </c>
      <c r="E340" t="inlineStr">
        <is>
          <t>ÖSTERSUND</t>
        </is>
      </c>
      <c r="G340" t="n">
        <v>2.7</v>
      </c>
      <c r="H340" t="n">
        <v>0</v>
      </c>
      <c r="I340" t="n">
        <v>0</v>
      </c>
      <c r="J340" t="n">
        <v>0</v>
      </c>
      <c r="K340" t="n">
        <v>0</v>
      </c>
      <c r="L340" t="n">
        <v>0</v>
      </c>
      <c r="M340" t="n">
        <v>0</v>
      </c>
      <c r="N340" t="n">
        <v>0</v>
      </c>
      <c r="O340" t="n">
        <v>0</v>
      </c>
      <c r="P340" t="n">
        <v>0</v>
      </c>
      <c r="Q340" t="n">
        <v>0</v>
      </c>
      <c r="R340" s="2" t="inlineStr"/>
    </row>
    <row r="341" ht="15" customHeight="1">
      <c r="A341" t="inlineStr">
        <is>
          <t>A 44429-2025</t>
        </is>
      </c>
      <c r="B341" s="1" t="n">
        <v>45916.57010416667</v>
      </c>
      <c r="C341" s="1" t="n">
        <v>46059</v>
      </c>
      <c r="D341" t="inlineStr">
        <is>
          <t>JÄMTLANDS LÄN</t>
        </is>
      </c>
      <c r="E341" t="inlineStr">
        <is>
          <t>ÖSTERSUND</t>
        </is>
      </c>
      <c r="G341" t="n">
        <v>1.2</v>
      </c>
      <c r="H341" t="n">
        <v>0</v>
      </c>
      <c r="I341" t="n">
        <v>0</v>
      </c>
      <c r="J341" t="n">
        <v>0</v>
      </c>
      <c r="K341" t="n">
        <v>0</v>
      </c>
      <c r="L341" t="n">
        <v>0</v>
      </c>
      <c r="M341" t="n">
        <v>0</v>
      </c>
      <c r="N341" t="n">
        <v>0</v>
      </c>
      <c r="O341" t="n">
        <v>0</v>
      </c>
      <c r="P341" t="n">
        <v>0</v>
      </c>
      <c r="Q341" t="n">
        <v>0</v>
      </c>
      <c r="R341" s="2" t="inlineStr"/>
    </row>
    <row r="342" ht="15" customHeight="1">
      <c r="A342" t="inlineStr">
        <is>
          <t>A 1552-2026</t>
        </is>
      </c>
      <c r="B342" s="1" t="n">
        <v>46034.38729166667</v>
      </c>
      <c r="C342" s="1" t="n">
        <v>46059</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59612-2025</t>
        </is>
      </c>
      <c r="B343" s="1" t="n">
        <v>45992.3706712963</v>
      </c>
      <c r="C343" s="1" t="n">
        <v>46059</v>
      </c>
      <c r="D343" t="inlineStr">
        <is>
          <t>JÄMTLANDS LÄN</t>
        </is>
      </c>
      <c r="E343" t="inlineStr">
        <is>
          <t>ÖSTERSUND</t>
        </is>
      </c>
      <c r="G343" t="n">
        <v>2.3</v>
      </c>
      <c r="H343" t="n">
        <v>0</v>
      </c>
      <c r="I343" t="n">
        <v>0</v>
      </c>
      <c r="J343" t="n">
        <v>0</v>
      </c>
      <c r="K343" t="n">
        <v>0</v>
      </c>
      <c r="L343" t="n">
        <v>0</v>
      </c>
      <c r="M343" t="n">
        <v>0</v>
      </c>
      <c r="N343" t="n">
        <v>0</v>
      </c>
      <c r="O343" t="n">
        <v>0</v>
      </c>
      <c r="P343" t="n">
        <v>0</v>
      </c>
      <c r="Q343" t="n">
        <v>0</v>
      </c>
      <c r="R343" s="2" t="inlineStr"/>
    </row>
    <row r="344" ht="15" customHeight="1">
      <c r="A344" t="inlineStr">
        <is>
          <t>A 59687-2025</t>
        </is>
      </c>
      <c r="B344" s="1" t="n">
        <v>45992.47729166667</v>
      </c>
      <c r="C344" s="1" t="n">
        <v>46059</v>
      </c>
      <c r="D344" t="inlineStr">
        <is>
          <t>JÄMTLANDS LÄN</t>
        </is>
      </c>
      <c r="E344" t="inlineStr">
        <is>
          <t>ÖSTERSUND</t>
        </is>
      </c>
      <c r="G344" t="n">
        <v>5</v>
      </c>
      <c r="H344" t="n">
        <v>0</v>
      </c>
      <c r="I344" t="n">
        <v>0</v>
      </c>
      <c r="J344" t="n">
        <v>0</v>
      </c>
      <c r="K344" t="n">
        <v>0</v>
      </c>
      <c r="L344" t="n">
        <v>0</v>
      </c>
      <c r="M344" t="n">
        <v>0</v>
      </c>
      <c r="N344" t="n">
        <v>0</v>
      </c>
      <c r="O344" t="n">
        <v>0</v>
      </c>
      <c r="P344" t="n">
        <v>0</v>
      </c>
      <c r="Q344" t="n">
        <v>0</v>
      </c>
      <c r="R344" s="2" t="inlineStr"/>
    </row>
    <row r="345" ht="15" customHeight="1">
      <c r="A345" t="inlineStr">
        <is>
          <t>A 59613-2025</t>
        </is>
      </c>
      <c r="B345" s="1" t="n">
        <v>45992.37172453704</v>
      </c>
      <c r="C345" s="1" t="n">
        <v>46059</v>
      </c>
      <c r="D345" t="inlineStr">
        <is>
          <t>JÄMTLANDS LÄN</t>
        </is>
      </c>
      <c r="E345" t="inlineStr">
        <is>
          <t>ÖSTERSUND</t>
        </is>
      </c>
      <c r="G345" t="n">
        <v>2.1</v>
      </c>
      <c r="H345" t="n">
        <v>0</v>
      </c>
      <c r="I345" t="n">
        <v>0</v>
      </c>
      <c r="J345" t="n">
        <v>0</v>
      </c>
      <c r="K345" t="n">
        <v>0</v>
      </c>
      <c r="L345" t="n">
        <v>0</v>
      </c>
      <c r="M345" t="n">
        <v>0</v>
      </c>
      <c r="N345" t="n">
        <v>0</v>
      </c>
      <c r="O345" t="n">
        <v>0</v>
      </c>
      <c r="P345" t="n">
        <v>0</v>
      </c>
      <c r="Q345" t="n">
        <v>0</v>
      </c>
      <c r="R345" s="2" t="inlineStr"/>
    </row>
    <row r="346" ht="15" customHeight="1">
      <c r="A346" t="inlineStr">
        <is>
          <t>A 2228-2024</t>
        </is>
      </c>
      <c r="B346" s="1" t="n">
        <v>45309</v>
      </c>
      <c r="C346" s="1" t="n">
        <v>46059</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59007-2025</t>
        </is>
      </c>
      <c r="B347" s="1" t="n">
        <v>45987.69552083333</v>
      </c>
      <c r="C347" s="1" t="n">
        <v>46059</v>
      </c>
      <c r="D347" t="inlineStr">
        <is>
          <t>JÄMTLANDS LÄN</t>
        </is>
      </c>
      <c r="E347" t="inlineStr">
        <is>
          <t>ÖSTERSUND</t>
        </is>
      </c>
      <c r="G347" t="n">
        <v>4</v>
      </c>
      <c r="H347" t="n">
        <v>0</v>
      </c>
      <c r="I347" t="n">
        <v>0</v>
      </c>
      <c r="J347" t="n">
        <v>0</v>
      </c>
      <c r="K347" t="n">
        <v>0</v>
      </c>
      <c r="L347" t="n">
        <v>0</v>
      </c>
      <c r="M347" t="n">
        <v>0</v>
      </c>
      <c r="N347" t="n">
        <v>0</v>
      </c>
      <c r="O347" t="n">
        <v>0</v>
      </c>
      <c r="P347" t="n">
        <v>0</v>
      </c>
      <c r="Q347" t="n">
        <v>0</v>
      </c>
      <c r="R347" s="2" t="inlineStr"/>
    </row>
    <row r="348" ht="15" customHeight="1">
      <c r="A348" t="inlineStr">
        <is>
          <t>A 20400-2024</t>
        </is>
      </c>
      <c r="B348" s="1" t="n">
        <v>45435.55372685185</v>
      </c>
      <c r="C348" s="1" t="n">
        <v>46059</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1901-2026</t>
        </is>
      </c>
      <c r="B349" s="1" t="n">
        <v>46032</v>
      </c>
      <c r="C349" s="1" t="n">
        <v>46059</v>
      </c>
      <c r="D349" t="inlineStr">
        <is>
          <t>JÄMTLANDS LÄN</t>
        </is>
      </c>
      <c r="E349" t="inlineStr">
        <is>
          <t>ÖSTERSUND</t>
        </is>
      </c>
      <c r="G349" t="n">
        <v>6.4</v>
      </c>
      <c r="H349" t="n">
        <v>0</v>
      </c>
      <c r="I349" t="n">
        <v>0</v>
      </c>
      <c r="J349" t="n">
        <v>0</v>
      </c>
      <c r="K349" t="n">
        <v>0</v>
      </c>
      <c r="L349" t="n">
        <v>0</v>
      </c>
      <c r="M349" t="n">
        <v>0</v>
      </c>
      <c r="N349" t="n">
        <v>0</v>
      </c>
      <c r="O349" t="n">
        <v>0</v>
      </c>
      <c r="P349" t="n">
        <v>0</v>
      </c>
      <c r="Q349" t="n">
        <v>0</v>
      </c>
      <c r="R349" s="2" t="inlineStr"/>
    </row>
    <row r="350" ht="15" customHeight="1">
      <c r="A350" t="inlineStr">
        <is>
          <t>A 28179-2024</t>
        </is>
      </c>
      <c r="B350" s="1" t="n">
        <v>45477.26746527778</v>
      </c>
      <c r="C350" s="1" t="n">
        <v>46059</v>
      </c>
      <c r="D350" t="inlineStr">
        <is>
          <t>JÄMTLANDS LÄN</t>
        </is>
      </c>
      <c r="E350" t="inlineStr">
        <is>
          <t>ÖSTERSUND</t>
        </is>
      </c>
      <c r="G350" t="n">
        <v>2.2</v>
      </c>
      <c r="H350" t="n">
        <v>0</v>
      </c>
      <c r="I350" t="n">
        <v>0</v>
      </c>
      <c r="J350" t="n">
        <v>0</v>
      </c>
      <c r="K350" t="n">
        <v>0</v>
      </c>
      <c r="L350" t="n">
        <v>0</v>
      </c>
      <c r="M350" t="n">
        <v>0</v>
      </c>
      <c r="N350" t="n">
        <v>0</v>
      </c>
      <c r="O350" t="n">
        <v>0</v>
      </c>
      <c r="P350" t="n">
        <v>0</v>
      </c>
      <c r="Q350" t="n">
        <v>0</v>
      </c>
      <c r="R350" s="2" t="inlineStr"/>
    </row>
    <row r="351" ht="15" customHeight="1">
      <c r="A351" t="inlineStr">
        <is>
          <t>A 14518-2023</t>
        </is>
      </c>
      <c r="B351" s="1" t="n">
        <v>45012</v>
      </c>
      <c r="C351" s="1" t="n">
        <v>46059</v>
      </c>
      <c r="D351" t="inlineStr">
        <is>
          <t>JÄMTLANDS LÄN</t>
        </is>
      </c>
      <c r="E351" t="inlineStr">
        <is>
          <t>ÖSTERSUND</t>
        </is>
      </c>
      <c r="G351" t="n">
        <v>14.4</v>
      </c>
      <c r="H351" t="n">
        <v>0</v>
      </c>
      <c r="I351" t="n">
        <v>0</v>
      </c>
      <c r="J351" t="n">
        <v>0</v>
      </c>
      <c r="K351" t="n">
        <v>0</v>
      </c>
      <c r="L351" t="n">
        <v>0</v>
      </c>
      <c r="M351" t="n">
        <v>0</v>
      </c>
      <c r="N351" t="n">
        <v>0</v>
      </c>
      <c r="O351" t="n">
        <v>0</v>
      </c>
      <c r="P351" t="n">
        <v>0</v>
      </c>
      <c r="Q351" t="n">
        <v>0</v>
      </c>
      <c r="R351" s="2" t="inlineStr"/>
    </row>
    <row r="352" ht="15" customHeight="1">
      <c r="A352" t="inlineStr">
        <is>
          <t>A 45391-2025</t>
        </is>
      </c>
      <c r="B352" s="1" t="n">
        <v>45922.4077662037</v>
      </c>
      <c r="C352" s="1" t="n">
        <v>46059</v>
      </c>
      <c r="D352" t="inlineStr">
        <is>
          <t>JÄMTLANDS LÄN</t>
        </is>
      </c>
      <c r="E352" t="inlineStr">
        <is>
          <t>ÖSTERSUND</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45389-2025</t>
        </is>
      </c>
      <c r="B353" s="1" t="n">
        <v>45922.4075</v>
      </c>
      <c r="C353" s="1" t="n">
        <v>46059</v>
      </c>
      <c r="D353" t="inlineStr">
        <is>
          <t>JÄMTLANDS LÄN</t>
        </is>
      </c>
      <c r="E353" t="inlineStr">
        <is>
          <t>ÖSTERSUND</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45558-2025</t>
        </is>
      </c>
      <c r="B354" s="1" t="n">
        <v>45922</v>
      </c>
      <c r="C354" s="1" t="n">
        <v>46059</v>
      </c>
      <c r="D354" t="inlineStr">
        <is>
          <t>JÄMTLANDS LÄN</t>
        </is>
      </c>
      <c r="E354" t="inlineStr">
        <is>
          <t>ÖSTERSUND</t>
        </is>
      </c>
      <c r="F354" t="inlineStr">
        <is>
          <t>SCA</t>
        </is>
      </c>
      <c r="G354" t="n">
        <v>6.7</v>
      </c>
      <c r="H354" t="n">
        <v>0</v>
      </c>
      <c r="I354" t="n">
        <v>0</v>
      </c>
      <c r="J354" t="n">
        <v>0</v>
      </c>
      <c r="K354" t="n">
        <v>0</v>
      </c>
      <c r="L354" t="n">
        <v>0</v>
      </c>
      <c r="M354" t="n">
        <v>0</v>
      </c>
      <c r="N354" t="n">
        <v>0</v>
      </c>
      <c r="O354" t="n">
        <v>0</v>
      </c>
      <c r="P354" t="n">
        <v>0</v>
      </c>
      <c r="Q354" t="n">
        <v>0</v>
      </c>
      <c r="R354" s="2" t="inlineStr"/>
    </row>
    <row r="355" ht="15" customHeight="1">
      <c r="A355" t="inlineStr">
        <is>
          <t>A 45297-2025</t>
        </is>
      </c>
      <c r="B355" s="1" t="n">
        <v>45920.8446412037</v>
      </c>
      <c r="C355" s="1" t="n">
        <v>46059</v>
      </c>
      <c r="D355" t="inlineStr">
        <is>
          <t>JÄMTLANDS LÄN</t>
        </is>
      </c>
      <c r="E355" t="inlineStr">
        <is>
          <t>ÖSTERSUND</t>
        </is>
      </c>
      <c r="G355" t="n">
        <v>1.8</v>
      </c>
      <c r="H355" t="n">
        <v>0</v>
      </c>
      <c r="I355" t="n">
        <v>0</v>
      </c>
      <c r="J355" t="n">
        <v>0</v>
      </c>
      <c r="K355" t="n">
        <v>0</v>
      </c>
      <c r="L355" t="n">
        <v>0</v>
      </c>
      <c r="M355" t="n">
        <v>0</v>
      </c>
      <c r="N355" t="n">
        <v>0</v>
      </c>
      <c r="O355" t="n">
        <v>0</v>
      </c>
      <c r="P355" t="n">
        <v>0</v>
      </c>
      <c r="Q355" t="n">
        <v>0</v>
      </c>
      <c r="R355" s="2" t="inlineStr"/>
    </row>
    <row r="356" ht="15" customHeight="1">
      <c r="A356" t="inlineStr">
        <is>
          <t>A 27906-2024</t>
        </is>
      </c>
      <c r="B356" s="1" t="n">
        <v>45475.94585648148</v>
      </c>
      <c r="C356" s="1" t="n">
        <v>46059</v>
      </c>
      <c r="D356" t="inlineStr">
        <is>
          <t>JÄMTLANDS LÄN</t>
        </is>
      </c>
      <c r="E356" t="inlineStr">
        <is>
          <t>ÖSTERSUND</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45386-2025</t>
        </is>
      </c>
      <c r="B357" s="1" t="n">
        <v>45922.40697916667</v>
      </c>
      <c r="C357" s="1" t="n">
        <v>46059</v>
      </c>
      <c r="D357" t="inlineStr">
        <is>
          <t>JÄMTLANDS LÄN</t>
        </is>
      </c>
      <c r="E357" t="inlineStr">
        <is>
          <t>ÖSTERSUND</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45388-2025</t>
        </is>
      </c>
      <c r="B358" s="1" t="n">
        <v>45922.4074537037</v>
      </c>
      <c r="C358" s="1" t="n">
        <v>46059</v>
      </c>
      <c r="D358" t="inlineStr">
        <is>
          <t>JÄMTLANDS LÄN</t>
        </is>
      </c>
      <c r="E358" t="inlineStr">
        <is>
          <t>ÖSTERSUND</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45385-2025</t>
        </is>
      </c>
      <c r="B359" s="1" t="n">
        <v>45922.40680555555</v>
      </c>
      <c r="C359" s="1" t="n">
        <v>46059</v>
      </c>
      <c r="D359" t="inlineStr">
        <is>
          <t>JÄMTLANDS LÄN</t>
        </is>
      </c>
      <c r="E359" t="inlineStr">
        <is>
          <t>ÖSTERSUND</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45481-2025</t>
        </is>
      </c>
      <c r="B360" s="1" t="n">
        <v>45922.53217592592</v>
      </c>
      <c r="C360" s="1" t="n">
        <v>46059</v>
      </c>
      <c r="D360" t="inlineStr">
        <is>
          <t>JÄMTLANDS LÄN</t>
        </is>
      </c>
      <c r="E360" t="inlineStr">
        <is>
          <t>ÖSTERSUND</t>
        </is>
      </c>
      <c r="G360" t="n">
        <v>3</v>
      </c>
      <c r="H360" t="n">
        <v>0</v>
      </c>
      <c r="I360" t="n">
        <v>0</v>
      </c>
      <c r="J360" t="n">
        <v>0</v>
      </c>
      <c r="K360" t="n">
        <v>0</v>
      </c>
      <c r="L360" t="n">
        <v>0</v>
      </c>
      <c r="M360" t="n">
        <v>0</v>
      </c>
      <c r="N360" t="n">
        <v>0</v>
      </c>
      <c r="O360" t="n">
        <v>0</v>
      </c>
      <c r="P360" t="n">
        <v>0</v>
      </c>
      <c r="Q360" t="n">
        <v>0</v>
      </c>
      <c r="R360" s="2" t="inlineStr"/>
    </row>
    <row r="361" ht="15" customHeight="1">
      <c r="A361" t="inlineStr">
        <is>
          <t>A 13166-2023</t>
        </is>
      </c>
      <c r="B361" s="1" t="n">
        <v>45002</v>
      </c>
      <c r="C361" s="1" t="n">
        <v>46059</v>
      </c>
      <c r="D361" t="inlineStr">
        <is>
          <t>JÄMTLANDS LÄN</t>
        </is>
      </c>
      <c r="E361" t="inlineStr">
        <is>
          <t>ÖSTERSUND</t>
        </is>
      </c>
      <c r="F361" t="inlineStr">
        <is>
          <t>Övriga statliga verk och myndigheter</t>
        </is>
      </c>
      <c r="G361" t="n">
        <v>1</v>
      </c>
      <c r="H361" t="n">
        <v>0</v>
      </c>
      <c r="I361" t="n">
        <v>0</v>
      </c>
      <c r="J361" t="n">
        <v>0</v>
      </c>
      <c r="K361" t="n">
        <v>0</v>
      </c>
      <c r="L361" t="n">
        <v>0</v>
      </c>
      <c r="M361" t="n">
        <v>0</v>
      </c>
      <c r="N361" t="n">
        <v>0</v>
      </c>
      <c r="O361" t="n">
        <v>0</v>
      </c>
      <c r="P361" t="n">
        <v>0</v>
      </c>
      <c r="Q361" t="n">
        <v>0</v>
      </c>
      <c r="R361" s="2" t="inlineStr"/>
    </row>
    <row r="362" ht="15" customHeight="1">
      <c r="A362" t="inlineStr">
        <is>
          <t>A 1026-2026</t>
        </is>
      </c>
      <c r="B362" s="1" t="n">
        <v>46030.61326388889</v>
      </c>
      <c r="C362" s="1" t="n">
        <v>46059</v>
      </c>
      <c r="D362" t="inlineStr">
        <is>
          <t>JÄMTLANDS LÄN</t>
        </is>
      </c>
      <c r="E362" t="inlineStr">
        <is>
          <t>ÖSTERSUND</t>
        </is>
      </c>
      <c r="G362" t="n">
        <v>6.6</v>
      </c>
      <c r="H362" t="n">
        <v>0</v>
      </c>
      <c r="I362" t="n">
        <v>0</v>
      </c>
      <c r="J362" t="n">
        <v>0</v>
      </c>
      <c r="K362" t="n">
        <v>0</v>
      </c>
      <c r="L362" t="n">
        <v>0</v>
      </c>
      <c r="M362" t="n">
        <v>0</v>
      </c>
      <c r="N362" t="n">
        <v>0</v>
      </c>
      <c r="O362" t="n">
        <v>0</v>
      </c>
      <c r="P362" t="n">
        <v>0</v>
      </c>
      <c r="Q362" t="n">
        <v>0</v>
      </c>
      <c r="R362" s="2" t="inlineStr"/>
    </row>
    <row r="363" ht="15" customHeight="1">
      <c r="A363" t="inlineStr">
        <is>
          <t>A 46152-2025</t>
        </is>
      </c>
      <c r="B363" s="1" t="n">
        <v>45924.61512731481</v>
      </c>
      <c r="C363" s="1" t="n">
        <v>46059</v>
      </c>
      <c r="D363" t="inlineStr">
        <is>
          <t>JÄMTLANDS LÄN</t>
        </is>
      </c>
      <c r="E363" t="inlineStr">
        <is>
          <t>ÖSTERSUND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2694-2026</t>
        </is>
      </c>
      <c r="B364" s="1" t="n">
        <v>46037.6703125</v>
      </c>
      <c r="C364" s="1" t="n">
        <v>46059</v>
      </c>
      <c r="D364" t="inlineStr">
        <is>
          <t>JÄMTLANDS LÄN</t>
        </is>
      </c>
      <c r="E364" t="inlineStr">
        <is>
          <t>ÖSTERSUND</t>
        </is>
      </c>
      <c r="G364" t="n">
        <v>3</v>
      </c>
      <c r="H364" t="n">
        <v>0</v>
      </c>
      <c r="I364" t="n">
        <v>0</v>
      </c>
      <c r="J364" t="n">
        <v>0</v>
      </c>
      <c r="K364" t="n">
        <v>0</v>
      </c>
      <c r="L364" t="n">
        <v>0</v>
      </c>
      <c r="M364" t="n">
        <v>0</v>
      </c>
      <c r="N364" t="n">
        <v>0</v>
      </c>
      <c r="O364" t="n">
        <v>0</v>
      </c>
      <c r="P364" t="n">
        <v>0</v>
      </c>
      <c r="Q364" t="n">
        <v>0</v>
      </c>
      <c r="R364" s="2" t="inlineStr"/>
    </row>
    <row r="365" ht="15" customHeight="1">
      <c r="A365" t="inlineStr">
        <is>
          <t>A 2700-2026</t>
        </is>
      </c>
      <c r="B365" s="1" t="n">
        <v>46037.6787962963</v>
      </c>
      <c r="C365" s="1" t="n">
        <v>46059</v>
      </c>
      <c r="D365" t="inlineStr">
        <is>
          <t>JÄMTLANDS LÄN</t>
        </is>
      </c>
      <c r="E365" t="inlineStr">
        <is>
          <t>ÖSTERSUND</t>
        </is>
      </c>
      <c r="G365" t="n">
        <v>8.6</v>
      </c>
      <c r="H365" t="n">
        <v>0</v>
      </c>
      <c r="I365" t="n">
        <v>0</v>
      </c>
      <c r="J365" t="n">
        <v>0</v>
      </c>
      <c r="K365" t="n">
        <v>0</v>
      </c>
      <c r="L365" t="n">
        <v>0</v>
      </c>
      <c r="M365" t="n">
        <v>0</v>
      </c>
      <c r="N365" t="n">
        <v>0</v>
      </c>
      <c r="O365" t="n">
        <v>0</v>
      </c>
      <c r="P365" t="n">
        <v>0</v>
      </c>
      <c r="Q365" t="n">
        <v>0</v>
      </c>
      <c r="R365" s="2" t="inlineStr"/>
    </row>
    <row r="366" ht="15" customHeight="1">
      <c r="A366" t="inlineStr">
        <is>
          <t>A 2702-2026</t>
        </is>
      </c>
      <c r="B366" s="1" t="n">
        <v>46037.68489583334</v>
      </c>
      <c r="C366" s="1" t="n">
        <v>46059</v>
      </c>
      <c r="D366" t="inlineStr">
        <is>
          <t>JÄMTLANDS LÄN</t>
        </is>
      </c>
      <c r="E366" t="inlineStr">
        <is>
          <t>ÖSTERSUND</t>
        </is>
      </c>
      <c r="G366" t="n">
        <v>1.7</v>
      </c>
      <c r="H366" t="n">
        <v>0</v>
      </c>
      <c r="I366" t="n">
        <v>0</v>
      </c>
      <c r="J366" t="n">
        <v>0</v>
      </c>
      <c r="K366" t="n">
        <v>0</v>
      </c>
      <c r="L366" t="n">
        <v>0</v>
      </c>
      <c r="M366" t="n">
        <v>0</v>
      </c>
      <c r="N366" t="n">
        <v>0</v>
      </c>
      <c r="O366" t="n">
        <v>0</v>
      </c>
      <c r="P366" t="n">
        <v>0</v>
      </c>
      <c r="Q366" t="n">
        <v>0</v>
      </c>
      <c r="R366" s="2" t="inlineStr"/>
    </row>
    <row r="367" ht="15" customHeight="1">
      <c r="A367" t="inlineStr">
        <is>
          <t>A 60537-2025</t>
        </is>
      </c>
      <c r="B367" s="1" t="n">
        <v>45995</v>
      </c>
      <c r="C367" s="1" t="n">
        <v>46059</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46202-2025</t>
        </is>
      </c>
      <c r="B368" s="1" t="n">
        <v>45924.70346064815</v>
      </c>
      <c r="C368" s="1" t="n">
        <v>46059</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9109-2024</t>
        </is>
      </c>
      <c r="B369" s="1" t="n">
        <v>45357.96106481482</v>
      </c>
      <c r="C369" s="1" t="n">
        <v>46059</v>
      </c>
      <c r="D369" t="inlineStr">
        <is>
          <t>JÄMTLANDS LÄN</t>
        </is>
      </c>
      <c r="E369" t="inlineStr">
        <is>
          <t>ÖSTERSUND</t>
        </is>
      </c>
      <c r="G369" t="n">
        <v>17.1</v>
      </c>
      <c r="H369" t="n">
        <v>0</v>
      </c>
      <c r="I369" t="n">
        <v>0</v>
      </c>
      <c r="J369" t="n">
        <v>0</v>
      </c>
      <c r="K369" t="n">
        <v>0</v>
      </c>
      <c r="L369" t="n">
        <v>0</v>
      </c>
      <c r="M369" t="n">
        <v>0</v>
      </c>
      <c r="N369" t="n">
        <v>0</v>
      </c>
      <c r="O369" t="n">
        <v>0</v>
      </c>
      <c r="P369" t="n">
        <v>0</v>
      </c>
      <c r="Q369" t="n">
        <v>0</v>
      </c>
      <c r="R369" s="2" t="inlineStr"/>
    </row>
    <row r="370" ht="15" customHeight="1">
      <c r="A370" t="inlineStr">
        <is>
          <t>A 2971-2026</t>
        </is>
      </c>
      <c r="B370" s="1" t="n">
        <v>46038.62047453703</v>
      </c>
      <c r="C370" s="1" t="n">
        <v>46059</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2988-2026</t>
        </is>
      </c>
      <c r="B371" s="1" t="n">
        <v>46038.6360300926</v>
      </c>
      <c r="C371" s="1" t="n">
        <v>46059</v>
      </c>
      <c r="D371" t="inlineStr">
        <is>
          <t>JÄMTLANDS LÄN</t>
        </is>
      </c>
      <c r="E371" t="inlineStr">
        <is>
          <t>ÖSTERSUND</t>
        </is>
      </c>
      <c r="G371" t="n">
        <v>1.5</v>
      </c>
      <c r="H371" t="n">
        <v>0</v>
      </c>
      <c r="I371" t="n">
        <v>0</v>
      </c>
      <c r="J371" t="n">
        <v>0</v>
      </c>
      <c r="K371" t="n">
        <v>0</v>
      </c>
      <c r="L371" t="n">
        <v>0</v>
      </c>
      <c r="M371" t="n">
        <v>0</v>
      </c>
      <c r="N371" t="n">
        <v>0</v>
      </c>
      <c r="O371" t="n">
        <v>0</v>
      </c>
      <c r="P371" t="n">
        <v>0</v>
      </c>
      <c r="Q371" t="n">
        <v>0</v>
      </c>
      <c r="R371" s="2" t="inlineStr"/>
    </row>
    <row r="372" ht="15" customHeight="1">
      <c r="A372" t="inlineStr">
        <is>
          <t>A 46132-2025</t>
        </is>
      </c>
      <c r="B372" s="1" t="n">
        <v>45924.59484953704</v>
      </c>
      <c r="C372" s="1" t="n">
        <v>46059</v>
      </c>
      <c r="D372" t="inlineStr">
        <is>
          <t>JÄMTLANDS LÄN</t>
        </is>
      </c>
      <c r="E372" t="inlineStr">
        <is>
          <t>ÖSTERSUND</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2986-2026</t>
        </is>
      </c>
      <c r="B373" s="1" t="n">
        <v>46038.6322337963</v>
      </c>
      <c r="C373" s="1" t="n">
        <v>46059</v>
      </c>
      <c r="D373" t="inlineStr">
        <is>
          <t>JÄMTLANDS LÄN</t>
        </is>
      </c>
      <c r="E373" t="inlineStr">
        <is>
          <t>ÖSTERSUND</t>
        </is>
      </c>
      <c r="G373" t="n">
        <v>8.6</v>
      </c>
      <c r="H373" t="n">
        <v>0</v>
      </c>
      <c r="I373" t="n">
        <v>0</v>
      </c>
      <c r="J373" t="n">
        <v>0</v>
      </c>
      <c r="K373" t="n">
        <v>0</v>
      </c>
      <c r="L373" t="n">
        <v>0</v>
      </c>
      <c r="M373" t="n">
        <v>0</v>
      </c>
      <c r="N373" t="n">
        <v>0</v>
      </c>
      <c r="O373" t="n">
        <v>0</v>
      </c>
      <c r="P373" t="n">
        <v>0</v>
      </c>
      <c r="Q373" t="n">
        <v>0</v>
      </c>
      <c r="R373" s="2" t="inlineStr"/>
    </row>
    <row r="374" ht="15" customHeight="1">
      <c r="A374" t="inlineStr">
        <is>
          <t>A 61256-2022</t>
        </is>
      </c>
      <c r="B374" s="1" t="n">
        <v>44909</v>
      </c>
      <c r="C374" s="1" t="n">
        <v>46059</v>
      </c>
      <c r="D374" t="inlineStr">
        <is>
          <t>JÄMTLANDS LÄN</t>
        </is>
      </c>
      <c r="E374" t="inlineStr">
        <is>
          <t>ÖSTERSUND</t>
        </is>
      </c>
      <c r="G374" t="n">
        <v>3.9</v>
      </c>
      <c r="H374" t="n">
        <v>0</v>
      </c>
      <c r="I374" t="n">
        <v>0</v>
      </c>
      <c r="J374" t="n">
        <v>0</v>
      </c>
      <c r="K374" t="n">
        <v>0</v>
      </c>
      <c r="L374" t="n">
        <v>0</v>
      </c>
      <c r="M374" t="n">
        <v>0</v>
      </c>
      <c r="N374" t="n">
        <v>0</v>
      </c>
      <c r="O374" t="n">
        <v>0</v>
      </c>
      <c r="P374" t="n">
        <v>0</v>
      </c>
      <c r="Q374" t="n">
        <v>0</v>
      </c>
      <c r="R374" s="2" t="inlineStr"/>
    </row>
    <row r="375" ht="15" customHeight="1">
      <c r="A375" t="inlineStr">
        <is>
          <t>A 2974-2026</t>
        </is>
      </c>
      <c r="B375" s="1" t="n">
        <v>46038.62193287037</v>
      </c>
      <c r="C375" s="1" t="n">
        <v>46059</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60560-2022</t>
        </is>
      </c>
      <c r="B376" s="1" t="n">
        <v>44911.54984953703</v>
      </c>
      <c r="C376" s="1" t="n">
        <v>46059</v>
      </c>
      <c r="D376" t="inlineStr">
        <is>
          <t>JÄMTLANDS LÄN</t>
        </is>
      </c>
      <c r="E376" t="inlineStr">
        <is>
          <t>ÖSTERSUND</t>
        </is>
      </c>
      <c r="G376" t="n">
        <v>0.9</v>
      </c>
      <c r="H376" t="n">
        <v>0</v>
      </c>
      <c r="I376" t="n">
        <v>0</v>
      </c>
      <c r="J376" t="n">
        <v>0</v>
      </c>
      <c r="K376" t="n">
        <v>0</v>
      </c>
      <c r="L376" t="n">
        <v>0</v>
      </c>
      <c r="M376" t="n">
        <v>0</v>
      </c>
      <c r="N376" t="n">
        <v>0</v>
      </c>
      <c r="O376" t="n">
        <v>0</v>
      </c>
      <c r="P376" t="n">
        <v>0</v>
      </c>
      <c r="Q376" t="n">
        <v>0</v>
      </c>
      <c r="R376" s="2" t="inlineStr"/>
    </row>
    <row r="377" ht="15" customHeight="1">
      <c r="A377" t="inlineStr">
        <is>
          <t>A 25187-2024</t>
        </is>
      </c>
      <c r="B377" s="1" t="n">
        <v>45462.56172453704</v>
      </c>
      <c r="C377" s="1" t="n">
        <v>46059</v>
      </c>
      <c r="D377" t="inlineStr">
        <is>
          <t>JÄMTLANDS LÄN</t>
        </is>
      </c>
      <c r="E377" t="inlineStr">
        <is>
          <t>ÖSTERSUND</t>
        </is>
      </c>
      <c r="G377" t="n">
        <v>2.4</v>
      </c>
      <c r="H377" t="n">
        <v>0</v>
      </c>
      <c r="I377" t="n">
        <v>0</v>
      </c>
      <c r="J377" t="n">
        <v>0</v>
      </c>
      <c r="K377" t="n">
        <v>0</v>
      </c>
      <c r="L377" t="n">
        <v>0</v>
      </c>
      <c r="M377" t="n">
        <v>0</v>
      </c>
      <c r="N377" t="n">
        <v>0</v>
      </c>
      <c r="O377" t="n">
        <v>0</v>
      </c>
      <c r="P377" t="n">
        <v>0</v>
      </c>
      <c r="Q377" t="n">
        <v>0</v>
      </c>
      <c r="R377" s="2" t="inlineStr"/>
    </row>
    <row r="378" ht="15" customHeight="1">
      <c r="A378" t="inlineStr">
        <is>
          <t>A 60048-2025</t>
        </is>
      </c>
      <c r="B378" s="1" t="n">
        <v>45993</v>
      </c>
      <c r="C378" s="1" t="n">
        <v>46059</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61427-2025</t>
        </is>
      </c>
      <c r="B379" s="1" t="n">
        <v>46000</v>
      </c>
      <c r="C379" s="1" t="n">
        <v>46059</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61222-2025</t>
        </is>
      </c>
      <c r="B380" s="1" t="n">
        <v>46000.62851851852</v>
      </c>
      <c r="C380" s="1" t="n">
        <v>46059</v>
      </c>
      <c r="D380" t="inlineStr">
        <is>
          <t>JÄMTLANDS LÄN</t>
        </is>
      </c>
      <c r="E380" t="inlineStr">
        <is>
          <t>ÖSTERSUND</t>
        </is>
      </c>
      <c r="G380" t="n">
        <v>9.1</v>
      </c>
      <c r="H380" t="n">
        <v>0</v>
      </c>
      <c r="I380" t="n">
        <v>0</v>
      </c>
      <c r="J380" t="n">
        <v>0</v>
      </c>
      <c r="K380" t="n">
        <v>0</v>
      </c>
      <c r="L380" t="n">
        <v>0</v>
      </c>
      <c r="M380" t="n">
        <v>0</v>
      </c>
      <c r="N380" t="n">
        <v>0</v>
      </c>
      <c r="O380" t="n">
        <v>0</v>
      </c>
      <c r="P380" t="n">
        <v>0</v>
      </c>
      <c r="Q380" t="n">
        <v>0</v>
      </c>
      <c r="R380" s="2" t="inlineStr"/>
    </row>
    <row r="381" ht="15" customHeight="1">
      <c r="A381" t="inlineStr">
        <is>
          <t>A 61235-2025</t>
        </is>
      </c>
      <c r="B381" s="1" t="n">
        <v>46000.63969907408</v>
      </c>
      <c r="C381" s="1" t="n">
        <v>46059</v>
      </c>
      <c r="D381" t="inlineStr">
        <is>
          <t>JÄMTLANDS LÄN</t>
        </is>
      </c>
      <c r="E381" t="inlineStr">
        <is>
          <t>ÖSTERSUND</t>
        </is>
      </c>
      <c r="G381" t="n">
        <v>0.8</v>
      </c>
      <c r="H381" t="n">
        <v>0</v>
      </c>
      <c r="I381" t="n">
        <v>0</v>
      </c>
      <c r="J381" t="n">
        <v>0</v>
      </c>
      <c r="K381" t="n">
        <v>0</v>
      </c>
      <c r="L381" t="n">
        <v>0</v>
      </c>
      <c r="M381" t="n">
        <v>0</v>
      </c>
      <c r="N381" t="n">
        <v>0</v>
      </c>
      <c r="O381" t="n">
        <v>0</v>
      </c>
      <c r="P381" t="n">
        <v>0</v>
      </c>
      <c r="Q381" t="n">
        <v>0</v>
      </c>
      <c r="R381" s="2" t="inlineStr"/>
    </row>
    <row r="382" ht="15" customHeight="1">
      <c r="A382" t="inlineStr">
        <is>
          <t>A 721-2026</t>
        </is>
      </c>
      <c r="B382" s="1" t="n">
        <v>46029</v>
      </c>
      <c r="C382" s="1" t="n">
        <v>46059</v>
      </c>
      <c r="D382" t="inlineStr">
        <is>
          <t>JÄMTLANDS LÄN</t>
        </is>
      </c>
      <c r="E382" t="inlineStr">
        <is>
          <t>ÖSTERSUND</t>
        </is>
      </c>
      <c r="G382" t="n">
        <v>1.6</v>
      </c>
      <c r="H382" t="n">
        <v>0</v>
      </c>
      <c r="I382" t="n">
        <v>0</v>
      </c>
      <c r="J382" t="n">
        <v>0</v>
      </c>
      <c r="K382" t="n">
        <v>0</v>
      </c>
      <c r="L382" t="n">
        <v>0</v>
      </c>
      <c r="M382" t="n">
        <v>0</v>
      </c>
      <c r="N382" t="n">
        <v>0</v>
      </c>
      <c r="O382" t="n">
        <v>0</v>
      </c>
      <c r="P382" t="n">
        <v>0</v>
      </c>
      <c r="Q382" t="n">
        <v>0</v>
      </c>
      <c r="R382" s="2" t="inlineStr"/>
    </row>
    <row r="383" ht="15" customHeight="1">
      <c r="A383" t="inlineStr">
        <is>
          <t>A 61449-2024</t>
        </is>
      </c>
      <c r="B383" s="1" t="n">
        <v>45646.48988425926</v>
      </c>
      <c r="C383" s="1" t="n">
        <v>46059</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61450-2024</t>
        </is>
      </c>
      <c r="B384" s="1" t="n">
        <v>45646.49012731481</v>
      </c>
      <c r="C384" s="1" t="n">
        <v>46059</v>
      </c>
      <c r="D384" t="inlineStr">
        <is>
          <t>JÄMTLANDS LÄN</t>
        </is>
      </c>
      <c r="E384" t="inlineStr">
        <is>
          <t>ÖSTERSUND</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61451-2024</t>
        </is>
      </c>
      <c r="B385" s="1" t="n">
        <v>45646.49017361111</v>
      </c>
      <c r="C385" s="1" t="n">
        <v>46059</v>
      </c>
      <c r="D385" t="inlineStr">
        <is>
          <t>JÄMTLANDS LÄN</t>
        </is>
      </c>
      <c r="E385" t="inlineStr">
        <is>
          <t>ÖSTERSUND</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3197-2026</t>
        </is>
      </c>
      <c r="B386" s="1" t="n">
        <v>46041.47474537037</v>
      </c>
      <c r="C386" s="1" t="n">
        <v>46059</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61330-2025</t>
        </is>
      </c>
      <c r="B387" s="1" t="n">
        <v>46001</v>
      </c>
      <c r="C387" s="1" t="n">
        <v>46059</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47575-2025</t>
        </is>
      </c>
      <c r="B388" s="1" t="n">
        <v>45931.40100694444</v>
      </c>
      <c r="C388" s="1" t="n">
        <v>46059</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47805-2024</t>
        </is>
      </c>
      <c r="B389" s="1" t="n">
        <v>45588.61512731481</v>
      </c>
      <c r="C389" s="1" t="n">
        <v>46059</v>
      </c>
      <c r="D389" t="inlineStr">
        <is>
          <t>JÄMTLANDS LÄN</t>
        </is>
      </c>
      <c r="E389" t="inlineStr">
        <is>
          <t>ÖSTERSUND</t>
        </is>
      </c>
      <c r="G389" t="n">
        <v>7.4</v>
      </c>
      <c r="H389" t="n">
        <v>0</v>
      </c>
      <c r="I389" t="n">
        <v>0</v>
      </c>
      <c r="J389" t="n">
        <v>0</v>
      </c>
      <c r="K389" t="n">
        <v>0</v>
      </c>
      <c r="L389" t="n">
        <v>0</v>
      </c>
      <c r="M389" t="n">
        <v>0</v>
      </c>
      <c r="N389" t="n">
        <v>0</v>
      </c>
      <c r="O389" t="n">
        <v>0</v>
      </c>
      <c r="P389" t="n">
        <v>0</v>
      </c>
      <c r="Q389" t="n">
        <v>0</v>
      </c>
      <c r="R389" s="2" t="inlineStr"/>
    </row>
    <row r="390" ht="15" customHeight="1">
      <c r="A390" t="inlineStr">
        <is>
          <t>A 7233-2024</t>
        </is>
      </c>
      <c r="B390" s="1" t="n">
        <v>45344</v>
      </c>
      <c r="C390" s="1" t="n">
        <v>46059</v>
      </c>
      <c r="D390" t="inlineStr">
        <is>
          <t>JÄMTLANDS LÄN</t>
        </is>
      </c>
      <c r="E390" t="inlineStr">
        <is>
          <t>ÖSTERSUND</t>
        </is>
      </c>
      <c r="G390" t="n">
        <v>1.2</v>
      </c>
      <c r="H390" t="n">
        <v>0</v>
      </c>
      <c r="I390" t="n">
        <v>0</v>
      </c>
      <c r="J390" t="n">
        <v>0</v>
      </c>
      <c r="K390" t="n">
        <v>0</v>
      </c>
      <c r="L390" t="n">
        <v>0</v>
      </c>
      <c r="M390" t="n">
        <v>0</v>
      </c>
      <c r="N390" t="n">
        <v>0</v>
      </c>
      <c r="O390" t="n">
        <v>0</v>
      </c>
      <c r="P390" t="n">
        <v>0</v>
      </c>
      <c r="Q390" t="n">
        <v>0</v>
      </c>
      <c r="R390" s="2" t="inlineStr"/>
    </row>
    <row r="391" ht="15" customHeight="1">
      <c r="A391" t="inlineStr">
        <is>
          <t>A 61267-2025</t>
        </is>
      </c>
      <c r="B391" s="1" t="n">
        <v>46000.67793981481</v>
      </c>
      <c r="C391" s="1" t="n">
        <v>46059</v>
      </c>
      <c r="D391" t="inlineStr">
        <is>
          <t>JÄMTLANDS LÄN</t>
        </is>
      </c>
      <c r="E391" t="inlineStr">
        <is>
          <t>ÖSTERSUND</t>
        </is>
      </c>
      <c r="G391" t="n">
        <v>3.6</v>
      </c>
      <c r="H391" t="n">
        <v>0</v>
      </c>
      <c r="I391" t="n">
        <v>0</v>
      </c>
      <c r="J391" t="n">
        <v>0</v>
      </c>
      <c r="K391" t="n">
        <v>0</v>
      </c>
      <c r="L391" t="n">
        <v>0</v>
      </c>
      <c r="M391" t="n">
        <v>0</v>
      </c>
      <c r="N391" t="n">
        <v>0</v>
      </c>
      <c r="O391" t="n">
        <v>0</v>
      </c>
      <c r="P391" t="n">
        <v>0</v>
      </c>
      <c r="Q391" t="n">
        <v>0</v>
      </c>
      <c r="R391" s="2" t="inlineStr"/>
    </row>
    <row r="392" ht="15" customHeight="1">
      <c r="A392" t="inlineStr">
        <is>
          <t>A 26373-2025</t>
        </is>
      </c>
      <c r="B392" s="1" t="n">
        <v>45806.40677083333</v>
      </c>
      <c r="C392" s="1" t="n">
        <v>46059</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46059</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4226-2026</t>
        </is>
      </c>
      <c r="B394" s="1" t="n">
        <v>46044.85285879629</v>
      </c>
      <c r="C394" s="1" t="n">
        <v>46059</v>
      </c>
      <c r="D394" t="inlineStr">
        <is>
          <t>JÄMTLANDS LÄN</t>
        </is>
      </c>
      <c r="E394" t="inlineStr">
        <is>
          <t>ÖSTERSUND</t>
        </is>
      </c>
      <c r="G394" t="n">
        <v>2.1</v>
      </c>
      <c r="H394" t="n">
        <v>0</v>
      </c>
      <c r="I394" t="n">
        <v>0</v>
      </c>
      <c r="J394" t="n">
        <v>0</v>
      </c>
      <c r="K394" t="n">
        <v>0</v>
      </c>
      <c r="L394" t="n">
        <v>0</v>
      </c>
      <c r="M394" t="n">
        <v>0</v>
      </c>
      <c r="N394" t="n">
        <v>0</v>
      </c>
      <c r="O394" t="n">
        <v>0</v>
      </c>
      <c r="P394" t="n">
        <v>0</v>
      </c>
      <c r="Q394" t="n">
        <v>0</v>
      </c>
      <c r="R394" s="2" t="inlineStr"/>
    </row>
    <row r="395" ht="15" customHeight="1">
      <c r="A395" t="inlineStr">
        <is>
          <t>A 47563-2025</t>
        </is>
      </c>
      <c r="B395" s="1" t="n">
        <v>45931.38956018518</v>
      </c>
      <c r="C395" s="1" t="n">
        <v>46059</v>
      </c>
      <c r="D395" t="inlineStr">
        <is>
          <t>JÄMTLANDS LÄN</t>
        </is>
      </c>
      <c r="E395" t="inlineStr">
        <is>
          <t>ÖSTERSUND</t>
        </is>
      </c>
      <c r="G395" t="n">
        <v>2.3</v>
      </c>
      <c r="H395" t="n">
        <v>0</v>
      </c>
      <c r="I395" t="n">
        <v>0</v>
      </c>
      <c r="J395" t="n">
        <v>0</v>
      </c>
      <c r="K395" t="n">
        <v>0</v>
      </c>
      <c r="L395" t="n">
        <v>0</v>
      </c>
      <c r="M395" t="n">
        <v>0</v>
      </c>
      <c r="N395" t="n">
        <v>0</v>
      </c>
      <c r="O395" t="n">
        <v>0</v>
      </c>
      <c r="P395" t="n">
        <v>0</v>
      </c>
      <c r="Q395" t="n">
        <v>0</v>
      </c>
      <c r="R395" s="2" t="inlineStr"/>
    </row>
    <row r="396" ht="15" customHeight="1">
      <c r="A396" t="inlineStr">
        <is>
          <t>A 47759-2025</t>
        </is>
      </c>
      <c r="B396" s="1" t="n">
        <v>45931.67381944445</v>
      </c>
      <c r="C396" s="1" t="n">
        <v>46059</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46732-2024</t>
        </is>
      </c>
      <c r="B397" s="1" t="n">
        <v>45583.46936342592</v>
      </c>
      <c r="C397" s="1" t="n">
        <v>46059</v>
      </c>
      <c r="D397" t="inlineStr">
        <is>
          <t>JÄMTLANDS LÄN</t>
        </is>
      </c>
      <c r="E397" t="inlineStr">
        <is>
          <t>ÖSTERSUND</t>
        </is>
      </c>
      <c r="G397" t="n">
        <v>3.3</v>
      </c>
      <c r="H397" t="n">
        <v>0</v>
      </c>
      <c r="I397" t="n">
        <v>0</v>
      </c>
      <c r="J397" t="n">
        <v>0</v>
      </c>
      <c r="K397" t="n">
        <v>0</v>
      </c>
      <c r="L397" t="n">
        <v>0</v>
      </c>
      <c r="M397" t="n">
        <v>0</v>
      </c>
      <c r="N397" t="n">
        <v>0</v>
      </c>
      <c r="O397" t="n">
        <v>0</v>
      </c>
      <c r="P397" t="n">
        <v>0</v>
      </c>
      <c r="Q397" t="n">
        <v>0</v>
      </c>
      <c r="R397" s="2" t="inlineStr"/>
    </row>
    <row r="398" ht="15" customHeight="1">
      <c r="A398" t="inlineStr">
        <is>
          <t>A 28181-2024</t>
        </is>
      </c>
      <c r="B398" s="1" t="n">
        <v>45477.28482638889</v>
      </c>
      <c r="C398" s="1" t="n">
        <v>46059</v>
      </c>
      <c r="D398" t="inlineStr">
        <is>
          <t>JÄMTLANDS LÄN</t>
        </is>
      </c>
      <c r="E398" t="inlineStr">
        <is>
          <t>ÖSTERSUND</t>
        </is>
      </c>
      <c r="G398" t="n">
        <v>0.7</v>
      </c>
      <c r="H398" t="n">
        <v>0</v>
      </c>
      <c r="I398" t="n">
        <v>0</v>
      </c>
      <c r="J398" t="n">
        <v>0</v>
      </c>
      <c r="K398" t="n">
        <v>0</v>
      </c>
      <c r="L398" t="n">
        <v>0</v>
      </c>
      <c r="M398" t="n">
        <v>0</v>
      </c>
      <c r="N398" t="n">
        <v>0</v>
      </c>
      <c r="O398" t="n">
        <v>0</v>
      </c>
      <c r="P398" t="n">
        <v>0</v>
      </c>
      <c r="Q398" t="n">
        <v>0</v>
      </c>
      <c r="R398" s="2" t="inlineStr"/>
    </row>
    <row r="399" ht="15" customHeight="1">
      <c r="A399" t="inlineStr">
        <is>
          <t>A 47579-2025</t>
        </is>
      </c>
      <c r="B399" s="1" t="n">
        <v>45931.40671296296</v>
      </c>
      <c r="C399" s="1" t="n">
        <v>46059</v>
      </c>
      <c r="D399" t="inlineStr">
        <is>
          <t>JÄMTLANDS LÄN</t>
        </is>
      </c>
      <c r="E399" t="inlineStr">
        <is>
          <t>ÖSTERSUND</t>
        </is>
      </c>
      <c r="G399" t="n">
        <v>5.8</v>
      </c>
      <c r="H399" t="n">
        <v>0</v>
      </c>
      <c r="I399" t="n">
        <v>0</v>
      </c>
      <c r="J399" t="n">
        <v>0</v>
      </c>
      <c r="K399" t="n">
        <v>0</v>
      </c>
      <c r="L399" t="n">
        <v>0</v>
      </c>
      <c r="M399" t="n">
        <v>0</v>
      </c>
      <c r="N399" t="n">
        <v>0</v>
      </c>
      <c r="O399" t="n">
        <v>0</v>
      </c>
      <c r="P399" t="n">
        <v>0</v>
      </c>
      <c r="Q399" t="n">
        <v>0</v>
      </c>
      <c r="R399" s="2" t="inlineStr"/>
    </row>
    <row r="400" ht="15" customHeight="1">
      <c r="A400" t="inlineStr">
        <is>
          <t>A 45338-2024</t>
        </is>
      </c>
      <c r="B400" s="1" t="n">
        <v>45576.46905092592</v>
      </c>
      <c r="C400" s="1" t="n">
        <v>46059</v>
      </c>
      <c r="D400" t="inlineStr">
        <is>
          <t>JÄMTLANDS LÄN</t>
        </is>
      </c>
      <c r="E400" t="inlineStr">
        <is>
          <t>ÖSTERSUND</t>
        </is>
      </c>
      <c r="G400" t="n">
        <v>1.4</v>
      </c>
      <c r="H400" t="n">
        <v>0</v>
      </c>
      <c r="I400" t="n">
        <v>0</v>
      </c>
      <c r="J400" t="n">
        <v>0</v>
      </c>
      <c r="K400" t="n">
        <v>0</v>
      </c>
      <c r="L400" t="n">
        <v>0</v>
      </c>
      <c r="M400" t="n">
        <v>0</v>
      </c>
      <c r="N400" t="n">
        <v>0</v>
      </c>
      <c r="O400" t="n">
        <v>0</v>
      </c>
      <c r="P400" t="n">
        <v>0</v>
      </c>
      <c r="Q400" t="n">
        <v>0</v>
      </c>
      <c r="R400" s="2" t="inlineStr"/>
    </row>
    <row r="401" ht="15" customHeight="1">
      <c r="A401" t="inlineStr">
        <is>
          <t>A 45895-2024</t>
        </is>
      </c>
      <c r="B401" s="1" t="n">
        <v>45580.42736111111</v>
      </c>
      <c r="C401" s="1" t="n">
        <v>46059</v>
      </c>
      <c r="D401" t="inlineStr">
        <is>
          <t>JÄMTLANDS LÄN</t>
        </is>
      </c>
      <c r="E401" t="inlineStr">
        <is>
          <t>ÖSTERSUND</t>
        </is>
      </c>
      <c r="G401" t="n">
        <v>1.2</v>
      </c>
      <c r="H401" t="n">
        <v>0</v>
      </c>
      <c r="I401" t="n">
        <v>0</v>
      </c>
      <c r="J401" t="n">
        <v>0</v>
      </c>
      <c r="K401" t="n">
        <v>0</v>
      </c>
      <c r="L401" t="n">
        <v>0</v>
      </c>
      <c r="M401" t="n">
        <v>0</v>
      </c>
      <c r="N401" t="n">
        <v>0</v>
      </c>
      <c r="O401" t="n">
        <v>0</v>
      </c>
      <c r="P401" t="n">
        <v>0</v>
      </c>
      <c r="Q401" t="n">
        <v>0</v>
      </c>
      <c r="R401" s="2" t="inlineStr"/>
    </row>
    <row r="402" ht="15" customHeight="1">
      <c r="A402" t="inlineStr">
        <is>
          <t>A 55302-2021</t>
        </is>
      </c>
      <c r="B402" s="1" t="n">
        <v>44475</v>
      </c>
      <c r="C402" s="1" t="n">
        <v>46059</v>
      </c>
      <c r="D402" t="inlineStr">
        <is>
          <t>JÄMTLANDS LÄN</t>
        </is>
      </c>
      <c r="E402" t="inlineStr">
        <is>
          <t>ÖSTERSUND</t>
        </is>
      </c>
      <c r="G402" t="n">
        <v>0.3</v>
      </c>
      <c r="H402" t="n">
        <v>0</v>
      </c>
      <c r="I402" t="n">
        <v>0</v>
      </c>
      <c r="J402" t="n">
        <v>0</v>
      </c>
      <c r="K402" t="n">
        <v>0</v>
      </c>
      <c r="L402" t="n">
        <v>0</v>
      </c>
      <c r="M402" t="n">
        <v>0</v>
      </c>
      <c r="N402" t="n">
        <v>0</v>
      </c>
      <c r="O402" t="n">
        <v>0</v>
      </c>
      <c r="P402" t="n">
        <v>0</v>
      </c>
      <c r="Q402" t="n">
        <v>0</v>
      </c>
      <c r="R402" s="2" t="inlineStr"/>
    </row>
    <row r="403" ht="15" customHeight="1">
      <c r="A403" t="inlineStr">
        <is>
          <t>A 56811-2025</t>
        </is>
      </c>
      <c r="B403" s="1" t="n">
        <v>45978.45540509259</v>
      </c>
      <c r="C403" s="1" t="n">
        <v>46059</v>
      </c>
      <c r="D403" t="inlineStr">
        <is>
          <t>JÄMTLANDS LÄN</t>
        </is>
      </c>
      <c r="E403" t="inlineStr">
        <is>
          <t>ÖSTERSUND</t>
        </is>
      </c>
      <c r="G403" t="n">
        <v>0.7</v>
      </c>
      <c r="H403" t="n">
        <v>0</v>
      </c>
      <c r="I403" t="n">
        <v>0</v>
      </c>
      <c r="J403" t="n">
        <v>0</v>
      </c>
      <c r="K403" t="n">
        <v>0</v>
      </c>
      <c r="L403" t="n">
        <v>0</v>
      </c>
      <c r="M403" t="n">
        <v>0</v>
      </c>
      <c r="N403" t="n">
        <v>0</v>
      </c>
      <c r="O403" t="n">
        <v>0</v>
      </c>
      <c r="P403" t="n">
        <v>0</v>
      </c>
      <c r="Q403" t="n">
        <v>0</v>
      </c>
      <c r="R403" s="2" t="inlineStr"/>
    </row>
    <row r="404" ht="15" customHeight="1">
      <c r="A404" t="inlineStr">
        <is>
          <t>A 846-2024</t>
        </is>
      </c>
      <c r="B404" s="1" t="n">
        <v>45300</v>
      </c>
      <c r="C404" s="1" t="n">
        <v>46059</v>
      </c>
      <c r="D404" t="inlineStr">
        <is>
          <t>JÄMTLANDS LÄN</t>
        </is>
      </c>
      <c r="E404" t="inlineStr">
        <is>
          <t>ÖSTERSUND</t>
        </is>
      </c>
      <c r="G404" t="n">
        <v>2.8</v>
      </c>
      <c r="H404" t="n">
        <v>0</v>
      </c>
      <c r="I404" t="n">
        <v>0</v>
      </c>
      <c r="J404" t="n">
        <v>0</v>
      </c>
      <c r="K404" t="n">
        <v>0</v>
      </c>
      <c r="L404" t="n">
        <v>0</v>
      </c>
      <c r="M404" t="n">
        <v>0</v>
      </c>
      <c r="N404" t="n">
        <v>0</v>
      </c>
      <c r="O404" t="n">
        <v>0</v>
      </c>
      <c r="P404" t="n">
        <v>0</v>
      </c>
      <c r="Q404" t="n">
        <v>0</v>
      </c>
      <c r="R404" s="2" t="inlineStr"/>
    </row>
    <row r="405" ht="15" customHeight="1">
      <c r="A405" t="inlineStr">
        <is>
          <t>A 48737-2024</t>
        </is>
      </c>
      <c r="B405" s="1" t="n">
        <v>45593.57327546296</v>
      </c>
      <c r="C405" s="1" t="n">
        <v>46059</v>
      </c>
      <c r="D405" t="inlineStr">
        <is>
          <t>JÄMTLANDS LÄN</t>
        </is>
      </c>
      <c r="E405" t="inlineStr">
        <is>
          <t>ÖSTERSUND</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27118-2023</t>
        </is>
      </c>
      <c r="B406" s="1" t="n">
        <v>45096</v>
      </c>
      <c r="C406" s="1" t="n">
        <v>46059</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61611-2025</t>
        </is>
      </c>
      <c r="B407" s="1" t="n">
        <v>46002</v>
      </c>
      <c r="C407" s="1" t="n">
        <v>46059</v>
      </c>
      <c r="D407" t="inlineStr">
        <is>
          <t>JÄMTLANDS LÄN</t>
        </is>
      </c>
      <c r="E407" t="inlineStr">
        <is>
          <t>ÖSTERSUND</t>
        </is>
      </c>
      <c r="G407" t="n">
        <v>5</v>
      </c>
      <c r="H407" t="n">
        <v>0</v>
      </c>
      <c r="I407" t="n">
        <v>0</v>
      </c>
      <c r="J407" t="n">
        <v>0</v>
      </c>
      <c r="K407" t="n">
        <v>0</v>
      </c>
      <c r="L407" t="n">
        <v>0</v>
      </c>
      <c r="M407" t="n">
        <v>0</v>
      </c>
      <c r="N407" t="n">
        <v>0</v>
      </c>
      <c r="O407" t="n">
        <v>0</v>
      </c>
      <c r="P407" t="n">
        <v>0</v>
      </c>
      <c r="Q407" t="n">
        <v>0</v>
      </c>
      <c r="R407" s="2" t="inlineStr"/>
    </row>
    <row r="408" ht="15" customHeight="1">
      <c r="A408" t="inlineStr">
        <is>
          <t>A 4294-2026</t>
        </is>
      </c>
      <c r="B408" s="1" t="n">
        <v>46045.41643518519</v>
      </c>
      <c r="C408" s="1" t="n">
        <v>46059</v>
      </c>
      <c r="D408" t="inlineStr">
        <is>
          <t>JÄMTLANDS LÄN</t>
        </is>
      </c>
      <c r="E408" t="inlineStr">
        <is>
          <t>ÖSTERSUND</t>
        </is>
      </c>
      <c r="G408" t="n">
        <v>21.6</v>
      </c>
      <c r="H408" t="n">
        <v>0</v>
      </c>
      <c r="I408" t="n">
        <v>0</v>
      </c>
      <c r="J408" t="n">
        <v>0</v>
      </c>
      <c r="K408" t="n">
        <v>0</v>
      </c>
      <c r="L408" t="n">
        <v>0</v>
      </c>
      <c r="M408" t="n">
        <v>0</v>
      </c>
      <c r="N408" t="n">
        <v>0</v>
      </c>
      <c r="O408" t="n">
        <v>0</v>
      </c>
      <c r="P408" t="n">
        <v>0</v>
      </c>
      <c r="Q408" t="n">
        <v>0</v>
      </c>
      <c r="R408" s="2" t="inlineStr"/>
    </row>
    <row r="409" ht="15" customHeight="1">
      <c r="A409" t="inlineStr">
        <is>
          <t>A 53060-2024</t>
        </is>
      </c>
      <c r="B409" s="1" t="n">
        <v>45611.46912037037</v>
      </c>
      <c r="C409" s="1" t="n">
        <v>46059</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61982-2025</t>
        </is>
      </c>
      <c r="B410" s="1" t="n">
        <v>46003.6159375</v>
      </c>
      <c r="C410" s="1" t="n">
        <v>46059</v>
      </c>
      <c r="D410" t="inlineStr">
        <is>
          <t>JÄMTLANDS LÄN</t>
        </is>
      </c>
      <c r="E410" t="inlineStr">
        <is>
          <t>ÖSTERSUND</t>
        </is>
      </c>
      <c r="G410" t="n">
        <v>4.7</v>
      </c>
      <c r="H410" t="n">
        <v>0</v>
      </c>
      <c r="I410" t="n">
        <v>0</v>
      </c>
      <c r="J410" t="n">
        <v>0</v>
      </c>
      <c r="K410" t="n">
        <v>0</v>
      </c>
      <c r="L410" t="n">
        <v>0</v>
      </c>
      <c r="M410" t="n">
        <v>0</v>
      </c>
      <c r="N410" t="n">
        <v>0</v>
      </c>
      <c r="O410" t="n">
        <v>0</v>
      </c>
      <c r="P410" t="n">
        <v>0</v>
      </c>
      <c r="Q410" t="n">
        <v>0</v>
      </c>
      <c r="R410" s="2" t="inlineStr"/>
    </row>
    <row r="411" ht="15" customHeight="1">
      <c r="A411" t="inlineStr">
        <is>
          <t>A 61944-2025</t>
        </is>
      </c>
      <c r="B411" s="1" t="n">
        <v>46003.56467592593</v>
      </c>
      <c r="C411" s="1" t="n">
        <v>46059</v>
      </c>
      <c r="D411" t="inlineStr">
        <is>
          <t>JÄMTLANDS LÄN</t>
        </is>
      </c>
      <c r="E411" t="inlineStr">
        <is>
          <t>ÖSTERSUND</t>
        </is>
      </c>
      <c r="G411" t="n">
        <v>0.8</v>
      </c>
      <c r="H411" t="n">
        <v>0</v>
      </c>
      <c r="I411" t="n">
        <v>0</v>
      </c>
      <c r="J411" t="n">
        <v>0</v>
      </c>
      <c r="K411" t="n">
        <v>0</v>
      </c>
      <c r="L411" t="n">
        <v>0</v>
      </c>
      <c r="M411" t="n">
        <v>0</v>
      </c>
      <c r="N411" t="n">
        <v>0</v>
      </c>
      <c r="O411" t="n">
        <v>0</v>
      </c>
      <c r="P411" t="n">
        <v>0</v>
      </c>
      <c r="Q411" t="n">
        <v>0</v>
      </c>
      <c r="R411" s="2" t="inlineStr"/>
    </row>
    <row r="412" ht="15" customHeight="1">
      <c r="A412" t="inlineStr">
        <is>
          <t>A 4382-2026</t>
        </is>
      </c>
      <c r="B412" s="1" t="n">
        <v>46045.56253472222</v>
      </c>
      <c r="C412" s="1" t="n">
        <v>46059</v>
      </c>
      <c r="D412" t="inlineStr">
        <is>
          <t>JÄMTLANDS LÄN</t>
        </is>
      </c>
      <c r="E412" t="inlineStr">
        <is>
          <t>ÖSTERSUND</t>
        </is>
      </c>
      <c r="G412" t="n">
        <v>13.5</v>
      </c>
      <c r="H412" t="n">
        <v>0</v>
      </c>
      <c r="I412" t="n">
        <v>0</v>
      </c>
      <c r="J412" t="n">
        <v>0</v>
      </c>
      <c r="K412" t="n">
        <v>0</v>
      </c>
      <c r="L412" t="n">
        <v>0</v>
      </c>
      <c r="M412" t="n">
        <v>0</v>
      </c>
      <c r="N412" t="n">
        <v>0</v>
      </c>
      <c r="O412" t="n">
        <v>0</v>
      </c>
      <c r="P412" t="n">
        <v>0</v>
      </c>
      <c r="Q412" t="n">
        <v>0</v>
      </c>
      <c r="R412" s="2" t="inlineStr"/>
    </row>
    <row r="413" ht="15" customHeight="1">
      <c r="A413" t="inlineStr">
        <is>
          <t>A 6013-2022</t>
        </is>
      </c>
      <c r="B413" s="1" t="n">
        <v>44599.45850694444</v>
      </c>
      <c r="C413" s="1" t="n">
        <v>46059</v>
      </c>
      <c r="D413" t="inlineStr">
        <is>
          <t>JÄMTLANDS LÄN</t>
        </is>
      </c>
      <c r="E413" t="inlineStr">
        <is>
          <t>ÖSTERSUND</t>
        </is>
      </c>
      <c r="G413" t="n">
        <v>2.5</v>
      </c>
      <c r="H413" t="n">
        <v>0</v>
      </c>
      <c r="I413" t="n">
        <v>0</v>
      </c>
      <c r="J413" t="n">
        <v>0</v>
      </c>
      <c r="K413" t="n">
        <v>0</v>
      </c>
      <c r="L413" t="n">
        <v>0</v>
      </c>
      <c r="M413" t="n">
        <v>0</v>
      </c>
      <c r="N413" t="n">
        <v>0</v>
      </c>
      <c r="O413" t="n">
        <v>0</v>
      </c>
      <c r="P413" t="n">
        <v>0</v>
      </c>
      <c r="Q413" t="n">
        <v>0</v>
      </c>
      <c r="R413" s="2" t="inlineStr"/>
    </row>
    <row r="414" ht="15" customHeight="1">
      <c r="A414" t="inlineStr">
        <is>
          <t>A 39493-2023</t>
        </is>
      </c>
      <c r="B414" s="1" t="n">
        <v>45166.9569675926</v>
      </c>
      <c r="C414" s="1" t="n">
        <v>46059</v>
      </c>
      <c r="D414" t="inlineStr">
        <is>
          <t>JÄMTLANDS LÄN</t>
        </is>
      </c>
      <c r="E414" t="inlineStr">
        <is>
          <t>ÖSTERSUND</t>
        </is>
      </c>
      <c r="F414" t="inlineStr">
        <is>
          <t>SCA</t>
        </is>
      </c>
      <c r="G414" t="n">
        <v>4.5</v>
      </c>
      <c r="H414" t="n">
        <v>0</v>
      </c>
      <c r="I414" t="n">
        <v>0</v>
      </c>
      <c r="J414" t="n">
        <v>0</v>
      </c>
      <c r="K414" t="n">
        <v>0</v>
      </c>
      <c r="L414" t="n">
        <v>0</v>
      </c>
      <c r="M414" t="n">
        <v>0</v>
      </c>
      <c r="N414" t="n">
        <v>0</v>
      </c>
      <c r="O414" t="n">
        <v>0</v>
      </c>
      <c r="P414" t="n">
        <v>0</v>
      </c>
      <c r="Q414" t="n">
        <v>0</v>
      </c>
      <c r="R414" s="2" t="inlineStr"/>
    </row>
    <row r="415" ht="15" customHeight="1">
      <c r="A415" t="inlineStr">
        <is>
          <t>A 4775-2026</t>
        </is>
      </c>
      <c r="B415" s="1" t="n">
        <v>46045</v>
      </c>
      <c r="C415" s="1" t="n">
        <v>46059</v>
      </c>
      <c r="D415" t="inlineStr">
        <is>
          <t>JÄMTLANDS LÄN</t>
        </is>
      </c>
      <c r="E415" t="inlineStr">
        <is>
          <t>ÖSTERSUND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4423-2026</t>
        </is>
      </c>
      <c r="B416" s="1" t="n">
        <v>46045.61509259259</v>
      </c>
      <c r="C416" s="1" t="n">
        <v>46059</v>
      </c>
      <c r="D416" t="inlineStr">
        <is>
          <t>JÄMTLANDS LÄN</t>
        </is>
      </c>
      <c r="E416" t="inlineStr">
        <is>
          <t>ÖSTERSUND</t>
        </is>
      </c>
      <c r="G416" t="n">
        <v>1.3</v>
      </c>
      <c r="H416" t="n">
        <v>0</v>
      </c>
      <c r="I416" t="n">
        <v>0</v>
      </c>
      <c r="J416" t="n">
        <v>0</v>
      </c>
      <c r="K416" t="n">
        <v>0</v>
      </c>
      <c r="L416" t="n">
        <v>0</v>
      </c>
      <c r="M416" t="n">
        <v>0</v>
      </c>
      <c r="N416" t="n">
        <v>0</v>
      </c>
      <c r="O416" t="n">
        <v>0</v>
      </c>
      <c r="P416" t="n">
        <v>0</v>
      </c>
      <c r="Q416" t="n">
        <v>0</v>
      </c>
      <c r="R416" s="2" t="inlineStr"/>
    </row>
    <row r="417" ht="15" customHeight="1">
      <c r="A417" t="inlineStr">
        <is>
          <t>A 49039-2025</t>
        </is>
      </c>
      <c r="B417" s="1" t="n">
        <v>45937.63275462963</v>
      </c>
      <c r="C417" s="1" t="n">
        <v>46059</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57268-2025</t>
        </is>
      </c>
      <c r="B418" s="1" t="n">
        <v>45979.6756712963</v>
      </c>
      <c r="C418" s="1" t="n">
        <v>46059</v>
      </c>
      <c r="D418" t="inlineStr">
        <is>
          <t>JÄMTLANDS LÄN</t>
        </is>
      </c>
      <c r="E418" t="inlineStr">
        <is>
          <t>ÖSTERSUND</t>
        </is>
      </c>
      <c r="F418" t="inlineStr">
        <is>
          <t>Kommuner</t>
        </is>
      </c>
      <c r="G418" t="n">
        <v>0.7</v>
      </c>
      <c r="H418" t="n">
        <v>0</v>
      </c>
      <c r="I418" t="n">
        <v>0</v>
      </c>
      <c r="J418" t="n">
        <v>0</v>
      </c>
      <c r="K418" t="n">
        <v>0</v>
      </c>
      <c r="L418" t="n">
        <v>0</v>
      </c>
      <c r="M418" t="n">
        <v>0</v>
      </c>
      <c r="N418" t="n">
        <v>0</v>
      </c>
      <c r="O418" t="n">
        <v>0</v>
      </c>
      <c r="P418" t="n">
        <v>0</v>
      </c>
      <c r="Q418" t="n">
        <v>0</v>
      </c>
      <c r="R418" s="2" t="inlineStr"/>
    </row>
    <row r="419" ht="15" customHeight="1">
      <c r="A419" t="inlineStr">
        <is>
          <t>A 48893-2025</t>
        </is>
      </c>
      <c r="B419" s="1" t="n">
        <v>45937.47302083333</v>
      </c>
      <c r="C419" s="1" t="n">
        <v>46059</v>
      </c>
      <c r="D419" t="inlineStr">
        <is>
          <t>JÄMTLANDS LÄN</t>
        </is>
      </c>
      <c r="E419" t="inlineStr">
        <is>
          <t>ÖSTERSUND</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4406-2026</t>
        </is>
      </c>
      <c r="B420" s="1" t="n">
        <v>46045.59430555555</v>
      </c>
      <c r="C420" s="1" t="n">
        <v>46059</v>
      </c>
      <c r="D420" t="inlineStr">
        <is>
          <t>JÄMTLANDS LÄN</t>
        </is>
      </c>
      <c r="E420" t="inlineStr">
        <is>
          <t>ÖSTERSUND</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62176-2025</t>
        </is>
      </c>
      <c r="B421" s="1" t="n">
        <v>46006.51157407407</v>
      </c>
      <c r="C421" s="1" t="n">
        <v>46059</v>
      </c>
      <c r="D421" t="inlineStr">
        <is>
          <t>JÄMTLANDS LÄN</t>
        </is>
      </c>
      <c r="E421" t="inlineStr">
        <is>
          <t>ÖSTERSUND</t>
        </is>
      </c>
      <c r="G421" t="n">
        <v>0.7</v>
      </c>
      <c r="H421" t="n">
        <v>0</v>
      </c>
      <c r="I421" t="n">
        <v>0</v>
      </c>
      <c r="J421" t="n">
        <v>0</v>
      </c>
      <c r="K421" t="n">
        <v>0</v>
      </c>
      <c r="L421" t="n">
        <v>0</v>
      </c>
      <c r="M421" t="n">
        <v>0</v>
      </c>
      <c r="N421" t="n">
        <v>0</v>
      </c>
      <c r="O421" t="n">
        <v>0</v>
      </c>
      <c r="P421" t="n">
        <v>0</v>
      </c>
      <c r="Q421" t="n">
        <v>0</v>
      </c>
      <c r="R421" s="2" t="inlineStr"/>
    </row>
    <row r="422" ht="15" customHeight="1">
      <c r="A422" t="inlineStr">
        <is>
          <t>A 61964-2025</t>
        </is>
      </c>
      <c r="B422" s="1" t="n">
        <v>46003</v>
      </c>
      <c r="C422" s="1" t="n">
        <v>46059</v>
      </c>
      <c r="D422" t="inlineStr">
        <is>
          <t>JÄMTLANDS LÄN</t>
        </is>
      </c>
      <c r="E422" t="inlineStr">
        <is>
          <t>ÖSTERSUND</t>
        </is>
      </c>
      <c r="G422" t="n">
        <v>16.5</v>
      </c>
      <c r="H422" t="n">
        <v>0</v>
      </c>
      <c r="I422" t="n">
        <v>0</v>
      </c>
      <c r="J422" t="n">
        <v>0</v>
      </c>
      <c r="K422" t="n">
        <v>0</v>
      </c>
      <c r="L422" t="n">
        <v>0</v>
      </c>
      <c r="M422" t="n">
        <v>0</v>
      </c>
      <c r="N422" t="n">
        <v>0</v>
      </c>
      <c r="O422" t="n">
        <v>0</v>
      </c>
      <c r="P422" t="n">
        <v>0</v>
      </c>
      <c r="Q422" t="n">
        <v>0</v>
      </c>
      <c r="R422" s="2" t="inlineStr"/>
    </row>
    <row r="423" ht="15" customHeight="1">
      <c r="A423" t="inlineStr">
        <is>
          <t>A 49576-2025</t>
        </is>
      </c>
      <c r="B423" s="1" t="n">
        <v>45939</v>
      </c>
      <c r="C423" s="1" t="n">
        <v>46059</v>
      </c>
      <c r="D423" t="inlineStr">
        <is>
          <t>JÄMTLANDS LÄN</t>
        </is>
      </c>
      <c r="E423" t="inlineStr">
        <is>
          <t>ÖSTERSUND</t>
        </is>
      </c>
      <c r="F423" t="inlineStr">
        <is>
          <t>SCA</t>
        </is>
      </c>
      <c r="G423" t="n">
        <v>17.1</v>
      </c>
      <c r="H423" t="n">
        <v>0</v>
      </c>
      <c r="I423" t="n">
        <v>0</v>
      </c>
      <c r="J423" t="n">
        <v>0</v>
      </c>
      <c r="K423" t="n">
        <v>0</v>
      </c>
      <c r="L423" t="n">
        <v>0</v>
      </c>
      <c r="M423" t="n">
        <v>0</v>
      </c>
      <c r="N423" t="n">
        <v>0</v>
      </c>
      <c r="O423" t="n">
        <v>0</v>
      </c>
      <c r="P423" t="n">
        <v>0</v>
      </c>
      <c r="Q423" t="n">
        <v>0</v>
      </c>
      <c r="R423" s="2" t="inlineStr"/>
    </row>
    <row r="424" ht="15" customHeight="1">
      <c r="A424" t="inlineStr">
        <is>
          <t>A 61836-2025</t>
        </is>
      </c>
      <c r="B424" s="1" t="n">
        <v>46003</v>
      </c>
      <c r="C424" s="1" t="n">
        <v>46059</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16306-2025</t>
        </is>
      </c>
      <c r="B425" s="1" t="n">
        <v>45751.34664351852</v>
      </c>
      <c r="C425" s="1" t="n">
        <v>46059</v>
      </c>
      <c r="D425" t="inlineStr">
        <is>
          <t>JÄMTLANDS LÄN</t>
        </is>
      </c>
      <c r="E425" t="inlineStr">
        <is>
          <t>ÖSTERSUND</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62175-2025</t>
        </is>
      </c>
      <c r="B426" s="1" t="n">
        <v>46006.51155092593</v>
      </c>
      <c r="C426" s="1" t="n">
        <v>46059</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61985-2025</t>
        </is>
      </c>
      <c r="B427" s="1" t="n">
        <v>46003.62509259259</v>
      </c>
      <c r="C427" s="1" t="n">
        <v>46059</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49572-2025</t>
        </is>
      </c>
      <c r="B428" s="1" t="n">
        <v>45939.49018518518</v>
      </c>
      <c r="C428" s="1" t="n">
        <v>46059</v>
      </c>
      <c r="D428" t="inlineStr">
        <is>
          <t>JÄMTLANDS LÄN</t>
        </is>
      </c>
      <c r="E428" t="inlineStr">
        <is>
          <t>ÖSTERSUND</t>
        </is>
      </c>
      <c r="G428" t="n">
        <v>1.4</v>
      </c>
      <c r="H428" t="n">
        <v>0</v>
      </c>
      <c r="I428" t="n">
        <v>0</v>
      </c>
      <c r="J428" t="n">
        <v>0</v>
      </c>
      <c r="K428" t="n">
        <v>0</v>
      </c>
      <c r="L428" t="n">
        <v>0</v>
      </c>
      <c r="M428" t="n">
        <v>0</v>
      </c>
      <c r="N428" t="n">
        <v>0</v>
      </c>
      <c r="O428" t="n">
        <v>0</v>
      </c>
      <c r="P428" t="n">
        <v>0</v>
      </c>
      <c r="Q428" t="n">
        <v>0</v>
      </c>
      <c r="R428" s="2" t="inlineStr"/>
    </row>
    <row r="429" ht="15" customHeight="1">
      <c r="A429" t="inlineStr">
        <is>
          <t>A 61849-2025</t>
        </is>
      </c>
      <c r="B429" s="1" t="n">
        <v>46003.38026620371</v>
      </c>
      <c r="C429" s="1" t="n">
        <v>46059</v>
      </c>
      <c r="D429" t="inlineStr">
        <is>
          <t>JÄMTLANDS LÄN</t>
        </is>
      </c>
      <c r="E429" t="inlineStr">
        <is>
          <t>ÖSTERSUND</t>
        </is>
      </c>
      <c r="G429" t="n">
        <v>5.5</v>
      </c>
      <c r="H429" t="n">
        <v>0</v>
      </c>
      <c r="I429" t="n">
        <v>0</v>
      </c>
      <c r="J429" t="n">
        <v>0</v>
      </c>
      <c r="K429" t="n">
        <v>0</v>
      </c>
      <c r="L429" t="n">
        <v>0</v>
      </c>
      <c r="M429" t="n">
        <v>0</v>
      </c>
      <c r="N429" t="n">
        <v>0</v>
      </c>
      <c r="O429" t="n">
        <v>0</v>
      </c>
      <c r="P429" t="n">
        <v>0</v>
      </c>
      <c r="Q429" t="n">
        <v>0</v>
      </c>
      <c r="R429" s="2" t="inlineStr"/>
    </row>
    <row r="430" ht="15" customHeight="1">
      <c r="A430" t="inlineStr">
        <is>
          <t>A 50168-2025</t>
        </is>
      </c>
      <c r="B430" s="1" t="n">
        <v>45943.59442129629</v>
      </c>
      <c r="C430" s="1" t="n">
        <v>46059</v>
      </c>
      <c r="D430" t="inlineStr">
        <is>
          <t>JÄMTLANDS LÄN</t>
        </is>
      </c>
      <c r="E430" t="inlineStr">
        <is>
          <t>ÖSTERSUND</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5360-2026</t>
        </is>
      </c>
      <c r="B431" s="1" t="n">
        <v>46050.44859953703</v>
      </c>
      <c r="C431" s="1" t="n">
        <v>46059</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58952-2024</t>
        </is>
      </c>
      <c r="B432" s="1" t="n">
        <v>45636.5674537037</v>
      </c>
      <c r="C432" s="1" t="n">
        <v>46059</v>
      </c>
      <c r="D432" t="inlineStr">
        <is>
          <t>JÄMTLANDS LÄN</t>
        </is>
      </c>
      <c r="E432" t="inlineStr">
        <is>
          <t>ÖSTERSUND</t>
        </is>
      </c>
      <c r="G432" t="n">
        <v>3.7</v>
      </c>
      <c r="H432" t="n">
        <v>0</v>
      </c>
      <c r="I432" t="n">
        <v>0</v>
      </c>
      <c r="J432" t="n">
        <v>0</v>
      </c>
      <c r="K432" t="n">
        <v>0</v>
      </c>
      <c r="L432" t="n">
        <v>0</v>
      </c>
      <c r="M432" t="n">
        <v>0</v>
      </c>
      <c r="N432" t="n">
        <v>0</v>
      </c>
      <c r="O432" t="n">
        <v>0</v>
      </c>
      <c r="P432" t="n">
        <v>0</v>
      </c>
      <c r="Q432" t="n">
        <v>0</v>
      </c>
      <c r="R432" s="2" t="inlineStr"/>
    </row>
    <row r="433" ht="15" customHeight="1">
      <c r="A433" t="inlineStr">
        <is>
          <t>A 4936-2026</t>
        </is>
      </c>
      <c r="B433" s="1" t="n">
        <v>46048.89435185185</v>
      </c>
      <c r="C433" s="1" t="n">
        <v>46059</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50428-2025</t>
        </is>
      </c>
      <c r="B434" s="1" t="n">
        <v>45944.67787037037</v>
      </c>
      <c r="C434" s="1" t="n">
        <v>46059</v>
      </c>
      <c r="D434" t="inlineStr">
        <is>
          <t>JÄMTLANDS LÄN</t>
        </is>
      </c>
      <c r="E434" t="inlineStr">
        <is>
          <t>ÖSTERSUND</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62509-2025</t>
        </is>
      </c>
      <c r="B435" s="1" t="n">
        <v>46007.5958912037</v>
      </c>
      <c r="C435" s="1" t="n">
        <v>46059</v>
      </c>
      <c r="D435" t="inlineStr">
        <is>
          <t>JÄMTLANDS LÄN</t>
        </is>
      </c>
      <c r="E435" t="inlineStr">
        <is>
          <t>ÖSTERSUND</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62622-2025</t>
        </is>
      </c>
      <c r="B436" s="1" t="n">
        <v>46008.34438657408</v>
      </c>
      <c r="C436" s="1" t="n">
        <v>46059</v>
      </c>
      <c r="D436" t="inlineStr">
        <is>
          <t>JÄMTLANDS LÄN</t>
        </is>
      </c>
      <c r="E436" t="inlineStr">
        <is>
          <t>ÖSTERSUND</t>
        </is>
      </c>
      <c r="G436" t="n">
        <v>7.4</v>
      </c>
      <c r="H436" t="n">
        <v>0</v>
      </c>
      <c r="I436" t="n">
        <v>0</v>
      </c>
      <c r="J436" t="n">
        <v>0</v>
      </c>
      <c r="K436" t="n">
        <v>0</v>
      </c>
      <c r="L436" t="n">
        <v>0</v>
      </c>
      <c r="M436" t="n">
        <v>0</v>
      </c>
      <c r="N436" t="n">
        <v>0</v>
      </c>
      <c r="O436" t="n">
        <v>0</v>
      </c>
      <c r="P436" t="n">
        <v>0</v>
      </c>
      <c r="Q436" t="n">
        <v>0</v>
      </c>
      <c r="R436" s="2" t="inlineStr"/>
    </row>
    <row r="437" ht="15" customHeight="1">
      <c r="A437" t="inlineStr">
        <is>
          <t>A 62623-2025</t>
        </is>
      </c>
      <c r="B437" s="1" t="n">
        <v>46008.34443287037</v>
      </c>
      <c r="C437" s="1" t="n">
        <v>46059</v>
      </c>
      <c r="D437" t="inlineStr">
        <is>
          <t>JÄMTLANDS LÄN</t>
        </is>
      </c>
      <c r="E437" t="inlineStr">
        <is>
          <t>ÖSTERSUND</t>
        </is>
      </c>
      <c r="G437" t="n">
        <v>7.9</v>
      </c>
      <c r="H437" t="n">
        <v>0</v>
      </c>
      <c r="I437" t="n">
        <v>0</v>
      </c>
      <c r="J437" t="n">
        <v>0</v>
      </c>
      <c r="K437" t="n">
        <v>0</v>
      </c>
      <c r="L437" t="n">
        <v>0</v>
      </c>
      <c r="M437" t="n">
        <v>0</v>
      </c>
      <c r="N437" t="n">
        <v>0</v>
      </c>
      <c r="O437" t="n">
        <v>0</v>
      </c>
      <c r="P437" t="n">
        <v>0</v>
      </c>
      <c r="Q437" t="n">
        <v>0</v>
      </c>
      <c r="R437" s="2" t="inlineStr"/>
    </row>
    <row r="438" ht="15" customHeight="1">
      <c r="A438" t="inlineStr">
        <is>
          <t>A 62369-2025</t>
        </is>
      </c>
      <c r="B438" s="1" t="n">
        <v>46007.33719907407</v>
      </c>
      <c r="C438" s="1" t="n">
        <v>46059</v>
      </c>
      <c r="D438" t="inlineStr">
        <is>
          <t>JÄMTLANDS LÄN</t>
        </is>
      </c>
      <c r="E438" t="inlineStr">
        <is>
          <t>ÖSTERSUND</t>
        </is>
      </c>
      <c r="F438" t="inlineStr">
        <is>
          <t>Sveaskog</t>
        </is>
      </c>
      <c r="G438" t="n">
        <v>20.3</v>
      </c>
      <c r="H438" t="n">
        <v>0</v>
      </c>
      <c r="I438" t="n">
        <v>0</v>
      </c>
      <c r="J438" t="n">
        <v>0</v>
      </c>
      <c r="K438" t="n">
        <v>0</v>
      </c>
      <c r="L438" t="n">
        <v>0</v>
      </c>
      <c r="M438" t="n">
        <v>0</v>
      </c>
      <c r="N438" t="n">
        <v>0</v>
      </c>
      <c r="O438" t="n">
        <v>0</v>
      </c>
      <c r="P438" t="n">
        <v>0</v>
      </c>
      <c r="Q438" t="n">
        <v>0</v>
      </c>
      <c r="R438" s="2" t="inlineStr"/>
    </row>
    <row r="439" ht="15" customHeight="1">
      <c r="A439" t="inlineStr">
        <is>
          <t>A 43082-2024</t>
        </is>
      </c>
      <c r="B439" s="1" t="n">
        <v>45567.51068287037</v>
      </c>
      <c r="C439" s="1" t="n">
        <v>46059</v>
      </c>
      <c r="D439" t="inlineStr">
        <is>
          <t>JÄMTLANDS LÄN</t>
        </is>
      </c>
      <c r="E439" t="inlineStr">
        <is>
          <t>ÖSTERSUND</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62437-2025</t>
        </is>
      </c>
      <c r="B440" s="1" t="n">
        <v>46007.46907407408</v>
      </c>
      <c r="C440" s="1" t="n">
        <v>46059</v>
      </c>
      <c r="D440" t="inlineStr">
        <is>
          <t>JÄMTLANDS LÄN</t>
        </is>
      </c>
      <c r="E440" t="inlineStr">
        <is>
          <t>ÖSTERSUND</t>
        </is>
      </c>
      <c r="G440" t="n">
        <v>6.3</v>
      </c>
      <c r="H440" t="n">
        <v>0</v>
      </c>
      <c r="I440" t="n">
        <v>0</v>
      </c>
      <c r="J440" t="n">
        <v>0</v>
      </c>
      <c r="K440" t="n">
        <v>0</v>
      </c>
      <c r="L440" t="n">
        <v>0</v>
      </c>
      <c r="M440" t="n">
        <v>0</v>
      </c>
      <c r="N440" t="n">
        <v>0</v>
      </c>
      <c r="O440" t="n">
        <v>0</v>
      </c>
      <c r="P440" t="n">
        <v>0</v>
      </c>
      <c r="Q440" t="n">
        <v>0</v>
      </c>
      <c r="R440" s="2" t="inlineStr"/>
    </row>
    <row r="441" ht="15" customHeight="1">
      <c r="A441" t="inlineStr">
        <is>
          <t>A 58996-2025</t>
        </is>
      </c>
      <c r="B441" s="1" t="n">
        <v>45987.67032407408</v>
      </c>
      <c r="C441" s="1" t="n">
        <v>46059</v>
      </c>
      <c r="D441" t="inlineStr">
        <is>
          <t>JÄMTLANDS LÄN</t>
        </is>
      </c>
      <c r="E441" t="inlineStr">
        <is>
          <t>ÖSTERSUND</t>
        </is>
      </c>
      <c r="G441" t="n">
        <v>4.3</v>
      </c>
      <c r="H441" t="n">
        <v>0</v>
      </c>
      <c r="I441" t="n">
        <v>0</v>
      </c>
      <c r="J441" t="n">
        <v>0</v>
      </c>
      <c r="K441" t="n">
        <v>0</v>
      </c>
      <c r="L441" t="n">
        <v>0</v>
      </c>
      <c r="M441" t="n">
        <v>0</v>
      </c>
      <c r="N441" t="n">
        <v>0</v>
      </c>
      <c r="O441" t="n">
        <v>0</v>
      </c>
      <c r="P441" t="n">
        <v>0</v>
      </c>
      <c r="Q441" t="n">
        <v>0</v>
      </c>
      <c r="R441" s="2" t="inlineStr"/>
    </row>
    <row r="442" ht="15" customHeight="1">
      <c r="A442" t="inlineStr">
        <is>
          <t>A 5544-2025</t>
        </is>
      </c>
      <c r="B442" s="1" t="n">
        <v>45693</v>
      </c>
      <c r="C442" s="1" t="n">
        <v>46059</v>
      </c>
      <c r="D442" t="inlineStr">
        <is>
          <t>JÄMTLANDS LÄN</t>
        </is>
      </c>
      <c r="E442" t="inlineStr">
        <is>
          <t>ÖSTERSUND</t>
        </is>
      </c>
      <c r="G442" t="n">
        <v>5.8</v>
      </c>
      <c r="H442" t="n">
        <v>0</v>
      </c>
      <c r="I442" t="n">
        <v>0</v>
      </c>
      <c r="J442" t="n">
        <v>0</v>
      </c>
      <c r="K442" t="n">
        <v>0</v>
      </c>
      <c r="L442" t="n">
        <v>0</v>
      </c>
      <c r="M442" t="n">
        <v>0</v>
      </c>
      <c r="N442" t="n">
        <v>0</v>
      </c>
      <c r="O442" t="n">
        <v>0</v>
      </c>
      <c r="P442" t="n">
        <v>0</v>
      </c>
      <c r="Q442" t="n">
        <v>0</v>
      </c>
      <c r="R442" s="2" t="inlineStr"/>
    </row>
    <row r="443" ht="15" customHeight="1">
      <c r="A443" t="inlineStr">
        <is>
          <t>A 62452-2025</t>
        </is>
      </c>
      <c r="B443" s="1" t="n">
        <v>46007.49001157407</v>
      </c>
      <c r="C443" s="1" t="n">
        <v>46059</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50528-2025</t>
        </is>
      </c>
      <c r="B444" s="1" t="n">
        <v>45945.47097222223</v>
      </c>
      <c r="C444" s="1" t="n">
        <v>46059</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58407-2024</t>
        </is>
      </c>
      <c r="B445" s="1" t="n">
        <v>45634.72633101852</v>
      </c>
      <c r="C445" s="1" t="n">
        <v>46059</v>
      </c>
      <c r="D445" t="inlineStr">
        <is>
          <t>JÄMTLANDS LÄN</t>
        </is>
      </c>
      <c r="E445" t="inlineStr">
        <is>
          <t>ÖSTERSUND</t>
        </is>
      </c>
      <c r="G445" t="n">
        <v>2.8</v>
      </c>
      <c r="H445" t="n">
        <v>0</v>
      </c>
      <c r="I445" t="n">
        <v>0</v>
      </c>
      <c r="J445" t="n">
        <v>0</v>
      </c>
      <c r="K445" t="n">
        <v>0</v>
      </c>
      <c r="L445" t="n">
        <v>0</v>
      </c>
      <c r="M445" t="n">
        <v>0</v>
      </c>
      <c r="N445" t="n">
        <v>0</v>
      </c>
      <c r="O445" t="n">
        <v>0</v>
      </c>
      <c r="P445" t="n">
        <v>0</v>
      </c>
      <c r="Q445" t="n">
        <v>0</v>
      </c>
      <c r="R445" s="2" t="inlineStr"/>
    </row>
    <row r="446" ht="15" customHeight="1">
      <c r="A446" t="inlineStr">
        <is>
          <t>A 63245-2025</t>
        </is>
      </c>
      <c r="B446" s="1" t="n">
        <v>46010.53825231481</v>
      </c>
      <c r="C446" s="1" t="n">
        <v>46059</v>
      </c>
      <c r="D446" t="inlineStr">
        <is>
          <t>JÄMTLANDS LÄN</t>
        </is>
      </c>
      <c r="E446" t="inlineStr">
        <is>
          <t>ÖSTERSUND</t>
        </is>
      </c>
      <c r="G446" t="n">
        <v>1.8</v>
      </c>
      <c r="H446" t="n">
        <v>0</v>
      </c>
      <c r="I446" t="n">
        <v>0</v>
      </c>
      <c r="J446" t="n">
        <v>0</v>
      </c>
      <c r="K446" t="n">
        <v>0</v>
      </c>
      <c r="L446" t="n">
        <v>0</v>
      </c>
      <c r="M446" t="n">
        <v>0</v>
      </c>
      <c r="N446" t="n">
        <v>0</v>
      </c>
      <c r="O446" t="n">
        <v>0</v>
      </c>
      <c r="P446" t="n">
        <v>0</v>
      </c>
      <c r="Q446" t="n">
        <v>0</v>
      </c>
      <c r="R446" s="2" t="inlineStr"/>
    </row>
    <row r="447" ht="15" customHeight="1">
      <c r="A447" t="inlineStr">
        <is>
          <t>A 17732-2022</t>
        </is>
      </c>
      <c r="B447" s="1" t="n">
        <v>44680.92873842592</v>
      </c>
      <c r="C447" s="1" t="n">
        <v>46059</v>
      </c>
      <c r="D447" t="inlineStr">
        <is>
          <t>JÄMTLANDS LÄN</t>
        </is>
      </c>
      <c r="E447" t="inlineStr">
        <is>
          <t>ÖSTERSUND</t>
        </is>
      </c>
      <c r="G447" t="n">
        <v>5.4</v>
      </c>
      <c r="H447" t="n">
        <v>0</v>
      </c>
      <c r="I447" t="n">
        <v>0</v>
      </c>
      <c r="J447" t="n">
        <v>0</v>
      </c>
      <c r="K447" t="n">
        <v>0</v>
      </c>
      <c r="L447" t="n">
        <v>0</v>
      </c>
      <c r="M447" t="n">
        <v>0</v>
      </c>
      <c r="N447" t="n">
        <v>0</v>
      </c>
      <c r="O447" t="n">
        <v>0</v>
      </c>
      <c r="P447" t="n">
        <v>0</v>
      </c>
      <c r="Q447" t="n">
        <v>0</v>
      </c>
      <c r="R447" s="2" t="inlineStr"/>
    </row>
    <row r="448" ht="15" customHeight="1">
      <c r="A448" t="inlineStr">
        <is>
          <t>A 63195-2025</t>
        </is>
      </c>
      <c r="B448" s="1" t="n">
        <v>46010.45680555556</v>
      </c>
      <c r="C448" s="1" t="n">
        <v>46059</v>
      </c>
      <c r="D448" t="inlineStr">
        <is>
          <t>JÄMTLANDS LÄN</t>
        </is>
      </c>
      <c r="E448" t="inlineStr">
        <is>
          <t>ÖSTERSUND</t>
        </is>
      </c>
      <c r="G448" t="n">
        <v>1.7</v>
      </c>
      <c r="H448" t="n">
        <v>0</v>
      </c>
      <c r="I448" t="n">
        <v>0</v>
      </c>
      <c r="J448" t="n">
        <v>0</v>
      </c>
      <c r="K448" t="n">
        <v>0</v>
      </c>
      <c r="L448" t="n">
        <v>0</v>
      </c>
      <c r="M448" t="n">
        <v>0</v>
      </c>
      <c r="N448" t="n">
        <v>0</v>
      </c>
      <c r="O448" t="n">
        <v>0</v>
      </c>
      <c r="P448" t="n">
        <v>0</v>
      </c>
      <c r="Q448" t="n">
        <v>0</v>
      </c>
      <c r="R448" s="2" t="inlineStr"/>
    </row>
    <row r="449" ht="15" customHeight="1">
      <c r="A449" t="inlineStr">
        <is>
          <t>A 7941-2025</t>
        </is>
      </c>
      <c r="B449" s="1" t="n">
        <v>45707</v>
      </c>
      <c r="C449" s="1" t="n">
        <v>46059</v>
      </c>
      <c r="D449" t="inlineStr">
        <is>
          <t>JÄMTLANDS LÄN</t>
        </is>
      </c>
      <c r="E449" t="inlineStr">
        <is>
          <t>ÖSTERSUND</t>
        </is>
      </c>
      <c r="G449" t="n">
        <v>2</v>
      </c>
      <c r="H449" t="n">
        <v>0</v>
      </c>
      <c r="I449" t="n">
        <v>0</v>
      </c>
      <c r="J449" t="n">
        <v>0</v>
      </c>
      <c r="K449" t="n">
        <v>0</v>
      </c>
      <c r="L449" t="n">
        <v>0</v>
      </c>
      <c r="M449" t="n">
        <v>0</v>
      </c>
      <c r="N449" t="n">
        <v>0</v>
      </c>
      <c r="O449" t="n">
        <v>0</v>
      </c>
      <c r="P449" t="n">
        <v>0</v>
      </c>
      <c r="Q449" t="n">
        <v>0</v>
      </c>
      <c r="R449" s="2" t="inlineStr"/>
    </row>
    <row r="450" ht="15" customHeight="1">
      <c r="A450" t="inlineStr">
        <is>
          <t>A 52003-2025</t>
        </is>
      </c>
      <c r="B450" s="1" t="n">
        <v>45952.5909375</v>
      </c>
      <c r="C450" s="1" t="n">
        <v>46059</v>
      </c>
      <c r="D450" t="inlineStr">
        <is>
          <t>JÄMTLANDS LÄN</t>
        </is>
      </c>
      <c r="E450" t="inlineStr">
        <is>
          <t>ÖSTERSUND</t>
        </is>
      </c>
      <c r="G450" t="n">
        <v>5.7</v>
      </c>
      <c r="H450" t="n">
        <v>0</v>
      </c>
      <c r="I450" t="n">
        <v>0</v>
      </c>
      <c r="J450" t="n">
        <v>0</v>
      </c>
      <c r="K450" t="n">
        <v>0</v>
      </c>
      <c r="L450" t="n">
        <v>0</v>
      </c>
      <c r="M450" t="n">
        <v>0</v>
      </c>
      <c r="N450" t="n">
        <v>0</v>
      </c>
      <c r="O450" t="n">
        <v>0</v>
      </c>
      <c r="P450" t="n">
        <v>0</v>
      </c>
      <c r="Q450" t="n">
        <v>0</v>
      </c>
      <c r="R450" s="2" t="inlineStr"/>
    </row>
    <row r="451" ht="15" customHeight="1">
      <c r="A451" t="inlineStr">
        <is>
          <t>A 52913-2021</t>
        </is>
      </c>
      <c r="B451" s="1" t="n">
        <v>44466</v>
      </c>
      <c r="C451" s="1" t="n">
        <v>46059</v>
      </c>
      <c r="D451" t="inlineStr">
        <is>
          <t>JÄMTLANDS LÄN</t>
        </is>
      </c>
      <c r="E451" t="inlineStr">
        <is>
          <t>ÖSTERSUND</t>
        </is>
      </c>
      <c r="G451" t="n">
        <v>4.2</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46059</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54883-2023</t>
        </is>
      </c>
      <c r="B453" s="1" t="n">
        <v>45236.62300925926</v>
      </c>
      <c r="C453" s="1" t="n">
        <v>46059</v>
      </c>
      <c r="D453" t="inlineStr">
        <is>
          <t>JÄMTLANDS LÄN</t>
        </is>
      </c>
      <c r="E453" t="inlineStr">
        <is>
          <t>ÖSTERSUND</t>
        </is>
      </c>
      <c r="F453" t="inlineStr">
        <is>
          <t>Övriga Aktiebolag</t>
        </is>
      </c>
      <c r="G453" t="n">
        <v>3.2</v>
      </c>
      <c r="H453" t="n">
        <v>0</v>
      </c>
      <c r="I453" t="n">
        <v>0</v>
      </c>
      <c r="J453" t="n">
        <v>0</v>
      </c>
      <c r="K453" t="n">
        <v>0</v>
      </c>
      <c r="L453" t="n">
        <v>0</v>
      </c>
      <c r="M453" t="n">
        <v>0</v>
      </c>
      <c r="N453" t="n">
        <v>0</v>
      </c>
      <c r="O453" t="n">
        <v>0</v>
      </c>
      <c r="P453" t="n">
        <v>0</v>
      </c>
      <c r="Q453" t="n">
        <v>0</v>
      </c>
      <c r="R453" s="2" t="inlineStr"/>
    </row>
    <row r="454" ht="15" customHeight="1">
      <c r="A454" t="inlineStr">
        <is>
          <t>A 3122-2025</t>
        </is>
      </c>
      <c r="B454" s="1" t="n">
        <v>45678</v>
      </c>
      <c r="C454" s="1" t="n">
        <v>46059</v>
      </c>
      <c r="D454" t="inlineStr">
        <is>
          <t>JÄMTLANDS LÄN</t>
        </is>
      </c>
      <c r="E454" t="inlineStr">
        <is>
          <t>ÖSTERSUND</t>
        </is>
      </c>
      <c r="G454" t="n">
        <v>1.3</v>
      </c>
      <c r="H454" t="n">
        <v>0</v>
      </c>
      <c r="I454" t="n">
        <v>0</v>
      </c>
      <c r="J454" t="n">
        <v>0</v>
      </c>
      <c r="K454" t="n">
        <v>0</v>
      </c>
      <c r="L454" t="n">
        <v>0</v>
      </c>
      <c r="M454" t="n">
        <v>0</v>
      </c>
      <c r="N454" t="n">
        <v>0</v>
      </c>
      <c r="O454" t="n">
        <v>0</v>
      </c>
      <c r="P454" t="n">
        <v>0</v>
      </c>
      <c r="Q454" t="n">
        <v>0</v>
      </c>
      <c r="R454" s="2" t="inlineStr"/>
    </row>
    <row r="455" ht="15" customHeight="1">
      <c r="A455" t="inlineStr">
        <is>
          <t>A 52620-2025</t>
        </is>
      </c>
      <c r="B455" s="1" t="n">
        <v>45954.68207175926</v>
      </c>
      <c r="C455" s="1" t="n">
        <v>46059</v>
      </c>
      <c r="D455" t="inlineStr">
        <is>
          <t>JÄMTLANDS LÄN</t>
        </is>
      </c>
      <c r="E455" t="inlineStr">
        <is>
          <t>ÖSTERSUND</t>
        </is>
      </c>
      <c r="G455" t="n">
        <v>4.6</v>
      </c>
      <c r="H455" t="n">
        <v>0</v>
      </c>
      <c r="I455" t="n">
        <v>0</v>
      </c>
      <c r="J455" t="n">
        <v>0</v>
      </c>
      <c r="K455" t="n">
        <v>0</v>
      </c>
      <c r="L455" t="n">
        <v>0</v>
      </c>
      <c r="M455" t="n">
        <v>0</v>
      </c>
      <c r="N455" t="n">
        <v>0</v>
      </c>
      <c r="O455" t="n">
        <v>0</v>
      </c>
      <c r="P455" t="n">
        <v>0</v>
      </c>
      <c r="Q455" t="n">
        <v>0</v>
      </c>
      <c r="R455" s="2" t="inlineStr"/>
    </row>
    <row r="456" ht="15" customHeight="1">
      <c r="A456" t="inlineStr">
        <is>
          <t>A 52247-2025</t>
        </is>
      </c>
      <c r="B456" s="1" t="n">
        <v>45953.47575231481</v>
      </c>
      <c r="C456" s="1" t="n">
        <v>46059</v>
      </c>
      <c r="D456" t="inlineStr">
        <is>
          <t>JÄMTLANDS LÄN</t>
        </is>
      </c>
      <c r="E456" t="inlineStr">
        <is>
          <t>ÖSTERSUND</t>
        </is>
      </c>
      <c r="G456" t="n">
        <v>8.4</v>
      </c>
      <c r="H456" t="n">
        <v>0</v>
      </c>
      <c r="I456" t="n">
        <v>0</v>
      </c>
      <c r="J456" t="n">
        <v>0</v>
      </c>
      <c r="K456" t="n">
        <v>0</v>
      </c>
      <c r="L456" t="n">
        <v>0</v>
      </c>
      <c r="M456" t="n">
        <v>0</v>
      </c>
      <c r="N456" t="n">
        <v>0</v>
      </c>
      <c r="O456" t="n">
        <v>0</v>
      </c>
      <c r="P456" t="n">
        <v>0</v>
      </c>
      <c r="Q456" t="n">
        <v>0</v>
      </c>
      <c r="R456" s="2" t="inlineStr"/>
    </row>
    <row r="457" ht="15" customHeight="1">
      <c r="A457" t="inlineStr">
        <is>
          <t>A 62222-2022</t>
        </is>
      </c>
      <c r="B457" s="1" t="n">
        <v>44922</v>
      </c>
      <c r="C457" s="1" t="n">
        <v>46059</v>
      </c>
      <c r="D457" t="inlineStr">
        <is>
          <t>JÄMTLANDS LÄN</t>
        </is>
      </c>
      <c r="E457" t="inlineStr">
        <is>
          <t>ÖSTERSUND</t>
        </is>
      </c>
      <c r="G457" t="n">
        <v>4.1</v>
      </c>
      <c r="H457" t="n">
        <v>0</v>
      </c>
      <c r="I457" t="n">
        <v>0</v>
      </c>
      <c r="J457" t="n">
        <v>0</v>
      </c>
      <c r="K457" t="n">
        <v>0</v>
      </c>
      <c r="L457" t="n">
        <v>0</v>
      </c>
      <c r="M457" t="n">
        <v>0</v>
      </c>
      <c r="N457" t="n">
        <v>0</v>
      </c>
      <c r="O457" t="n">
        <v>0</v>
      </c>
      <c r="P457" t="n">
        <v>0</v>
      </c>
      <c r="Q457" t="n">
        <v>0</v>
      </c>
      <c r="R457" s="2" t="inlineStr"/>
    </row>
    <row r="458" ht="15" customHeight="1">
      <c r="A458" t="inlineStr">
        <is>
          <t>A 41280-2024</t>
        </is>
      </c>
      <c r="B458" s="1" t="n">
        <v>45559.59476851852</v>
      </c>
      <c r="C458" s="1" t="n">
        <v>46059</v>
      </c>
      <c r="D458" t="inlineStr">
        <is>
          <t>JÄMTLANDS LÄN</t>
        </is>
      </c>
      <c r="E458" t="inlineStr">
        <is>
          <t>ÖSTERSUND</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7224-2024</t>
        </is>
      </c>
      <c r="B459" s="1" t="n">
        <v>45344</v>
      </c>
      <c r="C459" s="1" t="n">
        <v>46059</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52286-2025</t>
        </is>
      </c>
      <c r="B460" s="1" t="n">
        <v>45953.58497685185</v>
      </c>
      <c r="C460" s="1" t="n">
        <v>46059</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8675-2023</t>
        </is>
      </c>
      <c r="B461" s="1" t="n">
        <v>44977.98629629629</v>
      </c>
      <c r="C461" s="1" t="n">
        <v>46059</v>
      </c>
      <c r="D461" t="inlineStr">
        <is>
          <t>JÄMTLANDS LÄN</t>
        </is>
      </c>
      <c r="E461" t="inlineStr">
        <is>
          <t>ÖSTERSUND</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63475-2025</t>
        </is>
      </c>
      <c r="B462" s="1" t="n">
        <v>46013.4459375</v>
      </c>
      <c r="C462" s="1" t="n">
        <v>46059</v>
      </c>
      <c r="D462" t="inlineStr">
        <is>
          <t>JÄMTLANDS LÄN</t>
        </is>
      </c>
      <c r="E462" t="inlineStr">
        <is>
          <t>ÖSTERSUND</t>
        </is>
      </c>
      <c r="G462" t="n">
        <v>4.4</v>
      </c>
      <c r="H462" t="n">
        <v>0</v>
      </c>
      <c r="I462" t="n">
        <v>0</v>
      </c>
      <c r="J462" t="n">
        <v>0</v>
      </c>
      <c r="K462" t="n">
        <v>0</v>
      </c>
      <c r="L462" t="n">
        <v>0</v>
      </c>
      <c r="M462" t="n">
        <v>0</v>
      </c>
      <c r="N462" t="n">
        <v>0</v>
      </c>
      <c r="O462" t="n">
        <v>0</v>
      </c>
      <c r="P462" t="n">
        <v>0</v>
      </c>
      <c r="Q462" t="n">
        <v>0</v>
      </c>
      <c r="R462" s="2" t="inlineStr"/>
    </row>
    <row r="463" ht="15" customHeight="1">
      <c r="A463" t="inlineStr">
        <is>
          <t>A 12-2023</t>
        </is>
      </c>
      <c r="B463" s="1" t="n">
        <v>44927.88021990741</v>
      </c>
      <c r="C463" s="1" t="n">
        <v>46059</v>
      </c>
      <c r="D463" t="inlineStr">
        <is>
          <t>JÄMTLANDS LÄN</t>
        </is>
      </c>
      <c r="E463" t="inlineStr">
        <is>
          <t>ÖSTERSUND</t>
        </is>
      </c>
      <c r="G463" t="n">
        <v>4.7</v>
      </c>
      <c r="H463" t="n">
        <v>0</v>
      </c>
      <c r="I463" t="n">
        <v>0</v>
      </c>
      <c r="J463" t="n">
        <v>0</v>
      </c>
      <c r="K463" t="n">
        <v>0</v>
      </c>
      <c r="L463" t="n">
        <v>0</v>
      </c>
      <c r="M463" t="n">
        <v>0</v>
      </c>
      <c r="N463" t="n">
        <v>0</v>
      </c>
      <c r="O463" t="n">
        <v>0</v>
      </c>
      <c r="P463" t="n">
        <v>0</v>
      </c>
      <c r="Q463" t="n">
        <v>0</v>
      </c>
      <c r="R463" s="2" t="inlineStr"/>
    </row>
    <row r="464" ht="15" customHeight="1">
      <c r="A464" t="inlineStr">
        <is>
          <t>A 55666-2023</t>
        </is>
      </c>
      <c r="B464" s="1" t="n">
        <v>45238.96770833333</v>
      </c>
      <c r="C464" s="1" t="n">
        <v>46059</v>
      </c>
      <c r="D464" t="inlineStr">
        <is>
          <t>JÄMTLANDS LÄN</t>
        </is>
      </c>
      <c r="E464" t="inlineStr">
        <is>
          <t>ÖSTERSUND</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52935-2025</t>
        </is>
      </c>
      <c r="B465" s="1" t="n">
        <v>45957.62978009259</v>
      </c>
      <c r="C465" s="1" t="n">
        <v>46059</v>
      </c>
      <c r="D465" t="inlineStr">
        <is>
          <t>JÄMTLANDS LÄN</t>
        </is>
      </c>
      <c r="E465" t="inlineStr">
        <is>
          <t>ÖSTERSUND</t>
        </is>
      </c>
      <c r="G465" t="n">
        <v>0.8</v>
      </c>
      <c r="H465" t="n">
        <v>0</v>
      </c>
      <c r="I465" t="n">
        <v>0</v>
      </c>
      <c r="J465" t="n">
        <v>0</v>
      </c>
      <c r="K465" t="n">
        <v>0</v>
      </c>
      <c r="L465" t="n">
        <v>0</v>
      </c>
      <c r="M465" t="n">
        <v>0</v>
      </c>
      <c r="N465" t="n">
        <v>0</v>
      </c>
      <c r="O465" t="n">
        <v>0</v>
      </c>
      <c r="P465" t="n">
        <v>0</v>
      </c>
      <c r="Q465" t="n">
        <v>0</v>
      </c>
      <c r="R465" s="2" t="inlineStr"/>
    </row>
    <row r="466" ht="15" customHeight="1">
      <c r="A466" t="inlineStr">
        <is>
          <t>A 52975-2025</t>
        </is>
      </c>
      <c r="B466" s="1" t="n">
        <v>45957.67876157408</v>
      </c>
      <c r="C466" s="1" t="n">
        <v>46059</v>
      </c>
      <c r="D466" t="inlineStr">
        <is>
          <t>JÄMTLANDS LÄN</t>
        </is>
      </c>
      <c r="E466" t="inlineStr">
        <is>
          <t>ÖSTERSUND</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51481-2023</t>
        </is>
      </c>
      <c r="B467" s="1" t="n">
        <v>45221.92440972223</v>
      </c>
      <c r="C467" s="1" t="n">
        <v>46059</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6761-2026</t>
        </is>
      </c>
      <c r="B468" s="1" t="n">
        <v>46056.8547337963</v>
      </c>
      <c r="C468" s="1" t="n">
        <v>46059</v>
      </c>
      <c r="D468" t="inlineStr">
        <is>
          <t>JÄMTLANDS LÄN</t>
        </is>
      </c>
      <c r="E468" t="inlineStr">
        <is>
          <t>ÖSTERSUND</t>
        </is>
      </c>
      <c r="G468" t="n">
        <v>2.8</v>
      </c>
      <c r="H468" t="n">
        <v>0</v>
      </c>
      <c r="I468" t="n">
        <v>0</v>
      </c>
      <c r="J468" t="n">
        <v>0</v>
      </c>
      <c r="K468" t="n">
        <v>0</v>
      </c>
      <c r="L468" t="n">
        <v>0</v>
      </c>
      <c r="M468" t="n">
        <v>0</v>
      </c>
      <c r="N468" t="n">
        <v>0</v>
      </c>
      <c r="O468" t="n">
        <v>0</v>
      </c>
      <c r="P468" t="n">
        <v>0</v>
      </c>
      <c r="Q468" t="n">
        <v>0</v>
      </c>
      <c r="R468" s="2" t="inlineStr"/>
    </row>
    <row r="469" ht="15" customHeight="1">
      <c r="A469" t="inlineStr">
        <is>
          <t>A 63516-2025</t>
        </is>
      </c>
      <c r="B469" s="1" t="n">
        <v>46013.50993055556</v>
      </c>
      <c r="C469" s="1" t="n">
        <v>46059</v>
      </c>
      <c r="D469" t="inlineStr">
        <is>
          <t>JÄMTLANDS LÄN</t>
        </is>
      </c>
      <c r="E469" t="inlineStr">
        <is>
          <t>ÖSTERSUND</t>
        </is>
      </c>
      <c r="G469" t="n">
        <v>4.8</v>
      </c>
      <c r="H469" t="n">
        <v>0</v>
      </c>
      <c r="I469" t="n">
        <v>0</v>
      </c>
      <c r="J469" t="n">
        <v>0</v>
      </c>
      <c r="K469" t="n">
        <v>0</v>
      </c>
      <c r="L469" t="n">
        <v>0</v>
      </c>
      <c r="M469" t="n">
        <v>0</v>
      </c>
      <c r="N469" t="n">
        <v>0</v>
      </c>
      <c r="O469" t="n">
        <v>0</v>
      </c>
      <c r="P469" t="n">
        <v>0</v>
      </c>
      <c r="Q469" t="n">
        <v>0</v>
      </c>
      <c r="R469" s="2" t="inlineStr"/>
    </row>
    <row r="470" ht="15" customHeight="1">
      <c r="A470" t="inlineStr">
        <is>
          <t>A 55140-2023</t>
        </is>
      </c>
      <c r="B470" s="1" t="n">
        <v>45237.50966435186</v>
      </c>
      <c r="C470" s="1" t="n">
        <v>46059</v>
      </c>
      <c r="D470" t="inlineStr">
        <is>
          <t>JÄMTLANDS LÄN</t>
        </is>
      </c>
      <c r="E470" t="inlineStr">
        <is>
          <t>ÖSTERSUND</t>
        </is>
      </c>
      <c r="G470" t="n">
        <v>1.8</v>
      </c>
      <c r="H470" t="n">
        <v>0</v>
      </c>
      <c r="I470" t="n">
        <v>0</v>
      </c>
      <c r="J470" t="n">
        <v>0</v>
      </c>
      <c r="K470" t="n">
        <v>0</v>
      </c>
      <c r="L470" t="n">
        <v>0</v>
      </c>
      <c r="M470" t="n">
        <v>0</v>
      </c>
      <c r="N470" t="n">
        <v>0</v>
      </c>
      <c r="O470" t="n">
        <v>0</v>
      </c>
      <c r="P470" t="n">
        <v>0</v>
      </c>
      <c r="Q470" t="n">
        <v>0</v>
      </c>
      <c r="R470" s="2" t="inlineStr"/>
    </row>
    <row r="471" ht="15" customHeight="1">
      <c r="A471" t="inlineStr">
        <is>
          <t>A 53057-2025</t>
        </is>
      </c>
      <c r="B471" s="1" t="n">
        <v>45958.36537037037</v>
      </c>
      <c r="C471" s="1" t="n">
        <v>46059</v>
      </c>
      <c r="D471" t="inlineStr">
        <is>
          <t>JÄMTLANDS LÄN</t>
        </is>
      </c>
      <c r="E471" t="inlineStr">
        <is>
          <t>ÖSTERSUND</t>
        </is>
      </c>
      <c r="F471" t="inlineStr">
        <is>
          <t>SCA</t>
        </is>
      </c>
      <c r="G471" t="n">
        <v>47.8</v>
      </c>
      <c r="H471" t="n">
        <v>0</v>
      </c>
      <c r="I471" t="n">
        <v>0</v>
      </c>
      <c r="J471" t="n">
        <v>0</v>
      </c>
      <c r="K471" t="n">
        <v>0</v>
      </c>
      <c r="L471" t="n">
        <v>0</v>
      </c>
      <c r="M471" t="n">
        <v>0</v>
      </c>
      <c r="N471" t="n">
        <v>0</v>
      </c>
      <c r="O471" t="n">
        <v>0</v>
      </c>
      <c r="P471" t="n">
        <v>0</v>
      </c>
      <c r="Q471" t="n">
        <v>0</v>
      </c>
      <c r="R471" s="2" t="inlineStr"/>
    </row>
    <row r="472" ht="15" customHeight="1">
      <c r="A472" t="inlineStr">
        <is>
          <t>A 53054-2025</t>
        </is>
      </c>
      <c r="B472" s="1" t="n">
        <v>45958.36498842593</v>
      </c>
      <c r="C472" s="1" t="n">
        <v>46059</v>
      </c>
      <c r="D472" t="inlineStr">
        <is>
          <t>JÄMTLANDS LÄN</t>
        </is>
      </c>
      <c r="E472" t="inlineStr">
        <is>
          <t>ÖSTERSUND</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60623-2022</t>
        </is>
      </c>
      <c r="B473" s="1" t="n">
        <v>44911.6459837963</v>
      </c>
      <c r="C473" s="1" t="n">
        <v>46059</v>
      </c>
      <c r="D473" t="inlineStr">
        <is>
          <t>JÄMTLANDS LÄN</t>
        </is>
      </c>
      <c r="E473" t="inlineStr">
        <is>
          <t>ÖSTERSUND</t>
        </is>
      </c>
      <c r="G473" t="n">
        <v>10.9</v>
      </c>
      <c r="H473" t="n">
        <v>0</v>
      </c>
      <c r="I473" t="n">
        <v>0</v>
      </c>
      <c r="J473" t="n">
        <v>0</v>
      </c>
      <c r="K473" t="n">
        <v>0</v>
      </c>
      <c r="L473" t="n">
        <v>0</v>
      </c>
      <c r="M473" t="n">
        <v>0</v>
      </c>
      <c r="N473" t="n">
        <v>0</v>
      </c>
      <c r="O473" t="n">
        <v>0</v>
      </c>
      <c r="P473" t="n">
        <v>0</v>
      </c>
      <c r="Q473" t="n">
        <v>0</v>
      </c>
      <c r="R473" s="2" t="inlineStr"/>
    </row>
    <row r="474" ht="15" customHeight="1">
      <c r="A474" t="inlineStr">
        <is>
          <t>A 51818-2024</t>
        </is>
      </c>
      <c r="B474" s="1" t="n">
        <v>45607.49265046296</v>
      </c>
      <c r="C474" s="1" t="n">
        <v>46059</v>
      </c>
      <c r="D474" t="inlineStr">
        <is>
          <t>JÄMTLANDS LÄN</t>
        </is>
      </c>
      <c r="E474" t="inlineStr">
        <is>
          <t>ÖSTERSUND</t>
        </is>
      </c>
      <c r="G474" t="n">
        <v>4.6</v>
      </c>
      <c r="H474" t="n">
        <v>0</v>
      </c>
      <c r="I474" t="n">
        <v>0</v>
      </c>
      <c r="J474" t="n">
        <v>0</v>
      </c>
      <c r="K474" t="n">
        <v>0</v>
      </c>
      <c r="L474" t="n">
        <v>0</v>
      </c>
      <c r="M474" t="n">
        <v>0</v>
      </c>
      <c r="N474" t="n">
        <v>0</v>
      </c>
      <c r="O474" t="n">
        <v>0</v>
      </c>
      <c r="P474" t="n">
        <v>0</v>
      </c>
      <c r="Q474" t="n">
        <v>0</v>
      </c>
      <c r="R474" s="2" t="inlineStr"/>
    </row>
    <row r="475" ht="15" customHeight="1">
      <c r="A475" t="inlineStr">
        <is>
          <t>A 14653-2022</t>
        </is>
      </c>
      <c r="B475" s="1" t="n">
        <v>44655.69303240741</v>
      </c>
      <c r="C475" s="1" t="n">
        <v>46059</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48106-2024</t>
        </is>
      </c>
      <c r="B476" s="1" t="n">
        <v>45589.62625</v>
      </c>
      <c r="C476" s="1" t="n">
        <v>46059</v>
      </c>
      <c r="D476" t="inlineStr">
        <is>
          <t>JÄMTLANDS LÄN</t>
        </is>
      </c>
      <c r="E476" t="inlineStr">
        <is>
          <t>ÖSTERSUND</t>
        </is>
      </c>
      <c r="G476" t="n">
        <v>3.5</v>
      </c>
      <c r="H476" t="n">
        <v>0</v>
      </c>
      <c r="I476" t="n">
        <v>0</v>
      </c>
      <c r="J476" t="n">
        <v>0</v>
      </c>
      <c r="K476" t="n">
        <v>0</v>
      </c>
      <c r="L476" t="n">
        <v>0</v>
      </c>
      <c r="M476" t="n">
        <v>0</v>
      </c>
      <c r="N476" t="n">
        <v>0</v>
      </c>
      <c r="O476" t="n">
        <v>0</v>
      </c>
      <c r="P476" t="n">
        <v>0</v>
      </c>
      <c r="Q476" t="n">
        <v>0</v>
      </c>
      <c r="R476" s="2" t="inlineStr"/>
    </row>
    <row r="477" ht="15" customHeight="1">
      <c r="A477" t="inlineStr">
        <is>
          <t>A 45533-2025</t>
        </is>
      </c>
      <c r="B477" s="1" t="n">
        <v>45922</v>
      </c>
      <c r="C477" s="1" t="n">
        <v>46059</v>
      </c>
      <c r="D477" t="inlineStr">
        <is>
          <t>JÄMTLANDS LÄN</t>
        </is>
      </c>
      <c r="E477" t="inlineStr">
        <is>
          <t>ÖSTERSUND</t>
        </is>
      </c>
      <c r="F477" t="inlineStr">
        <is>
          <t>Övriga statliga verk och myndigheter</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20960-2022</t>
        </is>
      </c>
      <c r="B478" s="1" t="n">
        <v>44701.94034722223</v>
      </c>
      <c r="C478" s="1" t="n">
        <v>46059</v>
      </c>
      <c r="D478" t="inlineStr">
        <is>
          <t>JÄMTLANDS LÄN</t>
        </is>
      </c>
      <c r="E478" t="inlineStr">
        <is>
          <t>ÖSTERSUND</t>
        </is>
      </c>
      <c r="G478" t="n">
        <v>3.6</v>
      </c>
      <c r="H478" t="n">
        <v>0</v>
      </c>
      <c r="I478" t="n">
        <v>0</v>
      </c>
      <c r="J478" t="n">
        <v>0</v>
      </c>
      <c r="K478" t="n">
        <v>0</v>
      </c>
      <c r="L478" t="n">
        <v>0</v>
      </c>
      <c r="M478" t="n">
        <v>0</v>
      </c>
      <c r="N478" t="n">
        <v>0</v>
      </c>
      <c r="O478" t="n">
        <v>0</v>
      </c>
      <c r="P478" t="n">
        <v>0</v>
      </c>
      <c r="Q478" t="n">
        <v>0</v>
      </c>
      <c r="R478" s="2" t="inlineStr"/>
    </row>
    <row r="479" ht="15" customHeight="1">
      <c r="A479" t="inlineStr">
        <is>
          <t>A 60780-2023</t>
        </is>
      </c>
      <c r="B479" s="1" t="n">
        <v>45260</v>
      </c>
      <c r="C479" s="1" t="n">
        <v>46059</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63693-2025</t>
        </is>
      </c>
      <c r="B480" s="1" t="n">
        <v>46014.5496875</v>
      </c>
      <c r="C480" s="1" t="n">
        <v>46059</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57589-2024</t>
        </is>
      </c>
      <c r="B481" s="1" t="n">
        <v>45630.49710648148</v>
      </c>
      <c r="C481" s="1" t="n">
        <v>46059</v>
      </c>
      <c r="D481" t="inlineStr">
        <is>
          <t>JÄMTLANDS LÄN</t>
        </is>
      </c>
      <c r="E481" t="inlineStr">
        <is>
          <t>ÖSTERSUND</t>
        </is>
      </c>
      <c r="G481" t="n">
        <v>1.8</v>
      </c>
      <c r="H481" t="n">
        <v>0</v>
      </c>
      <c r="I481" t="n">
        <v>0</v>
      </c>
      <c r="J481" t="n">
        <v>0</v>
      </c>
      <c r="K481" t="n">
        <v>0</v>
      </c>
      <c r="L481" t="n">
        <v>0</v>
      </c>
      <c r="M481" t="n">
        <v>0</v>
      </c>
      <c r="N481" t="n">
        <v>0</v>
      </c>
      <c r="O481" t="n">
        <v>0</v>
      </c>
      <c r="P481" t="n">
        <v>0</v>
      </c>
      <c r="Q481" t="n">
        <v>0</v>
      </c>
      <c r="R481" s="2" t="inlineStr"/>
    </row>
    <row r="482" ht="15" customHeight="1">
      <c r="A482" t="inlineStr">
        <is>
          <t>A 11740-2022</t>
        </is>
      </c>
      <c r="B482" s="1" t="n">
        <v>44634.52982638889</v>
      </c>
      <c r="C482" s="1" t="n">
        <v>46059</v>
      </c>
      <c r="D482" t="inlineStr">
        <is>
          <t>JÄMTLANDS LÄN</t>
        </is>
      </c>
      <c r="E482" t="inlineStr">
        <is>
          <t>ÖSTERSUND</t>
        </is>
      </c>
      <c r="G482" t="n">
        <v>1.1</v>
      </c>
      <c r="H482" t="n">
        <v>0</v>
      </c>
      <c r="I482" t="n">
        <v>0</v>
      </c>
      <c r="J482" t="n">
        <v>0</v>
      </c>
      <c r="K482" t="n">
        <v>0</v>
      </c>
      <c r="L482" t="n">
        <v>0</v>
      </c>
      <c r="M482" t="n">
        <v>0</v>
      </c>
      <c r="N482" t="n">
        <v>0</v>
      </c>
      <c r="O482" t="n">
        <v>0</v>
      </c>
      <c r="P482" t="n">
        <v>0</v>
      </c>
      <c r="Q482" t="n">
        <v>0</v>
      </c>
      <c r="R482" s="2" t="inlineStr"/>
    </row>
    <row r="483" ht="15" customHeight="1">
      <c r="A483" t="inlineStr">
        <is>
          <t>A 6831-2026</t>
        </is>
      </c>
      <c r="B483" s="1" t="n">
        <v>46057.40715277778</v>
      </c>
      <c r="C483" s="1" t="n">
        <v>46059</v>
      </c>
      <c r="D483" t="inlineStr">
        <is>
          <t>JÄMTLANDS LÄN</t>
        </is>
      </c>
      <c r="E483" t="inlineStr">
        <is>
          <t>ÖSTERSUND</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38926-2024</t>
        </is>
      </c>
      <c r="B484" s="1" t="n">
        <v>45547.90777777778</v>
      </c>
      <c r="C484" s="1" t="n">
        <v>46059</v>
      </c>
      <c r="D484" t="inlineStr">
        <is>
          <t>JÄMTLANDS LÄN</t>
        </is>
      </c>
      <c r="E484" t="inlineStr">
        <is>
          <t>ÖSTERSUND</t>
        </is>
      </c>
      <c r="G484" t="n">
        <v>0.4</v>
      </c>
      <c r="H484" t="n">
        <v>0</v>
      </c>
      <c r="I484" t="n">
        <v>0</v>
      </c>
      <c r="J484" t="n">
        <v>0</v>
      </c>
      <c r="K484" t="n">
        <v>0</v>
      </c>
      <c r="L484" t="n">
        <v>0</v>
      </c>
      <c r="M484" t="n">
        <v>0</v>
      </c>
      <c r="N484" t="n">
        <v>0</v>
      </c>
      <c r="O484" t="n">
        <v>0</v>
      </c>
      <c r="P484" t="n">
        <v>0</v>
      </c>
      <c r="Q484" t="n">
        <v>0</v>
      </c>
      <c r="R484" s="2" t="inlineStr"/>
    </row>
    <row r="485" ht="15" customHeight="1">
      <c r="A485" t="inlineStr">
        <is>
          <t>A 20588-2023</t>
        </is>
      </c>
      <c r="B485" s="1" t="n">
        <v>45057</v>
      </c>
      <c r="C485" s="1" t="n">
        <v>46059</v>
      </c>
      <c r="D485" t="inlineStr">
        <is>
          <t>JÄMTLANDS LÄN</t>
        </is>
      </c>
      <c r="E485" t="inlineStr">
        <is>
          <t>ÖSTERSUND</t>
        </is>
      </c>
      <c r="G485" t="n">
        <v>0.9</v>
      </c>
      <c r="H485" t="n">
        <v>0</v>
      </c>
      <c r="I485" t="n">
        <v>0</v>
      </c>
      <c r="J485" t="n">
        <v>0</v>
      </c>
      <c r="K485" t="n">
        <v>0</v>
      </c>
      <c r="L485" t="n">
        <v>0</v>
      </c>
      <c r="M485" t="n">
        <v>0</v>
      </c>
      <c r="N485" t="n">
        <v>0</v>
      </c>
      <c r="O485" t="n">
        <v>0</v>
      </c>
      <c r="P485" t="n">
        <v>0</v>
      </c>
      <c r="Q485" t="n">
        <v>0</v>
      </c>
      <c r="R485" s="2" t="inlineStr"/>
    </row>
    <row r="486" ht="15" customHeight="1">
      <c r="A486" t="inlineStr">
        <is>
          <t>A 54133-2025</t>
        </is>
      </c>
      <c r="B486" s="1" t="n">
        <v>45964.46944444445</v>
      </c>
      <c r="C486" s="1" t="n">
        <v>46059</v>
      </c>
      <c r="D486" t="inlineStr">
        <is>
          <t>JÄMTLANDS LÄN</t>
        </is>
      </c>
      <c r="E486" t="inlineStr">
        <is>
          <t>ÖSTERSUND</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6999-2026</t>
        </is>
      </c>
      <c r="B487" s="1" t="n">
        <v>46057.6153125</v>
      </c>
      <c r="C487" s="1" t="n">
        <v>46059</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46059</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14542-2025</t>
        </is>
      </c>
      <c r="B489" s="1" t="n">
        <v>45741.68631944444</v>
      </c>
      <c r="C489" s="1" t="n">
        <v>46059</v>
      </c>
      <c r="D489" t="inlineStr">
        <is>
          <t>JÄMTLANDS LÄN</t>
        </is>
      </c>
      <c r="E489" t="inlineStr">
        <is>
          <t>ÖSTERSUND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6929-2026</t>
        </is>
      </c>
      <c r="B490" s="1" t="n">
        <v>46057.55269675926</v>
      </c>
      <c r="C490" s="1" t="n">
        <v>46059</v>
      </c>
      <c r="D490" t="inlineStr">
        <is>
          <t>JÄMTLANDS LÄN</t>
        </is>
      </c>
      <c r="E490" t="inlineStr">
        <is>
          <t>ÖSTERSUND</t>
        </is>
      </c>
      <c r="G490" t="n">
        <v>6.4</v>
      </c>
      <c r="H490" t="n">
        <v>0</v>
      </c>
      <c r="I490" t="n">
        <v>0</v>
      </c>
      <c r="J490" t="n">
        <v>0</v>
      </c>
      <c r="K490" t="n">
        <v>0</v>
      </c>
      <c r="L490" t="n">
        <v>0</v>
      </c>
      <c r="M490" t="n">
        <v>0</v>
      </c>
      <c r="N490" t="n">
        <v>0</v>
      </c>
      <c r="O490" t="n">
        <v>0</v>
      </c>
      <c r="P490" t="n">
        <v>0</v>
      </c>
      <c r="Q490" t="n">
        <v>0</v>
      </c>
      <c r="R490" s="2" t="inlineStr"/>
    </row>
    <row r="491" ht="15" customHeight="1">
      <c r="A491" t="inlineStr">
        <is>
          <t>A 5684-2026</t>
        </is>
      </c>
      <c r="B491" s="1" t="n">
        <v>46051</v>
      </c>
      <c r="C491" s="1" t="n">
        <v>46059</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4936-2025</t>
        </is>
      </c>
      <c r="B492" s="1" t="n">
        <v>45688.69356481481</v>
      </c>
      <c r="C492" s="1" t="n">
        <v>46059</v>
      </c>
      <c r="D492" t="inlineStr">
        <is>
          <t>JÄMTLANDS LÄN</t>
        </is>
      </c>
      <c r="E492" t="inlineStr">
        <is>
          <t>ÖSTERSUND</t>
        </is>
      </c>
      <c r="G492" t="n">
        <v>8.1</v>
      </c>
      <c r="H492" t="n">
        <v>0</v>
      </c>
      <c r="I492" t="n">
        <v>0</v>
      </c>
      <c r="J492" t="n">
        <v>0</v>
      </c>
      <c r="K492" t="n">
        <v>0</v>
      </c>
      <c r="L492" t="n">
        <v>0</v>
      </c>
      <c r="M492" t="n">
        <v>0</v>
      </c>
      <c r="N492" t="n">
        <v>0</v>
      </c>
      <c r="O492" t="n">
        <v>0</v>
      </c>
      <c r="P492" t="n">
        <v>0</v>
      </c>
      <c r="Q492" t="n">
        <v>0</v>
      </c>
      <c r="R492" s="2" t="inlineStr"/>
    </row>
    <row r="493" ht="15" customHeight="1">
      <c r="A493" t="inlineStr">
        <is>
          <t>A 2756-2024</t>
        </is>
      </c>
      <c r="B493" s="1" t="n">
        <v>45314.58785879629</v>
      </c>
      <c r="C493" s="1" t="n">
        <v>46059</v>
      </c>
      <c r="D493" t="inlineStr">
        <is>
          <t>JÄMTLANDS LÄN</t>
        </is>
      </c>
      <c r="E493" t="inlineStr">
        <is>
          <t>ÖSTERSUND</t>
        </is>
      </c>
      <c r="G493" t="n">
        <v>15</v>
      </c>
      <c r="H493" t="n">
        <v>0</v>
      </c>
      <c r="I493" t="n">
        <v>0</v>
      </c>
      <c r="J493" t="n">
        <v>0</v>
      </c>
      <c r="K493" t="n">
        <v>0</v>
      </c>
      <c r="L493" t="n">
        <v>0</v>
      </c>
      <c r="M493" t="n">
        <v>0</v>
      </c>
      <c r="N493" t="n">
        <v>0</v>
      </c>
      <c r="O493" t="n">
        <v>0</v>
      </c>
      <c r="P493" t="n">
        <v>0</v>
      </c>
      <c r="Q493" t="n">
        <v>0</v>
      </c>
      <c r="R493" s="2" t="inlineStr"/>
    </row>
    <row r="494" ht="15" customHeight="1">
      <c r="A494" t="inlineStr">
        <is>
          <t>A 54667-2025</t>
        </is>
      </c>
      <c r="B494" s="1" t="n">
        <v>45966.4077662037</v>
      </c>
      <c r="C494" s="1" t="n">
        <v>46059</v>
      </c>
      <c r="D494" t="inlineStr">
        <is>
          <t>JÄMTLANDS LÄN</t>
        </is>
      </c>
      <c r="E494" t="inlineStr">
        <is>
          <t>ÖSTERSUND</t>
        </is>
      </c>
      <c r="G494" t="n">
        <v>6.8</v>
      </c>
      <c r="H494" t="n">
        <v>0</v>
      </c>
      <c r="I494" t="n">
        <v>0</v>
      </c>
      <c r="J494" t="n">
        <v>0</v>
      </c>
      <c r="K494" t="n">
        <v>0</v>
      </c>
      <c r="L494" t="n">
        <v>0</v>
      </c>
      <c r="M494" t="n">
        <v>0</v>
      </c>
      <c r="N494" t="n">
        <v>0</v>
      </c>
      <c r="O494" t="n">
        <v>0</v>
      </c>
      <c r="P494" t="n">
        <v>0</v>
      </c>
      <c r="Q494" t="n">
        <v>0</v>
      </c>
      <c r="R494" s="2" t="inlineStr"/>
    </row>
    <row r="495" ht="15" customHeight="1">
      <c r="A495" t="inlineStr">
        <is>
          <t>A 54528-2025</t>
        </is>
      </c>
      <c r="B495" s="1" t="n">
        <v>45965.63496527778</v>
      </c>
      <c r="C495" s="1" t="n">
        <v>46059</v>
      </c>
      <c r="D495" t="inlineStr">
        <is>
          <t>JÄMTLANDS LÄN</t>
        </is>
      </c>
      <c r="E495" t="inlineStr">
        <is>
          <t>ÖSTERSUND</t>
        </is>
      </c>
      <c r="G495" t="n">
        <v>1.7</v>
      </c>
      <c r="H495" t="n">
        <v>0</v>
      </c>
      <c r="I495" t="n">
        <v>0</v>
      </c>
      <c r="J495" t="n">
        <v>0</v>
      </c>
      <c r="K495" t="n">
        <v>0</v>
      </c>
      <c r="L495" t="n">
        <v>0</v>
      </c>
      <c r="M495" t="n">
        <v>0</v>
      </c>
      <c r="N495" t="n">
        <v>0</v>
      </c>
      <c r="O495" t="n">
        <v>0</v>
      </c>
      <c r="P495" t="n">
        <v>0</v>
      </c>
      <c r="Q495" t="n">
        <v>0</v>
      </c>
      <c r="R495" s="2" t="inlineStr"/>
    </row>
    <row r="496" ht="15" customHeight="1">
      <c r="A496" t="inlineStr">
        <is>
          <t>A 54965-2025</t>
        </is>
      </c>
      <c r="B496" s="1" t="n">
        <v>45967.49037037037</v>
      </c>
      <c r="C496" s="1" t="n">
        <v>46059</v>
      </c>
      <c r="D496" t="inlineStr">
        <is>
          <t>JÄMTLANDS LÄN</t>
        </is>
      </c>
      <c r="E496" t="inlineStr">
        <is>
          <t>ÖSTERSUND</t>
        </is>
      </c>
      <c r="G496" t="n">
        <v>4.3</v>
      </c>
      <c r="H496" t="n">
        <v>0</v>
      </c>
      <c r="I496" t="n">
        <v>0</v>
      </c>
      <c r="J496" t="n">
        <v>0</v>
      </c>
      <c r="K496" t="n">
        <v>0</v>
      </c>
      <c r="L496" t="n">
        <v>0</v>
      </c>
      <c r="M496" t="n">
        <v>0</v>
      </c>
      <c r="N496" t="n">
        <v>0</v>
      </c>
      <c r="O496" t="n">
        <v>0</v>
      </c>
      <c r="P496" t="n">
        <v>0</v>
      </c>
      <c r="Q496" t="n">
        <v>0</v>
      </c>
      <c r="R496" s="2" t="inlineStr"/>
    </row>
    <row r="497" ht="15" customHeight="1">
      <c r="A497" t="inlineStr">
        <is>
          <t>A 55179-2025</t>
        </is>
      </c>
      <c r="B497" s="1" t="n">
        <v>45968.53167824074</v>
      </c>
      <c r="C497" s="1" t="n">
        <v>46059</v>
      </c>
      <c r="D497" t="inlineStr">
        <is>
          <t>JÄMTLANDS LÄN</t>
        </is>
      </c>
      <c r="E497" t="inlineStr">
        <is>
          <t>ÖSTERSUND</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54931-2025</t>
        </is>
      </c>
      <c r="B498" s="1" t="n">
        <v>45967.42462962963</v>
      </c>
      <c r="C498" s="1" t="n">
        <v>46059</v>
      </c>
      <c r="D498" t="inlineStr">
        <is>
          <t>JÄMTLANDS LÄN</t>
        </is>
      </c>
      <c r="E498" t="inlineStr">
        <is>
          <t>ÖSTERSUND</t>
        </is>
      </c>
      <c r="G498" t="n">
        <v>7.1</v>
      </c>
      <c r="H498" t="n">
        <v>0</v>
      </c>
      <c r="I498" t="n">
        <v>0</v>
      </c>
      <c r="J498" t="n">
        <v>0</v>
      </c>
      <c r="K498" t="n">
        <v>0</v>
      </c>
      <c r="L498" t="n">
        <v>0</v>
      </c>
      <c r="M498" t="n">
        <v>0</v>
      </c>
      <c r="N498" t="n">
        <v>0</v>
      </c>
      <c r="O498" t="n">
        <v>0</v>
      </c>
      <c r="P498" t="n">
        <v>0</v>
      </c>
      <c r="Q498" t="n">
        <v>0</v>
      </c>
      <c r="R498" s="2" t="inlineStr"/>
    </row>
    <row r="499" ht="15" customHeight="1">
      <c r="A499" t="inlineStr">
        <is>
          <t>A 27294-2023</t>
        </is>
      </c>
      <c r="B499" s="1" t="n">
        <v>45092</v>
      </c>
      <c r="C499" s="1" t="n">
        <v>46059</v>
      </c>
      <c r="D499" t="inlineStr">
        <is>
          <t>JÄMTLANDS LÄN</t>
        </is>
      </c>
      <c r="E499" t="inlineStr">
        <is>
          <t>ÖSTERSUND</t>
        </is>
      </c>
      <c r="G499" t="n">
        <v>2.8</v>
      </c>
      <c r="H499" t="n">
        <v>0</v>
      </c>
      <c r="I499" t="n">
        <v>0</v>
      </c>
      <c r="J499" t="n">
        <v>0</v>
      </c>
      <c r="K499" t="n">
        <v>0</v>
      </c>
      <c r="L499" t="n">
        <v>0</v>
      </c>
      <c r="M499" t="n">
        <v>0</v>
      </c>
      <c r="N499" t="n">
        <v>0</v>
      </c>
      <c r="O499" t="n">
        <v>0</v>
      </c>
      <c r="P499" t="n">
        <v>0</v>
      </c>
      <c r="Q499" t="n">
        <v>0</v>
      </c>
      <c r="R499" s="2" t="inlineStr"/>
    </row>
    <row r="500" ht="15" customHeight="1">
      <c r="A500" t="inlineStr">
        <is>
          <t>A 24246-2024</t>
        </is>
      </c>
      <c r="B500" s="1" t="n">
        <v>45457.37893518519</v>
      </c>
      <c r="C500" s="1" t="n">
        <v>46059</v>
      </c>
      <c r="D500" t="inlineStr">
        <is>
          <t>JÄMTLANDS LÄN</t>
        </is>
      </c>
      <c r="E500" t="inlineStr">
        <is>
          <t>ÖSTERSUND</t>
        </is>
      </c>
      <c r="G500" t="n">
        <v>5.3</v>
      </c>
      <c r="H500" t="n">
        <v>0</v>
      </c>
      <c r="I500" t="n">
        <v>0</v>
      </c>
      <c r="J500" t="n">
        <v>0</v>
      </c>
      <c r="K500" t="n">
        <v>0</v>
      </c>
      <c r="L500" t="n">
        <v>0</v>
      </c>
      <c r="M500" t="n">
        <v>0</v>
      </c>
      <c r="N500" t="n">
        <v>0</v>
      </c>
      <c r="O500" t="n">
        <v>0</v>
      </c>
      <c r="P500" t="n">
        <v>0</v>
      </c>
      <c r="Q500" t="n">
        <v>0</v>
      </c>
      <c r="R500" s="2" t="inlineStr"/>
    </row>
    <row r="501" ht="15" customHeight="1">
      <c r="A501" t="inlineStr">
        <is>
          <t>A 1670-2024</t>
        </is>
      </c>
      <c r="B501" s="1" t="n">
        <v>45306</v>
      </c>
      <c r="C501" s="1" t="n">
        <v>46059</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12821-2023</t>
        </is>
      </c>
      <c r="B502" s="1" t="n">
        <v>45000</v>
      </c>
      <c r="C502" s="1" t="n">
        <v>46059</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50088-2024</t>
        </is>
      </c>
      <c r="B503" s="1" t="n">
        <v>45600.38585648148</v>
      </c>
      <c r="C503" s="1" t="n">
        <v>46059</v>
      </c>
      <c r="D503" t="inlineStr">
        <is>
          <t>JÄMTLANDS LÄN</t>
        </is>
      </c>
      <c r="E503" t="inlineStr">
        <is>
          <t>ÖSTERSUND</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49192-2024</t>
        </is>
      </c>
      <c r="B504" s="1" t="n">
        <v>45595.34762731481</v>
      </c>
      <c r="C504" s="1" t="n">
        <v>46059</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24786-2024</t>
        </is>
      </c>
      <c r="B505" s="1" t="n">
        <v>45460.81277777778</v>
      </c>
      <c r="C505" s="1" t="n">
        <v>46059</v>
      </c>
      <c r="D505" t="inlineStr">
        <is>
          <t>JÄMTLANDS LÄN</t>
        </is>
      </c>
      <c r="E505" t="inlineStr">
        <is>
          <t>ÖSTERSUND</t>
        </is>
      </c>
      <c r="G505" t="n">
        <v>0.1</v>
      </c>
      <c r="H505" t="n">
        <v>0</v>
      </c>
      <c r="I505" t="n">
        <v>0</v>
      </c>
      <c r="J505" t="n">
        <v>0</v>
      </c>
      <c r="K505" t="n">
        <v>0</v>
      </c>
      <c r="L505" t="n">
        <v>0</v>
      </c>
      <c r="M505" t="n">
        <v>0</v>
      </c>
      <c r="N505" t="n">
        <v>0</v>
      </c>
      <c r="O505" t="n">
        <v>0</v>
      </c>
      <c r="P505" t="n">
        <v>0</v>
      </c>
      <c r="Q505" t="n">
        <v>0</v>
      </c>
      <c r="R505" s="2" t="inlineStr"/>
    </row>
    <row r="506" ht="15" customHeight="1">
      <c r="A506" t="inlineStr">
        <is>
          <t>A 54237-2024</t>
        </is>
      </c>
      <c r="B506" s="1" t="n">
        <v>45616.67833333334</v>
      </c>
      <c r="C506" s="1" t="n">
        <v>46059</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13024-2022</t>
        </is>
      </c>
      <c r="B507" s="1" t="n">
        <v>44643</v>
      </c>
      <c r="C507" s="1" t="n">
        <v>46059</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56165-2025</t>
        </is>
      </c>
      <c r="B508" s="1" t="n">
        <v>45974.38310185185</v>
      </c>
      <c r="C508" s="1" t="n">
        <v>46059</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69190-2021</t>
        </is>
      </c>
      <c r="B509" s="1" t="n">
        <v>44529</v>
      </c>
      <c r="C509" s="1" t="n">
        <v>46059</v>
      </c>
      <c r="D509" t="inlineStr">
        <is>
          <t>JÄMTLANDS LÄN</t>
        </is>
      </c>
      <c r="E509" t="inlineStr">
        <is>
          <t>ÖSTERSUND</t>
        </is>
      </c>
      <c r="G509" t="n">
        <v>4.2</v>
      </c>
      <c r="H509" t="n">
        <v>0</v>
      </c>
      <c r="I509" t="n">
        <v>0</v>
      </c>
      <c r="J509" t="n">
        <v>0</v>
      </c>
      <c r="K509" t="n">
        <v>0</v>
      </c>
      <c r="L509" t="n">
        <v>0</v>
      </c>
      <c r="M509" t="n">
        <v>0</v>
      </c>
      <c r="N509" t="n">
        <v>0</v>
      </c>
      <c r="O509" t="n">
        <v>0</v>
      </c>
      <c r="P509" t="n">
        <v>0</v>
      </c>
      <c r="Q509" t="n">
        <v>0</v>
      </c>
      <c r="R509" s="2" t="inlineStr"/>
    </row>
    <row r="510" ht="15" customHeight="1">
      <c r="A510" t="inlineStr">
        <is>
          <t>A 29128-2022</t>
        </is>
      </c>
      <c r="B510" s="1" t="n">
        <v>44750</v>
      </c>
      <c r="C510" s="1" t="n">
        <v>46059</v>
      </c>
      <c r="D510" t="inlineStr">
        <is>
          <t>JÄMTLANDS LÄN</t>
        </is>
      </c>
      <c r="E510" t="inlineStr">
        <is>
          <t>ÖSTERSUND</t>
        </is>
      </c>
      <c r="G510" t="n">
        <v>3</v>
      </c>
      <c r="H510" t="n">
        <v>0</v>
      </c>
      <c r="I510" t="n">
        <v>0</v>
      </c>
      <c r="J510" t="n">
        <v>0</v>
      </c>
      <c r="K510" t="n">
        <v>0</v>
      </c>
      <c r="L510" t="n">
        <v>0</v>
      </c>
      <c r="M510" t="n">
        <v>0</v>
      </c>
      <c r="N510" t="n">
        <v>0</v>
      </c>
      <c r="O510" t="n">
        <v>0</v>
      </c>
      <c r="P510" t="n">
        <v>0</v>
      </c>
      <c r="Q510" t="n">
        <v>0</v>
      </c>
      <c r="R510" s="2" t="inlineStr"/>
    </row>
    <row r="511" ht="15" customHeight="1">
      <c r="A511" t="inlineStr">
        <is>
          <t>A 24312-2021</t>
        </is>
      </c>
      <c r="B511" s="1" t="n">
        <v>44336</v>
      </c>
      <c r="C511" s="1" t="n">
        <v>46059</v>
      </c>
      <c r="D511" t="inlineStr">
        <is>
          <t>JÄMTLANDS LÄN</t>
        </is>
      </c>
      <c r="E511" t="inlineStr">
        <is>
          <t>ÖSTERSUND</t>
        </is>
      </c>
      <c r="G511" t="n">
        <v>10.6</v>
      </c>
      <c r="H511" t="n">
        <v>0</v>
      </c>
      <c r="I511" t="n">
        <v>0</v>
      </c>
      <c r="J511" t="n">
        <v>0</v>
      </c>
      <c r="K511" t="n">
        <v>0</v>
      </c>
      <c r="L511" t="n">
        <v>0</v>
      </c>
      <c r="M511" t="n">
        <v>0</v>
      </c>
      <c r="N511" t="n">
        <v>0</v>
      </c>
      <c r="O511" t="n">
        <v>0</v>
      </c>
      <c r="P511" t="n">
        <v>0</v>
      </c>
      <c r="Q511" t="n">
        <v>0</v>
      </c>
      <c r="R511" s="2" t="inlineStr"/>
    </row>
    <row r="512" ht="15" customHeight="1">
      <c r="A512" t="inlineStr">
        <is>
          <t>A 56903-2025</t>
        </is>
      </c>
      <c r="B512" s="1" t="n">
        <v>45978.57414351852</v>
      </c>
      <c r="C512" s="1" t="n">
        <v>46059</v>
      </c>
      <c r="D512" t="inlineStr">
        <is>
          <t>JÄMTLANDS LÄN</t>
        </is>
      </c>
      <c r="E512" t="inlineStr">
        <is>
          <t>ÖSTERSUND</t>
        </is>
      </c>
      <c r="G512" t="n">
        <v>3</v>
      </c>
      <c r="H512" t="n">
        <v>0</v>
      </c>
      <c r="I512" t="n">
        <v>0</v>
      </c>
      <c r="J512" t="n">
        <v>0</v>
      </c>
      <c r="K512" t="n">
        <v>0</v>
      </c>
      <c r="L512" t="n">
        <v>0</v>
      </c>
      <c r="M512" t="n">
        <v>0</v>
      </c>
      <c r="N512" t="n">
        <v>0</v>
      </c>
      <c r="O512" t="n">
        <v>0</v>
      </c>
      <c r="P512" t="n">
        <v>0</v>
      </c>
      <c r="Q512" t="n">
        <v>0</v>
      </c>
      <c r="R512" s="2" t="inlineStr"/>
    </row>
    <row r="513" ht="15" customHeight="1">
      <c r="A513" t="inlineStr">
        <is>
          <t>A 4707-2024</t>
        </is>
      </c>
      <c r="B513" s="1" t="n">
        <v>45328</v>
      </c>
      <c r="C513" s="1" t="n">
        <v>46059</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15659-2021</t>
        </is>
      </c>
      <c r="B514" s="1" t="n">
        <v>44298</v>
      </c>
      <c r="C514" s="1" t="n">
        <v>46059</v>
      </c>
      <c r="D514" t="inlineStr">
        <is>
          <t>JÄMTLANDS LÄN</t>
        </is>
      </c>
      <c r="E514" t="inlineStr">
        <is>
          <t>ÖSTERSUND</t>
        </is>
      </c>
      <c r="G514" t="n">
        <v>13.3</v>
      </c>
      <c r="H514" t="n">
        <v>0</v>
      </c>
      <c r="I514" t="n">
        <v>0</v>
      </c>
      <c r="J514" t="n">
        <v>0</v>
      </c>
      <c r="K514" t="n">
        <v>0</v>
      </c>
      <c r="L514" t="n">
        <v>0</v>
      </c>
      <c r="M514" t="n">
        <v>0</v>
      </c>
      <c r="N514" t="n">
        <v>0</v>
      </c>
      <c r="O514" t="n">
        <v>0</v>
      </c>
      <c r="P514" t="n">
        <v>0</v>
      </c>
      <c r="Q514" t="n">
        <v>0</v>
      </c>
      <c r="R514" s="2" t="inlineStr"/>
    </row>
    <row r="515" ht="15" customHeight="1">
      <c r="A515" t="inlineStr">
        <is>
          <t>A 5341-2025</t>
        </is>
      </c>
      <c r="B515" s="1" t="n">
        <v>45692.55256944444</v>
      </c>
      <c r="C515" s="1" t="n">
        <v>46059</v>
      </c>
      <c r="D515" t="inlineStr">
        <is>
          <t>JÄMTLANDS LÄN</t>
        </is>
      </c>
      <c r="E515" t="inlineStr">
        <is>
          <t>ÖSTERSUND</t>
        </is>
      </c>
      <c r="G515" t="n">
        <v>2.6</v>
      </c>
      <c r="H515" t="n">
        <v>0</v>
      </c>
      <c r="I515" t="n">
        <v>0</v>
      </c>
      <c r="J515" t="n">
        <v>0</v>
      </c>
      <c r="K515" t="n">
        <v>0</v>
      </c>
      <c r="L515" t="n">
        <v>0</v>
      </c>
      <c r="M515" t="n">
        <v>0</v>
      </c>
      <c r="N515" t="n">
        <v>0</v>
      </c>
      <c r="O515" t="n">
        <v>0</v>
      </c>
      <c r="P515" t="n">
        <v>0</v>
      </c>
      <c r="Q515" t="n">
        <v>0</v>
      </c>
      <c r="R515" s="2" t="inlineStr"/>
    </row>
    <row r="516" ht="15" customHeight="1">
      <c r="A516" t="inlineStr">
        <is>
          <t>A 1255-2025</t>
        </is>
      </c>
      <c r="B516" s="1" t="n">
        <v>45667.46922453704</v>
      </c>
      <c r="C516" s="1" t="n">
        <v>46059</v>
      </c>
      <c r="D516" t="inlineStr">
        <is>
          <t>JÄMTLANDS LÄN</t>
        </is>
      </c>
      <c r="E516" t="inlineStr">
        <is>
          <t>ÖSTERSUND</t>
        </is>
      </c>
      <c r="F516" t="inlineStr">
        <is>
          <t>SCA</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5549-2025</t>
        </is>
      </c>
      <c r="B517" s="1" t="n">
        <v>45693</v>
      </c>
      <c r="C517" s="1" t="n">
        <v>46059</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33831-2021</t>
        </is>
      </c>
      <c r="B518" s="1" t="n">
        <v>44378</v>
      </c>
      <c r="C518" s="1" t="n">
        <v>46059</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55064-2024</t>
        </is>
      </c>
      <c r="B519" s="1" t="n">
        <v>45621.41050925926</v>
      </c>
      <c r="C519" s="1" t="n">
        <v>46059</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10756-2025</t>
        </is>
      </c>
      <c r="B520" s="1" t="n">
        <v>45722.44892361111</v>
      </c>
      <c r="C520" s="1" t="n">
        <v>46059</v>
      </c>
      <c r="D520" t="inlineStr">
        <is>
          <t>JÄMTLANDS LÄN</t>
        </is>
      </c>
      <c r="E520" t="inlineStr">
        <is>
          <t>ÖSTERSUND</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10116-2025</t>
        </is>
      </c>
      <c r="B521" s="1" t="n">
        <v>45719.59836805556</v>
      </c>
      <c r="C521" s="1" t="n">
        <v>46059</v>
      </c>
      <c r="D521" t="inlineStr">
        <is>
          <t>JÄMTLANDS LÄN</t>
        </is>
      </c>
      <c r="E521" t="inlineStr">
        <is>
          <t>ÖSTERSUND</t>
        </is>
      </c>
      <c r="G521" t="n">
        <v>11.1</v>
      </c>
      <c r="H521" t="n">
        <v>0</v>
      </c>
      <c r="I521" t="n">
        <v>0</v>
      </c>
      <c r="J521" t="n">
        <v>0</v>
      </c>
      <c r="K521" t="n">
        <v>0</v>
      </c>
      <c r="L521" t="n">
        <v>0</v>
      </c>
      <c r="M521" t="n">
        <v>0</v>
      </c>
      <c r="N521" t="n">
        <v>0</v>
      </c>
      <c r="O521" t="n">
        <v>0</v>
      </c>
      <c r="P521" t="n">
        <v>0</v>
      </c>
      <c r="Q521" t="n">
        <v>0</v>
      </c>
      <c r="R521" s="2" t="inlineStr"/>
    </row>
    <row r="522" ht="15" customHeight="1">
      <c r="A522" t="inlineStr">
        <is>
          <t>A 9971-2025</t>
        </is>
      </c>
      <c r="B522" s="1" t="n">
        <v>45719.38630787037</v>
      </c>
      <c r="C522" s="1" t="n">
        <v>46059</v>
      </c>
      <c r="D522" t="inlineStr">
        <is>
          <t>JÄMTLANDS LÄN</t>
        </is>
      </c>
      <c r="E522" t="inlineStr">
        <is>
          <t>ÖSTERSUND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46748-2023</t>
        </is>
      </c>
      <c r="B523" s="1" t="n">
        <v>45198</v>
      </c>
      <c r="C523" s="1" t="n">
        <v>46059</v>
      </c>
      <c r="D523" t="inlineStr">
        <is>
          <t>JÄMTLANDS LÄN</t>
        </is>
      </c>
      <c r="E523" t="inlineStr">
        <is>
          <t>ÖSTERSUND</t>
        </is>
      </c>
      <c r="F523" t="inlineStr">
        <is>
          <t>Sveaskog</t>
        </is>
      </c>
      <c r="G523" t="n">
        <v>2.7</v>
      </c>
      <c r="H523" t="n">
        <v>0</v>
      </c>
      <c r="I523" t="n">
        <v>0</v>
      </c>
      <c r="J523" t="n">
        <v>0</v>
      </c>
      <c r="K523" t="n">
        <v>0</v>
      </c>
      <c r="L523" t="n">
        <v>0</v>
      </c>
      <c r="M523" t="n">
        <v>0</v>
      </c>
      <c r="N523" t="n">
        <v>0</v>
      </c>
      <c r="O523" t="n">
        <v>0</v>
      </c>
      <c r="P523" t="n">
        <v>0</v>
      </c>
      <c r="Q523" t="n">
        <v>0</v>
      </c>
      <c r="R523" s="2" t="inlineStr"/>
    </row>
    <row r="524" ht="15" customHeight="1">
      <c r="A524" t="inlineStr">
        <is>
          <t>A 46763-2023</t>
        </is>
      </c>
      <c r="B524" s="1" t="n">
        <v>45198</v>
      </c>
      <c r="C524" s="1" t="n">
        <v>46059</v>
      </c>
      <c r="D524" t="inlineStr">
        <is>
          <t>JÄMTLANDS LÄN</t>
        </is>
      </c>
      <c r="E524" t="inlineStr">
        <is>
          <t>ÖSTERSUND</t>
        </is>
      </c>
      <c r="F524" t="inlineStr">
        <is>
          <t>Sveaskog</t>
        </is>
      </c>
      <c r="G524" t="n">
        <v>13.3</v>
      </c>
      <c r="H524" t="n">
        <v>0</v>
      </c>
      <c r="I524" t="n">
        <v>0</v>
      </c>
      <c r="J524" t="n">
        <v>0</v>
      </c>
      <c r="K524" t="n">
        <v>0</v>
      </c>
      <c r="L524" t="n">
        <v>0</v>
      </c>
      <c r="M524" t="n">
        <v>0</v>
      </c>
      <c r="N524" t="n">
        <v>0</v>
      </c>
      <c r="O524" t="n">
        <v>0</v>
      </c>
      <c r="P524" t="n">
        <v>0</v>
      </c>
      <c r="Q524" t="n">
        <v>0</v>
      </c>
      <c r="R524" s="2" t="inlineStr"/>
    </row>
    <row r="525" ht="15" customHeight="1">
      <c r="A525" t="inlineStr">
        <is>
          <t>A 57398-2023</t>
        </is>
      </c>
      <c r="B525" s="1" t="n">
        <v>45245</v>
      </c>
      <c r="C525" s="1" t="n">
        <v>46059</v>
      </c>
      <c r="D525" t="inlineStr">
        <is>
          <t>JÄMTLANDS LÄN</t>
        </is>
      </c>
      <c r="E525" t="inlineStr">
        <is>
          <t>ÖSTERSUND</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8027-2022</t>
        </is>
      </c>
      <c r="B526" s="1" t="n">
        <v>44609</v>
      </c>
      <c r="C526" s="1" t="n">
        <v>46059</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5024-2025</t>
        </is>
      </c>
      <c r="B527" s="1" t="n">
        <v>45691.40832175926</v>
      </c>
      <c r="C527" s="1" t="n">
        <v>46059</v>
      </c>
      <c r="D527" t="inlineStr">
        <is>
          <t>JÄMTLANDS LÄN</t>
        </is>
      </c>
      <c r="E527" t="inlineStr">
        <is>
          <t>ÖSTERSUND</t>
        </is>
      </c>
      <c r="G527" t="n">
        <v>0.9</v>
      </c>
      <c r="H527" t="n">
        <v>0</v>
      </c>
      <c r="I527" t="n">
        <v>0</v>
      </c>
      <c r="J527" t="n">
        <v>0</v>
      </c>
      <c r="K527" t="n">
        <v>0</v>
      </c>
      <c r="L527" t="n">
        <v>0</v>
      </c>
      <c r="M527" t="n">
        <v>0</v>
      </c>
      <c r="N527" t="n">
        <v>0</v>
      </c>
      <c r="O527" t="n">
        <v>0</v>
      </c>
      <c r="P527" t="n">
        <v>0</v>
      </c>
      <c r="Q527" t="n">
        <v>0</v>
      </c>
      <c r="R527" s="2" t="inlineStr"/>
    </row>
    <row r="528" ht="15" customHeight="1">
      <c r="A528" t="inlineStr">
        <is>
          <t>A 5025-2025</t>
        </is>
      </c>
      <c r="B528" s="1" t="n">
        <v>45691.40836805556</v>
      </c>
      <c r="C528" s="1" t="n">
        <v>46059</v>
      </c>
      <c r="D528" t="inlineStr">
        <is>
          <t>JÄMTLANDS LÄN</t>
        </is>
      </c>
      <c r="E528" t="inlineStr">
        <is>
          <t>ÖSTERSUND</t>
        </is>
      </c>
      <c r="G528" t="n">
        <v>0.1</v>
      </c>
      <c r="H528" t="n">
        <v>0</v>
      </c>
      <c r="I528" t="n">
        <v>0</v>
      </c>
      <c r="J528" t="n">
        <v>0</v>
      </c>
      <c r="K528" t="n">
        <v>0</v>
      </c>
      <c r="L528" t="n">
        <v>0</v>
      </c>
      <c r="M528" t="n">
        <v>0</v>
      </c>
      <c r="N528" t="n">
        <v>0</v>
      </c>
      <c r="O528" t="n">
        <v>0</v>
      </c>
      <c r="P528" t="n">
        <v>0</v>
      </c>
      <c r="Q528" t="n">
        <v>0</v>
      </c>
      <c r="R528" s="2" t="inlineStr"/>
    </row>
    <row r="529" ht="15" customHeight="1">
      <c r="A529" t="inlineStr">
        <is>
          <t>A 19323-2024</t>
        </is>
      </c>
      <c r="B529" s="1" t="n">
        <v>45428.92486111111</v>
      </c>
      <c r="C529" s="1" t="n">
        <v>46059</v>
      </c>
      <c r="D529" t="inlineStr">
        <is>
          <t>JÄMTLANDS LÄN</t>
        </is>
      </c>
      <c r="E529" t="inlineStr">
        <is>
          <t>ÖSTERSUND</t>
        </is>
      </c>
      <c r="F529" t="inlineStr">
        <is>
          <t>Kommuner</t>
        </is>
      </c>
      <c r="G529" t="n">
        <v>0.2</v>
      </c>
      <c r="H529" t="n">
        <v>0</v>
      </c>
      <c r="I529" t="n">
        <v>0</v>
      </c>
      <c r="J529" t="n">
        <v>0</v>
      </c>
      <c r="K529" t="n">
        <v>0</v>
      </c>
      <c r="L529" t="n">
        <v>0</v>
      </c>
      <c r="M529" t="n">
        <v>0</v>
      </c>
      <c r="N529" t="n">
        <v>0</v>
      </c>
      <c r="O529" t="n">
        <v>0</v>
      </c>
      <c r="P529" t="n">
        <v>0</v>
      </c>
      <c r="Q529" t="n">
        <v>0</v>
      </c>
      <c r="R529" s="2" t="inlineStr"/>
    </row>
    <row r="530" ht="15" customHeight="1">
      <c r="A530" t="inlineStr">
        <is>
          <t>A 14831-2025</t>
        </is>
      </c>
      <c r="B530" s="1" t="n">
        <v>45743.37109953703</v>
      </c>
      <c r="C530" s="1" t="n">
        <v>46059</v>
      </c>
      <c r="D530" t="inlineStr">
        <is>
          <t>JÄMTLANDS LÄN</t>
        </is>
      </c>
      <c r="E530" t="inlineStr">
        <is>
          <t>ÖSTERSUND</t>
        </is>
      </c>
      <c r="G530" t="n">
        <v>1.2</v>
      </c>
      <c r="H530" t="n">
        <v>0</v>
      </c>
      <c r="I530" t="n">
        <v>0</v>
      </c>
      <c r="J530" t="n">
        <v>0</v>
      </c>
      <c r="K530" t="n">
        <v>0</v>
      </c>
      <c r="L530" t="n">
        <v>0</v>
      </c>
      <c r="M530" t="n">
        <v>0</v>
      </c>
      <c r="N530" t="n">
        <v>0</v>
      </c>
      <c r="O530" t="n">
        <v>0</v>
      </c>
      <c r="P530" t="n">
        <v>0</v>
      </c>
      <c r="Q530" t="n">
        <v>0</v>
      </c>
      <c r="R530" s="2" t="inlineStr"/>
    </row>
    <row r="531" ht="15" customHeight="1">
      <c r="A531" t="inlineStr">
        <is>
          <t>A 49592-2024</t>
        </is>
      </c>
      <c r="B531" s="1" t="n">
        <v>45596.55266203704</v>
      </c>
      <c r="C531" s="1" t="n">
        <v>46059</v>
      </c>
      <c r="D531" t="inlineStr">
        <is>
          <t>JÄMTLANDS LÄN</t>
        </is>
      </c>
      <c r="E531" t="inlineStr">
        <is>
          <t>ÖSTERSUND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56847-2024</t>
        </is>
      </c>
      <c r="B532" s="1" t="n">
        <v>45628.53381944444</v>
      </c>
      <c r="C532" s="1" t="n">
        <v>46059</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44798-2023</t>
        </is>
      </c>
      <c r="B533" s="1" t="n">
        <v>45190</v>
      </c>
      <c r="C533" s="1" t="n">
        <v>46059</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7327-2023</t>
        </is>
      </c>
      <c r="B534" s="1" t="n">
        <v>44970.97871527778</v>
      </c>
      <c r="C534" s="1" t="n">
        <v>46059</v>
      </c>
      <c r="D534" t="inlineStr">
        <is>
          <t>JÄMTLANDS LÄN</t>
        </is>
      </c>
      <c r="E534" t="inlineStr">
        <is>
          <t>ÖSTERSUND</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7022-2025</t>
        </is>
      </c>
      <c r="B535" s="1" t="n">
        <v>45701.61899305556</v>
      </c>
      <c r="C535" s="1" t="n">
        <v>46059</v>
      </c>
      <c r="D535" t="inlineStr">
        <is>
          <t>JÄMTLANDS LÄN</t>
        </is>
      </c>
      <c r="E535" t="inlineStr">
        <is>
          <t>ÖSTERSUND</t>
        </is>
      </c>
      <c r="G535" t="n">
        <v>4.8</v>
      </c>
      <c r="H535" t="n">
        <v>0</v>
      </c>
      <c r="I535" t="n">
        <v>0</v>
      </c>
      <c r="J535" t="n">
        <v>0</v>
      </c>
      <c r="K535" t="n">
        <v>0</v>
      </c>
      <c r="L535" t="n">
        <v>0</v>
      </c>
      <c r="M535" t="n">
        <v>0</v>
      </c>
      <c r="N535" t="n">
        <v>0</v>
      </c>
      <c r="O535" t="n">
        <v>0</v>
      </c>
      <c r="P535" t="n">
        <v>0</v>
      </c>
      <c r="Q535" t="n">
        <v>0</v>
      </c>
      <c r="R535" s="2" t="inlineStr"/>
    </row>
    <row r="536" ht="15" customHeight="1">
      <c r="A536" t="inlineStr">
        <is>
          <t>A 61376-2024</t>
        </is>
      </c>
      <c r="B536" s="1" t="n">
        <v>45646.39434027778</v>
      </c>
      <c r="C536" s="1" t="n">
        <v>46059</v>
      </c>
      <c r="D536" t="inlineStr">
        <is>
          <t>JÄMTLANDS LÄN</t>
        </is>
      </c>
      <c r="E536" t="inlineStr">
        <is>
          <t>ÖSTERSUND</t>
        </is>
      </c>
      <c r="G536" t="n">
        <v>4.6</v>
      </c>
      <c r="H536" t="n">
        <v>0</v>
      </c>
      <c r="I536" t="n">
        <v>0</v>
      </c>
      <c r="J536" t="n">
        <v>0</v>
      </c>
      <c r="K536" t="n">
        <v>0</v>
      </c>
      <c r="L536" t="n">
        <v>0</v>
      </c>
      <c r="M536" t="n">
        <v>0</v>
      </c>
      <c r="N536" t="n">
        <v>0</v>
      </c>
      <c r="O536" t="n">
        <v>0</v>
      </c>
      <c r="P536" t="n">
        <v>0</v>
      </c>
      <c r="Q536" t="n">
        <v>0</v>
      </c>
      <c r="R536" s="2" t="inlineStr"/>
    </row>
    <row r="537" ht="15" customHeight="1">
      <c r="A537" t="inlineStr">
        <is>
          <t>A 49788-2024</t>
        </is>
      </c>
      <c r="B537" s="1" t="n">
        <v>45597.36623842592</v>
      </c>
      <c r="C537" s="1" t="n">
        <v>46059</v>
      </c>
      <c r="D537" t="inlineStr">
        <is>
          <t>JÄMTLANDS LÄN</t>
        </is>
      </c>
      <c r="E537" t="inlineStr">
        <is>
          <t>ÖSTERSUND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58406-2024</t>
        </is>
      </c>
      <c r="B538" s="1" t="n">
        <v>45634.70898148148</v>
      </c>
      <c r="C538" s="1" t="n">
        <v>46059</v>
      </c>
      <c r="D538" t="inlineStr">
        <is>
          <t>JÄMTLANDS LÄN</t>
        </is>
      </c>
      <c r="E538" t="inlineStr">
        <is>
          <t>ÖSTERSUND</t>
        </is>
      </c>
      <c r="G538" t="n">
        <v>3.8</v>
      </c>
      <c r="H538" t="n">
        <v>0</v>
      </c>
      <c r="I538" t="n">
        <v>0</v>
      </c>
      <c r="J538" t="n">
        <v>0</v>
      </c>
      <c r="K538" t="n">
        <v>0</v>
      </c>
      <c r="L538" t="n">
        <v>0</v>
      </c>
      <c r="M538" t="n">
        <v>0</v>
      </c>
      <c r="N538" t="n">
        <v>0</v>
      </c>
      <c r="O538" t="n">
        <v>0</v>
      </c>
      <c r="P538" t="n">
        <v>0</v>
      </c>
      <c r="Q538" t="n">
        <v>0</v>
      </c>
      <c r="R538" s="2" t="inlineStr"/>
    </row>
    <row r="539" ht="15" customHeight="1">
      <c r="A539" t="inlineStr">
        <is>
          <t>A 4311-2025</t>
        </is>
      </c>
      <c r="B539" s="1" t="n">
        <v>45685.69267361111</v>
      </c>
      <c r="C539" s="1" t="n">
        <v>46059</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61002-2024</t>
        </is>
      </c>
      <c r="B540" s="1" t="n">
        <v>45645.44158564815</v>
      </c>
      <c r="C540" s="1" t="n">
        <v>46059</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8003-2025</t>
        </is>
      </c>
      <c r="B541" s="1" t="n">
        <v>45707</v>
      </c>
      <c r="C541" s="1" t="n">
        <v>46059</v>
      </c>
      <c r="D541" t="inlineStr">
        <is>
          <t>JÄMTLANDS LÄN</t>
        </is>
      </c>
      <c r="E541" t="inlineStr">
        <is>
          <t>ÖSTERSUND</t>
        </is>
      </c>
      <c r="F541" t="inlineStr">
        <is>
          <t>Övriga Aktiebolag</t>
        </is>
      </c>
      <c r="G541" t="n">
        <v>35.1</v>
      </c>
      <c r="H541" t="n">
        <v>0</v>
      </c>
      <c r="I541" t="n">
        <v>0</v>
      </c>
      <c r="J541" t="n">
        <v>0</v>
      </c>
      <c r="K541" t="n">
        <v>0</v>
      </c>
      <c r="L541" t="n">
        <v>0</v>
      </c>
      <c r="M541" t="n">
        <v>0</v>
      </c>
      <c r="N541" t="n">
        <v>0</v>
      </c>
      <c r="O541" t="n">
        <v>0</v>
      </c>
      <c r="P541" t="n">
        <v>0</v>
      </c>
      <c r="Q541" t="n">
        <v>0</v>
      </c>
      <c r="R541" s="2" t="inlineStr"/>
    </row>
    <row r="542" ht="15" customHeight="1">
      <c r="A542" t="inlineStr">
        <is>
          <t>A 38644-2021</t>
        </is>
      </c>
      <c r="B542" s="1" t="n">
        <v>44410.35376157407</v>
      </c>
      <c r="C542" s="1" t="n">
        <v>46059</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19581-2025</t>
        </is>
      </c>
      <c r="B543" s="1" t="n">
        <v>45770.56363425926</v>
      </c>
      <c r="C543" s="1" t="n">
        <v>46059</v>
      </c>
      <c r="D543" t="inlineStr">
        <is>
          <t>JÄMTLANDS LÄN</t>
        </is>
      </c>
      <c r="E543" t="inlineStr">
        <is>
          <t>ÖSTERSUND</t>
        </is>
      </c>
      <c r="G543" t="n">
        <v>17.2</v>
      </c>
      <c r="H543" t="n">
        <v>0</v>
      </c>
      <c r="I543" t="n">
        <v>0</v>
      </c>
      <c r="J543" t="n">
        <v>0</v>
      </c>
      <c r="K543" t="n">
        <v>0</v>
      </c>
      <c r="L543" t="n">
        <v>0</v>
      </c>
      <c r="M543" t="n">
        <v>0</v>
      </c>
      <c r="N543" t="n">
        <v>0</v>
      </c>
      <c r="O543" t="n">
        <v>0</v>
      </c>
      <c r="P543" t="n">
        <v>0</v>
      </c>
      <c r="Q543" t="n">
        <v>0</v>
      </c>
      <c r="R543" s="2" t="inlineStr"/>
    </row>
    <row r="544" ht="15" customHeight="1">
      <c r="A544" t="inlineStr">
        <is>
          <t>A 33501-2023</t>
        </is>
      </c>
      <c r="B544" s="1" t="n">
        <v>45118</v>
      </c>
      <c r="C544" s="1" t="n">
        <v>46059</v>
      </c>
      <c r="D544" t="inlineStr">
        <is>
          <t>JÄMTLANDS LÄN</t>
        </is>
      </c>
      <c r="E544" t="inlineStr">
        <is>
          <t>ÖSTERSUND</t>
        </is>
      </c>
      <c r="G544" t="n">
        <v>5.8</v>
      </c>
      <c r="H544" t="n">
        <v>0</v>
      </c>
      <c r="I544" t="n">
        <v>0</v>
      </c>
      <c r="J544" t="n">
        <v>0</v>
      </c>
      <c r="K544" t="n">
        <v>0</v>
      </c>
      <c r="L544" t="n">
        <v>0</v>
      </c>
      <c r="M544" t="n">
        <v>0</v>
      </c>
      <c r="N544" t="n">
        <v>0</v>
      </c>
      <c r="O544" t="n">
        <v>0</v>
      </c>
      <c r="P544" t="n">
        <v>0</v>
      </c>
      <c r="Q544" t="n">
        <v>0</v>
      </c>
      <c r="R544" s="2" t="inlineStr"/>
    </row>
    <row r="545" ht="15" customHeight="1">
      <c r="A545" t="inlineStr">
        <is>
          <t>A 62111-2024</t>
        </is>
      </c>
      <c r="B545" s="1" t="n">
        <v>45656.53215277778</v>
      </c>
      <c r="C545" s="1" t="n">
        <v>46059</v>
      </c>
      <c r="D545" t="inlineStr">
        <is>
          <t>JÄMTLANDS LÄN</t>
        </is>
      </c>
      <c r="E545" t="inlineStr">
        <is>
          <t>ÖSTERSUND</t>
        </is>
      </c>
      <c r="G545" t="n">
        <v>3.4</v>
      </c>
      <c r="H545" t="n">
        <v>0</v>
      </c>
      <c r="I545" t="n">
        <v>0</v>
      </c>
      <c r="J545" t="n">
        <v>0</v>
      </c>
      <c r="K545" t="n">
        <v>0</v>
      </c>
      <c r="L545" t="n">
        <v>0</v>
      </c>
      <c r="M545" t="n">
        <v>0</v>
      </c>
      <c r="N545" t="n">
        <v>0</v>
      </c>
      <c r="O545" t="n">
        <v>0</v>
      </c>
      <c r="P545" t="n">
        <v>0</v>
      </c>
      <c r="Q545" t="n">
        <v>0</v>
      </c>
      <c r="R545" s="2" t="inlineStr"/>
    </row>
    <row r="546" ht="15" customHeight="1">
      <c r="A546" t="inlineStr">
        <is>
          <t>A 22082-2022</t>
        </is>
      </c>
      <c r="B546" s="1" t="n">
        <v>44711.9403587963</v>
      </c>
      <c r="C546" s="1" t="n">
        <v>46059</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231-2022</t>
        </is>
      </c>
      <c r="B547" s="1" t="n">
        <v>44564.93909722222</v>
      </c>
      <c r="C547" s="1" t="n">
        <v>46059</v>
      </c>
      <c r="D547" t="inlineStr">
        <is>
          <t>JÄMTLANDS LÄN</t>
        </is>
      </c>
      <c r="E547" t="inlineStr">
        <is>
          <t>ÖSTERSUND</t>
        </is>
      </c>
      <c r="G547" t="n">
        <v>1.9</v>
      </c>
      <c r="H547" t="n">
        <v>0</v>
      </c>
      <c r="I547" t="n">
        <v>0</v>
      </c>
      <c r="J547" t="n">
        <v>0</v>
      </c>
      <c r="K547" t="n">
        <v>0</v>
      </c>
      <c r="L547" t="n">
        <v>0</v>
      </c>
      <c r="M547" t="n">
        <v>0</v>
      </c>
      <c r="N547" t="n">
        <v>0</v>
      </c>
      <c r="O547" t="n">
        <v>0</v>
      </c>
      <c r="P547" t="n">
        <v>0</v>
      </c>
      <c r="Q547" t="n">
        <v>0</v>
      </c>
      <c r="R547" s="2" t="inlineStr"/>
    </row>
    <row r="548" ht="15" customHeight="1">
      <c r="A548" t="inlineStr">
        <is>
          <t>A 52854-2024</t>
        </is>
      </c>
      <c r="B548" s="1" t="n">
        <v>45610.61030092592</v>
      </c>
      <c r="C548" s="1" t="n">
        <v>46059</v>
      </c>
      <c r="D548" t="inlineStr">
        <is>
          <t>JÄMTLANDS LÄN</t>
        </is>
      </c>
      <c r="E548" t="inlineStr">
        <is>
          <t>ÖSTERSUND</t>
        </is>
      </c>
      <c r="G548" t="n">
        <v>2.5</v>
      </c>
      <c r="H548" t="n">
        <v>0</v>
      </c>
      <c r="I548" t="n">
        <v>0</v>
      </c>
      <c r="J548" t="n">
        <v>0</v>
      </c>
      <c r="K548" t="n">
        <v>0</v>
      </c>
      <c r="L548" t="n">
        <v>0</v>
      </c>
      <c r="M548" t="n">
        <v>0</v>
      </c>
      <c r="N548" t="n">
        <v>0</v>
      </c>
      <c r="O548" t="n">
        <v>0</v>
      </c>
      <c r="P548" t="n">
        <v>0</v>
      </c>
      <c r="Q548" t="n">
        <v>0</v>
      </c>
      <c r="R548" s="2" t="inlineStr"/>
    </row>
    <row r="549" ht="15" customHeight="1">
      <c r="A549" t="inlineStr">
        <is>
          <t>A 41802-2021</t>
        </is>
      </c>
      <c r="B549" s="1" t="n">
        <v>44425</v>
      </c>
      <c r="C549" s="1" t="n">
        <v>46059</v>
      </c>
      <c r="D549" t="inlineStr">
        <is>
          <t>JÄMTLANDS LÄN</t>
        </is>
      </c>
      <c r="E549" t="inlineStr">
        <is>
          <t>ÖSTERSUND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8216-2025</t>
        </is>
      </c>
      <c r="B550" s="1" t="n">
        <v>45708.44947916667</v>
      </c>
      <c r="C550" s="1" t="n">
        <v>46059</v>
      </c>
      <c r="D550" t="inlineStr">
        <is>
          <t>JÄMTLANDS LÄN</t>
        </is>
      </c>
      <c r="E550" t="inlineStr">
        <is>
          <t>ÖSTERSUND</t>
        </is>
      </c>
      <c r="F550" t="inlineStr">
        <is>
          <t>Övriga Aktiebolag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3615-2025</t>
        </is>
      </c>
      <c r="B551" s="1" t="n">
        <v>45681.36493055556</v>
      </c>
      <c r="C551" s="1" t="n">
        <v>46059</v>
      </c>
      <c r="D551" t="inlineStr">
        <is>
          <t>JÄMTLANDS LÄN</t>
        </is>
      </c>
      <c r="E551" t="inlineStr">
        <is>
          <t>ÖSTERSUND</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3651-2025</t>
        </is>
      </c>
      <c r="B552" s="1" t="n">
        <v>45681.40689814815</v>
      </c>
      <c r="C552" s="1" t="n">
        <v>46059</v>
      </c>
      <c r="D552" t="inlineStr">
        <is>
          <t>JÄMTLANDS LÄN</t>
        </is>
      </c>
      <c r="E552" t="inlineStr">
        <is>
          <t>ÖSTERSUND</t>
        </is>
      </c>
      <c r="F552" t="inlineStr">
        <is>
          <t>SCA</t>
        </is>
      </c>
      <c r="G552" t="n">
        <v>9.6</v>
      </c>
      <c r="H552" t="n">
        <v>0</v>
      </c>
      <c r="I552" t="n">
        <v>0</v>
      </c>
      <c r="J552" t="n">
        <v>0</v>
      </c>
      <c r="K552" t="n">
        <v>0</v>
      </c>
      <c r="L552" t="n">
        <v>0</v>
      </c>
      <c r="M552" t="n">
        <v>0</v>
      </c>
      <c r="N552" t="n">
        <v>0</v>
      </c>
      <c r="O552" t="n">
        <v>0</v>
      </c>
      <c r="P552" t="n">
        <v>0</v>
      </c>
      <c r="Q552" t="n">
        <v>0</v>
      </c>
      <c r="R552" s="2" t="inlineStr"/>
    </row>
    <row r="553" ht="15" customHeight="1">
      <c r="A553" t="inlineStr">
        <is>
          <t>A 3664-2025</t>
        </is>
      </c>
      <c r="B553" s="1" t="n">
        <v>45681.4275462963</v>
      </c>
      <c r="C553" s="1" t="n">
        <v>46059</v>
      </c>
      <c r="D553" t="inlineStr">
        <is>
          <t>JÄMTLANDS LÄN</t>
        </is>
      </c>
      <c r="E553" t="inlineStr">
        <is>
          <t>ÖSTERSUND</t>
        </is>
      </c>
      <c r="F553" t="inlineStr">
        <is>
          <t>SCA</t>
        </is>
      </c>
      <c r="G553" t="n">
        <v>10.9</v>
      </c>
      <c r="H553" t="n">
        <v>0</v>
      </c>
      <c r="I553" t="n">
        <v>0</v>
      </c>
      <c r="J553" t="n">
        <v>0</v>
      </c>
      <c r="K553" t="n">
        <v>0</v>
      </c>
      <c r="L553" t="n">
        <v>0</v>
      </c>
      <c r="M553" t="n">
        <v>0</v>
      </c>
      <c r="N553" t="n">
        <v>0</v>
      </c>
      <c r="O553" t="n">
        <v>0</v>
      </c>
      <c r="P553" t="n">
        <v>0</v>
      </c>
      <c r="Q553" t="n">
        <v>0</v>
      </c>
      <c r="R553" s="2" t="inlineStr"/>
    </row>
    <row r="554" ht="15" customHeight="1">
      <c r="A554" t="inlineStr">
        <is>
          <t>A 7953-2025</t>
        </is>
      </c>
      <c r="B554" s="1" t="n">
        <v>45707.42392361111</v>
      </c>
      <c r="C554" s="1" t="n">
        <v>46059</v>
      </c>
      <c r="D554" t="inlineStr">
        <is>
          <t>JÄMTLANDS LÄN</t>
        </is>
      </c>
      <c r="E554" t="inlineStr">
        <is>
          <t>ÖSTERSUND</t>
        </is>
      </c>
      <c r="G554" t="n">
        <v>1.8</v>
      </c>
      <c r="H554" t="n">
        <v>0</v>
      </c>
      <c r="I554" t="n">
        <v>0</v>
      </c>
      <c r="J554" t="n">
        <v>0</v>
      </c>
      <c r="K554" t="n">
        <v>0</v>
      </c>
      <c r="L554" t="n">
        <v>0</v>
      </c>
      <c r="M554" t="n">
        <v>0</v>
      </c>
      <c r="N554" t="n">
        <v>0</v>
      </c>
      <c r="O554" t="n">
        <v>0</v>
      </c>
      <c r="P554" t="n">
        <v>0</v>
      </c>
      <c r="Q554" t="n">
        <v>0</v>
      </c>
      <c r="R554" s="2" t="inlineStr"/>
    </row>
    <row r="555" ht="15" customHeight="1">
      <c r="A555" t="inlineStr">
        <is>
          <t>A 13738-2025</t>
        </is>
      </c>
      <c r="B555" s="1" t="n">
        <v>45737.40131944444</v>
      </c>
      <c r="C555" s="1" t="n">
        <v>46059</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12429-2025</t>
        </is>
      </c>
      <c r="B556" s="1" t="n">
        <v>45730.45930555555</v>
      </c>
      <c r="C556" s="1" t="n">
        <v>46059</v>
      </c>
      <c r="D556" t="inlineStr">
        <is>
          <t>JÄMTLANDS LÄN</t>
        </is>
      </c>
      <c r="E556" t="inlineStr">
        <is>
          <t>ÖSTERSUND</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5140-2025</t>
        </is>
      </c>
      <c r="B557" s="1" t="n">
        <v>45691</v>
      </c>
      <c r="C557" s="1" t="n">
        <v>46059</v>
      </c>
      <c r="D557" t="inlineStr">
        <is>
          <t>JÄMTLANDS LÄN</t>
        </is>
      </c>
      <c r="E557" t="inlineStr">
        <is>
          <t>ÖSTERSUND</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29703-2023</t>
        </is>
      </c>
      <c r="B558" s="1" t="n">
        <v>45107</v>
      </c>
      <c r="C558" s="1" t="n">
        <v>46059</v>
      </c>
      <c r="D558" t="inlineStr">
        <is>
          <t>JÄMTLANDS LÄN</t>
        </is>
      </c>
      <c r="E558" t="inlineStr">
        <is>
          <t>ÖSTERSUND</t>
        </is>
      </c>
      <c r="G558" t="n">
        <v>0.3</v>
      </c>
      <c r="H558" t="n">
        <v>0</v>
      </c>
      <c r="I558" t="n">
        <v>0</v>
      </c>
      <c r="J558" t="n">
        <v>0</v>
      </c>
      <c r="K558" t="n">
        <v>0</v>
      </c>
      <c r="L558" t="n">
        <v>0</v>
      </c>
      <c r="M558" t="n">
        <v>0</v>
      </c>
      <c r="N558" t="n">
        <v>0</v>
      </c>
      <c r="O558" t="n">
        <v>0</v>
      </c>
      <c r="P558" t="n">
        <v>0</v>
      </c>
      <c r="Q558" t="n">
        <v>0</v>
      </c>
      <c r="R558" s="2" t="inlineStr"/>
    </row>
    <row r="559" ht="15" customHeight="1">
      <c r="A559" t="inlineStr">
        <is>
          <t>A 18429-2025</t>
        </is>
      </c>
      <c r="B559" s="1" t="n">
        <v>45762.63375</v>
      </c>
      <c r="C559" s="1" t="n">
        <v>46059</v>
      </c>
      <c r="D559" t="inlineStr">
        <is>
          <t>JÄMTLANDS LÄN</t>
        </is>
      </c>
      <c r="E559" t="inlineStr">
        <is>
          <t>ÖSTERSUND</t>
        </is>
      </c>
      <c r="F559" t="inlineStr">
        <is>
          <t>Sveaskog</t>
        </is>
      </c>
      <c r="G559" t="n">
        <v>5.5</v>
      </c>
      <c r="H559" t="n">
        <v>0</v>
      </c>
      <c r="I559" t="n">
        <v>0</v>
      </c>
      <c r="J559" t="n">
        <v>0</v>
      </c>
      <c r="K559" t="n">
        <v>0</v>
      </c>
      <c r="L559" t="n">
        <v>0</v>
      </c>
      <c r="M559" t="n">
        <v>0</v>
      </c>
      <c r="N559" t="n">
        <v>0</v>
      </c>
      <c r="O559" t="n">
        <v>0</v>
      </c>
      <c r="P559" t="n">
        <v>0</v>
      </c>
      <c r="Q559" t="n">
        <v>0</v>
      </c>
      <c r="R559" s="2" t="inlineStr"/>
    </row>
    <row r="560" ht="15" customHeight="1">
      <c r="A560" t="inlineStr">
        <is>
          <t>A 51479-2023</t>
        </is>
      </c>
      <c r="B560" s="1" t="n">
        <v>45221.92429398148</v>
      </c>
      <c r="C560" s="1" t="n">
        <v>46059</v>
      </c>
      <c r="D560" t="inlineStr">
        <is>
          <t>JÄMTLANDS LÄN</t>
        </is>
      </c>
      <c r="E560" t="inlineStr">
        <is>
          <t>ÖSTERSUND</t>
        </is>
      </c>
      <c r="G560" t="n">
        <v>1.9</v>
      </c>
      <c r="H560" t="n">
        <v>0</v>
      </c>
      <c r="I560" t="n">
        <v>0</v>
      </c>
      <c r="J560" t="n">
        <v>0</v>
      </c>
      <c r="K560" t="n">
        <v>0</v>
      </c>
      <c r="L560" t="n">
        <v>0</v>
      </c>
      <c r="M560" t="n">
        <v>0</v>
      </c>
      <c r="N560" t="n">
        <v>0</v>
      </c>
      <c r="O560" t="n">
        <v>0</v>
      </c>
      <c r="P560" t="n">
        <v>0</v>
      </c>
      <c r="Q560" t="n">
        <v>0</v>
      </c>
      <c r="R560" s="2" t="inlineStr"/>
    </row>
    <row r="561" ht="15" customHeight="1">
      <c r="A561" t="inlineStr">
        <is>
          <t>A 11933-2022</t>
        </is>
      </c>
      <c r="B561" s="1" t="n">
        <v>44635</v>
      </c>
      <c r="C561" s="1" t="n">
        <v>46059</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45980-2023</t>
        </is>
      </c>
      <c r="B562" s="1" t="n">
        <v>45189</v>
      </c>
      <c r="C562" s="1" t="n">
        <v>46059</v>
      </c>
      <c r="D562" t="inlineStr">
        <is>
          <t>JÄMTLANDS LÄN</t>
        </is>
      </c>
      <c r="E562" t="inlineStr">
        <is>
          <t>ÖSTERSUND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53660-2024</t>
        </is>
      </c>
      <c r="B563" s="1" t="n">
        <v>45615.31297453704</v>
      </c>
      <c r="C563" s="1" t="n">
        <v>46059</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19566-2024</t>
        </is>
      </c>
      <c r="B564" s="1" t="n">
        <v>45429.92313657407</v>
      </c>
      <c r="C564" s="1" t="n">
        <v>46059</v>
      </c>
      <c r="D564" t="inlineStr">
        <is>
          <t>JÄMTLANDS LÄN</t>
        </is>
      </c>
      <c r="E564" t="inlineStr">
        <is>
          <t>ÖSTERSUND</t>
        </is>
      </c>
      <c r="G564" t="n">
        <v>0</v>
      </c>
      <c r="H564" t="n">
        <v>0</v>
      </c>
      <c r="I564" t="n">
        <v>0</v>
      </c>
      <c r="J564" t="n">
        <v>0</v>
      </c>
      <c r="K564" t="n">
        <v>0</v>
      </c>
      <c r="L564" t="n">
        <v>0</v>
      </c>
      <c r="M564" t="n">
        <v>0</v>
      </c>
      <c r="N564" t="n">
        <v>0</v>
      </c>
      <c r="O564" t="n">
        <v>0</v>
      </c>
      <c r="P564" t="n">
        <v>0</v>
      </c>
      <c r="Q564" t="n">
        <v>0</v>
      </c>
      <c r="R564" s="2" t="inlineStr"/>
    </row>
    <row r="565" ht="15" customHeight="1">
      <c r="A565" t="inlineStr">
        <is>
          <t>A 21495-2022</t>
        </is>
      </c>
      <c r="B565" s="1" t="n">
        <v>44706</v>
      </c>
      <c r="C565" s="1" t="n">
        <v>46059</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12102-2025</t>
        </is>
      </c>
      <c r="B566" s="1" t="n">
        <v>45729.3425</v>
      </c>
      <c r="C566" s="1" t="n">
        <v>46059</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7005-2025</t>
        </is>
      </c>
      <c r="B567" s="1" t="n">
        <v>45701.60046296296</v>
      </c>
      <c r="C567" s="1" t="n">
        <v>46059</v>
      </c>
      <c r="D567" t="inlineStr">
        <is>
          <t>JÄMTLANDS LÄN</t>
        </is>
      </c>
      <c r="E567" t="inlineStr">
        <is>
          <t>ÖSTERSUND</t>
        </is>
      </c>
      <c r="G567" t="n">
        <v>3.3</v>
      </c>
      <c r="H567" t="n">
        <v>0</v>
      </c>
      <c r="I567" t="n">
        <v>0</v>
      </c>
      <c r="J567" t="n">
        <v>0</v>
      </c>
      <c r="K567" t="n">
        <v>0</v>
      </c>
      <c r="L567" t="n">
        <v>0</v>
      </c>
      <c r="M567" t="n">
        <v>0</v>
      </c>
      <c r="N567" t="n">
        <v>0</v>
      </c>
      <c r="O567" t="n">
        <v>0</v>
      </c>
      <c r="P567" t="n">
        <v>0</v>
      </c>
      <c r="Q567" t="n">
        <v>0</v>
      </c>
      <c r="R567" s="2" t="inlineStr"/>
    </row>
    <row r="568" ht="15" customHeight="1">
      <c r="A568" t="inlineStr">
        <is>
          <t>A 57556-2024</t>
        </is>
      </c>
      <c r="B568" s="1" t="n">
        <v>45630</v>
      </c>
      <c r="C568" s="1" t="n">
        <v>46059</v>
      </c>
      <c r="D568" t="inlineStr">
        <is>
          <t>JÄMTLANDS LÄN</t>
        </is>
      </c>
      <c r="E568" t="inlineStr">
        <is>
          <t>ÖSTERSUND</t>
        </is>
      </c>
      <c r="G568" t="n">
        <v>5.5</v>
      </c>
      <c r="H568" t="n">
        <v>0</v>
      </c>
      <c r="I568" t="n">
        <v>0</v>
      </c>
      <c r="J568" t="n">
        <v>0</v>
      </c>
      <c r="K568" t="n">
        <v>0</v>
      </c>
      <c r="L568" t="n">
        <v>0</v>
      </c>
      <c r="M568" t="n">
        <v>0</v>
      </c>
      <c r="N568" t="n">
        <v>0</v>
      </c>
      <c r="O568" t="n">
        <v>0</v>
      </c>
      <c r="P568" t="n">
        <v>0</v>
      </c>
      <c r="Q568" t="n">
        <v>0</v>
      </c>
      <c r="R568" s="2" t="inlineStr"/>
    </row>
    <row r="569" ht="15" customHeight="1">
      <c r="A569" t="inlineStr">
        <is>
          <t>A 8389-2025</t>
        </is>
      </c>
      <c r="B569" s="1" t="n">
        <v>45709.36497685185</v>
      </c>
      <c r="C569" s="1" t="n">
        <v>46059</v>
      </c>
      <c r="D569" t="inlineStr">
        <is>
          <t>JÄMTLANDS LÄN</t>
        </is>
      </c>
      <c r="E569" t="inlineStr">
        <is>
          <t>ÖSTERSUND</t>
        </is>
      </c>
      <c r="F569" t="inlineStr">
        <is>
          <t>SCA</t>
        </is>
      </c>
      <c r="G569" t="n">
        <v>6.3</v>
      </c>
      <c r="H569" t="n">
        <v>0</v>
      </c>
      <c r="I569" t="n">
        <v>0</v>
      </c>
      <c r="J569" t="n">
        <v>0</v>
      </c>
      <c r="K569" t="n">
        <v>0</v>
      </c>
      <c r="L569" t="n">
        <v>0</v>
      </c>
      <c r="M569" t="n">
        <v>0</v>
      </c>
      <c r="N569" t="n">
        <v>0</v>
      </c>
      <c r="O569" t="n">
        <v>0</v>
      </c>
      <c r="P569" t="n">
        <v>0</v>
      </c>
      <c r="Q569" t="n">
        <v>0</v>
      </c>
      <c r="R569" s="2" t="inlineStr"/>
    </row>
    <row r="570" ht="15" customHeight="1">
      <c r="A570" t="inlineStr">
        <is>
          <t>A 44048-2024</t>
        </is>
      </c>
      <c r="B570" s="1" t="n">
        <v>45572.59430555555</v>
      </c>
      <c r="C570" s="1" t="n">
        <v>46059</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55235-2023</t>
        </is>
      </c>
      <c r="B571" s="1" t="n">
        <v>45231</v>
      </c>
      <c r="C571" s="1" t="n">
        <v>46059</v>
      </c>
      <c r="D571" t="inlineStr">
        <is>
          <t>JÄMTLANDS LÄN</t>
        </is>
      </c>
      <c r="E571" t="inlineStr">
        <is>
          <t>ÖSTERSUND</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4063-2025</t>
        </is>
      </c>
      <c r="B572" s="1" t="n">
        <v>45684</v>
      </c>
      <c r="C572" s="1" t="n">
        <v>46059</v>
      </c>
      <c r="D572" t="inlineStr">
        <is>
          <t>JÄMTLANDS LÄN</t>
        </is>
      </c>
      <c r="E572" t="inlineStr">
        <is>
          <t>ÖSTERSUND</t>
        </is>
      </c>
      <c r="G572" t="n">
        <v>2.9</v>
      </c>
      <c r="H572" t="n">
        <v>0</v>
      </c>
      <c r="I572" t="n">
        <v>0</v>
      </c>
      <c r="J572" t="n">
        <v>0</v>
      </c>
      <c r="K572" t="n">
        <v>0</v>
      </c>
      <c r="L572" t="n">
        <v>0</v>
      </c>
      <c r="M572" t="n">
        <v>0</v>
      </c>
      <c r="N572" t="n">
        <v>0</v>
      </c>
      <c r="O572" t="n">
        <v>0</v>
      </c>
      <c r="P572" t="n">
        <v>0</v>
      </c>
      <c r="Q572" t="n">
        <v>0</v>
      </c>
      <c r="R572" s="2" t="inlineStr"/>
    </row>
    <row r="573" ht="15" customHeight="1">
      <c r="A573" t="inlineStr">
        <is>
          <t>A 7936-2025</t>
        </is>
      </c>
      <c r="B573" s="1" t="n">
        <v>45707</v>
      </c>
      <c r="C573" s="1" t="n">
        <v>46059</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7940-2025</t>
        </is>
      </c>
      <c r="B574" s="1" t="n">
        <v>45707.40493055555</v>
      </c>
      <c r="C574" s="1" t="n">
        <v>46059</v>
      </c>
      <c r="D574" t="inlineStr">
        <is>
          <t>JÄMTLANDS LÄN</t>
        </is>
      </c>
      <c r="E574" t="inlineStr">
        <is>
          <t>ÖSTERSUND</t>
        </is>
      </c>
      <c r="F574" t="inlineStr">
        <is>
          <t>Övriga Aktiebolag</t>
        </is>
      </c>
      <c r="G574" t="n">
        <v>48.1</v>
      </c>
      <c r="H574" t="n">
        <v>0</v>
      </c>
      <c r="I574" t="n">
        <v>0</v>
      </c>
      <c r="J574" t="n">
        <v>0</v>
      </c>
      <c r="K574" t="n">
        <v>0</v>
      </c>
      <c r="L574" t="n">
        <v>0</v>
      </c>
      <c r="M574" t="n">
        <v>0</v>
      </c>
      <c r="N574" t="n">
        <v>0</v>
      </c>
      <c r="O574" t="n">
        <v>0</v>
      </c>
      <c r="P574" t="n">
        <v>0</v>
      </c>
      <c r="Q574" t="n">
        <v>0</v>
      </c>
      <c r="R574" s="2" t="inlineStr"/>
    </row>
    <row r="575" ht="15" customHeight="1">
      <c r="A575" t="inlineStr">
        <is>
          <t>A 12946-2022</t>
        </is>
      </c>
      <c r="B575" s="1" t="n">
        <v>44642.93471064815</v>
      </c>
      <c r="C575" s="1" t="n">
        <v>46059</v>
      </c>
      <c r="D575" t="inlineStr">
        <is>
          <t>JÄMTLANDS LÄN</t>
        </is>
      </c>
      <c r="E575" t="inlineStr">
        <is>
          <t>ÖSTERSUND</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79-2025</t>
        </is>
      </c>
      <c r="B576" s="1" t="n">
        <v>45659.44413194444</v>
      </c>
      <c r="C576" s="1" t="n">
        <v>46059</v>
      </c>
      <c r="D576" t="inlineStr">
        <is>
          <t>JÄMTLANDS LÄN</t>
        </is>
      </c>
      <c r="E576" t="inlineStr">
        <is>
          <t>ÖSTERSUND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31040-2021</t>
        </is>
      </c>
      <c r="B577" s="1" t="n">
        <v>44368</v>
      </c>
      <c r="C577" s="1" t="n">
        <v>46059</v>
      </c>
      <c r="D577" t="inlineStr">
        <is>
          <t>JÄMTLANDS LÄN</t>
        </is>
      </c>
      <c r="E577" t="inlineStr">
        <is>
          <t>ÖSTERSUND</t>
        </is>
      </c>
      <c r="G577" t="n">
        <v>4.3</v>
      </c>
      <c r="H577" t="n">
        <v>0</v>
      </c>
      <c r="I577" t="n">
        <v>0</v>
      </c>
      <c r="J577" t="n">
        <v>0</v>
      </c>
      <c r="K577" t="n">
        <v>0</v>
      </c>
      <c r="L577" t="n">
        <v>0</v>
      </c>
      <c r="M577" t="n">
        <v>0</v>
      </c>
      <c r="N577" t="n">
        <v>0</v>
      </c>
      <c r="O577" t="n">
        <v>0</v>
      </c>
      <c r="P577" t="n">
        <v>0</v>
      </c>
      <c r="Q577" t="n">
        <v>0</v>
      </c>
      <c r="R577" s="2" t="inlineStr"/>
    </row>
    <row r="578" ht="15" customHeight="1">
      <c r="A578" t="inlineStr">
        <is>
          <t>A 2753-2025</t>
        </is>
      </c>
      <c r="B578" s="1" t="n">
        <v>45677.47302083333</v>
      </c>
      <c r="C578" s="1" t="n">
        <v>46059</v>
      </c>
      <c r="D578" t="inlineStr">
        <is>
          <t>JÄMTLANDS LÄN</t>
        </is>
      </c>
      <c r="E578" t="inlineStr">
        <is>
          <t>ÖSTERSUND</t>
        </is>
      </c>
      <c r="G578" t="n">
        <v>6.4</v>
      </c>
      <c r="H578" t="n">
        <v>0</v>
      </c>
      <c r="I578" t="n">
        <v>0</v>
      </c>
      <c r="J578" t="n">
        <v>0</v>
      </c>
      <c r="K578" t="n">
        <v>0</v>
      </c>
      <c r="L578" t="n">
        <v>0</v>
      </c>
      <c r="M578" t="n">
        <v>0</v>
      </c>
      <c r="N578" t="n">
        <v>0</v>
      </c>
      <c r="O578" t="n">
        <v>0</v>
      </c>
      <c r="P578" t="n">
        <v>0</v>
      </c>
      <c r="Q578" t="n">
        <v>0</v>
      </c>
      <c r="R578" s="2" t="inlineStr"/>
    </row>
    <row r="579" ht="15" customHeight="1">
      <c r="A579" t="inlineStr">
        <is>
          <t>A 44327-2023</t>
        </is>
      </c>
      <c r="B579" s="1" t="n">
        <v>45188</v>
      </c>
      <c r="C579" s="1" t="n">
        <v>46059</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27780-2022</t>
        </is>
      </c>
      <c r="B580" s="1" t="n">
        <v>44743</v>
      </c>
      <c r="C580" s="1" t="n">
        <v>46059</v>
      </c>
      <c r="D580" t="inlineStr">
        <is>
          <t>JÄMTLANDS LÄN</t>
        </is>
      </c>
      <c r="E580" t="inlineStr">
        <is>
          <t>ÖSTERSUND</t>
        </is>
      </c>
      <c r="G580" t="n">
        <v>2.2</v>
      </c>
      <c r="H580" t="n">
        <v>0</v>
      </c>
      <c r="I580" t="n">
        <v>0</v>
      </c>
      <c r="J580" t="n">
        <v>0</v>
      </c>
      <c r="K580" t="n">
        <v>0</v>
      </c>
      <c r="L580" t="n">
        <v>0</v>
      </c>
      <c r="M580" t="n">
        <v>0</v>
      </c>
      <c r="N580" t="n">
        <v>0</v>
      </c>
      <c r="O580" t="n">
        <v>0</v>
      </c>
      <c r="P580" t="n">
        <v>0</v>
      </c>
      <c r="Q580" t="n">
        <v>0</v>
      </c>
      <c r="R580" s="2" t="inlineStr"/>
    </row>
    <row r="581" ht="15" customHeight="1">
      <c r="A581" t="inlineStr">
        <is>
          <t>A 23555-2022</t>
        </is>
      </c>
      <c r="B581" s="1" t="n">
        <v>44721</v>
      </c>
      <c r="C581" s="1" t="n">
        <v>46059</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10267-2025</t>
        </is>
      </c>
      <c r="B582" s="1" t="n">
        <v>45720.3859375</v>
      </c>
      <c r="C582" s="1" t="n">
        <v>46059</v>
      </c>
      <c r="D582" t="inlineStr">
        <is>
          <t>JÄMTLANDS LÄN</t>
        </is>
      </c>
      <c r="E582" t="inlineStr">
        <is>
          <t>ÖSTERSUND</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10493-2025</t>
        </is>
      </c>
      <c r="B583" s="1" t="n">
        <v>45721.36320601852</v>
      </c>
      <c r="C583" s="1" t="n">
        <v>46059</v>
      </c>
      <c r="D583" t="inlineStr">
        <is>
          <t>JÄMTLANDS LÄN</t>
        </is>
      </c>
      <c r="E583" t="inlineStr">
        <is>
          <t>ÖSTERSUND</t>
        </is>
      </c>
      <c r="G583" t="n">
        <v>1.7</v>
      </c>
      <c r="H583" t="n">
        <v>0</v>
      </c>
      <c r="I583" t="n">
        <v>0</v>
      </c>
      <c r="J583" t="n">
        <v>0</v>
      </c>
      <c r="K583" t="n">
        <v>0</v>
      </c>
      <c r="L583" t="n">
        <v>0</v>
      </c>
      <c r="M583" t="n">
        <v>0</v>
      </c>
      <c r="N583" t="n">
        <v>0</v>
      </c>
      <c r="O583" t="n">
        <v>0</v>
      </c>
      <c r="P583" t="n">
        <v>0</v>
      </c>
      <c r="Q583" t="n">
        <v>0</v>
      </c>
      <c r="R583" s="2" t="inlineStr"/>
    </row>
    <row r="584" ht="15" customHeight="1">
      <c r="A584" t="inlineStr">
        <is>
          <t>A 3844-2024</t>
        </is>
      </c>
      <c r="B584" s="1" t="n">
        <v>45321</v>
      </c>
      <c r="C584" s="1" t="n">
        <v>46059</v>
      </c>
      <c r="D584" t="inlineStr">
        <is>
          <t>JÄMTLANDS LÄN</t>
        </is>
      </c>
      <c r="E584" t="inlineStr">
        <is>
          <t>ÖSTERSUND</t>
        </is>
      </c>
      <c r="G584" t="n">
        <v>2.2</v>
      </c>
      <c r="H584" t="n">
        <v>0</v>
      </c>
      <c r="I584" t="n">
        <v>0</v>
      </c>
      <c r="J584" t="n">
        <v>0</v>
      </c>
      <c r="K584" t="n">
        <v>0</v>
      </c>
      <c r="L584" t="n">
        <v>0</v>
      </c>
      <c r="M584" t="n">
        <v>0</v>
      </c>
      <c r="N584" t="n">
        <v>0</v>
      </c>
      <c r="O584" t="n">
        <v>0</v>
      </c>
      <c r="P584" t="n">
        <v>0</v>
      </c>
      <c r="Q584" t="n">
        <v>0</v>
      </c>
      <c r="R584" s="2" t="inlineStr"/>
    </row>
    <row r="585" ht="15" customHeight="1">
      <c r="A585" t="inlineStr">
        <is>
          <t>A 59648-2022</t>
        </is>
      </c>
      <c r="B585" s="1" t="n">
        <v>44907</v>
      </c>
      <c r="C585" s="1" t="n">
        <v>46059</v>
      </c>
      <c r="D585" t="inlineStr">
        <is>
          <t>JÄMTLANDS LÄN</t>
        </is>
      </c>
      <c r="E585" t="inlineStr">
        <is>
          <t>ÖSTERSUND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2978-2024</t>
        </is>
      </c>
      <c r="B586" s="1" t="n">
        <v>45315</v>
      </c>
      <c r="C586" s="1" t="n">
        <v>46059</v>
      </c>
      <c r="D586" t="inlineStr">
        <is>
          <t>JÄMTLANDS LÄN</t>
        </is>
      </c>
      <c r="E586" t="inlineStr">
        <is>
          <t>ÖSTERSUND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61791-2023</t>
        </is>
      </c>
      <c r="B587" s="1" t="n">
        <v>45265.95795138889</v>
      </c>
      <c r="C587" s="1" t="n">
        <v>46059</v>
      </c>
      <c r="D587" t="inlineStr">
        <is>
          <t>JÄMTLANDS LÄN</t>
        </is>
      </c>
      <c r="E587" t="inlineStr">
        <is>
          <t>ÖSTERSUND</t>
        </is>
      </c>
      <c r="F587" t="inlineStr">
        <is>
          <t>SCA</t>
        </is>
      </c>
      <c r="G587" t="n">
        <v>11.4</v>
      </c>
      <c r="H587" t="n">
        <v>0</v>
      </c>
      <c r="I587" t="n">
        <v>0</v>
      </c>
      <c r="J587" t="n">
        <v>0</v>
      </c>
      <c r="K587" t="n">
        <v>0</v>
      </c>
      <c r="L587" t="n">
        <v>0</v>
      </c>
      <c r="M587" t="n">
        <v>0</v>
      </c>
      <c r="N587" t="n">
        <v>0</v>
      </c>
      <c r="O587" t="n">
        <v>0</v>
      </c>
      <c r="P587" t="n">
        <v>0</v>
      </c>
      <c r="Q587" t="n">
        <v>0</v>
      </c>
      <c r="R587" s="2" t="inlineStr"/>
    </row>
    <row r="588" ht="15" customHeight="1">
      <c r="A588" t="inlineStr">
        <is>
          <t>A 3255-2025</t>
        </is>
      </c>
      <c r="B588" s="1" t="n">
        <v>45679.55256944444</v>
      </c>
      <c r="C588" s="1" t="n">
        <v>46059</v>
      </c>
      <c r="D588" t="inlineStr">
        <is>
          <t>JÄMTLANDS LÄN</t>
        </is>
      </c>
      <c r="E588" t="inlineStr">
        <is>
          <t>ÖSTERSUND</t>
        </is>
      </c>
      <c r="F588" t="inlineStr">
        <is>
          <t>SCA</t>
        </is>
      </c>
      <c r="G588" t="n">
        <v>16.7</v>
      </c>
      <c r="H588" t="n">
        <v>0</v>
      </c>
      <c r="I588" t="n">
        <v>0</v>
      </c>
      <c r="J588" t="n">
        <v>0</v>
      </c>
      <c r="K588" t="n">
        <v>0</v>
      </c>
      <c r="L588" t="n">
        <v>0</v>
      </c>
      <c r="M588" t="n">
        <v>0</v>
      </c>
      <c r="N588" t="n">
        <v>0</v>
      </c>
      <c r="O588" t="n">
        <v>0</v>
      </c>
      <c r="P588" t="n">
        <v>0</v>
      </c>
      <c r="Q588" t="n">
        <v>0</v>
      </c>
      <c r="R588" s="2" t="inlineStr"/>
    </row>
    <row r="589" ht="15" customHeight="1">
      <c r="A589" t="inlineStr">
        <is>
          <t>A 2615-2024</t>
        </is>
      </c>
      <c r="B589" s="1" t="n">
        <v>45313</v>
      </c>
      <c r="C589" s="1" t="n">
        <v>46059</v>
      </c>
      <c r="D589" t="inlineStr">
        <is>
          <t>JÄMTLANDS LÄN</t>
        </is>
      </c>
      <c r="E589" t="inlineStr">
        <is>
          <t>ÖSTERSUND</t>
        </is>
      </c>
      <c r="G589" t="n">
        <v>1.5</v>
      </c>
      <c r="H589" t="n">
        <v>0</v>
      </c>
      <c r="I589" t="n">
        <v>0</v>
      </c>
      <c r="J589" t="n">
        <v>0</v>
      </c>
      <c r="K589" t="n">
        <v>0</v>
      </c>
      <c r="L589" t="n">
        <v>0</v>
      </c>
      <c r="M589" t="n">
        <v>0</v>
      </c>
      <c r="N589" t="n">
        <v>0</v>
      </c>
      <c r="O589" t="n">
        <v>0</v>
      </c>
      <c r="P589" t="n">
        <v>0</v>
      </c>
      <c r="Q589" t="n">
        <v>0</v>
      </c>
      <c r="R589" s="2" t="inlineStr"/>
    </row>
    <row r="590" ht="15" customHeight="1">
      <c r="A590" t="inlineStr">
        <is>
          <t>A 1159-2024</t>
        </is>
      </c>
      <c r="B590" s="1" t="n">
        <v>45302.52006944444</v>
      </c>
      <c r="C590" s="1" t="n">
        <v>46059</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35556-2022</t>
        </is>
      </c>
      <c r="B591" s="1" t="n">
        <v>44799</v>
      </c>
      <c r="C591" s="1" t="n">
        <v>46059</v>
      </c>
      <c r="D591" t="inlineStr">
        <is>
          <t>JÄMTLANDS LÄN</t>
        </is>
      </c>
      <c r="E591" t="inlineStr">
        <is>
          <t>ÖSTERSUND</t>
        </is>
      </c>
      <c r="G591" t="n">
        <v>3.6</v>
      </c>
      <c r="H591" t="n">
        <v>0</v>
      </c>
      <c r="I591" t="n">
        <v>0</v>
      </c>
      <c r="J591" t="n">
        <v>0</v>
      </c>
      <c r="K591" t="n">
        <v>0</v>
      </c>
      <c r="L591" t="n">
        <v>0</v>
      </c>
      <c r="M591" t="n">
        <v>0</v>
      </c>
      <c r="N591" t="n">
        <v>0</v>
      </c>
      <c r="O591" t="n">
        <v>0</v>
      </c>
      <c r="P591" t="n">
        <v>0</v>
      </c>
      <c r="Q591" t="n">
        <v>0</v>
      </c>
      <c r="R591" s="2" t="inlineStr"/>
    </row>
    <row r="592" ht="15" customHeight="1">
      <c r="A592" t="inlineStr">
        <is>
          <t>A 55235-2023</t>
        </is>
      </c>
      <c r="B592" s="1" t="n">
        <v>45231</v>
      </c>
      <c r="C592" s="1" t="n">
        <v>46059</v>
      </c>
      <c r="D592" t="inlineStr">
        <is>
          <t>JÄMTLANDS LÄN</t>
        </is>
      </c>
      <c r="E592" t="inlineStr">
        <is>
          <t>ÖSTERSUND</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60794-2023</t>
        </is>
      </c>
      <c r="B593" s="1" t="n">
        <v>45260</v>
      </c>
      <c r="C593" s="1" t="n">
        <v>46059</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63099-2023</t>
        </is>
      </c>
      <c r="B594" s="1" t="n">
        <v>45273</v>
      </c>
      <c r="C594" s="1" t="n">
        <v>46059</v>
      </c>
      <c r="D594" t="inlineStr">
        <is>
          <t>JÄMTLANDS LÄN</t>
        </is>
      </c>
      <c r="E594" t="inlineStr">
        <is>
          <t>ÖSTERSUND</t>
        </is>
      </c>
      <c r="G594" t="n">
        <v>1.5</v>
      </c>
      <c r="H594" t="n">
        <v>0</v>
      </c>
      <c r="I594" t="n">
        <v>0</v>
      </c>
      <c r="J594" t="n">
        <v>0</v>
      </c>
      <c r="K594" t="n">
        <v>0</v>
      </c>
      <c r="L594" t="n">
        <v>0</v>
      </c>
      <c r="M594" t="n">
        <v>0</v>
      </c>
      <c r="N594" t="n">
        <v>0</v>
      </c>
      <c r="O594" t="n">
        <v>0</v>
      </c>
      <c r="P594" t="n">
        <v>0</v>
      </c>
      <c r="Q594" t="n">
        <v>0</v>
      </c>
      <c r="R594" s="2" t="inlineStr"/>
    </row>
    <row r="595" ht="15" customHeight="1">
      <c r="A595" t="inlineStr">
        <is>
          <t>A 16682-2023</t>
        </is>
      </c>
      <c r="B595" s="1" t="n">
        <v>45028</v>
      </c>
      <c r="C595" s="1" t="n">
        <v>46059</v>
      </c>
      <c r="D595" t="inlineStr">
        <is>
          <t>JÄMTLANDS LÄN</t>
        </is>
      </c>
      <c r="E595" t="inlineStr">
        <is>
          <t>ÖSTERSUND</t>
        </is>
      </c>
      <c r="G595" t="n">
        <v>7.9</v>
      </c>
      <c r="H595" t="n">
        <v>0</v>
      </c>
      <c r="I595" t="n">
        <v>0</v>
      </c>
      <c r="J595" t="n">
        <v>0</v>
      </c>
      <c r="K595" t="n">
        <v>0</v>
      </c>
      <c r="L595" t="n">
        <v>0</v>
      </c>
      <c r="M595" t="n">
        <v>0</v>
      </c>
      <c r="N595" t="n">
        <v>0</v>
      </c>
      <c r="O595" t="n">
        <v>0</v>
      </c>
      <c r="P595" t="n">
        <v>0</v>
      </c>
      <c r="Q595" t="n">
        <v>0</v>
      </c>
      <c r="R595" s="2" t="inlineStr"/>
    </row>
    <row r="596" ht="15" customHeight="1">
      <c r="A596" t="inlineStr">
        <is>
          <t>A 70256-2021</t>
        </is>
      </c>
      <c r="B596" s="1" t="n">
        <v>44533</v>
      </c>
      <c r="C596" s="1" t="n">
        <v>46059</v>
      </c>
      <c r="D596" t="inlineStr">
        <is>
          <t>JÄMTLANDS LÄN</t>
        </is>
      </c>
      <c r="E596" t="inlineStr">
        <is>
          <t>ÖSTERSUND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8972-2022</t>
        </is>
      </c>
      <c r="B597" s="1" t="n">
        <v>44614.91989583334</v>
      </c>
      <c r="C597" s="1" t="n">
        <v>46059</v>
      </c>
      <c r="D597" t="inlineStr">
        <is>
          <t>JÄMTLANDS LÄN</t>
        </is>
      </c>
      <c r="E597" t="inlineStr">
        <is>
          <t>ÖSTERSUND</t>
        </is>
      </c>
      <c r="G597" t="n">
        <v>0.8</v>
      </c>
      <c r="H597" t="n">
        <v>0</v>
      </c>
      <c r="I597" t="n">
        <v>0</v>
      </c>
      <c r="J597" t="n">
        <v>0</v>
      </c>
      <c r="K597" t="n">
        <v>0</v>
      </c>
      <c r="L597" t="n">
        <v>0</v>
      </c>
      <c r="M597" t="n">
        <v>0</v>
      </c>
      <c r="N597" t="n">
        <v>0</v>
      </c>
      <c r="O597" t="n">
        <v>0</v>
      </c>
      <c r="P597" t="n">
        <v>0</v>
      </c>
      <c r="Q597" t="n">
        <v>0</v>
      </c>
      <c r="R597" s="2" t="inlineStr"/>
    </row>
    <row r="598" ht="15" customHeight="1">
      <c r="A598" t="inlineStr">
        <is>
          <t>A 47627-2024</t>
        </is>
      </c>
      <c r="B598" s="1" t="n">
        <v>45588.3440625</v>
      </c>
      <c r="C598" s="1" t="n">
        <v>46059</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47628-2024</t>
        </is>
      </c>
      <c r="B599" s="1" t="n">
        <v>45588.34418981482</v>
      </c>
      <c r="C599" s="1" t="n">
        <v>46059</v>
      </c>
      <c r="D599" t="inlineStr">
        <is>
          <t>JÄMTLANDS LÄN</t>
        </is>
      </c>
      <c r="E599" t="inlineStr">
        <is>
          <t>ÖSTERSUND</t>
        </is>
      </c>
      <c r="G599" t="n">
        <v>1.9</v>
      </c>
      <c r="H599" t="n">
        <v>0</v>
      </c>
      <c r="I599" t="n">
        <v>0</v>
      </c>
      <c r="J599" t="n">
        <v>0</v>
      </c>
      <c r="K599" t="n">
        <v>0</v>
      </c>
      <c r="L599" t="n">
        <v>0</v>
      </c>
      <c r="M599" t="n">
        <v>0</v>
      </c>
      <c r="N599" t="n">
        <v>0</v>
      </c>
      <c r="O599" t="n">
        <v>0</v>
      </c>
      <c r="P599" t="n">
        <v>0</v>
      </c>
      <c r="Q599" t="n">
        <v>0</v>
      </c>
      <c r="R599" s="2" t="inlineStr"/>
    </row>
    <row r="600" ht="15" customHeight="1">
      <c r="A600" t="inlineStr">
        <is>
          <t>A 45004-2022</t>
        </is>
      </c>
      <c r="B600" s="1" t="n">
        <v>44840</v>
      </c>
      <c r="C600" s="1" t="n">
        <v>46059</v>
      </c>
      <c r="D600" t="inlineStr">
        <is>
          <t>JÄMTLANDS LÄN</t>
        </is>
      </c>
      <c r="E600" t="inlineStr">
        <is>
          <t>ÖSTERSUND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53378-2023</t>
        </is>
      </c>
      <c r="B601" s="1" t="n">
        <v>45223</v>
      </c>
      <c r="C601" s="1" t="n">
        <v>46059</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2747-2025</t>
        </is>
      </c>
      <c r="B602" s="1" t="n">
        <v>45677.4649537037</v>
      </c>
      <c r="C602" s="1" t="n">
        <v>46059</v>
      </c>
      <c r="D602" t="inlineStr">
        <is>
          <t>JÄMTLANDS LÄN</t>
        </is>
      </c>
      <c r="E602" t="inlineStr">
        <is>
          <t>ÖSTERSUND</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33801-2022</t>
        </is>
      </c>
      <c r="B603" s="1" t="n">
        <v>44790</v>
      </c>
      <c r="C603" s="1" t="n">
        <v>46059</v>
      </c>
      <c r="D603" t="inlineStr">
        <is>
          <t>JÄMTLANDS LÄN</t>
        </is>
      </c>
      <c r="E603" t="inlineStr">
        <is>
          <t>ÖSTERSUND</t>
        </is>
      </c>
      <c r="G603" t="n">
        <v>7.6</v>
      </c>
      <c r="H603" t="n">
        <v>0</v>
      </c>
      <c r="I603" t="n">
        <v>0</v>
      </c>
      <c r="J603" t="n">
        <v>0</v>
      </c>
      <c r="K603" t="n">
        <v>0</v>
      </c>
      <c r="L603" t="n">
        <v>0</v>
      </c>
      <c r="M603" t="n">
        <v>0</v>
      </c>
      <c r="N603" t="n">
        <v>0</v>
      </c>
      <c r="O603" t="n">
        <v>0</v>
      </c>
      <c r="P603" t="n">
        <v>0</v>
      </c>
      <c r="Q603" t="n">
        <v>0</v>
      </c>
      <c r="R603" s="2" t="inlineStr"/>
    </row>
    <row r="604" ht="15" customHeight="1">
      <c r="A604" t="inlineStr">
        <is>
          <t>A 27689-2024</t>
        </is>
      </c>
      <c r="B604" s="1" t="n">
        <v>45475.3378125</v>
      </c>
      <c r="C604" s="1" t="n">
        <v>46059</v>
      </c>
      <c r="D604" t="inlineStr">
        <is>
          <t>JÄMTLANDS LÄN</t>
        </is>
      </c>
      <c r="E604" t="inlineStr">
        <is>
          <t>ÖSTERSUND</t>
        </is>
      </c>
      <c r="G604" t="n">
        <v>0.6</v>
      </c>
      <c r="H604" t="n">
        <v>0</v>
      </c>
      <c r="I604" t="n">
        <v>0</v>
      </c>
      <c r="J604" t="n">
        <v>0</v>
      </c>
      <c r="K604" t="n">
        <v>0</v>
      </c>
      <c r="L604" t="n">
        <v>0</v>
      </c>
      <c r="M604" t="n">
        <v>0</v>
      </c>
      <c r="N604" t="n">
        <v>0</v>
      </c>
      <c r="O604" t="n">
        <v>0</v>
      </c>
      <c r="P604" t="n">
        <v>0</v>
      </c>
      <c r="Q604" t="n">
        <v>0</v>
      </c>
      <c r="R604" s="2" t="inlineStr"/>
    </row>
    <row r="605" ht="15" customHeight="1">
      <c r="A605" t="inlineStr">
        <is>
          <t>A 4966-2025</t>
        </is>
      </c>
      <c r="B605" s="1" t="n">
        <v>45690.63628472222</v>
      </c>
      <c r="C605" s="1" t="n">
        <v>46059</v>
      </c>
      <c r="D605" t="inlineStr">
        <is>
          <t>JÄMTLANDS LÄN</t>
        </is>
      </c>
      <c r="E605" t="inlineStr">
        <is>
          <t>ÖSTERSUND</t>
        </is>
      </c>
      <c r="G605" t="n">
        <v>3.4</v>
      </c>
      <c r="H605" t="n">
        <v>0</v>
      </c>
      <c r="I605" t="n">
        <v>0</v>
      </c>
      <c r="J605" t="n">
        <v>0</v>
      </c>
      <c r="K605" t="n">
        <v>0</v>
      </c>
      <c r="L605" t="n">
        <v>0</v>
      </c>
      <c r="M605" t="n">
        <v>0</v>
      </c>
      <c r="N605" t="n">
        <v>0</v>
      </c>
      <c r="O605" t="n">
        <v>0</v>
      </c>
      <c r="P605" t="n">
        <v>0</v>
      </c>
      <c r="Q605" t="n">
        <v>0</v>
      </c>
      <c r="R605" s="2" t="inlineStr"/>
    </row>
    <row r="606" ht="15" customHeight="1">
      <c r="A606" t="inlineStr">
        <is>
          <t>A 6877-2024</t>
        </is>
      </c>
      <c r="B606" s="1" t="n">
        <v>45342</v>
      </c>
      <c r="C606" s="1" t="n">
        <v>46059</v>
      </c>
      <c r="D606" t="inlineStr">
        <is>
          <t>JÄMTLANDS LÄN</t>
        </is>
      </c>
      <c r="E606" t="inlineStr">
        <is>
          <t>ÖSTERSUND</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4136-2023</t>
        </is>
      </c>
      <c r="B607" s="1" t="n">
        <v>44952</v>
      </c>
      <c r="C607" s="1" t="n">
        <v>46059</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4872-2023</t>
        </is>
      </c>
      <c r="B608" s="1" t="n">
        <v>44957</v>
      </c>
      <c r="C608" s="1" t="n">
        <v>46059</v>
      </c>
      <c r="D608" t="inlineStr">
        <is>
          <t>JÄMTLANDS LÄN</t>
        </is>
      </c>
      <c r="E608" t="inlineStr">
        <is>
          <t>ÖSTERSUND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13921-2023</t>
        </is>
      </c>
      <c r="B609" s="1" t="n">
        <v>45008</v>
      </c>
      <c r="C609" s="1" t="n">
        <v>46059</v>
      </c>
      <c r="D609" t="inlineStr">
        <is>
          <t>JÄMTLANDS LÄN</t>
        </is>
      </c>
      <c r="E609" t="inlineStr">
        <is>
          <t>ÖSTERSUND</t>
        </is>
      </c>
      <c r="G609" t="n">
        <v>0.3</v>
      </c>
      <c r="H609" t="n">
        <v>0</v>
      </c>
      <c r="I609" t="n">
        <v>0</v>
      </c>
      <c r="J609" t="n">
        <v>0</v>
      </c>
      <c r="K609" t="n">
        <v>0</v>
      </c>
      <c r="L609" t="n">
        <v>0</v>
      </c>
      <c r="M609" t="n">
        <v>0</v>
      </c>
      <c r="N609" t="n">
        <v>0</v>
      </c>
      <c r="O609" t="n">
        <v>0</v>
      </c>
      <c r="P609" t="n">
        <v>0</v>
      </c>
      <c r="Q609" t="n">
        <v>0</v>
      </c>
      <c r="R609" s="2" t="inlineStr"/>
    </row>
    <row r="610" ht="15" customHeight="1">
      <c r="A610" t="inlineStr">
        <is>
          <t>A 11877-2024</t>
        </is>
      </c>
      <c r="B610" s="1" t="n">
        <v>45376</v>
      </c>
      <c r="C610" s="1" t="n">
        <v>46059</v>
      </c>
      <c r="D610" t="inlineStr">
        <is>
          <t>JÄMTLANDS LÄN</t>
        </is>
      </c>
      <c r="E610" t="inlineStr">
        <is>
          <t>ÖSTERSUND</t>
        </is>
      </c>
      <c r="G610" t="n">
        <v>2.6</v>
      </c>
      <c r="H610" t="n">
        <v>0</v>
      </c>
      <c r="I610" t="n">
        <v>0</v>
      </c>
      <c r="J610" t="n">
        <v>0</v>
      </c>
      <c r="K610" t="n">
        <v>0</v>
      </c>
      <c r="L610" t="n">
        <v>0</v>
      </c>
      <c r="M610" t="n">
        <v>0</v>
      </c>
      <c r="N610" t="n">
        <v>0</v>
      </c>
      <c r="O610" t="n">
        <v>0</v>
      </c>
      <c r="P610" t="n">
        <v>0</v>
      </c>
      <c r="Q610" t="n">
        <v>0</v>
      </c>
      <c r="R610" s="2" t="inlineStr"/>
    </row>
    <row r="611" ht="15" customHeight="1">
      <c r="A611" t="inlineStr">
        <is>
          <t>A 61653-2022</t>
        </is>
      </c>
      <c r="B611" s="1" t="n">
        <v>44916</v>
      </c>
      <c r="C611" s="1" t="n">
        <v>46059</v>
      </c>
      <c r="D611" t="inlineStr">
        <is>
          <t>JÄMTLANDS LÄN</t>
        </is>
      </c>
      <c r="E611" t="inlineStr">
        <is>
          <t>ÖSTERSUND</t>
        </is>
      </c>
      <c r="G611" t="n">
        <v>7.6</v>
      </c>
      <c r="H611" t="n">
        <v>0</v>
      </c>
      <c r="I611" t="n">
        <v>0</v>
      </c>
      <c r="J611" t="n">
        <v>0</v>
      </c>
      <c r="K611" t="n">
        <v>0</v>
      </c>
      <c r="L611" t="n">
        <v>0</v>
      </c>
      <c r="M611" t="n">
        <v>0</v>
      </c>
      <c r="N611" t="n">
        <v>0</v>
      </c>
      <c r="O611" t="n">
        <v>0</v>
      </c>
      <c r="P611" t="n">
        <v>0</v>
      </c>
      <c r="Q611" t="n">
        <v>0</v>
      </c>
      <c r="R611" s="2" t="inlineStr"/>
    </row>
    <row r="612" ht="15" customHeight="1">
      <c r="A612" t="inlineStr">
        <is>
          <t>A 12285-2022</t>
        </is>
      </c>
      <c r="B612" s="1" t="n">
        <v>44637</v>
      </c>
      <c r="C612" s="1" t="n">
        <v>46059</v>
      </c>
      <c r="D612" t="inlineStr">
        <is>
          <t>JÄMTLANDS LÄN</t>
        </is>
      </c>
      <c r="E612" t="inlineStr">
        <is>
          <t>ÖSTERSUND</t>
        </is>
      </c>
      <c r="G612" t="n">
        <v>1.4</v>
      </c>
      <c r="H612" t="n">
        <v>0</v>
      </c>
      <c r="I612" t="n">
        <v>0</v>
      </c>
      <c r="J612" t="n">
        <v>0</v>
      </c>
      <c r="K612" t="n">
        <v>0</v>
      </c>
      <c r="L612" t="n">
        <v>0</v>
      </c>
      <c r="M612" t="n">
        <v>0</v>
      </c>
      <c r="N612" t="n">
        <v>0</v>
      </c>
      <c r="O612" t="n">
        <v>0</v>
      </c>
      <c r="P612" t="n">
        <v>0</v>
      </c>
      <c r="Q612" t="n">
        <v>0</v>
      </c>
      <c r="R612" s="2" t="inlineStr"/>
    </row>
    <row r="613" ht="15" customHeight="1">
      <c r="A613" t="inlineStr">
        <is>
          <t>A 56067-2022</t>
        </is>
      </c>
      <c r="B613" s="1" t="n">
        <v>44889.59378472222</v>
      </c>
      <c r="C613" s="1" t="n">
        <v>46059</v>
      </c>
      <c r="D613" t="inlineStr">
        <is>
          <t>JÄMTLANDS LÄN</t>
        </is>
      </c>
      <c r="E613" t="inlineStr">
        <is>
          <t>ÖSTERSUND</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53802-2022</t>
        </is>
      </c>
      <c r="B614" s="1" t="n">
        <v>44875</v>
      </c>
      <c r="C614" s="1" t="n">
        <v>46059</v>
      </c>
      <c r="D614" t="inlineStr">
        <is>
          <t>JÄMTLANDS LÄN</t>
        </is>
      </c>
      <c r="E614" t="inlineStr">
        <is>
          <t>ÖSTERSUND</t>
        </is>
      </c>
      <c r="G614" t="n">
        <v>0.2</v>
      </c>
      <c r="H614" t="n">
        <v>0</v>
      </c>
      <c r="I614" t="n">
        <v>0</v>
      </c>
      <c r="J614" t="n">
        <v>0</v>
      </c>
      <c r="K614" t="n">
        <v>0</v>
      </c>
      <c r="L614" t="n">
        <v>0</v>
      </c>
      <c r="M614" t="n">
        <v>0</v>
      </c>
      <c r="N614" t="n">
        <v>0</v>
      </c>
      <c r="O614" t="n">
        <v>0</v>
      </c>
      <c r="P614" t="n">
        <v>0</v>
      </c>
      <c r="Q614" t="n">
        <v>0</v>
      </c>
      <c r="R614" s="2" t="inlineStr"/>
    </row>
    <row r="615" ht="15" customHeight="1">
      <c r="A615" t="inlineStr">
        <is>
          <t>A 8423-2023</t>
        </is>
      </c>
      <c r="B615" s="1" t="n">
        <v>44977</v>
      </c>
      <c r="C615" s="1" t="n">
        <v>46059</v>
      </c>
      <c r="D615" t="inlineStr">
        <is>
          <t>JÄMTLANDS LÄN</t>
        </is>
      </c>
      <c r="E615" t="inlineStr">
        <is>
          <t>ÖSTERSUND</t>
        </is>
      </c>
      <c r="F615" t="inlineStr">
        <is>
          <t>Övriga Aktiebolag</t>
        </is>
      </c>
      <c r="G615" t="n">
        <v>53.1</v>
      </c>
      <c r="H615" t="n">
        <v>0</v>
      </c>
      <c r="I615" t="n">
        <v>0</v>
      </c>
      <c r="J615" t="n">
        <v>0</v>
      </c>
      <c r="K615" t="n">
        <v>0</v>
      </c>
      <c r="L615" t="n">
        <v>0</v>
      </c>
      <c r="M615" t="n">
        <v>0</v>
      </c>
      <c r="N615" t="n">
        <v>0</v>
      </c>
      <c r="O615" t="n">
        <v>0</v>
      </c>
      <c r="P615" t="n">
        <v>0</v>
      </c>
      <c r="Q615" t="n">
        <v>0</v>
      </c>
      <c r="R615" s="2" t="inlineStr"/>
    </row>
    <row r="616" ht="15" customHeight="1">
      <c r="A616" t="inlineStr">
        <is>
          <t>A 3749-2023</t>
        </is>
      </c>
      <c r="B616" s="1" t="n">
        <v>44949</v>
      </c>
      <c r="C616" s="1" t="n">
        <v>46059</v>
      </c>
      <c r="D616" t="inlineStr">
        <is>
          <t>JÄMTLANDS LÄN</t>
        </is>
      </c>
      <c r="E616" t="inlineStr">
        <is>
          <t>ÖSTERSUND</t>
        </is>
      </c>
      <c r="G616" t="n">
        <v>0.2</v>
      </c>
      <c r="H616" t="n">
        <v>0</v>
      </c>
      <c r="I616" t="n">
        <v>0</v>
      </c>
      <c r="J616" t="n">
        <v>0</v>
      </c>
      <c r="K616" t="n">
        <v>0</v>
      </c>
      <c r="L616" t="n">
        <v>0</v>
      </c>
      <c r="M616" t="n">
        <v>0</v>
      </c>
      <c r="N616" t="n">
        <v>0</v>
      </c>
      <c r="O616" t="n">
        <v>0</v>
      </c>
      <c r="P616" t="n">
        <v>0</v>
      </c>
      <c r="Q616" t="n">
        <v>0</v>
      </c>
      <c r="R616" s="2" t="inlineStr"/>
    </row>
    <row r="617" ht="15" customHeight="1">
      <c r="A617" t="inlineStr">
        <is>
          <t>A 55678-2023</t>
        </is>
      </c>
      <c r="B617" s="1" t="n">
        <v>45239.33032407407</v>
      </c>
      <c r="C617" s="1" t="n">
        <v>46059</v>
      </c>
      <c r="D617" t="inlineStr">
        <is>
          <t>JÄMTLANDS LÄN</t>
        </is>
      </c>
      <c r="E617" t="inlineStr">
        <is>
          <t>ÖSTERSUND</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23563-2022</t>
        </is>
      </c>
      <c r="B618" s="1" t="n">
        <v>44721.47241898148</v>
      </c>
      <c r="C618" s="1" t="n">
        <v>46059</v>
      </c>
      <c r="D618" t="inlineStr">
        <is>
          <t>JÄMTLANDS LÄN</t>
        </is>
      </c>
      <c r="E618" t="inlineStr">
        <is>
          <t>ÖSTERSUND</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53380-2023</t>
        </is>
      </c>
      <c r="B619" s="1" t="n">
        <v>45223</v>
      </c>
      <c r="C619" s="1" t="n">
        <v>46059</v>
      </c>
      <c r="D619" t="inlineStr">
        <is>
          <t>JÄMTLANDS LÄN</t>
        </is>
      </c>
      <c r="E619" t="inlineStr">
        <is>
          <t>ÖSTERSUND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64645-2021</t>
        </is>
      </c>
      <c r="B620" s="1" t="n">
        <v>44511.94629629629</v>
      </c>
      <c r="C620" s="1" t="n">
        <v>46059</v>
      </c>
      <c r="D620" t="inlineStr">
        <is>
          <t>JÄMTLANDS LÄN</t>
        </is>
      </c>
      <c r="E620" t="inlineStr">
        <is>
          <t>ÖSTERSUND</t>
        </is>
      </c>
      <c r="G620" t="n">
        <v>3.2</v>
      </c>
      <c r="H620" t="n">
        <v>0</v>
      </c>
      <c r="I620" t="n">
        <v>0</v>
      </c>
      <c r="J620" t="n">
        <v>0</v>
      </c>
      <c r="K620" t="n">
        <v>0</v>
      </c>
      <c r="L620" t="n">
        <v>0</v>
      </c>
      <c r="M620" t="n">
        <v>0</v>
      </c>
      <c r="N620" t="n">
        <v>0</v>
      </c>
      <c r="O620" t="n">
        <v>0</v>
      </c>
      <c r="P620" t="n">
        <v>0</v>
      </c>
      <c r="Q620" t="n">
        <v>0</v>
      </c>
      <c r="R620" s="2" t="inlineStr"/>
    </row>
    <row r="621" ht="15" customHeight="1">
      <c r="A621" t="inlineStr">
        <is>
          <t>A 54913-2024</t>
        </is>
      </c>
      <c r="B621" s="1" t="n">
        <v>45618.6917824074</v>
      </c>
      <c r="C621" s="1" t="n">
        <v>46059</v>
      </c>
      <c r="D621" t="inlineStr">
        <is>
          <t>JÄMTLANDS LÄN</t>
        </is>
      </c>
      <c r="E621" t="inlineStr">
        <is>
          <t>ÖSTERSUND</t>
        </is>
      </c>
      <c r="G621" t="n">
        <v>4.7</v>
      </c>
      <c r="H621" t="n">
        <v>0</v>
      </c>
      <c r="I621" t="n">
        <v>0</v>
      </c>
      <c r="J621" t="n">
        <v>0</v>
      </c>
      <c r="K621" t="n">
        <v>0</v>
      </c>
      <c r="L621" t="n">
        <v>0</v>
      </c>
      <c r="M621" t="n">
        <v>0</v>
      </c>
      <c r="N621" t="n">
        <v>0</v>
      </c>
      <c r="O621" t="n">
        <v>0</v>
      </c>
      <c r="P621" t="n">
        <v>0</v>
      </c>
      <c r="Q621" t="n">
        <v>0</v>
      </c>
      <c r="R621" s="2" t="inlineStr"/>
    </row>
    <row r="622" ht="15" customHeight="1">
      <c r="A622" t="inlineStr">
        <is>
          <t>A 50218-2024</t>
        </is>
      </c>
      <c r="B622" s="1" t="n">
        <v>45600.53160879629</v>
      </c>
      <c r="C622" s="1" t="n">
        <v>46059</v>
      </c>
      <c r="D622" t="inlineStr">
        <is>
          <t>JÄMTLANDS LÄN</t>
        </is>
      </c>
      <c r="E622" t="inlineStr">
        <is>
          <t>ÖSTERSUND</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30602-2023</t>
        </is>
      </c>
      <c r="B623" s="1" t="n">
        <v>45112</v>
      </c>
      <c r="C623" s="1" t="n">
        <v>46059</v>
      </c>
      <c r="D623" t="inlineStr">
        <is>
          <t>JÄMTLANDS LÄN</t>
        </is>
      </c>
      <c r="E623" t="inlineStr">
        <is>
          <t>ÖSTERSUND</t>
        </is>
      </c>
      <c r="G623" t="n">
        <v>0.5</v>
      </c>
      <c r="H623" t="n">
        <v>0</v>
      </c>
      <c r="I623" t="n">
        <v>0</v>
      </c>
      <c r="J623" t="n">
        <v>0</v>
      </c>
      <c r="K623" t="n">
        <v>0</v>
      </c>
      <c r="L623" t="n">
        <v>0</v>
      </c>
      <c r="M623" t="n">
        <v>0</v>
      </c>
      <c r="N623" t="n">
        <v>0</v>
      </c>
      <c r="O623" t="n">
        <v>0</v>
      </c>
      <c r="P623" t="n">
        <v>0</v>
      </c>
      <c r="Q623" t="n">
        <v>0</v>
      </c>
      <c r="R623" s="2" t="inlineStr"/>
    </row>
    <row r="624" ht="15" customHeight="1">
      <c r="A624" t="inlineStr">
        <is>
          <t>A 1893-2023</t>
        </is>
      </c>
      <c r="B624" s="1" t="n">
        <v>44937</v>
      </c>
      <c r="C624" s="1" t="n">
        <v>46059</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17574-2022</t>
        </is>
      </c>
      <c r="B625" s="1" t="n">
        <v>44679.92574074074</v>
      </c>
      <c r="C625" s="1" t="n">
        <v>46059</v>
      </c>
      <c r="D625" t="inlineStr">
        <is>
          <t>JÄMTLANDS LÄN</t>
        </is>
      </c>
      <c r="E625" t="inlineStr">
        <is>
          <t>ÖSTERSUND</t>
        </is>
      </c>
      <c r="G625" t="n">
        <v>0.8</v>
      </c>
      <c r="H625" t="n">
        <v>0</v>
      </c>
      <c r="I625" t="n">
        <v>0</v>
      </c>
      <c r="J625" t="n">
        <v>0</v>
      </c>
      <c r="K625" t="n">
        <v>0</v>
      </c>
      <c r="L625" t="n">
        <v>0</v>
      </c>
      <c r="M625" t="n">
        <v>0</v>
      </c>
      <c r="N625" t="n">
        <v>0</v>
      </c>
      <c r="O625" t="n">
        <v>0</v>
      </c>
      <c r="P625" t="n">
        <v>0</v>
      </c>
      <c r="Q625" t="n">
        <v>0</v>
      </c>
      <c r="R625" s="2" t="inlineStr"/>
    </row>
    <row r="626" ht="15" customHeight="1">
      <c r="A626" t="inlineStr">
        <is>
          <t>A 10305-2023</t>
        </is>
      </c>
      <c r="B626" s="1" t="n">
        <v>44986</v>
      </c>
      <c r="C626" s="1" t="n">
        <v>46059</v>
      </c>
      <c r="D626" t="inlineStr">
        <is>
          <t>JÄMTLANDS LÄN</t>
        </is>
      </c>
      <c r="E626" t="inlineStr">
        <is>
          <t>ÖSTERSUND</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7573-2022</t>
        </is>
      </c>
      <c r="B627" s="1" t="n">
        <v>44607</v>
      </c>
      <c r="C627" s="1" t="n">
        <v>46059</v>
      </c>
      <c r="D627" t="inlineStr">
        <is>
          <t>JÄMTLANDS LÄN</t>
        </is>
      </c>
      <c r="E627" t="inlineStr">
        <is>
          <t>ÖSTERSUND</t>
        </is>
      </c>
      <c r="G627" t="n">
        <v>0.5</v>
      </c>
      <c r="H627" t="n">
        <v>0</v>
      </c>
      <c r="I627" t="n">
        <v>0</v>
      </c>
      <c r="J627" t="n">
        <v>0</v>
      </c>
      <c r="K627" t="n">
        <v>0</v>
      </c>
      <c r="L627" t="n">
        <v>0</v>
      </c>
      <c r="M627" t="n">
        <v>0</v>
      </c>
      <c r="N627" t="n">
        <v>0</v>
      </c>
      <c r="O627" t="n">
        <v>0</v>
      </c>
      <c r="P627" t="n">
        <v>0</v>
      </c>
      <c r="Q627" t="n">
        <v>0</v>
      </c>
      <c r="R627" s="2" t="inlineStr"/>
    </row>
    <row r="628" ht="15" customHeight="1">
      <c r="A628" t="inlineStr">
        <is>
          <t>A 27343-2022</t>
        </is>
      </c>
      <c r="B628" s="1" t="n">
        <v>44742</v>
      </c>
      <c r="C628" s="1" t="n">
        <v>46059</v>
      </c>
      <c r="D628" t="inlineStr">
        <is>
          <t>JÄMTLANDS LÄN</t>
        </is>
      </c>
      <c r="E628" t="inlineStr">
        <is>
          <t>ÖSTERSUND</t>
        </is>
      </c>
      <c r="G628" t="n">
        <v>1.5</v>
      </c>
      <c r="H628" t="n">
        <v>0</v>
      </c>
      <c r="I628" t="n">
        <v>0</v>
      </c>
      <c r="J628" t="n">
        <v>0</v>
      </c>
      <c r="K628" t="n">
        <v>0</v>
      </c>
      <c r="L628" t="n">
        <v>0</v>
      </c>
      <c r="M628" t="n">
        <v>0</v>
      </c>
      <c r="N628" t="n">
        <v>0</v>
      </c>
      <c r="O628" t="n">
        <v>0</v>
      </c>
      <c r="P628" t="n">
        <v>0</v>
      </c>
      <c r="Q628" t="n">
        <v>0</v>
      </c>
      <c r="R628" s="2" t="inlineStr"/>
    </row>
    <row r="629" ht="15" customHeight="1">
      <c r="A629" t="inlineStr">
        <is>
          <t>A 43557-2024</t>
        </is>
      </c>
      <c r="B629" s="1" t="n">
        <v>45569.39229166666</v>
      </c>
      <c r="C629" s="1" t="n">
        <v>46059</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36406-2023</t>
        </is>
      </c>
      <c r="B630" s="1" t="n">
        <v>45149</v>
      </c>
      <c r="C630" s="1" t="n">
        <v>46059</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59691-2024</t>
        </is>
      </c>
      <c r="B631" s="1" t="n">
        <v>45639.40684027778</v>
      </c>
      <c r="C631" s="1" t="n">
        <v>46059</v>
      </c>
      <c r="D631" t="inlineStr">
        <is>
          <t>JÄMTLANDS LÄN</t>
        </is>
      </c>
      <c r="E631" t="inlineStr">
        <is>
          <t>ÖSTERSUND</t>
        </is>
      </c>
      <c r="F631" t="inlineStr">
        <is>
          <t>SCA</t>
        </is>
      </c>
      <c r="G631" t="n">
        <v>15.9</v>
      </c>
      <c r="H631" t="n">
        <v>0</v>
      </c>
      <c r="I631" t="n">
        <v>0</v>
      </c>
      <c r="J631" t="n">
        <v>0</v>
      </c>
      <c r="K631" t="n">
        <v>0</v>
      </c>
      <c r="L631" t="n">
        <v>0</v>
      </c>
      <c r="M631" t="n">
        <v>0</v>
      </c>
      <c r="N631" t="n">
        <v>0</v>
      </c>
      <c r="O631" t="n">
        <v>0</v>
      </c>
      <c r="P631" t="n">
        <v>0</v>
      </c>
      <c r="Q631" t="n">
        <v>0</v>
      </c>
      <c r="R631" s="2" t="inlineStr"/>
    </row>
    <row r="632" ht="15" customHeight="1">
      <c r="A632" t="inlineStr">
        <is>
          <t>A 12998-2025</t>
        </is>
      </c>
      <c r="B632" s="1" t="n">
        <v>45734.48991898148</v>
      </c>
      <c r="C632" s="1" t="n">
        <v>46059</v>
      </c>
      <c r="D632" t="inlineStr">
        <is>
          <t>JÄMTLANDS LÄN</t>
        </is>
      </c>
      <c r="E632" t="inlineStr">
        <is>
          <t>ÖSTERSUND</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32225-2024</t>
        </is>
      </c>
      <c r="B633" s="1" t="n">
        <v>45511.92825231481</v>
      </c>
      <c r="C633" s="1" t="n">
        <v>46059</v>
      </c>
      <c r="D633" t="inlineStr">
        <is>
          <t>JÄMTLANDS LÄN</t>
        </is>
      </c>
      <c r="E633" t="inlineStr">
        <is>
          <t>ÖSTERSUND</t>
        </is>
      </c>
      <c r="G633" t="n">
        <v>2</v>
      </c>
      <c r="H633" t="n">
        <v>0</v>
      </c>
      <c r="I633" t="n">
        <v>0</v>
      </c>
      <c r="J633" t="n">
        <v>0</v>
      </c>
      <c r="K633" t="n">
        <v>0</v>
      </c>
      <c r="L633" t="n">
        <v>0</v>
      </c>
      <c r="M633" t="n">
        <v>0</v>
      </c>
      <c r="N633" t="n">
        <v>0</v>
      </c>
      <c r="O633" t="n">
        <v>0</v>
      </c>
      <c r="P633" t="n">
        <v>0</v>
      </c>
      <c r="Q633" t="n">
        <v>0</v>
      </c>
      <c r="R633" s="2" t="inlineStr"/>
    </row>
    <row r="634" ht="15" customHeight="1">
      <c r="A634" t="inlineStr">
        <is>
          <t>A 43252-2023</t>
        </is>
      </c>
      <c r="B634" s="1" t="n">
        <v>45183</v>
      </c>
      <c r="C634" s="1" t="n">
        <v>46059</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60088-2024</t>
        </is>
      </c>
      <c r="B635" s="1" t="n">
        <v>45642.54847222222</v>
      </c>
      <c r="C635" s="1" t="n">
        <v>46059</v>
      </c>
      <c r="D635" t="inlineStr">
        <is>
          <t>JÄMTLANDS LÄN</t>
        </is>
      </c>
      <c r="E635" t="inlineStr">
        <is>
          <t>ÖSTERSUND</t>
        </is>
      </c>
      <c r="G635" t="n">
        <v>5</v>
      </c>
      <c r="H635" t="n">
        <v>0</v>
      </c>
      <c r="I635" t="n">
        <v>0</v>
      </c>
      <c r="J635" t="n">
        <v>0</v>
      </c>
      <c r="K635" t="n">
        <v>0</v>
      </c>
      <c r="L635" t="n">
        <v>0</v>
      </c>
      <c r="M635" t="n">
        <v>0</v>
      </c>
      <c r="N635" t="n">
        <v>0</v>
      </c>
      <c r="O635" t="n">
        <v>0</v>
      </c>
      <c r="P635" t="n">
        <v>0</v>
      </c>
      <c r="Q635" t="n">
        <v>0</v>
      </c>
      <c r="R635" s="2" t="inlineStr"/>
    </row>
    <row r="636" ht="15" customHeight="1">
      <c r="A636" t="inlineStr">
        <is>
          <t>A 4135-2023</t>
        </is>
      </c>
      <c r="B636" s="1" t="n">
        <v>44952</v>
      </c>
      <c r="C636" s="1" t="n">
        <v>46059</v>
      </c>
      <c r="D636" t="inlineStr">
        <is>
          <t>JÄMTLANDS LÄN</t>
        </is>
      </c>
      <c r="E636" t="inlineStr">
        <is>
          <t>ÖSTERSUND</t>
        </is>
      </c>
      <c r="G636" t="n">
        <v>1.3</v>
      </c>
      <c r="H636" t="n">
        <v>0</v>
      </c>
      <c r="I636" t="n">
        <v>0</v>
      </c>
      <c r="J636" t="n">
        <v>0</v>
      </c>
      <c r="K636" t="n">
        <v>0</v>
      </c>
      <c r="L636" t="n">
        <v>0</v>
      </c>
      <c r="M636" t="n">
        <v>0</v>
      </c>
      <c r="N636" t="n">
        <v>0</v>
      </c>
      <c r="O636" t="n">
        <v>0</v>
      </c>
      <c r="P636" t="n">
        <v>0</v>
      </c>
      <c r="Q636" t="n">
        <v>0</v>
      </c>
      <c r="R636" s="2" t="inlineStr"/>
    </row>
    <row r="637" ht="15" customHeight="1">
      <c r="A637" t="inlineStr">
        <is>
          <t>A 7549-2025</t>
        </is>
      </c>
      <c r="B637" s="1" t="n">
        <v>45705.57454861111</v>
      </c>
      <c r="C637" s="1" t="n">
        <v>46059</v>
      </c>
      <c r="D637" t="inlineStr">
        <is>
          <t>JÄMTLANDS LÄN</t>
        </is>
      </c>
      <c r="E637" t="inlineStr">
        <is>
          <t>ÖSTERSUND</t>
        </is>
      </c>
      <c r="F637" t="inlineStr">
        <is>
          <t>SCA</t>
        </is>
      </c>
      <c r="G637" t="n">
        <v>6.4</v>
      </c>
      <c r="H637" t="n">
        <v>0</v>
      </c>
      <c r="I637" t="n">
        <v>0</v>
      </c>
      <c r="J637" t="n">
        <v>0</v>
      </c>
      <c r="K637" t="n">
        <v>0</v>
      </c>
      <c r="L637" t="n">
        <v>0</v>
      </c>
      <c r="M637" t="n">
        <v>0</v>
      </c>
      <c r="N637" t="n">
        <v>0</v>
      </c>
      <c r="O637" t="n">
        <v>0</v>
      </c>
      <c r="P637" t="n">
        <v>0</v>
      </c>
      <c r="Q637" t="n">
        <v>0</v>
      </c>
      <c r="R637" s="2" t="inlineStr"/>
    </row>
    <row r="638" ht="15" customHeight="1">
      <c r="A638" t="inlineStr">
        <is>
          <t>A 6067-2025</t>
        </is>
      </c>
      <c r="B638" s="1" t="n">
        <v>45696.34405092592</v>
      </c>
      <c r="C638" s="1" t="n">
        <v>46059</v>
      </c>
      <c r="D638" t="inlineStr">
        <is>
          <t>JÄMTLANDS LÄN</t>
        </is>
      </c>
      <c r="E638" t="inlineStr">
        <is>
          <t>ÖSTERSUND</t>
        </is>
      </c>
      <c r="G638" t="n">
        <v>2.1</v>
      </c>
      <c r="H638" t="n">
        <v>0</v>
      </c>
      <c r="I638" t="n">
        <v>0</v>
      </c>
      <c r="J638" t="n">
        <v>0</v>
      </c>
      <c r="K638" t="n">
        <v>0</v>
      </c>
      <c r="L638" t="n">
        <v>0</v>
      </c>
      <c r="M638" t="n">
        <v>0</v>
      </c>
      <c r="N638" t="n">
        <v>0</v>
      </c>
      <c r="O638" t="n">
        <v>0</v>
      </c>
      <c r="P638" t="n">
        <v>0</v>
      </c>
      <c r="Q638" t="n">
        <v>0</v>
      </c>
      <c r="R638" s="2" t="inlineStr"/>
    </row>
    <row r="639" ht="15" customHeight="1">
      <c r="A639" t="inlineStr">
        <is>
          <t>A 54663-2022</t>
        </is>
      </c>
      <c r="B639" s="1" t="n">
        <v>44883.44737268519</v>
      </c>
      <c r="C639" s="1" t="n">
        <v>46059</v>
      </c>
      <c r="D639" t="inlineStr">
        <is>
          <t>JÄMTLANDS LÄN</t>
        </is>
      </c>
      <c r="E639" t="inlineStr">
        <is>
          <t>ÖSTERSUND</t>
        </is>
      </c>
      <c r="G639" t="n">
        <v>0.8</v>
      </c>
      <c r="H639" t="n">
        <v>0</v>
      </c>
      <c r="I639" t="n">
        <v>0</v>
      </c>
      <c r="J639" t="n">
        <v>0</v>
      </c>
      <c r="K639" t="n">
        <v>0</v>
      </c>
      <c r="L639" t="n">
        <v>0</v>
      </c>
      <c r="M639" t="n">
        <v>0</v>
      </c>
      <c r="N639" t="n">
        <v>0</v>
      </c>
      <c r="O639" t="n">
        <v>0</v>
      </c>
      <c r="P639" t="n">
        <v>0</v>
      </c>
      <c r="Q639" t="n">
        <v>0</v>
      </c>
      <c r="R639" s="2" t="inlineStr"/>
    </row>
    <row r="640" ht="15" customHeight="1">
      <c r="A640" t="inlineStr">
        <is>
          <t>A 18578-2025</t>
        </is>
      </c>
      <c r="B640" s="1" t="n">
        <v>45763</v>
      </c>
      <c r="C640" s="1" t="n">
        <v>46059</v>
      </c>
      <c r="D640" t="inlineStr">
        <is>
          <t>JÄMTLANDS LÄN</t>
        </is>
      </c>
      <c r="E640" t="inlineStr">
        <is>
          <t>ÖSTERSUND</t>
        </is>
      </c>
      <c r="G640" t="n">
        <v>0.8</v>
      </c>
      <c r="H640" t="n">
        <v>0</v>
      </c>
      <c r="I640" t="n">
        <v>0</v>
      </c>
      <c r="J640" t="n">
        <v>0</v>
      </c>
      <c r="K640" t="n">
        <v>0</v>
      </c>
      <c r="L640" t="n">
        <v>0</v>
      </c>
      <c r="M640" t="n">
        <v>0</v>
      </c>
      <c r="N640" t="n">
        <v>0</v>
      </c>
      <c r="O640" t="n">
        <v>0</v>
      </c>
      <c r="P640" t="n">
        <v>0</v>
      </c>
      <c r="Q640" t="n">
        <v>0</v>
      </c>
      <c r="R640" s="2" t="inlineStr"/>
    </row>
    <row r="641" ht="15" customHeight="1">
      <c r="A641" t="inlineStr">
        <is>
          <t>A 43511-2022</t>
        </is>
      </c>
      <c r="B641" s="1" t="n">
        <v>44837.36724537037</v>
      </c>
      <c r="C641" s="1" t="n">
        <v>46059</v>
      </c>
      <c r="D641" t="inlineStr">
        <is>
          <t>JÄMTLANDS LÄN</t>
        </is>
      </c>
      <c r="E641" t="inlineStr">
        <is>
          <t>ÖSTERSUND</t>
        </is>
      </c>
      <c r="G641" t="n">
        <v>3.7</v>
      </c>
      <c r="H641" t="n">
        <v>0</v>
      </c>
      <c r="I641" t="n">
        <v>0</v>
      </c>
      <c r="J641" t="n">
        <v>0</v>
      </c>
      <c r="K641" t="n">
        <v>0</v>
      </c>
      <c r="L641" t="n">
        <v>0</v>
      </c>
      <c r="M641" t="n">
        <v>0</v>
      </c>
      <c r="N641" t="n">
        <v>0</v>
      </c>
      <c r="O641" t="n">
        <v>0</v>
      </c>
      <c r="P641" t="n">
        <v>0</v>
      </c>
      <c r="Q641" t="n">
        <v>0</v>
      </c>
      <c r="R641" s="2" t="inlineStr"/>
    </row>
    <row r="642" ht="15" customHeight="1">
      <c r="A642" t="inlineStr">
        <is>
          <t>A 2730-2025</t>
        </is>
      </c>
      <c r="B642" s="1" t="n">
        <v>45677.44393518518</v>
      </c>
      <c r="C642" s="1" t="n">
        <v>46059</v>
      </c>
      <c r="D642" t="inlineStr">
        <is>
          <t>JÄMTLANDS LÄN</t>
        </is>
      </c>
      <c r="E642" t="inlineStr">
        <is>
          <t>ÖSTERSUND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42151-2023</t>
        </is>
      </c>
      <c r="B643" s="1" t="n">
        <v>45177.93612268518</v>
      </c>
      <c r="C643" s="1" t="n">
        <v>46059</v>
      </c>
      <c r="D643" t="inlineStr">
        <is>
          <t>JÄMTLANDS LÄN</t>
        </is>
      </c>
      <c r="E643" t="inlineStr">
        <is>
          <t>ÖSTERSUND</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43016-2024</t>
        </is>
      </c>
      <c r="B644" s="1" t="n">
        <v>45567.39192129629</v>
      </c>
      <c r="C644" s="1" t="n">
        <v>46059</v>
      </c>
      <c r="D644" t="inlineStr">
        <is>
          <t>JÄMTLANDS LÄN</t>
        </is>
      </c>
      <c r="E644" t="inlineStr">
        <is>
          <t>ÖSTERSUND</t>
        </is>
      </c>
      <c r="G644" t="n">
        <v>5.3</v>
      </c>
      <c r="H644" t="n">
        <v>0</v>
      </c>
      <c r="I644" t="n">
        <v>0</v>
      </c>
      <c r="J644" t="n">
        <v>0</v>
      </c>
      <c r="K644" t="n">
        <v>0</v>
      </c>
      <c r="L644" t="n">
        <v>0</v>
      </c>
      <c r="M644" t="n">
        <v>0</v>
      </c>
      <c r="N644" t="n">
        <v>0</v>
      </c>
      <c r="O644" t="n">
        <v>0</v>
      </c>
      <c r="P644" t="n">
        <v>0</v>
      </c>
      <c r="Q644" t="n">
        <v>0</v>
      </c>
      <c r="R644" s="2" t="inlineStr"/>
    </row>
    <row r="645" ht="15" customHeight="1">
      <c r="A645" t="inlineStr">
        <is>
          <t>A 51865-2024</t>
        </is>
      </c>
      <c r="B645" s="1" t="n">
        <v>45607.55260416667</v>
      </c>
      <c r="C645" s="1" t="n">
        <v>46059</v>
      </c>
      <c r="D645" t="inlineStr">
        <is>
          <t>JÄMTLANDS LÄN</t>
        </is>
      </c>
      <c r="E645" t="inlineStr">
        <is>
          <t>ÖSTERSUND</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58364-2024</t>
        </is>
      </c>
      <c r="B646" s="1" t="n">
        <v>45632.68814814815</v>
      </c>
      <c r="C646" s="1" t="n">
        <v>46059</v>
      </c>
      <c r="D646" t="inlineStr">
        <is>
          <t>JÄMTLANDS LÄN</t>
        </is>
      </c>
      <c r="E646" t="inlineStr">
        <is>
          <t>ÖSTERSUND</t>
        </is>
      </c>
      <c r="G646" t="n">
        <v>5.5</v>
      </c>
      <c r="H646" t="n">
        <v>0</v>
      </c>
      <c r="I646" t="n">
        <v>0</v>
      </c>
      <c r="J646" t="n">
        <v>0</v>
      </c>
      <c r="K646" t="n">
        <v>0</v>
      </c>
      <c r="L646" t="n">
        <v>0</v>
      </c>
      <c r="M646" t="n">
        <v>0</v>
      </c>
      <c r="N646" t="n">
        <v>0</v>
      </c>
      <c r="O646" t="n">
        <v>0</v>
      </c>
      <c r="P646" t="n">
        <v>0</v>
      </c>
      <c r="Q646" t="n">
        <v>0</v>
      </c>
      <c r="R646" s="2" t="inlineStr"/>
    </row>
    <row r="647" ht="15" customHeight="1">
      <c r="A647" t="inlineStr">
        <is>
          <t>A 44489-2024</t>
        </is>
      </c>
      <c r="B647" s="1" t="n">
        <v>45574.38943287037</v>
      </c>
      <c r="C647" s="1" t="n">
        <v>46059</v>
      </c>
      <c r="D647" t="inlineStr">
        <is>
          <t>JÄMTLANDS LÄN</t>
        </is>
      </c>
      <c r="E647" t="inlineStr">
        <is>
          <t>ÖSTERSUND</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56111-2022</t>
        </is>
      </c>
      <c r="B648" s="1" t="n">
        <v>44889</v>
      </c>
      <c r="C648" s="1" t="n">
        <v>46059</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4521-2025</t>
        </is>
      </c>
      <c r="B649" s="1" t="n">
        <v>45686</v>
      </c>
      <c r="C649" s="1" t="n">
        <v>46059</v>
      </c>
      <c r="D649" t="inlineStr">
        <is>
          <t>JÄMTLANDS LÄN</t>
        </is>
      </c>
      <c r="E649" t="inlineStr">
        <is>
          <t>ÖSTERSUND</t>
        </is>
      </c>
      <c r="G649" t="n">
        <v>28.4</v>
      </c>
      <c r="H649" t="n">
        <v>0</v>
      </c>
      <c r="I649" t="n">
        <v>0</v>
      </c>
      <c r="J649" t="n">
        <v>0</v>
      </c>
      <c r="K649" t="n">
        <v>0</v>
      </c>
      <c r="L649" t="n">
        <v>0</v>
      </c>
      <c r="M649" t="n">
        <v>0</v>
      </c>
      <c r="N649" t="n">
        <v>0</v>
      </c>
      <c r="O649" t="n">
        <v>0</v>
      </c>
      <c r="P649" t="n">
        <v>0</v>
      </c>
      <c r="Q649" t="n">
        <v>0</v>
      </c>
      <c r="R649" s="2" t="inlineStr"/>
    </row>
    <row r="650" ht="15" customHeight="1">
      <c r="A650" t="inlineStr">
        <is>
          <t>A 6578-2021</t>
        </is>
      </c>
      <c r="B650" s="1" t="n">
        <v>44236</v>
      </c>
      <c r="C650" s="1" t="n">
        <v>46059</v>
      </c>
      <c r="D650" t="inlineStr">
        <is>
          <t>JÄMTLANDS LÄN</t>
        </is>
      </c>
      <c r="E650" t="inlineStr">
        <is>
          <t>ÖSTERSUND</t>
        </is>
      </c>
      <c r="G650" t="n">
        <v>1.4</v>
      </c>
      <c r="H650" t="n">
        <v>0</v>
      </c>
      <c r="I650" t="n">
        <v>0</v>
      </c>
      <c r="J650" t="n">
        <v>0</v>
      </c>
      <c r="K650" t="n">
        <v>0</v>
      </c>
      <c r="L650" t="n">
        <v>0</v>
      </c>
      <c r="M650" t="n">
        <v>0</v>
      </c>
      <c r="N650" t="n">
        <v>0</v>
      </c>
      <c r="O650" t="n">
        <v>0</v>
      </c>
      <c r="P650" t="n">
        <v>0</v>
      </c>
      <c r="Q650" t="n">
        <v>0</v>
      </c>
      <c r="R650" s="2" t="inlineStr"/>
    </row>
    <row r="651" ht="15" customHeight="1">
      <c r="A651" t="inlineStr">
        <is>
          <t>A 51826-2024</t>
        </is>
      </c>
      <c r="B651" s="1" t="n">
        <v>45607.50137731482</v>
      </c>
      <c r="C651" s="1" t="n">
        <v>46059</v>
      </c>
      <c r="D651" t="inlineStr">
        <is>
          <t>JÄMTLANDS LÄN</t>
        </is>
      </c>
      <c r="E651" t="inlineStr">
        <is>
          <t>ÖSTERSUND</t>
        </is>
      </c>
      <c r="G651" t="n">
        <v>1.1</v>
      </c>
      <c r="H651" t="n">
        <v>0</v>
      </c>
      <c r="I651" t="n">
        <v>0</v>
      </c>
      <c r="J651" t="n">
        <v>0</v>
      </c>
      <c r="K651" t="n">
        <v>0</v>
      </c>
      <c r="L651" t="n">
        <v>0</v>
      </c>
      <c r="M651" t="n">
        <v>0</v>
      </c>
      <c r="N651" t="n">
        <v>0</v>
      </c>
      <c r="O651" t="n">
        <v>0</v>
      </c>
      <c r="P651" t="n">
        <v>0</v>
      </c>
      <c r="Q651" t="n">
        <v>0</v>
      </c>
      <c r="R651" s="2" t="inlineStr"/>
    </row>
    <row r="652" ht="15" customHeight="1">
      <c r="A652" t="inlineStr">
        <is>
          <t>A 17570-2025</t>
        </is>
      </c>
      <c r="B652" s="1" t="n">
        <v>45757.64563657407</v>
      </c>
      <c r="C652" s="1" t="n">
        <v>46059</v>
      </c>
      <c r="D652" t="inlineStr">
        <is>
          <t>JÄMTLANDS LÄN</t>
        </is>
      </c>
      <c r="E652" t="inlineStr">
        <is>
          <t>ÖSTERSUND</t>
        </is>
      </c>
      <c r="G652" t="n">
        <v>2.4</v>
      </c>
      <c r="H652" t="n">
        <v>0</v>
      </c>
      <c r="I652" t="n">
        <v>0</v>
      </c>
      <c r="J652" t="n">
        <v>0</v>
      </c>
      <c r="K652" t="n">
        <v>0</v>
      </c>
      <c r="L652" t="n">
        <v>0</v>
      </c>
      <c r="M652" t="n">
        <v>0</v>
      </c>
      <c r="N652" t="n">
        <v>0</v>
      </c>
      <c r="O652" t="n">
        <v>0</v>
      </c>
      <c r="P652" t="n">
        <v>0</v>
      </c>
      <c r="Q652" t="n">
        <v>0</v>
      </c>
      <c r="R652" s="2" t="inlineStr"/>
    </row>
    <row r="653" ht="15" customHeight="1">
      <c r="A653" t="inlineStr">
        <is>
          <t>A 60681-2022</t>
        </is>
      </c>
      <c r="B653" s="1" t="n">
        <v>44911.93994212963</v>
      </c>
      <c r="C653" s="1" t="n">
        <v>46059</v>
      </c>
      <c r="D653" t="inlineStr">
        <is>
          <t>JÄMTLANDS LÄN</t>
        </is>
      </c>
      <c r="E653" t="inlineStr">
        <is>
          <t>ÖSTERSUND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48696-2024</t>
        </is>
      </c>
      <c r="B654" s="1" t="n">
        <v>45593.51123842593</v>
      </c>
      <c r="C654" s="1" t="n">
        <v>46059</v>
      </c>
      <c r="D654" t="inlineStr">
        <is>
          <t>JÄMTLANDS LÄN</t>
        </is>
      </c>
      <c r="E654" t="inlineStr">
        <is>
          <t>ÖSTERSUND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22126-2021</t>
        </is>
      </c>
      <c r="B655" s="1" t="n">
        <v>44323</v>
      </c>
      <c r="C655" s="1" t="n">
        <v>46059</v>
      </c>
      <c r="D655" t="inlineStr">
        <is>
          <t>JÄMTLANDS LÄN</t>
        </is>
      </c>
      <c r="E655" t="inlineStr">
        <is>
          <t>ÖSTERSUND</t>
        </is>
      </c>
      <c r="G655" t="n">
        <v>1.4</v>
      </c>
      <c r="H655" t="n">
        <v>0</v>
      </c>
      <c r="I655" t="n">
        <v>0</v>
      </c>
      <c r="J655" t="n">
        <v>0</v>
      </c>
      <c r="K655" t="n">
        <v>0</v>
      </c>
      <c r="L655" t="n">
        <v>0</v>
      </c>
      <c r="M655" t="n">
        <v>0</v>
      </c>
      <c r="N655" t="n">
        <v>0</v>
      </c>
      <c r="O655" t="n">
        <v>0</v>
      </c>
      <c r="P655" t="n">
        <v>0</v>
      </c>
      <c r="Q655" t="n">
        <v>0</v>
      </c>
      <c r="R655" s="2" t="inlineStr"/>
    </row>
    <row r="656" ht="15" customHeight="1">
      <c r="A656" t="inlineStr">
        <is>
          <t>A 39975-2024</t>
        </is>
      </c>
      <c r="B656" s="1" t="n">
        <v>45553.60474537037</v>
      </c>
      <c r="C656" s="1" t="n">
        <v>46059</v>
      </c>
      <c r="D656" t="inlineStr">
        <is>
          <t>JÄMTLANDS LÄN</t>
        </is>
      </c>
      <c r="E656" t="inlineStr">
        <is>
          <t>ÖSTERSUND</t>
        </is>
      </c>
      <c r="G656" t="n">
        <v>3.8</v>
      </c>
      <c r="H656" t="n">
        <v>0</v>
      </c>
      <c r="I656" t="n">
        <v>0</v>
      </c>
      <c r="J656" t="n">
        <v>0</v>
      </c>
      <c r="K656" t="n">
        <v>0</v>
      </c>
      <c r="L656" t="n">
        <v>0</v>
      </c>
      <c r="M656" t="n">
        <v>0</v>
      </c>
      <c r="N656" t="n">
        <v>0</v>
      </c>
      <c r="O656" t="n">
        <v>0</v>
      </c>
      <c r="P656" t="n">
        <v>0</v>
      </c>
      <c r="Q656" t="n">
        <v>0</v>
      </c>
      <c r="R656" s="2" t="inlineStr"/>
    </row>
    <row r="657" ht="15" customHeight="1">
      <c r="A657" t="inlineStr">
        <is>
          <t>A 51936-2023</t>
        </is>
      </c>
      <c r="B657" s="1" t="n">
        <v>45223.5036574074</v>
      </c>
      <c r="C657" s="1" t="n">
        <v>46059</v>
      </c>
      <c r="D657" t="inlineStr">
        <is>
          <t>JÄMTLANDS LÄN</t>
        </is>
      </c>
      <c r="E657" t="inlineStr">
        <is>
          <t>ÖSTERSUND</t>
        </is>
      </c>
      <c r="G657" t="n">
        <v>8.4</v>
      </c>
      <c r="H657" t="n">
        <v>0</v>
      </c>
      <c r="I657" t="n">
        <v>0</v>
      </c>
      <c r="J657" t="n">
        <v>0</v>
      </c>
      <c r="K657" t="n">
        <v>0</v>
      </c>
      <c r="L657" t="n">
        <v>0</v>
      </c>
      <c r="M657" t="n">
        <v>0</v>
      </c>
      <c r="N657" t="n">
        <v>0</v>
      </c>
      <c r="O657" t="n">
        <v>0</v>
      </c>
      <c r="P657" t="n">
        <v>0</v>
      </c>
      <c r="Q657" t="n">
        <v>0</v>
      </c>
      <c r="R657" s="2" t="inlineStr"/>
    </row>
    <row r="658" ht="15" customHeight="1">
      <c r="A658" t="inlineStr">
        <is>
          <t>A 51941-2023</t>
        </is>
      </c>
      <c r="B658" s="1" t="n">
        <v>45223</v>
      </c>
      <c r="C658" s="1" t="n">
        <v>46059</v>
      </c>
      <c r="D658" t="inlineStr">
        <is>
          <t>JÄMTLANDS LÄN</t>
        </is>
      </c>
      <c r="E658" t="inlineStr">
        <is>
          <t>ÖSTERSUND</t>
        </is>
      </c>
      <c r="G658" t="n">
        <v>4.6</v>
      </c>
      <c r="H658" t="n">
        <v>0</v>
      </c>
      <c r="I658" t="n">
        <v>0</v>
      </c>
      <c r="J658" t="n">
        <v>0</v>
      </c>
      <c r="K658" t="n">
        <v>0</v>
      </c>
      <c r="L658" t="n">
        <v>0</v>
      </c>
      <c r="M658" t="n">
        <v>0</v>
      </c>
      <c r="N658" t="n">
        <v>0</v>
      </c>
      <c r="O658" t="n">
        <v>0</v>
      </c>
      <c r="P658" t="n">
        <v>0</v>
      </c>
      <c r="Q658" t="n">
        <v>0</v>
      </c>
      <c r="R658" s="2" t="inlineStr"/>
    </row>
    <row r="659" ht="15" customHeight="1">
      <c r="A659" t="inlineStr">
        <is>
          <t>A 14523-2023</t>
        </is>
      </c>
      <c r="B659" s="1" t="n">
        <v>45012</v>
      </c>
      <c r="C659" s="1" t="n">
        <v>46059</v>
      </c>
      <c r="D659" t="inlineStr">
        <is>
          <t>JÄMTLANDS LÄN</t>
        </is>
      </c>
      <c r="E659" t="inlineStr">
        <is>
          <t>ÖSTERSUND</t>
        </is>
      </c>
      <c r="G659" t="n">
        <v>4.5</v>
      </c>
      <c r="H659" t="n">
        <v>0</v>
      </c>
      <c r="I659" t="n">
        <v>0</v>
      </c>
      <c r="J659" t="n">
        <v>0</v>
      </c>
      <c r="K659" t="n">
        <v>0</v>
      </c>
      <c r="L659" t="n">
        <v>0</v>
      </c>
      <c r="M659" t="n">
        <v>0</v>
      </c>
      <c r="N659" t="n">
        <v>0</v>
      </c>
      <c r="O659" t="n">
        <v>0</v>
      </c>
      <c r="P659" t="n">
        <v>0</v>
      </c>
      <c r="Q659" t="n">
        <v>0</v>
      </c>
      <c r="R659" s="2" t="inlineStr"/>
    </row>
    <row r="660" ht="15" customHeight="1">
      <c r="A660" t="inlineStr">
        <is>
          <t>A 13282-2023</t>
        </is>
      </c>
      <c r="B660" s="1" t="n">
        <v>45004</v>
      </c>
      <c r="C660" s="1" t="n">
        <v>46059</v>
      </c>
      <c r="D660" t="inlineStr">
        <is>
          <t>JÄMTLANDS LÄN</t>
        </is>
      </c>
      <c r="E660" t="inlineStr">
        <is>
          <t>ÖSTERSUND</t>
        </is>
      </c>
      <c r="G660" t="n">
        <v>28.5</v>
      </c>
      <c r="H660" t="n">
        <v>0</v>
      </c>
      <c r="I660" t="n">
        <v>0</v>
      </c>
      <c r="J660" t="n">
        <v>0</v>
      </c>
      <c r="K660" t="n">
        <v>0</v>
      </c>
      <c r="L660" t="n">
        <v>0</v>
      </c>
      <c r="M660" t="n">
        <v>0</v>
      </c>
      <c r="N660" t="n">
        <v>0</v>
      </c>
      <c r="O660" t="n">
        <v>0</v>
      </c>
      <c r="P660" t="n">
        <v>0</v>
      </c>
      <c r="Q660" t="n">
        <v>0</v>
      </c>
      <c r="R660" s="2" t="inlineStr"/>
    </row>
    <row r="661" ht="15" customHeight="1">
      <c r="A661" t="inlineStr">
        <is>
          <t>A 54973-2023</t>
        </is>
      </c>
      <c r="B661" s="1" t="n">
        <v>45236.92776620371</v>
      </c>
      <c r="C661" s="1" t="n">
        <v>46059</v>
      </c>
      <c r="D661" t="inlineStr">
        <is>
          <t>JÄMTLANDS LÄN</t>
        </is>
      </c>
      <c r="E661" t="inlineStr">
        <is>
          <t>ÖSTERSUND</t>
        </is>
      </c>
      <c r="G661" t="n">
        <v>15.4</v>
      </c>
      <c r="H661" t="n">
        <v>0</v>
      </c>
      <c r="I661" t="n">
        <v>0</v>
      </c>
      <c r="J661" t="n">
        <v>0</v>
      </c>
      <c r="K661" t="n">
        <v>0</v>
      </c>
      <c r="L661" t="n">
        <v>0</v>
      </c>
      <c r="M661" t="n">
        <v>0</v>
      </c>
      <c r="N661" t="n">
        <v>0</v>
      </c>
      <c r="O661" t="n">
        <v>0</v>
      </c>
      <c r="P661" t="n">
        <v>0</v>
      </c>
      <c r="Q661" t="n">
        <v>0</v>
      </c>
      <c r="R661" s="2" t="inlineStr"/>
    </row>
    <row r="662" ht="15" customHeight="1">
      <c r="A662" t="inlineStr">
        <is>
          <t>A 4901-2025</t>
        </is>
      </c>
      <c r="B662" s="1" t="n">
        <v>45688.67965277778</v>
      </c>
      <c r="C662" s="1" t="n">
        <v>46059</v>
      </c>
      <c r="D662" t="inlineStr">
        <is>
          <t>JÄMTLANDS LÄN</t>
        </is>
      </c>
      <c r="E662" t="inlineStr">
        <is>
          <t>ÖSTERSUND</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46059</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47804-2024</t>
        </is>
      </c>
      <c r="B664" s="1" t="n">
        <v>45588.61498842593</v>
      </c>
      <c r="C664" s="1" t="n">
        <v>46059</v>
      </c>
      <c r="D664" t="inlineStr">
        <is>
          <t>JÄMTLANDS LÄN</t>
        </is>
      </c>
      <c r="E664" t="inlineStr">
        <is>
          <t>ÖSTERSUND</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10306-2023</t>
        </is>
      </c>
      <c r="B665" s="1" t="n">
        <v>44986.94196759259</v>
      </c>
      <c r="C665" s="1" t="n">
        <v>46059</v>
      </c>
      <c r="D665" t="inlineStr">
        <is>
          <t>JÄMTLANDS LÄN</t>
        </is>
      </c>
      <c r="E665" t="inlineStr">
        <is>
          <t>ÖSTERSUND</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8261-2025</t>
        </is>
      </c>
      <c r="B666" s="1" t="n">
        <v>45708.50256944444</v>
      </c>
      <c r="C666" s="1" t="n">
        <v>46059</v>
      </c>
      <c r="D666" t="inlineStr">
        <is>
          <t>JÄMTLANDS LÄN</t>
        </is>
      </c>
      <c r="E666" t="inlineStr">
        <is>
          <t>ÖSTERSUND</t>
        </is>
      </c>
      <c r="G666" t="n">
        <v>5.4</v>
      </c>
      <c r="H666" t="n">
        <v>0</v>
      </c>
      <c r="I666" t="n">
        <v>0</v>
      </c>
      <c r="J666" t="n">
        <v>0</v>
      </c>
      <c r="K666" t="n">
        <v>0</v>
      </c>
      <c r="L666" t="n">
        <v>0</v>
      </c>
      <c r="M666" t="n">
        <v>0</v>
      </c>
      <c r="N666" t="n">
        <v>0</v>
      </c>
      <c r="O666" t="n">
        <v>0</v>
      </c>
      <c r="P666" t="n">
        <v>0</v>
      </c>
      <c r="Q666" t="n">
        <v>0</v>
      </c>
      <c r="R666" s="2" t="inlineStr"/>
    </row>
    <row r="667" ht="15" customHeight="1">
      <c r="A667" t="inlineStr">
        <is>
          <t>A 12352-2025</t>
        </is>
      </c>
      <c r="B667" s="1" t="n">
        <v>45730.36263888889</v>
      </c>
      <c r="C667" s="1" t="n">
        <v>46059</v>
      </c>
      <c r="D667" t="inlineStr">
        <is>
          <t>JÄMTLANDS LÄN</t>
        </is>
      </c>
      <c r="E667" t="inlineStr">
        <is>
          <t>ÖSTERSUND</t>
        </is>
      </c>
      <c r="G667" t="n">
        <v>7.8</v>
      </c>
      <c r="H667" t="n">
        <v>0</v>
      </c>
      <c r="I667" t="n">
        <v>0</v>
      </c>
      <c r="J667" t="n">
        <v>0</v>
      </c>
      <c r="K667" t="n">
        <v>0</v>
      </c>
      <c r="L667" t="n">
        <v>0</v>
      </c>
      <c r="M667" t="n">
        <v>0</v>
      </c>
      <c r="N667" t="n">
        <v>0</v>
      </c>
      <c r="O667" t="n">
        <v>0</v>
      </c>
      <c r="P667" t="n">
        <v>0</v>
      </c>
      <c r="Q667" t="n">
        <v>0</v>
      </c>
      <c r="R667" s="2" t="inlineStr"/>
    </row>
    <row r="668" ht="15" customHeight="1">
      <c r="A668" t="inlineStr">
        <is>
          <t>A 296-2023</t>
        </is>
      </c>
      <c r="B668" s="1" t="n">
        <v>44922</v>
      </c>
      <c r="C668" s="1" t="n">
        <v>46059</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5553-2025</t>
        </is>
      </c>
      <c r="B669" s="1" t="n">
        <v>45693</v>
      </c>
      <c r="C669" s="1" t="n">
        <v>46059</v>
      </c>
      <c r="D669" t="inlineStr">
        <is>
          <t>JÄMTLANDS LÄN</t>
        </is>
      </c>
      <c r="E669" t="inlineStr">
        <is>
          <t>ÖSTERSUND</t>
        </is>
      </c>
      <c r="G669" t="n">
        <v>0.7</v>
      </c>
      <c r="H669" t="n">
        <v>0</v>
      </c>
      <c r="I669" t="n">
        <v>0</v>
      </c>
      <c r="J669" t="n">
        <v>0</v>
      </c>
      <c r="K669" t="n">
        <v>0</v>
      </c>
      <c r="L669" t="n">
        <v>0</v>
      </c>
      <c r="M669" t="n">
        <v>0</v>
      </c>
      <c r="N669" t="n">
        <v>0</v>
      </c>
      <c r="O669" t="n">
        <v>0</v>
      </c>
      <c r="P669" t="n">
        <v>0</v>
      </c>
      <c r="Q669" t="n">
        <v>0</v>
      </c>
      <c r="R669" s="2" t="inlineStr"/>
    </row>
    <row r="670" ht="15" customHeight="1">
      <c r="A670" t="inlineStr">
        <is>
          <t>A 64314-2023</t>
        </is>
      </c>
      <c r="B670" s="1" t="n">
        <v>45280</v>
      </c>
      <c r="C670" s="1" t="n">
        <v>46059</v>
      </c>
      <c r="D670" t="inlineStr">
        <is>
          <t>JÄMTLANDS LÄN</t>
        </is>
      </c>
      <c r="E670" t="inlineStr">
        <is>
          <t>ÖSTERSUND</t>
        </is>
      </c>
      <c r="G670" t="n">
        <v>0.6</v>
      </c>
      <c r="H670" t="n">
        <v>0</v>
      </c>
      <c r="I670" t="n">
        <v>0</v>
      </c>
      <c r="J670" t="n">
        <v>0</v>
      </c>
      <c r="K670" t="n">
        <v>0</v>
      </c>
      <c r="L670" t="n">
        <v>0</v>
      </c>
      <c r="M670" t="n">
        <v>0</v>
      </c>
      <c r="N670" t="n">
        <v>0</v>
      </c>
      <c r="O670" t="n">
        <v>0</v>
      </c>
      <c r="P670" t="n">
        <v>0</v>
      </c>
      <c r="Q670" t="n">
        <v>0</v>
      </c>
      <c r="R670" s="2" t="inlineStr"/>
    </row>
    <row r="671" ht="15" customHeight="1">
      <c r="A671" t="inlineStr">
        <is>
          <t>A 13655-2025</t>
        </is>
      </c>
      <c r="B671" s="1" t="n">
        <v>45736.71956018519</v>
      </c>
      <c r="C671" s="1" t="n">
        <v>46059</v>
      </c>
      <c r="D671" t="inlineStr">
        <is>
          <t>JÄMTLANDS LÄN</t>
        </is>
      </c>
      <c r="E671" t="inlineStr">
        <is>
          <t>ÖSTERSUND</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32998-2021</t>
        </is>
      </c>
      <c r="B672" s="1" t="n">
        <v>44375</v>
      </c>
      <c r="C672" s="1" t="n">
        <v>46059</v>
      </c>
      <c r="D672" t="inlineStr">
        <is>
          <t>JÄMTLANDS LÄN</t>
        </is>
      </c>
      <c r="E672" t="inlineStr">
        <is>
          <t>ÖSTERSUND</t>
        </is>
      </c>
      <c r="G672" t="n">
        <v>0.1</v>
      </c>
      <c r="H672" t="n">
        <v>0</v>
      </c>
      <c r="I672" t="n">
        <v>0</v>
      </c>
      <c r="J672" t="n">
        <v>0</v>
      </c>
      <c r="K672" t="n">
        <v>0</v>
      </c>
      <c r="L672" t="n">
        <v>0</v>
      </c>
      <c r="M672" t="n">
        <v>0</v>
      </c>
      <c r="N672" t="n">
        <v>0</v>
      </c>
      <c r="O672" t="n">
        <v>0</v>
      </c>
      <c r="P672" t="n">
        <v>0</v>
      </c>
      <c r="Q672" t="n">
        <v>0</v>
      </c>
      <c r="R672" s="2" t="inlineStr"/>
    </row>
    <row r="673" ht="15" customHeight="1">
      <c r="A673" t="inlineStr">
        <is>
          <t>A 60575-2022</t>
        </is>
      </c>
      <c r="B673" s="1" t="n">
        <v>44911.5662037037</v>
      </c>
      <c r="C673" s="1" t="n">
        <v>46059</v>
      </c>
      <c r="D673" t="inlineStr">
        <is>
          <t>JÄMTLANDS LÄN</t>
        </is>
      </c>
      <c r="E673" t="inlineStr">
        <is>
          <t>ÖSTERSUND</t>
        </is>
      </c>
      <c r="G673" t="n">
        <v>1</v>
      </c>
      <c r="H673" t="n">
        <v>0</v>
      </c>
      <c r="I673" t="n">
        <v>0</v>
      </c>
      <c r="J673" t="n">
        <v>0</v>
      </c>
      <c r="K673" t="n">
        <v>0</v>
      </c>
      <c r="L673" t="n">
        <v>0</v>
      </c>
      <c r="M673" t="n">
        <v>0</v>
      </c>
      <c r="N673" t="n">
        <v>0</v>
      </c>
      <c r="O673" t="n">
        <v>0</v>
      </c>
      <c r="P673" t="n">
        <v>0</v>
      </c>
      <c r="Q673" t="n">
        <v>0</v>
      </c>
      <c r="R673" s="2" t="inlineStr"/>
    </row>
    <row r="674" ht="15" customHeight="1">
      <c r="A674" t="inlineStr">
        <is>
          <t>A 1211-2025</t>
        </is>
      </c>
      <c r="B674" s="1" t="n">
        <v>45667.40662037037</v>
      </c>
      <c r="C674" s="1" t="n">
        <v>46059</v>
      </c>
      <c r="D674" t="inlineStr">
        <is>
          <t>JÄMTLANDS LÄN</t>
        </is>
      </c>
      <c r="E674" t="inlineStr">
        <is>
          <t>ÖSTERSUND</t>
        </is>
      </c>
      <c r="F674" t="inlineStr">
        <is>
          <t>SCA</t>
        </is>
      </c>
      <c r="G674" t="n">
        <v>6.2</v>
      </c>
      <c r="H674" t="n">
        <v>0</v>
      </c>
      <c r="I674" t="n">
        <v>0</v>
      </c>
      <c r="J674" t="n">
        <v>0</v>
      </c>
      <c r="K674" t="n">
        <v>0</v>
      </c>
      <c r="L674" t="n">
        <v>0</v>
      </c>
      <c r="M674" t="n">
        <v>0</v>
      </c>
      <c r="N674" t="n">
        <v>0</v>
      </c>
      <c r="O674" t="n">
        <v>0</v>
      </c>
      <c r="P674" t="n">
        <v>0</v>
      </c>
      <c r="Q674" t="n">
        <v>0</v>
      </c>
      <c r="R674" s="2" t="inlineStr"/>
    </row>
    <row r="675" ht="15" customHeight="1">
      <c r="A675" t="inlineStr">
        <is>
          <t>A 37597-2023</t>
        </is>
      </c>
      <c r="B675" s="1" t="n">
        <v>45159.42180555555</v>
      </c>
      <c r="C675" s="1" t="n">
        <v>46059</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3997-2025</t>
        </is>
      </c>
      <c r="B676" s="1" t="n">
        <v>45684.56725694444</v>
      </c>
      <c r="C676" s="1" t="n">
        <v>46059</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54587-2024</t>
        </is>
      </c>
      <c r="B677" s="1" t="n">
        <v>45617.65800925926</v>
      </c>
      <c r="C677" s="1" t="n">
        <v>46059</v>
      </c>
      <c r="D677" t="inlineStr">
        <is>
          <t>JÄMTLANDS LÄN</t>
        </is>
      </c>
      <c r="E677" t="inlineStr">
        <is>
          <t>ÖSTERSUND</t>
        </is>
      </c>
      <c r="G677" t="n">
        <v>14</v>
      </c>
      <c r="H677" t="n">
        <v>0</v>
      </c>
      <c r="I677" t="n">
        <v>0</v>
      </c>
      <c r="J677" t="n">
        <v>0</v>
      </c>
      <c r="K677" t="n">
        <v>0</v>
      </c>
      <c r="L677" t="n">
        <v>0</v>
      </c>
      <c r="M677" t="n">
        <v>0</v>
      </c>
      <c r="N677" t="n">
        <v>0</v>
      </c>
      <c r="O677" t="n">
        <v>0</v>
      </c>
      <c r="P677" t="n">
        <v>0</v>
      </c>
      <c r="Q677" t="n">
        <v>0</v>
      </c>
      <c r="R677" s="2" t="inlineStr"/>
    </row>
    <row r="678" ht="15" customHeight="1">
      <c r="A678" t="inlineStr">
        <is>
          <t>A 61506-2023</t>
        </is>
      </c>
      <c r="B678" s="1" t="n">
        <v>45264</v>
      </c>
      <c r="C678" s="1" t="n">
        <v>46059</v>
      </c>
      <c r="D678" t="inlineStr">
        <is>
          <t>JÄMTLANDS LÄN</t>
        </is>
      </c>
      <c r="E678" t="inlineStr">
        <is>
          <t>ÖSTERSUND</t>
        </is>
      </c>
      <c r="G678" t="n">
        <v>3</v>
      </c>
      <c r="H678" t="n">
        <v>0</v>
      </c>
      <c r="I678" t="n">
        <v>0</v>
      </c>
      <c r="J678" t="n">
        <v>0</v>
      </c>
      <c r="K678" t="n">
        <v>0</v>
      </c>
      <c r="L678" t="n">
        <v>0</v>
      </c>
      <c r="M678" t="n">
        <v>0</v>
      </c>
      <c r="N678" t="n">
        <v>0</v>
      </c>
      <c r="O678" t="n">
        <v>0</v>
      </c>
      <c r="P678" t="n">
        <v>0</v>
      </c>
      <c r="Q678" t="n">
        <v>0</v>
      </c>
      <c r="R678" s="2" t="inlineStr"/>
    </row>
    <row r="679" ht="15" customHeight="1">
      <c r="A679" t="inlineStr">
        <is>
          <t>A 16336-2025</t>
        </is>
      </c>
      <c r="B679" s="1" t="n">
        <v>45751.36519675926</v>
      </c>
      <c r="C679" s="1" t="n">
        <v>46059</v>
      </c>
      <c r="D679" t="inlineStr">
        <is>
          <t>JÄMTLANDS LÄN</t>
        </is>
      </c>
      <c r="E679" t="inlineStr">
        <is>
          <t>ÖSTERSUND</t>
        </is>
      </c>
      <c r="G679" t="n">
        <v>0.9</v>
      </c>
      <c r="H679" t="n">
        <v>0</v>
      </c>
      <c r="I679" t="n">
        <v>0</v>
      </c>
      <c r="J679" t="n">
        <v>0</v>
      </c>
      <c r="K679" t="n">
        <v>0</v>
      </c>
      <c r="L679" t="n">
        <v>0</v>
      </c>
      <c r="M679" t="n">
        <v>0</v>
      </c>
      <c r="N679" t="n">
        <v>0</v>
      </c>
      <c r="O679" t="n">
        <v>0</v>
      </c>
      <c r="P679" t="n">
        <v>0</v>
      </c>
      <c r="Q679" t="n">
        <v>0</v>
      </c>
      <c r="R679" s="2" t="inlineStr"/>
    </row>
    <row r="680" ht="15" customHeight="1">
      <c r="A680" t="inlineStr">
        <is>
          <t>A 207-2025</t>
        </is>
      </c>
      <c r="B680" s="1" t="n">
        <v>45660.32672453704</v>
      </c>
      <c r="C680" s="1" t="n">
        <v>46059</v>
      </c>
      <c r="D680" t="inlineStr">
        <is>
          <t>JÄMTLANDS LÄN</t>
        </is>
      </c>
      <c r="E680" t="inlineStr">
        <is>
          <t>ÖSTERSUND</t>
        </is>
      </c>
      <c r="G680" t="n">
        <v>4</v>
      </c>
      <c r="H680" t="n">
        <v>0</v>
      </c>
      <c r="I680" t="n">
        <v>0</v>
      </c>
      <c r="J680" t="n">
        <v>0</v>
      </c>
      <c r="K680" t="n">
        <v>0</v>
      </c>
      <c r="L680" t="n">
        <v>0</v>
      </c>
      <c r="M680" t="n">
        <v>0</v>
      </c>
      <c r="N680" t="n">
        <v>0</v>
      </c>
      <c r="O680" t="n">
        <v>0</v>
      </c>
      <c r="P680" t="n">
        <v>0</v>
      </c>
      <c r="Q680" t="n">
        <v>0</v>
      </c>
      <c r="R680" s="2" t="inlineStr"/>
    </row>
    <row r="681" ht="15" customHeight="1">
      <c r="A681" t="inlineStr">
        <is>
          <t>A 61332-2024</t>
        </is>
      </c>
      <c r="B681" s="1" t="n">
        <v>45646.35685185185</v>
      </c>
      <c r="C681" s="1" t="n">
        <v>46059</v>
      </c>
      <c r="D681" t="inlineStr">
        <is>
          <t>JÄMTLANDS LÄN</t>
        </is>
      </c>
      <c r="E681" t="inlineStr">
        <is>
          <t>ÖSTERSUND</t>
        </is>
      </c>
      <c r="G681" t="n">
        <v>3.2</v>
      </c>
      <c r="H681" t="n">
        <v>0</v>
      </c>
      <c r="I681" t="n">
        <v>0</v>
      </c>
      <c r="J681" t="n">
        <v>0</v>
      </c>
      <c r="K681" t="n">
        <v>0</v>
      </c>
      <c r="L681" t="n">
        <v>0</v>
      </c>
      <c r="M681" t="n">
        <v>0</v>
      </c>
      <c r="N681" t="n">
        <v>0</v>
      </c>
      <c r="O681" t="n">
        <v>0</v>
      </c>
      <c r="P681" t="n">
        <v>0</v>
      </c>
      <c r="Q681" t="n">
        <v>0</v>
      </c>
      <c r="R681" s="2" t="inlineStr"/>
    </row>
    <row r="682" ht="15" customHeight="1">
      <c r="A682" t="inlineStr">
        <is>
          <t>A 17709-2024</t>
        </is>
      </c>
      <c r="B682" s="1" t="n">
        <v>45418.4843287037</v>
      </c>
      <c r="C682" s="1" t="n">
        <v>46059</v>
      </c>
      <c r="D682" t="inlineStr">
        <is>
          <t>JÄMTLANDS LÄN</t>
        </is>
      </c>
      <c r="E682" t="inlineStr">
        <is>
          <t>ÖSTERSUND</t>
        </is>
      </c>
      <c r="G682" t="n">
        <v>2.9</v>
      </c>
      <c r="H682" t="n">
        <v>0</v>
      </c>
      <c r="I682" t="n">
        <v>0</v>
      </c>
      <c r="J682" t="n">
        <v>0</v>
      </c>
      <c r="K682" t="n">
        <v>0</v>
      </c>
      <c r="L682" t="n">
        <v>0</v>
      </c>
      <c r="M682" t="n">
        <v>0</v>
      </c>
      <c r="N682" t="n">
        <v>0</v>
      </c>
      <c r="O682" t="n">
        <v>0</v>
      </c>
      <c r="P682" t="n">
        <v>0</v>
      </c>
      <c r="Q682" t="n">
        <v>0</v>
      </c>
      <c r="R682" s="2" t="inlineStr"/>
    </row>
    <row r="683" ht="15" customHeight="1">
      <c r="A683" t="inlineStr">
        <is>
          <t>A 21060-2025</t>
        </is>
      </c>
      <c r="B683" s="1" t="n">
        <v>45777.58025462963</v>
      </c>
      <c r="C683" s="1" t="n">
        <v>46059</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21094-2025</t>
        </is>
      </c>
      <c r="B684" s="1" t="n">
        <v>45777.62665509259</v>
      </c>
      <c r="C684" s="1" t="n">
        <v>46059</v>
      </c>
      <c r="D684" t="inlineStr">
        <is>
          <t>JÄMTLANDS LÄN</t>
        </is>
      </c>
      <c r="E684" t="inlineStr">
        <is>
          <t>ÖSTERSUND</t>
        </is>
      </c>
      <c r="G684" t="n">
        <v>3.3</v>
      </c>
      <c r="H684" t="n">
        <v>0</v>
      </c>
      <c r="I684" t="n">
        <v>0</v>
      </c>
      <c r="J684" t="n">
        <v>0</v>
      </c>
      <c r="K684" t="n">
        <v>0</v>
      </c>
      <c r="L684" t="n">
        <v>0</v>
      </c>
      <c r="M684" t="n">
        <v>0</v>
      </c>
      <c r="N684" t="n">
        <v>0</v>
      </c>
      <c r="O684" t="n">
        <v>0</v>
      </c>
      <c r="P684" t="n">
        <v>0</v>
      </c>
      <c r="Q684" t="n">
        <v>0</v>
      </c>
      <c r="R684" s="2" t="inlineStr"/>
    </row>
    <row r="685" ht="15" customHeight="1">
      <c r="A685" t="inlineStr">
        <is>
          <t>A 21237-2025</t>
        </is>
      </c>
      <c r="B685" s="1" t="n">
        <v>45779</v>
      </c>
      <c r="C685" s="1" t="n">
        <v>46059</v>
      </c>
      <c r="D685" t="inlineStr">
        <is>
          <t>JÄMTLANDS LÄN</t>
        </is>
      </c>
      <c r="E685" t="inlineStr">
        <is>
          <t>ÖSTERSUND</t>
        </is>
      </c>
      <c r="G685" t="n">
        <v>0.4</v>
      </c>
      <c r="H685" t="n">
        <v>0</v>
      </c>
      <c r="I685" t="n">
        <v>0</v>
      </c>
      <c r="J685" t="n">
        <v>0</v>
      </c>
      <c r="K685" t="n">
        <v>0</v>
      </c>
      <c r="L685" t="n">
        <v>0</v>
      </c>
      <c r="M685" t="n">
        <v>0</v>
      </c>
      <c r="N685" t="n">
        <v>0</v>
      </c>
      <c r="O685" t="n">
        <v>0</v>
      </c>
      <c r="P685" t="n">
        <v>0</v>
      </c>
      <c r="Q685" t="n">
        <v>0</v>
      </c>
      <c r="R685" s="2" t="inlineStr"/>
    </row>
    <row r="686" ht="15" customHeight="1">
      <c r="A686" t="inlineStr">
        <is>
          <t>A 14848-2025</t>
        </is>
      </c>
      <c r="B686" s="1" t="n">
        <v>45743.39528935185</v>
      </c>
      <c r="C686" s="1" t="n">
        <v>46059</v>
      </c>
      <c r="D686" t="inlineStr">
        <is>
          <t>JÄMTLANDS LÄN</t>
        </is>
      </c>
      <c r="E686" t="inlineStr">
        <is>
          <t>ÖSTERSUND</t>
        </is>
      </c>
      <c r="G686" t="n">
        <v>12.1</v>
      </c>
      <c r="H686" t="n">
        <v>0</v>
      </c>
      <c r="I686" t="n">
        <v>0</v>
      </c>
      <c r="J686" t="n">
        <v>0</v>
      </c>
      <c r="K686" t="n">
        <v>0</v>
      </c>
      <c r="L686" t="n">
        <v>0</v>
      </c>
      <c r="M686" t="n">
        <v>0</v>
      </c>
      <c r="N686" t="n">
        <v>0</v>
      </c>
      <c r="O686" t="n">
        <v>0</v>
      </c>
      <c r="P686" t="n">
        <v>0</v>
      </c>
      <c r="Q686" t="n">
        <v>0</v>
      </c>
      <c r="R686" s="2" t="inlineStr"/>
    </row>
    <row r="687" ht="15" customHeight="1">
      <c r="A687" t="inlineStr">
        <is>
          <t>A 16812-2025</t>
        </is>
      </c>
      <c r="B687" s="1" t="n">
        <v>45754</v>
      </c>
      <c r="C687" s="1" t="n">
        <v>46059</v>
      </c>
      <c r="D687" t="inlineStr">
        <is>
          <t>JÄMTLANDS LÄN</t>
        </is>
      </c>
      <c r="E687" t="inlineStr">
        <is>
          <t>ÖSTERSUND</t>
        </is>
      </c>
      <c r="F687" t="inlineStr">
        <is>
          <t>Övriga statliga verk och myndigheter</t>
        </is>
      </c>
      <c r="G687" t="n">
        <v>3.7</v>
      </c>
      <c r="H687" t="n">
        <v>0</v>
      </c>
      <c r="I687" t="n">
        <v>0</v>
      </c>
      <c r="J687" t="n">
        <v>0</v>
      </c>
      <c r="K687" t="n">
        <v>0</v>
      </c>
      <c r="L687" t="n">
        <v>0</v>
      </c>
      <c r="M687" t="n">
        <v>0</v>
      </c>
      <c r="N687" t="n">
        <v>0</v>
      </c>
      <c r="O687" t="n">
        <v>0</v>
      </c>
      <c r="P687" t="n">
        <v>0</v>
      </c>
      <c r="Q687" t="n">
        <v>0</v>
      </c>
      <c r="R687" s="2" t="inlineStr"/>
    </row>
    <row r="688" ht="15" customHeight="1">
      <c r="A688" t="inlineStr">
        <is>
          <t>A 16725-2025</t>
        </is>
      </c>
      <c r="B688" s="1" t="n">
        <v>45754</v>
      </c>
      <c r="C688" s="1" t="n">
        <v>46059</v>
      </c>
      <c r="D688" t="inlineStr">
        <is>
          <t>JÄMTLANDS LÄN</t>
        </is>
      </c>
      <c r="E688" t="inlineStr">
        <is>
          <t>ÖSTERSUND</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4480-2025</t>
        </is>
      </c>
      <c r="B689" s="1" t="n">
        <v>45686.64175925926</v>
      </c>
      <c r="C689" s="1" t="n">
        <v>46059</v>
      </c>
      <c r="D689" t="inlineStr">
        <is>
          <t>JÄMTLANDS LÄN</t>
        </is>
      </c>
      <c r="E689" t="inlineStr">
        <is>
          <t>ÖSTERSUND</t>
        </is>
      </c>
      <c r="G689" t="n">
        <v>27.7</v>
      </c>
      <c r="H689" t="n">
        <v>0</v>
      </c>
      <c r="I689" t="n">
        <v>0</v>
      </c>
      <c r="J689" t="n">
        <v>0</v>
      </c>
      <c r="K689" t="n">
        <v>0</v>
      </c>
      <c r="L689" t="n">
        <v>0</v>
      </c>
      <c r="M689" t="n">
        <v>0</v>
      </c>
      <c r="N689" t="n">
        <v>0</v>
      </c>
      <c r="O689" t="n">
        <v>0</v>
      </c>
      <c r="P689" t="n">
        <v>0</v>
      </c>
      <c r="Q689" t="n">
        <v>0</v>
      </c>
      <c r="R689" s="2" t="inlineStr"/>
    </row>
    <row r="690" ht="15" customHeight="1">
      <c r="A690" t="inlineStr">
        <is>
          <t>A 22612-2025</t>
        </is>
      </c>
      <c r="B690" s="1" t="n">
        <v>45789.42538194444</v>
      </c>
      <c r="C690" s="1" t="n">
        <v>46059</v>
      </c>
      <c r="D690" t="inlineStr">
        <is>
          <t>JÄMTLANDS LÄN</t>
        </is>
      </c>
      <c r="E690" t="inlineStr">
        <is>
          <t>ÖSTERSUND</t>
        </is>
      </c>
      <c r="G690" t="n">
        <v>0.7</v>
      </c>
      <c r="H690" t="n">
        <v>0</v>
      </c>
      <c r="I690" t="n">
        <v>0</v>
      </c>
      <c r="J690" t="n">
        <v>0</v>
      </c>
      <c r="K690" t="n">
        <v>0</v>
      </c>
      <c r="L690" t="n">
        <v>0</v>
      </c>
      <c r="M690" t="n">
        <v>0</v>
      </c>
      <c r="N690" t="n">
        <v>0</v>
      </c>
      <c r="O690" t="n">
        <v>0</v>
      </c>
      <c r="P690" t="n">
        <v>0</v>
      </c>
      <c r="Q690" t="n">
        <v>0</v>
      </c>
      <c r="R690" s="2" t="inlineStr"/>
    </row>
    <row r="691" ht="15" customHeight="1">
      <c r="A691" t="inlineStr">
        <is>
          <t>A 22384-2025</t>
        </is>
      </c>
      <c r="B691" s="1" t="n">
        <v>45786</v>
      </c>
      <c r="C691" s="1" t="n">
        <v>46059</v>
      </c>
      <c r="D691" t="inlineStr">
        <is>
          <t>JÄMTLANDS LÄN</t>
        </is>
      </c>
      <c r="E691" t="inlineStr">
        <is>
          <t>ÖSTERSUND</t>
        </is>
      </c>
      <c r="G691" t="n">
        <v>1.4</v>
      </c>
      <c r="H691" t="n">
        <v>0</v>
      </c>
      <c r="I691" t="n">
        <v>0</v>
      </c>
      <c r="J691" t="n">
        <v>0</v>
      </c>
      <c r="K691" t="n">
        <v>0</v>
      </c>
      <c r="L691" t="n">
        <v>0</v>
      </c>
      <c r="M691" t="n">
        <v>0</v>
      </c>
      <c r="N691" t="n">
        <v>0</v>
      </c>
      <c r="O691" t="n">
        <v>0</v>
      </c>
      <c r="P691" t="n">
        <v>0</v>
      </c>
      <c r="Q691" t="n">
        <v>0</v>
      </c>
      <c r="R691" s="2" t="inlineStr"/>
    </row>
    <row r="692" ht="15" customHeight="1">
      <c r="A692" t="inlineStr">
        <is>
          <t>A 17948-2025</t>
        </is>
      </c>
      <c r="B692" s="1" t="n">
        <v>45760.66995370371</v>
      </c>
      <c r="C692" s="1" t="n">
        <v>46059</v>
      </c>
      <c r="D692" t="inlineStr">
        <is>
          <t>JÄMTLANDS LÄN</t>
        </is>
      </c>
      <c r="E692" t="inlineStr">
        <is>
          <t>ÖSTERSUND</t>
        </is>
      </c>
      <c r="G692" t="n">
        <v>3.9</v>
      </c>
      <c r="H692" t="n">
        <v>0</v>
      </c>
      <c r="I692" t="n">
        <v>0</v>
      </c>
      <c r="J692" t="n">
        <v>0</v>
      </c>
      <c r="K692" t="n">
        <v>0</v>
      </c>
      <c r="L692" t="n">
        <v>0</v>
      </c>
      <c r="M692" t="n">
        <v>0</v>
      </c>
      <c r="N692" t="n">
        <v>0</v>
      </c>
      <c r="O692" t="n">
        <v>0</v>
      </c>
      <c r="P692" t="n">
        <v>0</v>
      </c>
      <c r="Q692" t="n">
        <v>0</v>
      </c>
      <c r="R692" s="2" t="inlineStr"/>
    </row>
    <row r="693" ht="15" customHeight="1">
      <c r="A693" t="inlineStr">
        <is>
          <t>A 4520-2025</t>
        </is>
      </c>
      <c r="B693" s="1" t="n">
        <v>45686.92384259259</v>
      </c>
      <c r="C693" s="1" t="n">
        <v>46059</v>
      </c>
      <c r="D693" t="inlineStr">
        <is>
          <t>JÄMTLANDS LÄN</t>
        </is>
      </c>
      <c r="E693" t="inlineStr">
        <is>
          <t>ÖSTERSUND</t>
        </is>
      </c>
      <c r="G693" t="n">
        <v>15.2</v>
      </c>
      <c r="H693" t="n">
        <v>0</v>
      </c>
      <c r="I693" t="n">
        <v>0</v>
      </c>
      <c r="J693" t="n">
        <v>0</v>
      </c>
      <c r="K693" t="n">
        <v>0</v>
      </c>
      <c r="L693" t="n">
        <v>0</v>
      </c>
      <c r="M693" t="n">
        <v>0</v>
      </c>
      <c r="N693" t="n">
        <v>0</v>
      </c>
      <c r="O693" t="n">
        <v>0</v>
      </c>
      <c r="P693" t="n">
        <v>0</v>
      </c>
      <c r="Q693" t="n">
        <v>0</v>
      </c>
      <c r="R693" s="2" t="inlineStr"/>
    </row>
    <row r="694" ht="15" customHeight="1">
      <c r="A694" t="inlineStr">
        <is>
          <t>A 4523-2025</t>
        </is>
      </c>
      <c r="B694" s="1" t="n">
        <v>45686.92864583333</v>
      </c>
      <c r="C694" s="1" t="n">
        <v>46059</v>
      </c>
      <c r="D694" t="inlineStr">
        <is>
          <t>JÄMTLANDS LÄN</t>
        </is>
      </c>
      <c r="E694" t="inlineStr">
        <is>
          <t>ÖSTERSUND</t>
        </is>
      </c>
      <c r="G694" t="n">
        <v>15.2</v>
      </c>
      <c r="H694" t="n">
        <v>0</v>
      </c>
      <c r="I694" t="n">
        <v>0</v>
      </c>
      <c r="J694" t="n">
        <v>0</v>
      </c>
      <c r="K694" t="n">
        <v>0</v>
      </c>
      <c r="L694" t="n">
        <v>0</v>
      </c>
      <c r="M694" t="n">
        <v>0</v>
      </c>
      <c r="N694" t="n">
        <v>0</v>
      </c>
      <c r="O694" t="n">
        <v>0</v>
      </c>
      <c r="P694" t="n">
        <v>0</v>
      </c>
      <c r="Q694" t="n">
        <v>0</v>
      </c>
      <c r="R694" s="2" t="inlineStr"/>
    </row>
    <row r="695" ht="15" customHeight="1">
      <c r="A695" t="inlineStr">
        <is>
          <t>A 22713-2025</t>
        </is>
      </c>
      <c r="B695" s="1" t="n">
        <v>45789.56414351852</v>
      </c>
      <c r="C695" s="1" t="n">
        <v>46059</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22822-2025</t>
        </is>
      </c>
      <c r="B696" s="1" t="n">
        <v>45789</v>
      </c>
      <c r="C696" s="1" t="n">
        <v>46059</v>
      </c>
      <c r="D696" t="inlineStr">
        <is>
          <t>JÄMTLANDS LÄN</t>
        </is>
      </c>
      <c r="E696" t="inlineStr">
        <is>
          <t>ÖSTERSUND</t>
        </is>
      </c>
      <c r="G696" t="n">
        <v>2.2</v>
      </c>
      <c r="H696" t="n">
        <v>0</v>
      </c>
      <c r="I696" t="n">
        <v>0</v>
      </c>
      <c r="J696" t="n">
        <v>0</v>
      </c>
      <c r="K696" t="n">
        <v>0</v>
      </c>
      <c r="L696" t="n">
        <v>0</v>
      </c>
      <c r="M696" t="n">
        <v>0</v>
      </c>
      <c r="N696" t="n">
        <v>0</v>
      </c>
      <c r="O696" t="n">
        <v>0</v>
      </c>
      <c r="P696" t="n">
        <v>0</v>
      </c>
      <c r="Q696" t="n">
        <v>0</v>
      </c>
      <c r="R696" s="2" t="inlineStr"/>
    </row>
    <row r="697" ht="15" customHeight="1">
      <c r="A697" t="inlineStr">
        <is>
          <t>A 22920-2025</t>
        </is>
      </c>
      <c r="B697" s="1" t="n">
        <v>45790.43905092592</v>
      </c>
      <c r="C697" s="1" t="n">
        <v>46059</v>
      </c>
      <c r="D697" t="inlineStr">
        <is>
          <t>JÄMTLANDS LÄN</t>
        </is>
      </c>
      <c r="E697" t="inlineStr">
        <is>
          <t>ÖSTERSUND</t>
        </is>
      </c>
      <c r="G697" t="n">
        <v>0.4</v>
      </c>
      <c r="H697" t="n">
        <v>0</v>
      </c>
      <c r="I697" t="n">
        <v>0</v>
      </c>
      <c r="J697" t="n">
        <v>0</v>
      </c>
      <c r="K697" t="n">
        <v>0</v>
      </c>
      <c r="L697" t="n">
        <v>0</v>
      </c>
      <c r="M697" t="n">
        <v>0</v>
      </c>
      <c r="N697" t="n">
        <v>0</v>
      </c>
      <c r="O697" t="n">
        <v>0</v>
      </c>
      <c r="P697" t="n">
        <v>0</v>
      </c>
      <c r="Q697" t="n">
        <v>0</v>
      </c>
      <c r="R697" s="2" t="inlineStr"/>
    </row>
    <row r="698" ht="15" customHeight="1">
      <c r="A698" t="inlineStr">
        <is>
          <t>A 23249-2025</t>
        </is>
      </c>
      <c r="B698" s="1" t="n">
        <v>45791</v>
      </c>
      <c r="C698" s="1" t="n">
        <v>46059</v>
      </c>
      <c r="D698" t="inlineStr">
        <is>
          <t>JÄMTLANDS LÄN</t>
        </is>
      </c>
      <c r="E698" t="inlineStr">
        <is>
          <t>ÖSTERSUND</t>
        </is>
      </c>
      <c r="G698" t="n">
        <v>10</v>
      </c>
      <c r="H698" t="n">
        <v>0</v>
      </c>
      <c r="I698" t="n">
        <v>0</v>
      </c>
      <c r="J698" t="n">
        <v>0</v>
      </c>
      <c r="K698" t="n">
        <v>0</v>
      </c>
      <c r="L698" t="n">
        <v>0</v>
      </c>
      <c r="M698" t="n">
        <v>0</v>
      </c>
      <c r="N698" t="n">
        <v>0</v>
      </c>
      <c r="O698" t="n">
        <v>0</v>
      </c>
      <c r="P698" t="n">
        <v>0</v>
      </c>
      <c r="Q698" t="n">
        <v>0</v>
      </c>
      <c r="R698" s="2" t="inlineStr"/>
    </row>
    <row r="699" ht="15" customHeight="1">
      <c r="A699" t="inlineStr">
        <is>
          <t>A 23100-2025</t>
        </is>
      </c>
      <c r="B699" s="1" t="n">
        <v>45791.35212962963</v>
      </c>
      <c r="C699" s="1" t="n">
        <v>46059</v>
      </c>
      <c r="D699" t="inlineStr">
        <is>
          <t>JÄMTLANDS LÄN</t>
        </is>
      </c>
      <c r="E699" t="inlineStr">
        <is>
          <t>ÖSTERSUND</t>
        </is>
      </c>
      <c r="G699" t="n">
        <v>4.5</v>
      </c>
      <c r="H699" t="n">
        <v>0</v>
      </c>
      <c r="I699" t="n">
        <v>0</v>
      </c>
      <c r="J699" t="n">
        <v>0</v>
      </c>
      <c r="K699" t="n">
        <v>0</v>
      </c>
      <c r="L699" t="n">
        <v>0</v>
      </c>
      <c r="M699" t="n">
        <v>0</v>
      </c>
      <c r="N699" t="n">
        <v>0</v>
      </c>
      <c r="O699" t="n">
        <v>0</v>
      </c>
      <c r="P699" t="n">
        <v>0</v>
      </c>
      <c r="Q699" t="n">
        <v>0</v>
      </c>
      <c r="R699" s="2" t="inlineStr"/>
    </row>
    <row r="700" ht="15" customHeight="1">
      <c r="A700" t="inlineStr">
        <is>
          <t>A 23078-2025</t>
        </is>
      </c>
      <c r="B700" s="1" t="n">
        <v>45791.27984953704</v>
      </c>
      <c r="C700" s="1" t="n">
        <v>46059</v>
      </c>
      <c r="D700" t="inlineStr">
        <is>
          <t>JÄMTLANDS LÄN</t>
        </is>
      </c>
      <c r="E700" t="inlineStr">
        <is>
          <t>ÖSTERSUND</t>
        </is>
      </c>
      <c r="G700" t="n">
        <v>2.8</v>
      </c>
      <c r="H700" t="n">
        <v>0</v>
      </c>
      <c r="I700" t="n">
        <v>0</v>
      </c>
      <c r="J700" t="n">
        <v>0</v>
      </c>
      <c r="K700" t="n">
        <v>0</v>
      </c>
      <c r="L700" t="n">
        <v>0</v>
      </c>
      <c r="M700" t="n">
        <v>0</v>
      </c>
      <c r="N700" t="n">
        <v>0</v>
      </c>
      <c r="O700" t="n">
        <v>0</v>
      </c>
      <c r="P700" t="n">
        <v>0</v>
      </c>
      <c r="Q700" t="n">
        <v>0</v>
      </c>
      <c r="R700" s="2" t="inlineStr"/>
    </row>
    <row r="701" ht="15" customHeight="1">
      <c r="A701" t="inlineStr">
        <is>
          <t>A 23110-2025</t>
        </is>
      </c>
      <c r="B701" s="1" t="n">
        <v>45791.36526620371</v>
      </c>
      <c r="C701" s="1" t="n">
        <v>46059</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7938-2025</t>
        </is>
      </c>
      <c r="B702" s="1" t="n">
        <v>45707</v>
      </c>
      <c r="C702" s="1" t="n">
        <v>46059</v>
      </c>
      <c r="D702" t="inlineStr">
        <is>
          <t>JÄMTLANDS LÄN</t>
        </is>
      </c>
      <c r="E702" t="inlineStr">
        <is>
          <t>ÖSTERSUND</t>
        </is>
      </c>
      <c r="G702" t="n">
        <v>3</v>
      </c>
      <c r="H702" t="n">
        <v>0</v>
      </c>
      <c r="I702" t="n">
        <v>0</v>
      </c>
      <c r="J702" t="n">
        <v>0</v>
      </c>
      <c r="K702" t="n">
        <v>0</v>
      </c>
      <c r="L702" t="n">
        <v>0</v>
      </c>
      <c r="M702" t="n">
        <v>0</v>
      </c>
      <c r="N702" t="n">
        <v>0</v>
      </c>
      <c r="O702" t="n">
        <v>0</v>
      </c>
      <c r="P702" t="n">
        <v>0</v>
      </c>
      <c r="Q702" t="n">
        <v>0</v>
      </c>
      <c r="R702" s="2" t="inlineStr"/>
    </row>
    <row r="703" ht="15" customHeight="1">
      <c r="A703" t="inlineStr">
        <is>
          <t>A 41780-2024</t>
        </is>
      </c>
      <c r="B703" s="1" t="n">
        <v>45561.34908564815</v>
      </c>
      <c r="C703" s="1" t="n">
        <v>46059</v>
      </c>
      <c r="D703" t="inlineStr">
        <is>
          <t>JÄMTLANDS LÄN</t>
        </is>
      </c>
      <c r="E703" t="inlineStr">
        <is>
          <t>ÖSTERSUND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23877-2025</t>
        </is>
      </c>
      <c r="B704" s="1" t="n">
        <v>45793.68469907407</v>
      </c>
      <c r="C704" s="1" t="n">
        <v>46059</v>
      </c>
      <c r="D704" t="inlineStr">
        <is>
          <t>JÄMTLANDS LÄN</t>
        </is>
      </c>
      <c r="E704" t="inlineStr">
        <is>
          <t>ÖSTERSUND</t>
        </is>
      </c>
      <c r="G704" t="n">
        <v>0.5</v>
      </c>
      <c r="H704" t="n">
        <v>0</v>
      </c>
      <c r="I704" t="n">
        <v>0</v>
      </c>
      <c r="J704" t="n">
        <v>0</v>
      </c>
      <c r="K704" t="n">
        <v>0</v>
      </c>
      <c r="L704" t="n">
        <v>0</v>
      </c>
      <c r="M704" t="n">
        <v>0</v>
      </c>
      <c r="N704" t="n">
        <v>0</v>
      </c>
      <c r="O704" t="n">
        <v>0</v>
      </c>
      <c r="P704" t="n">
        <v>0</v>
      </c>
      <c r="Q704" t="n">
        <v>0</v>
      </c>
      <c r="R704" s="2" t="inlineStr"/>
    </row>
    <row r="705" ht="15" customHeight="1">
      <c r="A705" t="inlineStr">
        <is>
          <t>A 24403-2025</t>
        </is>
      </c>
      <c r="B705" s="1" t="n">
        <v>45797.65025462963</v>
      </c>
      <c r="C705" s="1" t="n">
        <v>46059</v>
      </c>
      <c r="D705" t="inlineStr">
        <is>
          <t>JÄMTLANDS LÄN</t>
        </is>
      </c>
      <c r="E705" t="inlineStr">
        <is>
          <t>ÖSTERSUND</t>
        </is>
      </c>
      <c r="G705" t="n">
        <v>1.3</v>
      </c>
      <c r="H705" t="n">
        <v>0</v>
      </c>
      <c r="I705" t="n">
        <v>0</v>
      </c>
      <c r="J705" t="n">
        <v>0</v>
      </c>
      <c r="K705" t="n">
        <v>0</v>
      </c>
      <c r="L705" t="n">
        <v>0</v>
      </c>
      <c r="M705" t="n">
        <v>0</v>
      </c>
      <c r="N705" t="n">
        <v>0</v>
      </c>
      <c r="O705" t="n">
        <v>0</v>
      </c>
      <c r="P705" t="n">
        <v>0</v>
      </c>
      <c r="Q705" t="n">
        <v>0</v>
      </c>
      <c r="R705" s="2" t="inlineStr"/>
    </row>
    <row r="706" ht="15" customHeight="1">
      <c r="A706" t="inlineStr">
        <is>
          <t>A 24523-2025</t>
        </is>
      </c>
      <c r="B706" s="1" t="n">
        <v>45798.42108796296</v>
      </c>
      <c r="C706" s="1" t="n">
        <v>46059</v>
      </c>
      <c r="D706" t="inlineStr">
        <is>
          <t>JÄMTLANDS LÄN</t>
        </is>
      </c>
      <c r="E706" t="inlineStr">
        <is>
          <t>ÖSTERSUND</t>
        </is>
      </c>
      <c r="G706" t="n">
        <v>13.7</v>
      </c>
      <c r="H706" t="n">
        <v>0</v>
      </c>
      <c r="I706" t="n">
        <v>0</v>
      </c>
      <c r="J706" t="n">
        <v>0</v>
      </c>
      <c r="K706" t="n">
        <v>0</v>
      </c>
      <c r="L706" t="n">
        <v>0</v>
      </c>
      <c r="M706" t="n">
        <v>0</v>
      </c>
      <c r="N706" t="n">
        <v>0</v>
      </c>
      <c r="O706" t="n">
        <v>0</v>
      </c>
      <c r="P706" t="n">
        <v>0</v>
      </c>
      <c r="Q706" t="n">
        <v>0</v>
      </c>
      <c r="R706" s="2" t="inlineStr"/>
    </row>
    <row r="707" ht="15" customHeight="1">
      <c r="A707" t="inlineStr">
        <is>
          <t>A 24568-2025</t>
        </is>
      </c>
      <c r="B707" s="1" t="n">
        <v>45798.46913194445</v>
      </c>
      <c r="C707" s="1" t="n">
        <v>46059</v>
      </c>
      <c r="D707" t="inlineStr">
        <is>
          <t>JÄMTLANDS LÄN</t>
        </is>
      </c>
      <c r="E707" t="inlineStr">
        <is>
          <t>ÖSTERSUND</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53176-2024</t>
        </is>
      </c>
      <c r="B708" s="1" t="n">
        <v>45611.66655092593</v>
      </c>
      <c r="C708" s="1" t="n">
        <v>46059</v>
      </c>
      <c r="D708" t="inlineStr">
        <is>
          <t>JÄMTLANDS LÄN</t>
        </is>
      </c>
      <c r="E708" t="inlineStr">
        <is>
          <t>ÖSTERSUND</t>
        </is>
      </c>
      <c r="G708" t="n">
        <v>1.1</v>
      </c>
      <c r="H708" t="n">
        <v>0</v>
      </c>
      <c r="I708" t="n">
        <v>0</v>
      </c>
      <c r="J708" t="n">
        <v>0</v>
      </c>
      <c r="K708" t="n">
        <v>0</v>
      </c>
      <c r="L708" t="n">
        <v>0</v>
      </c>
      <c r="M708" t="n">
        <v>0</v>
      </c>
      <c r="N708" t="n">
        <v>0</v>
      </c>
      <c r="O708" t="n">
        <v>0</v>
      </c>
      <c r="P708" t="n">
        <v>0</v>
      </c>
      <c r="Q708" t="n">
        <v>0</v>
      </c>
      <c r="R708" s="2" t="inlineStr"/>
    </row>
    <row r="709" ht="15" customHeight="1">
      <c r="A709" t="inlineStr">
        <is>
          <t>A 24946-2025</t>
        </is>
      </c>
      <c r="B709" s="1" t="n">
        <v>45799.56515046296</v>
      </c>
      <c r="C709" s="1" t="n">
        <v>46059</v>
      </c>
      <c r="D709" t="inlineStr">
        <is>
          <t>JÄMTLANDS LÄN</t>
        </is>
      </c>
      <c r="E709" t="inlineStr">
        <is>
          <t>ÖSTERSUND</t>
        </is>
      </c>
      <c r="G709" t="n">
        <v>4.8</v>
      </c>
      <c r="H709" t="n">
        <v>0</v>
      </c>
      <c r="I709" t="n">
        <v>0</v>
      </c>
      <c r="J709" t="n">
        <v>0</v>
      </c>
      <c r="K709" t="n">
        <v>0</v>
      </c>
      <c r="L709" t="n">
        <v>0</v>
      </c>
      <c r="M709" t="n">
        <v>0</v>
      </c>
      <c r="N709" t="n">
        <v>0</v>
      </c>
      <c r="O709" t="n">
        <v>0</v>
      </c>
      <c r="P709" t="n">
        <v>0</v>
      </c>
      <c r="Q709" t="n">
        <v>0</v>
      </c>
      <c r="R709" s="2" t="inlineStr"/>
    </row>
    <row r="710" ht="15" customHeight="1">
      <c r="A710" t="inlineStr">
        <is>
          <t>A 25210-2025</t>
        </is>
      </c>
      <c r="B710" s="1" t="n">
        <v>45800.46960648148</v>
      </c>
      <c r="C710" s="1" t="n">
        <v>46059</v>
      </c>
      <c r="D710" t="inlineStr">
        <is>
          <t>JÄMTLANDS LÄN</t>
        </is>
      </c>
      <c r="E710" t="inlineStr">
        <is>
          <t>ÖSTERSUND</t>
        </is>
      </c>
      <c r="G710" t="n">
        <v>3.5</v>
      </c>
      <c r="H710" t="n">
        <v>0</v>
      </c>
      <c r="I710" t="n">
        <v>0</v>
      </c>
      <c r="J710" t="n">
        <v>0</v>
      </c>
      <c r="K710" t="n">
        <v>0</v>
      </c>
      <c r="L710" t="n">
        <v>0</v>
      </c>
      <c r="M710" t="n">
        <v>0</v>
      </c>
      <c r="N710" t="n">
        <v>0</v>
      </c>
      <c r="O710" t="n">
        <v>0</v>
      </c>
      <c r="P710" t="n">
        <v>0</v>
      </c>
      <c r="Q710" t="n">
        <v>0</v>
      </c>
      <c r="R710" s="2" t="inlineStr"/>
    </row>
    <row r="711" ht="15" customHeight="1">
      <c r="A711" t="inlineStr">
        <is>
          <t>A 25058-2025</t>
        </is>
      </c>
      <c r="B711" s="1" t="n">
        <v>45799.68418981481</v>
      </c>
      <c r="C711" s="1" t="n">
        <v>46059</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25252-2025</t>
        </is>
      </c>
      <c r="B712" s="1" t="n">
        <v>45800.50355324074</v>
      </c>
      <c r="C712" s="1" t="n">
        <v>46059</v>
      </c>
      <c r="D712" t="inlineStr">
        <is>
          <t>JÄMTLANDS LÄN</t>
        </is>
      </c>
      <c r="E712" t="inlineStr">
        <is>
          <t>ÖSTERSUND</t>
        </is>
      </c>
      <c r="G712" t="n">
        <v>2.7</v>
      </c>
      <c r="H712" t="n">
        <v>0</v>
      </c>
      <c r="I712" t="n">
        <v>0</v>
      </c>
      <c r="J712" t="n">
        <v>0</v>
      </c>
      <c r="K712" t="n">
        <v>0</v>
      </c>
      <c r="L712" t="n">
        <v>0</v>
      </c>
      <c r="M712" t="n">
        <v>0</v>
      </c>
      <c r="N712" t="n">
        <v>0</v>
      </c>
      <c r="O712" t="n">
        <v>0</v>
      </c>
      <c r="P712" t="n">
        <v>0</v>
      </c>
      <c r="Q712" t="n">
        <v>0</v>
      </c>
      <c r="R712" s="2" t="inlineStr"/>
    </row>
    <row r="713" ht="15" customHeight="1">
      <c r="A713" t="inlineStr">
        <is>
          <t>A 25059-2025</t>
        </is>
      </c>
      <c r="B713" s="1" t="n">
        <v>45799.69116898148</v>
      </c>
      <c r="C713" s="1" t="n">
        <v>46059</v>
      </c>
      <c r="D713" t="inlineStr">
        <is>
          <t>JÄMTLANDS LÄN</t>
        </is>
      </c>
      <c r="E713" t="inlineStr">
        <is>
          <t>ÖSTERSUND</t>
        </is>
      </c>
      <c r="G713" t="n">
        <v>2.7</v>
      </c>
      <c r="H713" t="n">
        <v>0</v>
      </c>
      <c r="I713" t="n">
        <v>0</v>
      </c>
      <c r="J713" t="n">
        <v>0</v>
      </c>
      <c r="K713" t="n">
        <v>0</v>
      </c>
      <c r="L713" t="n">
        <v>0</v>
      </c>
      <c r="M713" t="n">
        <v>0</v>
      </c>
      <c r="N713" t="n">
        <v>0</v>
      </c>
      <c r="O713" t="n">
        <v>0</v>
      </c>
      <c r="P713" t="n">
        <v>0</v>
      </c>
      <c r="Q713" t="n">
        <v>0</v>
      </c>
      <c r="R713" s="2" t="inlineStr"/>
    </row>
    <row r="714" ht="15" customHeight="1">
      <c r="A714" t="inlineStr">
        <is>
          <t>A 25069-2025</t>
        </is>
      </c>
      <c r="B714" s="1" t="n">
        <v>45799.7372337963</v>
      </c>
      <c r="C714" s="1" t="n">
        <v>46059</v>
      </c>
      <c r="D714" t="inlineStr">
        <is>
          <t>JÄMTLANDS LÄN</t>
        </is>
      </c>
      <c r="E714" t="inlineStr">
        <is>
          <t>ÖSTERSUND</t>
        </is>
      </c>
      <c r="G714" t="n">
        <v>3.5</v>
      </c>
      <c r="H714" t="n">
        <v>0</v>
      </c>
      <c r="I714" t="n">
        <v>0</v>
      </c>
      <c r="J714" t="n">
        <v>0</v>
      </c>
      <c r="K714" t="n">
        <v>0</v>
      </c>
      <c r="L714" t="n">
        <v>0</v>
      </c>
      <c r="M714" t="n">
        <v>0</v>
      </c>
      <c r="N714" t="n">
        <v>0</v>
      </c>
      <c r="O714" t="n">
        <v>0</v>
      </c>
      <c r="P714" t="n">
        <v>0</v>
      </c>
      <c r="Q714" t="n">
        <v>0</v>
      </c>
      <c r="R714" s="2" t="inlineStr"/>
    </row>
    <row r="715" ht="15" customHeight="1">
      <c r="A715" t="inlineStr">
        <is>
          <t>A 25572-2025</t>
        </is>
      </c>
      <c r="B715" s="1" t="n">
        <v>45803</v>
      </c>
      <c r="C715" s="1" t="n">
        <v>46059</v>
      </c>
      <c r="D715" t="inlineStr">
        <is>
          <t>JÄMTLANDS LÄN</t>
        </is>
      </c>
      <c r="E715" t="inlineStr">
        <is>
          <t>ÖSTERSUND</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26144-2025</t>
        </is>
      </c>
      <c r="B716" s="1" t="n">
        <v>45805.42827546296</v>
      </c>
      <c r="C716" s="1" t="n">
        <v>46059</v>
      </c>
      <c r="D716" t="inlineStr">
        <is>
          <t>JÄMTLANDS LÄN</t>
        </is>
      </c>
      <c r="E716" t="inlineStr">
        <is>
          <t>ÖSTERSUND</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47357-2024</t>
        </is>
      </c>
      <c r="B717" s="1" t="n">
        <v>45587.42835648148</v>
      </c>
      <c r="C717" s="1" t="n">
        <v>46059</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5135-2025</t>
        </is>
      </c>
      <c r="B718" s="1" t="n">
        <v>45691</v>
      </c>
      <c r="C718" s="1" t="n">
        <v>46059</v>
      </c>
      <c r="D718" t="inlineStr">
        <is>
          <t>JÄMTLANDS LÄN</t>
        </is>
      </c>
      <c r="E718" t="inlineStr">
        <is>
          <t>ÖSTERSUND</t>
        </is>
      </c>
      <c r="F718" t="inlineStr">
        <is>
          <t>Övriga Aktiebolag</t>
        </is>
      </c>
      <c r="G718" t="n">
        <v>126.9</v>
      </c>
      <c r="H718" t="n">
        <v>0</v>
      </c>
      <c r="I718" t="n">
        <v>0</v>
      </c>
      <c r="J718" t="n">
        <v>0</v>
      </c>
      <c r="K718" t="n">
        <v>0</v>
      </c>
      <c r="L718" t="n">
        <v>0</v>
      </c>
      <c r="M718" t="n">
        <v>0</v>
      </c>
      <c r="N718" t="n">
        <v>0</v>
      </c>
      <c r="O718" t="n">
        <v>0</v>
      </c>
      <c r="P718" t="n">
        <v>0</v>
      </c>
      <c r="Q718" t="n">
        <v>0</v>
      </c>
      <c r="R718" s="2" t="inlineStr"/>
    </row>
    <row r="719" ht="15" customHeight="1">
      <c r="A719" t="inlineStr">
        <is>
          <t>A 39510-2024</t>
        </is>
      </c>
      <c r="B719" s="1" t="n">
        <v>45551.67761574074</v>
      </c>
      <c r="C719" s="1" t="n">
        <v>46059</v>
      </c>
      <c r="D719" t="inlineStr">
        <is>
          <t>JÄMTLANDS LÄN</t>
        </is>
      </c>
      <c r="E719" t="inlineStr">
        <is>
          <t>ÖSTERSUND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10064-2024</t>
        </is>
      </c>
      <c r="B720" s="1" t="n">
        <v>45364.3874074074</v>
      </c>
      <c r="C720" s="1" t="n">
        <v>46059</v>
      </c>
      <c r="D720" t="inlineStr">
        <is>
          <t>JÄMTLANDS LÄN</t>
        </is>
      </c>
      <c r="E720" t="inlineStr">
        <is>
          <t>ÖSTERSUND</t>
        </is>
      </c>
      <c r="G720" t="n">
        <v>13.9</v>
      </c>
      <c r="H720" t="n">
        <v>0</v>
      </c>
      <c r="I720" t="n">
        <v>0</v>
      </c>
      <c r="J720" t="n">
        <v>0</v>
      </c>
      <c r="K720" t="n">
        <v>0</v>
      </c>
      <c r="L720" t="n">
        <v>0</v>
      </c>
      <c r="M720" t="n">
        <v>0</v>
      </c>
      <c r="N720" t="n">
        <v>0</v>
      </c>
      <c r="O720" t="n">
        <v>0</v>
      </c>
      <c r="P720" t="n">
        <v>0</v>
      </c>
      <c r="Q720" t="n">
        <v>0</v>
      </c>
      <c r="R720" s="2" t="inlineStr"/>
    </row>
    <row r="721" ht="15" customHeight="1">
      <c r="A721" t="inlineStr">
        <is>
          <t>A 3610-2024</t>
        </is>
      </c>
      <c r="B721" s="1" t="n">
        <v>45320.92060185185</v>
      </c>
      <c r="C721" s="1" t="n">
        <v>46059</v>
      </c>
      <c r="D721" t="inlineStr">
        <is>
          <t>JÄMTLANDS LÄN</t>
        </is>
      </c>
      <c r="E721" t="inlineStr">
        <is>
          <t>ÖSTERSUND</t>
        </is>
      </c>
      <c r="G721" t="n">
        <v>6.2</v>
      </c>
      <c r="H721" t="n">
        <v>0</v>
      </c>
      <c r="I721" t="n">
        <v>0</v>
      </c>
      <c r="J721" t="n">
        <v>0</v>
      </c>
      <c r="K721" t="n">
        <v>0</v>
      </c>
      <c r="L721" t="n">
        <v>0</v>
      </c>
      <c r="M721" t="n">
        <v>0</v>
      </c>
      <c r="N721" t="n">
        <v>0</v>
      </c>
      <c r="O721" t="n">
        <v>0</v>
      </c>
      <c r="P721" t="n">
        <v>0</v>
      </c>
      <c r="Q721" t="n">
        <v>0</v>
      </c>
      <c r="R721" s="2" t="inlineStr"/>
    </row>
    <row r="722" ht="15" customHeight="1">
      <c r="A722" t="inlineStr">
        <is>
          <t>A 26492-2025</t>
        </is>
      </c>
      <c r="B722" s="1" t="n">
        <v>45807</v>
      </c>
      <c r="C722" s="1" t="n">
        <v>46059</v>
      </c>
      <c r="D722" t="inlineStr">
        <is>
          <t>JÄMTLANDS LÄN</t>
        </is>
      </c>
      <c r="E722" t="inlineStr">
        <is>
          <t>ÖSTERSUND</t>
        </is>
      </c>
      <c r="G722" t="n">
        <v>7</v>
      </c>
      <c r="H722" t="n">
        <v>0</v>
      </c>
      <c r="I722" t="n">
        <v>0</v>
      </c>
      <c r="J722" t="n">
        <v>0</v>
      </c>
      <c r="K722" t="n">
        <v>0</v>
      </c>
      <c r="L722" t="n">
        <v>0</v>
      </c>
      <c r="M722" t="n">
        <v>0</v>
      </c>
      <c r="N722" t="n">
        <v>0</v>
      </c>
      <c r="O722" t="n">
        <v>0</v>
      </c>
      <c r="P722" t="n">
        <v>0</v>
      </c>
      <c r="Q722" t="n">
        <v>0</v>
      </c>
      <c r="R722" s="2" t="inlineStr"/>
    </row>
    <row r="723" ht="15" customHeight="1">
      <c r="A723" t="inlineStr">
        <is>
          <t>A 26500-2025</t>
        </is>
      </c>
      <c r="B723" s="1" t="n">
        <v>45807</v>
      </c>
      <c r="C723" s="1" t="n">
        <v>46059</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26587-2025</t>
        </is>
      </c>
      <c r="B724" s="1" t="n">
        <v>45807.75076388889</v>
      </c>
      <c r="C724" s="1" t="n">
        <v>46059</v>
      </c>
      <c r="D724" t="inlineStr">
        <is>
          <t>JÄMTLANDS LÄN</t>
        </is>
      </c>
      <c r="E724" t="inlineStr">
        <is>
          <t>ÖSTERSUND</t>
        </is>
      </c>
      <c r="G724" t="n">
        <v>0.5</v>
      </c>
      <c r="H724" t="n">
        <v>0</v>
      </c>
      <c r="I724" t="n">
        <v>0</v>
      </c>
      <c r="J724" t="n">
        <v>0</v>
      </c>
      <c r="K724" t="n">
        <v>0</v>
      </c>
      <c r="L724" t="n">
        <v>0</v>
      </c>
      <c r="M724" t="n">
        <v>0</v>
      </c>
      <c r="N724" t="n">
        <v>0</v>
      </c>
      <c r="O724" t="n">
        <v>0</v>
      </c>
      <c r="P724" t="n">
        <v>0</v>
      </c>
      <c r="Q724" t="n">
        <v>0</v>
      </c>
      <c r="R724" s="2" t="inlineStr"/>
    </row>
    <row r="725" ht="15" customHeight="1">
      <c r="A725" t="inlineStr">
        <is>
          <t>A 13651-2025</t>
        </is>
      </c>
      <c r="B725" s="1" t="n">
        <v>45736.71818287037</v>
      </c>
      <c r="C725" s="1" t="n">
        <v>46059</v>
      </c>
      <c r="D725" t="inlineStr">
        <is>
          <t>JÄMTLANDS LÄN</t>
        </is>
      </c>
      <c r="E725" t="inlineStr">
        <is>
          <t>ÖSTERSUND</t>
        </is>
      </c>
      <c r="G725" t="n">
        <v>3.7</v>
      </c>
      <c r="H725" t="n">
        <v>0</v>
      </c>
      <c r="I725" t="n">
        <v>0</v>
      </c>
      <c r="J725" t="n">
        <v>0</v>
      </c>
      <c r="K725" t="n">
        <v>0</v>
      </c>
      <c r="L725" t="n">
        <v>0</v>
      </c>
      <c r="M725" t="n">
        <v>0</v>
      </c>
      <c r="N725" t="n">
        <v>0</v>
      </c>
      <c r="O725" t="n">
        <v>0</v>
      </c>
      <c r="P725" t="n">
        <v>0</v>
      </c>
      <c r="Q725" t="n">
        <v>0</v>
      </c>
      <c r="R725" s="2" t="inlineStr"/>
    </row>
    <row r="726" ht="15" customHeight="1">
      <c r="A726" t="inlineStr">
        <is>
          <t>A 27035-2025</t>
        </is>
      </c>
      <c r="B726" s="1" t="n">
        <v>45811.5928587963</v>
      </c>
      <c r="C726" s="1" t="n">
        <v>46059</v>
      </c>
      <c r="D726" t="inlineStr">
        <is>
          <t>JÄMTLANDS LÄN</t>
        </is>
      </c>
      <c r="E726" t="inlineStr">
        <is>
          <t>ÖSTERSUND</t>
        </is>
      </c>
      <c r="G726" t="n">
        <v>2.8</v>
      </c>
      <c r="H726" t="n">
        <v>0</v>
      </c>
      <c r="I726" t="n">
        <v>0</v>
      </c>
      <c r="J726" t="n">
        <v>0</v>
      </c>
      <c r="K726" t="n">
        <v>0</v>
      </c>
      <c r="L726" t="n">
        <v>0</v>
      </c>
      <c r="M726" t="n">
        <v>0</v>
      </c>
      <c r="N726" t="n">
        <v>0</v>
      </c>
      <c r="O726" t="n">
        <v>0</v>
      </c>
      <c r="P726" t="n">
        <v>0</v>
      </c>
      <c r="Q726" t="n">
        <v>0</v>
      </c>
      <c r="R726" s="2" t="inlineStr"/>
    </row>
    <row r="727" ht="15" customHeight="1">
      <c r="A727" t="inlineStr">
        <is>
          <t>A 27034-2025</t>
        </is>
      </c>
      <c r="B727" s="1" t="n">
        <v>45811.59258101852</v>
      </c>
      <c r="C727" s="1" t="n">
        <v>46059</v>
      </c>
      <c r="D727" t="inlineStr">
        <is>
          <t>JÄMTLANDS LÄN</t>
        </is>
      </c>
      <c r="E727" t="inlineStr">
        <is>
          <t>ÖSTERSUND</t>
        </is>
      </c>
      <c r="G727" t="n">
        <v>1.6</v>
      </c>
      <c r="H727" t="n">
        <v>0</v>
      </c>
      <c r="I727" t="n">
        <v>0</v>
      </c>
      <c r="J727" t="n">
        <v>0</v>
      </c>
      <c r="K727" t="n">
        <v>0</v>
      </c>
      <c r="L727" t="n">
        <v>0</v>
      </c>
      <c r="M727" t="n">
        <v>0</v>
      </c>
      <c r="N727" t="n">
        <v>0</v>
      </c>
      <c r="O727" t="n">
        <v>0</v>
      </c>
      <c r="P727" t="n">
        <v>0</v>
      </c>
      <c r="Q727" t="n">
        <v>0</v>
      </c>
      <c r="R727" s="2" t="inlineStr"/>
    </row>
    <row r="728" ht="15" customHeight="1">
      <c r="A728" t="inlineStr">
        <is>
          <t>A 27517-2025</t>
        </is>
      </c>
      <c r="B728" s="1" t="n">
        <v>45813.43966435185</v>
      </c>
      <c r="C728" s="1" t="n">
        <v>46059</v>
      </c>
      <c r="D728" t="inlineStr">
        <is>
          <t>JÄMTLANDS LÄN</t>
        </is>
      </c>
      <c r="E728" t="inlineStr">
        <is>
          <t>ÖSTERSUND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10266-2025</t>
        </is>
      </c>
      <c r="B729" s="1" t="n">
        <v>45720.38576388889</v>
      </c>
      <c r="C729" s="1" t="n">
        <v>46059</v>
      </c>
      <c r="D729" t="inlineStr">
        <is>
          <t>JÄMTLANDS LÄN</t>
        </is>
      </c>
      <c r="E729" t="inlineStr">
        <is>
          <t>ÖSTERSUND</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7956-2025</t>
        </is>
      </c>
      <c r="B730" s="1" t="n">
        <v>45707.42825231481</v>
      </c>
      <c r="C730" s="1" t="n">
        <v>46059</v>
      </c>
      <c r="D730" t="inlineStr">
        <is>
          <t>JÄMTLANDS LÄN</t>
        </is>
      </c>
      <c r="E730" t="inlineStr">
        <is>
          <t>ÖSTERSUND</t>
        </is>
      </c>
      <c r="F730" t="inlineStr">
        <is>
          <t>Övriga Aktiebolag</t>
        </is>
      </c>
      <c r="G730" t="n">
        <v>111.2</v>
      </c>
      <c r="H730" t="n">
        <v>0</v>
      </c>
      <c r="I730" t="n">
        <v>0</v>
      </c>
      <c r="J730" t="n">
        <v>0</v>
      </c>
      <c r="K730" t="n">
        <v>0</v>
      </c>
      <c r="L730" t="n">
        <v>0</v>
      </c>
      <c r="M730" t="n">
        <v>0</v>
      </c>
      <c r="N730" t="n">
        <v>0</v>
      </c>
      <c r="O730" t="n">
        <v>0</v>
      </c>
      <c r="P730" t="n">
        <v>0</v>
      </c>
      <c r="Q730" t="n">
        <v>0</v>
      </c>
      <c r="R730" s="2" t="inlineStr"/>
    </row>
    <row r="731" ht="15" customHeight="1">
      <c r="A731" t="inlineStr">
        <is>
          <t>A 28025-2025</t>
        </is>
      </c>
      <c r="B731" s="1" t="n">
        <v>45817</v>
      </c>
      <c r="C731" s="1" t="n">
        <v>46059</v>
      </c>
      <c r="D731" t="inlineStr">
        <is>
          <t>JÄMTLANDS LÄN</t>
        </is>
      </c>
      <c r="E731" t="inlineStr">
        <is>
          <t>ÖSTERSUND</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28185-2025</t>
        </is>
      </c>
      <c r="B732" s="1" t="n">
        <v>45818.40337962963</v>
      </c>
      <c r="C732" s="1" t="n">
        <v>46059</v>
      </c>
      <c r="D732" t="inlineStr">
        <is>
          <t>JÄMTLANDS LÄN</t>
        </is>
      </c>
      <c r="E732" t="inlineStr">
        <is>
          <t>ÖSTERSUND</t>
        </is>
      </c>
      <c r="F732" t="inlineStr">
        <is>
          <t>Kyrkan</t>
        </is>
      </c>
      <c r="G732" t="n">
        <v>1</v>
      </c>
      <c r="H732" t="n">
        <v>0</v>
      </c>
      <c r="I732" t="n">
        <v>0</v>
      </c>
      <c r="J732" t="n">
        <v>0</v>
      </c>
      <c r="K732" t="n">
        <v>0</v>
      </c>
      <c r="L732" t="n">
        <v>0</v>
      </c>
      <c r="M732" t="n">
        <v>0</v>
      </c>
      <c r="N732" t="n">
        <v>0</v>
      </c>
      <c r="O732" t="n">
        <v>0</v>
      </c>
      <c r="P732" t="n">
        <v>0</v>
      </c>
      <c r="Q732" t="n">
        <v>0</v>
      </c>
      <c r="R732" s="2" t="inlineStr"/>
    </row>
    <row r="733" ht="15" customHeight="1">
      <c r="A733" t="inlineStr">
        <is>
          <t>A 28595-2025</t>
        </is>
      </c>
      <c r="B733" s="1" t="n">
        <v>45819.59429398148</v>
      </c>
      <c r="C733" s="1" t="n">
        <v>46059</v>
      </c>
      <c r="D733" t="inlineStr">
        <is>
          <t>JÄMTLANDS LÄN</t>
        </is>
      </c>
      <c r="E733" t="inlineStr">
        <is>
          <t>ÖSTERSUND</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24781-2024</t>
        </is>
      </c>
      <c r="B734" s="1" t="n">
        <v>45460.7772800926</v>
      </c>
      <c r="C734" s="1" t="n">
        <v>46059</v>
      </c>
      <c r="D734" t="inlineStr">
        <is>
          <t>JÄMTLANDS LÄN</t>
        </is>
      </c>
      <c r="E734" t="inlineStr">
        <is>
          <t>ÖSTERSUND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30320-2025</t>
        </is>
      </c>
      <c r="B735" s="1" t="n">
        <v>45827.49415509259</v>
      </c>
      <c r="C735" s="1" t="n">
        <v>46059</v>
      </c>
      <c r="D735" t="inlineStr">
        <is>
          <t>JÄMTLANDS LÄN</t>
        </is>
      </c>
      <c r="E735" t="inlineStr">
        <is>
          <t>ÖSTERSUND</t>
        </is>
      </c>
      <c r="G735" t="n">
        <v>4.6</v>
      </c>
      <c r="H735" t="n">
        <v>0</v>
      </c>
      <c r="I735" t="n">
        <v>0</v>
      </c>
      <c r="J735" t="n">
        <v>0</v>
      </c>
      <c r="K735" t="n">
        <v>0</v>
      </c>
      <c r="L735" t="n">
        <v>0</v>
      </c>
      <c r="M735" t="n">
        <v>0</v>
      </c>
      <c r="N735" t="n">
        <v>0</v>
      </c>
      <c r="O735" t="n">
        <v>0</v>
      </c>
      <c r="P735" t="n">
        <v>0</v>
      </c>
      <c r="Q735" t="n">
        <v>0</v>
      </c>
      <c r="R735" s="2" t="inlineStr"/>
    </row>
    <row r="736" ht="15" customHeight="1">
      <c r="A736" t="inlineStr">
        <is>
          <t>A 30210-2025</t>
        </is>
      </c>
      <c r="B736" s="1" t="n">
        <v>45827.36590277778</v>
      </c>
      <c r="C736" s="1" t="n">
        <v>46059</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32279-2025</t>
        </is>
      </c>
      <c r="B737" s="1" t="n">
        <v>45835.67109953704</v>
      </c>
      <c r="C737" s="1" t="n">
        <v>46059</v>
      </c>
      <c r="D737" t="inlineStr">
        <is>
          <t>JÄMTLANDS LÄN</t>
        </is>
      </c>
      <c r="E737" t="inlineStr">
        <is>
          <t>ÖSTERSUND</t>
        </is>
      </c>
      <c r="G737" t="n">
        <v>3.5</v>
      </c>
      <c r="H737" t="n">
        <v>0</v>
      </c>
      <c r="I737" t="n">
        <v>0</v>
      </c>
      <c r="J737" t="n">
        <v>0</v>
      </c>
      <c r="K737" t="n">
        <v>0</v>
      </c>
      <c r="L737" t="n">
        <v>0</v>
      </c>
      <c r="M737" t="n">
        <v>0</v>
      </c>
      <c r="N737" t="n">
        <v>0</v>
      </c>
      <c r="O737" t="n">
        <v>0</v>
      </c>
      <c r="P737" t="n">
        <v>0</v>
      </c>
      <c r="Q737" t="n">
        <v>0</v>
      </c>
      <c r="R737" s="2" t="inlineStr"/>
    </row>
    <row r="738" ht="15" customHeight="1">
      <c r="A738" t="inlineStr">
        <is>
          <t>A 32353-2025</t>
        </is>
      </c>
      <c r="B738" s="1" t="n">
        <v>45837.51741898148</v>
      </c>
      <c r="C738" s="1" t="n">
        <v>46059</v>
      </c>
      <c r="D738" t="inlineStr">
        <is>
          <t>JÄMTLANDS LÄN</t>
        </is>
      </c>
      <c r="E738" t="inlineStr">
        <is>
          <t>ÖSTERSUND</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32358-2025</t>
        </is>
      </c>
      <c r="B739" s="1" t="n">
        <v>45837.57481481481</v>
      </c>
      <c r="C739" s="1" t="n">
        <v>46059</v>
      </c>
      <c r="D739" t="inlineStr">
        <is>
          <t>JÄMTLANDS LÄN</t>
        </is>
      </c>
      <c r="E739" t="inlineStr">
        <is>
          <t>ÖSTERSUND</t>
        </is>
      </c>
      <c r="F739" t="inlineStr">
        <is>
          <t>Övriga Aktiebolag</t>
        </is>
      </c>
      <c r="G739" t="n">
        <v>4.8</v>
      </c>
      <c r="H739" t="n">
        <v>0</v>
      </c>
      <c r="I739" t="n">
        <v>0</v>
      </c>
      <c r="J739" t="n">
        <v>0</v>
      </c>
      <c r="K739" t="n">
        <v>0</v>
      </c>
      <c r="L739" t="n">
        <v>0</v>
      </c>
      <c r="M739" t="n">
        <v>0</v>
      </c>
      <c r="N739" t="n">
        <v>0</v>
      </c>
      <c r="O739" t="n">
        <v>0</v>
      </c>
      <c r="P739" t="n">
        <v>0</v>
      </c>
      <c r="Q739" t="n">
        <v>0</v>
      </c>
      <c r="R739" s="2" t="inlineStr"/>
    </row>
    <row r="740" ht="15" customHeight="1">
      <c r="A740" t="inlineStr">
        <is>
          <t>A 32369-2025</t>
        </is>
      </c>
      <c r="B740" s="1" t="n">
        <v>45837.67381944445</v>
      </c>
      <c r="C740" s="1" t="n">
        <v>46059</v>
      </c>
      <c r="D740" t="inlineStr">
        <is>
          <t>JÄMTLANDS LÄN</t>
        </is>
      </c>
      <c r="E740" t="inlineStr">
        <is>
          <t>ÖSTERSUND</t>
        </is>
      </c>
      <c r="F740" t="inlineStr">
        <is>
          <t>Övriga Aktiebolag</t>
        </is>
      </c>
      <c r="G740" t="n">
        <v>5.7</v>
      </c>
      <c r="H740" t="n">
        <v>0</v>
      </c>
      <c r="I740" t="n">
        <v>0</v>
      </c>
      <c r="J740" t="n">
        <v>0</v>
      </c>
      <c r="K740" t="n">
        <v>0</v>
      </c>
      <c r="L740" t="n">
        <v>0</v>
      </c>
      <c r="M740" t="n">
        <v>0</v>
      </c>
      <c r="N740" t="n">
        <v>0</v>
      </c>
      <c r="O740" t="n">
        <v>0</v>
      </c>
      <c r="P740" t="n">
        <v>0</v>
      </c>
      <c r="Q740" t="n">
        <v>0</v>
      </c>
      <c r="R740" s="2" t="inlineStr"/>
    </row>
    <row r="741" ht="15" customHeight="1">
      <c r="A741" t="inlineStr">
        <is>
          <t>A 32368-2025</t>
        </is>
      </c>
      <c r="B741" s="1" t="n">
        <v>45837.66230324074</v>
      </c>
      <c r="C741" s="1" t="n">
        <v>46059</v>
      </c>
      <c r="D741" t="inlineStr">
        <is>
          <t>JÄMTLANDS LÄN</t>
        </is>
      </c>
      <c r="E741" t="inlineStr">
        <is>
          <t>ÖSTERSUND</t>
        </is>
      </c>
      <c r="F741" t="inlineStr">
        <is>
          <t>Övriga Aktiebolag</t>
        </is>
      </c>
      <c r="G741" t="n">
        <v>19.5</v>
      </c>
      <c r="H741" t="n">
        <v>0</v>
      </c>
      <c r="I741" t="n">
        <v>0</v>
      </c>
      <c r="J741" t="n">
        <v>0</v>
      </c>
      <c r="K741" t="n">
        <v>0</v>
      </c>
      <c r="L741" t="n">
        <v>0</v>
      </c>
      <c r="M741" t="n">
        <v>0</v>
      </c>
      <c r="N741" t="n">
        <v>0</v>
      </c>
      <c r="O741" t="n">
        <v>0</v>
      </c>
      <c r="P741" t="n">
        <v>0</v>
      </c>
      <c r="Q741" t="n">
        <v>0</v>
      </c>
      <c r="R741" s="2" t="inlineStr"/>
    </row>
    <row r="742" ht="15" customHeight="1">
      <c r="A742" t="inlineStr">
        <is>
          <t>A 32071-2025</t>
        </is>
      </c>
      <c r="B742" s="1" t="n">
        <v>45835.4491087963</v>
      </c>
      <c r="C742" s="1" t="n">
        <v>46059</v>
      </c>
      <c r="D742" t="inlineStr">
        <is>
          <t>JÄMTLANDS LÄN</t>
        </is>
      </c>
      <c r="E742" t="inlineStr">
        <is>
          <t>ÖSTERSUND</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33358-2025</t>
        </is>
      </c>
      <c r="B743" s="1" t="n">
        <v>45841.38054398148</v>
      </c>
      <c r="C743" s="1" t="n">
        <v>46059</v>
      </c>
      <c r="D743" t="inlineStr">
        <is>
          <t>JÄMTLANDS LÄN</t>
        </is>
      </c>
      <c r="E743" t="inlineStr">
        <is>
          <t>ÖSTERSUND</t>
        </is>
      </c>
      <c r="G743" t="n">
        <v>1</v>
      </c>
      <c r="H743" t="n">
        <v>0</v>
      </c>
      <c r="I743" t="n">
        <v>0</v>
      </c>
      <c r="J743" t="n">
        <v>0</v>
      </c>
      <c r="K743" t="n">
        <v>0</v>
      </c>
      <c r="L743" t="n">
        <v>0</v>
      </c>
      <c r="M743" t="n">
        <v>0</v>
      </c>
      <c r="N743" t="n">
        <v>0</v>
      </c>
      <c r="O743" t="n">
        <v>0</v>
      </c>
      <c r="P743" t="n">
        <v>0</v>
      </c>
      <c r="Q743" t="n">
        <v>0</v>
      </c>
      <c r="R743" s="2" t="inlineStr"/>
    </row>
    <row r="744" ht="15" customHeight="1">
      <c r="A744" t="inlineStr">
        <is>
          <t>A 34331-2025</t>
        </is>
      </c>
      <c r="B744" s="1" t="n">
        <v>45846.44827546296</v>
      </c>
      <c r="C744" s="1" t="n">
        <v>46059</v>
      </c>
      <c r="D744" t="inlineStr">
        <is>
          <t>JÄMTLANDS LÄN</t>
        </is>
      </c>
      <c r="E744" t="inlineStr">
        <is>
          <t>ÖSTERSUND</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34490-2025</t>
        </is>
      </c>
      <c r="B745" s="1" t="n">
        <v>45847.40722222222</v>
      </c>
      <c r="C745" s="1" t="n">
        <v>46059</v>
      </c>
      <c r="D745" t="inlineStr">
        <is>
          <t>JÄMTLANDS LÄN</t>
        </is>
      </c>
      <c r="E745" t="inlineStr">
        <is>
          <t>ÖSTERSUND</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34589-2025</t>
        </is>
      </c>
      <c r="B746" s="1" t="n">
        <v>45847.61561342593</v>
      </c>
      <c r="C746" s="1" t="n">
        <v>46059</v>
      </c>
      <c r="D746" t="inlineStr">
        <is>
          <t>JÄMTLANDS LÄN</t>
        </is>
      </c>
      <c r="E746" t="inlineStr">
        <is>
          <t>ÖSTERSUND</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34587-2025</t>
        </is>
      </c>
      <c r="B747" s="1" t="n">
        <v>45847.61533564814</v>
      </c>
      <c r="C747" s="1" t="n">
        <v>46059</v>
      </c>
      <c r="D747" t="inlineStr">
        <is>
          <t>JÄMTLANDS LÄN</t>
        </is>
      </c>
      <c r="E747" t="inlineStr">
        <is>
          <t>ÖSTERSUND</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25228-2025</t>
        </is>
      </c>
      <c r="B748" s="1" t="n">
        <v>45800.48368055555</v>
      </c>
      <c r="C748" s="1" t="n">
        <v>46059</v>
      </c>
      <c r="D748" t="inlineStr">
        <is>
          <t>JÄMTLANDS LÄN</t>
        </is>
      </c>
      <c r="E748" t="inlineStr">
        <is>
          <t>ÖSTERSUND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34923-2025</t>
        </is>
      </c>
      <c r="B749" s="1" t="n">
        <v>45849.55601851852</v>
      </c>
      <c r="C749" s="1" t="n">
        <v>46059</v>
      </c>
      <c r="D749" t="inlineStr">
        <is>
          <t>JÄMTLANDS LÄN</t>
        </is>
      </c>
      <c r="E749" t="inlineStr">
        <is>
          <t>ÖSTERSUND</t>
        </is>
      </c>
      <c r="G749" t="n">
        <v>1.2</v>
      </c>
      <c r="H749" t="n">
        <v>0</v>
      </c>
      <c r="I749" t="n">
        <v>0</v>
      </c>
      <c r="J749" t="n">
        <v>0</v>
      </c>
      <c r="K749" t="n">
        <v>0</v>
      </c>
      <c r="L749" t="n">
        <v>0</v>
      </c>
      <c r="M749" t="n">
        <v>0</v>
      </c>
      <c r="N749" t="n">
        <v>0</v>
      </c>
      <c r="O749" t="n">
        <v>0</v>
      </c>
      <c r="P749" t="n">
        <v>0</v>
      </c>
      <c r="Q749" t="n">
        <v>0</v>
      </c>
      <c r="R749" s="2" t="inlineStr"/>
    </row>
    <row r="750">
      <c r="A750" t="inlineStr">
        <is>
          <t>A 36098-2025</t>
        </is>
      </c>
      <c r="B750" s="1" t="n">
        <v>45866.50549768518</v>
      </c>
      <c r="C750" s="1" t="n">
        <v>46059</v>
      </c>
      <c r="D750" t="inlineStr">
        <is>
          <t>JÄMTLANDS LÄN</t>
        </is>
      </c>
      <c r="E750" t="inlineStr">
        <is>
          <t>ÖSTERSUND</t>
        </is>
      </c>
      <c r="F750" t="inlineStr">
        <is>
          <t>Övriga Aktiebolag</t>
        </is>
      </c>
      <c r="G750" t="n">
        <v>1.1</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2026-02-06T11:08:23Z</dcterms:created>
  <dcterms:modified xmlns:dcterms="http://purl.org/dc/terms/" xmlns:xsi="http://www.w3.org/2001/XMLSchema-instance" xsi:type="dcterms:W3CDTF">2026-02-06T11:08:23Z</dcterms:modified>
</cp:coreProperties>
</file>