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45700</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45700</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45700</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45700</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45700</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45700</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45700</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45700</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45700</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45700</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45700</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45700</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45700</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45700</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45700</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45700</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45700</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45700</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45700</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45700</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45700</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45700</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45700</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45700</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45700</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45700</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45700</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45700</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45700</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45700</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45700</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45700</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45700</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45700</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45700</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45700</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45700</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45700</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45700</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45700</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45700</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45700</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45700</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45700</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45700</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45700</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45700</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45700</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45700</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45700</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45700</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45700</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45700</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29135-2022</t>
        </is>
      </c>
      <c r="B65" s="1" t="n">
        <v>44750</v>
      </c>
      <c r="C65" s="1" t="n">
        <v>45700</v>
      </c>
      <c r="D65" t="inlineStr">
        <is>
          <t>JÄMTLANDS LÄN</t>
        </is>
      </c>
      <c r="E65" t="inlineStr">
        <is>
          <t>ÖSTERSUND</t>
        </is>
      </c>
      <c r="G65" t="n">
        <v>2.3</v>
      </c>
      <c r="H65" t="n">
        <v>3</v>
      </c>
      <c r="I65" t="n">
        <v>2</v>
      </c>
      <c r="J65" t="n">
        <v>0</v>
      </c>
      <c r="K65" t="n">
        <v>0</v>
      </c>
      <c r="L65" t="n">
        <v>0</v>
      </c>
      <c r="M65" t="n">
        <v>0</v>
      </c>
      <c r="N65" t="n">
        <v>0</v>
      </c>
      <c r="O65" t="n">
        <v>0</v>
      </c>
      <c r="P65" t="n">
        <v>0</v>
      </c>
      <c r="Q65" t="n">
        <v>4</v>
      </c>
      <c r="R65" s="2" t="inlineStr">
        <is>
          <t>Finbräken
Grönkulla
Fläcknycklar
Blåsippa</t>
        </is>
      </c>
      <c r="S65">
        <f>HYPERLINK("https://klasma.github.io/Logging_2380/artfynd/A 29135-2022 artfynd.xlsx", "A 29135-2022")</f>
        <v/>
      </c>
      <c r="T65">
        <f>HYPERLINK("https://klasma.github.io/Logging_2380/kartor/A 29135-2022 karta.png", "A 29135-2022")</f>
        <v/>
      </c>
      <c r="V65">
        <f>HYPERLINK("https://klasma.github.io/Logging_2380/klagomål/A 29135-2022 FSC-klagomål.docx", "A 29135-2022")</f>
        <v/>
      </c>
      <c r="W65">
        <f>HYPERLINK("https://klasma.github.io/Logging_2380/klagomålsmail/A 29135-2022 FSC-klagomål mail.docx", "A 29135-2022")</f>
        <v/>
      </c>
      <c r="X65">
        <f>HYPERLINK("https://klasma.github.io/Logging_2380/tillsyn/A 29135-2022 tillsynsbegäran.docx", "A 29135-2022")</f>
        <v/>
      </c>
      <c r="Y65">
        <f>HYPERLINK("https://klasma.github.io/Logging_2380/tillsynsmail/A 29135-2022 tillsynsbegäran mail.docx", "A 29135-2022")</f>
        <v/>
      </c>
    </row>
    <row r="66" ht="15" customHeight="1">
      <c r="A66" t="inlineStr">
        <is>
          <t>A 59291-2022</t>
        </is>
      </c>
      <c r="B66" s="1" t="n">
        <v>44904</v>
      </c>
      <c r="C66" s="1" t="n">
        <v>45700</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2962-2023</t>
        </is>
      </c>
      <c r="B67" s="1" t="n">
        <v>44945</v>
      </c>
      <c r="C67" s="1" t="n">
        <v>45700</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55344-2023</t>
        </is>
      </c>
      <c r="B68" s="1" t="n">
        <v>45237</v>
      </c>
      <c r="C68" s="1" t="n">
        <v>45700</v>
      </c>
      <c r="D68" t="inlineStr">
        <is>
          <t>JÄMTLANDS LÄN</t>
        </is>
      </c>
      <c r="E68" t="inlineStr">
        <is>
          <t>ÖSTERSUND</t>
        </is>
      </c>
      <c r="F68" t="inlineStr">
        <is>
          <t>SCA</t>
        </is>
      </c>
      <c r="G68" t="n">
        <v>1.5</v>
      </c>
      <c r="H68" t="n">
        <v>1</v>
      </c>
      <c r="I68" t="n">
        <v>1</v>
      </c>
      <c r="J68" t="n">
        <v>2</v>
      </c>
      <c r="K68" t="n">
        <v>1</v>
      </c>
      <c r="L68" t="n">
        <v>0</v>
      </c>
      <c r="M68" t="n">
        <v>0</v>
      </c>
      <c r="N68" t="n">
        <v>0</v>
      </c>
      <c r="O68" t="n">
        <v>3</v>
      </c>
      <c r="P68" t="n">
        <v>1</v>
      </c>
      <c r="Q68" t="n">
        <v>4</v>
      </c>
      <c r="R68" s="2" t="inlineStr">
        <is>
          <t>Lappuggla
Garnlav
Lunglav
Stuplav</t>
        </is>
      </c>
      <c r="S68">
        <f>HYPERLINK("https://klasma.github.io/Logging_2380/artfynd/A 55344-2023 artfynd.xlsx", "A 55344-2023")</f>
        <v/>
      </c>
      <c r="T68">
        <f>HYPERLINK("https://klasma.github.io/Logging_2380/kartor/A 55344-2023 karta.png", "A 55344-2023")</f>
        <v/>
      </c>
      <c r="V68">
        <f>HYPERLINK("https://klasma.github.io/Logging_2380/klagomål/A 55344-2023 FSC-klagomål.docx", "A 55344-2023")</f>
        <v/>
      </c>
      <c r="W68">
        <f>HYPERLINK("https://klasma.github.io/Logging_2380/klagomålsmail/A 55344-2023 FSC-klagomål mail.docx", "A 55344-2023")</f>
        <v/>
      </c>
      <c r="X68">
        <f>HYPERLINK("https://klasma.github.io/Logging_2380/tillsyn/A 55344-2023 tillsynsbegäran.docx", "A 55344-2023")</f>
        <v/>
      </c>
      <c r="Y68">
        <f>HYPERLINK("https://klasma.github.io/Logging_2380/tillsynsmail/A 55344-2023 tillsynsbegäran mail.docx", "A 55344-2023")</f>
        <v/>
      </c>
      <c r="Z68">
        <f>HYPERLINK("https://klasma.github.io/Logging_2380/fåglar/A 55344-2023 prioriterade fågelarter.docx", "A 55344-2023")</f>
        <v/>
      </c>
    </row>
    <row r="69" ht="15" customHeight="1">
      <c r="A69" t="inlineStr">
        <is>
          <t>A 25369-2024</t>
        </is>
      </c>
      <c r="B69" s="1" t="n">
        <v>45463</v>
      </c>
      <c r="C69" s="1" t="n">
        <v>45700</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41754-2024</t>
        </is>
      </c>
      <c r="B70" s="1" t="n">
        <v>45561</v>
      </c>
      <c r="C70" s="1" t="n">
        <v>45700</v>
      </c>
      <c r="D70" t="inlineStr">
        <is>
          <t>JÄMTLANDS LÄN</t>
        </is>
      </c>
      <c r="E70" t="inlineStr">
        <is>
          <t>ÖSTERSUND</t>
        </is>
      </c>
      <c r="F70" t="inlineStr">
        <is>
          <t>SCA</t>
        </is>
      </c>
      <c r="G70" t="n">
        <v>2.3</v>
      </c>
      <c r="H70" t="n">
        <v>0</v>
      </c>
      <c r="I70" t="n">
        <v>1</v>
      </c>
      <c r="J70" t="n">
        <v>3</v>
      </c>
      <c r="K70" t="n">
        <v>0</v>
      </c>
      <c r="L70" t="n">
        <v>0</v>
      </c>
      <c r="M70" t="n">
        <v>0</v>
      </c>
      <c r="N70" t="n">
        <v>0</v>
      </c>
      <c r="O70" t="n">
        <v>3</v>
      </c>
      <c r="P70" t="n">
        <v>0</v>
      </c>
      <c r="Q70" t="n">
        <v>4</v>
      </c>
      <c r="R70" s="2" t="inlineStr">
        <is>
          <t>Dvärgbägarlav
Kolflarnlav
Lunglav
Dropptaggsvamp</t>
        </is>
      </c>
      <c r="S70">
        <f>HYPERLINK("https://klasma.github.io/Logging_2380/artfynd/A 41754-2024 artfynd.xlsx", "A 41754-2024")</f>
        <v/>
      </c>
      <c r="T70">
        <f>HYPERLINK("https://klasma.github.io/Logging_2380/kartor/A 41754-2024 karta.png", "A 41754-2024")</f>
        <v/>
      </c>
      <c r="V70">
        <f>HYPERLINK("https://klasma.github.io/Logging_2380/klagomål/A 41754-2024 FSC-klagomål.docx", "A 41754-2024")</f>
        <v/>
      </c>
      <c r="W70">
        <f>HYPERLINK("https://klasma.github.io/Logging_2380/klagomålsmail/A 41754-2024 FSC-klagomål mail.docx", "A 41754-2024")</f>
        <v/>
      </c>
      <c r="X70">
        <f>HYPERLINK("https://klasma.github.io/Logging_2380/tillsyn/A 41754-2024 tillsynsbegäran.docx", "A 41754-2024")</f>
        <v/>
      </c>
      <c r="Y70">
        <f>HYPERLINK("https://klasma.github.io/Logging_2380/tillsynsmail/A 41754-2024 tillsynsbegäran mail.docx", "A 41754-2024")</f>
        <v/>
      </c>
    </row>
    <row r="71" ht="15" customHeight="1">
      <c r="A71" t="inlineStr">
        <is>
          <t>A 48753-2024</t>
        </is>
      </c>
      <c r="B71" s="1" t="n">
        <v>45593</v>
      </c>
      <c r="C71" s="1" t="n">
        <v>45700</v>
      </c>
      <c r="D71" t="inlineStr">
        <is>
          <t>JÄMTLANDS LÄN</t>
        </is>
      </c>
      <c r="E71" t="inlineStr">
        <is>
          <t>ÖSTERSUND</t>
        </is>
      </c>
      <c r="F71" t="inlineStr">
        <is>
          <t>Övriga statliga verk och myndigheter</t>
        </is>
      </c>
      <c r="G71" t="n">
        <v>2.2</v>
      </c>
      <c r="H71" t="n">
        <v>1</v>
      </c>
      <c r="I71" t="n">
        <v>0</v>
      </c>
      <c r="J71" t="n">
        <v>3</v>
      </c>
      <c r="K71" t="n">
        <v>0</v>
      </c>
      <c r="L71" t="n">
        <v>0</v>
      </c>
      <c r="M71" t="n">
        <v>0</v>
      </c>
      <c r="N71" t="n">
        <v>0</v>
      </c>
      <c r="O71" t="n">
        <v>3</v>
      </c>
      <c r="P71" t="n">
        <v>0</v>
      </c>
      <c r="Q71" t="n">
        <v>4</v>
      </c>
      <c r="R71" s="2" t="inlineStr">
        <is>
          <t>Granticka
Gränsticka
Ullticka
Revlummer</t>
        </is>
      </c>
      <c r="S71">
        <f>HYPERLINK("https://klasma.github.io/Logging_2380/artfynd/A 48753-2024 artfynd.xlsx", "A 48753-2024")</f>
        <v/>
      </c>
      <c r="T71">
        <f>HYPERLINK("https://klasma.github.io/Logging_2380/kartor/A 48753-2024 karta.png", "A 48753-2024")</f>
        <v/>
      </c>
      <c r="V71">
        <f>HYPERLINK("https://klasma.github.io/Logging_2380/klagomål/A 48753-2024 FSC-klagomål.docx", "A 48753-2024")</f>
        <v/>
      </c>
      <c r="W71">
        <f>HYPERLINK("https://klasma.github.io/Logging_2380/klagomålsmail/A 48753-2024 FSC-klagomål mail.docx", "A 48753-2024")</f>
        <v/>
      </c>
      <c r="X71">
        <f>HYPERLINK("https://klasma.github.io/Logging_2380/tillsyn/A 48753-2024 tillsynsbegäran.docx", "A 48753-2024")</f>
        <v/>
      </c>
      <c r="Y71">
        <f>HYPERLINK("https://klasma.github.io/Logging_2380/tillsynsmail/A 48753-2024 tillsynsbegäran mail.docx", "A 48753-2024")</f>
        <v/>
      </c>
    </row>
    <row r="72" ht="15" customHeight="1">
      <c r="A72" t="inlineStr">
        <is>
          <t>A 55818-2024</t>
        </is>
      </c>
      <c r="B72" s="1" t="n">
        <v>45623</v>
      </c>
      <c r="C72" s="1" t="n">
        <v>45700</v>
      </c>
      <c r="D72" t="inlineStr">
        <is>
          <t>JÄMTLANDS LÄN</t>
        </is>
      </c>
      <c r="E72" t="inlineStr">
        <is>
          <t>ÖSTERSUND</t>
        </is>
      </c>
      <c r="G72" t="n">
        <v>9.5</v>
      </c>
      <c r="H72" t="n">
        <v>0</v>
      </c>
      <c r="I72" t="n">
        <v>1</v>
      </c>
      <c r="J72" t="n">
        <v>2</v>
      </c>
      <c r="K72" t="n">
        <v>1</v>
      </c>
      <c r="L72" t="n">
        <v>0</v>
      </c>
      <c r="M72" t="n">
        <v>0</v>
      </c>
      <c r="N72" t="n">
        <v>0</v>
      </c>
      <c r="O72" t="n">
        <v>3</v>
      </c>
      <c r="P72" t="n">
        <v>1</v>
      </c>
      <c r="Q72" t="n">
        <v>4</v>
      </c>
      <c r="R72" s="2" t="inlineStr">
        <is>
          <t>Gräddporing
Kolflarnlav
Lunglav
Dropptaggsvamp</t>
        </is>
      </c>
      <c r="S72">
        <f>HYPERLINK("https://klasma.github.io/Logging_2380/artfynd/A 55818-2024 artfynd.xlsx", "A 55818-2024")</f>
        <v/>
      </c>
      <c r="T72">
        <f>HYPERLINK("https://klasma.github.io/Logging_2380/kartor/A 55818-2024 karta.png", "A 55818-2024")</f>
        <v/>
      </c>
      <c r="V72">
        <f>HYPERLINK("https://klasma.github.io/Logging_2380/klagomål/A 55818-2024 FSC-klagomål.docx", "A 55818-2024")</f>
        <v/>
      </c>
      <c r="W72">
        <f>HYPERLINK("https://klasma.github.io/Logging_2380/klagomålsmail/A 55818-2024 FSC-klagomål mail.docx", "A 55818-2024")</f>
        <v/>
      </c>
      <c r="X72">
        <f>HYPERLINK("https://klasma.github.io/Logging_2380/tillsyn/A 55818-2024 tillsynsbegäran.docx", "A 55818-2024")</f>
        <v/>
      </c>
      <c r="Y72">
        <f>HYPERLINK("https://klasma.github.io/Logging_2380/tillsynsmail/A 55818-2024 tillsynsbegäran mail.docx", "A 55818-2024")</f>
        <v/>
      </c>
    </row>
    <row r="73" ht="15" customHeight="1">
      <c r="A73" t="inlineStr">
        <is>
          <t>A 60109-2024</t>
        </is>
      </c>
      <c r="B73" s="1" t="n">
        <v>45642</v>
      </c>
      <c r="C73" s="1" t="n">
        <v>45700</v>
      </c>
      <c r="D73" t="inlineStr">
        <is>
          <t>JÄMTLANDS LÄN</t>
        </is>
      </c>
      <c r="E73" t="inlineStr">
        <is>
          <t>ÖSTERSUND</t>
        </is>
      </c>
      <c r="G73" t="n">
        <v>10.2</v>
      </c>
      <c r="H73" t="n">
        <v>1</v>
      </c>
      <c r="I73" t="n">
        <v>0</v>
      </c>
      <c r="J73" t="n">
        <v>4</v>
      </c>
      <c r="K73" t="n">
        <v>0</v>
      </c>
      <c r="L73" t="n">
        <v>0</v>
      </c>
      <c r="M73" t="n">
        <v>0</v>
      </c>
      <c r="N73" t="n">
        <v>0</v>
      </c>
      <c r="O73" t="n">
        <v>4</v>
      </c>
      <c r="P73" t="n">
        <v>0</v>
      </c>
      <c r="Q73" t="n">
        <v>4</v>
      </c>
      <c r="R73" s="2" t="inlineStr">
        <is>
          <t>Garnlav
Granticka
Spillkråka
Ullticka</t>
        </is>
      </c>
      <c r="S73">
        <f>HYPERLINK("https://klasma.github.io/Logging_2380/artfynd/A 60109-2024 artfynd.xlsx", "A 60109-2024")</f>
        <v/>
      </c>
      <c r="T73">
        <f>HYPERLINK("https://klasma.github.io/Logging_2380/kartor/A 60109-2024 karta.png", "A 60109-2024")</f>
        <v/>
      </c>
      <c r="V73">
        <f>HYPERLINK("https://klasma.github.io/Logging_2380/klagomål/A 60109-2024 FSC-klagomål.docx", "A 60109-2024")</f>
        <v/>
      </c>
      <c r="W73">
        <f>HYPERLINK("https://klasma.github.io/Logging_2380/klagomålsmail/A 60109-2024 FSC-klagomål mail.docx", "A 60109-2024")</f>
        <v/>
      </c>
      <c r="X73">
        <f>HYPERLINK("https://klasma.github.io/Logging_2380/tillsyn/A 60109-2024 tillsynsbegäran.docx", "A 60109-2024")</f>
        <v/>
      </c>
      <c r="Y73">
        <f>HYPERLINK("https://klasma.github.io/Logging_2380/tillsynsmail/A 60109-2024 tillsynsbegäran mail.docx", "A 60109-2024")</f>
        <v/>
      </c>
      <c r="Z73">
        <f>HYPERLINK("https://klasma.github.io/Logging_2380/fåglar/A 60109-2024 prioriterade fågelarter.docx", "A 60109-2024")</f>
        <v/>
      </c>
    </row>
    <row r="74" ht="15" customHeight="1">
      <c r="A74" t="inlineStr">
        <is>
          <t>A 60580-2024</t>
        </is>
      </c>
      <c r="B74" s="1" t="n">
        <v>45644</v>
      </c>
      <c r="C74" s="1" t="n">
        <v>45700</v>
      </c>
      <c r="D74" t="inlineStr">
        <is>
          <t>JÄMTLANDS LÄN</t>
        </is>
      </c>
      <c r="E74" t="inlineStr">
        <is>
          <t>ÖSTERSUND</t>
        </is>
      </c>
      <c r="G74" t="n">
        <v>13.5</v>
      </c>
      <c r="H74" t="n">
        <v>2</v>
      </c>
      <c r="I74" t="n">
        <v>0</v>
      </c>
      <c r="J74" t="n">
        <v>4</v>
      </c>
      <c r="K74" t="n">
        <v>0</v>
      </c>
      <c r="L74" t="n">
        <v>0</v>
      </c>
      <c r="M74" t="n">
        <v>0</v>
      </c>
      <c r="N74" t="n">
        <v>0</v>
      </c>
      <c r="O74" t="n">
        <v>4</v>
      </c>
      <c r="P74" t="n">
        <v>0</v>
      </c>
      <c r="Q74" t="n">
        <v>4</v>
      </c>
      <c r="R74" s="2" t="inlineStr">
        <is>
          <t>Granticka
Lunglav
Spillkråka
Tretåig hackspett</t>
        </is>
      </c>
      <c r="S74">
        <f>HYPERLINK("https://klasma.github.io/Logging_2380/artfynd/A 60580-2024 artfynd.xlsx", "A 60580-2024")</f>
        <v/>
      </c>
      <c r="T74">
        <f>HYPERLINK("https://klasma.github.io/Logging_2380/kartor/A 60580-2024 karta.png", "A 60580-2024")</f>
        <v/>
      </c>
      <c r="V74">
        <f>HYPERLINK("https://klasma.github.io/Logging_2380/klagomål/A 60580-2024 FSC-klagomål.docx", "A 60580-2024")</f>
        <v/>
      </c>
      <c r="W74">
        <f>HYPERLINK("https://klasma.github.io/Logging_2380/klagomålsmail/A 60580-2024 FSC-klagomål mail.docx", "A 60580-2024")</f>
        <v/>
      </c>
      <c r="X74">
        <f>HYPERLINK("https://klasma.github.io/Logging_2380/tillsyn/A 60580-2024 tillsynsbegäran.docx", "A 60580-2024")</f>
        <v/>
      </c>
      <c r="Y74">
        <f>HYPERLINK("https://klasma.github.io/Logging_2380/tillsynsmail/A 60580-2024 tillsynsbegäran mail.docx", "A 60580-2024")</f>
        <v/>
      </c>
      <c r="Z74">
        <f>HYPERLINK("https://klasma.github.io/Logging_2380/fåglar/A 60580-2024 prioriterade fågelarter.docx", "A 60580-2024")</f>
        <v/>
      </c>
    </row>
    <row r="75" ht="15" customHeight="1">
      <c r="A75" t="inlineStr">
        <is>
          <t>A 61153-2024</t>
        </is>
      </c>
      <c r="B75" s="1" t="n">
        <v>45645</v>
      </c>
      <c r="C75" s="1" t="n">
        <v>45700</v>
      </c>
      <c r="D75" t="inlineStr">
        <is>
          <t>JÄMTLANDS LÄN</t>
        </is>
      </c>
      <c r="E75" t="inlineStr">
        <is>
          <t>ÖSTERSUND</t>
        </is>
      </c>
      <c r="G75" t="n">
        <v>8.699999999999999</v>
      </c>
      <c r="H75" t="n">
        <v>3</v>
      </c>
      <c r="I75" t="n">
        <v>0</v>
      </c>
      <c r="J75" t="n">
        <v>3</v>
      </c>
      <c r="K75" t="n">
        <v>1</v>
      </c>
      <c r="L75" t="n">
        <v>0</v>
      </c>
      <c r="M75" t="n">
        <v>0</v>
      </c>
      <c r="N75" t="n">
        <v>0</v>
      </c>
      <c r="O75" t="n">
        <v>4</v>
      </c>
      <c r="P75" t="n">
        <v>1</v>
      </c>
      <c r="Q75" t="n">
        <v>4</v>
      </c>
      <c r="R75" s="2" t="inlineStr">
        <is>
          <t>Knärot
Garnlav
Spillkråka
Talltita</t>
        </is>
      </c>
      <c r="S75">
        <f>HYPERLINK("https://klasma.github.io/Logging_2380/artfynd/A 61153-2024 artfynd.xlsx", "A 61153-2024")</f>
        <v/>
      </c>
      <c r="T75">
        <f>HYPERLINK("https://klasma.github.io/Logging_2380/kartor/A 61153-2024 karta.png", "A 61153-2024")</f>
        <v/>
      </c>
      <c r="U75">
        <f>HYPERLINK("https://klasma.github.io/Logging_2380/knärot/A 61153-2024 karta knärot.png", "A 61153-2024")</f>
        <v/>
      </c>
      <c r="V75">
        <f>HYPERLINK("https://klasma.github.io/Logging_2380/klagomål/A 61153-2024 FSC-klagomål.docx", "A 61153-2024")</f>
        <v/>
      </c>
      <c r="W75">
        <f>HYPERLINK("https://klasma.github.io/Logging_2380/klagomålsmail/A 61153-2024 FSC-klagomål mail.docx", "A 61153-2024")</f>
        <v/>
      </c>
      <c r="X75">
        <f>HYPERLINK("https://klasma.github.io/Logging_2380/tillsyn/A 61153-2024 tillsynsbegäran.docx", "A 61153-2024")</f>
        <v/>
      </c>
      <c r="Y75">
        <f>HYPERLINK("https://klasma.github.io/Logging_2380/tillsynsmail/A 61153-2024 tillsynsbegäran mail.docx", "A 61153-2024")</f>
        <v/>
      </c>
      <c r="Z75">
        <f>HYPERLINK("https://klasma.github.io/Logging_2380/fåglar/A 61153-2024 prioriterade fågelarter.docx", "A 61153-2024")</f>
        <v/>
      </c>
    </row>
    <row r="76" ht="15" customHeight="1">
      <c r="A76" t="inlineStr">
        <is>
          <t>A 23410-2019</t>
        </is>
      </c>
      <c r="B76" s="1" t="n">
        <v>43592</v>
      </c>
      <c r="C76" s="1" t="n">
        <v>45700</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45700</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45700</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45700</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45700</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45700</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45700</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45700</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45700</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45700</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45700</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45700</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45700</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45700</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45700</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45700</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45700</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45700</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45700</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45700</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45700</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45700</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45700</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45700</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45700</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45700</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45700</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45700</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45700</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45700</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45700</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45700</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45700</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45700</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45700</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45700</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45700</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45700</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45700</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45700</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45700</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45700</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45700</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45700</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45700</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45700</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45700</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45700</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45700</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45700</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45700</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45700</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45700</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45700</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45700</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45700</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45700</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45700</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45700</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45700</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45700</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45700</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45700</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45700</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45700</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45700</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45700</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45700</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45700</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45700</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45700</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45700</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45700</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45700</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45700</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45700</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45700</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45700</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45700</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45700</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45700</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45700</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45700</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45700</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45700</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45700</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45700</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45700</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45700</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45700</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45700</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45700</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45700</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45700</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45700</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45700</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45700</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45700</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45700</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45700</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45700</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45700</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45700</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45700</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45700</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45700</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45700</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45700</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45700</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45700</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45700</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45700</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45700</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45700</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45700</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45700</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45700</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45700</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45700</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45700</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45700</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45700</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45700</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45700</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45700</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45700</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45700</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45700</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45700</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45700</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45700</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45700</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45700</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45700</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45700</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45700</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45700</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45700</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45700</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45700</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45700</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45700</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45700</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45700</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45700</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45700</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45700</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45700</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45700</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45700</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45700</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45700</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45700</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45700</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45700</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45700</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45700</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45700</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45700</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45700</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45700</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45700</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45700</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45700</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45700</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45700</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45700</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45700</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45700</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45700</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45700</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45700</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45700</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45700</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45700</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45700</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45700</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45700</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45700</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45700</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45700</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45700</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45700</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45700</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45700</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45700</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45700</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45700</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45700</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45700</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45700</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45700</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45700</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45700</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45700</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45700</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45700</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45700</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45700</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45700</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45700</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45700</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45700</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45700</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45700</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45700</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45700</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45700</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45700</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45700</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45700</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45700</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45700</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45700</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45700</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45700</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45700</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45700</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45700</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45700</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45700</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45700</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45700</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45700</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45700</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45700</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45700</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45700</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45700</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45700</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45700</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45700</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45700</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45700</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45700</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45700</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45700</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45700</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45700</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45700</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45700</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45700</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45700</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45700</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45700</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45700</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45700</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45700</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45700</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45700</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45700</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45700</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45700</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45700</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45700</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45700</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45700</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45700</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45700</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45700</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45700</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45700</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45700</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45700</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45700</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45700</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45700</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45700</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45700</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45700</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45700</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45700</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45700</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45700</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45700</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45700</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45700</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45700</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45700</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45700</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45700</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45700</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45700</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45700</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45700</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45700</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45700</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45700</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45700</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45700</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45700</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45700</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45700</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45700</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45700</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45700</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45700</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45700</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45700</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45700</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45700</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45700</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45700</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45700</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45700</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45700</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45700</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45700</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45700</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45700</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45700</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45700</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45700</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45700</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45700</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45700</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45700</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45700</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45700</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45700</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45700</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45700</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45700</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45700</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45700</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45700</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45700</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45700</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45700</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45700</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45700</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45700</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45700</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45700</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45700</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45700</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45700</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45700</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45700</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45700</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45700</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45700</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45700</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45700</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45700</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45700</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45700</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45700</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45700</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45700</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45700</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45700</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45700</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45700</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45700</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45700</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45700</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45700</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45700</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45700</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45700</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45700</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45700</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45700</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45700</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45700</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45700</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45700</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45700</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45700</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45700</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45700</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45700</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45700</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45700</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45700</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45700</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45700</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45700</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45700</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45700</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45700</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45700</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45700</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45700</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45700</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45700</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45700</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45700</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45700</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45700</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45700</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45700</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45700</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45700</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45700</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45700</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45700</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45700</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45700</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45700</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45700</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45700</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45700</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45700</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45700</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45700</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45700</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45700</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45700</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45700</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45700</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45700</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45700</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45700</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45700</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45700</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45700</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45700</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45700</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45700</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45700</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45700</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45700</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45700</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45700</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45700</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45700</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45700</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45700</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45700</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45700</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45700</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45700</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45700</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45700</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45700</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45700</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45700</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45700</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45700</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45700</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45700</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45700</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45700</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45700</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45700</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45700</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45700</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45700</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45700</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45700</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45700</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45700</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45700</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45700</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45700</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45700</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45700</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45700</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45700</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45700</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45700</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45700</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45700</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45700</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45700</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45700</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45700</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45700</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45700</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45700</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45700</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45700</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45700</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45700</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45700</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45700</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45700</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45700</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45700</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45700</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45700</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45700</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45700</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45700</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45700</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45700</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45700</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45700</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45700</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45700</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45700</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45700</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45700</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45700</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45700</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45700</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45700</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45700</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45700</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45700</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45700</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45700</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45700</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45700</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45700</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45700</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45700</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45700</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45700</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45700</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45700</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45700</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45700</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45700</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45700</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45700</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45700</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45700</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45700</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45700</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45700</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45700</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45700</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45700</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45700</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45700</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45700</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45700</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45700</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45700</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45700</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45700</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45700</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45700</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45700</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45700</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45700</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45700</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45700</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45700</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45700</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45700</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45700</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45700</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45700</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45700</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45700</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45700</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45700</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45700</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45700</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45700</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45700</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45700</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45700</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45700</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45700</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45700</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45700</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45700</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45700</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45700</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45700</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45700</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45700</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45700</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45700</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45700</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45700</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45700</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45700</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45700</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45700</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45700</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45700</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45700</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45700</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45700</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45700</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45700</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45700</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45700</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45700</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45700</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45700</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45700</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45700</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45700</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45700</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45700</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45700</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45700</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45700</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45700</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45700</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45700</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45700</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45700</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45700</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45700</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45700</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45700</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45700</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45700</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45700</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45700</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45700</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45700</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45700</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45700</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45700</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45700</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45700</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45700</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45700</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45700</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45700</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45700</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45700</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45700</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45700</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45700</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45700</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45700</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45700</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45700</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45700</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45700</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45700</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45700</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45700</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45700</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45700</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45700</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45700</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45700</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45700</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45700</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45700</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45700</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45700</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45700</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45700</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45700</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45700</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45700</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45700</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45700</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45700</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45700</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45700</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45700</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45700</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45700</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45700</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45700</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45700</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45700</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45700</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45700</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45700</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45700</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45700</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45700</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45700</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45700</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45700</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45700</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45700</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45700</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45700</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45700</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45700</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45700</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45700</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45700</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45700</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45700</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45700</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45700</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45700</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45700</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45700</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45700</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45700</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45700</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45700</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45700</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45700</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45700</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45700</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45700</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45700</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45700</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45700</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45700</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45700</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45700</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45700</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45700</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45700</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45700</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45700</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45700</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45700</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45700</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45700</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45700</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45700</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45700</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45700</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45700</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45700</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45700</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45700</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45700</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45700</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45700</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45700</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45700</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45700</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45700</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45700</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45700</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45700</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45700</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45700</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45700</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45700</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45700</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45700</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45700</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45700</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45700</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45700</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45700</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45700</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45700</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45700</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45700</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45700</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45700</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45700</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45700</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45700</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45700</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45700</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45700</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45700</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45700</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45700</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45700</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45700</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45700</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45700</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45700</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45700</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45700</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45700</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45700</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45700</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45700</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45700</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45700</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45700</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45700</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45700</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45700</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45700</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45700</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45700</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45700</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45700</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45700</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45700</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45700</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45700</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45700</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45700</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45700</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45700</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45700</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45700</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45700</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45700</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45700</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45700</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45700</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45700</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45700</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45700</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45700</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45700</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45700</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45700</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45700</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45700</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45700</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45700</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45700</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45700</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45700</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45700</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45700</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45700</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45700</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45700</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45700</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45700</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45700</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45700</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45700</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45700</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45700</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45700</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45700</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45700</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45700</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45700</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45700</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45700</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45700</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45700</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45700</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45700</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45700</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45700</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45700</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45700</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45700</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45700</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45700</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45700</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45700</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45700</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45700</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45700</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45700</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45700</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45700</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45700</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45700</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45700</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45700</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45700</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45700</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45700</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45700</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45700</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45700</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45700</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45700</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45700</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45700</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45700</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45700</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45700</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45700</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45700</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45700</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45700</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45700</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45700</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45700</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45700</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45700</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45700</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45700</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45700</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45700</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45700</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45700</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45700</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45700</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45700</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45700</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45700</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45700</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45700</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45700</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45700</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45700</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45700</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45700</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45700</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45700</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45700</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45700</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45700</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45700</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45700</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45700</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45700</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45700</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45700</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45700</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45700</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45700</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45700</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45700</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45700</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45700</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45700</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45700</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45700</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45700</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45700</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45700</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45700</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45700</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45700</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45700</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45700</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45700</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45700</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45700</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45700</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45700</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45700</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45700</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45700</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45700</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45700</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45700</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45700</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45700</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45700</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45700</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45700</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45700</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45700</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45700</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45700</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45700</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45700</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45700</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45700</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45700</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45700</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45700</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45700</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45700</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2753-2025</t>
        </is>
      </c>
      <c r="B1020" s="1" t="n">
        <v>45677</v>
      </c>
      <c r="C1020" s="1" t="n">
        <v>45700</v>
      </c>
      <c r="D1020" t="inlineStr">
        <is>
          <t>JÄMTLANDS LÄN</t>
        </is>
      </c>
      <c r="E1020" t="inlineStr">
        <is>
          <t>ÖSTERSUND</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45700</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45700</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45700</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45700</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45700</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45700</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45700</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3651-2025</t>
        </is>
      </c>
      <c r="B1028" s="1" t="n">
        <v>45681</v>
      </c>
      <c r="C1028" s="1" t="n">
        <v>45700</v>
      </c>
      <c r="D1028" t="inlineStr">
        <is>
          <t>JÄMTLANDS LÄN</t>
        </is>
      </c>
      <c r="E1028" t="inlineStr">
        <is>
          <t>ÖSTERSUND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3664-2025</t>
        </is>
      </c>
      <c r="B1029" s="1" t="n">
        <v>45681</v>
      </c>
      <c r="C1029" s="1" t="n">
        <v>45700</v>
      </c>
      <c r="D1029" t="inlineStr">
        <is>
          <t>JÄMTLANDS LÄN</t>
        </is>
      </c>
      <c r="E1029" t="inlineStr">
        <is>
          <t>ÖSTERSUND</t>
        </is>
      </c>
      <c r="F1029" t="inlineStr">
        <is>
          <t>SCA</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45700</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4063-2025</t>
        </is>
      </c>
      <c r="B1031" s="1" t="n">
        <v>45684</v>
      </c>
      <c r="C1031" s="1" t="n">
        <v>45700</v>
      </c>
      <c r="D1031" t="inlineStr">
        <is>
          <t>JÄMTLANDS LÄN</t>
        </is>
      </c>
      <c r="E1031" t="inlineStr">
        <is>
          <t>ÖSTERSUND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3985-2025</t>
        </is>
      </c>
      <c r="B1032" s="1" t="n">
        <v>45684</v>
      </c>
      <c r="C1032" s="1" t="n">
        <v>45700</v>
      </c>
      <c r="D1032" t="inlineStr">
        <is>
          <t>JÄMTLANDS LÄN</t>
        </is>
      </c>
      <c r="E1032" t="inlineStr">
        <is>
          <t>ÖSTERSUND</t>
        </is>
      </c>
      <c r="F1032" t="inlineStr">
        <is>
          <t>SCA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3997-2025</t>
        </is>
      </c>
      <c r="B1033" s="1" t="n">
        <v>45684</v>
      </c>
      <c r="C1033" s="1" t="n">
        <v>45700</v>
      </c>
      <c r="D1033" t="inlineStr">
        <is>
          <t>JÄMTLANDS LÄN</t>
        </is>
      </c>
      <c r="E1033" t="inlineStr">
        <is>
          <t>ÖSTERSUND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3914-2025</t>
        </is>
      </c>
      <c r="B1034" s="1" t="n">
        <v>45684</v>
      </c>
      <c r="C1034" s="1" t="n">
        <v>45700</v>
      </c>
      <c r="D1034" t="inlineStr">
        <is>
          <t>JÄMTLANDS LÄN</t>
        </is>
      </c>
      <c r="E1034" t="inlineStr">
        <is>
          <t>ÖSTERSUND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45700</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45700</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4480-2025</t>
        </is>
      </c>
      <c r="B1037" s="1" t="n">
        <v>45686</v>
      </c>
      <c r="C1037" s="1" t="n">
        <v>45700</v>
      </c>
      <c r="D1037" t="inlineStr">
        <is>
          <t>JÄMTLANDS LÄN</t>
        </is>
      </c>
      <c r="E1037" t="inlineStr">
        <is>
          <t>ÖSTERSUND</t>
        </is>
      </c>
      <c r="G1037" t="n">
        <v>27.7</v>
      </c>
      <c r="H1037" t="n">
        <v>0</v>
      </c>
      <c r="I1037" t="n">
        <v>0</v>
      </c>
      <c r="J1037" t="n">
        <v>0</v>
      </c>
      <c r="K1037" t="n">
        <v>0</v>
      </c>
      <c r="L1037" t="n">
        <v>0</v>
      </c>
      <c r="M1037" t="n">
        <v>0</v>
      </c>
      <c r="N1037" t="n">
        <v>0</v>
      </c>
      <c r="O1037" t="n">
        <v>0</v>
      </c>
      <c r="P1037" t="n">
        <v>0</v>
      </c>
      <c r="Q1037" t="n">
        <v>0</v>
      </c>
      <c r="R1037" s="2" t="inlineStr"/>
    </row>
    <row r="1038" ht="15" customHeight="1">
      <c r="A1038" t="inlineStr">
        <is>
          <t>A 4500-2025</t>
        </is>
      </c>
      <c r="B1038" s="1" t="n">
        <v>45686</v>
      </c>
      <c r="C1038" s="1" t="n">
        <v>45700</v>
      </c>
      <c r="D1038" t="inlineStr">
        <is>
          <t>JÄMTLANDS LÄN</t>
        </is>
      </c>
      <c r="E1038" t="inlineStr">
        <is>
          <t>ÖSTERSUND</t>
        </is>
      </c>
      <c r="G1038" t="n">
        <v>28.4</v>
      </c>
      <c r="H1038" t="n">
        <v>0</v>
      </c>
      <c r="I1038" t="n">
        <v>0</v>
      </c>
      <c r="J1038" t="n">
        <v>0</v>
      </c>
      <c r="K1038" t="n">
        <v>0</v>
      </c>
      <c r="L1038" t="n">
        <v>0</v>
      </c>
      <c r="M1038" t="n">
        <v>0</v>
      </c>
      <c r="N1038" t="n">
        <v>0</v>
      </c>
      <c r="O1038" t="n">
        <v>0</v>
      </c>
      <c r="P1038" t="n">
        <v>0</v>
      </c>
      <c r="Q1038" t="n">
        <v>0</v>
      </c>
      <c r="R1038" s="2" t="inlineStr"/>
    </row>
    <row r="1039" ht="15" customHeight="1">
      <c r="A1039" t="inlineStr">
        <is>
          <t>A 4521-2025</t>
        </is>
      </c>
      <c r="B1039" s="1" t="n">
        <v>45686</v>
      </c>
      <c r="C1039" s="1" t="n">
        <v>45700</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4384-2025</t>
        </is>
      </c>
      <c r="B1040" s="1" t="n">
        <v>45686</v>
      </c>
      <c r="C1040" s="1" t="n">
        <v>45700</v>
      </c>
      <c r="D1040" t="inlineStr">
        <is>
          <t>JÄMTLANDS LÄN</t>
        </is>
      </c>
      <c r="E1040" t="inlineStr">
        <is>
          <t>ÖSTERSUND</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4520-2025</t>
        </is>
      </c>
      <c r="B1041" s="1" t="n">
        <v>45686</v>
      </c>
      <c r="C1041" s="1" t="n">
        <v>45700</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4522-2025</t>
        </is>
      </c>
      <c r="B1042" s="1" t="n">
        <v>45686</v>
      </c>
      <c r="C1042" s="1" t="n">
        <v>45700</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row r="1043" ht="15" customHeight="1">
      <c r="A1043" t="inlineStr">
        <is>
          <t>A 4491-2025</t>
        </is>
      </c>
      <c r="B1043" s="1" t="n">
        <v>45686</v>
      </c>
      <c r="C1043" s="1" t="n">
        <v>45700</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4523-2025</t>
        </is>
      </c>
      <c r="B1044" s="1" t="n">
        <v>45686</v>
      </c>
      <c r="C1044" s="1" t="n">
        <v>45700</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45700</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4936-2025</t>
        </is>
      </c>
      <c r="B1046" s="1" t="n">
        <v>45688</v>
      </c>
      <c r="C1046" s="1" t="n">
        <v>45700</v>
      </c>
      <c r="D1046" t="inlineStr">
        <is>
          <t>JÄMTLANDS LÄN</t>
        </is>
      </c>
      <c r="E1046" t="inlineStr">
        <is>
          <t>ÖSTERSUND</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45700</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45700</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45700</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45700</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5025-2025</t>
        </is>
      </c>
      <c r="B1051" s="1" t="n">
        <v>45691</v>
      </c>
      <c r="C1051" s="1" t="n">
        <v>45700</v>
      </c>
      <c r="D1051" t="inlineStr">
        <is>
          <t>JÄMTLANDS LÄN</t>
        </is>
      </c>
      <c r="E1051" t="inlineStr">
        <is>
          <t>ÖSTERSUND</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5135-2025</t>
        </is>
      </c>
      <c r="B1052" s="1" t="n">
        <v>45691</v>
      </c>
      <c r="C1052" s="1" t="n">
        <v>45700</v>
      </c>
      <c r="D1052" t="inlineStr">
        <is>
          <t>JÄMTLANDS LÄN</t>
        </is>
      </c>
      <c r="E1052" t="inlineStr">
        <is>
          <t>ÖSTERSUND</t>
        </is>
      </c>
      <c r="F1052" t="inlineStr">
        <is>
          <t>Övriga Aktiebolag</t>
        </is>
      </c>
      <c r="G1052" t="n">
        <v>126.9</v>
      </c>
      <c r="H1052" t="n">
        <v>0</v>
      </c>
      <c r="I1052" t="n">
        <v>0</v>
      </c>
      <c r="J1052" t="n">
        <v>0</v>
      </c>
      <c r="K1052" t="n">
        <v>0</v>
      </c>
      <c r="L1052" t="n">
        <v>0</v>
      </c>
      <c r="M1052" t="n">
        <v>0</v>
      </c>
      <c r="N1052" t="n">
        <v>0</v>
      </c>
      <c r="O1052" t="n">
        <v>0</v>
      </c>
      <c r="P1052" t="n">
        <v>0</v>
      </c>
      <c r="Q1052" t="n">
        <v>0</v>
      </c>
      <c r="R1052" s="2" t="inlineStr"/>
    </row>
    <row r="1053" ht="15" customHeight="1">
      <c r="A1053" t="inlineStr">
        <is>
          <t>A 5138-2025</t>
        </is>
      </c>
      <c r="B1053" s="1" t="n">
        <v>45691</v>
      </c>
      <c r="C1053" s="1" t="n">
        <v>45700</v>
      </c>
      <c r="D1053" t="inlineStr">
        <is>
          <t>JÄMTLANDS LÄN</t>
        </is>
      </c>
      <c r="E1053" t="inlineStr">
        <is>
          <t>ÖSTERSUND</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5024-2025</t>
        </is>
      </c>
      <c r="B1054" s="1" t="n">
        <v>45691</v>
      </c>
      <c r="C1054" s="1" t="n">
        <v>45700</v>
      </c>
      <c r="D1054" t="inlineStr">
        <is>
          <t>JÄMTLANDS LÄN</t>
        </is>
      </c>
      <c r="E1054" t="inlineStr">
        <is>
          <t>ÖSTERSUND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45700</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45700</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5549-2025</t>
        </is>
      </c>
      <c r="B1057" s="1" t="n">
        <v>45693</v>
      </c>
      <c r="C1057" s="1" t="n">
        <v>45700</v>
      </c>
      <c r="D1057" t="inlineStr">
        <is>
          <t>JÄMTLANDS LÄN</t>
        </is>
      </c>
      <c r="E1057" t="inlineStr">
        <is>
          <t>ÖSTERSUND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5553-2025</t>
        </is>
      </c>
      <c r="B1058" s="1" t="n">
        <v>45693</v>
      </c>
      <c r="C1058" s="1" t="n">
        <v>45700</v>
      </c>
      <c r="D1058" t="inlineStr">
        <is>
          <t>JÄMTLANDS LÄN</t>
        </is>
      </c>
      <c r="E1058" t="inlineStr">
        <is>
          <t>ÖSTERSUND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5544-2025</t>
        </is>
      </c>
      <c r="B1059" s="1" t="n">
        <v>45693</v>
      </c>
      <c r="C1059" s="1" t="n">
        <v>45700</v>
      </c>
      <c r="D1059" t="inlineStr">
        <is>
          <t>JÄMTLANDS LÄN</t>
        </is>
      </c>
      <c r="E1059" t="inlineStr">
        <is>
          <t>ÖSTERSUND</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5564-2025</t>
        </is>
      </c>
      <c r="B1060" s="1" t="n">
        <v>45693</v>
      </c>
      <c r="C1060" s="1" t="n">
        <v>45700</v>
      </c>
      <c r="D1060" t="inlineStr">
        <is>
          <t>JÄMTLANDS LÄN</t>
        </is>
      </c>
      <c r="E1060" t="inlineStr">
        <is>
          <t>ÖSTERSUND</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5626-2025</t>
        </is>
      </c>
      <c r="B1061" s="1" t="n">
        <v>45693</v>
      </c>
      <c r="C1061" s="1" t="n">
        <v>45700</v>
      </c>
      <c r="D1061" t="inlineStr">
        <is>
          <t>JÄMTLANDS LÄN</t>
        </is>
      </c>
      <c r="E1061" t="inlineStr">
        <is>
          <t>ÖSTERSUND</t>
        </is>
      </c>
      <c r="G1061" t="n">
        <v>6.7</v>
      </c>
      <c r="H1061" t="n">
        <v>0</v>
      </c>
      <c r="I1061" t="n">
        <v>0</v>
      </c>
      <c r="J1061" t="n">
        <v>0</v>
      </c>
      <c r="K1061" t="n">
        <v>0</v>
      </c>
      <c r="L1061" t="n">
        <v>0</v>
      </c>
      <c r="M1061" t="n">
        <v>0</v>
      </c>
      <c r="N1061" t="n">
        <v>0</v>
      </c>
      <c r="O1061" t="n">
        <v>0</v>
      </c>
      <c r="P1061" t="n">
        <v>0</v>
      </c>
      <c r="Q1061" t="n">
        <v>0</v>
      </c>
      <c r="R1061" s="2" t="inlineStr"/>
    </row>
    <row r="1062">
      <c r="A1062" t="inlineStr">
        <is>
          <t>A 6067-2025</t>
        </is>
      </c>
      <c r="B1062" s="1" t="n">
        <v>45696</v>
      </c>
      <c r="C1062" s="1" t="n">
        <v>45700</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2025-02-12T15:47:58Z</dcterms:created>
  <dcterms:modified xmlns:dcterms="http://purl.org/dc/terms/" xmlns:xsi="http://www.w3.org/2001/XMLSchema-instance" xsi:type="dcterms:W3CDTF">2025-02-12T15:47:59Z</dcterms:modified>
</cp:coreProperties>
</file>