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46259</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46259</v>
      </c>
      <c r="F10" t="inlineStr">
        <is>
          <t>JÄMTLANDS LÄN</t>
        </is>
      </c>
      <c r="G10" t="inlineStr">
        <is>
          <t>ÖSTERSUND</t>
        </is>
      </c>
      <c r="I10" t="n">
        <v>4.2</v>
      </c>
      <c r="J10" t="n">
        <v>11</v>
      </c>
      <c r="K10" t="n">
        <v>5</v>
      </c>
      <c r="L10" t="n">
        <v>6</v>
      </c>
      <c r="M10" t="n">
        <v>3</v>
      </c>
      <c r="N10" t="n">
        <v>0</v>
      </c>
      <c r="O10" t="n">
        <v>0</v>
      </c>
      <c r="P10" t="n">
        <v>0</v>
      </c>
      <c r="Q10" t="n">
        <v>9</v>
      </c>
      <c r="R10" t="n">
        <v>3</v>
      </c>
      <c r="S10" t="n">
        <v>26</v>
      </c>
      <c r="T10" t="n">
        <v>123</v>
      </c>
      <c r="U10" t="n">
        <v>120</v>
      </c>
      <c r="V10"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46259</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46259</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46259</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46259</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46259</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28059-2026</t>
        </is>
      </c>
      <c r="B16" t="inlineStr">
        <is>
          <t>avverkningsanmälan</t>
        </is>
      </c>
      <c r="C16" t="inlineStr">
        <is>
          <t>Föryngringsavverkning</t>
        </is>
      </c>
      <c r="D16" s="1" t="n">
        <v>46195</v>
      </c>
      <c r="E16" s="1" t="n">
        <v>46259</v>
      </c>
      <c r="F16" t="inlineStr">
        <is>
          <t>JÄMTLANDS LÄN</t>
        </is>
      </c>
      <c r="G16" t="inlineStr">
        <is>
          <t>ÖSTERSUND</t>
        </is>
      </c>
      <c r="I16" t="n">
        <v>7</v>
      </c>
      <c r="J16" t="n">
        <v>8</v>
      </c>
      <c r="K16" t="n">
        <v>4</v>
      </c>
      <c r="L16" t="n">
        <v>3</v>
      </c>
      <c r="M16" t="n">
        <v>3</v>
      </c>
      <c r="N16" t="n">
        <v>0</v>
      </c>
      <c r="O16" t="n">
        <v>0</v>
      </c>
      <c r="P16" t="n">
        <v>0</v>
      </c>
      <c r="Q16" t="n">
        <v>6</v>
      </c>
      <c r="R16" t="n">
        <v>3</v>
      </c>
      <c r="S16" t="n">
        <v>21</v>
      </c>
      <c r="T16" t="n">
        <v>70</v>
      </c>
      <c r="U16" t="n">
        <v>70</v>
      </c>
      <c r="V16" s="2" t="inlineStr">
        <is>
          <t>Garnlav
Hussvala
Knärot
Lunglav
Talltita
Tretåig hackspett
Grönkulla
Kransrams
Spindelblomster
Stuplav
Blåsippa
Brudborste
Fjällskära
Hultbräken
Kransmossa
Kärrfibbla
Linnea
Nordisk stormhatt
Ormbär
Tofsmes
Torta</t>
        </is>
      </c>
      <c r="W16">
        <f>HYPERLINK("https://klasma.github.io/Logging_2380/artfynd/A 28059-2026 artfynd.xlsx", "A 28059-2026")</f>
        <v/>
      </c>
      <c r="X16">
        <f>HYPERLINK("https://klasma.github.io/Logging_2380/kartor/A 28059-2026 karta.png", "A 28059-2026")</f>
        <v/>
      </c>
      <c r="Y16">
        <f>HYPERLINK("https://klasma.github.io/Logging_2380/kartor_geotiff/A 28059-2026 georefererad karta.tif", "A 28059-2026")</f>
        <v/>
      </c>
      <c r="Z16">
        <f>HYPERLINK("https://klasma.github.io/Logging_2380/knärot/A 28059-2026 karta knärot.png", "A 28059-2026")</f>
        <v/>
      </c>
      <c r="AA16">
        <f>HYPERLINK("https://klasma.github.io/Logging_2380/klagomål/A 28059-2026 FSC-klagomål.docx", "A 28059-2026")</f>
        <v/>
      </c>
      <c r="AB16">
        <f>HYPERLINK("https://klasma.github.io/Logging_2380/klagomålsmail/A 28059-2026 FSC-klagomål mail.docx", "A 28059-2026")</f>
        <v/>
      </c>
      <c r="AC16">
        <f>HYPERLINK("https://klasma.github.io/Logging_2380/tillsyn/A 28059-2026 tillsynsbegäran.docx", "A 28059-2026")</f>
        <v/>
      </c>
      <c r="AD16">
        <f>HYPERLINK("https://klasma.github.io/Logging_2380/tillsynsmail/A 28059-2026 tillsynsbegäran mail.docx", "A 28059-2026")</f>
        <v/>
      </c>
      <c r="AE16">
        <f>HYPERLINK("https://klasma.github.io/Logging_2380/fåglar/A 28059-2026 prioriterade fågelarter.docx", "A 28059-2026")</f>
        <v/>
      </c>
    </row>
    <row r="17" ht="15" customHeight="1">
      <c r="A17" t="inlineStr">
        <is>
          <t>A 50126-2024</t>
        </is>
      </c>
      <c r="B17" t="inlineStr">
        <is>
          <t>avverkningsanmälan</t>
        </is>
      </c>
      <c r="C17" t="inlineStr">
        <is>
          <t>Föryngringsavverkning</t>
        </is>
      </c>
      <c r="D17" s="1" t="n">
        <v>45600</v>
      </c>
      <c r="E17" s="1" t="n">
        <v>46259</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46259</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46259</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27881-2026</t>
        </is>
      </c>
      <c r="B20" t="inlineStr">
        <is>
          <t>avverkningsanmälan</t>
        </is>
      </c>
      <c r="C20" t="inlineStr">
        <is>
          <t>Föryngringsavverkning</t>
        </is>
      </c>
      <c r="D20" s="1" t="n">
        <v>46191</v>
      </c>
      <c r="E20" s="1" t="n">
        <v>46259</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45985-2025</t>
        </is>
      </c>
      <c r="B21" t="inlineStr">
        <is>
          <t>avverkningsanmälan</t>
        </is>
      </c>
      <c r="C21" t="inlineStr">
        <is>
          <t>Föryngringsavverkning</t>
        </is>
      </c>
      <c r="D21" s="1" t="n">
        <v>45924</v>
      </c>
      <c r="E21" s="1" t="n">
        <v>46259</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46259</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46259</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46259</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46259</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2979-2023</t>
        </is>
      </c>
      <c r="B26" t="inlineStr">
        <is>
          <t>avverkningsanmälan</t>
        </is>
      </c>
      <c r="C26" t="inlineStr">
        <is>
          <t>Föryngringsavverkning</t>
        </is>
      </c>
      <c r="D26" s="1" t="n">
        <v>44945</v>
      </c>
      <c r="E26" s="1" t="n">
        <v>46259</v>
      </c>
      <c r="F26" t="inlineStr">
        <is>
          <t>JÄMTLANDS LÄN</t>
        </is>
      </c>
      <c r="G26" t="inlineStr">
        <is>
          <t>ÖSTERSUND</t>
        </is>
      </c>
      <c r="I26" t="n">
        <v>12.5</v>
      </c>
      <c r="J26" t="n">
        <v>11</v>
      </c>
      <c r="K26" t="n">
        <v>3</v>
      </c>
      <c r="L26" t="n">
        <v>5</v>
      </c>
      <c r="M26" t="n">
        <v>2</v>
      </c>
      <c r="N26" t="n">
        <v>0</v>
      </c>
      <c r="O26" t="n">
        <v>0</v>
      </c>
      <c r="P26" t="n">
        <v>0</v>
      </c>
      <c r="Q26" t="n">
        <v>7</v>
      </c>
      <c r="R26" t="n">
        <v>2</v>
      </c>
      <c r="S26" t="n">
        <v>16</v>
      </c>
      <c r="T26" t="n">
        <v>87</v>
      </c>
      <c r="U26" t="n">
        <v>87</v>
      </c>
      <c r="V26" s="2" t="inlineStr">
        <is>
          <t>Garnlav
Knärot
Lunglav
Skogsfru
Talltita
Tretåig hackspett
Ullticka
Luddlav
Spindelblomster
Stuplav
Mattlummer
Spillkråka
Tjäder
Kungsfågel
Gullviva
Revlummer</t>
        </is>
      </c>
      <c r="W26">
        <f>HYPERLINK("https://klasma.github.io/Logging_2380/artfynd/A 2979-2023 artfynd.xlsx", "A 2979-2023")</f>
        <v/>
      </c>
      <c r="X26">
        <f>HYPERLINK("https://klasma.github.io/Logging_2380/kartor/A 2979-2023 karta.png", "A 2979-2023")</f>
        <v/>
      </c>
      <c r="Y26">
        <f>HYPERLINK("https://klasma.github.io/Logging_2380/kartor_geotiff/A 2979-2023 georefererad karta.tif", "A 2979-2023")</f>
        <v/>
      </c>
      <c r="Z26">
        <f>HYPERLINK("https://klasma.github.io/Logging_2380/knärot/A 2979-2023 karta knärot.png", "A 2979-2023")</f>
        <v/>
      </c>
      <c r="AA26">
        <f>HYPERLINK("https://klasma.github.io/Logging_2380/klagomål/A 2979-2023 FSC-klagomål.docx", "A 2979-2023")</f>
        <v/>
      </c>
      <c r="AB26">
        <f>HYPERLINK("https://klasma.github.io/Logging_2380/klagomålsmail/A 2979-2023 FSC-klagomål mail.docx", "A 2979-2023")</f>
        <v/>
      </c>
      <c r="AC26">
        <f>HYPERLINK("https://klasma.github.io/Logging_2380/tillsyn/A 2979-2023 tillsynsbegäran.docx", "A 2979-2023")</f>
        <v/>
      </c>
      <c r="AD26">
        <f>HYPERLINK("https://klasma.github.io/Logging_2380/tillsynsmail/A 2979-2023 tillsynsbegäran mail.docx", "A 2979-2023")</f>
        <v/>
      </c>
      <c r="AE26">
        <f>HYPERLINK("https://klasma.github.io/Logging_2380/fåglar/A 2979-2023 prioriterade fågelarter.docx", "A 2979-2023")</f>
        <v/>
      </c>
    </row>
    <row r="27" ht="15" customHeight="1">
      <c r="A27" t="inlineStr">
        <is>
          <t>A 18942-2026</t>
        </is>
      </c>
      <c r="B27" t="inlineStr">
        <is>
          <t>avverkningsanmälan</t>
        </is>
      </c>
      <c r="C27" t="inlineStr">
        <is>
          <t>Föryngringsavverkning</t>
        </is>
      </c>
      <c r="D27" s="1" t="n">
        <v>46129</v>
      </c>
      <c r="E27" s="1" t="n">
        <v>46259</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46259</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46259</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46259</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46259</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47954-2025</t>
        </is>
      </c>
      <c r="B32" t="inlineStr">
        <is>
          <t>avverkningsanmälan</t>
        </is>
      </c>
      <c r="C32" t="inlineStr">
        <is>
          <t>Föryngringsavverkning</t>
        </is>
      </c>
      <c r="D32" s="1" t="n">
        <v>45932</v>
      </c>
      <c r="E32" s="1" t="n">
        <v>46259</v>
      </c>
      <c r="F32" t="inlineStr">
        <is>
          <t>JÄMTLANDS LÄN</t>
        </is>
      </c>
      <c r="G32" t="inlineStr">
        <is>
          <t>ÖSTERSUND</t>
        </is>
      </c>
      <c r="I32" t="n">
        <v>6.8</v>
      </c>
      <c r="J32" t="n">
        <v>5</v>
      </c>
      <c r="K32" t="n">
        <v>4</v>
      </c>
      <c r="L32" t="n">
        <v>6</v>
      </c>
      <c r="M32" t="n">
        <v>3</v>
      </c>
      <c r="N32" t="n">
        <v>0</v>
      </c>
      <c r="O32" t="n">
        <v>0</v>
      </c>
      <c r="P32" t="n">
        <v>0</v>
      </c>
      <c r="Q32" t="n">
        <v>9</v>
      </c>
      <c r="R32" t="n">
        <v>3</v>
      </c>
      <c r="S32" t="n">
        <v>14</v>
      </c>
      <c r="T32" t="n">
        <v>62</v>
      </c>
      <c r="U32" t="n">
        <v>62</v>
      </c>
      <c r="V32" s="2" t="inlineStr">
        <is>
          <t>Garnlav
Gränsticka
Knärot
Harticka
Liten svartspik
Rosenticka
Tretåig hackspett
Ullticka
Vitgrynig nållav
Korallrot
Plattlummer
Trådticka
Vedticka
Blåsippa</t>
        </is>
      </c>
      <c r="W32">
        <f>HYPERLINK("https://klasma.github.io/Logging_2380/artfynd/A 47954-2025 artfynd.xlsx", "A 47954-2025")</f>
        <v/>
      </c>
      <c r="X32">
        <f>HYPERLINK("https://klasma.github.io/Logging_2380/kartor/A 47954-2025 karta.png", "A 47954-2025")</f>
        <v/>
      </c>
      <c r="Y32">
        <f>HYPERLINK("https://klasma.github.io/Logging_2380/kartor_geotiff/A 47954-2025 georefererad karta.tif", "A 47954-2025")</f>
        <v/>
      </c>
      <c r="Z32">
        <f>HYPERLINK("https://klasma.github.io/Logging_2380/knärot/A 47954-2025 karta knärot.png", "A 47954-2025")</f>
        <v/>
      </c>
      <c r="AA32">
        <f>HYPERLINK("https://klasma.github.io/Logging_2380/klagomål/A 47954-2025 FSC-klagomål.docx", "A 47954-2025")</f>
        <v/>
      </c>
      <c r="AB32">
        <f>HYPERLINK("https://klasma.github.io/Logging_2380/klagomålsmail/A 47954-2025 FSC-klagomål mail.docx", "A 47954-2025")</f>
        <v/>
      </c>
      <c r="AC32">
        <f>HYPERLINK("https://klasma.github.io/Logging_2380/tillsyn/A 47954-2025 tillsynsbegäran.docx", "A 47954-2025")</f>
        <v/>
      </c>
      <c r="AD32">
        <f>HYPERLINK("https://klasma.github.io/Logging_2380/tillsynsmail/A 47954-2025 tillsynsbegäran mail.docx", "A 47954-2025")</f>
        <v/>
      </c>
      <c r="AE32">
        <f>HYPERLINK("https://klasma.github.io/Logging_2380/fåglar/A 47954-2025 prioriterade fågelarter.docx", "A 47954-2025")</f>
        <v/>
      </c>
    </row>
    <row r="33" ht="15" customHeight="1">
      <c r="A33" t="inlineStr">
        <is>
          <t>A 30683-2023</t>
        </is>
      </c>
      <c r="B33" t="inlineStr">
        <is>
          <t>avverkningsanmälan</t>
        </is>
      </c>
      <c r="C33" t="inlineStr">
        <is>
          <t>Föryngringsavverkning</t>
        </is>
      </c>
      <c r="D33" s="1" t="n">
        <v>45112</v>
      </c>
      <c r="E33" s="1" t="n">
        <v>46259</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44532-2025</t>
        </is>
      </c>
      <c r="B34" t="inlineStr">
        <is>
          <t>avverkningsanmälan</t>
        </is>
      </c>
      <c r="C34" t="inlineStr">
        <is>
          <t>Föryngringsavverkning</t>
        </is>
      </c>
      <c r="D34" s="1" t="n">
        <v>45916</v>
      </c>
      <c r="E34" s="1" t="n">
        <v>46259</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S 902-2024</t>
        </is>
      </c>
      <c r="B35" t="inlineStr">
        <is>
          <t>samrådsanmälan</t>
        </is>
      </c>
      <c r="C35" t="inlineStr">
        <is>
          <t>Skogsgödsling</t>
        </is>
      </c>
      <c r="D35" s="1" t="n">
        <v>45376</v>
      </c>
      <c r="E35" s="1" t="n">
        <v>46259</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54517-2025</t>
        </is>
      </c>
      <c r="B36" t="inlineStr">
        <is>
          <t>avverkningsanmälan</t>
        </is>
      </c>
      <c r="C36" t="inlineStr">
        <is>
          <t>Avverkning för annat ändamål</t>
        </is>
      </c>
      <c r="D36" s="1" t="n">
        <v>45965</v>
      </c>
      <c r="E36" s="1" t="n">
        <v>46259</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56899-2025</t>
        </is>
      </c>
      <c r="B37" t="inlineStr">
        <is>
          <t>avverkningsanmälan</t>
        </is>
      </c>
      <c r="C37" t="inlineStr">
        <is>
          <t>Föryngringsavverkning</t>
        </is>
      </c>
      <c r="D37" s="1" t="n">
        <v>45978</v>
      </c>
      <c r="E37" s="1" t="n">
        <v>46259</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46259</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56557-2025</t>
        </is>
      </c>
      <c r="B39" t="inlineStr">
        <is>
          <t>avverkningsanmälan</t>
        </is>
      </c>
      <c r="C39" t="inlineStr">
        <is>
          <t>Föryngringsavverkning</t>
        </is>
      </c>
      <c r="D39" s="1" t="n">
        <v>45975</v>
      </c>
      <c r="E39" s="1" t="n">
        <v>46259</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63201-2025</t>
        </is>
      </c>
      <c r="B40" t="inlineStr">
        <is>
          <t>avverkningsanmälan</t>
        </is>
      </c>
      <c r="C40" t="inlineStr">
        <is>
          <t>Föryngringsavverkning</t>
        </is>
      </c>
      <c r="D40" s="1" t="n">
        <v>46010</v>
      </c>
      <c r="E40" s="1" t="n">
        <v>46259</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46259</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47128-2025</t>
        </is>
      </c>
      <c r="B42" t="inlineStr">
        <is>
          <t>avverkningsanmälan</t>
        </is>
      </c>
      <c r="C42" t="inlineStr">
        <is>
          <t>Föryngringsavverkning</t>
        </is>
      </c>
      <c r="D42" s="1" t="n">
        <v>45929</v>
      </c>
      <c r="E42" s="1" t="n">
        <v>46259</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46259</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46259</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17716-2024</t>
        </is>
      </c>
      <c r="B45" t="inlineStr">
        <is>
          <t>avverkningsanmälan</t>
        </is>
      </c>
      <c r="C45" t="inlineStr">
        <is>
          <t>Föryngringsavverkning</t>
        </is>
      </c>
      <c r="D45" s="1" t="n">
        <v>45415</v>
      </c>
      <c r="E45" s="1" t="n">
        <v>46259</v>
      </c>
      <c r="F45" t="inlineStr">
        <is>
          <t>JÄMTLANDS LÄN</t>
        </is>
      </c>
      <c r="G45" t="inlineStr">
        <is>
          <t>ÖSTERSUND</t>
        </is>
      </c>
      <c r="I45" t="n">
        <v>1.4</v>
      </c>
      <c r="J45" t="n">
        <v>10</v>
      </c>
      <c r="K45" t="n">
        <v>2</v>
      </c>
      <c r="L45" t="n">
        <v>1</v>
      </c>
      <c r="M45" t="n">
        <v>1</v>
      </c>
      <c r="N45" t="n">
        <v>1</v>
      </c>
      <c r="O45" t="n">
        <v>0</v>
      </c>
      <c r="P45" t="n">
        <v>0</v>
      </c>
      <c r="Q45" t="n">
        <v>3</v>
      </c>
      <c r="R45" t="n">
        <v>2</v>
      </c>
      <c r="S45" t="n">
        <v>10</v>
      </c>
      <c r="T45" t="n">
        <v>39</v>
      </c>
      <c r="U45" t="n">
        <v>39</v>
      </c>
      <c r="V45" s="2" t="inlineStr">
        <is>
          <t>Storspov
Knärot
Nötkråka
Spindelblomster
Tvåblad
Blåsippa
Järpe
Spillkråka
Tjäder
Fläcknycklar</t>
        </is>
      </c>
      <c r="W45">
        <f>HYPERLINK("https://klasma.github.io/Logging_2380/artfynd/A 17716-2024 artfynd.xlsx", "A 17716-2024")</f>
        <v/>
      </c>
      <c r="X45">
        <f>HYPERLINK("https://klasma.github.io/Logging_2380/kartor/A 17716-2024 karta.png", "A 17716-2024")</f>
        <v/>
      </c>
      <c r="Y45">
        <f>HYPERLINK("https://klasma.github.io/Logging_2380/kartor_geotiff/A 17716-2024 georefererad karta.tif", "A 17716-2024")</f>
        <v/>
      </c>
      <c r="Z45">
        <f>HYPERLINK("https://klasma.github.io/Logging_2380/knärot/A 17716-2024 karta knärot.png", "A 17716-2024")</f>
        <v/>
      </c>
      <c r="AA45">
        <f>HYPERLINK("https://klasma.github.io/Logging_2380/klagomål/A 17716-2024 FSC-klagomål.docx", "A 17716-2024")</f>
        <v/>
      </c>
      <c r="AB45">
        <f>HYPERLINK("https://klasma.github.io/Logging_2380/klagomålsmail/A 17716-2024 FSC-klagomål mail.docx", "A 17716-2024")</f>
        <v/>
      </c>
      <c r="AC45">
        <f>HYPERLINK("https://klasma.github.io/Logging_2380/tillsyn/A 17716-2024 tillsynsbegäran.docx", "A 17716-2024")</f>
        <v/>
      </c>
      <c r="AD45">
        <f>HYPERLINK("https://klasma.github.io/Logging_2380/tillsynsmail/A 17716-2024 tillsynsbegäran mail.docx", "A 17716-2024")</f>
        <v/>
      </c>
      <c r="AE45">
        <f>HYPERLINK("https://klasma.github.io/Logging_2380/fåglar/A 17716-2024 prioriterade fågelarter.docx", "A 17716-2024")</f>
        <v/>
      </c>
    </row>
    <row r="46" ht="15" customHeight="1">
      <c r="A46" t="inlineStr">
        <is>
          <t>A 47392-2022</t>
        </is>
      </c>
      <c r="B46" t="inlineStr">
        <is>
          <t>avverkningsanmälan</t>
        </is>
      </c>
      <c r="C46" t="inlineStr">
        <is>
          <t>Föryngringsavverkning</t>
        </is>
      </c>
      <c r="D46" s="1" t="n">
        <v>44851</v>
      </c>
      <c r="E46" s="1" t="n">
        <v>46259</v>
      </c>
      <c r="F46" t="inlineStr">
        <is>
          <t>JÄMTLANDS LÄN</t>
        </is>
      </c>
      <c r="G46" t="inlineStr">
        <is>
          <t>ÖSTERSUND</t>
        </is>
      </c>
      <c r="I46" t="n">
        <v>1.6</v>
      </c>
      <c r="J46" t="n">
        <v>6</v>
      </c>
      <c r="K46" t="n">
        <v>5</v>
      </c>
      <c r="L46" t="n">
        <v>2</v>
      </c>
      <c r="M46" t="n">
        <v>2</v>
      </c>
      <c r="N46" t="n">
        <v>0</v>
      </c>
      <c r="O46" t="n">
        <v>0</v>
      </c>
      <c r="P46" t="n">
        <v>0</v>
      </c>
      <c r="Q46" t="n">
        <v>4</v>
      </c>
      <c r="R46" t="n">
        <v>2</v>
      </c>
      <c r="S46" t="n">
        <v>10</v>
      </c>
      <c r="T46" t="n">
        <v>27</v>
      </c>
      <c r="U46" t="n">
        <v>10</v>
      </c>
      <c r="V46" s="2" t="inlineStr">
        <is>
          <t>Garnlav
Knärot
Lunglav
Tretåig hackspett
Blodticka
Guckusko
Plattlummer
Trådfräken
Tvåblad
Revlummer</t>
        </is>
      </c>
      <c r="W46">
        <f>HYPERLINK("https://klasma.github.io/Logging_2380/artfynd/A 47392-2022 artfynd.xlsx", "A 47392-2022")</f>
        <v/>
      </c>
      <c r="X46">
        <f>HYPERLINK("https://klasma.github.io/Logging_2380/kartor/A 47392-2022 karta.png", "A 47392-2022")</f>
        <v/>
      </c>
      <c r="Y46">
        <f>HYPERLINK("https://klasma.github.io/Logging_2380/kartor_geotiff/A 47392-2022 georefererad karta.tif", "A 47392-2022")</f>
        <v/>
      </c>
      <c r="Z46">
        <f>HYPERLINK("https://klasma.github.io/Logging_2380/knärot/A 47392-2022 karta knärot.png", "A 47392-2022")</f>
        <v/>
      </c>
      <c r="AA46">
        <f>HYPERLINK("https://klasma.github.io/Logging_2380/klagomål/A 47392-2022 FSC-klagomål.docx", "A 47392-2022")</f>
        <v/>
      </c>
      <c r="AB46">
        <f>HYPERLINK("https://klasma.github.io/Logging_2380/klagomålsmail/A 47392-2022 FSC-klagomål mail.docx", "A 47392-2022")</f>
        <v/>
      </c>
      <c r="AC46">
        <f>HYPERLINK("https://klasma.github.io/Logging_2380/tillsyn/A 47392-2022 tillsynsbegäran.docx", "A 47392-2022")</f>
        <v/>
      </c>
      <c r="AD46">
        <f>HYPERLINK("https://klasma.github.io/Logging_2380/tillsynsmail/A 47392-2022 tillsynsbegäran mail.docx", "A 47392-2022")</f>
        <v/>
      </c>
      <c r="AE46">
        <f>HYPERLINK("https://klasma.github.io/Logging_2380/fåglar/A 47392-2022 prioriterade fågelarter.docx", "A 47392-2022")</f>
        <v/>
      </c>
    </row>
    <row r="47" ht="15" customHeight="1">
      <c r="A47" t="inlineStr">
        <is>
          <t>A 21753-2023</t>
        </is>
      </c>
      <c r="B47" t="inlineStr">
        <is>
          <t>avverkningsanmälan</t>
        </is>
      </c>
      <c r="C47" t="inlineStr">
        <is>
          <t>Föryngringsavverkning</t>
        </is>
      </c>
      <c r="D47" s="1" t="n">
        <v>45063</v>
      </c>
      <c r="E47" s="1" t="n">
        <v>46259</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38335-2023</t>
        </is>
      </c>
      <c r="B48" t="inlineStr">
        <is>
          <t>avverkningsanmälan</t>
        </is>
      </c>
      <c r="C48" t="inlineStr">
        <is>
          <t>Föryngringsavverkning</t>
        </is>
      </c>
      <c r="D48" s="1" t="n">
        <v>45161</v>
      </c>
      <c r="E48" s="1" t="n">
        <v>46259</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27907-2024</t>
        </is>
      </c>
      <c r="B49" t="inlineStr">
        <is>
          <t>avverkningsanmälan</t>
        </is>
      </c>
      <c r="C49" t="inlineStr">
        <is>
          <t>Föryngringsavverkning</t>
        </is>
      </c>
      <c r="D49" s="1" t="n">
        <v>45475</v>
      </c>
      <c r="E49" s="1" t="n">
        <v>46259</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45224-2024</t>
        </is>
      </c>
      <c r="B50" t="inlineStr">
        <is>
          <t>avverkningsanmälan</t>
        </is>
      </c>
      <c r="C50" t="inlineStr">
        <is>
          <t>Föryngringsavverkning</t>
        </is>
      </c>
      <c r="D50" s="1" t="n">
        <v>45575</v>
      </c>
      <c r="E50" s="1" t="n">
        <v>46259</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28104-2026</t>
        </is>
      </c>
      <c r="B51" t="inlineStr">
        <is>
          <t>avverkningsanmälan</t>
        </is>
      </c>
      <c r="C51" t="inlineStr">
        <is>
          <t>Föryngringsavverkning</t>
        </is>
      </c>
      <c r="D51" s="1" t="n">
        <v>46195</v>
      </c>
      <c r="E51" s="1" t="n">
        <v>46259</v>
      </c>
      <c r="F51" t="inlineStr">
        <is>
          <t>JÄMTLANDS LÄN</t>
        </is>
      </c>
      <c r="G51" t="inlineStr">
        <is>
          <t>ÖSTERSUND</t>
        </is>
      </c>
      <c r="I51" t="n">
        <v>7.8</v>
      </c>
      <c r="J51" t="n">
        <v>5</v>
      </c>
      <c r="K51" t="n">
        <v>0</v>
      </c>
      <c r="L51" t="n">
        <v>6</v>
      </c>
      <c r="M51" t="n">
        <v>2</v>
      </c>
      <c r="N51" t="n">
        <v>0</v>
      </c>
      <c r="O51" t="n">
        <v>0</v>
      </c>
      <c r="P51" t="n">
        <v>0</v>
      </c>
      <c r="Q51" t="n">
        <v>8</v>
      </c>
      <c r="R51" t="n">
        <v>2</v>
      </c>
      <c r="S51" t="n">
        <v>10</v>
      </c>
      <c r="T51" t="n">
        <v>36</v>
      </c>
      <c r="U51" t="n">
        <v>36</v>
      </c>
      <c r="V51" s="2" t="inlineStr">
        <is>
          <t>Garnlav
Knärot
Gammelgransskål
Harticka
Liten svartspik
Talltita
Tretåig hackspett
Vitgrynig nållav
Spillkråka
Fläcknycklar</t>
        </is>
      </c>
      <c r="W51">
        <f>HYPERLINK("https://klasma.github.io/Logging_2380/artfynd/A 28104-2026 artfynd.xlsx", "A 28104-2026")</f>
        <v/>
      </c>
      <c r="X51">
        <f>HYPERLINK("https://klasma.github.io/Logging_2380/kartor/A 28104-2026 karta.png", "A 28104-2026")</f>
        <v/>
      </c>
      <c r="Y51">
        <f>HYPERLINK("https://klasma.github.io/Logging_2380/kartor_geotiff/A 28104-2026 georefererad karta.tif", "A 28104-2026")</f>
        <v/>
      </c>
      <c r="Z51">
        <f>HYPERLINK("https://klasma.github.io/Logging_2380/knärot/A 28104-2026 karta knärot.png", "A 28104-2026")</f>
        <v/>
      </c>
      <c r="AA51">
        <f>HYPERLINK("https://klasma.github.io/Logging_2380/klagomål/A 28104-2026 FSC-klagomål.docx", "A 28104-2026")</f>
        <v/>
      </c>
      <c r="AB51">
        <f>HYPERLINK("https://klasma.github.io/Logging_2380/klagomålsmail/A 28104-2026 FSC-klagomål mail.docx", "A 28104-2026")</f>
        <v/>
      </c>
      <c r="AC51">
        <f>HYPERLINK("https://klasma.github.io/Logging_2380/tillsyn/A 28104-2026 tillsynsbegäran.docx", "A 28104-2026")</f>
        <v/>
      </c>
      <c r="AD51">
        <f>HYPERLINK("https://klasma.github.io/Logging_2380/tillsynsmail/A 28104-2026 tillsynsbegäran mail.docx", "A 28104-2026")</f>
        <v/>
      </c>
      <c r="AE51">
        <f>HYPERLINK("https://klasma.github.io/Logging_2380/fåglar/A 28104-2026 prioriterade fågelarter.docx", "A 28104-2026")</f>
        <v/>
      </c>
    </row>
    <row r="52" ht="15" customHeight="1">
      <c r="A52" t="inlineStr">
        <is>
          <t>A 44489-2024</t>
        </is>
      </c>
      <c r="B52" t="inlineStr">
        <is>
          <t>avverkningsanmälan</t>
        </is>
      </c>
      <c r="C52" t="inlineStr">
        <is>
          <t>Föryngringsavverkning</t>
        </is>
      </c>
      <c r="D52" s="1" t="n">
        <v>45574</v>
      </c>
      <c r="E52" s="1" t="n">
        <v>46259</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46259</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48959-2025</t>
        </is>
      </c>
      <c r="B54" t="inlineStr">
        <is>
          <t>avverkningsanmälan</t>
        </is>
      </c>
      <c r="C54" t="inlineStr">
        <is>
          <t>Föryngringsavverkning</t>
        </is>
      </c>
      <c r="D54" s="1" t="n">
        <v>45937</v>
      </c>
      <c r="E54" s="1" t="n">
        <v>46259</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34816-2024</t>
        </is>
      </c>
      <c r="B55" t="inlineStr">
        <is>
          <t>avverkningsanmälan</t>
        </is>
      </c>
      <c r="C55" t="inlineStr">
        <is>
          <t>Föryngringsavverkning</t>
        </is>
      </c>
      <c r="D55" s="1" t="n">
        <v>45526</v>
      </c>
      <c r="E55" s="1" t="n">
        <v>46259</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55314-2024</t>
        </is>
      </c>
      <c r="B56" t="inlineStr">
        <is>
          <t>avverkningsanmälan</t>
        </is>
      </c>
      <c r="C56" t="inlineStr">
        <is>
          <t>Föryngringsavverkning</t>
        </is>
      </c>
      <c r="D56" s="1" t="n">
        <v>45621</v>
      </c>
      <c r="E56" s="1" t="n">
        <v>46259</v>
      </c>
      <c r="F56" t="inlineStr">
        <is>
          <t>JÄMTLANDS LÄN</t>
        </is>
      </c>
      <c r="G56" t="inlineStr">
        <is>
          <t>ÖSTERSUND</t>
        </is>
      </c>
      <c r="I56" t="n">
        <v>14.2</v>
      </c>
      <c r="J56" t="n">
        <v>4</v>
      </c>
      <c r="K56" t="n">
        <v>3</v>
      </c>
      <c r="L56" t="n">
        <v>4</v>
      </c>
      <c r="M56" t="n">
        <v>1</v>
      </c>
      <c r="N56" t="n">
        <v>0</v>
      </c>
      <c r="O56" t="n">
        <v>0</v>
      </c>
      <c r="P56" t="n">
        <v>0</v>
      </c>
      <c r="Q56" t="n">
        <v>5</v>
      </c>
      <c r="R56" t="n">
        <v>1</v>
      </c>
      <c r="S56" t="n">
        <v>10</v>
      </c>
      <c r="T56" t="n">
        <v>54</v>
      </c>
      <c r="U56" t="n">
        <v>54</v>
      </c>
      <c r="V56" s="2" t="inlineStr">
        <is>
          <t>Garnlav
Lunglav
Skrovellav
Talltita
Tretåig hackspett
Bårdlav
Luddlav
Stuplav
Spillkråka
Tjäder</t>
        </is>
      </c>
      <c r="W56">
        <f>HYPERLINK("https://klasma.github.io/Logging_2380/artfynd/A 55314-2024 artfynd.xlsx", "A 55314-2024")</f>
        <v/>
      </c>
      <c r="X56">
        <f>HYPERLINK("https://klasma.github.io/Logging_2380/kartor/A 55314-2024 karta.png", "A 55314-2024")</f>
        <v/>
      </c>
      <c r="Y56">
        <f>HYPERLINK("https://klasma.github.io/Logging_2380/kartor_geotiff/A 55314-2024 georefererad karta.tif", "A 55314-2024")</f>
        <v/>
      </c>
      <c r="AA56">
        <f>HYPERLINK("https://klasma.github.io/Logging_2380/klagomål/A 55314-2024 FSC-klagomål.docx", "A 55314-2024")</f>
        <v/>
      </c>
      <c r="AB56">
        <f>HYPERLINK("https://klasma.github.io/Logging_2380/klagomålsmail/A 55314-2024 FSC-klagomål mail.docx", "A 55314-2024")</f>
        <v/>
      </c>
      <c r="AC56">
        <f>HYPERLINK("https://klasma.github.io/Logging_2380/tillsyn/A 55314-2024 tillsynsbegäran.docx", "A 55314-2024")</f>
        <v/>
      </c>
      <c r="AD56">
        <f>HYPERLINK("https://klasma.github.io/Logging_2380/tillsynsmail/A 55314-2024 tillsynsbegäran mail.docx", "A 55314-2024")</f>
        <v/>
      </c>
      <c r="AE56">
        <f>HYPERLINK("https://klasma.github.io/Logging_2380/fåglar/A 55314-2024 prioriterade fågelarter.docx", "A 55314-2024")</f>
        <v/>
      </c>
    </row>
    <row r="57" ht="15" customHeight="1">
      <c r="A57" t="inlineStr">
        <is>
          <t>A 19444-2026</t>
        </is>
      </c>
      <c r="B57" t="inlineStr">
        <is>
          <t>avverkningsanmälan</t>
        </is>
      </c>
      <c r="C57" t="inlineStr">
        <is>
          <t>Föryngringsavverkning</t>
        </is>
      </c>
      <c r="D57" s="1" t="n">
        <v>46133</v>
      </c>
      <c r="E57" s="1" t="n">
        <v>46259</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46259</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49056-2025</t>
        </is>
      </c>
      <c r="B59" t="inlineStr">
        <is>
          <t>avverkningsanmälan</t>
        </is>
      </c>
      <c r="C59" t="inlineStr">
        <is>
          <t>Föryngringsavverkning</t>
        </is>
      </c>
      <c r="D59" s="1" t="n">
        <v>45937</v>
      </c>
      <c r="E59" s="1" t="n">
        <v>46259</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26796-2024</t>
        </is>
      </c>
      <c r="B60" t="inlineStr">
        <is>
          <t>avverkningsanmälan</t>
        </is>
      </c>
      <c r="C60" t="inlineStr">
        <is>
          <t>Föryngringsavverkning</t>
        </is>
      </c>
      <c r="D60" s="1" t="n">
        <v>45470</v>
      </c>
      <c r="E60" s="1" t="n">
        <v>46259</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46259</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51908-2025</t>
        </is>
      </c>
      <c r="B62" t="inlineStr">
        <is>
          <t>avverkningsanmälan</t>
        </is>
      </c>
      <c r="C62" t="inlineStr">
        <is>
          <t>Föryngringsavverkning</t>
        </is>
      </c>
      <c r="D62" s="1" t="n">
        <v>45952</v>
      </c>
      <c r="E62" s="1" t="n">
        <v>46259</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61766-2024</t>
        </is>
      </c>
      <c r="B63" t="inlineStr">
        <is>
          <t>avverkningsanmälan</t>
        </is>
      </c>
      <c r="C63" t="inlineStr">
        <is>
          <t>Föryngringsavverkning</t>
        </is>
      </c>
      <c r="D63" s="1" t="n">
        <v>45649</v>
      </c>
      <c r="E63" s="1" t="n">
        <v>46259</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40777-2023</t>
        </is>
      </c>
      <c r="B64" t="inlineStr">
        <is>
          <t>avverkningsanmälan</t>
        </is>
      </c>
      <c r="C64" t="inlineStr">
        <is>
          <t>Avverkning för att bevara och utveckla /försöksver</t>
        </is>
      </c>
      <c r="D64" s="1" t="n">
        <v>45170</v>
      </c>
      <c r="E64" s="1" t="n">
        <v>46259</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7710-2024</t>
        </is>
      </c>
      <c r="B65" t="inlineStr">
        <is>
          <t>avverkningsanmälan</t>
        </is>
      </c>
      <c r="C65" t="inlineStr">
        <is>
          <t>Föryngringsavverkning</t>
        </is>
      </c>
      <c r="D65" s="1" t="n">
        <v>45349</v>
      </c>
      <c r="E65" s="1" t="n">
        <v>46259</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10196-2026</t>
        </is>
      </c>
      <c r="B66" t="inlineStr">
        <is>
          <t>avverkningsanmälan</t>
        </is>
      </c>
      <c r="C66" t="inlineStr">
        <is>
          <t>Föryngringsavverkning</t>
        </is>
      </c>
      <c r="D66" s="1" t="n">
        <v>46076</v>
      </c>
      <c r="E66" s="1" t="n">
        <v>46259</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46259</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46259</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40815-2025</t>
        </is>
      </c>
      <c r="B69" t="inlineStr">
        <is>
          <t>avverkningsanmälan</t>
        </is>
      </c>
      <c r="C69" t="inlineStr">
        <is>
          <t>Avverkning för annat ändamål</t>
        </is>
      </c>
      <c r="D69" s="1" t="n">
        <v>45897</v>
      </c>
      <c r="E69" s="1" t="n">
        <v>46259</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60614-2022</t>
        </is>
      </c>
      <c r="B70" t="inlineStr">
        <is>
          <t>avverkningsanmälan</t>
        </is>
      </c>
      <c r="C70" t="inlineStr">
        <is>
          <t>Föryngringsavverkning</t>
        </is>
      </c>
      <c r="D70" s="1" t="n">
        <v>44911</v>
      </c>
      <c r="E70" s="1" t="n">
        <v>46259</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A 3512-2026</t>
        </is>
      </c>
      <c r="B71" t="inlineStr">
        <is>
          <t>avverkningsanmälan</t>
        </is>
      </c>
      <c r="C71" t="inlineStr">
        <is>
          <t>Föryngringsavverkning</t>
        </is>
      </c>
      <c r="D71" s="1" t="n">
        <v>46042</v>
      </c>
      <c r="E71" s="1" t="n">
        <v>46259</v>
      </c>
      <c r="F71" t="inlineStr">
        <is>
          <t>JÄMTLANDS LÄN</t>
        </is>
      </c>
      <c r="G71" t="inlineStr">
        <is>
          <t>ÖSTERSUND</t>
        </is>
      </c>
      <c r="I71" t="n">
        <v>5.7</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HYPERLINK("https://klasma.github.io/Logging_2380/artfynd/A 3512-2026 artfynd.xlsx", "A 3512-2026")</f>
        <v/>
      </c>
      <c r="X71">
        <f>HYPERLINK("https://klasma.github.io/Logging_2380/kartor/A 3512-2026 karta.png", "A 3512-2026")</f>
        <v/>
      </c>
      <c r="Y71">
        <f>HYPERLINK("https://klasma.github.io/Logging_2380/kartor_geotiff/A 3512-2026 georefererad karta.tif", "A 3512-2026")</f>
        <v/>
      </c>
      <c r="AA71">
        <f>HYPERLINK("https://klasma.github.io/Logging_2380/klagomål/A 3512-2026 FSC-klagomål.docx", "A 3512-2026")</f>
        <v/>
      </c>
      <c r="AB71">
        <f>HYPERLINK("https://klasma.github.io/Logging_2380/klagomålsmail/A 3512-2026 FSC-klagomål mail.docx", "A 3512-2026")</f>
        <v/>
      </c>
      <c r="AC71">
        <f>HYPERLINK("https://klasma.github.io/Logging_2380/tillsyn/A 3512-2026 tillsynsbegäran.docx", "A 3512-2026")</f>
        <v/>
      </c>
      <c r="AD71">
        <f>HYPERLINK("https://klasma.github.io/Logging_2380/tillsynsmail/A 3512-2026 tillsynsbegäran mail.docx", "A 3512-2026")</f>
        <v/>
      </c>
      <c r="AE71">
        <f>HYPERLINK("https://klasma.github.io/Logging_2380/fåglar/A 3512-2026 prioriterade fågelarter.docx", "A 3512-2026")</f>
        <v/>
      </c>
    </row>
    <row r="72" ht="15" customHeight="1">
      <c r="A72" t="inlineStr">
        <is>
          <t>S 3289-2025</t>
        </is>
      </c>
      <c r="B72" t="inlineStr">
        <is>
          <t>samrådsanmälan</t>
        </is>
      </c>
      <c r="C72" t="inlineStr">
        <is>
          <t>Annan skogsbruksåtgärd</t>
        </is>
      </c>
      <c r="D72" s="1" t="n">
        <v>45986</v>
      </c>
      <c r="E72" s="1" t="n">
        <v>46259</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46259</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46259</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46259</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46259</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17248-2026</t>
        </is>
      </c>
      <c r="B77" t="inlineStr">
        <is>
          <t>avverkningsanmälan</t>
        </is>
      </c>
      <c r="C77" t="inlineStr">
        <is>
          <t>Föryngringsavverkning</t>
        </is>
      </c>
      <c r="D77" s="1" t="n">
        <v>46119</v>
      </c>
      <c r="E77" s="1" t="n">
        <v>46259</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46259</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3894-2026</t>
        </is>
      </c>
      <c r="B79" t="inlineStr">
        <is>
          <t>avverkningsanmälan</t>
        </is>
      </c>
      <c r="C79" t="inlineStr">
        <is>
          <t>Föryngringsavverkning</t>
        </is>
      </c>
      <c r="D79" s="1" t="n">
        <v>46043</v>
      </c>
      <c r="E79" s="1" t="n">
        <v>46259</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46259</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52297-2025</t>
        </is>
      </c>
      <c r="B81" t="inlineStr">
        <is>
          <t>avverkningsanmälan</t>
        </is>
      </c>
      <c r="C81" t="inlineStr">
        <is>
          <t>Föryngringsavverkning</t>
        </is>
      </c>
      <c r="D81" s="1" t="n">
        <v>45953</v>
      </c>
      <c r="E81" s="1" t="n">
        <v>46259</v>
      </c>
      <c r="F81" t="inlineStr">
        <is>
          <t>JÄMTLANDS LÄN</t>
        </is>
      </c>
      <c r="G81" t="inlineStr">
        <is>
          <t>ÖSTERSUND</t>
        </is>
      </c>
      <c r="I81" t="n">
        <v>2.3</v>
      </c>
      <c r="J81" t="n">
        <v>3</v>
      </c>
      <c r="K81" t="n">
        <v>1</v>
      </c>
      <c r="L81" t="n">
        <v>4</v>
      </c>
      <c r="M81" t="n">
        <v>2</v>
      </c>
      <c r="N81" t="n">
        <v>0</v>
      </c>
      <c r="O81" t="n">
        <v>0</v>
      </c>
      <c r="P81" t="n">
        <v>0</v>
      </c>
      <c r="Q81" t="n">
        <v>6</v>
      </c>
      <c r="R81" t="n">
        <v>2</v>
      </c>
      <c r="S81" t="n">
        <v>7</v>
      </c>
      <c r="T81" t="n">
        <v>17</v>
      </c>
      <c r="U81" t="n">
        <v>17</v>
      </c>
      <c r="V81" s="2" t="inlineStr">
        <is>
          <t>Garnlav
Knärot
Harticka
Rosenticka
Talltita
Tretåig hackspett
Gullgröppa</t>
        </is>
      </c>
      <c r="W81">
        <f>HYPERLINK("https://klasma.github.io/Logging_2380/artfynd/A 52297-2025 artfynd.xlsx", "A 52297-2025")</f>
        <v/>
      </c>
      <c r="X81">
        <f>HYPERLINK("https://klasma.github.io/Logging_2380/kartor/A 52297-2025 karta.png", "A 52297-2025")</f>
        <v/>
      </c>
      <c r="Y81">
        <f>HYPERLINK("https://klasma.github.io/Logging_2380/kartor_geotiff/A 52297-2025 georefererad karta.tif", "A 52297-2025")</f>
        <v/>
      </c>
      <c r="Z81">
        <f>HYPERLINK("https://klasma.github.io/Logging_2380/knärot/A 52297-2025 karta knärot.png", "A 52297-2025")</f>
        <v/>
      </c>
      <c r="AA81">
        <f>HYPERLINK("https://klasma.github.io/Logging_2380/klagomål/A 52297-2025 FSC-klagomål.docx", "A 52297-2025")</f>
        <v/>
      </c>
      <c r="AB81">
        <f>HYPERLINK("https://klasma.github.io/Logging_2380/klagomålsmail/A 52297-2025 FSC-klagomål mail.docx", "A 52297-2025")</f>
        <v/>
      </c>
      <c r="AC81">
        <f>HYPERLINK("https://klasma.github.io/Logging_2380/tillsyn/A 52297-2025 tillsynsbegäran.docx", "A 52297-2025")</f>
        <v/>
      </c>
      <c r="AD81">
        <f>HYPERLINK("https://klasma.github.io/Logging_2380/tillsynsmail/A 52297-2025 tillsynsbegäran mail.docx", "A 52297-2025")</f>
        <v/>
      </c>
      <c r="AE81">
        <f>HYPERLINK("https://klasma.github.io/Logging_2380/fåglar/A 52297-2025 prioriterade fågelarter.docx", "A 52297-2025")</f>
        <v/>
      </c>
    </row>
    <row r="82" ht="15" customHeight="1">
      <c r="A82" t="inlineStr">
        <is>
          <t>A 39586-2025</t>
        </is>
      </c>
      <c r="B82" t="inlineStr">
        <is>
          <t>avverkningsanmälan</t>
        </is>
      </c>
      <c r="C82" t="inlineStr">
        <is>
          <t>Föryngringsavverkning</t>
        </is>
      </c>
      <c r="D82" s="1" t="n">
        <v>45890</v>
      </c>
      <c r="E82" s="1" t="n">
        <v>46259</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56648-2025</t>
        </is>
      </c>
      <c r="B83" t="inlineStr">
        <is>
          <t>avverkningsanmälan</t>
        </is>
      </c>
      <c r="C83" t="inlineStr">
        <is>
          <t>Föryngringsavverkning</t>
        </is>
      </c>
      <c r="D83" s="1" t="n">
        <v>45975</v>
      </c>
      <c r="E83" s="1" t="n">
        <v>46259</v>
      </c>
      <c r="F83" t="inlineStr">
        <is>
          <t>JÄMTLANDS LÄN</t>
        </is>
      </c>
      <c r="G83" t="inlineStr">
        <is>
          <t>ÖSTERSUND</t>
        </is>
      </c>
      <c r="I83" t="n">
        <v>4.3</v>
      </c>
      <c r="J83" t="n">
        <v>4</v>
      </c>
      <c r="K83" t="n">
        <v>1</v>
      </c>
      <c r="L83" t="n">
        <v>3</v>
      </c>
      <c r="M83" t="n">
        <v>1</v>
      </c>
      <c r="N83" t="n">
        <v>0</v>
      </c>
      <c r="O83" t="n">
        <v>0</v>
      </c>
      <c r="P83" t="n">
        <v>0</v>
      </c>
      <c r="Q83" t="n">
        <v>4</v>
      </c>
      <c r="R83" t="n">
        <v>1</v>
      </c>
      <c r="S83" t="n">
        <v>7</v>
      </c>
      <c r="T83" t="n">
        <v>56</v>
      </c>
      <c r="U83" t="n">
        <v>56</v>
      </c>
      <c r="V83" s="2" t="inlineStr">
        <is>
          <t>Garnlav
Talltita
Tretåig hackspett
Ullticka
Stuplav
Spillkråka
Revlummer</t>
        </is>
      </c>
      <c r="W83">
        <f>HYPERLINK("https://klasma.github.io/Logging_2380/artfynd/A 56648-2025 artfynd.xlsx", "A 56648-2025")</f>
        <v/>
      </c>
      <c r="X83">
        <f>HYPERLINK("https://klasma.github.io/Logging_2380/kartor/A 56648-2025 karta.png", "A 56648-2025")</f>
        <v/>
      </c>
      <c r="Y83">
        <f>HYPERLINK("https://klasma.github.io/Logging_2380/kartor_geotiff/A 56648-2025 georefererad karta.tif", "A 56648-2025")</f>
        <v/>
      </c>
      <c r="AA83">
        <f>HYPERLINK("https://klasma.github.io/Logging_2380/klagomål/A 56648-2025 FSC-klagomål.docx", "A 56648-2025")</f>
        <v/>
      </c>
      <c r="AB83">
        <f>HYPERLINK("https://klasma.github.io/Logging_2380/klagomålsmail/A 56648-2025 FSC-klagomål mail.docx", "A 56648-2025")</f>
        <v/>
      </c>
      <c r="AC83">
        <f>HYPERLINK("https://klasma.github.io/Logging_2380/tillsyn/A 56648-2025 tillsynsbegäran.docx", "A 56648-2025")</f>
        <v/>
      </c>
      <c r="AD83">
        <f>HYPERLINK("https://klasma.github.io/Logging_2380/tillsynsmail/A 56648-2025 tillsynsbegäran mail.docx", "A 56648-2025")</f>
        <v/>
      </c>
      <c r="AE83">
        <f>HYPERLINK("https://klasma.github.io/Logging_2380/fåglar/A 56648-2025 prioriterade fågelarter.docx", "A 56648-2025")</f>
        <v/>
      </c>
    </row>
    <row r="84" ht="15" customHeight="1">
      <c r="A84" t="inlineStr">
        <is>
          <t>A 48736-2025</t>
        </is>
      </c>
      <c r="B84" t="inlineStr">
        <is>
          <t>avverkningsanmälan</t>
        </is>
      </c>
      <c r="C84" t="inlineStr">
        <is>
          <t>Föryngringsavverkning</t>
        </is>
      </c>
      <c r="D84" s="1" t="n">
        <v>45936</v>
      </c>
      <c r="E84" s="1" t="n">
        <v>46259</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16369-2023</t>
        </is>
      </c>
      <c r="B85" t="inlineStr">
        <is>
          <t>avverkningsanmälan</t>
        </is>
      </c>
      <c r="C85" t="inlineStr">
        <is>
          <t>Föryngringsavverkning</t>
        </is>
      </c>
      <c r="D85" s="1" t="n">
        <v>45028</v>
      </c>
      <c r="E85" s="1" t="n">
        <v>46259</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A 26372-2025</t>
        </is>
      </c>
      <c r="B86" t="inlineStr">
        <is>
          <t>avverkningsanmälan</t>
        </is>
      </c>
      <c r="C86" t="inlineStr">
        <is>
          <t>Föryngringsavverkning</t>
        </is>
      </c>
      <c r="D86" s="1" t="n">
        <v>45806</v>
      </c>
      <c r="E86" s="1" t="n">
        <v>46259</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S 1113-2025</t>
        </is>
      </c>
      <c r="B87" t="inlineStr">
        <is>
          <t>samrådsanmälan</t>
        </is>
      </c>
      <c r="C87" t="inlineStr">
        <is>
          <t>Annan skogsbruksåtgärd</t>
        </is>
      </c>
      <c r="D87" s="1" t="n">
        <v>45751</v>
      </c>
      <c r="E87" s="1" t="n">
        <v>46259</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18338-2025</t>
        </is>
      </c>
      <c r="B88" t="inlineStr">
        <is>
          <t>avverkningsanmälan</t>
        </is>
      </c>
      <c r="C88" t="inlineStr">
        <is>
          <t>Föryngringsavverkning</t>
        </is>
      </c>
      <c r="D88" s="1" t="n">
        <v>45762</v>
      </c>
      <c r="E88" s="1" t="n">
        <v>46259</v>
      </c>
      <c r="F88" t="inlineStr">
        <is>
          <t>JÄMTLANDS LÄN</t>
        </is>
      </c>
      <c r="G88" t="inlineStr">
        <is>
          <t>ÖSTERSUND</t>
        </is>
      </c>
      <c r="H88" t="inlineStr">
        <is>
          <t>SCA</t>
        </is>
      </c>
      <c r="I88" t="n">
        <v>5.3</v>
      </c>
      <c r="J88" t="n">
        <v>1</v>
      </c>
      <c r="K88" t="n">
        <v>2</v>
      </c>
      <c r="L88" t="n">
        <v>3</v>
      </c>
      <c r="M88" t="n">
        <v>0</v>
      </c>
      <c r="N88" t="n">
        <v>0</v>
      </c>
      <c r="O88" t="n">
        <v>0</v>
      </c>
      <c r="P88" t="n">
        <v>0</v>
      </c>
      <c r="Q88" t="n">
        <v>3</v>
      </c>
      <c r="R88" t="n">
        <v>0</v>
      </c>
      <c r="S88" t="n">
        <v>6</v>
      </c>
      <c r="T88" t="n">
        <v>8</v>
      </c>
      <c r="U88" t="n">
        <v>0</v>
      </c>
      <c r="V88" s="2" t="inlineStr">
        <is>
          <t>Kolflarnlav
Oljetagging
Vedflamlav
Barkticka
Stor aspticka
Fläcknycklar</t>
        </is>
      </c>
      <c r="W88">
        <f>HYPERLINK("https://klasma.github.io/Logging_2380/artfynd/A 18338-2025 artfynd.xlsx", "A 18338-2025")</f>
        <v/>
      </c>
      <c r="X88">
        <f>HYPERLINK("https://klasma.github.io/Logging_2380/kartor/A 18338-2025 karta.png", "A 18338-2025")</f>
        <v/>
      </c>
      <c r="Y88">
        <f>HYPERLINK("https://klasma.github.io/Logging_2380/kartor_geotiff/A 18338-2025 georefererad karta.tif", "A 18338-2025")</f>
        <v/>
      </c>
      <c r="AA88">
        <f>HYPERLINK("https://klasma.github.io/Logging_2380/klagomål/A 18338-2025 FSC-klagomål.docx", "A 18338-2025")</f>
        <v/>
      </c>
      <c r="AB88">
        <f>HYPERLINK("https://klasma.github.io/Logging_2380/klagomålsmail/A 18338-2025 FSC-klagomål mail.docx", "A 18338-2025")</f>
        <v/>
      </c>
      <c r="AC88">
        <f>HYPERLINK("https://klasma.github.io/Logging_2380/tillsyn/A 18338-2025 tillsynsbegäran.docx", "A 18338-2025")</f>
        <v/>
      </c>
      <c r="AD88">
        <f>HYPERLINK("https://klasma.github.io/Logging_2380/tillsynsmail/A 18338-2025 tillsynsbegäran mail.docx", "A 18338-2025")</f>
        <v/>
      </c>
    </row>
    <row r="89" ht="15" customHeight="1">
      <c r="A89" t="inlineStr">
        <is>
          <t>A 26605-2025</t>
        </is>
      </c>
      <c r="B89" t="inlineStr">
        <is>
          <t>avverkningsanmälan</t>
        </is>
      </c>
      <c r="C89" t="inlineStr">
        <is>
          <t>Avverkning för annat ändamål</t>
        </is>
      </c>
      <c r="D89" s="1" t="n">
        <v>45809</v>
      </c>
      <c r="E89" s="1" t="n">
        <v>46259</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376-2023</t>
        </is>
      </c>
      <c r="B90" t="inlineStr">
        <is>
          <t>avverkningsanmälan</t>
        </is>
      </c>
      <c r="C90" t="inlineStr">
        <is>
          <t>Föryngringsavverkning</t>
        </is>
      </c>
      <c r="D90" s="1" t="n">
        <v>44929</v>
      </c>
      <c r="E90" s="1" t="n">
        <v>46259</v>
      </c>
      <c r="F90" t="inlineStr">
        <is>
          <t>JÄMTLANDS LÄN</t>
        </is>
      </c>
      <c r="G90" t="inlineStr">
        <is>
          <t>ÖSTERSUND</t>
        </is>
      </c>
      <c r="I90" t="n">
        <v>11.5</v>
      </c>
      <c r="J90" t="n">
        <v>2</v>
      </c>
      <c r="K90" t="n">
        <v>1</v>
      </c>
      <c r="L90" t="n">
        <v>3</v>
      </c>
      <c r="M90" t="n">
        <v>1</v>
      </c>
      <c r="N90" t="n">
        <v>0</v>
      </c>
      <c r="O90" t="n">
        <v>0</v>
      </c>
      <c r="P90" t="n">
        <v>0</v>
      </c>
      <c r="Q90" t="n">
        <v>4</v>
      </c>
      <c r="R90" t="n">
        <v>1</v>
      </c>
      <c r="S90" t="n">
        <v>6</v>
      </c>
      <c r="T90" t="n">
        <v>37</v>
      </c>
      <c r="U90" t="n">
        <v>37</v>
      </c>
      <c r="V90" s="2" t="inlineStr">
        <is>
          <t>Garnlav
Lunglav
Skrovellav
Tretåig hackspett
Stuplav
Spillkråka</t>
        </is>
      </c>
      <c r="W90">
        <f>HYPERLINK("https://klasma.github.io/Logging_2380/artfynd/A 376-2023 artfynd.xlsx", "A 376-2023")</f>
        <v/>
      </c>
      <c r="X90">
        <f>HYPERLINK("https://klasma.github.io/Logging_2380/kartor/A 376-2023 karta.png", "A 376-2023")</f>
        <v/>
      </c>
      <c r="Y90">
        <f>HYPERLINK("https://klasma.github.io/Logging_2380/kartor_geotiff/A 376-2023 georefererad karta.tif", "A 376-2023")</f>
        <v/>
      </c>
      <c r="AA90">
        <f>HYPERLINK("https://klasma.github.io/Logging_2380/klagomål/A 376-2023 FSC-klagomål.docx", "A 376-2023")</f>
        <v/>
      </c>
      <c r="AB90">
        <f>HYPERLINK("https://klasma.github.io/Logging_2380/klagomålsmail/A 376-2023 FSC-klagomål mail.docx", "A 376-2023")</f>
        <v/>
      </c>
      <c r="AC90">
        <f>HYPERLINK("https://klasma.github.io/Logging_2380/tillsyn/A 376-2023 tillsynsbegäran.docx", "A 376-2023")</f>
        <v/>
      </c>
      <c r="AD90">
        <f>HYPERLINK("https://klasma.github.io/Logging_2380/tillsynsmail/A 376-2023 tillsynsbegäran mail.docx", "A 376-2023")</f>
        <v/>
      </c>
      <c r="AE90">
        <f>HYPERLINK("https://klasma.github.io/Logging_2380/fåglar/A 376-2023 prioriterade fågelarter.docx", "A 376-2023")</f>
        <v/>
      </c>
    </row>
    <row r="91" ht="15" customHeight="1">
      <c r="A91" t="inlineStr">
        <is>
          <t>A 54731-2024</t>
        </is>
      </c>
      <c r="B91" t="inlineStr">
        <is>
          <t>avverkningsanmälan</t>
        </is>
      </c>
      <c r="C91" t="inlineStr">
        <is>
          <t>Föryngringsavverkning</t>
        </is>
      </c>
      <c r="D91" s="1" t="n">
        <v>45618</v>
      </c>
      <c r="E91" s="1" t="n">
        <v>46259</v>
      </c>
      <c r="F91" t="inlineStr">
        <is>
          <t>JÄMTLANDS LÄN</t>
        </is>
      </c>
      <c r="G91" t="inlineStr">
        <is>
          <t>ÖSTERSUND</t>
        </is>
      </c>
      <c r="H91" t="inlineStr">
        <is>
          <t>SCA</t>
        </is>
      </c>
      <c r="I91" t="n">
        <v>16.8</v>
      </c>
      <c r="J91" t="n">
        <v>2</v>
      </c>
      <c r="K91" t="n">
        <v>2</v>
      </c>
      <c r="L91" t="n">
        <v>3</v>
      </c>
      <c r="M91" t="n">
        <v>1</v>
      </c>
      <c r="N91" t="n">
        <v>0</v>
      </c>
      <c r="O91" t="n">
        <v>0</v>
      </c>
      <c r="P91" t="n">
        <v>0</v>
      </c>
      <c r="Q91" t="n">
        <v>4</v>
      </c>
      <c r="R91" t="n">
        <v>1</v>
      </c>
      <c r="S91" t="n">
        <v>6</v>
      </c>
      <c r="T91" t="n">
        <v>13</v>
      </c>
      <c r="U91" t="n">
        <v>1</v>
      </c>
      <c r="V91" s="2" t="inlineStr">
        <is>
          <t>Garnlav
Lunglav
Rödvingetrast
Ullticka
Kransrams
Tvåblad</t>
        </is>
      </c>
      <c r="W91">
        <f>HYPERLINK("https://klasma.github.io/Logging_2380/artfynd/A 54731-2024 artfynd.xlsx", "A 54731-2024")</f>
        <v/>
      </c>
      <c r="X91">
        <f>HYPERLINK("https://klasma.github.io/Logging_2380/kartor/A 54731-2024 karta.png", "A 54731-2024")</f>
        <v/>
      </c>
      <c r="Y91">
        <f>HYPERLINK("https://klasma.github.io/Logging_2380/kartor_geotiff/A 54731-2024 georefererad karta.tif", "A 54731-2024")</f>
        <v/>
      </c>
      <c r="AA91">
        <f>HYPERLINK("https://klasma.github.io/Logging_2380/klagomål/A 54731-2024 FSC-klagomål.docx", "A 54731-2024")</f>
        <v/>
      </c>
      <c r="AB91">
        <f>HYPERLINK("https://klasma.github.io/Logging_2380/klagomålsmail/A 54731-2024 FSC-klagomål mail.docx", "A 54731-2024")</f>
        <v/>
      </c>
      <c r="AC91">
        <f>HYPERLINK("https://klasma.github.io/Logging_2380/tillsyn/A 54731-2024 tillsynsbegäran.docx", "A 54731-2024")</f>
        <v/>
      </c>
      <c r="AD91">
        <f>HYPERLINK("https://klasma.github.io/Logging_2380/tillsynsmail/A 54731-2024 tillsynsbegäran mail.docx", "A 54731-2024")</f>
        <v/>
      </c>
      <c r="AE91">
        <f>HYPERLINK("https://klasma.github.io/Logging_2380/fåglar/A 54731-2024 prioriterade fågelarter.docx", "A 54731-2024")</f>
        <v/>
      </c>
    </row>
    <row r="92" ht="15" customHeight="1">
      <c r="A92" t="inlineStr">
        <is>
          <t>A 13767-2026</t>
        </is>
      </c>
      <c r="B92" t="inlineStr">
        <is>
          <t>avverkningsanmälan</t>
        </is>
      </c>
      <c r="C92" t="inlineStr">
        <is>
          <t>Föryngringsavverkning</t>
        </is>
      </c>
      <c r="D92" s="1" t="n">
        <v>46097</v>
      </c>
      <c r="E92" s="1" t="n">
        <v>46259</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t="n">
        <v>9</v>
      </c>
      <c r="V92" s="2" t="inlineStr">
        <is>
          <t>Fjällfotad fingersvamp
Läderdoftande fingersvamp
Kransrams
Stuplav
Svavelriska
Blåsippa</t>
        </is>
      </c>
      <c r="W92">
        <f>HYPERLINK("https://klasma.github.io/Logging_2380/artfynd/A 13767-2026 artfynd.xlsx", "A 13767-2026")</f>
        <v/>
      </c>
      <c r="X92">
        <f>HYPERLINK("https://klasma.github.io/Logging_2380/kartor/A 13767-2026 karta.png", "A 13767-2026")</f>
        <v/>
      </c>
      <c r="Y92">
        <f>HYPERLINK("https://klasma.github.io/Logging_2380/kartor_geotiff/A 13767-2026 georefererad karta.tif", "A 13767-2026")</f>
        <v/>
      </c>
      <c r="AA92">
        <f>HYPERLINK("https://klasma.github.io/Logging_2380/klagomål/A 13767-2026 FSC-klagomål.docx", "A 13767-2026")</f>
        <v/>
      </c>
      <c r="AB92">
        <f>HYPERLINK("https://klasma.github.io/Logging_2380/klagomålsmail/A 13767-2026 FSC-klagomål mail.docx", "A 13767-2026")</f>
        <v/>
      </c>
      <c r="AC92">
        <f>HYPERLINK("https://klasma.github.io/Logging_2380/tillsyn/A 13767-2026 tillsynsbegäran.docx", "A 13767-2026")</f>
        <v/>
      </c>
      <c r="AD92">
        <f>HYPERLINK("https://klasma.github.io/Logging_2380/tillsynsmail/A 13767-2026 tillsynsbegäran mail.docx", "A 13767-2026")</f>
        <v/>
      </c>
    </row>
    <row r="93" ht="15" customHeight="1">
      <c r="A93" t="inlineStr">
        <is>
          <t>A 8610-2026</t>
        </is>
      </c>
      <c r="B93" t="inlineStr">
        <is>
          <t>avverkningsanmälan</t>
        </is>
      </c>
      <c r="C93" t="inlineStr">
        <is>
          <t>Föryngringsavverkning</t>
        </is>
      </c>
      <c r="D93" s="1" t="n">
        <v>46065</v>
      </c>
      <c r="E93" s="1" t="n">
        <v>46259</v>
      </c>
      <c r="F93" t="inlineStr">
        <is>
          <t>JÄMTLANDS LÄN</t>
        </is>
      </c>
      <c r="G93" t="inlineStr">
        <is>
          <t>ÖSTERSUND</t>
        </is>
      </c>
      <c r="I93" t="n">
        <v>2.1</v>
      </c>
      <c r="J93" t="n">
        <v>4</v>
      </c>
      <c r="K93" t="n">
        <v>0</v>
      </c>
      <c r="L93" t="n">
        <v>2</v>
      </c>
      <c r="M93" t="n">
        <v>0</v>
      </c>
      <c r="N93" t="n">
        <v>0</v>
      </c>
      <c r="O93" t="n">
        <v>0</v>
      </c>
      <c r="P93" t="n">
        <v>0</v>
      </c>
      <c r="Q93" t="n">
        <v>2</v>
      </c>
      <c r="R93" t="n">
        <v>0</v>
      </c>
      <c r="S93" t="n">
        <v>6</v>
      </c>
      <c r="T93" t="n">
        <v>8</v>
      </c>
      <c r="U93" t="n">
        <v>8</v>
      </c>
      <c r="V93" s="2" t="inlineStr">
        <is>
          <t>Björktrast
Rödvingetrast
Kransmossa
Ormbär
Kungsfågel
Svartvit flugsnappare</t>
        </is>
      </c>
      <c r="W93">
        <f>HYPERLINK("https://klasma.github.io/Logging_2380/artfynd/A 8610-2026 artfynd.xlsx", "A 8610-2026")</f>
        <v/>
      </c>
      <c r="X93">
        <f>HYPERLINK("https://klasma.github.io/Logging_2380/kartor/A 8610-2026 karta.png", "A 8610-2026")</f>
        <v/>
      </c>
      <c r="Y93">
        <f>HYPERLINK("https://klasma.github.io/Logging_2380/kartor_geotiff/A 8610-2026 georefererad karta.tif", "A 8610-2026")</f>
        <v/>
      </c>
      <c r="AA93">
        <f>HYPERLINK("https://klasma.github.io/Logging_2380/klagomål/A 8610-2026 FSC-klagomål.docx", "A 8610-2026")</f>
        <v/>
      </c>
      <c r="AB93">
        <f>HYPERLINK("https://klasma.github.io/Logging_2380/klagomålsmail/A 8610-2026 FSC-klagomål mail.docx", "A 8610-2026")</f>
        <v/>
      </c>
      <c r="AC93">
        <f>HYPERLINK("https://klasma.github.io/Logging_2380/tillsyn/A 8610-2026 tillsynsbegäran.docx", "A 8610-2026")</f>
        <v/>
      </c>
      <c r="AD93">
        <f>HYPERLINK("https://klasma.github.io/Logging_2380/tillsynsmail/A 8610-2026 tillsynsbegäran mail.docx", "A 8610-2026")</f>
        <v/>
      </c>
      <c r="AE93">
        <f>HYPERLINK("https://klasma.github.io/Logging_2380/fåglar/A 8610-2026 prioriterade fågelarter.docx", "A 8610-2026")</f>
        <v/>
      </c>
    </row>
    <row r="94" ht="15" customHeight="1">
      <c r="A94" t="inlineStr">
        <is>
          <t>A 54608-2023</t>
        </is>
      </c>
      <c r="B94" t="inlineStr">
        <is>
          <t>avverkningsanmälan</t>
        </is>
      </c>
      <c r="C94" t="inlineStr">
        <is>
          <t>Föryngringsavverkning</t>
        </is>
      </c>
      <c r="D94" s="1" t="n">
        <v>45233</v>
      </c>
      <c r="E94" s="1" t="n">
        <v>46259</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27985-2026</t>
        </is>
      </c>
      <c r="B95" t="inlineStr">
        <is>
          <t>avverkningsanmälan</t>
        </is>
      </c>
      <c r="C95" t="inlineStr">
        <is>
          <t>Föryngringsavverkning</t>
        </is>
      </c>
      <c r="D95" s="1" t="n">
        <v>46195</v>
      </c>
      <c r="E95" s="1" t="n">
        <v>46259</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62060-2025</t>
        </is>
      </c>
      <c r="B96" t="inlineStr">
        <is>
          <t>avverkningsanmälan</t>
        </is>
      </c>
      <c r="C96" t="inlineStr">
        <is>
          <t>Föryngringsavverkning</t>
        </is>
      </c>
      <c r="D96" s="1" t="n">
        <v>46006</v>
      </c>
      <c r="E96" s="1" t="n">
        <v>46259</v>
      </c>
      <c r="F96" t="inlineStr">
        <is>
          <t>JÄMTLANDS LÄN</t>
        </is>
      </c>
      <c r="G96" t="inlineStr">
        <is>
          <t>ÖSTERSUND</t>
        </is>
      </c>
      <c r="H96" t="inlineStr">
        <is>
          <t>SCA</t>
        </is>
      </c>
      <c r="I96" t="n">
        <v>6</v>
      </c>
      <c r="J96" t="n">
        <v>1</v>
      </c>
      <c r="K96" t="n">
        <v>0</v>
      </c>
      <c r="L96" t="n">
        <v>4</v>
      </c>
      <c r="M96" t="n">
        <v>2</v>
      </c>
      <c r="N96" t="n">
        <v>0</v>
      </c>
      <c r="O96" t="n">
        <v>0</v>
      </c>
      <c r="P96" t="n">
        <v>0</v>
      </c>
      <c r="Q96" t="n">
        <v>6</v>
      </c>
      <c r="R96" t="n">
        <v>2</v>
      </c>
      <c r="S96" t="n">
        <v>6</v>
      </c>
      <c r="T96" t="n">
        <v>13</v>
      </c>
      <c r="U96" t="n">
        <v>0</v>
      </c>
      <c r="V96" s="2" t="inlineStr">
        <is>
          <t>Fläckporing
Skrovlig taggsvamp
Dropptaggsvamp
Fjällig taggsvamp s.str.
Skarp dropptaggsvamp
Tretåig hackspett</t>
        </is>
      </c>
      <c r="W96">
        <f>HYPERLINK("https://klasma.github.io/Logging_2380/artfynd/A 62060-2025 artfynd.xlsx", "A 62060-2025")</f>
        <v/>
      </c>
      <c r="X96">
        <f>HYPERLINK("https://klasma.github.io/Logging_2380/kartor/A 62060-2025 karta.png", "A 62060-2025")</f>
        <v/>
      </c>
      <c r="Y96">
        <f>HYPERLINK("https://klasma.github.io/Logging_2380/kartor_geotiff/A 62060-2025 georefererad karta.tif", "A 62060-2025")</f>
        <v/>
      </c>
      <c r="AA96">
        <f>HYPERLINK("https://klasma.github.io/Logging_2380/klagomål/A 62060-2025 FSC-klagomål.docx", "A 62060-2025")</f>
        <v/>
      </c>
      <c r="AB96">
        <f>HYPERLINK("https://klasma.github.io/Logging_2380/klagomålsmail/A 62060-2025 FSC-klagomål mail.docx", "A 62060-2025")</f>
        <v/>
      </c>
      <c r="AC96">
        <f>HYPERLINK("https://klasma.github.io/Logging_2380/tillsyn/A 62060-2025 tillsynsbegäran.docx", "A 62060-2025")</f>
        <v/>
      </c>
      <c r="AD96">
        <f>HYPERLINK("https://klasma.github.io/Logging_2380/tillsynsmail/A 62060-2025 tillsynsbegäran mail.docx", "A 62060-2025")</f>
        <v/>
      </c>
      <c r="AE96">
        <f>HYPERLINK("https://klasma.github.io/Logging_2380/fåglar/A 62060-2025 prioriterade fågelarter.docx", "A 62060-2025")</f>
        <v/>
      </c>
    </row>
    <row r="97" ht="15" customHeight="1">
      <c r="A97" t="inlineStr">
        <is>
          <t>A 62696-2025</t>
        </is>
      </c>
      <c r="B97" t="inlineStr">
        <is>
          <t>avverkningsanmälan</t>
        </is>
      </c>
      <c r="C97" t="inlineStr">
        <is>
          <t>Föryngringsavverkning</t>
        </is>
      </c>
      <c r="D97" s="1" t="n">
        <v>46008</v>
      </c>
      <c r="E97" s="1" t="n">
        <v>46259</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7439-2026</t>
        </is>
      </c>
      <c r="B98" t="inlineStr">
        <is>
          <t>avverkningsanmälan</t>
        </is>
      </c>
      <c r="C98" t="inlineStr">
        <is>
          <t>Föryngringsavverkning</t>
        </is>
      </c>
      <c r="D98" s="1" t="n">
        <v>46059</v>
      </c>
      <c r="E98" s="1" t="n">
        <v>46259</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t="n">
        <v>7</v>
      </c>
      <c r="V98" s="2" t="inlineStr">
        <is>
          <t>Garnlav
Knärot
Silverblåvinge
Violett guldvinge
Tretåig hackspett
Spillkråka</t>
        </is>
      </c>
      <c r="W98">
        <f>HYPERLINK("https://klasma.github.io/Logging_2380/artfynd/A 7439-2026 artfynd.xlsx", "A 7439-2026")</f>
        <v/>
      </c>
      <c r="X98">
        <f>HYPERLINK("https://klasma.github.io/Logging_2380/kartor/A 7439-2026 karta.png", "A 7439-2026")</f>
        <v/>
      </c>
      <c r="Y98">
        <f>HYPERLINK("https://klasma.github.io/Logging_2380/kartor_geotiff/A 7439-2026 georefererad karta.tif", "A 7439-2026")</f>
        <v/>
      </c>
      <c r="Z98">
        <f>HYPERLINK("https://klasma.github.io/Logging_2380/knärot/A 7439-2026 karta knärot.png", "A 7439-2026")</f>
        <v/>
      </c>
      <c r="AA98">
        <f>HYPERLINK("https://klasma.github.io/Logging_2380/klagomål/A 7439-2026 FSC-klagomål.docx", "A 7439-2026")</f>
        <v/>
      </c>
      <c r="AB98">
        <f>HYPERLINK("https://klasma.github.io/Logging_2380/klagomålsmail/A 7439-2026 FSC-klagomål mail.docx", "A 7439-2026")</f>
        <v/>
      </c>
      <c r="AC98">
        <f>HYPERLINK("https://klasma.github.io/Logging_2380/tillsyn/A 7439-2026 tillsynsbegäran.docx", "A 7439-2026")</f>
        <v/>
      </c>
      <c r="AD98">
        <f>HYPERLINK("https://klasma.github.io/Logging_2380/tillsynsmail/A 7439-2026 tillsynsbegäran mail.docx", "A 7439-2026")</f>
        <v/>
      </c>
      <c r="AE98">
        <f>HYPERLINK("https://klasma.github.io/Logging_2380/fåglar/A 7439-2026 prioriterade fågelarter.docx", "A 7439-2026")</f>
        <v/>
      </c>
    </row>
    <row r="99" ht="15" customHeight="1">
      <c r="A99" t="inlineStr">
        <is>
          <t>A 53292-2025</t>
        </is>
      </c>
      <c r="B99" t="inlineStr">
        <is>
          <t>avverkningsanmälan</t>
        </is>
      </c>
      <c r="C99" t="inlineStr">
        <is>
          <t>Föryngringsavverkning</t>
        </is>
      </c>
      <c r="D99" s="1" t="n">
        <v>45958</v>
      </c>
      <c r="E99" s="1" t="n">
        <v>46259</v>
      </c>
      <c r="F99" t="inlineStr">
        <is>
          <t>JÄMTLANDS LÄN</t>
        </is>
      </c>
      <c r="G99" t="inlineStr">
        <is>
          <t>ÖSTERSUND</t>
        </is>
      </c>
      <c r="I99" t="n">
        <v>3</v>
      </c>
      <c r="J99" t="n">
        <v>5</v>
      </c>
      <c r="K99" t="n">
        <v>0</v>
      </c>
      <c r="L99" t="n">
        <v>1</v>
      </c>
      <c r="M99" t="n">
        <v>2</v>
      </c>
      <c r="N99" t="n">
        <v>0</v>
      </c>
      <c r="O99" t="n">
        <v>0</v>
      </c>
      <c r="P99" t="n">
        <v>0</v>
      </c>
      <c r="Q99" t="n">
        <v>3</v>
      </c>
      <c r="R99" t="n">
        <v>2</v>
      </c>
      <c r="S99" t="n">
        <v>6</v>
      </c>
      <c r="T99" t="n">
        <v>24</v>
      </c>
      <c r="U99" t="n">
        <v>0</v>
      </c>
      <c r="V99" s="2" t="inlineStr">
        <is>
          <t>Garnlav
Knärot
Talltita
Blåsippa
Kungsfågel
Revlummer</t>
        </is>
      </c>
      <c r="W99">
        <f>HYPERLINK("https://klasma.github.io/Logging_2380/artfynd/A 53292-2025 artfynd.xlsx", "A 53292-2025")</f>
        <v/>
      </c>
      <c r="X99">
        <f>HYPERLINK("https://klasma.github.io/Logging_2380/kartor/A 53292-2025 karta.png", "A 53292-2025")</f>
        <v/>
      </c>
      <c r="Y99">
        <f>HYPERLINK("https://klasma.github.io/Logging_2380/kartor_geotiff/A 53292-2025 georefererad karta.tif", "A 53292-2025")</f>
        <v/>
      </c>
      <c r="Z99">
        <f>HYPERLINK("https://klasma.github.io/Logging_2380/knärot/A 53292-2025 karta knärot.png", "A 53292-2025")</f>
        <v/>
      </c>
      <c r="AA99">
        <f>HYPERLINK("https://klasma.github.io/Logging_2380/klagomål/A 53292-2025 FSC-klagomål.docx", "A 53292-2025")</f>
        <v/>
      </c>
      <c r="AB99">
        <f>HYPERLINK("https://klasma.github.io/Logging_2380/klagomålsmail/A 53292-2025 FSC-klagomål mail.docx", "A 53292-2025")</f>
        <v/>
      </c>
      <c r="AC99">
        <f>HYPERLINK("https://klasma.github.io/Logging_2380/tillsyn/A 53292-2025 tillsynsbegäran.docx", "A 53292-2025")</f>
        <v/>
      </c>
      <c r="AD99">
        <f>HYPERLINK("https://klasma.github.io/Logging_2380/tillsynsmail/A 53292-2025 tillsynsbegäran mail.docx", "A 53292-2025")</f>
        <v/>
      </c>
      <c r="AE99">
        <f>HYPERLINK("https://klasma.github.io/Logging_2380/fåglar/A 53292-2025 prioriterade fågelarter.docx", "A 53292-2025")</f>
        <v/>
      </c>
    </row>
    <row r="100" ht="15" customHeight="1">
      <c r="A100" t="inlineStr">
        <is>
          <t>A 50529-2025</t>
        </is>
      </c>
      <c r="B100" t="inlineStr">
        <is>
          <t>avverkningsanmälan</t>
        </is>
      </c>
      <c r="C100" t="inlineStr">
        <is>
          <t>Föryngringsavverkning</t>
        </is>
      </c>
      <c r="D100" s="1" t="n">
        <v>45945</v>
      </c>
      <c r="E100" s="1" t="n">
        <v>46259</v>
      </c>
      <c r="F100" t="inlineStr">
        <is>
          <t>JÄMTLANDS LÄN</t>
        </is>
      </c>
      <c r="G100" t="inlineStr">
        <is>
          <t>ÖSTERSUND</t>
        </is>
      </c>
      <c r="I100" t="n">
        <v>7</v>
      </c>
      <c r="J100" t="n">
        <v>3</v>
      </c>
      <c r="K100" t="n">
        <v>2</v>
      </c>
      <c r="L100" t="n">
        <v>2</v>
      </c>
      <c r="M100" t="n">
        <v>2</v>
      </c>
      <c r="N100" t="n">
        <v>0</v>
      </c>
      <c r="O100" t="n">
        <v>0</v>
      </c>
      <c r="P100" t="n">
        <v>0</v>
      </c>
      <c r="Q100" t="n">
        <v>4</v>
      </c>
      <c r="R100" t="n">
        <v>2</v>
      </c>
      <c r="S100" t="n">
        <v>6</v>
      </c>
      <c r="T100" t="n">
        <v>17</v>
      </c>
      <c r="U100" t="n">
        <v>17</v>
      </c>
      <c r="V100" s="2" t="inlineStr">
        <is>
          <t>Garnlav
Knärot
Harticka
Tretåig hackspett
Korallrot
Ögonpyrola</t>
        </is>
      </c>
      <c r="W100">
        <f>HYPERLINK("https://klasma.github.io/Logging_2380/artfynd/A 50529-2025 artfynd.xlsx", "A 50529-2025")</f>
        <v/>
      </c>
      <c r="X100">
        <f>HYPERLINK("https://klasma.github.io/Logging_2380/kartor/A 50529-2025 karta.png", "A 50529-2025")</f>
        <v/>
      </c>
      <c r="Y100">
        <f>HYPERLINK("https://klasma.github.io/Logging_2380/kartor_geotiff/A 50529-2025 georefererad karta.tif", "A 50529-2025")</f>
        <v/>
      </c>
      <c r="Z100">
        <f>HYPERLINK("https://klasma.github.io/Logging_2380/knärot/A 50529-2025 karta knärot.png", "A 50529-2025")</f>
        <v/>
      </c>
      <c r="AA100">
        <f>HYPERLINK("https://klasma.github.io/Logging_2380/klagomål/A 50529-2025 FSC-klagomål.docx", "A 50529-2025")</f>
        <v/>
      </c>
      <c r="AB100">
        <f>HYPERLINK("https://klasma.github.io/Logging_2380/klagomålsmail/A 50529-2025 FSC-klagomål mail.docx", "A 50529-2025")</f>
        <v/>
      </c>
      <c r="AC100">
        <f>HYPERLINK("https://klasma.github.io/Logging_2380/tillsyn/A 50529-2025 tillsynsbegäran.docx", "A 50529-2025")</f>
        <v/>
      </c>
      <c r="AD100">
        <f>HYPERLINK("https://klasma.github.io/Logging_2380/tillsynsmail/A 50529-2025 tillsynsbegäran mail.docx", "A 50529-2025")</f>
        <v/>
      </c>
      <c r="AE100">
        <f>HYPERLINK("https://klasma.github.io/Logging_2380/fåglar/A 50529-2025 prioriterade fågelarter.docx", "A 50529-2025")</f>
        <v/>
      </c>
    </row>
    <row r="101" ht="15" customHeight="1">
      <c r="A101" t="inlineStr">
        <is>
          <t>A 39941-2024</t>
        </is>
      </c>
      <c r="B101" t="inlineStr">
        <is>
          <t>avverkningsanmälan</t>
        </is>
      </c>
      <c r="C101" t="inlineStr">
        <is>
          <t>Föryngringsavverkning</t>
        </is>
      </c>
      <c r="D101" s="1" t="n">
        <v>45553</v>
      </c>
      <c r="E101" s="1" t="n">
        <v>46259</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48947-2021</t>
        </is>
      </c>
      <c r="B102" t="inlineStr">
        <is>
          <t>avverkningsanmälan</t>
        </is>
      </c>
      <c r="C102" t="inlineStr">
        <is>
          <t>Föryngringsavverkning</t>
        </is>
      </c>
      <c r="D102" s="1" t="n">
        <v>44453</v>
      </c>
      <c r="E102" s="1" t="n">
        <v>46259</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46259</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46259</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63930-2023</t>
        </is>
      </c>
      <c r="B105" t="inlineStr">
        <is>
          <t>avverkningsanmälan</t>
        </is>
      </c>
      <c r="C105" t="inlineStr">
        <is>
          <t>Föryngringsavverkning</t>
        </is>
      </c>
      <c r="D105" s="1" t="n">
        <v>45278</v>
      </c>
      <c r="E105" s="1" t="n">
        <v>46259</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t="n">
        <v>0</v>
      </c>
      <c r="V105" s="2" t="inlineStr">
        <is>
          <t>Gultoppig fingersvamp
Lunglav
Strimspindling
Svart trolldruva
Svavelriska</t>
        </is>
      </c>
      <c r="W105">
        <f>HYPERLINK("https://klasma.github.io/Logging_2380/artfynd/A 63930-2023 artfynd.xlsx", "A 63930-2023")</f>
        <v/>
      </c>
      <c r="X105">
        <f>HYPERLINK("https://klasma.github.io/Logging_2380/kartor/A 63930-2023 karta.png", "A 63930-2023")</f>
        <v/>
      </c>
      <c r="Y105">
        <f>HYPERLINK("https://klasma.github.io/Logging_2380/kartor_geotiff/A 63930-2023 georefererad karta.tif", "A 63930-2023")</f>
        <v/>
      </c>
      <c r="AA105">
        <f>HYPERLINK("https://klasma.github.io/Logging_2380/klagomål/A 63930-2023 FSC-klagomål.docx", "A 63930-2023")</f>
        <v/>
      </c>
      <c r="AB105">
        <f>HYPERLINK("https://klasma.github.io/Logging_2380/klagomålsmail/A 63930-2023 FSC-klagomål mail.docx", "A 63930-2023")</f>
        <v/>
      </c>
      <c r="AC105">
        <f>HYPERLINK("https://klasma.github.io/Logging_2380/tillsyn/A 63930-2023 tillsynsbegäran.docx", "A 63930-2023")</f>
        <v/>
      </c>
      <c r="AD105">
        <f>HYPERLINK("https://klasma.github.io/Logging_2380/tillsynsmail/A 63930-2023 tillsynsbegäran mail.docx", "A 63930-2023")</f>
        <v/>
      </c>
    </row>
    <row r="106" ht="15" customHeight="1">
      <c r="A106" t="inlineStr">
        <is>
          <t>A 7698-2024</t>
        </is>
      </c>
      <c r="B106" t="inlineStr">
        <is>
          <t>avverkningsanmälan</t>
        </is>
      </c>
      <c r="C106" t="inlineStr">
        <is>
          <t>Föryngringsavverkning</t>
        </is>
      </c>
      <c r="D106" s="1" t="n">
        <v>45349</v>
      </c>
      <c r="E106" s="1" t="n">
        <v>46259</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46259</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20450-2026</t>
        </is>
      </c>
      <c r="B108" t="inlineStr">
        <is>
          <t>avverkningsanmälan</t>
        </is>
      </c>
      <c r="C108" t="inlineStr">
        <is>
          <t>Föryngringsavverkning</t>
        </is>
      </c>
      <c r="D108" s="1" t="n">
        <v>46140</v>
      </c>
      <c r="E108" s="1" t="n">
        <v>46259</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7717-2024</t>
        </is>
      </c>
      <c r="B109" t="inlineStr">
        <is>
          <t>avverkningsanmälan</t>
        </is>
      </c>
      <c r="C109" t="inlineStr">
        <is>
          <t>Föryngringsavverkning</t>
        </is>
      </c>
      <c r="D109" s="1" t="n">
        <v>45349</v>
      </c>
      <c r="E109" s="1" t="n">
        <v>46259</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56499-2025</t>
        </is>
      </c>
      <c r="B110" t="inlineStr">
        <is>
          <t>avverkningsanmälan</t>
        </is>
      </c>
      <c r="C110" t="inlineStr">
        <is>
          <t>Föryngringsavverkning</t>
        </is>
      </c>
      <c r="D110" s="1" t="n">
        <v>45975</v>
      </c>
      <c r="E110" s="1" t="n">
        <v>46259</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46259</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58372-2025</t>
        </is>
      </c>
      <c r="B112" t="inlineStr">
        <is>
          <t>avverkningsanmälan</t>
        </is>
      </c>
      <c r="C112" t="inlineStr">
        <is>
          <t>Föryngringsavverkning</t>
        </is>
      </c>
      <c r="D112" s="1" t="n">
        <v>45985</v>
      </c>
      <c r="E112" s="1" t="n">
        <v>46259</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46259</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1026-2026</t>
        </is>
      </c>
      <c r="B114" t="inlineStr">
        <is>
          <t>avverkningsanmälan</t>
        </is>
      </c>
      <c r="C114" t="inlineStr">
        <is>
          <t>Föryngringsavverkning</t>
        </is>
      </c>
      <c r="D114" s="1" t="n">
        <v>46030</v>
      </c>
      <c r="E114" s="1" t="n">
        <v>46259</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19520-2023</t>
        </is>
      </c>
      <c r="B115" t="inlineStr">
        <is>
          <t>avverkningsanmälan</t>
        </is>
      </c>
      <c r="C115" t="inlineStr">
        <is>
          <t>Föryngringsavverkning</t>
        </is>
      </c>
      <c r="D115" s="1" t="n">
        <v>45049</v>
      </c>
      <c r="E115" s="1" t="n">
        <v>46259</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25369-2024</t>
        </is>
      </c>
      <c r="B116" t="inlineStr">
        <is>
          <t>avverkningsanmälan</t>
        </is>
      </c>
      <c r="C116" t="inlineStr">
        <is>
          <t>Föryngringsavverkning</t>
        </is>
      </c>
      <c r="D116" s="1" t="n">
        <v>45462</v>
      </c>
      <c r="E116" s="1" t="n">
        <v>46259</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59793-2022</t>
        </is>
      </c>
      <c r="B117" t="inlineStr">
        <is>
          <t>avverkningsanmälan</t>
        </is>
      </c>
      <c r="C117" t="inlineStr">
        <is>
          <t>Föryngringsavverkning</t>
        </is>
      </c>
      <c r="D117" s="1" t="n">
        <v>44908</v>
      </c>
      <c r="E117" s="1" t="n">
        <v>46259</v>
      </c>
      <c r="F117" t="inlineStr">
        <is>
          <t>JÄMTLANDS LÄN</t>
        </is>
      </c>
      <c r="G117" t="inlineStr">
        <is>
          <t>ÖSTERSUND</t>
        </is>
      </c>
      <c r="I117" t="n">
        <v>23.3</v>
      </c>
      <c r="J117" t="n">
        <v>3</v>
      </c>
      <c r="K117" t="n">
        <v>2</v>
      </c>
      <c r="L117" t="n">
        <v>1</v>
      </c>
      <c r="M117" t="n">
        <v>0</v>
      </c>
      <c r="N117" t="n">
        <v>0</v>
      </c>
      <c r="O117" t="n">
        <v>0</v>
      </c>
      <c r="P117" t="n">
        <v>0</v>
      </c>
      <c r="Q117" t="n">
        <v>1</v>
      </c>
      <c r="R117" t="n">
        <v>0</v>
      </c>
      <c r="S117" t="n">
        <v>4</v>
      </c>
      <c r="T117" t="n">
        <v>6</v>
      </c>
      <c r="U117" t="n">
        <v>5</v>
      </c>
      <c r="V117" s="2" t="inlineStr">
        <is>
          <t>Majviva
Spindelblomster
Tvåblad
Fläcknycklar</t>
        </is>
      </c>
      <c r="W117">
        <f>HYPERLINK("https://klasma.github.io/Logging_2380/artfynd/A 59793-2022 artfynd.xlsx", "A 59793-2022")</f>
        <v/>
      </c>
      <c r="X117">
        <f>HYPERLINK("https://klasma.github.io/Logging_2380/kartor/A 59793-2022 karta.png", "A 59793-2022")</f>
        <v/>
      </c>
      <c r="Y117">
        <f>HYPERLINK("https://klasma.github.io/Logging_2380/kartor_geotiff/A 59793-2022 georefererad karta.tif", "A 59793-2022")</f>
        <v/>
      </c>
      <c r="AA117">
        <f>HYPERLINK("https://klasma.github.io/Logging_2380/klagomål/A 59793-2022 FSC-klagomål.docx", "A 59793-2022")</f>
        <v/>
      </c>
      <c r="AB117">
        <f>HYPERLINK("https://klasma.github.io/Logging_2380/klagomålsmail/A 59793-2022 FSC-klagomål mail.docx", "A 59793-2022")</f>
        <v/>
      </c>
      <c r="AC117">
        <f>HYPERLINK("https://klasma.github.io/Logging_2380/tillsyn/A 59793-2022 tillsynsbegäran.docx", "A 59793-2022")</f>
        <v/>
      </c>
      <c r="AD117">
        <f>HYPERLINK("https://klasma.github.io/Logging_2380/tillsynsmail/A 59793-2022 tillsynsbegäran mail.docx", "A 59793-2022")</f>
        <v/>
      </c>
    </row>
    <row r="118" ht="15" customHeight="1">
      <c r="A118" t="inlineStr">
        <is>
          <t>A 38334-2023</t>
        </is>
      </c>
      <c r="B118" t="inlineStr">
        <is>
          <t>avverkningsanmälan</t>
        </is>
      </c>
      <c r="C118" t="inlineStr">
        <is>
          <t>Föryngringsavverkning</t>
        </is>
      </c>
      <c r="D118" s="1" t="n">
        <v>45161</v>
      </c>
      <c r="E118" s="1" t="n">
        <v>46259</v>
      </c>
      <c r="F118" t="inlineStr">
        <is>
          <t>JÄMTLANDS LÄN</t>
        </is>
      </c>
      <c r="G118" t="inlineStr">
        <is>
          <t>ÖSTERSUND</t>
        </is>
      </c>
      <c r="I118" t="n">
        <v>10.5</v>
      </c>
      <c r="J118" t="n">
        <v>1</v>
      </c>
      <c r="K118" t="n">
        <v>0</v>
      </c>
      <c r="L118" t="n">
        <v>3</v>
      </c>
      <c r="M118" t="n">
        <v>1</v>
      </c>
      <c r="N118" t="n">
        <v>0</v>
      </c>
      <c r="O118" t="n">
        <v>0</v>
      </c>
      <c r="P118" t="n">
        <v>0</v>
      </c>
      <c r="Q118" t="n">
        <v>4</v>
      </c>
      <c r="R118" t="n">
        <v>1</v>
      </c>
      <c r="S118" t="n">
        <v>4</v>
      </c>
      <c r="T118" t="n">
        <v>4</v>
      </c>
      <c r="U118" t="n">
        <v>3</v>
      </c>
      <c r="V118" s="2" t="inlineStr">
        <is>
          <t>Violett fingersvamp
Harticka
Rynkskinn
Tretåig hackspett</t>
        </is>
      </c>
      <c r="W118">
        <f>HYPERLINK("https://klasma.github.io/Logging_2380/artfynd/A 38334-2023 artfynd.xlsx", "A 38334-2023")</f>
        <v/>
      </c>
      <c r="X118">
        <f>HYPERLINK("https://klasma.github.io/Logging_2380/kartor/A 38334-2023 karta.png", "A 38334-2023")</f>
        <v/>
      </c>
      <c r="Y118">
        <f>HYPERLINK("https://klasma.github.io/Logging_2380/kartor_geotiff/A 38334-2023 georefererad karta.tif", "A 38334-2023")</f>
        <v/>
      </c>
      <c r="AA118">
        <f>HYPERLINK("https://klasma.github.io/Logging_2380/klagomål/A 38334-2023 FSC-klagomål.docx", "A 38334-2023")</f>
        <v/>
      </c>
      <c r="AB118">
        <f>HYPERLINK("https://klasma.github.io/Logging_2380/klagomålsmail/A 38334-2023 FSC-klagomål mail.docx", "A 38334-2023")</f>
        <v/>
      </c>
      <c r="AC118">
        <f>HYPERLINK("https://klasma.github.io/Logging_2380/tillsyn/A 38334-2023 tillsynsbegäran.docx", "A 38334-2023")</f>
        <v/>
      </c>
      <c r="AD118">
        <f>HYPERLINK("https://klasma.github.io/Logging_2380/tillsynsmail/A 38334-2023 tillsynsbegäran mail.docx", "A 38334-2023")</f>
        <v/>
      </c>
      <c r="AE118">
        <f>HYPERLINK("https://klasma.github.io/Logging_2380/fåglar/A 38334-2023 prioriterade fågelarter.docx", "A 38334-2023")</f>
        <v/>
      </c>
    </row>
    <row r="119" ht="15" customHeight="1">
      <c r="A119" t="inlineStr">
        <is>
          <t>A 43883-2024</t>
        </is>
      </c>
      <c r="B119" t="inlineStr">
        <is>
          <t>avverkningsanmälan</t>
        </is>
      </c>
      <c r="C119" t="inlineStr">
        <is>
          <t>Avverkning för annat ändamål</t>
        </is>
      </c>
      <c r="D119" s="1" t="n">
        <v>45570</v>
      </c>
      <c r="E119" s="1" t="n">
        <v>46259</v>
      </c>
      <c r="F119" t="inlineStr">
        <is>
          <t>JÄMTLANDS LÄN</t>
        </is>
      </c>
      <c r="G119" t="inlineStr">
        <is>
          <t>ÖSTERSUND</t>
        </is>
      </c>
      <c r="I119" t="n">
        <v>3.8</v>
      </c>
      <c r="J119" t="n">
        <v>1</v>
      </c>
      <c r="K119" t="n">
        <v>1</v>
      </c>
      <c r="L119" t="n">
        <v>1</v>
      </c>
      <c r="M119" t="n">
        <v>1</v>
      </c>
      <c r="N119" t="n">
        <v>0</v>
      </c>
      <c r="O119" t="n">
        <v>0</v>
      </c>
      <c r="P119" t="n">
        <v>0</v>
      </c>
      <c r="Q119" t="n">
        <v>2</v>
      </c>
      <c r="R119" t="n">
        <v>1</v>
      </c>
      <c r="S119" t="n">
        <v>4</v>
      </c>
      <c r="T119" t="n">
        <v>8</v>
      </c>
      <c r="U119" t="n">
        <v>5</v>
      </c>
      <c r="V119" s="2" t="inlineStr">
        <is>
          <t>Frösöstarr
Ladlav
Svart trolldruva
Blåsippa</t>
        </is>
      </c>
      <c r="W119">
        <f>HYPERLINK("https://klasma.github.io/Logging_2380/artfynd/A 43883-2024 artfynd.xlsx", "A 43883-2024")</f>
        <v/>
      </c>
      <c r="X119">
        <f>HYPERLINK("https://klasma.github.io/Logging_2380/kartor/A 43883-2024 karta.png", "A 43883-2024")</f>
        <v/>
      </c>
      <c r="Y119">
        <f>HYPERLINK("https://klasma.github.io/Logging_2380/kartor_geotiff/A 43883-2024 georefererad karta.tif", "A 43883-2024")</f>
        <v/>
      </c>
      <c r="AA119">
        <f>HYPERLINK("https://klasma.github.io/Logging_2380/klagomål/A 43883-2024 FSC-klagomål.docx", "A 43883-2024")</f>
        <v/>
      </c>
      <c r="AB119">
        <f>HYPERLINK("https://klasma.github.io/Logging_2380/klagomålsmail/A 43883-2024 FSC-klagomål mail.docx", "A 43883-2024")</f>
        <v/>
      </c>
      <c r="AC119">
        <f>HYPERLINK("https://klasma.github.io/Logging_2380/tillsyn/A 43883-2024 tillsynsbegäran.docx", "A 43883-2024")</f>
        <v/>
      </c>
      <c r="AD119">
        <f>HYPERLINK("https://klasma.github.io/Logging_2380/tillsynsmail/A 43883-2024 tillsynsbegäran mail.docx", "A 43883-2024")</f>
        <v/>
      </c>
    </row>
    <row r="120" ht="15" customHeight="1">
      <c r="A120" t="inlineStr">
        <is>
          <t>A 55344-2023</t>
        </is>
      </c>
      <c r="B120" t="inlineStr">
        <is>
          <t>avverkningsanmälan</t>
        </is>
      </c>
      <c r="C120" t="inlineStr">
        <is>
          <t>Föryngringsavverkning</t>
        </is>
      </c>
      <c r="D120" s="1" t="n">
        <v>45237</v>
      </c>
      <c r="E120" s="1" t="n">
        <v>46259</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46259</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29135-2022</t>
        </is>
      </c>
      <c r="B122" t="inlineStr">
        <is>
          <t>avverkningsanmälan</t>
        </is>
      </c>
      <c r="C122" t="inlineStr">
        <is>
          <t>Föryngringsavverkning</t>
        </is>
      </c>
      <c r="D122" s="1" t="n">
        <v>44750</v>
      </c>
      <c r="E122" s="1" t="n">
        <v>46259</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59291-2022</t>
        </is>
      </c>
      <c r="B123" t="inlineStr">
        <is>
          <t>avverkningsanmälan</t>
        </is>
      </c>
      <c r="C123" t="inlineStr">
        <is>
          <t>Föryngringsavverkning</t>
        </is>
      </c>
      <c r="D123" s="1" t="n">
        <v>44904</v>
      </c>
      <c r="E123" s="1" t="n">
        <v>46259</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47385-2022</t>
        </is>
      </c>
      <c r="B124" t="inlineStr">
        <is>
          <t>avverkningsanmälan</t>
        </is>
      </c>
      <c r="C124" t="inlineStr">
        <is>
          <t>Föryngringsavverkning</t>
        </is>
      </c>
      <c r="D124" s="1" t="n">
        <v>44853</v>
      </c>
      <c r="E124" s="1" t="n">
        <v>46259</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22965-2026</t>
        </is>
      </c>
      <c r="B125" t="inlineStr">
        <is>
          <t>avverkningsanmälan</t>
        </is>
      </c>
      <c r="C125" t="inlineStr">
        <is>
          <t>Avverkning för annat ändamål</t>
        </is>
      </c>
      <c r="D125" s="1" t="n">
        <v>46160</v>
      </c>
      <c r="E125" s="1" t="n">
        <v>46259</v>
      </c>
      <c r="F125" t="inlineStr">
        <is>
          <t>JÄMTLANDS LÄN</t>
        </is>
      </c>
      <c r="G125" t="inlineStr">
        <is>
          <t>ÖSTERSUND</t>
        </is>
      </c>
      <c r="I125" t="n">
        <v>2.4</v>
      </c>
      <c r="J125" t="n">
        <v>3</v>
      </c>
      <c r="K125" t="n">
        <v>1</v>
      </c>
      <c r="L125" t="n">
        <v>0</v>
      </c>
      <c r="M125" t="n">
        <v>1</v>
      </c>
      <c r="N125" t="n">
        <v>0</v>
      </c>
      <c r="O125" t="n">
        <v>0</v>
      </c>
      <c r="P125" t="n">
        <v>0</v>
      </c>
      <c r="Q125" t="n">
        <v>1</v>
      </c>
      <c r="R125" t="n">
        <v>1</v>
      </c>
      <c r="S125" t="n">
        <v>4</v>
      </c>
      <c r="T125" t="n">
        <v>5</v>
      </c>
      <c r="U125" t="n">
        <v>5</v>
      </c>
      <c r="V125" s="2" t="inlineStr">
        <is>
          <t>Knärot
Norrlandslav
Tjäder
Tofsmes</t>
        </is>
      </c>
      <c r="W125">
        <f>HYPERLINK("https://klasma.github.io/Logging_2380/artfynd/A 22965-2026 artfynd.xlsx", "A 22965-2026")</f>
        <v/>
      </c>
      <c r="X125">
        <f>HYPERLINK("https://klasma.github.io/Logging_2380/kartor/A 22965-2026 karta.png", "A 22965-2026")</f>
        <v/>
      </c>
      <c r="Y125">
        <f>HYPERLINK("https://klasma.github.io/Logging_2380/kartor_geotiff/A 22965-2026 georefererad karta.tif", "A 22965-2026")</f>
        <v/>
      </c>
      <c r="Z125">
        <f>HYPERLINK("https://klasma.github.io/Logging_2380/knärot/A 22965-2026 karta knärot.png", "A 22965-2026")</f>
        <v/>
      </c>
      <c r="AA125">
        <f>HYPERLINK("https://klasma.github.io/Logging_2380/klagomål/A 22965-2026 FSC-klagomål.docx", "A 22965-2026")</f>
        <v/>
      </c>
      <c r="AB125">
        <f>HYPERLINK("https://klasma.github.io/Logging_2380/klagomålsmail/A 22965-2026 FSC-klagomål mail.docx", "A 22965-2026")</f>
        <v/>
      </c>
      <c r="AC125">
        <f>HYPERLINK("https://klasma.github.io/Logging_2380/tillsyn/A 22965-2026 tillsynsbegäran.docx", "A 22965-2026")</f>
        <v/>
      </c>
      <c r="AD125">
        <f>HYPERLINK("https://klasma.github.io/Logging_2380/tillsynsmail/A 22965-2026 tillsynsbegäran mail.docx", "A 22965-2026")</f>
        <v/>
      </c>
      <c r="AE125">
        <f>HYPERLINK("https://klasma.github.io/Logging_2380/fåglar/A 22965-2026 prioriterade fågelarter.docx", "A 22965-2026")</f>
        <v/>
      </c>
    </row>
    <row r="126" ht="15" customHeight="1">
      <c r="A126" t="inlineStr">
        <is>
          <t>A 8423-2023</t>
        </is>
      </c>
      <c r="B126" t="inlineStr">
        <is>
          <t>avverkningsanmälan</t>
        </is>
      </c>
      <c r="C126" t="inlineStr">
        <is>
          <t>Avverkning för annat ändamål</t>
        </is>
      </c>
      <c r="D126" s="1" t="n">
        <v>44977</v>
      </c>
      <c r="E126" s="1" t="n">
        <v>46259</v>
      </c>
      <c r="F126" t="inlineStr">
        <is>
          <t>JÄMTLANDS LÄN</t>
        </is>
      </c>
      <c r="G126" t="inlineStr">
        <is>
          <t>ÖSTERSUND</t>
        </is>
      </c>
      <c r="H126" t="inlineStr">
        <is>
          <t>Övriga Aktiebolag</t>
        </is>
      </c>
      <c r="I126" t="n">
        <v>53.1</v>
      </c>
      <c r="J126" t="n">
        <v>1</v>
      </c>
      <c r="K126" t="n">
        <v>1</v>
      </c>
      <c r="L126" t="n">
        <v>1</v>
      </c>
      <c r="M126" t="n">
        <v>1</v>
      </c>
      <c r="N126" t="n">
        <v>0</v>
      </c>
      <c r="O126" t="n">
        <v>0</v>
      </c>
      <c r="P126" t="n">
        <v>0</v>
      </c>
      <c r="Q126" t="n">
        <v>2</v>
      </c>
      <c r="R126" t="n">
        <v>1</v>
      </c>
      <c r="S126" t="n">
        <v>4</v>
      </c>
      <c r="T126" t="n">
        <v>4</v>
      </c>
      <c r="U126" t="n">
        <v>4</v>
      </c>
      <c r="V126" s="2" t="inlineStr">
        <is>
          <t>Garnlav
Dvärgbägarlav
Stor aspticka
Nattviol</t>
        </is>
      </c>
      <c r="W126">
        <f>HYPERLINK("https://klasma.github.io/Logging_2380/artfynd/A 8423-2023 artfynd.xlsx", "A 8423-2023")</f>
        <v/>
      </c>
      <c r="X126">
        <f>HYPERLINK("https://klasma.github.io/Logging_2380/kartor/A 8423-2023 karta.png", "A 8423-2023")</f>
        <v/>
      </c>
      <c r="Y126">
        <f>HYPERLINK("https://klasma.github.io/Logging_2380/kartor_geotiff/A 8423-2023 georefererad karta.tif", "A 8423-2023")</f>
        <v/>
      </c>
      <c r="AA126">
        <f>HYPERLINK("https://klasma.github.io/Logging_2380/klagomål/A 8423-2023 FSC-klagomål.docx", "A 8423-2023")</f>
        <v/>
      </c>
      <c r="AB126">
        <f>HYPERLINK("https://klasma.github.io/Logging_2380/klagomålsmail/A 8423-2023 FSC-klagomål mail.docx", "A 8423-2023")</f>
        <v/>
      </c>
      <c r="AC126">
        <f>HYPERLINK("https://klasma.github.io/Logging_2380/tillsyn/A 8423-2023 tillsynsbegäran.docx", "A 8423-2023")</f>
        <v/>
      </c>
      <c r="AD126">
        <f>HYPERLINK("https://klasma.github.io/Logging_2380/tillsynsmail/A 8423-2023 tillsynsbegäran mail.docx", "A 8423-2023")</f>
        <v/>
      </c>
    </row>
    <row r="127" ht="15" customHeight="1">
      <c r="A127" t="inlineStr">
        <is>
          <t>A 56934-2025</t>
        </is>
      </c>
      <c r="B127" t="inlineStr">
        <is>
          <t>avverkningsanmälan</t>
        </is>
      </c>
      <c r="C127" t="inlineStr">
        <is>
          <t>Föryngringsavverkning</t>
        </is>
      </c>
      <c r="D127" s="1" t="n">
        <v>45978</v>
      </c>
      <c r="E127" s="1" t="n">
        <v>46259</v>
      </c>
      <c r="F127" t="inlineStr">
        <is>
          <t>JÄMTLANDS LÄN</t>
        </is>
      </c>
      <c r="G127" t="inlineStr">
        <is>
          <t>ÖSTERSUND</t>
        </is>
      </c>
      <c r="I127" t="n">
        <v>4.3</v>
      </c>
      <c r="J127" t="n">
        <v>2</v>
      </c>
      <c r="K127" t="n">
        <v>0</v>
      </c>
      <c r="L127" t="n">
        <v>2</v>
      </c>
      <c r="M127" t="n">
        <v>1</v>
      </c>
      <c r="N127" t="n">
        <v>0</v>
      </c>
      <c r="O127" t="n">
        <v>0</v>
      </c>
      <c r="P127" t="n">
        <v>0</v>
      </c>
      <c r="Q127" t="n">
        <v>3</v>
      </c>
      <c r="R127" t="n">
        <v>1</v>
      </c>
      <c r="S127" t="n">
        <v>4</v>
      </c>
      <c r="T127" t="n">
        <v>20</v>
      </c>
      <c r="U127" t="n">
        <v>20</v>
      </c>
      <c r="V127" s="2" t="inlineStr">
        <is>
          <t>Garnlav
Harticka
Talltita
Revlummer</t>
        </is>
      </c>
      <c r="W127">
        <f>HYPERLINK("https://klasma.github.io/Logging_2380/artfynd/A 56934-2025 artfynd.xlsx", "A 56934-2025")</f>
        <v/>
      </c>
      <c r="X127">
        <f>HYPERLINK("https://klasma.github.io/Logging_2380/kartor/A 56934-2025 karta.png", "A 56934-2025")</f>
        <v/>
      </c>
      <c r="Y127">
        <f>HYPERLINK("https://klasma.github.io/Logging_2380/kartor_geotiff/A 56934-2025 georefererad karta.tif", "A 56934-2025")</f>
        <v/>
      </c>
      <c r="AA127">
        <f>HYPERLINK("https://klasma.github.io/Logging_2380/klagomål/A 56934-2025 FSC-klagomål.docx", "A 56934-2025")</f>
        <v/>
      </c>
      <c r="AB127">
        <f>HYPERLINK("https://klasma.github.io/Logging_2380/klagomålsmail/A 56934-2025 FSC-klagomål mail.docx", "A 56934-2025")</f>
        <v/>
      </c>
      <c r="AC127">
        <f>HYPERLINK("https://klasma.github.io/Logging_2380/tillsyn/A 56934-2025 tillsynsbegäran.docx", "A 56934-2025")</f>
        <v/>
      </c>
      <c r="AD127">
        <f>HYPERLINK("https://klasma.github.io/Logging_2380/tillsynsmail/A 56934-2025 tillsynsbegäran mail.docx", "A 56934-2025")</f>
        <v/>
      </c>
      <c r="AE127">
        <f>HYPERLINK("https://klasma.github.io/Logging_2380/fåglar/A 56934-2025 prioriterade fågelarter.docx", "A 56934-2025")</f>
        <v/>
      </c>
    </row>
    <row r="128" ht="15" customHeight="1">
      <c r="A128" t="inlineStr">
        <is>
          <t>A 10529-2025</t>
        </is>
      </c>
      <c r="B128" t="inlineStr">
        <is>
          <t>avverkningsanmälan</t>
        </is>
      </c>
      <c r="C128" t="inlineStr">
        <is>
          <t>Föryngringsavverkning</t>
        </is>
      </c>
      <c r="D128" s="1" t="n">
        <v>45721</v>
      </c>
      <c r="E128" s="1" t="n">
        <v>46259</v>
      </c>
      <c r="F128" t="inlineStr">
        <is>
          <t>JÄMTLANDS LÄN</t>
        </is>
      </c>
      <c r="G128" t="inlineStr">
        <is>
          <t>ÖSTERSUND</t>
        </is>
      </c>
      <c r="H128" t="inlineStr">
        <is>
          <t>SCA</t>
        </is>
      </c>
      <c r="I128" t="n">
        <v>1.4</v>
      </c>
      <c r="J128" t="n">
        <v>1</v>
      </c>
      <c r="K128" t="n">
        <v>2</v>
      </c>
      <c r="L128" t="n">
        <v>0</v>
      </c>
      <c r="M128" t="n">
        <v>1</v>
      </c>
      <c r="N128" t="n">
        <v>0</v>
      </c>
      <c r="O128" t="n">
        <v>0</v>
      </c>
      <c r="P128" t="n">
        <v>0</v>
      </c>
      <c r="Q128" t="n">
        <v>1</v>
      </c>
      <c r="R128" t="n">
        <v>1</v>
      </c>
      <c r="S128" t="n">
        <v>4</v>
      </c>
      <c r="T128" t="n">
        <v>4</v>
      </c>
      <c r="U128" t="n">
        <v>0</v>
      </c>
      <c r="V128" s="2" t="inlineStr">
        <is>
          <t>Myrstarr
Gräsull
Ögonpyrola
Ängsnycklar</t>
        </is>
      </c>
      <c r="W128">
        <f>HYPERLINK("https://klasma.github.io/Logging_2380/artfynd/A 10529-2025 artfynd.xlsx", "A 10529-2025")</f>
        <v/>
      </c>
      <c r="X128">
        <f>HYPERLINK("https://klasma.github.io/Logging_2380/kartor/A 10529-2025 karta.png", "A 10529-2025")</f>
        <v/>
      </c>
      <c r="Y128">
        <f>HYPERLINK("https://klasma.github.io/Logging_2380/kartor_geotiff/A 10529-2025 georefererad karta.tif", "A 10529-2025")</f>
        <v/>
      </c>
      <c r="AA128">
        <f>HYPERLINK("https://klasma.github.io/Logging_2380/klagomål/A 10529-2025 FSC-klagomål.docx", "A 10529-2025")</f>
        <v/>
      </c>
      <c r="AB128">
        <f>HYPERLINK("https://klasma.github.io/Logging_2380/klagomålsmail/A 10529-2025 FSC-klagomål mail.docx", "A 10529-2025")</f>
        <v/>
      </c>
      <c r="AC128">
        <f>HYPERLINK("https://klasma.github.io/Logging_2380/tillsyn/A 10529-2025 tillsynsbegäran.docx", "A 10529-2025")</f>
        <v/>
      </c>
      <c r="AD128">
        <f>HYPERLINK("https://klasma.github.io/Logging_2380/tillsynsmail/A 10529-2025 tillsynsbegäran mail.docx", "A 10529-2025")</f>
        <v/>
      </c>
    </row>
    <row r="129" ht="15" customHeight="1">
      <c r="A129" t="inlineStr">
        <is>
          <t>S 1458-2025</t>
        </is>
      </c>
      <c r="B129" t="inlineStr">
        <is>
          <t>samrådsanmälan</t>
        </is>
      </c>
      <c r="C129" t="inlineStr">
        <is>
          <t>Annan skogsbruksåtgärd</t>
        </is>
      </c>
      <c r="D129" s="1" t="n">
        <v>45785</v>
      </c>
      <c r="E129" s="1" t="n">
        <v>46259</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46259</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60565-2022</t>
        </is>
      </c>
      <c r="B131" t="inlineStr">
        <is>
          <t>avverkningsanmälan</t>
        </is>
      </c>
      <c r="C131" t="inlineStr">
        <is>
          <t>Föryngringsavverkning</t>
        </is>
      </c>
      <c r="D131" s="1" t="n">
        <v>44904</v>
      </c>
      <c r="E131" s="1" t="n">
        <v>46259</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46705-2023</t>
        </is>
      </c>
      <c r="B132" t="inlineStr">
        <is>
          <t>avverkningsanmälan</t>
        </is>
      </c>
      <c r="C132" t="inlineStr">
        <is>
          <t>Föryngringsavverkning</t>
        </is>
      </c>
      <c r="D132" s="1" t="n">
        <v>45198</v>
      </c>
      <c r="E132" s="1" t="n">
        <v>46259</v>
      </c>
      <c r="F132" t="inlineStr">
        <is>
          <t>JÄMTLANDS LÄN</t>
        </is>
      </c>
      <c r="G132" t="inlineStr">
        <is>
          <t>ÖSTERSUND</t>
        </is>
      </c>
      <c r="H132" t="inlineStr">
        <is>
          <t>Sveaskog</t>
        </is>
      </c>
      <c r="I132" t="n">
        <v>7.5</v>
      </c>
      <c r="J132" t="n">
        <v>1</v>
      </c>
      <c r="K132" t="n">
        <v>3</v>
      </c>
      <c r="L132" t="n">
        <v>0</v>
      </c>
      <c r="M132" t="n">
        <v>0</v>
      </c>
      <c r="N132" t="n">
        <v>0</v>
      </c>
      <c r="O132" t="n">
        <v>0</v>
      </c>
      <c r="P132" t="n">
        <v>0</v>
      </c>
      <c r="Q132" t="n">
        <v>0</v>
      </c>
      <c r="R132" t="n">
        <v>0</v>
      </c>
      <c r="S132" t="n">
        <v>3</v>
      </c>
      <c r="T132" t="n">
        <v>3</v>
      </c>
      <c r="U132" t="n">
        <v>0</v>
      </c>
      <c r="V132" s="2" t="inlineStr">
        <is>
          <t>Finbräken
Guckusko
Ögonpyrola</t>
        </is>
      </c>
      <c r="W132">
        <f>HYPERLINK("https://klasma.github.io/Logging_2380/artfynd/A 46705-2023 artfynd.xlsx", "A 46705-2023")</f>
        <v/>
      </c>
      <c r="X132">
        <f>HYPERLINK("https://klasma.github.io/Logging_2380/kartor/A 46705-2023 karta.png", "A 46705-2023")</f>
        <v/>
      </c>
      <c r="Y132">
        <f>HYPERLINK("https://klasma.github.io/Logging_2380/kartor_geotiff/A 46705-2023 georefererad karta.tif", "A 46705-2023")</f>
        <v/>
      </c>
      <c r="AA132">
        <f>HYPERLINK("https://klasma.github.io/Logging_2380/klagomål/A 46705-2023 FSC-klagomål.docx", "A 46705-2023")</f>
        <v/>
      </c>
      <c r="AB132">
        <f>HYPERLINK("https://klasma.github.io/Logging_2380/klagomålsmail/A 46705-2023 FSC-klagomål mail.docx", "A 46705-2023")</f>
        <v/>
      </c>
      <c r="AC132">
        <f>HYPERLINK("https://klasma.github.io/Logging_2380/tillsyn/A 46705-2023 tillsynsbegäran.docx", "A 46705-2023")</f>
        <v/>
      </c>
      <c r="AD132">
        <f>HYPERLINK("https://klasma.github.io/Logging_2380/tillsynsmail/A 46705-2023 tillsynsbegäran mail.docx", "A 46705-2023")</f>
        <v/>
      </c>
    </row>
    <row r="133" ht="15" customHeight="1">
      <c r="A133" t="inlineStr">
        <is>
          <t>A 41279-2024</t>
        </is>
      </c>
      <c r="B133" t="inlineStr">
        <is>
          <t>avverkningsanmälan</t>
        </is>
      </c>
      <c r="C133" t="inlineStr">
        <is>
          <t>Föryngringsavverkning</t>
        </is>
      </c>
      <c r="D133" s="1" t="n">
        <v>45559</v>
      </c>
      <c r="E133" s="1" t="n">
        <v>46259</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60580-2024</t>
        </is>
      </c>
      <c r="B134" t="inlineStr">
        <is>
          <t>avverkningsanmälan</t>
        </is>
      </c>
      <c r="C134" t="inlineStr">
        <is>
          <t>Föryngringsavverkning</t>
        </is>
      </c>
      <c r="D134" s="1" t="n">
        <v>45644</v>
      </c>
      <c r="E134" s="1" t="n">
        <v>46259</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43981-2023</t>
        </is>
      </c>
      <c r="B135" t="inlineStr">
        <is>
          <t>avverkningsanmälan</t>
        </is>
      </c>
      <c r="C135" t="inlineStr">
        <is>
          <t>Avverkning för att bevara och utveckla /försöksver</t>
        </is>
      </c>
      <c r="D135" s="1" t="n">
        <v>45187</v>
      </c>
      <c r="E135" s="1" t="n">
        <v>46259</v>
      </c>
      <c r="F135" t="inlineStr">
        <is>
          <t>JÄMTLANDS LÄN</t>
        </is>
      </c>
      <c r="G135" t="inlineStr">
        <is>
          <t>ÖSTERSUND</t>
        </is>
      </c>
      <c r="H135" t="inlineStr">
        <is>
          <t>SCA</t>
        </is>
      </c>
      <c r="I135" t="n">
        <v>7.5</v>
      </c>
      <c r="J135" t="n">
        <v>1</v>
      </c>
      <c r="K135" t="n">
        <v>0</v>
      </c>
      <c r="L135" t="n">
        <v>2</v>
      </c>
      <c r="M135" t="n">
        <v>1</v>
      </c>
      <c r="N135" t="n">
        <v>0</v>
      </c>
      <c r="O135" t="n">
        <v>0</v>
      </c>
      <c r="P135" t="n">
        <v>0</v>
      </c>
      <c r="Q135" t="n">
        <v>3</v>
      </c>
      <c r="R135" t="n">
        <v>1</v>
      </c>
      <c r="S135" t="n">
        <v>3</v>
      </c>
      <c r="T135" t="n">
        <v>3</v>
      </c>
      <c r="U135" t="n">
        <v>0</v>
      </c>
      <c r="V135" s="2" t="inlineStr">
        <is>
          <t>Knärot
Lunglav
Ullticka</t>
        </is>
      </c>
      <c r="W135">
        <f>HYPERLINK("https://klasma.github.io/Logging_2380/artfynd/A 43981-2023 artfynd.xlsx", "A 43981-2023")</f>
        <v/>
      </c>
      <c r="X135">
        <f>HYPERLINK("https://klasma.github.io/Logging_2380/kartor/A 43981-2023 karta.png", "A 43981-2023")</f>
        <v/>
      </c>
      <c r="Y135">
        <f>HYPERLINK("https://klasma.github.io/Logging_2380/kartor_geotiff/A 43981-2023 georefererad karta.tif", "A 43981-2023")</f>
        <v/>
      </c>
      <c r="Z135">
        <f>HYPERLINK("https://klasma.github.io/Logging_2380/knärot/A 43981-2023 karta knärot.png", "A 43981-2023")</f>
        <v/>
      </c>
      <c r="AA135">
        <f>HYPERLINK("https://klasma.github.io/Logging_2380/klagomål/A 43981-2023 FSC-klagomål.docx", "A 43981-2023")</f>
        <v/>
      </c>
      <c r="AB135">
        <f>HYPERLINK("https://klasma.github.io/Logging_2380/klagomålsmail/A 43981-2023 FSC-klagomål mail.docx", "A 43981-2023")</f>
        <v/>
      </c>
      <c r="AC135">
        <f>HYPERLINK("https://klasma.github.io/Logging_2380/tillsyn/A 43981-2023 tillsynsbegäran.docx", "A 43981-2023")</f>
        <v/>
      </c>
      <c r="AD135">
        <f>HYPERLINK("https://klasma.github.io/Logging_2380/tillsynsmail/A 43981-2023 tillsynsbegäran mail.docx", "A 43981-2023")</f>
        <v/>
      </c>
    </row>
    <row r="136" ht="15" customHeight="1">
      <c r="A136" t="inlineStr">
        <is>
          <t>A 45237-2025</t>
        </is>
      </c>
      <c r="B136" t="inlineStr">
        <is>
          <t>avverkningsanmälan</t>
        </is>
      </c>
      <c r="C136" t="inlineStr">
        <is>
          <t>Föryngringsavverkning</t>
        </is>
      </c>
      <c r="D136" s="1" t="n">
        <v>45919</v>
      </c>
      <c r="E136" s="1" t="n">
        <v>46259</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56006-2023</t>
        </is>
      </c>
      <c r="B137" t="inlineStr">
        <is>
          <t>avverkningsanmälan</t>
        </is>
      </c>
      <c r="C137" t="inlineStr">
        <is>
          <t>Föryngringsavverkning</t>
        </is>
      </c>
      <c r="D137" s="1" t="n">
        <v>45233</v>
      </c>
      <c r="E137" s="1" t="n">
        <v>46259</v>
      </c>
      <c r="F137" t="inlineStr">
        <is>
          <t>JÄMTLANDS LÄN</t>
        </is>
      </c>
      <c r="G137" t="inlineStr">
        <is>
          <t>ÖSTERSUND</t>
        </is>
      </c>
      <c r="I137" t="n">
        <v>2.3</v>
      </c>
      <c r="J137" t="n">
        <v>0</v>
      </c>
      <c r="K137" t="n">
        <v>3</v>
      </c>
      <c r="L137" t="n">
        <v>0</v>
      </c>
      <c r="M137" t="n">
        <v>0</v>
      </c>
      <c r="N137" t="n">
        <v>0</v>
      </c>
      <c r="O137" t="n">
        <v>0</v>
      </c>
      <c r="P137" t="n">
        <v>0</v>
      </c>
      <c r="Q137" t="n">
        <v>0</v>
      </c>
      <c r="R137" t="n">
        <v>0</v>
      </c>
      <c r="S137" t="n">
        <v>3</v>
      </c>
      <c r="T137" t="n">
        <v>3</v>
      </c>
      <c r="U137" t="n">
        <v>0</v>
      </c>
      <c r="V137" s="2" t="inlineStr">
        <is>
          <t>Korallblylav
Skinnlav
Stuplav</t>
        </is>
      </c>
      <c r="W137">
        <f>HYPERLINK("https://klasma.github.io/Logging_2380/artfynd/A 56006-2023 artfynd.xlsx", "A 56006-2023")</f>
        <v/>
      </c>
      <c r="X137">
        <f>HYPERLINK("https://klasma.github.io/Logging_2380/kartor/A 56006-2023 karta.png", "A 56006-2023")</f>
        <v/>
      </c>
      <c r="Y137">
        <f>HYPERLINK("https://klasma.github.io/Logging_2380/kartor_geotiff/A 56006-2023 georefererad karta.tif", "A 56006-2023")</f>
        <v/>
      </c>
      <c r="AA137">
        <f>HYPERLINK("https://klasma.github.io/Logging_2380/klagomål/A 56006-2023 FSC-klagomål.docx", "A 56006-2023")</f>
        <v/>
      </c>
      <c r="AB137">
        <f>HYPERLINK("https://klasma.github.io/Logging_2380/klagomålsmail/A 56006-2023 FSC-klagomål mail.docx", "A 56006-2023")</f>
        <v/>
      </c>
      <c r="AC137">
        <f>HYPERLINK("https://klasma.github.io/Logging_2380/tillsyn/A 56006-2023 tillsynsbegäran.docx", "A 56006-2023")</f>
        <v/>
      </c>
      <c r="AD137">
        <f>HYPERLINK("https://klasma.github.io/Logging_2380/tillsynsmail/A 56006-2023 tillsynsbegäran mail.docx", "A 56006-2023")</f>
        <v/>
      </c>
    </row>
    <row r="138" ht="15" customHeight="1">
      <c r="A138" t="inlineStr">
        <is>
          <t>A 20145-2026</t>
        </is>
      </c>
      <c r="B138" t="inlineStr">
        <is>
          <t>avverkningsanmälan</t>
        </is>
      </c>
      <c r="C138" t="inlineStr">
        <is>
          <t>Föryngringsavverkning</t>
        </is>
      </c>
      <c r="D138" s="1" t="n">
        <v>46137</v>
      </c>
      <c r="E138" s="1" t="n">
        <v>46259</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53652-2024</t>
        </is>
      </c>
      <c r="B139" t="inlineStr">
        <is>
          <t>avverkningsanmälan</t>
        </is>
      </c>
      <c r="C139" t="inlineStr">
        <is>
          <t>Föryngringsavverkning</t>
        </is>
      </c>
      <c r="D139" s="1" t="n">
        <v>45615</v>
      </c>
      <c r="E139" s="1" t="n">
        <v>46259</v>
      </c>
      <c r="F139" t="inlineStr">
        <is>
          <t>JÄMTLANDS LÄN</t>
        </is>
      </c>
      <c r="G139" t="inlineStr">
        <is>
          <t>ÖSTERSUND</t>
        </is>
      </c>
      <c r="I139" t="n">
        <v>4.2</v>
      </c>
      <c r="J139" t="n">
        <v>1</v>
      </c>
      <c r="K139" t="n">
        <v>1</v>
      </c>
      <c r="L139" t="n">
        <v>1</v>
      </c>
      <c r="M139" t="n">
        <v>0</v>
      </c>
      <c r="N139" t="n">
        <v>0</v>
      </c>
      <c r="O139" t="n">
        <v>0</v>
      </c>
      <c r="P139" t="n">
        <v>0</v>
      </c>
      <c r="Q139" t="n">
        <v>1</v>
      </c>
      <c r="R139" t="n">
        <v>0</v>
      </c>
      <c r="S139" t="n">
        <v>3</v>
      </c>
      <c r="T139" t="n">
        <v>6</v>
      </c>
      <c r="U139" t="n">
        <v>0</v>
      </c>
      <c r="V139" s="2" t="inlineStr">
        <is>
          <t>Flattoppad klubbsvamp
Kransrams
Revlummer</t>
        </is>
      </c>
      <c r="W139">
        <f>HYPERLINK("https://klasma.github.io/Logging_2380/artfynd/A 53652-2024 artfynd.xlsx", "A 53652-2024")</f>
        <v/>
      </c>
      <c r="X139">
        <f>HYPERLINK("https://klasma.github.io/Logging_2380/kartor/A 53652-2024 karta.png", "A 53652-2024")</f>
        <v/>
      </c>
      <c r="Y139">
        <f>HYPERLINK("https://klasma.github.io/Logging_2380/kartor_geotiff/A 53652-2024 georefererad karta.tif", "A 53652-2024")</f>
        <v/>
      </c>
      <c r="AA139">
        <f>HYPERLINK("https://klasma.github.io/Logging_2380/klagomål/A 53652-2024 FSC-klagomål.docx", "A 53652-2024")</f>
        <v/>
      </c>
      <c r="AB139">
        <f>HYPERLINK("https://klasma.github.io/Logging_2380/klagomålsmail/A 53652-2024 FSC-klagomål mail.docx", "A 53652-2024")</f>
        <v/>
      </c>
      <c r="AC139">
        <f>HYPERLINK("https://klasma.github.io/Logging_2380/tillsyn/A 53652-2024 tillsynsbegäran.docx", "A 53652-2024")</f>
        <v/>
      </c>
      <c r="AD139">
        <f>HYPERLINK("https://klasma.github.io/Logging_2380/tillsynsmail/A 53652-2024 tillsynsbegäran mail.docx", "A 53652-2024")</f>
        <v/>
      </c>
    </row>
    <row r="140" ht="15" customHeight="1">
      <c r="A140" t="inlineStr">
        <is>
          <t>A 57398-2023</t>
        </is>
      </c>
      <c r="B140" t="inlineStr">
        <is>
          <t>avverkningsanmälan</t>
        </is>
      </c>
      <c r="C140" t="inlineStr">
        <is>
          <t>Avverkning för att bevara och utveckla /försöksver</t>
        </is>
      </c>
      <c r="D140" s="1" t="n">
        <v>45245</v>
      </c>
      <c r="E140" s="1" t="n">
        <v>46259</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22491-2026</t>
        </is>
      </c>
      <c r="B141" t="inlineStr">
        <is>
          <t>avverkningsanmälan</t>
        </is>
      </c>
      <c r="C141" t="inlineStr">
        <is>
          <t>Föryngringsavverkning</t>
        </is>
      </c>
      <c r="D141" s="1" t="n">
        <v>46155</v>
      </c>
      <c r="E141" s="1" t="n">
        <v>46259</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41770-2024</t>
        </is>
      </c>
      <c r="B142" t="inlineStr">
        <is>
          <t>avverkningsanmälan</t>
        </is>
      </c>
      <c r="C142" t="inlineStr">
        <is>
          <t>Avverkning för att bevara och utveckla /försöksver</t>
        </is>
      </c>
      <c r="D142" s="1" t="n">
        <v>45561</v>
      </c>
      <c r="E142" s="1" t="n">
        <v>46259</v>
      </c>
      <c r="F142" t="inlineStr">
        <is>
          <t>JÄMTLANDS LÄN</t>
        </is>
      </c>
      <c r="G142" t="inlineStr">
        <is>
          <t>ÖSTERSUND</t>
        </is>
      </c>
      <c r="H142" t="inlineStr">
        <is>
          <t>SCA</t>
        </is>
      </c>
      <c r="I142" t="n">
        <v>4.4</v>
      </c>
      <c r="J142" t="n">
        <v>0</v>
      </c>
      <c r="K142" t="n">
        <v>1</v>
      </c>
      <c r="L142" t="n">
        <v>2</v>
      </c>
      <c r="M142" t="n">
        <v>0</v>
      </c>
      <c r="N142" t="n">
        <v>0</v>
      </c>
      <c r="O142" t="n">
        <v>0</v>
      </c>
      <c r="P142" t="n">
        <v>0</v>
      </c>
      <c r="Q142" t="n">
        <v>2</v>
      </c>
      <c r="R142" t="n">
        <v>0</v>
      </c>
      <c r="S142" t="n">
        <v>3</v>
      </c>
      <c r="T142" t="n">
        <v>4</v>
      </c>
      <c r="U142" t="n">
        <v>0</v>
      </c>
      <c r="V142" s="2" t="inlineStr">
        <is>
          <t>Dvärgbägarlav
Nordtagging
Vedticka</t>
        </is>
      </c>
      <c r="W142">
        <f>HYPERLINK("https://klasma.github.io/Logging_2380/artfynd/A 41770-2024 artfynd.xlsx", "A 41770-2024")</f>
        <v/>
      </c>
      <c r="X142">
        <f>HYPERLINK("https://klasma.github.io/Logging_2380/kartor/A 41770-2024 karta.png", "A 41770-2024")</f>
        <v/>
      </c>
      <c r="Y142">
        <f>HYPERLINK("https://klasma.github.io/Logging_2380/kartor_geotiff/A 41770-2024 georefererad karta.tif", "A 41770-2024")</f>
        <v/>
      </c>
      <c r="AA142">
        <f>HYPERLINK("https://klasma.github.io/Logging_2380/klagomål/A 41770-2024 FSC-klagomål.docx", "A 41770-2024")</f>
        <v/>
      </c>
      <c r="AB142">
        <f>HYPERLINK("https://klasma.github.io/Logging_2380/klagomålsmail/A 41770-2024 FSC-klagomål mail.docx", "A 41770-2024")</f>
        <v/>
      </c>
      <c r="AC142">
        <f>HYPERLINK("https://klasma.github.io/Logging_2380/tillsyn/A 41770-2024 tillsynsbegäran.docx", "A 41770-2024")</f>
        <v/>
      </c>
      <c r="AD142">
        <f>HYPERLINK("https://klasma.github.io/Logging_2380/tillsynsmail/A 41770-2024 tillsynsbegäran mail.docx", "A 41770-2024")</f>
        <v/>
      </c>
    </row>
    <row r="143" ht="15" customHeight="1">
      <c r="A143" t="inlineStr">
        <is>
          <t>A 25271-2026</t>
        </is>
      </c>
      <c r="B143" t="inlineStr">
        <is>
          <t>avverkningsanmälan</t>
        </is>
      </c>
      <c r="C143" t="inlineStr">
        <is>
          <t>Föryngringsavverkning</t>
        </is>
      </c>
      <c r="D143" s="1" t="n">
        <v>46176</v>
      </c>
      <c r="E143" s="1" t="n">
        <v>46259</v>
      </c>
      <c r="F143" t="inlineStr">
        <is>
          <t>JÄMTLANDS LÄN</t>
        </is>
      </c>
      <c r="G143" t="inlineStr">
        <is>
          <t>ÖSTERSUND</t>
        </is>
      </c>
      <c r="H143" t="inlineStr">
        <is>
          <t>SCA</t>
        </is>
      </c>
      <c r="I143" t="n">
        <v>5.8</v>
      </c>
      <c r="J143" t="n">
        <v>2</v>
      </c>
      <c r="K143" t="n">
        <v>0</v>
      </c>
      <c r="L143" t="n">
        <v>1</v>
      </c>
      <c r="M143" t="n">
        <v>1</v>
      </c>
      <c r="N143" t="n">
        <v>0</v>
      </c>
      <c r="O143" t="n">
        <v>0</v>
      </c>
      <c r="P143" t="n">
        <v>0</v>
      </c>
      <c r="Q143" t="n">
        <v>2</v>
      </c>
      <c r="R143" t="n">
        <v>1</v>
      </c>
      <c r="S143" t="n">
        <v>3</v>
      </c>
      <c r="T143" t="n">
        <v>3</v>
      </c>
      <c r="U143" t="n">
        <v>0</v>
      </c>
      <c r="V143" s="2" t="inlineStr">
        <is>
          <t>Doftticka
Lunglav
Mindre vattensalamander</t>
        </is>
      </c>
      <c r="W143">
        <f>HYPERLINK("https://klasma.github.io/Logging_2380/artfynd/A 25271-2026 artfynd.xlsx", "A 25271-2026")</f>
        <v/>
      </c>
      <c r="X143">
        <f>HYPERLINK("https://klasma.github.io/Logging_2380/kartor/A 25271-2026 karta.png", "A 25271-2026")</f>
        <v/>
      </c>
      <c r="Y143">
        <f>HYPERLINK("https://klasma.github.io/Logging_2380/kartor_geotiff/A 25271-2026 georefererad karta.tif", "A 25271-2026")</f>
        <v/>
      </c>
      <c r="AA143">
        <f>HYPERLINK("https://klasma.github.io/Logging_2380/klagomål/A 25271-2026 FSC-klagomål.docx", "A 25271-2026")</f>
        <v/>
      </c>
      <c r="AB143">
        <f>HYPERLINK("https://klasma.github.io/Logging_2380/klagomålsmail/A 25271-2026 FSC-klagomål mail.docx", "A 25271-2026")</f>
        <v/>
      </c>
      <c r="AC143">
        <f>HYPERLINK("https://klasma.github.io/Logging_2380/tillsyn/A 25271-2026 tillsynsbegäran.docx", "A 25271-2026")</f>
        <v/>
      </c>
      <c r="AD143">
        <f>HYPERLINK("https://klasma.github.io/Logging_2380/tillsynsmail/A 25271-2026 tillsynsbegäran mail.docx", "A 25271-2026")</f>
        <v/>
      </c>
    </row>
    <row r="144" ht="15" customHeight="1">
      <c r="A144" t="inlineStr">
        <is>
          <t>A 25604-2026</t>
        </is>
      </c>
      <c r="B144" t="inlineStr">
        <is>
          <t>avverkningsanmälan</t>
        </is>
      </c>
      <c r="C144" t="inlineStr">
        <is>
          <t>Avverkning för annat ändamål</t>
        </is>
      </c>
      <c r="D144" s="1" t="n">
        <v>46177</v>
      </c>
      <c r="E144" s="1" t="n">
        <v>46259</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31629-2026</t>
        </is>
      </c>
      <c r="B145" t="inlineStr">
        <is>
          <t>avverkningsanmälan</t>
        </is>
      </c>
      <c r="C145" t="inlineStr">
        <is>
          <t>Föryngringsavverkning</t>
        </is>
      </c>
      <c r="D145" s="1" t="n">
        <v>46225</v>
      </c>
      <c r="E145" s="1" t="n">
        <v>46259</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60565-2022</t>
        </is>
      </c>
      <c r="B146" t="inlineStr">
        <is>
          <t>avverkningsanmälan</t>
        </is>
      </c>
      <c r="C146" t="inlineStr">
        <is>
          <t>Föryngringsavverkning</t>
        </is>
      </c>
      <c r="D146" s="1" t="n">
        <v>44904</v>
      </c>
      <c r="E146" s="1" t="n">
        <v>46259</v>
      </c>
      <c r="F146" t="inlineStr">
        <is>
          <t>JÄMTLANDS LÄN</t>
        </is>
      </c>
      <c r="G146" t="inlineStr">
        <is>
          <t>ÖSTERSUND</t>
        </is>
      </c>
      <c r="I146" t="n">
        <v>2.5</v>
      </c>
      <c r="J146" t="n">
        <v>2</v>
      </c>
      <c r="K146" t="n">
        <v>0</v>
      </c>
      <c r="L146" t="n">
        <v>1</v>
      </c>
      <c r="M146" t="n">
        <v>1</v>
      </c>
      <c r="N146" t="n">
        <v>0</v>
      </c>
      <c r="O146" t="n">
        <v>0</v>
      </c>
      <c r="P146" t="n">
        <v>0</v>
      </c>
      <c r="Q146" t="n">
        <v>2</v>
      </c>
      <c r="R146" t="n">
        <v>1</v>
      </c>
      <c r="S146" t="n">
        <v>3</v>
      </c>
      <c r="T146" t="n">
        <v>16</v>
      </c>
      <c r="U146" t="n">
        <v>16</v>
      </c>
      <c r="V146" s="2" t="inlineStr">
        <is>
          <t>Garnlav
Talltita
Revlummer</t>
        </is>
      </c>
      <c r="W146">
        <f>HYPERLINK("https://klasma.github.io/Logging_2380/artfynd/A 60565-2022 artfynd.xlsx", "A 60565-2022")</f>
        <v/>
      </c>
      <c r="X146">
        <f>HYPERLINK("https://klasma.github.io/Logging_2380/kartor/A 60565-2022 karta.png", "A 60565-2022")</f>
        <v/>
      </c>
      <c r="Y146">
        <f>HYPERLINK("https://klasma.github.io/Logging_2380/kartor_geotiff/A 60565-2022 georefererad karta.tif", "A 60565-2022")</f>
        <v/>
      </c>
      <c r="AA146">
        <f>HYPERLINK("https://klasma.github.io/Logging_2380/klagomål/A 60565-2022 FSC-klagomål.docx", "A 60565-2022")</f>
        <v/>
      </c>
      <c r="AB146">
        <f>HYPERLINK("https://klasma.github.io/Logging_2380/klagomålsmail/A 60565-2022 FSC-klagomål mail.docx", "A 60565-2022")</f>
        <v/>
      </c>
      <c r="AC146">
        <f>HYPERLINK("https://klasma.github.io/Logging_2380/tillsyn/A 60565-2022 tillsynsbegäran.docx", "A 60565-2022")</f>
        <v/>
      </c>
      <c r="AD146">
        <f>HYPERLINK("https://klasma.github.io/Logging_2380/tillsynsmail/A 60565-2022 tillsynsbegäran mail.docx", "A 60565-2022")</f>
        <v/>
      </c>
      <c r="AE146">
        <f>HYPERLINK("https://klasma.github.io/Logging_2380/fåglar/A 60565-2022 prioriterade fågelarter.docx", "A 60565-2022")</f>
        <v/>
      </c>
    </row>
    <row r="147" ht="15" customHeight="1">
      <c r="A147" t="inlineStr">
        <is>
          <t>A 5100-2023</t>
        </is>
      </c>
      <c r="B147" t="inlineStr">
        <is>
          <t>avverkningsanmälan</t>
        </is>
      </c>
      <c r="C147" t="inlineStr">
        <is>
          <t>Föryngringsavverkning</t>
        </is>
      </c>
      <c r="D147" s="1" t="n">
        <v>44956</v>
      </c>
      <c r="E147" s="1" t="n">
        <v>46259</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60534-2022</t>
        </is>
      </c>
      <c r="B148" t="inlineStr">
        <is>
          <t>avverkningsanmälan</t>
        </is>
      </c>
      <c r="C148" t="inlineStr">
        <is>
          <t>Föryngringsavverkning</t>
        </is>
      </c>
      <c r="D148" s="1" t="n">
        <v>44904</v>
      </c>
      <c r="E148" s="1" t="n">
        <v>46259</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46259</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46259</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46259</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36742-2024</t>
        </is>
      </c>
      <c r="B152" t="inlineStr">
        <is>
          <t>avverkningsanmälan</t>
        </is>
      </c>
      <c r="C152" t="inlineStr">
        <is>
          <t>Föryngringsavverkning</t>
        </is>
      </c>
      <c r="D152" s="1" t="n">
        <v>45538</v>
      </c>
      <c r="E152" s="1" t="n">
        <v>46259</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55821-2021</t>
        </is>
      </c>
      <c r="B153" t="inlineStr">
        <is>
          <t>avverkningsanmälan</t>
        </is>
      </c>
      <c r="C153" t="inlineStr">
        <is>
          <t>Föryngringsavverkning</t>
        </is>
      </c>
      <c r="D153" s="1" t="n">
        <v>44476</v>
      </c>
      <c r="E153" s="1" t="n">
        <v>46259</v>
      </c>
      <c r="F153" t="inlineStr">
        <is>
          <t>JÄMTLANDS LÄN</t>
        </is>
      </c>
      <c r="G153" t="inlineStr">
        <is>
          <t>ÖSTERSUND</t>
        </is>
      </c>
      <c r="I153" t="n">
        <v>7.2</v>
      </c>
      <c r="J153" t="n">
        <v>0</v>
      </c>
      <c r="K153" t="n">
        <v>0</v>
      </c>
      <c r="L153" t="n">
        <v>1</v>
      </c>
      <c r="M153" t="n">
        <v>0</v>
      </c>
      <c r="N153" t="n">
        <v>0</v>
      </c>
      <c r="O153" t="n">
        <v>0</v>
      </c>
      <c r="P153" t="n">
        <v>0</v>
      </c>
      <c r="Q153" t="n">
        <v>1</v>
      </c>
      <c r="R153" t="n">
        <v>0</v>
      </c>
      <c r="S153" t="n">
        <v>2</v>
      </c>
      <c r="T153" t="n">
        <v>2</v>
      </c>
      <c r="U153" t="n">
        <v>1</v>
      </c>
      <c r="V153" s="2" t="inlineStr">
        <is>
          <t>Harticka
Kransmossa</t>
        </is>
      </c>
      <c r="W153">
        <f>HYPERLINK("https://klasma.github.io/Logging_2380/artfynd/A 55821-2021 artfynd.xlsx", "A 55821-2021")</f>
        <v/>
      </c>
      <c r="X153">
        <f>HYPERLINK("https://klasma.github.io/Logging_2380/kartor/A 55821-2021 karta.png", "A 55821-2021")</f>
        <v/>
      </c>
      <c r="Y153">
        <f>HYPERLINK("https://klasma.github.io/Logging_2380/kartor_geotiff/A 55821-2021 georefererad karta.tif", "A 55821-2021")</f>
        <v/>
      </c>
      <c r="Z153">
        <f>HYPERLINK("https://klasma.github.io/Logging_2380/knärot/A 55821-2021 karta knärot.png", "A 55821-2021")</f>
        <v/>
      </c>
      <c r="AA153">
        <f>HYPERLINK("https://klasma.github.io/Logging_2380/klagomål/A 55821-2021 FSC-klagomål.docx", "A 55821-2021")</f>
        <v/>
      </c>
      <c r="AB153">
        <f>HYPERLINK("https://klasma.github.io/Logging_2380/klagomålsmail/A 55821-2021 FSC-klagomål mail.docx", "A 55821-2021")</f>
        <v/>
      </c>
      <c r="AC153">
        <f>HYPERLINK("https://klasma.github.io/Logging_2380/tillsyn/A 55821-2021 tillsynsbegäran.docx", "A 55821-2021")</f>
        <v/>
      </c>
      <c r="AD153">
        <f>HYPERLINK("https://klasma.github.io/Logging_2380/tillsynsmail/A 55821-2021 tillsynsbegäran mail.docx", "A 55821-2021")</f>
        <v/>
      </c>
    </row>
    <row r="154" ht="15" customHeight="1">
      <c r="A154" t="inlineStr">
        <is>
          <t>A 35977-2024</t>
        </is>
      </c>
      <c r="B154" t="inlineStr">
        <is>
          <t>avverkningsanmälan</t>
        </is>
      </c>
      <c r="C154" t="inlineStr">
        <is>
          <t>Föryngringsavverkning</t>
        </is>
      </c>
      <c r="D154" s="1" t="n">
        <v>45533</v>
      </c>
      <c r="E154" s="1" t="n">
        <v>46259</v>
      </c>
      <c r="F154" t="inlineStr">
        <is>
          <t>JÄMTLANDS LÄN</t>
        </is>
      </c>
      <c r="G154" t="inlineStr">
        <is>
          <t>ÖSTERSUND</t>
        </is>
      </c>
      <c r="I154" t="n">
        <v>0.7</v>
      </c>
      <c r="J154" t="n">
        <v>0</v>
      </c>
      <c r="K154" t="n">
        <v>2</v>
      </c>
      <c r="L154" t="n">
        <v>0</v>
      </c>
      <c r="M154" t="n">
        <v>0</v>
      </c>
      <c r="N154" t="n">
        <v>0</v>
      </c>
      <c r="O154" t="n">
        <v>0</v>
      </c>
      <c r="P154" t="n">
        <v>0</v>
      </c>
      <c r="Q154" t="n">
        <v>0</v>
      </c>
      <c r="R154" t="n">
        <v>0</v>
      </c>
      <c r="S154" t="n">
        <v>2</v>
      </c>
      <c r="T154" t="n">
        <v>2</v>
      </c>
      <c r="U154" t="n">
        <v>0</v>
      </c>
      <c r="V154" s="2" t="inlineStr">
        <is>
          <t>Tibast
Trådticka</t>
        </is>
      </c>
      <c r="W154">
        <f>HYPERLINK("https://klasma.github.io/Logging_2380/artfynd/A 35977-2024 artfynd.xlsx", "A 35977-2024")</f>
        <v/>
      </c>
      <c r="X154">
        <f>HYPERLINK("https://klasma.github.io/Logging_2380/kartor/A 35977-2024 karta.png", "A 35977-2024")</f>
        <v/>
      </c>
      <c r="Y154">
        <f>HYPERLINK("https://klasma.github.io/Logging_2380/kartor_geotiff/A 35977-2024 georefererad karta.tif", "A 35977-2024")</f>
        <v/>
      </c>
      <c r="AA154">
        <f>HYPERLINK("https://klasma.github.io/Logging_2380/klagomål/A 35977-2024 FSC-klagomål.docx", "A 35977-2024")</f>
        <v/>
      </c>
      <c r="AB154">
        <f>HYPERLINK("https://klasma.github.io/Logging_2380/klagomålsmail/A 35977-2024 FSC-klagomål mail.docx", "A 35977-2024")</f>
        <v/>
      </c>
      <c r="AC154">
        <f>HYPERLINK("https://klasma.github.io/Logging_2380/tillsyn/A 35977-2024 tillsynsbegäran.docx", "A 35977-2024")</f>
        <v/>
      </c>
      <c r="AD154">
        <f>HYPERLINK("https://klasma.github.io/Logging_2380/tillsynsmail/A 35977-2024 tillsynsbegäran mail.docx", "A 35977-2024")</f>
        <v/>
      </c>
    </row>
    <row r="155" ht="15" customHeight="1">
      <c r="A155" t="inlineStr">
        <is>
          <t>A 40692-2024</t>
        </is>
      </c>
      <c r="B155" t="inlineStr">
        <is>
          <t>avverkningsanmälan</t>
        </is>
      </c>
      <c r="C155" t="inlineStr">
        <is>
          <t>Avverkning för att bevara och utveckla /försöksver</t>
        </is>
      </c>
      <c r="D155" s="1" t="n">
        <v>45558</v>
      </c>
      <c r="E155" s="1" t="n">
        <v>46259</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46259</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12-2023</t>
        </is>
      </c>
      <c r="B157" t="inlineStr">
        <is>
          <t>avverkningsanmälan</t>
        </is>
      </c>
      <c r="C157" t="inlineStr">
        <is>
          <t>Föryngringsavverkning</t>
        </is>
      </c>
      <c r="D157" s="1" t="n">
        <v>44927</v>
      </c>
      <c r="E157" s="1" t="n">
        <v>46259</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9739-2022</t>
        </is>
      </c>
      <c r="B158" t="inlineStr">
        <is>
          <t>avverkningsanmälan</t>
        </is>
      </c>
      <c r="C158" t="inlineStr">
        <is>
          <t>Föryngringsavverkning</t>
        </is>
      </c>
      <c r="D158" s="1" t="n">
        <v>44617</v>
      </c>
      <c r="E158" s="1" t="n">
        <v>46259</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3846-2024</t>
        </is>
      </c>
      <c r="B159" t="inlineStr">
        <is>
          <t>avverkningsanmälan</t>
        </is>
      </c>
      <c r="C159" t="inlineStr">
        <is>
          <t>Föryngringsavverkning</t>
        </is>
      </c>
      <c r="D159" s="1" t="n">
        <v>45321</v>
      </c>
      <c r="E159" s="1" t="n">
        <v>46259</v>
      </c>
      <c r="F159" t="inlineStr">
        <is>
          <t>JÄMTLANDS LÄN</t>
        </is>
      </c>
      <c r="G159" t="inlineStr">
        <is>
          <t>ÖSTERSUND</t>
        </is>
      </c>
      <c r="I159" t="n">
        <v>2.2</v>
      </c>
      <c r="J159" t="n">
        <v>0</v>
      </c>
      <c r="K159" t="n">
        <v>2</v>
      </c>
      <c r="L159" t="n">
        <v>0</v>
      </c>
      <c r="M159" t="n">
        <v>0</v>
      </c>
      <c r="N159" t="n">
        <v>0</v>
      </c>
      <c r="O159" t="n">
        <v>0</v>
      </c>
      <c r="P159" t="n">
        <v>0</v>
      </c>
      <c r="Q159" t="n">
        <v>0</v>
      </c>
      <c r="R159" t="n">
        <v>0</v>
      </c>
      <c r="S159" t="n">
        <v>2</v>
      </c>
      <c r="T159" t="n">
        <v>2</v>
      </c>
      <c r="U159" t="n">
        <v>0</v>
      </c>
      <c r="V159" s="2" t="inlineStr">
        <is>
          <t>Olivspindling
Svavelriska</t>
        </is>
      </c>
      <c r="W159">
        <f>HYPERLINK("https://klasma.github.io/Logging_2380/artfynd/A 3846-2024 artfynd.xlsx", "A 3846-2024")</f>
        <v/>
      </c>
      <c r="X159">
        <f>HYPERLINK("https://klasma.github.io/Logging_2380/kartor/A 3846-2024 karta.png", "A 3846-2024")</f>
        <v/>
      </c>
      <c r="Y159">
        <f>HYPERLINK("https://klasma.github.io/Logging_2380/kartor_geotiff/A 3846-2024 georefererad karta.tif", "A 3846-2024")</f>
        <v/>
      </c>
      <c r="AA159">
        <f>HYPERLINK("https://klasma.github.io/Logging_2380/klagomål/A 3846-2024 FSC-klagomål.docx", "A 3846-2024")</f>
        <v/>
      </c>
      <c r="AB159">
        <f>HYPERLINK("https://klasma.github.io/Logging_2380/klagomålsmail/A 3846-2024 FSC-klagomål mail.docx", "A 3846-2024")</f>
        <v/>
      </c>
      <c r="AC159">
        <f>HYPERLINK("https://klasma.github.io/Logging_2380/tillsyn/A 3846-2024 tillsynsbegäran.docx", "A 3846-2024")</f>
        <v/>
      </c>
      <c r="AD159">
        <f>HYPERLINK("https://klasma.github.io/Logging_2380/tillsynsmail/A 3846-2024 tillsynsbegäran mail.docx", "A 3846-2024")</f>
        <v/>
      </c>
    </row>
    <row r="160" ht="15" customHeight="1">
      <c r="A160" t="inlineStr">
        <is>
          <t>A 13024-2022</t>
        </is>
      </c>
      <c r="B160" t="inlineStr">
        <is>
          <t>avverkningsanmälan</t>
        </is>
      </c>
      <c r="C160" t="inlineStr">
        <is>
          <t>Avverkning för att bevara och utveckla /försöksver</t>
        </is>
      </c>
      <c r="D160" s="1" t="n">
        <v>44643</v>
      </c>
      <c r="E160" s="1" t="n">
        <v>46259</v>
      </c>
      <c r="F160" t="inlineStr">
        <is>
          <t>JÄMTLANDS LÄN</t>
        </is>
      </c>
      <c r="G160" t="inlineStr">
        <is>
          <t>ÖSTERSUND</t>
        </is>
      </c>
      <c r="I160" t="n">
        <v>0.9</v>
      </c>
      <c r="J160" t="n">
        <v>1</v>
      </c>
      <c r="K160" t="n">
        <v>0</v>
      </c>
      <c r="L160" t="n">
        <v>0</v>
      </c>
      <c r="M160" t="n">
        <v>1</v>
      </c>
      <c r="N160" t="n">
        <v>0</v>
      </c>
      <c r="O160" t="n">
        <v>0</v>
      </c>
      <c r="P160" t="n">
        <v>0</v>
      </c>
      <c r="Q160" t="n">
        <v>1</v>
      </c>
      <c r="R160" t="n">
        <v>1</v>
      </c>
      <c r="S160" t="n">
        <v>2</v>
      </c>
      <c r="T160" t="n">
        <v>2</v>
      </c>
      <c r="U160" t="n">
        <v>2</v>
      </c>
      <c r="V160" s="2" t="inlineStr">
        <is>
          <t>Garnlav
Kungsfågel</t>
        </is>
      </c>
      <c r="W160">
        <f>HYPERLINK("https://klasma.github.io/Logging_2380/artfynd/A 13024-2022 artfynd.xlsx", "A 13024-2022")</f>
        <v/>
      </c>
      <c r="X160">
        <f>HYPERLINK("https://klasma.github.io/Logging_2380/kartor/A 13024-2022 karta.png", "A 13024-2022")</f>
        <v/>
      </c>
      <c r="Y160">
        <f>HYPERLINK("https://klasma.github.io/Logging_2380/kartor_geotiff/A 13024-2022 georefererad karta.tif", "A 13024-2022")</f>
        <v/>
      </c>
      <c r="AA160">
        <f>HYPERLINK("https://klasma.github.io/Logging_2380/klagomål/A 13024-2022 FSC-klagomål.docx", "A 13024-2022")</f>
        <v/>
      </c>
      <c r="AB160">
        <f>HYPERLINK("https://klasma.github.io/Logging_2380/klagomålsmail/A 13024-2022 FSC-klagomål mail.docx", "A 13024-2022")</f>
        <v/>
      </c>
      <c r="AC160">
        <f>HYPERLINK("https://klasma.github.io/Logging_2380/tillsyn/A 13024-2022 tillsynsbegäran.docx", "A 13024-2022")</f>
        <v/>
      </c>
      <c r="AD160">
        <f>HYPERLINK("https://klasma.github.io/Logging_2380/tillsynsmail/A 13024-2022 tillsynsbegäran mail.docx", "A 13024-2022")</f>
        <v/>
      </c>
    </row>
    <row r="161" ht="15" customHeight="1">
      <c r="A161" t="inlineStr">
        <is>
          <t>A 52003-2025</t>
        </is>
      </c>
      <c r="B161" t="inlineStr">
        <is>
          <t>avverkningsanmälan</t>
        </is>
      </c>
      <c r="C161" t="inlineStr">
        <is>
          <t>Föryngringsavverkning</t>
        </is>
      </c>
      <c r="D161" s="1" t="n">
        <v>45952</v>
      </c>
      <c r="E161" s="1" t="n">
        <v>46259</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60446-2024</t>
        </is>
      </c>
      <c r="B162" t="inlineStr">
        <is>
          <t>avverkningsanmälan</t>
        </is>
      </c>
      <c r="C162" t="inlineStr">
        <is>
          <t>Föryngringsavverkning</t>
        </is>
      </c>
      <c r="D162" s="1" t="n">
        <v>45643</v>
      </c>
      <c r="E162" s="1" t="n">
        <v>46259</v>
      </c>
      <c r="F162" t="inlineStr">
        <is>
          <t>JÄMTLANDS LÄN</t>
        </is>
      </c>
      <c r="G162" t="inlineStr">
        <is>
          <t>ÖSTERSUND</t>
        </is>
      </c>
      <c r="H162" t="inlineStr">
        <is>
          <t>SCA</t>
        </is>
      </c>
      <c r="I162" t="n">
        <v>3.6</v>
      </c>
      <c r="J162" t="n">
        <v>0</v>
      </c>
      <c r="K162" t="n">
        <v>1</v>
      </c>
      <c r="L162" t="n">
        <v>1</v>
      </c>
      <c r="M162" t="n">
        <v>0</v>
      </c>
      <c r="N162" t="n">
        <v>0</v>
      </c>
      <c r="O162" t="n">
        <v>0</v>
      </c>
      <c r="P162" t="n">
        <v>0</v>
      </c>
      <c r="Q162" t="n">
        <v>1</v>
      </c>
      <c r="R162" t="n">
        <v>0</v>
      </c>
      <c r="S162" t="n">
        <v>2</v>
      </c>
      <c r="T162" t="n">
        <v>2</v>
      </c>
      <c r="U162" t="n">
        <v>0</v>
      </c>
      <c r="V162" s="2" t="inlineStr">
        <is>
          <t>Ullticka
Vedticka</t>
        </is>
      </c>
      <c r="W162">
        <f>HYPERLINK("https://klasma.github.io/Logging_2380/artfynd/A 60446-2024 artfynd.xlsx", "A 60446-2024")</f>
        <v/>
      </c>
      <c r="X162">
        <f>HYPERLINK("https://klasma.github.io/Logging_2380/kartor/A 60446-2024 karta.png", "A 60446-2024")</f>
        <v/>
      </c>
      <c r="Y162">
        <f>HYPERLINK("https://klasma.github.io/Logging_2380/kartor_geotiff/A 60446-2024 georefererad karta.tif", "A 60446-2024")</f>
        <v/>
      </c>
      <c r="AA162">
        <f>HYPERLINK("https://klasma.github.io/Logging_2380/klagomål/A 60446-2024 FSC-klagomål.docx", "A 60446-2024")</f>
        <v/>
      </c>
      <c r="AB162">
        <f>HYPERLINK("https://klasma.github.io/Logging_2380/klagomålsmail/A 60446-2024 FSC-klagomål mail.docx", "A 60446-2024")</f>
        <v/>
      </c>
      <c r="AC162">
        <f>HYPERLINK("https://klasma.github.io/Logging_2380/tillsyn/A 60446-2024 tillsynsbegäran.docx", "A 60446-2024")</f>
        <v/>
      </c>
      <c r="AD162">
        <f>HYPERLINK("https://klasma.github.io/Logging_2380/tillsynsmail/A 60446-2024 tillsynsbegäran mail.docx", "A 60446-2024")</f>
        <v/>
      </c>
    </row>
    <row r="163" ht="15" customHeight="1">
      <c r="A163" t="inlineStr">
        <is>
          <t>A 21615-2024</t>
        </is>
      </c>
      <c r="B163" t="inlineStr">
        <is>
          <t>avverkningsanmälan</t>
        </is>
      </c>
      <c r="C163" t="inlineStr">
        <is>
          <t>Föryngringsavverkning</t>
        </is>
      </c>
      <c r="D163" s="1" t="n">
        <v>45441</v>
      </c>
      <c r="E163" s="1" t="n">
        <v>46259</v>
      </c>
      <c r="F163" t="inlineStr">
        <is>
          <t>JÄMTLANDS LÄN</t>
        </is>
      </c>
      <c r="G163" t="inlineStr">
        <is>
          <t>ÖSTERSUND</t>
        </is>
      </c>
      <c r="H163" t="inlineStr">
        <is>
          <t>SCA</t>
        </is>
      </c>
      <c r="I163" t="n">
        <v>4.9</v>
      </c>
      <c r="J163" t="n">
        <v>2</v>
      </c>
      <c r="K163" t="n">
        <v>0</v>
      </c>
      <c r="L163" t="n">
        <v>0</v>
      </c>
      <c r="M163" t="n">
        <v>1</v>
      </c>
      <c r="N163" t="n">
        <v>0</v>
      </c>
      <c r="O163" t="n">
        <v>0</v>
      </c>
      <c r="P163" t="n">
        <v>0</v>
      </c>
      <c r="Q163" t="n">
        <v>1</v>
      </c>
      <c r="R163" t="n">
        <v>1</v>
      </c>
      <c r="S163" t="n">
        <v>2</v>
      </c>
      <c r="T163" t="n">
        <v>3</v>
      </c>
      <c r="U163" t="n">
        <v>1</v>
      </c>
      <c r="V163" s="2" t="inlineStr">
        <is>
          <t>Lappuggla
Blåsippa</t>
        </is>
      </c>
      <c r="W163">
        <f>HYPERLINK("https://klasma.github.io/Logging_2380/artfynd/A 21615-2024 artfynd.xlsx", "A 21615-2024")</f>
        <v/>
      </c>
      <c r="X163">
        <f>HYPERLINK("https://klasma.github.io/Logging_2380/kartor/A 21615-2024 karta.png", "A 21615-2024")</f>
        <v/>
      </c>
      <c r="Y163">
        <f>HYPERLINK("https://klasma.github.io/Logging_2380/kartor_geotiff/A 21615-2024 georefererad karta.tif", "A 21615-2024")</f>
        <v/>
      </c>
      <c r="AA163">
        <f>HYPERLINK("https://klasma.github.io/Logging_2380/klagomål/A 21615-2024 FSC-klagomål.docx", "A 21615-2024")</f>
        <v/>
      </c>
      <c r="AB163">
        <f>HYPERLINK("https://klasma.github.io/Logging_2380/klagomålsmail/A 21615-2024 FSC-klagomål mail.docx", "A 21615-2024")</f>
        <v/>
      </c>
      <c r="AC163">
        <f>HYPERLINK("https://klasma.github.io/Logging_2380/tillsyn/A 21615-2024 tillsynsbegäran.docx", "A 21615-2024")</f>
        <v/>
      </c>
      <c r="AD163">
        <f>HYPERLINK("https://klasma.github.io/Logging_2380/tillsynsmail/A 21615-2024 tillsynsbegäran mail.docx", "A 21615-2024")</f>
        <v/>
      </c>
      <c r="AE163">
        <f>HYPERLINK("https://klasma.github.io/Logging_2380/fåglar/A 21615-2024 prioriterade fågelarter.docx", "A 21615-2024")</f>
        <v/>
      </c>
    </row>
    <row r="164" ht="15" customHeight="1">
      <c r="A164" t="inlineStr">
        <is>
          <t>A 13898-2026</t>
        </is>
      </c>
      <c r="B164" t="inlineStr">
        <is>
          <t>avverkningsanmälan</t>
        </is>
      </c>
      <c r="C164" t="inlineStr">
        <is>
          <t>Föryngringsavverkning</t>
        </is>
      </c>
      <c r="D164" s="1" t="n">
        <v>46098</v>
      </c>
      <c r="E164" s="1" t="n">
        <v>46259</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4872-2023</t>
        </is>
      </c>
      <c r="B165" t="inlineStr">
        <is>
          <t>avverkningsanmälan</t>
        </is>
      </c>
      <c r="C165" t="inlineStr">
        <is>
          <t>Föryngringsavverkning</t>
        </is>
      </c>
      <c r="D165" s="1" t="n">
        <v>44957</v>
      </c>
      <c r="E165" s="1" t="n">
        <v>46259</v>
      </c>
      <c r="F165" t="inlineStr">
        <is>
          <t>JÄMTLANDS LÄN</t>
        </is>
      </c>
      <c r="G165" t="inlineStr">
        <is>
          <t>ÖSTERSUND</t>
        </is>
      </c>
      <c r="I165" t="n">
        <v>10.7</v>
      </c>
      <c r="J165" t="n">
        <v>1</v>
      </c>
      <c r="K165" t="n">
        <v>0</v>
      </c>
      <c r="L165" t="n">
        <v>0</v>
      </c>
      <c r="M165" t="n">
        <v>1</v>
      </c>
      <c r="N165" t="n">
        <v>0</v>
      </c>
      <c r="O165" t="n">
        <v>0</v>
      </c>
      <c r="P165" t="n">
        <v>0</v>
      </c>
      <c r="Q165" t="n">
        <v>1</v>
      </c>
      <c r="R165" t="n">
        <v>1</v>
      </c>
      <c r="S165" t="n">
        <v>2</v>
      </c>
      <c r="T165" t="n">
        <v>4</v>
      </c>
      <c r="U165" t="n">
        <v>0</v>
      </c>
      <c r="V165" s="2" t="inlineStr">
        <is>
          <t>Garnlav
Revlummer</t>
        </is>
      </c>
      <c r="W165">
        <f>HYPERLINK("https://klasma.github.io/Logging_2380/artfynd/A 4872-2023 artfynd.xlsx", "A 4872-2023")</f>
        <v/>
      </c>
      <c r="X165">
        <f>HYPERLINK("https://klasma.github.io/Logging_2380/kartor/A 4872-2023 karta.png", "A 4872-2023")</f>
        <v/>
      </c>
      <c r="Y165">
        <f>HYPERLINK("https://klasma.github.io/Logging_2380/kartor_geotiff/A 4872-2023 georefererad karta.tif", "A 4872-2023")</f>
        <v/>
      </c>
      <c r="AA165">
        <f>HYPERLINK("https://klasma.github.io/Logging_2380/klagomål/A 4872-2023 FSC-klagomål.docx", "A 4872-2023")</f>
        <v/>
      </c>
      <c r="AB165">
        <f>HYPERLINK("https://klasma.github.io/Logging_2380/klagomålsmail/A 4872-2023 FSC-klagomål mail.docx", "A 4872-2023")</f>
        <v/>
      </c>
      <c r="AC165">
        <f>HYPERLINK("https://klasma.github.io/Logging_2380/tillsyn/A 4872-2023 tillsynsbegäran.docx", "A 4872-2023")</f>
        <v/>
      </c>
      <c r="AD165">
        <f>HYPERLINK("https://klasma.github.io/Logging_2380/tillsynsmail/A 4872-2023 tillsynsbegäran mail.docx", "A 4872-2023")</f>
        <v/>
      </c>
    </row>
    <row r="166" ht="15" customHeight="1">
      <c r="A166" t="inlineStr">
        <is>
          <t>A 4916-2023</t>
        </is>
      </c>
      <c r="B166" t="inlineStr">
        <is>
          <t>avverkningsanmälan</t>
        </is>
      </c>
      <c r="C166" t="inlineStr">
        <is>
          <t>Föryngringsavverkning</t>
        </is>
      </c>
      <c r="D166" s="1" t="n">
        <v>44956</v>
      </c>
      <c r="E166" s="1" t="n">
        <v>46259</v>
      </c>
      <c r="F166" t="inlineStr">
        <is>
          <t>JÄMTLANDS LÄN</t>
        </is>
      </c>
      <c r="G166" t="inlineStr">
        <is>
          <t>ÖSTERSUND</t>
        </is>
      </c>
      <c r="I166" t="n">
        <v>1.2</v>
      </c>
      <c r="J166" t="n">
        <v>0</v>
      </c>
      <c r="K166" t="n">
        <v>1</v>
      </c>
      <c r="L166" t="n">
        <v>0</v>
      </c>
      <c r="M166" t="n">
        <v>0</v>
      </c>
      <c r="N166" t="n">
        <v>1</v>
      </c>
      <c r="O166" t="n">
        <v>0</v>
      </c>
      <c r="P166" t="n">
        <v>0</v>
      </c>
      <c r="Q166" t="n">
        <v>1</v>
      </c>
      <c r="R166" t="n">
        <v>1</v>
      </c>
      <c r="S166" t="n">
        <v>2</v>
      </c>
      <c r="T166" t="n">
        <v>4</v>
      </c>
      <c r="U166" t="n">
        <v>4</v>
      </c>
      <c r="V166" s="2" t="inlineStr">
        <is>
          <t>Trolldruvemätare
Svart trolldruva</t>
        </is>
      </c>
      <c r="W166">
        <f>HYPERLINK("https://klasma.github.io/Logging_2380/artfynd/A 4916-2023 artfynd.xlsx", "A 4916-2023")</f>
        <v/>
      </c>
      <c r="X166">
        <f>HYPERLINK("https://klasma.github.io/Logging_2380/kartor/A 4916-2023 karta.png", "A 4916-2023")</f>
        <v/>
      </c>
      <c r="Y166">
        <f>HYPERLINK("https://klasma.github.io/Logging_2380/kartor_geotiff/A 4916-2023 georefererad karta.tif", "A 4916-2023")</f>
        <v/>
      </c>
      <c r="AA166">
        <f>HYPERLINK("https://klasma.github.io/Logging_2380/klagomål/A 4916-2023 FSC-klagomål.docx", "A 4916-2023")</f>
        <v/>
      </c>
      <c r="AB166">
        <f>HYPERLINK("https://klasma.github.io/Logging_2380/klagomålsmail/A 4916-2023 FSC-klagomål mail.docx", "A 4916-2023")</f>
        <v/>
      </c>
      <c r="AC166">
        <f>HYPERLINK("https://klasma.github.io/Logging_2380/tillsyn/A 4916-2023 tillsynsbegäran.docx", "A 4916-2023")</f>
        <v/>
      </c>
      <c r="AD166">
        <f>HYPERLINK("https://klasma.github.io/Logging_2380/tillsynsmail/A 4916-2023 tillsynsbegäran mail.docx", "A 4916-2023")</f>
        <v/>
      </c>
    </row>
    <row r="167" ht="15" customHeight="1">
      <c r="A167" t="inlineStr">
        <is>
          <t>A 58931-2025</t>
        </is>
      </c>
      <c r="B167" t="inlineStr">
        <is>
          <t>avverkningsanmälan</t>
        </is>
      </c>
      <c r="C167" t="inlineStr">
        <is>
          <t>Föryngringsavverkning</t>
        </is>
      </c>
      <c r="D167" s="1" t="n">
        <v>45987</v>
      </c>
      <c r="E167" s="1" t="n">
        <v>46259</v>
      </c>
      <c r="F167" t="inlineStr">
        <is>
          <t>JÄMTLANDS LÄN</t>
        </is>
      </c>
      <c r="G167" t="inlineStr">
        <is>
          <t>ÖSTERSUND</t>
        </is>
      </c>
      <c r="I167" t="n">
        <v>3.9</v>
      </c>
      <c r="J167" t="n">
        <v>2</v>
      </c>
      <c r="K167" t="n">
        <v>0</v>
      </c>
      <c r="L167" t="n">
        <v>0</v>
      </c>
      <c r="M167" t="n">
        <v>0</v>
      </c>
      <c r="N167" t="n">
        <v>0</v>
      </c>
      <c r="O167" t="n">
        <v>0</v>
      </c>
      <c r="P167" t="n">
        <v>0</v>
      </c>
      <c r="Q167" t="n">
        <v>0</v>
      </c>
      <c r="R167" t="n">
        <v>0</v>
      </c>
      <c r="S167" t="n">
        <v>2</v>
      </c>
      <c r="T167" t="n">
        <v>3</v>
      </c>
      <c r="U167" t="n">
        <v>3</v>
      </c>
      <c r="V167" s="2" t="inlineStr">
        <is>
          <t>Blåsippa
Revlummer</t>
        </is>
      </c>
      <c r="W167">
        <f>HYPERLINK("https://klasma.github.io/Logging_2380/artfynd/A 58931-2025 artfynd.xlsx", "A 58931-2025")</f>
        <v/>
      </c>
      <c r="X167">
        <f>HYPERLINK("https://klasma.github.io/Logging_2380/kartor/A 58931-2025 karta.png", "A 58931-2025")</f>
        <v/>
      </c>
      <c r="Y167">
        <f>HYPERLINK("https://klasma.github.io/Logging_2380/kartor_geotiff/A 58931-2025 georefererad karta.tif", "A 58931-2025")</f>
        <v/>
      </c>
      <c r="AA167">
        <f>HYPERLINK("https://klasma.github.io/Logging_2380/klagomål/A 58931-2025 FSC-klagomål.docx", "A 58931-2025")</f>
        <v/>
      </c>
      <c r="AB167">
        <f>HYPERLINK("https://klasma.github.io/Logging_2380/klagomålsmail/A 58931-2025 FSC-klagomål mail.docx", "A 58931-2025")</f>
        <v/>
      </c>
      <c r="AC167">
        <f>HYPERLINK("https://klasma.github.io/Logging_2380/tillsyn/A 58931-2025 tillsynsbegäran.docx", "A 58931-2025")</f>
        <v/>
      </c>
      <c r="AD167">
        <f>HYPERLINK("https://klasma.github.io/Logging_2380/tillsynsmail/A 58931-2025 tillsynsbegäran mail.docx", "A 58931-2025")</f>
        <v/>
      </c>
    </row>
    <row r="168" ht="15" customHeight="1">
      <c r="A168" t="inlineStr">
        <is>
          <t>A 28780-2026</t>
        </is>
      </c>
      <c r="B168" t="inlineStr">
        <is>
          <t>avverkningsanmälan</t>
        </is>
      </c>
      <c r="C168" t="inlineStr">
        <is>
          <t>Föryngringsavverkning</t>
        </is>
      </c>
      <c r="D168" s="1" t="n">
        <v>46198</v>
      </c>
      <c r="E168" s="1" t="n">
        <v>46259</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t="n">
        <v>0</v>
      </c>
      <c r="V168" s="2" t="inlineStr">
        <is>
          <t>Grönpyrola
Plattlummer</t>
        </is>
      </c>
      <c r="W168">
        <f>HYPERLINK("https://klasma.github.io/Logging_2380/artfynd/A 28780-2026 artfynd.xlsx", "A 28780-2026")</f>
        <v/>
      </c>
      <c r="X168">
        <f>HYPERLINK("https://klasma.github.io/Logging_2380/kartor/A 28780-2026 karta.png", "A 28780-2026")</f>
        <v/>
      </c>
      <c r="Y168">
        <f>HYPERLINK("https://klasma.github.io/Logging_2380/kartor_geotiff/A 28780-2026 georefererad karta.tif", "A 28780-2026")</f>
        <v/>
      </c>
      <c r="AA168">
        <f>HYPERLINK("https://klasma.github.io/Logging_2380/klagomål/A 28780-2026 FSC-klagomål.docx", "A 28780-2026")</f>
        <v/>
      </c>
      <c r="AB168">
        <f>HYPERLINK("https://klasma.github.io/Logging_2380/klagomålsmail/A 28780-2026 FSC-klagomål mail.docx", "A 28780-2026")</f>
        <v/>
      </c>
      <c r="AC168">
        <f>HYPERLINK("https://klasma.github.io/Logging_2380/tillsyn/A 28780-2026 tillsynsbegäran.docx", "A 28780-2026")</f>
        <v/>
      </c>
      <c r="AD168">
        <f>HYPERLINK("https://klasma.github.io/Logging_2380/tillsynsmail/A 28780-2026 tillsynsbegäran mail.docx", "A 28780-2026")</f>
        <v/>
      </c>
    </row>
    <row r="169" ht="15" customHeight="1">
      <c r="A169" t="inlineStr">
        <is>
          <t>A 61653-2022</t>
        </is>
      </c>
      <c r="B169" t="inlineStr">
        <is>
          <t>avverkningsanmälan</t>
        </is>
      </c>
      <c r="C169" t="inlineStr">
        <is>
          <t>Föryngringsavverkning</t>
        </is>
      </c>
      <c r="D169" s="1" t="n">
        <v>44916</v>
      </c>
      <c r="E169" s="1" t="n">
        <v>46259</v>
      </c>
      <c r="F169" t="inlineStr">
        <is>
          <t>JÄMTLANDS LÄN</t>
        </is>
      </c>
      <c r="G169" t="inlineStr">
        <is>
          <t>ÖSTERSUND</t>
        </is>
      </c>
      <c r="I169" t="n">
        <v>7.6</v>
      </c>
      <c r="J169" t="n">
        <v>0</v>
      </c>
      <c r="K169" t="n">
        <v>0</v>
      </c>
      <c r="L169" t="n">
        <v>0</v>
      </c>
      <c r="M169" t="n">
        <v>0</v>
      </c>
      <c r="N169" t="n">
        <v>0</v>
      </c>
      <c r="O169" t="n">
        <v>0</v>
      </c>
      <c r="P169" t="n">
        <v>0</v>
      </c>
      <c r="Q169" t="n">
        <v>0</v>
      </c>
      <c r="R169" t="n">
        <v>0</v>
      </c>
      <c r="S169" t="n">
        <v>2</v>
      </c>
      <c r="T169" t="n">
        <v>2</v>
      </c>
      <c r="U169" t="n">
        <v>2</v>
      </c>
      <c r="V169" s="2" t="inlineStr">
        <is>
          <t>Hultbräken
Liljekonvalj</t>
        </is>
      </c>
      <c r="W169">
        <f>HYPERLINK("https://klasma.github.io/Logging_2380/artfynd/A 61653-2022 artfynd.xlsx", "A 61653-2022")</f>
        <v/>
      </c>
      <c r="X169">
        <f>HYPERLINK("https://klasma.github.io/Logging_2380/kartor/A 61653-2022 karta.png", "A 61653-2022")</f>
        <v/>
      </c>
      <c r="Y169">
        <f>HYPERLINK("https://klasma.github.io/Logging_2380/kartor_geotiff/A 61653-2022 georefererad karta.tif", "A 61653-2022")</f>
        <v/>
      </c>
      <c r="AA169">
        <f>HYPERLINK("https://klasma.github.io/Logging_2380/klagomål/A 61653-2022 FSC-klagomål.docx", "A 61653-2022")</f>
        <v/>
      </c>
      <c r="AB169">
        <f>HYPERLINK("https://klasma.github.io/Logging_2380/klagomålsmail/A 61653-2022 FSC-klagomål mail.docx", "A 61653-2022")</f>
        <v/>
      </c>
      <c r="AC169">
        <f>HYPERLINK("https://klasma.github.io/Logging_2380/tillsyn/A 61653-2022 tillsynsbegäran.docx", "A 61653-2022")</f>
        <v/>
      </c>
      <c r="AD169">
        <f>HYPERLINK("https://klasma.github.io/Logging_2380/tillsynsmail/A 61653-2022 tillsynsbegäran mail.docx", "A 61653-2022")</f>
        <v/>
      </c>
    </row>
    <row r="170" ht="15" customHeight="1">
      <c r="A170" t="inlineStr">
        <is>
          <t>A 56750-2025</t>
        </is>
      </c>
      <c r="B170" t="inlineStr">
        <is>
          <t>avverkningsanmälan</t>
        </is>
      </c>
      <c r="C170" t="inlineStr">
        <is>
          <t>Föryngringsavverkning</t>
        </is>
      </c>
      <c r="D170" s="1" t="n">
        <v>45975</v>
      </c>
      <c r="E170" s="1" t="n">
        <v>46259</v>
      </c>
      <c r="F170" t="inlineStr">
        <is>
          <t>JÄMTLANDS LÄN</t>
        </is>
      </c>
      <c r="G170" t="inlineStr">
        <is>
          <t>ÖSTERSUND</t>
        </is>
      </c>
      <c r="I170" t="n">
        <v>5.1</v>
      </c>
      <c r="J170" t="n">
        <v>1</v>
      </c>
      <c r="K170" t="n">
        <v>0</v>
      </c>
      <c r="L170" t="n">
        <v>0</v>
      </c>
      <c r="M170" t="n">
        <v>1</v>
      </c>
      <c r="N170" t="n">
        <v>0</v>
      </c>
      <c r="O170" t="n">
        <v>0</v>
      </c>
      <c r="P170" t="n">
        <v>0</v>
      </c>
      <c r="Q170" t="n">
        <v>1</v>
      </c>
      <c r="R170" t="n">
        <v>1</v>
      </c>
      <c r="S170" t="n">
        <v>2</v>
      </c>
      <c r="T170" t="n">
        <v>6</v>
      </c>
      <c r="U170" t="n">
        <v>6</v>
      </c>
      <c r="V170" s="2" t="inlineStr">
        <is>
          <t>Garnlav
Revlummer</t>
        </is>
      </c>
      <c r="W170">
        <f>HYPERLINK("https://klasma.github.io/Logging_2380/artfynd/A 56750-2025 artfynd.xlsx", "A 56750-2025")</f>
        <v/>
      </c>
      <c r="X170">
        <f>HYPERLINK("https://klasma.github.io/Logging_2380/kartor/A 56750-2025 karta.png", "A 56750-2025")</f>
        <v/>
      </c>
      <c r="Y170">
        <f>HYPERLINK("https://klasma.github.io/Logging_2380/kartor_geotiff/A 56750-2025 georefererad karta.tif", "A 56750-2025")</f>
        <v/>
      </c>
      <c r="AA170">
        <f>HYPERLINK("https://klasma.github.io/Logging_2380/klagomål/A 56750-2025 FSC-klagomål.docx", "A 56750-2025")</f>
        <v/>
      </c>
      <c r="AB170">
        <f>HYPERLINK("https://klasma.github.io/Logging_2380/klagomålsmail/A 56750-2025 FSC-klagomål mail.docx", "A 56750-2025")</f>
        <v/>
      </c>
      <c r="AC170">
        <f>HYPERLINK("https://klasma.github.io/Logging_2380/tillsyn/A 56750-2025 tillsynsbegäran.docx", "A 56750-2025")</f>
        <v/>
      </c>
      <c r="AD170">
        <f>HYPERLINK("https://klasma.github.io/Logging_2380/tillsynsmail/A 56750-2025 tillsynsbegäran mail.docx", "A 56750-2025")</f>
        <v/>
      </c>
    </row>
    <row r="171" ht="15" customHeight="1">
      <c r="A171" t="inlineStr">
        <is>
          <t>A 4226-2026</t>
        </is>
      </c>
      <c r="B171" t="inlineStr">
        <is>
          <t>avverkningsanmälan</t>
        </is>
      </c>
      <c r="C171" t="inlineStr">
        <is>
          <t>Föryngringsavverkning</t>
        </is>
      </c>
      <c r="D171" s="1" t="n">
        <v>46044</v>
      </c>
      <c r="E171" s="1" t="n">
        <v>46259</v>
      </c>
      <c r="F171" t="inlineStr">
        <is>
          <t>JÄMTLANDS LÄN</t>
        </is>
      </c>
      <c r="G171" t="inlineStr">
        <is>
          <t>ÖSTERSUND</t>
        </is>
      </c>
      <c r="I171" t="n">
        <v>2.1</v>
      </c>
      <c r="J171" t="n">
        <v>0</v>
      </c>
      <c r="K171" t="n">
        <v>0</v>
      </c>
      <c r="L171" t="n">
        <v>0</v>
      </c>
      <c r="M171" t="n">
        <v>1</v>
      </c>
      <c r="N171" t="n">
        <v>1</v>
      </c>
      <c r="O171" t="n">
        <v>0</v>
      </c>
      <c r="P171" t="n">
        <v>0</v>
      </c>
      <c r="Q171" t="n">
        <v>2</v>
      </c>
      <c r="R171" t="n">
        <v>2</v>
      </c>
      <c r="S171" t="n">
        <v>2</v>
      </c>
      <c r="T171" t="n">
        <v>2</v>
      </c>
      <c r="U171" t="n">
        <v>1</v>
      </c>
      <c r="V171" s="2" t="inlineStr">
        <is>
          <t>Fjällfotad fingersvamp
Fältgentiana</t>
        </is>
      </c>
      <c r="W171">
        <f>HYPERLINK("https://klasma.github.io/Logging_2380/artfynd/A 4226-2026 artfynd.xlsx", "A 4226-2026")</f>
        <v/>
      </c>
      <c r="X171">
        <f>HYPERLINK("https://klasma.github.io/Logging_2380/kartor/A 4226-2026 karta.png", "A 4226-2026")</f>
        <v/>
      </c>
      <c r="Y171">
        <f>HYPERLINK("https://klasma.github.io/Logging_2380/kartor_geotiff/A 4226-2026 georefererad karta.tif", "A 4226-2026")</f>
        <v/>
      </c>
      <c r="AA171">
        <f>HYPERLINK("https://klasma.github.io/Logging_2380/klagomål/A 4226-2026 FSC-klagomål.docx", "A 4226-2026")</f>
        <v/>
      </c>
      <c r="AB171">
        <f>HYPERLINK("https://klasma.github.io/Logging_2380/klagomålsmail/A 4226-2026 FSC-klagomål mail.docx", "A 4226-2026")</f>
        <v/>
      </c>
      <c r="AC171">
        <f>HYPERLINK("https://klasma.github.io/Logging_2380/tillsyn/A 4226-2026 tillsynsbegäran.docx", "A 4226-2026")</f>
        <v/>
      </c>
      <c r="AD171">
        <f>HYPERLINK("https://klasma.github.io/Logging_2380/tillsynsmail/A 4226-2026 tillsynsbegäran mail.docx", "A 4226-2026")</f>
        <v/>
      </c>
    </row>
    <row r="172" ht="15" customHeight="1">
      <c r="A172" t="inlineStr">
        <is>
          <t>A 19798-2022</t>
        </is>
      </c>
      <c r="B172" t="inlineStr">
        <is>
          <t>avverkningsanmälan</t>
        </is>
      </c>
      <c r="C172" t="inlineStr">
        <is>
          <t>Föryngringsavverkning</t>
        </is>
      </c>
      <c r="D172" s="1" t="n">
        <v>44694</v>
      </c>
      <c r="E172" s="1" t="n">
        <v>46259</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46259</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46259</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5145-2022</t>
        </is>
      </c>
      <c r="B175" t="inlineStr">
        <is>
          <t>avverkningsanmälan</t>
        </is>
      </c>
      <c r="C175" t="inlineStr">
        <is>
          <t>Föryngringsavverkning</t>
        </is>
      </c>
      <c r="D175" s="1" t="n">
        <v>44594</v>
      </c>
      <c r="E175" s="1" t="n">
        <v>46259</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t="n">
        <v>1</v>
      </c>
      <c r="V175" s="2" t="inlineStr">
        <is>
          <t>Tvåblad</t>
        </is>
      </c>
      <c r="W175">
        <f>HYPERLINK("https://klasma.github.io/Logging_2380/artfynd/A 5145-2022 artfynd.xlsx", "A 5145-2022")</f>
        <v/>
      </c>
      <c r="X175">
        <f>HYPERLINK("https://klasma.github.io/Logging_2380/kartor/A 5145-2022 karta.png", "A 5145-2022")</f>
        <v/>
      </c>
      <c r="Y175">
        <f>HYPERLINK("https://klasma.github.io/Logging_2380/kartor_geotiff/A 5145-2022 georefererad karta.tif", "A 5145-2022")</f>
        <v/>
      </c>
      <c r="AA175">
        <f>HYPERLINK("https://klasma.github.io/Logging_2380/klagomål/A 5145-2022 FSC-klagomål.docx", "A 5145-2022")</f>
        <v/>
      </c>
      <c r="AB175">
        <f>HYPERLINK("https://klasma.github.io/Logging_2380/klagomålsmail/A 5145-2022 FSC-klagomål mail.docx", "A 5145-2022")</f>
        <v/>
      </c>
      <c r="AC175">
        <f>HYPERLINK("https://klasma.github.io/Logging_2380/tillsyn/A 5145-2022 tillsynsbegäran.docx", "A 5145-2022")</f>
        <v/>
      </c>
      <c r="AD175">
        <f>HYPERLINK("https://klasma.github.io/Logging_2380/tillsynsmail/A 5145-2022 tillsynsbegäran mail.docx", "A 5145-2022")</f>
        <v/>
      </c>
    </row>
    <row r="176" ht="15" customHeight="1">
      <c r="A176" t="inlineStr">
        <is>
          <t>A 2627-2024</t>
        </is>
      </c>
      <c r="B176" t="inlineStr">
        <is>
          <t>avverkningsanmälan</t>
        </is>
      </c>
      <c r="C176" t="inlineStr">
        <is>
          <t>Föryngringsavverkning</t>
        </is>
      </c>
      <c r="D176" s="1" t="n">
        <v>45313</v>
      </c>
      <c r="E176" s="1" t="n">
        <v>46259</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52128-2023</t>
        </is>
      </c>
      <c r="B177" t="inlineStr">
        <is>
          <t>avverkningsanmälan</t>
        </is>
      </c>
      <c r="C177" t="inlineStr">
        <is>
          <t>Avverkning för att bevara och utveckla /försöksver</t>
        </is>
      </c>
      <c r="D177" s="1" t="n">
        <v>45223</v>
      </c>
      <c r="E177" s="1" t="n">
        <v>46259</v>
      </c>
      <c r="F177" t="inlineStr">
        <is>
          <t>JÄMTLANDS LÄN</t>
        </is>
      </c>
      <c r="G177" t="inlineStr">
        <is>
          <t>ÖSTERSUND</t>
        </is>
      </c>
      <c r="H177" t="inlineStr">
        <is>
          <t>SCA</t>
        </is>
      </c>
      <c r="I177" t="n">
        <v>11.9</v>
      </c>
      <c r="J177" t="n">
        <v>0</v>
      </c>
      <c r="K177" t="n">
        <v>0</v>
      </c>
      <c r="L177" t="n">
        <v>0</v>
      </c>
      <c r="M177" t="n">
        <v>1</v>
      </c>
      <c r="N177" t="n">
        <v>0</v>
      </c>
      <c r="O177" t="n">
        <v>0</v>
      </c>
      <c r="P177" t="n">
        <v>0</v>
      </c>
      <c r="Q177" t="n">
        <v>1</v>
      </c>
      <c r="R177" t="n">
        <v>1</v>
      </c>
      <c r="S177" t="n">
        <v>1</v>
      </c>
      <c r="T177" t="n">
        <v>1</v>
      </c>
      <c r="U177" t="n">
        <v>0</v>
      </c>
      <c r="V177" s="2" t="inlineStr">
        <is>
          <t>Fläckporing</t>
        </is>
      </c>
      <c r="W177">
        <f>HYPERLINK("https://klasma.github.io/Logging_2380/artfynd/A 52128-2023 artfynd.xlsx", "A 52128-2023")</f>
        <v/>
      </c>
      <c r="X177">
        <f>HYPERLINK("https://klasma.github.io/Logging_2380/kartor/A 52128-2023 karta.png", "A 52128-2023")</f>
        <v/>
      </c>
      <c r="Y177">
        <f>HYPERLINK("https://klasma.github.io/Logging_2380/kartor_geotiff/A 52128-2023 georefererad karta.tif", "A 52128-2023")</f>
        <v/>
      </c>
      <c r="AA177">
        <f>HYPERLINK("https://klasma.github.io/Logging_2380/klagomål/A 52128-2023 FSC-klagomål.docx", "A 52128-2023")</f>
        <v/>
      </c>
      <c r="AB177">
        <f>HYPERLINK("https://klasma.github.io/Logging_2380/klagomålsmail/A 52128-2023 FSC-klagomål mail.docx", "A 52128-2023")</f>
        <v/>
      </c>
      <c r="AC177">
        <f>HYPERLINK("https://klasma.github.io/Logging_2380/tillsyn/A 52128-2023 tillsynsbegäran.docx", "A 52128-2023")</f>
        <v/>
      </c>
      <c r="AD177">
        <f>HYPERLINK("https://klasma.github.io/Logging_2380/tillsynsmail/A 52128-2023 tillsynsbegäran mail.docx", "A 52128-2023")</f>
        <v/>
      </c>
    </row>
    <row r="178" ht="15" customHeight="1">
      <c r="A178" t="inlineStr">
        <is>
          <t>A 27578-2022</t>
        </is>
      </c>
      <c r="B178" t="inlineStr">
        <is>
          <t>avverkningsanmälan</t>
        </is>
      </c>
      <c r="C178" t="inlineStr">
        <is>
          <t>Föryngringsavverkning</t>
        </is>
      </c>
      <c r="D178" s="1" t="n">
        <v>44742</v>
      </c>
      <c r="E178" s="1" t="n">
        <v>46259</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33358-2025</t>
        </is>
      </c>
      <c r="B179" t="inlineStr">
        <is>
          <t>avverkningsanmälan</t>
        </is>
      </c>
      <c r="C179" t="inlineStr">
        <is>
          <t>Föryngringsavverkning</t>
        </is>
      </c>
      <c r="D179" s="1" t="n">
        <v>45841</v>
      </c>
      <c r="E179" s="1" t="n">
        <v>46259</v>
      </c>
      <c r="F179" t="inlineStr">
        <is>
          <t>JÄMTLANDS LÄN</t>
        </is>
      </c>
      <c r="G179" t="inlineStr">
        <is>
          <t>ÖSTERSUND</t>
        </is>
      </c>
      <c r="I179" t="n">
        <v>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HYPERLINK("https://klasma.github.io/Logging_2380/artfynd/A 33358-2025 artfynd.xlsx", "A 33358-2025")</f>
        <v/>
      </c>
      <c r="X179">
        <f>HYPERLINK("https://klasma.github.io/Logging_2380/kartor/A 33358-2025 karta.png", "A 33358-2025")</f>
        <v/>
      </c>
      <c r="Y179">
        <f>HYPERLINK("https://klasma.github.io/Logging_2380/kartor_geotiff/A 33358-2025 georefererad karta.tif", "A 33358-2025")</f>
        <v/>
      </c>
      <c r="AA179">
        <f>HYPERLINK("https://klasma.github.io/Logging_2380/klagomål/A 33358-2025 FSC-klagomål.docx", "A 33358-2025")</f>
        <v/>
      </c>
      <c r="AB179">
        <f>HYPERLINK("https://klasma.github.io/Logging_2380/klagomålsmail/A 33358-2025 FSC-klagomål mail.docx", "A 33358-2025")</f>
        <v/>
      </c>
      <c r="AC179">
        <f>HYPERLINK("https://klasma.github.io/Logging_2380/tillsyn/A 33358-2025 tillsynsbegäran.docx", "A 33358-2025")</f>
        <v/>
      </c>
      <c r="AD179">
        <f>HYPERLINK("https://klasma.github.io/Logging_2380/tillsynsmail/A 33358-2025 tillsynsbegäran mail.docx", "A 33358-2025")</f>
        <v/>
      </c>
    </row>
    <row r="180" ht="15" customHeight="1">
      <c r="A180" t="inlineStr">
        <is>
          <t>A 59433-2021</t>
        </is>
      </c>
      <c r="B180" t="inlineStr">
        <is>
          <t>avverkningsanmälan</t>
        </is>
      </c>
      <c r="C180" t="inlineStr">
        <is>
          <t>Föryngringsavverkning</t>
        </is>
      </c>
      <c r="D180" s="1" t="n">
        <v>44491</v>
      </c>
      <c r="E180" s="1" t="n">
        <v>46259</v>
      </c>
      <c r="F180" t="inlineStr">
        <is>
          <t>JÄMTLANDS LÄN</t>
        </is>
      </c>
      <c r="G180" t="inlineStr">
        <is>
          <t>ÖSTERSUND</t>
        </is>
      </c>
      <c r="H180" t="inlineStr">
        <is>
          <t>Övriga statliga verk och myndigheter</t>
        </is>
      </c>
      <c r="I180" t="n">
        <v>1.6</v>
      </c>
      <c r="J180" t="n">
        <v>0</v>
      </c>
      <c r="K180" t="n">
        <v>0</v>
      </c>
      <c r="L180" t="n">
        <v>1</v>
      </c>
      <c r="M180" t="n">
        <v>0</v>
      </c>
      <c r="N180" t="n">
        <v>0</v>
      </c>
      <c r="O180" t="n">
        <v>0</v>
      </c>
      <c r="P180" t="n">
        <v>0</v>
      </c>
      <c r="Q180" t="n">
        <v>1</v>
      </c>
      <c r="R180" t="n">
        <v>0</v>
      </c>
      <c r="S180" t="n">
        <v>1</v>
      </c>
      <c r="T180" t="n">
        <v>1</v>
      </c>
      <c r="U180" t="n">
        <v>0</v>
      </c>
      <c r="V180" s="2" t="inlineStr">
        <is>
          <t>Brunpudrad nållav</t>
        </is>
      </c>
      <c r="W180">
        <f>HYPERLINK("https://klasma.github.io/Logging_2380/artfynd/A 59433-2021 artfynd.xlsx", "A 59433-2021")</f>
        <v/>
      </c>
      <c r="X180">
        <f>HYPERLINK("https://klasma.github.io/Logging_2380/kartor/A 59433-2021 karta.png", "A 59433-2021")</f>
        <v/>
      </c>
      <c r="Y180">
        <f>HYPERLINK("https://klasma.github.io/Logging_2380/kartor_geotiff/A 59433-2021 georefererad karta.tif", "A 59433-2021")</f>
        <v/>
      </c>
      <c r="AA180">
        <f>HYPERLINK("https://klasma.github.io/Logging_2380/klagomål/A 59433-2021 FSC-klagomål.docx", "A 59433-2021")</f>
        <v/>
      </c>
      <c r="AB180">
        <f>HYPERLINK("https://klasma.github.io/Logging_2380/klagomålsmail/A 59433-2021 FSC-klagomål mail.docx", "A 59433-2021")</f>
        <v/>
      </c>
      <c r="AC180">
        <f>HYPERLINK("https://klasma.github.io/Logging_2380/tillsyn/A 59433-2021 tillsynsbegäran.docx", "A 59433-2021")</f>
        <v/>
      </c>
      <c r="AD180">
        <f>HYPERLINK("https://klasma.github.io/Logging_2380/tillsynsmail/A 59433-2021 tillsynsbegäran mail.docx", "A 59433-2021")</f>
        <v/>
      </c>
    </row>
    <row r="181" ht="15" customHeight="1">
      <c r="A181" t="inlineStr">
        <is>
          <t>A 36211-2025</t>
        </is>
      </c>
      <c r="B181" t="inlineStr">
        <is>
          <t>avverkningsanmälan</t>
        </is>
      </c>
      <c r="C181" t="inlineStr">
        <is>
          <t>Föryngringsavverkning</t>
        </is>
      </c>
      <c r="D181" s="1" t="n">
        <v>45867</v>
      </c>
      <c r="E181" s="1" t="n">
        <v>46259</v>
      </c>
      <c r="F181" t="inlineStr">
        <is>
          <t>JÄMTLANDS LÄN</t>
        </is>
      </c>
      <c r="G181" t="inlineStr">
        <is>
          <t>ÖSTERSUND</t>
        </is>
      </c>
      <c r="H181" t="inlineStr">
        <is>
          <t>SCA</t>
        </is>
      </c>
      <c r="I181" t="n">
        <v>3.8</v>
      </c>
      <c r="J181" t="n">
        <v>0</v>
      </c>
      <c r="K181" t="n">
        <v>0</v>
      </c>
      <c r="L181" t="n">
        <v>1</v>
      </c>
      <c r="M181" t="n">
        <v>0</v>
      </c>
      <c r="N181" t="n">
        <v>0</v>
      </c>
      <c r="O181" t="n">
        <v>0</v>
      </c>
      <c r="P181" t="n">
        <v>0</v>
      </c>
      <c r="Q181" t="n">
        <v>1</v>
      </c>
      <c r="R181" t="n">
        <v>0</v>
      </c>
      <c r="S181" t="n">
        <v>1</v>
      </c>
      <c r="T181" t="n">
        <v>1</v>
      </c>
      <c r="U181" t="n">
        <v>1</v>
      </c>
      <c r="V181" s="2" t="inlineStr">
        <is>
          <t>Fjällig taggsvamp s.str.</t>
        </is>
      </c>
      <c r="W181">
        <f>HYPERLINK("https://klasma.github.io/Logging_2380/artfynd/A 36211-2025 artfynd.xlsx", "A 36211-2025")</f>
        <v/>
      </c>
      <c r="X181">
        <f>HYPERLINK("https://klasma.github.io/Logging_2380/kartor/A 36211-2025 karta.png", "A 36211-2025")</f>
        <v/>
      </c>
      <c r="Y181">
        <f>HYPERLINK("https://klasma.github.io/Logging_2380/kartor_geotiff/A 36211-2025 georefererad karta.tif", "A 36211-2025")</f>
        <v/>
      </c>
      <c r="AA181">
        <f>HYPERLINK("https://klasma.github.io/Logging_2380/klagomål/A 36211-2025 FSC-klagomål.docx", "A 36211-2025")</f>
        <v/>
      </c>
      <c r="AB181">
        <f>HYPERLINK("https://klasma.github.io/Logging_2380/klagomålsmail/A 36211-2025 FSC-klagomål mail.docx", "A 36211-2025")</f>
        <v/>
      </c>
      <c r="AC181">
        <f>HYPERLINK("https://klasma.github.io/Logging_2380/tillsyn/A 36211-2025 tillsynsbegäran.docx", "A 36211-2025")</f>
        <v/>
      </c>
      <c r="AD181">
        <f>HYPERLINK("https://klasma.github.io/Logging_2380/tillsynsmail/A 36211-2025 tillsynsbegäran mail.docx", "A 36211-2025")</f>
        <v/>
      </c>
    </row>
    <row r="182" ht="15" customHeight="1">
      <c r="A182" t="inlineStr">
        <is>
          <t>A 36225-2025</t>
        </is>
      </c>
      <c r="B182" t="inlineStr">
        <is>
          <t>avverkningsanmälan</t>
        </is>
      </c>
      <c r="C182" t="inlineStr">
        <is>
          <t>Föryngringsavverkning</t>
        </is>
      </c>
      <c r="D182" s="1" t="n">
        <v>45867</v>
      </c>
      <c r="E182" s="1" t="n">
        <v>46259</v>
      </c>
      <c r="F182" t="inlineStr">
        <is>
          <t>JÄMTLANDS LÄN</t>
        </is>
      </c>
      <c r="G182" t="inlineStr">
        <is>
          <t>ÖSTERSUND</t>
        </is>
      </c>
      <c r="H182" t="inlineStr">
        <is>
          <t>SCA</t>
        </is>
      </c>
      <c r="I182" t="n">
        <v>1.8</v>
      </c>
      <c r="J182" t="n">
        <v>0</v>
      </c>
      <c r="K182" t="n">
        <v>0</v>
      </c>
      <c r="L182" t="n">
        <v>1</v>
      </c>
      <c r="M182" t="n">
        <v>0</v>
      </c>
      <c r="N182" t="n">
        <v>0</v>
      </c>
      <c r="O182" t="n">
        <v>0</v>
      </c>
      <c r="P182" t="n">
        <v>0</v>
      </c>
      <c r="Q182" t="n">
        <v>1</v>
      </c>
      <c r="R182" t="n">
        <v>0</v>
      </c>
      <c r="S182" t="n">
        <v>1</v>
      </c>
      <c r="T182" t="n">
        <v>1</v>
      </c>
      <c r="U182" t="n">
        <v>0</v>
      </c>
      <c r="V182" s="2" t="inlineStr">
        <is>
          <t>Kolflarnlav</t>
        </is>
      </c>
      <c r="W182">
        <f>HYPERLINK("https://klasma.github.io/Logging_2380/artfynd/A 36225-2025 artfynd.xlsx", "A 36225-2025")</f>
        <v/>
      </c>
      <c r="X182">
        <f>HYPERLINK("https://klasma.github.io/Logging_2380/kartor/A 36225-2025 karta.png", "A 36225-2025")</f>
        <v/>
      </c>
      <c r="Y182">
        <f>HYPERLINK("https://klasma.github.io/Logging_2380/kartor_geotiff/A 36225-2025 georefererad karta.tif", "A 36225-2025")</f>
        <v/>
      </c>
      <c r="AA182">
        <f>HYPERLINK("https://klasma.github.io/Logging_2380/klagomål/A 36225-2025 FSC-klagomål.docx", "A 36225-2025")</f>
        <v/>
      </c>
      <c r="AB182">
        <f>HYPERLINK("https://klasma.github.io/Logging_2380/klagomålsmail/A 36225-2025 FSC-klagomål mail.docx", "A 36225-2025")</f>
        <v/>
      </c>
      <c r="AC182">
        <f>HYPERLINK("https://klasma.github.io/Logging_2380/tillsyn/A 36225-2025 tillsynsbegäran.docx", "A 36225-2025")</f>
        <v/>
      </c>
      <c r="AD182">
        <f>HYPERLINK("https://klasma.github.io/Logging_2380/tillsynsmail/A 36225-2025 tillsynsbegäran mail.docx", "A 36225-2025")</f>
        <v/>
      </c>
    </row>
    <row r="183" ht="15" customHeight="1">
      <c r="A183" t="inlineStr">
        <is>
          <t>A 54354-2024</t>
        </is>
      </c>
      <c r="B183" t="inlineStr">
        <is>
          <t>avverkningsanmälan</t>
        </is>
      </c>
      <c r="C183" t="inlineStr">
        <is>
          <t>Föryngringsavverkning</t>
        </is>
      </c>
      <c r="D183" s="1" t="n">
        <v>45617</v>
      </c>
      <c r="E183" s="1" t="n">
        <v>46259</v>
      </c>
      <c r="F183" t="inlineStr">
        <is>
          <t>JÄMTLANDS LÄN</t>
        </is>
      </c>
      <c r="G183" t="inlineStr">
        <is>
          <t>ÖSTERSUND</t>
        </is>
      </c>
      <c r="I183" t="n">
        <v>7</v>
      </c>
      <c r="J183" t="n">
        <v>1</v>
      </c>
      <c r="K183" t="n">
        <v>0</v>
      </c>
      <c r="L183" t="n">
        <v>1</v>
      </c>
      <c r="M183" t="n">
        <v>0</v>
      </c>
      <c r="N183" t="n">
        <v>0</v>
      </c>
      <c r="O183" t="n">
        <v>0</v>
      </c>
      <c r="P183" t="n">
        <v>0</v>
      </c>
      <c r="Q183" t="n">
        <v>1</v>
      </c>
      <c r="R183" t="n">
        <v>0</v>
      </c>
      <c r="S183" t="n">
        <v>1</v>
      </c>
      <c r="T183" t="n">
        <v>19</v>
      </c>
      <c r="U183" t="n">
        <v>19</v>
      </c>
      <c r="V183" s="2" t="inlineStr">
        <is>
          <t>Tretåig hackspett</t>
        </is>
      </c>
      <c r="W183">
        <f>HYPERLINK("https://klasma.github.io/Logging_2380/artfynd/A 54354-2024 artfynd.xlsx", "A 54354-2024")</f>
        <v/>
      </c>
      <c r="X183">
        <f>HYPERLINK("https://klasma.github.io/Logging_2380/kartor/A 54354-2024 karta.png", "A 54354-2024")</f>
        <v/>
      </c>
      <c r="Y183">
        <f>HYPERLINK("https://klasma.github.io/Logging_2380/kartor_geotiff/A 54354-2024 georefererad karta.tif", "A 54354-2024")</f>
        <v/>
      </c>
      <c r="AA183">
        <f>HYPERLINK("https://klasma.github.io/Logging_2380/klagomål/A 54354-2024 FSC-klagomål.docx", "A 54354-2024")</f>
        <v/>
      </c>
      <c r="AB183">
        <f>HYPERLINK("https://klasma.github.io/Logging_2380/klagomålsmail/A 54354-2024 FSC-klagomål mail.docx", "A 54354-2024")</f>
        <v/>
      </c>
      <c r="AC183">
        <f>HYPERLINK("https://klasma.github.io/Logging_2380/tillsyn/A 54354-2024 tillsynsbegäran.docx", "A 54354-2024")</f>
        <v/>
      </c>
      <c r="AD183">
        <f>HYPERLINK("https://klasma.github.io/Logging_2380/tillsynsmail/A 54354-2024 tillsynsbegäran mail.docx", "A 54354-2024")</f>
        <v/>
      </c>
      <c r="AE183">
        <f>HYPERLINK("https://klasma.github.io/Logging_2380/fåglar/A 54354-2024 prioriterade fågelarter.docx", "A 54354-2024")</f>
        <v/>
      </c>
    </row>
    <row r="184" ht="15" customHeight="1">
      <c r="A184" t="inlineStr">
        <is>
          <t>A 58181-2022</t>
        </is>
      </c>
      <c r="B184" t="inlineStr">
        <is>
          <t>avverkningsanmälan</t>
        </is>
      </c>
      <c r="C184" t="inlineStr">
        <is>
          <t>Föryngringsavverkning</t>
        </is>
      </c>
      <c r="D184" s="1" t="n">
        <v>44900</v>
      </c>
      <c r="E184" s="1" t="n">
        <v>46259</v>
      </c>
      <c r="F184" t="inlineStr">
        <is>
          <t>JÄMTLANDS LÄN</t>
        </is>
      </c>
      <c r="G184" t="inlineStr">
        <is>
          <t>ÖSTERSUND</t>
        </is>
      </c>
      <c r="I184" t="n">
        <v>14.8</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58181-2022 artfynd.xlsx", "A 58181-2022")</f>
        <v/>
      </c>
      <c r="X184">
        <f>HYPERLINK("https://klasma.github.io/Logging_2380/kartor/A 58181-2022 karta.png", "A 58181-2022")</f>
        <v/>
      </c>
      <c r="Y184">
        <f>HYPERLINK("https://klasma.github.io/Logging_2380/kartor_geotiff/A 58181-2022 georefererad karta.tif", "A 58181-2022")</f>
        <v/>
      </c>
      <c r="AA184">
        <f>HYPERLINK("https://klasma.github.io/Logging_2380/klagomål/A 58181-2022 FSC-klagomål.docx", "A 58181-2022")</f>
        <v/>
      </c>
      <c r="AB184">
        <f>HYPERLINK("https://klasma.github.io/Logging_2380/klagomålsmail/A 58181-2022 FSC-klagomål mail.docx", "A 58181-2022")</f>
        <v/>
      </c>
      <c r="AC184">
        <f>HYPERLINK("https://klasma.github.io/Logging_2380/tillsyn/A 58181-2022 tillsynsbegäran.docx", "A 58181-2022")</f>
        <v/>
      </c>
      <c r="AD184">
        <f>HYPERLINK("https://klasma.github.io/Logging_2380/tillsynsmail/A 58181-2022 tillsynsbegäran mail.docx", "A 58181-2022")</f>
        <v/>
      </c>
    </row>
    <row r="185" ht="15" customHeight="1">
      <c r="A185" t="inlineStr">
        <is>
          <t>A 46139-2021</t>
        </is>
      </c>
      <c r="B185" t="inlineStr">
        <is>
          <t>avverkningsanmälan</t>
        </is>
      </c>
      <c r="C185" t="inlineStr">
        <is>
          <t>Föryngringsavverkning</t>
        </is>
      </c>
      <c r="D185" s="1" t="n">
        <v>44441</v>
      </c>
      <c r="E185" s="1" t="n">
        <v>46259</v>
      </c>
      <c r="F185" t="inlineStr">
        <is>
          <t>JÄMTLANDS LÄN</t>
        </is>
      </c>
      <c r="G185" t="inlineStr">
        <is>
          <t>ÖSTERSUND</t>
        </is>
      </c>
      <c r="I185" t="n">
        <v>12.8</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HYPERLINK("https://klasma.github.io/Logging_2380/artfynd/A 46139-2021 artfynd.xlsx", "A 46139-2021")</f>
        <v/>
      </c>
      <c r="X185">
        <f>HYPERLINK("https://klasma.github.io/Logging_2380/kartor/A 46139-2021 karta.png", "A 46139-2021")</f>
        <v/>
      </c>
      <c r="Y185">
        <f>HYPERLINK("https://klasma.github.io/Logging_2380/kartor_geotiff/A 46139-2021 georefererad karta.tif", "A 46139-2021")</f>
        <v/>
      </c>
      <c r="AA185">
        <f>HYPERLINK("https://klasma.github.io/Logging_2380/klagomål/A 46139-2021 FSC-klagomål.docx", "A 46139-2021")</f>
        <v/>
      </c>
      <c r="AB185">
        <f>HYPERLINK("https://klasma.github.io/Logging_2380/klagomålsmail/A 46139-2021 FSC-klagomål mail.docx", "A 46139-2021")</f>
        <v/>
      </c>
      <c r="AC185">
        <f>HYPERLINK("https://klasma.github.io/Logging_2380/tillsyn/A 46139-2021 tillsynsbegäran.docx", "A 46139-2021")</f>
        <v/>
      </c>
      <c r="AD185">
        <f>HYPERLINK("https://klasma.github.io/Logging_2380/tillsynsmail/A 46139-2021 tillsynsbegäran mail.docx", "A 46139-2021")</f>
        <v/>
      </c>
      <c r="AE185">
        <f>HYPERLINK("https://klasma.github.io/Logging_2380/fåglar/A 46139-2021 prioriterade fågelarter.docx", "A 46139-2021")</f>
        <v/>
      </c>
    </row>
    <row r="186" ht="15" customHeight="1">
      <c r="A186" t="inlineStr">
        <is>
          <t>A 61451-2024</t>
        </is>
      </c>
      <c r="B186" t="inlineStr">
        <is>
          <t>avverkningsanmälan</t>
        </is>
      </c>
      <c r="C186" t="inlineStr">
        <is>
          <t>Avverkning för att bevara och utveckla /försöksver</t>
        </is>
      </c>
      <c r="D186" s="1" t="n">
        <v>45646</v>
      </c>
      <c r="E186" s="1" t="n">
        <v>46259</v>
      </c>
      <c r="F186" t="inlineStr">
        <is>
          <t>JÄMTLANDS LÄN</t>
        </is>
      </c>
      <c r="G186" t="inlineStr">
        <is>
          <t>ÖSTERSUND</t>
        </is>
      </c>
      <c r="H186" t="inlineStr">
        <is>
          <t>SCA</t>
        </is>
      </c>
      <c r="I186" t="n">
        <v>2.4</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HYPERLINK("https://klasma.github.io/Logging_2380/artfynd/A 61451-2024 artfynd.xlsx", "A 61451-2024")</f>
        <v/>
      </c>
      <c r="X186">
        <f>HYPERLINK("https://klasma.github.io/Logging_2380/kartor/A 61451-2024 karta.png", "A 61451-2024")</f>
        <v/>
      </c>
      <c r="Y186">
        <f>HYPERLINK("https://klasma.github.io/Logging_2380/kartor_geotiff/A 61451-2024 georefererad karta.tif", "A 61451-2024")</f>
        <v/>
      </c>
      <c r="AA186">
        <f>HYPERLINK("https://klasma.github.io/Logging_2380/klagomål/A 61451-2024 FSC-klagomål.docx", "A 61451-2024")</f>
        <v/>
      </c>
      <c r="AB186">
        <f>HYPERLINK("https://klasma.github.io/Logging_2380/klagomålsmail/A 61451-2024 FSC-klagomål mail.docx", "A 61451-2024")</f>
        <v/>
      </c>
      <c r="AC186">
        <f>HYPERLINK("https://klasma.github.io/Logging_2380/tillsyn/A 61451-2024 tillsynsbegäran.docx", "A 61451-2024")</f>
        <v/>
      </c>
      <c r="AD186">
        <f>HYPERLINK("https://klasma.github.io/Logging_2380/tillsynsmail/A 61451-2024 tillsynsbegäran mail.docx", "A 61451-2024")</f>
        <v/>
      </c>
      <c r="AE186">
        <f>HYPERLINK("https://klasma.github.io/Logging_2380/fåglar/A 61451-2024 prioriterade fågelarter.docx", "A 61451-2024")</f>
        <v/>
      </c>
    </row>
    <row r="187" ht="15" customHeight="1">
      <c r="A187" t="inlineStr">
        <is>
          <t>A 57065-2024</t>
        </is>
      </c>
      <c r="B187" t="inlineStr">
        <is>
          <t>avverkningsanmälan</t>
        </is>
      </c>
      <c r="C187" t="inlineStr">
        <is>
          <t>Föryngringsavverkning</t>
        </is>
      </c>
      <c r="D187" s="1" t="n">
        <v>45629</v>
      </c>
      <c r="E187" s="1" t="n">
        <v>46259</v>
      </c>
      <c r="F187" t="inlineStr">
        <is>
          <t>JÄMTLANDS LÄN</t>
        </is>
      </c>
      <c r="G187" t="inlineStr">
        <is>
          <t>ÖSTERSUND</t>
        </is>
      </c>
      <c r="H187" t="inlineStr">
        <is>
          <t>SCA</t>
        </is>
      </c>
      <c r="I187" t="n">
        <v>6.3</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57065-2024 artfynd.xlsx", "A 57065-2024")</f>
        <v/>
      </c>
      <c r="X187">
        <f>HYPERLINK("https://klasma.github.io/Logging_2380/kartor/A 57065-2024 karta.png", "A 57065-2024")</f>
        <v/>
      </c>
      <c r="Y187">
        <f>HYPERLINK("https://klasma.github.io/Logging_2380/kartor_geotiff/A 57065-2024 georefererad karta.tif", "A 57065-2024")</f>
        <v/>
      </c>
      <c r="AA187">
        <f>HYPERLINK("https://klasma.github.io/Logging_2380/klagomål/A 57065-2024 FSC-klagomål.docx", "A 57065-2024")</f>
        <v/>
      </c>
      <c r="AB187">
        <f>HYPERLINK("https://klasma.github.io/Logging_2380/klagomålsmail/A 57065-2024 FSC-klagomål mail.docx", "A 57065-2024")</f>
        <v/>
      </c>
      <c r="AC187">
        <f>HYPERLINK("https://klasma.github.io/Logging_2380/tillsyn/A 57065-2024 tillsynsbegäran.docx", "A 57065-2024")</f>
        <v/>
      </c>
      <c r="AD187">
        <f>HYPERLINK("https://klasma.github.io/Logging_2380/tillsynsmail/A 57065-2024 tillsynsbegäran mail.docx", "A 57065-2024")</f>
        <v/>
      </c>
      <c r="AE187">
        <f>HYPERLINK("https://klasma.github.io/Logging_2380/fåglar/A 57065-2024 prioriterade fågelarter.docx", "A 57065-2024")</f>
        <v/>
      </c>
    </row>
    <row r="188" ht="15" customHeight="1">
      <c r="A188" t="inlineStr">
        <is>
          <t>A 28980-2023</t>
        </is>
      </c>
      <c r="B188" t="inlineStr">
        <is>
          <t>avverkningsanmälan</t>
        </is>
      </c>
      <c r="C188" t="inlineStr">
        <is>
          <t>Föryngringsavverkning</t>
        </is>
      </c>
      <c r="D188" s="1" t="n">
        <v>45096</v>
      </c>
      <c r="E188" s="1" t="n">
        <v>46259</v>
      </c>
      <c r="F188" t="inlineStr">
        <is>
          <t>JÄMTLANDS LÄN</t>
        </is>
      </c>
      <c r="G188" t="inlineStr">
        <is>
          <t>ÖSTERSUND</t>
        </is>
      </c>
      <c r="I188" t="n">
        <v>2.7</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28980-2023 artfynd.xlsx", "A 28980-2023")</f>
        <v/>
      </c>
      <c r="X188">
        <f>HYPERLINK("https://klasma.github.io/Logging_2380/kartor/A 28980-2023 karta.png", "A 28980-2023")</f>
        <v/>
      </c>
      <c r="Y188">
        <f>HYPERLINK("https://klasma.github.io/Logging_2380/kartor_geotiff/A 28980-2023 georefererad karta.tif", "A 28980-2023")</f>
        <v/>
      </c>
      <c r="AA188">
        <f>HYPERLINK("https://klasma.github.io/Logging_2380/klagomål/A 28980-2023 FSC-klagomål.docx", "A 28980-2023")</f>
        <v/>
      </c>
      <c r="AB188">
        <f>HYPERLINK("https://klasma.github.io/Logging_2380/klagomålsmail/A 28980-2023 FSC-klagomål mail.docx", "A 28980-2023")</f>
        <v/>
      </c>
      <c r="AC188">
        <f>HYPERLINK("https://klasma.github.io/Logging_2380/tillsyn/A 28980-2023 tillsynsbegäran.docx", "A 28980-2023")</f>
        <v/>
      </c>
      <c r="AD188">
        <f>HYPERLINK("https://klasma.github.io/Logging_2380/tillsynsmail/A 28980-2023 tillsynsbegäran mail.docx", "A 28980-2023")</f>
        <v/>
      </c>
    </row>
    <row r="189" ht="15" customHeight="1">
      <c r="A189" t="inlineStr">
        <is>
          <t>A 17455-2026</t>
        </is>
      </c>
      <c r="B189" t="inlineStr">
        <is>
          <t>avverkningsanmälan</t>
        </is>
      </c>
      <c r="C189" t="inlineStr">
        <is>
          <t>Föryngringsavverkning</t>
        </is>
      </c>
      <c r="D189" s="1" t="n">
        <v>46120</v>
      </c>
      <c r="E189" s="1" t="n">
        <v>46259</v>
      </c>
      <c r="F189" t="inlineStr">
        <is>
          <t>JÄMTLANDS LÄN</t>
        </is>
      </c>
      <c r="G189" t="inlineStr">
        <is>
          <t>ÖSTERSUND</t>
        </is>
      </c>
      <c r="I189" t="n">
        <v>4.5</v>
      </c>
      <c r="J189" t="n">
        <v>1</v>
      </c>
      <c r="K189" t="n">
        <v>0</v>
      </c>
      <c r="L189" t="n">
        <v>0</v>
      </c>
      <c r="M189" t="n">
        <v>1</v>
      </c>
      <c r="N189" t="n">
        <v>0</v>
      </c>
      <c r="O189" t="n">
        <v>0</v>
      </c>
      <c r="P189" t="n">
        <v>0</v>
      </c>
      <c r="Q189" t="n">
        <v>1</v>
      </c>
      <c r="R189" t="n">
        <v>1</v>
      </c>
      <c r="S189" t="n">
        <v>1</v>
      </c>
      <c r="T189" t="n">
        <v>2</v>
      </c>
      <c r="U189" t="n">
        <v>0</v>
      </c>
      <c r="V189" s="2" t="inlineStr">
        <is>
          <t>Violett guldvinge</t>
        </is>
      </c>
      <c r="W189">
        <f>HYPERLINK("https://klasma.github.io/Logging_2380/artfynd/A 17455-2026 artfynd.xlsx", "A 17455-2026")</f>
        <v/>
      </c>
      <c r="X189">
        <f>HYPERLINK("https://klasma.github.io/Logging_2380/kartor/A 17455-2026 karta.png", "A 17455-2026")</f>
        <v/>
      </c>
      <c r="Y189">
        <f>HYPERLINK("https://klasma.github.io/Logging_2380/kartor_geotiff/A 17455-2026 georefererad karta.tif", "A 17455-2026")</f>
        <v/>
      </c>
      <c r="AA189">
        <f>HYPERLINK("https://klasma.github.io/Logging_2380/klagomål/A 17455-2026 FSC-klagomål.docx", "A 17455-2026")</f>
        <v/>
      </c>
      <c r="AB189">
        <f>HYPERLINK("https://klasma.github.io/Logging_2380/klagomålsmail/A 17455-2026 FSC-klagomål mail.docx", "A 17455-2026")</f>
        <v/>
      </c>
      <c r="AC189">
        <f>HYPERLINK("https://klasma.github.io/Logging_2380/tillsyn/A 17455-2026 tillsynsbegäran.docx", "A 17455-2026")</f>
        <v/>
      </c>
      <c r="AD189">
        <f>HYPERLINK("https://klasma.github.io/Logging_2380/tillsynsmail/A 17455-2026 tillsynsbegäran mail.docx", "A 17455-2026")</f>
        <v/>
      </c>
    </row>
    <row r="190" ht="15" customHeight="1">
      <c r="A190" t="inlineStr">
        <is>
          <t>A 33501-2023</t>
        </is>
      </c>
      <c r="B190" t="inlineStr">
        <is>
          <t>avverkningsanmälan</t>
        </is>
      </c>
      <c r="C190" t="inlineStr">
        <is>
          <t>Föryngringsavverkning</t>
        </is>
      </c>
      <c r="D190" s="1" t="n">
        <v>45118</v>
      </c>
      <c r="E190" s="1" t="n">
        <v>46259</v>
      </c>
      <c r="F190" t="inlineStr">
        <is>
          <t>JÄMTLANDS LÄN</t>
        </is>
      </c>
      <c r="G190" t="inlineStr">
        <is>
          <t>ÖSTERSUND</t>
        </is>
      </c>
      <c r="I190" t="n">
        <v>5.8</v>
      </c>
      <c r="J190" t="n">
        <v>1</v>
      </c>
      <c r="K190" t="n">
        <v>0</v>
      </c>
      <c r="L190" t="n">
        <v>1</v>
      </c>
      <c r="M190" t="n">
        <v>0</v>
      </c>
      <c r="N190" t="n">
        <v>0</v>
      </c>
      <c r="O190" t="n">
        <v>0</v>
      </c>
      <c r="P190" t="n">
        <v>0</v>
      </c>
      <c r="Q190" t="n">
        <v>1</v>
      </c>
      <c r="R190" t="n">
        <v>0</v>
      </c>
      <c r="S190" t="n">
        <v>1</v>
      </c>
      <c r="T190" t="n">
        <v>2</v>
      </c>
      <c r="U190" t="n">
        <v>0</v>
      </c>
      <c r="V190" s="2" t="inlineStr">
        <is>
          <t>Jämtlandsmaskros</t>
        </is>
      </c>
      <c r="W190">
        <f>HYPERLINK("https://klasma.github.io/Logging_2380/artfynd/A 33501-2023 artfynd.xlsx", "A 33501-2023")</f>
        <v/>
      </c>
      <c r="X190">
        <f>HYPERLINK("https://klasma.github.io/Logging_2380/kartor/A 33501-2023 karta.png", "A 33501-2023")</f>
        <v/>
      </c>
      <c r="Y190">
        <f>HYPERLINK("https://klasma.github.io/Logging_2380/kartor_geotiff/A 33501-2023 georefererad karta.tif", "A 33501-2023")</f>
        <v/>
      </c>
      <c r="AA190">
        <f>HYPERLINK("https://klasma.github.io/Logging_2380/klagomål/A 33501-2023 FSC-klagomål.docx", "A 33501-2023")</f>
        <v/>
      </c>
      <c r="AB190">
        <f>HYPERLINK("https://klasma.github.io/Logging_2380/klagomålsmail/A 33501-2023 FSC-klagomål mail.docx", "A 33501-2023")</f>
        <v/>
      </c>
      <c r="AC190">
        <f>HYPERLINK("https://klasma.github.io/Logging_2380/tillsyn/A 33501-2023 tillsynsbegäran.docx", "A 33501-2023")</f>
        <v/>
      </c>
      <c r="AD190">
        <f>HYPERLINK("https://klasma.github.io/Logging_2380/tillsynsmail/A 33501-2023 tillsynsbegäran mail.docx", "A 33501-2023")</f>
        <v/>
      </c>
    </row>
    <row r="191" ht="15" customHeight="1">
      <c r="A191" t="inlineStr">
        <is>
          <t>A 18162-2026</t>
        </is>
      </c>
      <c r="B191" t="inlineStr">
        <is>
          <t>avverkningsanmälan</t>
        </is>
      </c>
      <c r="C191" t="inlineStr">
        <is>
          <t>Föryngringsavverkning</t>
        </is>
      </c>
      <c r="D191" s="1" t="n">
        <v>46125</v>
      </c>
      <c r="E191" s="1" t="n">
        <v>46259</v>
      </c>
      <c r="F191" t="inlineStr">
        <is>
          <t>JÄMTLANDS LÄN</t>
        </is>
      </c>
      <c r="G191" t="inlineStr">
        <is>
          <t>ÖSTERSUND</t>
        </is>
      </c>
      <c r="I191" t="n">
        <v>17.6</v>
      </c>
      <c r="J191" t="n">
        <v>1</v>
      </c>
      <c r="K191" t="n">
        <v>1</v>
      </c>
      <c r="L191" t="n">
        <v>0</v>
      </c>
      <c r="M191" t="n">
        <v>0</v>
      </c>
      <c r="N191" t="n">
        <v>0</v>
      </c>
      <c r="O191" t="n">
        <v>0</v>
      </c>
      <c r="P191" t="n">
        <v>0</v>
      </c>
      <c r="Q191" t="n">
        <v>0</v>
      </c>
      <c r="R191" t="n">
        <v>0</v>
      </c>
      <c r="S191" t="n">
        <v>1</v>
      </c>
      <c r="T191" t="n">
        <v>1</v>
      </c>
      <c r="U191" t="n">
        <v>0</v>
      </c>
      <c r="V191" s="2" t="inlineStr">
        <is>
          <t>Tvåblad</t>
        </is>
      </c>
      <c r="W191">
        <f>HYPERLINK("https://klasma.github.io/Logging_2380/artfynd/A 18162-2026 artfynd.xlsx", "A 18162-2026")</f>
        <v/>
      </c>
      <c r="X191">
        <f>HYPERLINK("https://klasma.github.io/Logging_2380/kartor/A 18162-2026 karta.png", "A 18162-2026")</f>
        <v/>
      </c>
      <c r="Y191">
        <f>HYPERLINK("https://klasma.github.io/Logging_2380/kartor_geotiff/A 18162-2026 georefererad karta.tif", "A 18162-2026")</f>
        <v/>
      </c>
      <c r="AA191">
        <f>HYPERLINK("https://klasma.github.io/Logging_2380/klagomål/A 18162-2026 FSC-klagomål.docx", "A 18162-2026")</f>
        <v/>
      </c>
      <c r="AB191">
        <f>HYPERLINK("https://klasma.github.io/Logging_2380/klagomålsmail/A 18162-2026 FSC-klagomål mail.docx", "A 18162-2026")</f>
        <v/>
      </c>
      <c r="AC191">
        <f>HYPERLINK("https://klasma.github.io/Logging_2380/tillsyn/A 18162-2026 tillsynsbegäran.docx", "A 18162-2026")</f>
        <v/>
      </c>
      <c r="AD191">
        <f>HYPERLINK("https://klasma.github.io/Logging_2380/tillsynsmail/A 18162-2026 tillsynsbegäran mail.docx", "A 18162-2026")</f>
        <v/>
      </c>
    </row>
    <row r="192" ht="15" customHeight="1">
      <c r="A192" t="inlineStr">
        <is>
          <t>A 3122-2025</t>
        </is>
      </c>
      <c r="B192" t="inlineStr">
        <is>
          <t>avverkningsanmälan</t>
        </is>
      </c>
      <c r="C192" t="inlineStr">
        <is>
          <t>Avverkning för annat ändamål</t>
        </is>
      </c>
      <c r="D192" s="1" t="n">
        <v>45678</v>
      </c>
      <c r="E192" s="1" t="n">
        <v>46259</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56201-2024</t>
        </is>
      </c>
      <c r="B193" t="inlineStr">
        <is>
          <t>avverkningsanmälan</t>
        </is>
      </c>
      <c r="C193" t="inlineStr">
        <is>
          <t>Avverkning för att bevara och utveckla /försöksver</t>
        </is>
      </c>
      <c r="D193" s="1" t="n">
        <v>45624</v>
      </c>
      <c r="E193" s="1" t="n">
        <v>46259</v>
      </c>
      <c r="F193" t="inlineStr">
        <is>
          <t>JÄMTLANDS LÄN</t>
        </is>
      </c>
      <c r="G193" t="inlineStr">
        <is>
          <t>ÖSTERSUND</t>
        </is>
      </c>
      <c r="H193" t="inlineStr">
        <is>
          <t>SCA</t>
        </is>
      </c>
      <c r="I193" t="n">
        <v>5.9</v>
      </c>
      <c r="J193" t="n">
        <v>1</v>
      </c>
      <c r="K193" t="n">
        <v>0</v>
      </c>
      <c r="L193" t="n">
        <v>0</v>
      </c>
      <c r="M193" t="n">
        <v>1</v>
      </c>
      <c r="N193" t="n">
        <v>0</v>
      </c>
      <c r="O193" t="n">
        <v>0</v>
      </c>
      <c r="P193" t="n">
        <v>0</v>
      </c>
      <c r="Q193" t="n">
        <v>1</v>
      </c>
      <c r="R193" t="n">
        <v>1</v>
      </c>
      <c r="S193" t="n">
        <v>1</v>
      </c>
      <c r="T193" t="n">
        <v>1</v>
      </c>
      <c r="U193" t="n">
        <v>0</v>
      </c>
      <c r="V193" s="2" t="inlineStr">
        <is>
          <t>Doftticka</t>
        </is>
      </c>
      <c r="W193">
        <f>HYPERLINK("https://klasma.github.io/Logging_2380/artfynd/A 56201-2024 artfynd.xlsx", "A 56201-2024")</f>
        <v/>
      </c>
      <c r="X193">
        <f>HYPERLINK("https://klasma.github.io/Logging_2380/kartor/A 56201-2024 karta.png", "A 56201-2024")</f>
        <v/>
      </c>
      <c r="Y193">
        <f>HYPERLINK("https://klasma.github.io/Logging_2380/kartor_geotiff/A 56201-2024 georefererad karta.tif", "A 56201-2024")</f>
        <v/>
      </c>
      <c r="AA193">
        <f>HYPERLINK("https://klasma.github.io/Logging_2380/klagomål/A 56201-2024 FSC-klagomål.docx", "A 56201-2024")</f>
        <v/>
      </c>
      <c r="AB193">
        <f>HYPERLINK("https://klasma.github.io/Logging_2380/klagomålsmail/A 56201-2024 FSC-klagomål mail.docx", "A 56201-2024")</f>
        <v/>
      </c>
      <c r="AC193">
        <f>HYPERLINK("https://klasma.github.io/Logging_2380/tillsyn/A 56201-2024 tillsynsbegäran.docx", "A 56201-2024")</f>
        <v/>
      </c>
      <c r="AD193">
        <f>HYPERLINK("https://klasma.github.io/Logging_2380/tillsynsmail/A 56201-2024 tillsynsbegäran mail.docx", "A 56201-2024")</f>
        <v/>
      </c>
    </row>
    <row r="194" ht="15" customHeight="1">
      <c r="A194" t="inlineStr">
        <is>
          <t>A 12946-2022</t>
        </is>
      </c>
      <c r="B194" t="inlineStr">
        <is>
          <t>avverkningsanmälan</t>
        </is>
      </c>
      <c r="C194" t="inlineStr">
        <is>
          <t>Avverkning för att bevara och utveckla /försöksver</t>
        </is>
      </c>
      <c r="D194" s="1" t="n">
        <v>44642</v>
      </c>
      <c r="E194" s="1" t="n">
        <v>46259</v>
      </c>
      <c r="F194" t="inlineStr">
        <is>
          <t>JÄMTLANDS LÄN</t>
        </is>
      </c>
      <c r="G194" t="inlineStr">
        <is>
          <t>ÖSTERSUND</t>
        </is>
      </c>
      <c r="H194" t="inlineStr">
        <is>
          <t>SCA</t>
        </is>
      </c>
      <c r="I194" t="n">
        <v>0.9</v>
      </c>
      <c r="J194" t="n">
        <v>0</v>
      </c>
      <c r="K194" t="n">
        <v>1</v>
      </c>
      <c r="L194" t="n">
        <v>0</v>
      </c>
      <c r="M194" t="n">
        <v>0</v>
      </c>
      <c r="N194" t="n">
        <v>0</v>
      </c>
      <c r="O194" t="n">
        <v>0</v>
      </c>
      <c r="P194" t="n">
        <v>0</v>
      </c>
      <c r="Q194" t="n">
        <v>0</v>
      </c>
      <c r="R194" t="n">
        <v>0</v>
      </c>
      <c r="S194" t="n">
        <v>1</v>
      </c>
      <c r="T194" t="n">
        <v>1</v>
      </c>
      <c r="U194" t="n">
        <v>1</v>
      </c>
      <c r="V194" s="2" t="inlineStr">
        <is>
          <t>Svart trolldruva</t>
        </is>
      </c>
      <c r="W194">
        <f>HYPERLINK("https://klasma.github.io/Logging_2380/artfynd/A 12946-2022 artfynd.xlsx", "A 12946-2022")</f>
        <v/>
      </c>
      <c r="X194">
        <f>HYPERLINK("https://klasma.github.io/Logging_2380/kartor/A 12946-2022 karta.png", "A 12946-2022")</f>
        <v/>
      </c>
      <c r="Y194">
        <f>HYPERLINK("https://klasma.github.io/Logging_2380/kartor_geotiff/A 12946-2022 georefererad karta.tif", "A 12946-2022")</f>
        <v/>
      </c>
      <c r="AA194">
        <f>HYPERLINK("https://klasma.github.io/Logging_2380/klagomål/A 12946-2022 FSC-klagomål.docx", "A 12946-2022")</f>
        <v/>
      </c>
      <c r="AB194">
        <f>HYPERLINK("https://klasma.github.io/Logging_2380/klagomålsmail/A 12946-2022 FSC-klagomål mail.docx", "A 12946-2022")</f>
        <v/>
      </c>
      <c r="AC194">
        <f>HYPERLINK("https://klasma.github.io/Logging_2380/tillsyn/A 12946-2022 tillsynsbegäran.docx", "A 12946-2022")</f>
        <v/>
      </c>
      <c r="AD194">
        <f>HYPERLINK("https://klasma.github.io/Logging_2380/tillsynsmail/A 12946-2022 tillsynsbegäran mail.docx", "A 12946-2022")</f>
        <v/>
      </c>
    </row>
    <row r="195" ht="15" customHeight="1">
      <c r="A195" t="inlineStr">
        <is>
          <t>A 32225-2024</t>
        </is>
      </c>
      <c r="B195" t="inlineStr">
        <is>
          <t>avverkningsanmälan</t>
        </is>
      </c>
      <c r="C195" t="inlineStr">
        <is>
          <t>Föryngringsavverkning</t>
        </is>
      </c>
      <c r="D195" s="1" t="n">
        <v>45511</v>
      </c>
      <c r="E195" s="1" t="n">
        <v>46259</v>
      </c>
      <c r="F195" t="inlineStr">
        <is>
          <t>JÄMTLANDS LÄN</t>
        </is>
      </c>
      <c r="G195" t="inlineStr">
        <is>
          <t>ÖSTERSUND</t>
        </is>
      </c>
      <c r="I195" t="n">
        <v>2</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HYPERLINK("https://klasma.github.io/Logging_2380/artfynd/A 32225-2024 artfynd.xlsx", "A 32225-2024")</f>
        <v/>
      </c>
      <c r="X195">
        <f>HYPERLINK("https://klasma.github.io/Logging_2380/kartor/A 32225-2024 karta.png", "A 32225-2024")</f>
        <v/>
      </c>
      <c r="Y195">
        <f>HYPERLINK("https://klasma.github.io/Logging_2380/kartor_geotiff/A 32225-2024 georefererad karta.tif", "A 32225-2024")</f>
        <v/>
      </c>
      <c r="AA195">
        <f>HYPERLINK("https://klasma.github.io/Logging_2380/klagomål/A 32225-2024 FSC-klagomål.docx", "A 32225-2024")</f>
        <v/>
      </c>
      <c r="AB195">
        <f>HYPERLINK("https://klasma.github.io/Logging_2380/klagomålsmail/A 32225-2024 FSC-klagomål mail.docx", "A 32225-2024")</f>
        <v/>
      </c>
      <c r="AC195">
        <f>HYPERLINK("https://klasma.github.io/Logging_2380/tillsyn/A 32225-2024 tillsynsbegäran.docx", "A 32225-2024")</f>
        <v/>
      </c>
      <c r="AD195">
        <f>HYPERLINK("https://klasma.github.io/Logging_2380/tillsynsmail/A 32225-2024 tillsynsbegäran mail.docx", "A 32225-2024")</f>
        <v/>
      </c>
    </row>
    <row r="196" ht="15" customHeight="1">
      <c r="A196" t="inlineStr">
        <is>
          <t>A 31883-2024</t>
        </is>
      </c>
      <c r="B196" t="inlineStr">
        <is>
          <t>avverkningsanmälan</t>
        </is>
      </c>
      <c r="C196" t="inlineStr">
        <is>
          <t>Föryngringsavverkning</t>
        </is>
      </c>
      <c r="D196" s="1" t="n">
        <v>45509</v>
      </c>
      <c r="E196" s="1" t="n">
        <v>46259</v>
      </c>
      <c r="F196" t="inlineStr">
        <is>
          <t>JÄMTLANDS LÄN</t>
        </is>
      </c>
      <c r="G196" t="inlineStr">
        <is>
          <t>ÖSTERSUND</t>
        </is>
      </c>
      <c r="H196" t="inlineStr">
        <is>
          <t>SCA</t>
        </is>
      </c>
      <c r="I196" t="n">
        <v>3.3</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31883-2024 artfynd.xlsx", "A 31883-2024")</f>
        <v/>
      </c>
      <c r="X196">
        <f>HYPERLINK("https://klasma.github.io/Logging_2380/kartor/A 31883-2024 karta.png", "A 31883-2024")</f>
        <v/>
      </c>
      <c r="Y196">
        <f>HYPERLINK("https://klasma.github.io/Logging_2380/kartor_geotiff/A 31883-2024 georefererad karta.tif", "A 31883-2024")</f>
        <v/>
      </c>
      <c r="AA196">
        <f>HYPERLINK("https://klasma.github.io/Logging_2380/klagomål/A 31883-2024 FSC-klagomål.docx", "A 31883-2024")</f>
        <v/>
      </c>
      <c r="AB196">
        <f>HYPERLINK("https://klasma.github.io/Logging_2380/klagomålsmail/A 31883-2024 FSC-klagomål mail.docx", "A 31883-2024")</f>
        <v/>
      </c>
      <c r="AC196">
        <f>HYPERLINK("https://klasma.github.io/Logging_2380/tillsyn/A 31883-2024 tillsynsbegäran.docx", "A 31883-2024")</f>
        <v/>
      </c>
      <c r="AD196">
        <f>HYPERLINK("https://klasma.github.io/Logging_2380/tillsynsmail/A 31883-2024 tillsynsbegäran mail.docx", "A 31883-2024")</f>
        <v/>
      </c>
    </row>
    <row r="197" ht="15" customHeight="1">
      <c r="A197" t="inlineStr">
        <is>
          <t>A 59108-2024</t>
        </is>
      </c>
      <c r="B197" t="inlineStr">
        <is>
          <t>avverkningsanmälan</t>
        </is>
      </c>
      <c r="C197" t="inlineStr">
        <is>
          <t>Föryngringsavverkning</t>
        </is>
      </c>
      <c r="D197" s="1" t="n">
        <v>45637</v>
      </c>
      <c r="E197" s="1" t="n">
        <v>46259</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41280-2024</t>
        </is>
      </c>
      <c r="B198" t="inlineStr">
        <is>
          <t>avverkningsanmälan</t>
        </is>
      </c>
      <c r="C198" t="inlineStr">
        <is>
          <t>Föryngringsavverkning</t>
        </is>
      </c>
      <c r="D198" s="1" t="n">
        <v>45559</v>
      </c>
      <c r="E198" s="1" t="n">
        <v>46259</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3255-2025</t>
        </is>
      </c>
      <c r="B199" t="inlineStr">
        <is>
          <t>avverkningsanmälan</t>
        </is>
      </c>
      <c r="C199" t="inlineStr">
        <is>
          <t>Föryngringsavverkning</t>
        </is>
      </c>
      <c r="D199" s="1" t="n">
        <v>45679</v>
      </c>
      <c r="E199" s="1" t="n">
        <v>46259</v>
      </c>
      <c r="F199" t="inlineStr">
        <is>
          <t>JÄMTLANDS LÄN</t>
        </is>
      </c>
      <c r="G199" t="inlineStr">
        <is>
          <t>ÖSTERSUND</t>
        </is>
      </c>
      <c r="H199" t="inlineStr">
        <is>
          <t>SCA</t>
        </is>
      </c>
      <c r="I199" t="n">
        <v>16.7</v>
      </c>
      <c r="J199" t="n">
        <v>0</v>
      </c>
      <c r="K199" t="n">
        <v>0</v>
      </c>
      <c r="L199" t="n">
        <v>1</v>
      </c>
      <c r="M199" t="n">
        <v>0</v>
      </c>
      <c r="N199" t="n">
        <v>0</v>
      </c>
      <c r="O199" t="n">
        <v>0</v>
      </c>
      <c r="P199" t="n">
        <v>0</v>
      </c>
      <c r="Q199" t="n">
        <v>1</v>
      </c>
      <c r="R199" t="n">
        <v>0</v>
      </c>
      <c r="S199" t="n">
        <v>1</v>
      </c>
      <c r="T199" t="n">
        <v>1</v>
      </c>
      <c r="U199" t="n">
        <v>0</v>
      </c>
      <c r="V199" s="2" t="inlineStr">
        <is>
          <t>Harticka</t>
        </is>
      </c>
      <c r="W199">
        <f>HYPERLINK("https://klasma.github.io/Logging_2380/artfynd/A 3255-2025 artfynd.xlsx", "A 3255-2025")</f>
        <v/>
      </c>
      <c r="X199">
        <f>HYPERLINK("https://klasma.github.io/Logging_2380/kartor/A 3255-2025 karta.png", "A 3255-2025")</f>
        <v/>
      </c>
      <c r="Y199">
        <f>HYPERLINK("https://klasma.github.io/Logging_2380/kartor_geotiff/A 3255-2025 georefererad karta.tif", "A 3255-2025")</f>
        <v/>
      </c>
      <c r="AA199">
        <f>HYPERLINK("https://klasma.github.io/Logging_2380/klagomål/A 3255-2025 FSC-klagomål.docx", "A 3255-2025")</f>
        <v/>
      </c>
      <c r="AB199">
        <f>HYPERLINK("https://klasma.github.io/Logging_2380/klagomålsmail/A 3255-2025 FSC-klagomål mail.docx", "A 3255-2025")</f>
        <v/>
      </c>
      <c r="AC199">
        <f>HYPERLINK("https://klasma.github.io/Logging_2380/tillsyn/A 3255-2025 tillsynsbegäran.docx", "A 3255-2025")</f>
        <v/>
      </c>
      <c r="AD199">
        <f>HYPERLINK("https://klasma.github.io/Logging_2380/tillsynsmail/A 3255-2025 tillsynsbegäran mail.docx", "A 3255-2025")</f>
        <v/>
      </c>
    </row>
    <row r="200" ht="15" customHeight="1">
      <c r="A200" t="inlineStr">
        <is>
          <t>A 2986-2026</t>
        </is>
      </c>
      <c r="B200" t="inlineStr">
        <is>
          <t>avverkningsanmälan</t>
        </is>
      </c>
      <c r="C200" t="inlineStr">
        <is>
          <t>Föryngringsavverkning</t>
        </is>
      </c>
      <c r="D200" s="1" t="n">
        <v>46038</v>
      </c>
      <c r="E200" s="1" t="n">
        <v>46259</v>
      </c>
      <c r="F200" t="inlineStr">
        <is>
          <t>JÄMTLANDS LÄN</t>
        </is>
      </c>
      <c r="G200" t="inlineStr">
        <is>
          <t>ÖSTERSUND</t>
        </is>
      </c>
      <c r="I200" t="n">
        <v>8.6</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HYPERLINK("https://klasma.github.io/Logging_2380/artfynd/A 2986-2026 artfynd.xlsx", "A 2986-2026")</f>
        <v/>
      </c>
      <c r="X200">
        <f>HYPERLINK("https://klasma.github.io/Logging_2380/kartor/A 2986-2026 karta.png", "A 2986-2026")</f>
        <v/>
      </c>
      <c r="Y200">
        <f>HYPERLINK("https://klasma.github.io/Logging_2380/kartor_geotiff/A 2986-2026 georefererad karta.tif", "A 2986-2026")</f>
        <v/>
      </c>
      <c r="AA200">
        <f>HYPERLINK("https://klasma.github.io/Logging_2380/klagomål/A 2986-2026 FSC-klagomål.docx", "A 2986-2026")</f>
        <v/>
      </c>
      <c r="AB200">
        <f>HYPERLINK("https://klasma.github.io/Logging_2380/klagomålsmail/A 2986-2026 FSC-klagomål mail.docx", "A 2986-2026")</f>
        <v/>
      </c>
      <c r="AC200">
        <f>HYPERLINK("https://klasma.github.io/Logging_2380/tillsyn/A 2986-2026 tillsynsbegäran.docx", "A 2986-2026")</f>
        <v/>
      </c>
      <c r="AD200">
        <f>HYPERLINK("https://klasma.github.io/Logging_2380/tillsynsmail/A 2986-2026 tillsynsbegäran mail.docx", "A 2986-2026")</f>
        <v/>
      </c>
    </row>
    <row r="201" ht="15" customHeight="1">
      <c r="A201" t="inlineStr">
        <is>
          <t>A 64380-2023</t>
        </is>
      </c>
      <c r="B201" t="inlineStr">
        <is>
          <t>avverkningsanmälan</t>
        </is>
      </c>
      <c r="C201" t="inlineStr">
        <is>
          <t>Föryngringsavverkning</t>
        </is>
      </c>
      <c r="D201" s="1" t="n">
        <v>45280</v>
      </c>
      <c r="E201" s="1" t="n">
        <v>46259</v>
      </c>
      <c r="F201" t="inlineStr">
        <is>
          <t>JÄMTLANDS LÄN</t>
        </is>
      </c>
      <c r="G201" t="inlineStr">
        <is>
          <t>ÖSTERSUND</t>
        </is>
      </c>
      <c r="I201" t="n">
        <v>12.4</v>
      </c>
      <c r="J201" t="n">
        <v>0</v>
      </c>
      <c r="K201" t="n">
        <v>0</v>
      </c>
      <c r="L201" t="n">
        <v>1</v>
      </c>
      <c r="M201" t="n">
        <v>0</v>
      </c>
      <c r="N201" t="n">
        <v>0</v>
      </c>
      <c r="O201" t="n">
        <v>0</v>
      </c>
      <c r="P201" t="n">
        <v>0</v>
      </c>
      <c r="Q201" t="n">
        <v>1</v>
      </c>
      <c r="R201" t="n">
        <v>0</v>
      </c>
      <c r="S201" t="n">
        <v>1</v>
      </c>
      <c r="T201" t="n">
        <v>1</v>
      </c>
      <c r="U201" t="n">
        <v>0</v>
      </c>
      <c r="V201" s="2" t="inlineStr">
        <is>
          <t>Luddfingersvamp</t>
        </is>
      </c>
      <c r="W201">
        <f>HYPERLINK("https://klasma.github.io/Logging_2380/artfynd/A 64380-2023 artfynd.xlsx", "A 64380-2023")</f>
        <v/>
      </c>
      <c r="X201">
        <f>HYPERLINK("https://klasma.github.io/Logging_2380/kartor/A 64380-2023 karta.png", "A 64380-2023")</f>
        <v/>
      </c>
      <c r="Y201">
        <f>HYPERLINK("https://klasma.github.io/Logging_2380/kartor_geotiff/A 64380-2023 georefererad karta.tif", "A 64380-2023")</f>
        <v/>
      </c>
      <c r="AA201">
        <f>HYPERLINK("https://klasma.github.io/Logging_2380/klagomål/A 64380-2023 FSC-klagomål.docx", "A 64380-2023")</f>
        <v/>
      </c>
      <c r="AB201">
        <f>HYPERLINK("https://klasma.github.io/Logging_2380/klagomålsmail/A 64380-2023 FSC-klagomål mail.docx", "A 64380-2023")</f>
        <v/>
      </c>
      <c r="AC201">
        <f>HYPERLINK("https://klasma.github.io/Logging_2380/tillsyn/A 64380-2023 tillsynsbegäran.docx", "A 64380-2023")</f>
        <v/>
      </c>
      <c r="AD201">
        <f>HYPERLINK("https://klasma.github.io/Logging_2380/tillsynsmail/A 64380-2023 tillsynsbegäran mail.docx", "A 64380-2023")</f>
        <v/>
      </c>
    </row>
    <row r="202" ht="15" customHeight="1">
      <c r="A202" t="inlineStr">
        <is>
          <t>A 20860-2026</t>
        </is>
      </c>
      <c r="B202" t="inlineStr">
        <is>
          <t>avverkningsanmälan</t>
        </is>
      </c>
      <c r="C202" t="inlineStr">
        <is>
          <t>Avverkning för att bevara och utveckla /försöksver</t>
        </is>
      </c>
      <c r="D202" s="1" t="n">
        <v>46142</v>
      </c>
      <c r="E202" s="1" t="n">
        <v>46259</v>
      </c>
      <c r="F202" t="inlineStr">
        <is>
          <t>JÄMTLANDS LÄN</t>
        </is>
      </c>
      <c r="G202" t="inlineStr">
        <is>
          <t>ÖSTERSUND</t>
        </is>
      </c>
      <c r="H202" t="inlineStr">
        <is>
          <t>SCA</t>
        </is>
      </c>
      <c r="I202" t="n">
        <v>5.1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20860-2026 artfynd.xlsx", "A 20860-2026")</f>
        <v/>
      </c>
      <c r="X202">
        <f>HYPERLINK("https://klasma.github.io/Logging_2380/kartor/A 20860-2026 karta.png", "A 20860-2026")</f>
        <v/>
      </c>
      <c r="Y202">
        <f>HYPERLINK("https://klasma.github.io/Logging_2380/kartor_geotiff/A 20860-2026 georefererad karta.tif", "A 20860-2026")</f>
        <v/>
      </c>
      <c r="AA202">
        <f>HYPERLINK("https://klasma.github.io/Logging_2380/klagomål/A 20860-2026 FSC-klagomål.docx", "A 20860-2026")</f>
        <v/>
      </c>
      <c r="AB202">
        <f>HYPERLINK("https://klasma.github.io/Logging_2380/klagomålsmail/A 20860-2026 FSC-klagomål mail.docx", "A 20860-2026")</f>
        <v/>
      </c>
      <c r="AC202">
        <f>HYPERLINK("https://klasma.github.io/Logging_2380/tillsyn/A 20860-2026 tillsynsbegäran.docx", "A 20860-2026")</f>
        <v/>
      </c>
      <c r="AD202">
        <f>HYPERLINK("https://klasma.github.io/Logging_2380/tillsynsmail/A 20860-2026 tillsynsbegäran mail.docx", "A 20860-2026")</f>
        <v/>
      </c>
    </row>
    <row r="203" ht="15" customHeight="1">
      <c r="A203" t="inlineStr">
        <is>
          <t>A 16682-2023</t>
        </is>
      </c>
      <c r="B203" t="inlineStr">
        <is>
          <t>avverkningsanmälan</t>
        </is>
      </c>
      <c r="C203" t="inlineStr">
        <is>
          <t>Föryngringsavverkning</t>
        </is>
      </c>
      <c r="D203" s="1" t="n">
        <v>45028</v>
      </c>
      <c r="E203" s="1" t="n">
        <v>46259</v>
      </c>
      <c r="F203" t="inlineStr">
        <is>
          <t>JÄMTLANDS LÄN</t>
        </is>
      </c>
      <c r="G203" t="inlineStr">
        <is>
          <t>ÖSTERSUND</t>
        </is>
      </c>
      <c r="I203" t="n">
        <v>7.9</v>
      </c>
      <c r="J203" t="n">
        <v>0</v>
      </c>
      <c r="K203" t="n">
        <v>0</v>
      </c>
      <c r="L203" t="n">
        <v>1</v>
      </c>
      <c r="M203" t="n">
        <v>0</v>
      </c>
      <c r="N203" t="n">
        <v>0</v>
      </c>
      <c r="O203" t="n">
        <v>0</v>
      </c>
      <c r="P203" t="n">
        <v>0</v>
      </c>
      <c r="Q203" t="n">
        <v>1</v>
      </c>
      <c r="R203" t="n">
        <v>0</v>
      </c>
      <c r="S203" t="n">
        <v>1</v>
      </c>
      <c r="T203" t="n">
        <v>1</v>
      </c>
      <c r="U203" t="n">
        <v>1</v>
      </c>
      <c r="V203" s="2" t="inlineStr">
        <is>
          <t>Ullticka</t>
        </is>
      </c>
      <c r="W203">
        <f>HYPERLINK("https://klasma.github.io/Logging_2380/artfynd/A 16682-2023 artfynd.xlsx", "A 16682-2023")</f>
        <v/>
      </c>
      <c r="X203">
        <f>HYPERLINK("https://klasma.github.io/Logging_2380/kartor/A 16682-2023 karta.png", "A 16682-2023")</f>
        <v/>
      </c>
      <c r="Y203">
        <f>HYPERLINK("https://klasma.github.io/Logging_2380/kartor_geotiff/A 16682-2023 georefererad karta.tif", "A 16682-2023")</f>
        <v/>
      </c>
      <c r="AA203">
        <f>HYPERLINK("https://klasma.github.io/Logging_2380/klagomål/A 16682-2023 FSC-klagomål.docx", "A 16682-2023")</f>
        <v/>
      </c>
      <c r="AB203">
        <f>HYPERLINK("https://klasma.github.io/Logging_2380/klagomålsmail/A 16682-2023 FSC-klagomål mail.docx", "A 16682-2023")</f>
        <v/>
      </c>
      <c r="AC203">
        <f>HYPERLINK("https://klasma.github.io/Logging_2380/tillsyn/A 16682-2023 tillsynsbegäran.docx", "A 16682-2023")</f>
        <v/>
      </c>
      <c r="AD203">
        <f>HYPERLINK("https://klasma.github.io/Logging_2380/tillsynsmail/A 16682-2023 tillsynsbegäran mail.docx", "A 16682-2023")</f>
        <v/>
      </c>
    </row>
    <row r="204" ht="15" customHeight="1">
      <c r="A204" t="inlineStr">
        <is>
          <t>A 4311-2025</t>
        </is>
      </c>
      <c r="B204" t="inlineStr">
        <is>
          <t>avverkningsanmälan</t>
        </is>
      </c>
      <c r="C204" t="inlineStr">
        <is>
          <t>Föryngringsavverkning</t>
        </is>
      </c>
      <c r="D204" s="1" t="n">
        <v>45685</v>
      </c>
      <c r="E204" s="1" t="n">
        <v>46259</v>
      </c>
      <c r="F204" t="inlineStr">
        <is>
          <t>JÄMTLANDS LÄN</t>
        </is>
      </c>
      <c r="G204" t="inlineStr">
        <is>
          <t>ÖSTERSUND</t>
        </is>
      </c>
      <c r="I204" t="n">
        <v>0.7</v>
      </c>
      <c r="J204" t="n">
        <v>0</v>
      </c>
      <c r="K204" t="n">
        <v>0</v>
      </c>
      <c r="L204" t="n">
        <v>1</v>
      </c>
      <c r="M204" t="n">
        <v>0</v>
      </c>
      <c r="N204" t="n">
        <v>0</v>
      </c>
      <c r="O204" t="n">
        <v>0</v>
      </c>
      <c r="P204" t="n">
        <v>0</v>
      </c>
      <c r="Q204" t="n">
        <v>1</v>
      </c>
      <c r="R204" t="n">
        <v>0</v>
      </c>
      <c r="S204" t="n">
        <v>1</v>
      </c>
      <c r="T204" t="n">
        <v>1</v>
      </c>
      <c r="U204" t="n">
        <v>0</v>
      </c>
      <c r="V204" s="2" t="inlineStr">
        <is>
          <t>Åsstarr</t>
        </is>
      </c>
      <c r="W204">
        <f>HYPERLINK("https://klasma.github.io/Logging_2380/artfynd/A 4311-2025 artfynd.xlsx", "A 4311-2025")</f>
        <v/>
      </c>
      <c r="X204">
        <f>HYPERLINK("https://klasma.github.io/Logging_2380/kartor/A 4311-2025 karta.png", "A 4311-2025")</f>
        <v/>
      </c>
      <c r="Y204">
        <f>HYPERLINK("https://klasma.github.io/Logging_2380/kartor_geotiff/A 4311-2025 georefererad karta.tif", "A 4311-2025")</f>
        <v/>
      </c>
      <c r="AA204">
        <f>HYPERLINK("https://klasma.github.io/Logging_2380/klagomål/A 4311-2025 FSC-klagomål.docx", "A 4311-2025")</f>
        <v/>
      </c>
      <c r="AB204">
        <f>HYPERLINK("https://klasma.github.io/Logging_2380/klagomålsmail/A 4311-2025 FSC-klagomål mail.docx", "A 4311-2025")</f>
        <v/>
      </c>
      <c r="AC204">
        <f>HYPERLINK("https://klasma.github.io/Logging_2380/tillsyn/A 4311-2025 tillsynsbegäran.docx", "A 4311-2025")</f>
        <v/>
      </c>
      <c r="AD204">
        <f>HYPERLINK("https://klasma.github.io/Logging_2380/tillsynsmail/A 4311-2025 tillsynsbegäran mail.docx", "A 4311-2025")</f>
        <v/>
      </c>
    </row>
    <row r="205" ht="15" customHeight="1">
      <c r="A205" t="inlineStr">
        <is>
          <t>A 33267-2022</t>
        </is>
      </c>
      <c r="B205" t="inlineStr">
        <is>
          <t>avverkningsanmälan</t>
        </is>
      </c>
      <c r="C205" t="inlineStr">
        <is>
          <t>Föryngringsavverkning</t>
        </is>
      </c>
      <c r="D205" s="1" t="n">
        <v>44785</v>
      </c>
      <c r="E205" s="1" t="n">
        <v>46259</v>
      </c>
      <c r="F205" t="inlineStr">
        <is>
          <t>JÄMTLANDS LÄN</t>
        </is>
      </c>
      <c r="G205" t="inlineStr">
        <is>
          <t>ÖSTERSUND</t>
        </is>
      </c>
      <c r="I205" t="n">
        <v>0.9</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HYPERLINK("https://klasma.github.io/Logging_2380/artfynd/A 33267-2022 artfynd.xlsx", "A 33267-2022")</f>
        <v/>
      </c>
      <c r="X205">
        <f>HYPERLINK("https://klasma.github.io/Logging_2380/kartor/A 33267-2022 karta.png", "A 33267-2022")</f>
        <v/>
      </c>
      <c r="Y205">
        <f>HYPERLINK("https://klasma.github.io/Logging_2380/kartor_geotiff/A 33267-2022 georefererad karta.tif", "A 33267-2022")</f>
        <v/>
      </c>
      <c r="AA205">
        <f>HYPERLINK("https://klasma.github.io/Logging_2380/klagomål/A 33267-2022 FSC-klagomål.docx", "A 33267-2022")</f>
        <v/>
      </c>
      <c r="AB205">
        <f>HYPERLINK("https://klasma.github.io/Logging_2380/klagomålsmail/A 33267-2022 FSC-klagomål mail.docx", "A 33267-2022")</f>
        <v/>
      </c>
      <c r="AC205">
        <f>HYPERLINK("https://klasma.github.io/Logging_2380/tillsyn/A 33267-2022 tillsynsbegäran.docx", "A 33267-2022")</f>
        <v/>
      </c>
      <c r="AD205">
        <f>HYPERLINK("https://klasma.github.io/Logging_2380/tillsynsmail/A 33267-2022 tillsynsbegäran mail.docx", "A 33267-2022")</f>
        <v/>
      </c>
      <c r="AE205">
        <f>HYPERLINK("https://klasma.github.io/Logging_2380/fåglar/A 33267-2022 prioriterade fågelarter.docx", "A 33267-2022")</f>
        <v/>
      </c>
    </row>
    <row r="206" ht="15" customHeight="1">
      <c r="A206" t="inlineStr">
        <is>
          <t>A 31444-2026</t>
        </is>
      </c>
      <c r="B206" t="inlineStr">
        <is>
          <t>avverkningsanmälan</t>
        </is>
      </c>
      <c r="C206" t="inlineStr">
        <is>
          <t>Föryngringsavverkning</t>
        </is>
      </c>
      <c r="D206" s="1" t="n">
        <v>46217</v>
      </c>
      <c r="E206" s="1" t="n">
        <v>46259</v>
      </c>
      <c r="F206" t="inlineStr">
        <is>
          <t>JÄMTLANDS LÄN</t>
        </is>
      </c>
      <c r="G206" t="inlineStr">
        <is>
          <t>ÖSTERSUND</t>
        </is>
      </c>
      <c r="H206" t="inlineStr">
        <is>
          <t>Övriga Aktiebolag</t>
        </is>
      </c>
      <c r="I206" t="n">
        <v>38.1</v>
      </c>
      <c r="J206" t="n">
        <v>0</v>
      </c>
      <c r="K206" t="n">
        <v>0</v>
      </c>
      <c r="L206" t="n">
        <v>1</v>
      </c>
      <c r="M206" t="n">
        <v>0</v>
      </c>
      <c r="N206" t="n">
        <v>0</v>
      </c>
      <c r="O206" t="n">
        <v>0</v>
      </c>
      <c r="P206" t="n">
        <v>0</v>
      </c>
      <c r="Q206" t="n">
        <v>1</v>
      </c>
      <c r="R206" t="n">
        <v>0</v>
      </c>
      <c r="S206" t="n">
        <v>1</v>
      </c>
      <c r="T206" t="n">
        <v>6</v>
      </c>
      <c r="U206" t="n">
        <v>0</v>
      </c>
      <c r="V206" s="2" t="inlineStr">
        <is>
          <t>Månlåsbräken</t>
        </is>
      </c>
      <c r="W206">
        <f>HYPERLINK("https://klasma.github.io/Logging_2380/artfynd/A 31444-2026 artfynd.xlsx", "A 31444-2026")</f>
        <v/>
      </c>
      <c r="X206">
        <f>HYPERLINK("https://klasma.github.io/Logging_2380/kartor/A 31444-2026 karta.png", "A 31444-2026")</f>
        <v/>
      </c>
      <c r="Y206">
        <f>HYPERLINK("https://klasma.github.io/Logging_2380/kartor_geotiff/A 31444-2026 georefererad karta.tif", "A 31444-2026")</f>
        <v/>
      </c>
      <c r="AA206">
        <f>HYPERLINK("https://klasma.github.io/Logging_2380/klagomål/A 31444-2026 FSC-klagomål.docx", "A 31444-2026")</f>
        <v/>
      </c>
      <c r="AB206">
        <f>HYPERLINK("https://klasma.github.io/Logging_2380/klagomålsmail/A 31444-2026 FSC-klagomål mail.docx", "A 31444-2026")</f>
        <v/>
      </c>
      <c r="AC206">
        <f>HYPERLINK("https://klasma.github.io/Logging_2380/tillsyn/A 31444-2026 tillsynsbegäran.docx", "A 31444-2026")</f>
        <v/>
      </c>
      <c r="AD206">
        <f>HYPERLINK("https://klasma.github.io/Logging_2380/tillsynsmail/A 31444-2026 tillsynsbegäran mail.docx", "A 31444-2026")</f>
        <v/>
      </c>
    </row>
    <row r="207" ht="15" customHeight="1">
      <c r="A207" t="inlineStr">
        <is>
          <t>A 55179-2025</t>
        </is>
      </c>
      <c r="B207" t="inlineStr">
        <is>
          <t>avverkningsanmälan</t>
        </is>
      </c>
      <c r="C207" t="inlineStr">
        <is>
          <t>Föryngringsavverkning</t>
        </is>
      </c>
      <c r="D207" s="1" t="n">
        <v>45968</v>
      </c>
      <c r="E207" s="1" t="n">
        <v>46259</v>
      </c>
      <c r="F207" t="inlineStr">
        <is>
          <t>JÄMTLANDS LÄN</t>
        </is>
      </c>
      <c r="G207" t="inlineStr">
        <is>
          <t>ÖSTERSUND</t>
        </is>
      </c>
      <c r="H207" t="inlineStr">
        <is>
          <t>SCA</t>
        </is>
      </c>
      <c r="I207" t="n">
        <v>2.2</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HYPERLINK("https://klasma.github.io/Logging_2380/artfynd/A 55179-2025 artfynd.xlsx", "A 55179-2025")</f>
        <v/>
      </c>
      <c r="X207">
        <f>HYPERLINK("https://klasma.github.io/Logging_2380/kartor/A 55179-2025 karta.png", "A 55179-2025")</f>
        <v/>
      </c>
      <c r="Y207">
        <f>HYPERLINK("https://klasma.github.io/Logging_2380/kartor_geotiff/A 55179-2025 georefererad karta.tif", "A 55179-2025")</f>
        <v/>
      </c>
      <c r="AA207">
        <f>HYPERLINK("https://klasma.github.io/Logging_2380/klagomål/A 55179-2025 FSC-klagomål.docx", "A 55179-2025")</f>
        <v/>
      </c>
      <c r="AB207">
        <f>HYPERLINK("https://klasma.github.io/Logging_2380/klagomålsmail/A 55179-2025 FSC-klagomål mail.docx", "A 55179-2025")</f>
        <v/>
      </c>
      <c r="AC207">
        <f>HYPERLINK("https://klasma.github.io/Logging_2380/tillsyn/A 55179-2025 tillsynsbegäran.docx", "A 55179-2025")</f>
        <v/>
      </c>
      <c r="AD207">
        <f>HYPERLINK("https://klasma.github.io/Logging_2380/tillsynsmail/A 55179-2025 tillsynsbegäran mail.docx", "A 55179-2025")</f>
        <v/>
      </c>
    </row>
    <row r="208" ht="15" customHeight="1">
      <c r="A208" t="inlineStr">
        <is>
          <t>A 26782-2026</t>
        </is>
      </c>
      <c r="B208" t="inlineStr">
        <is>
          <t>avverkningsanmälan</t>
        </is>
      </c>
      <c r="C208" t="inlineStr">
        <is>
          <t>Föryngringsavverkning</t>
        </is>
      </c>
      <c r="D208" s="1" t="n">
        <v>46184</v>
      </c>
      <c r="E208" s="1" t="n">
        <v>46259</v>
      </c>
      <c r="F208" t="inlineStr">
        <is>
          <t>JÄMTLANDS LÄN</t>
        </is>
      </c>
      <c r="G208" t="inlineStr">
        <is>
          <t>ÖSTERSUND</t>
        </is>
      </c>
      <c r="I208" t="n">
        <v>1.6</v>
      </c>
      <c r="J208" t="n">
        <v>0</v>
      </c>
      <c r="K208" t="n">
        <v>0</v>
      </c>
      <c r="L208" t="n">
        <v>0</v>
      </c>
      <c r="M208" t="n">
        <v>0</v>
      </c>
      <c r="N208" t="n">
        <v>0</v>
      </c>
      <c r="O208" t="n">
        <v>0</v>
      </c>
      <c r="P208" t="n">
        <v>0</v>
      </c>
      <c r="Q208" t="n">
        <v>0</v>
      </c>
      <c r="R208" t="n">
        <v>0</v>
      </c>
      <c r="S208" t="n">
        <v>1</v>
      </c>
      <c r="T208" t="n">
        <v>1</v>
      </c>
      <c r="U208" t="n">
        <v>1</v>
      </c>
      <c r="V208" s="2" t="inlineStr">
        <is>
          <t>Lundarv</t>
        </is>
      </c>
      <c r="W208">
        <f>HYPERLINK("https://klasma.github.io/Logging_2380/artfynd/A 26782-2026 artfynd.xlsx", "A 26782-2026")</f>
        <v/>
      </c>
      <c r="X208">
        <f>HYPERLINK("https://klasma.github.io/Logging_2380/kartor/A 26782-2026 karta.png", "A 26782-2026")</f>
        <v/>
      </c>
      <c r="Y208">
        <f>HYPERLINK("https://klasma.github.io/Logging_2380/kartor_geotiff/A 26782-2026 georefererad karta.tif", "A 26782-2026")</f>
        <v/>
      </c>
      <c r="AA208">
        <f>HYPERLINK("https://klasma.github.io/Logging_2380/klagomål/A 26782-2026 FSC-klagomål.docx", "A 26782-2026")</f>
        <v/>
      </c>
      <c r="AB208">
        <f>HYPERLINK("https://klasma.github.io/Logging_2380/klagomålsmail/A 26782-2026 FSC-klagomål mail.docx", "A 26782-2026")</f>
        <v/>
      </c>
      <c r="AC208">
        <f>HYPERLINK("https://klasma.github.io/Logging_2380/tillsyn/A 26782-2026 tillsynsbegäran.docx", "A 26782-2026")</f>
        <v/>
      </c>
      <c r="AD208">
        <f>HYPERLINK("https://klasma.github.io/Logging_2380/tillsynsmail/A 26782-2026 tillsynsbegäran mail.docx", "A 26782-2026")</f>
        <v/>
      </c>
    </row>
    <row r="209" ht="15" customHeight="1">
      <c r="A209" t="inlineStr">
        <is>
          <t>A 27652-2026</t>
        </is>
      </c>
      <c r="B209" t="inlineStr">
        <is>
          <t>avverkningsanmälan</t>
        </is>
      </c>
      <c r="C209" t="inlineStr">
        <is>
          <t>Avverkning för att bevara och utveckla /försöksver</t>
        </is>
      </c>
      <c r="D209" s="1" t="n">
        <v>46190</v>
      </c>
      <c r="E209" s="1" t="n">
        <v>46259</v>
      </c>
      <c r="F209" t="inlineStr">
        <is>
          <t>JÄMTLANDS LÄN</t>
        </is>
      </c>
      <c r="G209" t="inlineStr">
        <is>
          <t>ÖSTERSUND</t>
        </is>
      </c>
      <c r="I209" t="n">
        <v>4.7</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HYPERLINK("https://klasma.github.io/Logging_2380/artfynd/A 27652-2026 artfynd.xlsx", "A 27652-2026")</f>
        <v/>
      </c>
      <c r="X209">
        <f>HYPERLINK("https://klasma.github.io/Logging_2380/kartor/A 27652-2026 karta.png", "A 27652-2026")</f>
        <v/>
      </c>
      <c r="Y209">
        <f>HYPERLINK("https://klasma.github.io/Logging_2380/kartor_geotiff/A 27652-2026 georefererad karta.tif", "A 27652-2026")</f>
        <v/>
      </c>
      <c r="AA209">
        <f>HYPERLINK("https://klasma.github.io/Logging_2380/klagomål/A 27652-2026 FSC-klagomål.docx", "A 27652-2026")</f>
        <v/>
      </c>
      <c r="AB209">
        <f>HYPERLINK("https://klasma.github.io/Logging_2380/klagomålsmail/A 27652-2026 FSC-klagomål mail.docx", "A 27652-2026")</f>
        <v/>
      </c>
      <c r="AC209">
        <f>HYPERLINK("https://klasma.github.io/Logging_2380/tillsyn/A 27652-2026 tillsynsbegäran.docx", "A 27652-2026")</f>
        <v/>
      </c>
      <c r="AD209">
        <f>HYPERLINK("https://klasma.github.io/Logging_2380/tillsynsmail/A 27652-2026 tillsynsbegäran mail.docx", "A 27652-2026")</f>
        <v/>
      </c>
    </row>
    <row r="210" ht="15" customHeight="1">
      <c r="A210" t="inlineStr">
        <is>
          <t>A 60966-2025</t>
        </is>
      </c>
      <c r="B210" t="inlineStr">
        <is>
          <t>avverkningsanmälan</t>
        </is>
      </c>
      <c r="C210" t="inlineStr">
        <is>
          <t>Föryngringsavverkning</t>
        </is>
      </c>
      <c r="D210" s="1" t="n">
        <v>45999</v>
      </c>
      <c r="E210" s="1" t="n">
        <v>46259</v>
      </c>
      <c r="F210" t="inlineStr">
        <is>
          <t>JÄMTLANDS LÄN</t>
        </is>
      </c>
      <c r="G210" t="inlineStr">
        <is>
          <t>ÖSTERSUND</t>
        </is>
      </c>
      <c r="H210" t="inlineStr">
        <is>
          <t>SCA</t>
        </is>
      </c>
      <c r="I210" t="n">
        <v>1.9</v>
      </c>
      <c r="J210" t="n">
        <v>1</v>
      </c>
      <c r="K210" t="n">
        <v>1</v>
      </c>
      <c r="L210" t="n">
        <v>0</v>
      </c>
      <c r="M210" t="n">
        <v>0</v>
      </c>
      <c r="N210" t="n">
        <v>0</v>
      </c>
      <c r="O210" t="n">
        <v>0</v>
      </c>
      <c r="P210" t="n">
        <v>0</v>
      </c>
      <c r="Q210" t="n">
        <v>0</v>
      </c>
      <c r="R210" t="n">
        <v>0</v>
      </c>
      <c r="S210" t="n">
        <v>1</v>
      </c>
      <c r="T210" t="n">
        <v>2</v>
      </c>
      <c r="U210" t="n">
        <v>0</v>
      </c>
      <c r="V210" s="2" t="inlineStr">
        <is>
          <t>Tvåblad</t>
        </is>
      </c>
      <c r="W210">
        <f>HYPERLINK("https://klasma.github.io/Logging_2380/artfynd/A 60966-2025 artfynd.xlsx", "A 60966-2025")</f>
        <v/>
      </c>
      <c r="X210">
        <f>HYPERLINK("https://klasma.github.io/Logging_2380/kartor/A 60966-2025 karta.png", "A 60966-2025")</f>
        <v/>
      </c>
      <c r="Y210">
        <f>HYPERLINK("https://klasma.github.io/Logging_2380/kartor_geotiff/A 60966-2025 georefererad karta.tif", "A 60966-2025")</f>
        <v/>
      </c>
      <c r="AA210">
        <f>HYPERLINK("https://klasma.github.io/Logging_2380/klagomål/A 60966-2025 FSC-klagomål.docx", "A 60966-2025")</f>
        <v/>
      </c>
      <c r="AB210">
        <f>HYPERLINK("https://klasma.github.io/Logging_2380/klagomålsmail/A 60966-2025 FSC-klagomål mail.docx", "A 60966-2025")</f>
        <v/>
      </c>
      <c r="AC210">
        <f>HYPERLINK("https://klasma.github.io/Logging_2380/tillsyn/A 60966-2025 tillsynsbegäran.docx", "A 60966-2025")</f>
        <v/>
      </c>
      <c r="AD210">
        <f>HYPERLINK("https://klasma.github.io/Logging_2380/tillsynsmail/A 60966-2025 tillsynsbegäran mail.docx", "A 60966-2025")</f>
        <v/>
      </c>
    </row>
    <row r="211" ht="15" customHeight="1">
      <c r="A211" t="inlineStr">
        <is>
          <t>A 55-2023</t>
        </is>
      </c>
      <c r="B211" t="inlineStr">
        <is>
          <t>avverkningsanmälan</t>
        </is>
      </c>
      <c r="C211" t="inlineStr">
        <is>
          <t>Föryngringsavverkning</t>
        </is>
      </c>
      <c r="D211" s="1" t="n">
        <v>44928</v>
      </c>
      <c r="E211" s="1" t="n">
        <v>46259</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4223-2026</t>
        </is>
      </c>
      <c r="B212" t="inlineStr">
        <is>
          <t>avverkningsanmälan</t>
        </is>
      </c>
      <c r="C212" t="inlineStr">
        <is>
          <t>Föryngringsavverkning</t>
        </is>
      </c>
      <c r="D212" s="1" t="n">
        <v>46044</v>
      </c>
      <c r="E212" s="1" t="n">
        <v>46259</v>
      </c>
      <c r="F212" t="inlineStr">
        <is>
          <t>JÄMTLANDS LÄN</t>
        </is>
      </c>
      <c r="G212" t="inlineStr">
        <is>
          <t>ÖSTERSUND</t>
        </is>
      </c>
      <c r="I212" t="n">
        <v>3.5</v>
      </c>
      <c r="J212" t="n">
        <v>0</v>
      </c>
      <c r="K212" t="n">
        <v>0</v>
      </c>
      <c r="L212" t="n">
        <v>0</v>
      </c>
      <c r="M212" t="n">
        <v>1</v>
      </c>
      <c r="N212" t="n">
        <v>0</v>
      </c>
      <c r="O212" t="n">
        <v>0</v>
      </c>
      <c r="P212" t="n">
        <v>0</v>
      </c>
      <c r="Q212" t="n">
        <v>1</v>
      </c>
      <c r="R212" t="n">
        <v>1</v>
      </c>
      <c r="S212" t="n">
        <v>1</v>
      </c>
      <c r="T212" t="n">
        <v>1</v>
      </c>
      <c r="U212" t="n">
        <v>1</v>
      </c>
      <c r="V212" s="2" t="inlineStr">
        <is>
          <t>Taggfingersvamp</t>
        </is>
      </c>
      <c r="W212">
        <f>HYPERLINK("https://klasma.github.io/Logging_2380/artfynd/A 4223-2026 artfynd.xlsx", "A 4223-2026")</f>
        <v/>
      </c>
      <c r="X212">
        <f>HYPERLINK("https://klasma.github.io/Logging_2380/kartor/A 4223-2026 karta.png", "A 4223-2026")</f>
        <v/>
      </c>
      <c r="Y212">
        <f>HYPERLINK("https://klasma.github.io/Logging_2380/kartor_geotiff/A 4223-2026 georefererad karta.tif", "A 4223-2026")</f>
        <v/>
      </c>
      <c r="AA212">
        <f>HYPERLINK("https://klasma.github.io/Logging_2380/klagomål/A 4223-2026 FSC-klagomål.docx", "A 4223-2026")</f>
        <v/>
      </c>
      <c r="AB212">
        <f>HYPERLINK("https://klasma.github.io/Logging_2380/klagomålsmail/A 4223-2026 FSC-klagomål mail.docx", "A 4223-2026")</f>
        <v/>
      </c>
      <c r="AC212">
        <f>HYPERLINK("https://klasma.github.io/Logging_2380/tillsyn/A 4223-2026 tillsynsbegäran.docx", "A 4223-2026")</f>
        <v/>
      </c>
      <c r="AD212">
        <f>HYPERLINK("https://klasma.github.io/Logging_2380/tillsynsmail/A 4223-2026 tillsynsbegäran mail.docx", "A 4223-2026")</f>
        <v/>
      </c>
    </row>
    <row r="213" ht="15" customHeight="1">
      <c r="A213" t="inlineStr">
        <is>
          <t>A 40694-2024</t>
        </is>
      </c>
      <c r="B213" t="inlineStr">
        <is>
          <t>avverkningsanmälan</t>
        </is>
      </c>
      <c r="C213" t="inlineStr">
        <is>
          <t>Föryngringsavverkning</t>
        </is>
      </c>
      <c r="D213" s="1" t="n">
        <v>45558</v>
      </c>
      <c r="E213" s="1" t="n">
        <v>46259</v>
      </c>
      <c r="F213" t="inlineStr">
        <is>
          <t>JÄMTLANDS LÄN</t>
        </is>
      </c>
      <c r="G213" t="inlineStr">
        <is>
          <t>ÖSTERSUND</t>
        </is>
      </c>
      <c r="H213" t="inlineStr">
        <is>
          <t>SCA</t>
        </is>
      </c>
      <c r="I213" t="n">
        <v>6.2</v>
      </c>
      <c r="J213" t="n">
        <v>0</v>
      </c>
      <c r="K213" t="n">
        <v>0</v>
      </c>
      <c r="L213" t="n">
        <v>1</v>
      </c>
      <c r="M213" t="n">
        <v>0</v>
      </c>
      <c r="N213" t="n">
        <v>0</v>
      </c>
      <c r="O213" t="n">
        <v>0</v>
      </c>
      <c r="P213" t="n">
        <v>0</v>
      </c>
      <c r="Q213" t="n">
        <v>1</v>
      </c>
      <c r="R213" t="n">
        <v>0</v>
      </c>
      <c r="S213" t="n">
        <v>1</v>
      </c>
      <c r="T213" t="n">
        <v>1</v>
      </c>
      <c r="U213" t="n">
        <v>0</v>
      </c>
      <c r="V213" s="2" t="inlineStr">
        <is>
          <t>Reliktbock</t>
        </is>
      </c>
      <c r="W213">
        <f>HYPERLINK("https://klasma.github.io/Logging_2380/artfynd/A 40694-2024 artfynd.xlsx", "A 40694-2024")</f>
        <v/>
      </c>
      <c r="X213">
        <f>HYPERLINK("https://klasma.github.io/Logging_2380/kartor/A 40694-2024 karta.png", "A 40694-2024")</f>
        <v/>
      </c>
      <c r="Y213">
        <f>HYPERLINK("https://klasma.github.io/Logging_2380/kartor_geotiff/A 40694-2024 georefererad karta.tif", "A 40694-2024")</f>
        <v/>
      </c>
      <c r="AA213">
        <f>HYPERLINK("https://klasma.github.io/Logging_2380/klagomål/A 40694-2024 FSC-klagomål.docx", "A 40694-2024")</f>
        <v/>
      </c>
      <c r="AB213">
        <f>HYPERLINK("https://klasma.github.io/Logging_2380/klagomålsmail/A 40694-2024 FSC-klagomål mail.docx", "A 40694-2024")</f>
        <v/>
      </c>
      <c r="AC213">
        <f>HYPERLINK("https://klasma.github.io/Logging_2380/tillsyn/A 40694-2024 tillsynsbegäran.docx", "A 40694-2024")</f>
        <v/>
      </c>
      <c r="AD213">
        <f>HYPERLINK("https://klasma.github.io/Logging_2380/tillsynsmail/A 40694-2024 tillsynsbegäran mail.docx", "A 40694-2024")</f>
        <v/>
      </c>
    </row>
    <row r="214" ht="15" customHeight="1">
      <c r="A214" t="inlineStr">
        <is>
          <t>A 24403-2025</t>
        </is>
      </c>
      <c r="B214" t="inlineStr">
        <is>
          <t>avverkningsanmälan</t>
        </is>
      </c>
      <c r="C214" t="inlineStr">
        <is>
          <t>Föryngringsavverkning</t>
        </is>
      </c>
      <c r="D214" s="1" t="n">
        <v>45797</v>
      </c>
      <c r="E214" s="1" t="n">
        <v>46259</v>
      </c>
      <c r="F214" t="inlineStr">
        <is>
          <t>JÄMTLANDS LÄN</t>
        </is>
      </c>
      <c r="G214" t="inlineStr">
        <is>
          <t>ÖSTERSUND</t>
        </is>
      </c>
      <c r="I214" t="n">
        <v>1.3</v>
      </c>
      <c r="J214" t="n">
        <v>1</v>
      </c>
      <c r="K214" t="n">
        <v>0</v>
      </c>
      <c r="L214" t="n">
        <v>1</v>
      </c>
      <c r="M214" t="n">
        <v>0</v>
      </c>
      <c r="N214" t="n">
        <v>0</v>
      </c>
      <c r="O214" t="n">
        <v>0</v>
      </c>
      <c r="P214" t="n">
        <v>0</v>
      </c>
      <c r="Q214" t="n">
        <v>1</v>
      </c>
      <c r="R214" t="n">
        <v>0</v>
      </c>
      <c r="S214" t="n">
        <v>1</v>
      </c>
      <c r="T214" t="n">
        <v>1</v>
      </c>
      <c r="U214" t="n">
        <v>0</v>
      </c>
      <c r="V214" s="2" t="inlineStr">
        <is>
          <t>Vinterhämpling</t>
        </is>
      </c>
      <c r="W214">
        <f>HYPERLINK("https://klasma.github.io/Logging_2380/artfynd/A 24403-2025 artfynd.xlsx", "A 24403-2025")</f>
        <v/>
      </c>
      <c r="X214">
        <f>HYPERLINK("https://klasma.github.io/Logging_2380/kartor/A 24403-2025 karta.png", "A 24403-2025")</f>
        <v/>
      </c>
      <c r="Y214">
        <f>HYPERLINK("https://klasma.github.io/Logging_2380/kartor_geotiff/A 24403-2025 georefererad karta.tif", "A 24403-2025")</f>
        <v/>
      </c>
      <c r="AA214">
        <f>HYPERLINK("https://klasma.github.io/Logging_2380/klagomål/A 24403-2025 FSC-klagomål.docx", "A 24403-2025")</f>
        <v/>
      </c>
      <c r="AB214">
        <f>HYPERLINK("https://klasma.github.io/Logging_2380/klagomålsmail/A 24403-2025 FSC-klagomål mail.docx", "A 24403-2025")</f>
        <v/>
      </c>
      <c r="AC214">
        <f>HYPERLINK("https://klasma.github.io/Logging_2380/tillsyn/A 24403-2025 tillsynsbegäran.docx", "A 24403-2025")</f>
        <v/>
      </c>
      <c r="AD214">
        <f>HYPERLINK("https://klasma.github.io/Logging_2380/tillsynsmail/A 24403-2025 tillsynsbegäran mail.docx", "A 24403-2025")</f>
        <v/>
      </c>
    </row>
    <row r="215" ht="15" customHeight="1">
      <c r="A215" t="inlineStr">
        <is>
          <t>A 9971-2025</t>
        </is>
      </c>
      <c r="B215" t="inlineStr">
        <is>
          <t>avverkningsanmälan</t>
        </is>
      </c>
      <c r="C215" t="inlineStr">
        <is>
          <t>Föryngringsavverkning</t>
        </is>
      </c>
      <c r="D215" s="1" t="n">
        <v>45719</v>
      </c>
      <c r="E215" s="1" t="n">
        <v>46259</v>
      </c>
      <c r="F215" t="inlineStr">
        <is>
          <t>JÄMTLANDS LÄN</t>
        </is>
      </c>
      <c r="G215" t="inlineStr">
        <is>
          <t>ÖSTERSUND</t>
        </is>
      </c>
      <c r="H215" t="inlineStr">
        <is>
          <t>SCA</t>
        </is>
      </c>
      <c r="I215" t="n">
        <v>1.2</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HYPERLINK("https://klasma.github.io/Logging_2380/artfynd/A 9971-2025 artfynd.xlsx", "A 9971-2025")</f>
        <v/>
      </c>
      <c r="X215">
        <f>HYPERLINK("https://klasma.github.io/Logging_2380/kartor/A 9971-2025 karta.png", "A 9971-2025")</f>
        <v/>
      </c>
      <c r="Y215">
        <f>HYPERLINK("https://klasma.github.io/Logging_2380/kartor_geotiff/A 9971-2025 georefererad karta.tif", "A 9971-2025")</f>
        <v/>
      </c>
      <c r="AA215">
        <f>HYPERLINK("https://klasma.github.io/Logging_2380/klagomål/A 9971-2025 FSC-klagomål.docx", "A 9971-2025")</f>
        <v/>
      </c>
      <c r="AB215">
        <f>HYPERLINK("https://klasma.github.io/Logging_2380/klagomålsmail/A 9971-2025 FSC-klagomål mail.docx", "A 9971-2025")</f>
        <v/>
      </c>
      <c r="AC215">
        <f>HYPERLINK("https://klasma.github.io/Logging_2380/tillsyn/A 9971-2025 tillsynsbegäran.docx", "A 9971-2025")</f>
        <v/>
      </c>
      <c r="AD215">
        <f>HYPERLINK("https://klasma.github.io/Logging_2380/tillsynsmail/A 9971-2025 tillsynsbegäran mail.docx", "A 9971-2025")</f>
        <v/>
      </c>
    </row>
    <row r="216" ht="15" customHeight="1">
      <c r="A216" t="inlineStr">
        <is>
          <t>A 18578-2025</t>
        </is>
      </c>
      <c r="B216" t="inlineStr">
        <is>
          <t>avverkningsanmälan</t>
        </is>
      </c>
      <c r="C216" t="inlineStr">
        <is>
          <t>Avverkning för annat ändamål</t>
        </is>
      </c>
      <c r="D216" s="1" t="n">
        <v>45763</v>
      </c>
      <c r="E216" s="1" t="n">
        <v>46259</v>
      </c>
      <c r="F216" t="inlineStr">
        <is>
          <t>JÄMTLANDS LÄN</t>
        </is>
      </c>
      <c r="G216" t="inlineStr">
        <is>
          <t>ÖSTERSUND</t>
        </is>
      </c>
      <c r="I216" t="n">
        <v>0.8</v>
      </c>
      <c r="J216" t="n">
        <v>1</v>
      </c>
      <c r="K216" t="n">
        <v>1</v>
      </c>
      <c r="L216" t="n">
        <v>0</v>
      </c>
      <c r="M216" t="n">
        <v>0</v>
      </c>
      <c r="N216" t="n">
        <v>0</v>
      </c>
      <c r="O216" t="n">
        <v>0</v>
      </c>
      <c r="P216" t="n">
        <v>0</v>
      </c>
      <c r="Q216" t="n">
        <v>0</v>
      </c>
      <c r="R216" t="n">
        <v>0</v>
      </c>
      <c r="S216" t="n">
        <v>1</v>
      </c>
      <c r="T216" t="n">
        <v>1</v>
      </c>
      <c r="U216" t="n">
        <v>0</v>
      </c>
      <c r="V216" s="2" t="inlineStr">
        <is>
          <t>Korallrot</t>
        </is>
      </c>
      <c r="W216">
        <f>HYPERLINK("https://klasma.github.io/Logging_2380/artfynd/A 18578-2025 artfynd.xlsx", "A 18578-2025")</f>
        <v/>
      </c>
      <c r="X216">
        <f>HYPERLINK("https://klasma.github.io/Logging_2380/kartor/A 18578-2025 karta.png", "A 18578-2025")</f>
        <v/>
      </c>
      <c r="Y216">
        <f>HYPERLINK("https://klasma.github.io/Logging_2380/kartor_geotiff/A 18578-2025 georefererad karta.tif", "A 18578-2025")</f>
        <v/>
      </c>
      <c r="AA216">
        <f>HYPERLINK("https://klasma.github.io/Logging_2380/klagomål/A 18578-2025 FSC-klagomål.docx", "A 18578-2025")</f>
        <v/>
      </c>
      <c r="AB216">
        <f>HYPERLINK("https://klasma.github.io/Logging_2380/klagomålsmail/A 18578-2025 FSC-klagomål mail.docx", "A 18578-2025")</f>
        <v/>
      </c>
      <c r="AC216">
        <f>HYPERLINK("https://klasma.github.io/Logging_2380/tillsyn/A 18578-2025 tillsynsbegäran.docx", "A 18578-2025")</f>
        <v/>
      </c>
      <c r="AD216">
        <f>HYPERLINK("https://klasma.github.io/Logging_2380/tillsynsmail/A 18578-2025 tillsynsbegäran mail.docx", "A 18578-2025")</f>
        <v/>
      </c>
    </row>
    <row r="217" ht="15" customHeight="1">
      <c r="A217" t="inlineStr">
        <is>
          <t>S 3006-2025</t>
        </is>
      </c>
      <c r="B217" t="inlineStr">
        <is>
          <t>samrådsanmälan</t>
        </is>
      </c>
      <c r="C217" t="inlineStr">
        <is>
          <t>Annan skogsbruksåtgärd</t>
        </is>
      </c>
      <c r="D217" s="1" t="n">
        <v>45957</v>
      </c>
      <c r="E217" s="1" t="n">
        <v>46259</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53453-2022</t>
        </is>
      </c>
      <c r="B218" t="inlineStr">
        <is>
          <t>avverkningsanmälan</t>
        </is>
      </c>
      <c r="C218" t="inlineStr">
        <is>
          <t>Föryngringsavverkning</t>
        </is>
      </c>
      <c r="D218" s="1" t="n">
        <v>44879</v>
      </c>
      <c r="E218" s="1" t="n">
        <v>46259</v>
      </c>
      <c r="F218" t="inlineStr">
        <is>
          <t>JÄMTLANDS LÄN</t>
        </is>
      </c>
      <c r="G218" t="inlineStr">
        <is>
          <t>ÖSTERSUND</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64092-2021</t>
        </is>
      </c>
      <c r="B219" t="inlineStr">
        <is>
          <t>avverkningsanmälan</t>
        </is>
      </c>
      <c r="C219" t="inlineStr">
        <is>
          <t>Föryngringsavverkning</t>
        </is>
      </c>
      <c r="D219" s="1" t="n">
        <v>44510</v>
      </c>
      <c r="E219" s="1" t="n">
        <v>46259</v>
      </c>
      <c r="F219" t="inlineStr">
        <is>
          <t>JÄMTLANDS LÄN</t>
        </is>
      </c>
      <c r="G219" t="inlineStr">
        <is>
          <t>ÖSTERSUND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67695-2021</t>
        </is>
      </c>
      <c r="B220" t="inlineStr">
        <is>
          <t>avverkningsanmälan</t>
        </is>
      </c>
      <c r="C220" t="inlineStr">
        <is>
          <t>Föryngringsavverkning</t>
        </is>
      </c>
      <c r="D220" s="1" t="n">
        <v>44524</v>
      </c>
      <c r="E220" s="1" t="n">
        <v>46259</v>
      </c>
      <c r="F220" t="inlineStr">
        <is>
          <t>JÄMTLANDS LÄN</t>
        </is>
      </c>
      <c r="G220" t="inlineStr">
        <is>
          <t>ÖSTERSUND</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43951-2022</t>
        </is>
      </c>
      <c r="B221" t="inlineStr">
        <is>
          <t>avverkningsanmälan</t>
        </is>
      </c>
      <c r="C221" t="inlineStr">
        <is>
          <t>Föryngringsavverkning</t>
        </is>
      </c>
      <c r="D221" s="1" t="n">
        <v>44838</v>
      </c>
      <c r="E221" s="1" t="n">
        <v>46259</v>
      </c>
      <c r="F221" t="inlineStr">
        <is>
          <t>JÄMTLANDS LÄN</t>
        </is>
      </c>
      <c r="G221" t="inlineStr">
        <is>
          <t>ÖSTERSUND</t>
        </is>
      </c>
      <c r="H221" t="inlineStr">
        <is>
          <t>Övriga Aktiebolag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72089-2021</t>
        </is>
      </c>
      <c r="B222" t="inlineStr">
        <is>
          <t>avverkningsanmälan</t>
        </is>
      </c>
      <c r="C222" t="inlineStr">
        <is>
          <t>Föryngringsavverkning</t>
        </is>
      </c>
      <c r="D222" s="1" t="n">
        <v>44540</v>
      </c>
      <c r="E222" s="1" t="n">
        <v>46259</v>
      </c>
      <c r="F222" t="inlineStr">
        <is>
          <t>JÄMTLANDS LÄN</t>
        </is>
      </c>
      <c r="G222" t="inlineStr">
        <is>
          <t>ÖSTERSUND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8647-2022</t>
        </is>
      </c>
      <c r="B223" t="inlineStr">
        <is>
          <t>avverkningsanmälan</t>
        </is>
      </c>
      <c r="C223" t="inlineStr">
        <is>
          <t>Föryngringsavverkning</t>
        </is>
      </c>
      <c r="D223" s="1" t="n">
        <v>44613</v>
      </c>
      <c r="E223" s="1" t="n">
        <v>46259</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2880-2022</t>
        </is>
      </c>
      <c r="B224" t="inlineStr">
        <is>
          <t>avverkningsanmälan</t>
        </is>
      </c>
      <c r="C224" t="inlineStr">
        <is>
          <t>Föryngringsavverkning</t>
        </is>
      </c>
      <c r="D224" s="1" t="n">
        <v>44581</v>
      </c>
      <c r="E224" s="1" t="n">
        <v>46259</v>
      </c>
      <c r="F224" t="inlineStr">
        <is>
          <t>JÄMTLANDS LÄN</t>
        </is>
      </c>
      <c r="G224" t="inlineStr">
        <is>
          <t>ÖSTERSUND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47295-2022</t>
        </is>
      </c>
      <c r="B225" t="inlineStr">
        <is>
          <t>avverkningsanmälan</t>
        </is>
      </c>
      <c r="C225" t="inlineStr">
        <is>
          <t>Föryngringsavverkning</t>
        </is>
      </c>
      <c r="D225" s="1" t="n">
        <v>44852</v>
      </c>
      <c r="E225" s="1" t="n">
        <v>46259</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154-2022</t>
        </is>
      </c>
      <c r="B226" t="inlineStr">
        <is>
          <t>avverkningsanmälan</t>
        </is>
      </c>
      <c r="C226" t="inlineStr">
        <is>
          <t>Föryngringsavverkning</t>
        </is>
      </c>
      <c r="D226" s="1" t="n">
        <v>44561</v>
      </c>
      <c r="E226" s="1" t="n">
        <v>46259</v>
      </c>
      <c r="F226" t="inlineStr">
        <is>
          <t>JÄMTLANDS LÄN</t>
        </is>
      </c>
      <c r="G226" t="inlineStr">
        <is>
          <t>ÖSTERSUND</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46002-2021</t>
        </is>
      </c>
      <c r="B227" t="inlineStr">
        <is>
          <t>avverkningsanmälan</t>
        </is>
      </c>
      <c r="C227" t="inlineStr">
        <is>
          <t>Föryngringsavverkning</t>
        </is>
      </c>
      <c r="D227" s="1" t="n">
        <v>44441</v>
      </c>
      <c r="E227" s="1" t="n">
        <v>46259</v>
      </c>
      <c r="F227" t="inlineStr">
        <is>
          <t>JÄMTLANDS LÄN</t>
        </is>
      </c>
      <c r="G227" t="inlineStr">
        <is>
          <t>ÖSTERSUND</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695-2022</t>
        </is>
      </c>
      <c r="B228" t="inlineStr">
        <is>
          <t>avverkningsanmälan</t>
        </is>
      </c>
      <c r="C228" t="inlineStr">
        <is>
          <t>Föryngringsavverkning</t>
        </is>
      </c>
      <c r="D228" s="1" t="n">
        <v>44566</v>
      </c>
      <c r="E228" s="1" t="n">
        <v>46259</v>
      </c>
      <c r="F228" t="inlineStr">
        <is>
          <t>JÄMTLANDS LÄN</t>
        </is>
      </c>
      <c r="G228" t="inlineStr">
        <is>
          <t>ÖSTERSUND</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29828-2022</t>
        </is>
      </c>
      <c r="B229" t="inlineStr">
        <is>
          <t>avverkningsanmälan</t>
        </is>
      </c>
      <c r="C229" t="inlineStr">
        <is>
          <t>Avverkning för att bevara och utveckla /försöksver</t>
        </is>
      </c>
      <c r="D229" s="1" t="n">
        <v>44755</v>
      </c>
      <c r="E229" s="1" t="n">
        <v>46259</v>
      </c>
      <c r="F229" t="inlineStr">
        <is>
          <t>JÄMTLANDS LÄN</t>
        </is>
      </c>
      <c r="G229" t="inlineStr">
        <is>
          <t>ÖSTERSUND</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44267-2021</t>
        </is>
      </c>
      <c r="B230" t="inlineStr">
        <is>
          <t>avverkningsanmälan</t>
        </is>
      </c>
      <c r="C230" t="inlineStr">
        <is>
          <t>Avverkning för annat ändamål</t>
        </is>
      </c>
      <c r="D230" s="1" t="n">
        <v>44434</v>
      </c>
      <c r="E230" s="1" t="n">
        <v>46259</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47296-2022</t>
        </is>
      </c>
      <c r="B231" t="inlineStr">
        <is>
          <t>avverkningsanmälan</t>
        </is>
      </c>
      <c r="C231" t="inlineStr">
        <is>
          <t>Föryngringsavverkning</t>
        </is>
      </c>
      <c r="D231" s="1" t="n">
        <v>44852</v>
      </c>
      <c r="E231" s="1" t="n">
        <v>46259</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72041-2021</t>
        </is>
      </c>
      <c r="B232" t="inlineStr">
        <is>
          <t>avverkningsanmälan</t>
        </is>
      </c>
      <c r="C232" t="inlineStr">
        <is>
          <t>Avverkning för annat ändamål</t>
        </is>
      </c>
      <c r="D232" s="1" t="n">
        <v>44540</v>
      </c>
      <c r="E232" s="1" t="n">
        <v>46259</v>
      </c>
      <c r="F232" t="inlineStr">
        <is>
          <t>JÄMTLANDS LÄN</t>
        </is>
      </c>
      <c r="G232" t="inlineStr">
        <is>
          <t>ÖSTERSUND</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70816-2021</t>
        </is>
      </c>
      <c r="B233" t="inlineStr">
        <is>
          <t>avverkningsanmälan</t>
        </is>
      </c>
      <c r="C233" t="inlineStr">
        <is>
          <t>Föryngringsavverkning</t>
        </is>
      </c>
      <c r="D233" s="1" t="n">
        <v>44537</v>
      </c>
      <c r="E233" s="1" t="n">
        <v>46259</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8227-2022</t>
        </is>
      </c>
      <c r="B234" t="inlineStr">
        <is>
          <t>avverkningsanmälan</t>
        </is>
      </c>
      <c r="C234" t="inlineStr">
        <is>
          <t>Föryngringsavverkning</t>
        </is>
      </c>
      <c r="D234" s="1" t="n">
        <v>44609</v>
      </c>
      <c r="E234" s="1" t="n">
        <v>46259</v>
      </c>
      <c r="F234" t="inlineStr">
        <is>
          <t>JÄMTLANDS LÄN</t>
        </is>
      </c>
      <c r="G234" t="inlineStr">
        <is>
          <t>ÖSTERSUND</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56148-2022</t>
        </is>
      </c>
      <c r="B235" t="inlineStr">
        <is>
          <t>avverkningsanmälan</t>
        </is>
      </c>
      <c r="C235" t="inlineStr">
        <is>
          <t>Föryngringsavverkning</t>
        </is>
      </c>
      <c r="D235" s="1" t="n">
        <v>44889</v>
      </c>
      <c r="E235" s="1" t="n">
        <v>46259</v>
      </c>
      <c r="F235" t="inlineStr">
        <is>
          <t>JÄMTLANDS LÄN</t>
        </is>
      </c>
      <c r="G235" t="inlineStr">
        <is>
          <t>ÖSTERSUND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65866-2021</t>
        </is>
      </c>
      <c r="B236" t="inlineStr">
        <is>
          <t>avverkningsanmälan</t>
        </is>
      </c>
      <c r="C236" t="inlineStr">
        <is>
          <t>Avverkning för annat ändamål</t>
        </is>
      </c>
      <c r="D236" s="1" t="n">
        <v>44516</v>
      </c>
      <c r="E236" s="1" t="n">
        <v>46259</v>
      </c>
      <c r="F236" t="inlineStr">
        <is>
          <t>JÄMTLANDS LÄN</t>
        </is>
      </c>
      <c r="G236" t="inlineStr">
        <is>
          <t>ÖSTERSUND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52898-2022</t>
        </is>
      </c>
      <c r="B237" t="inlineStr">
        <is>
          <t>avverkningsanmälan</t>
        </is>
      </c>
      <c r="C237" t="inlineStr">
        <is>
          <t>Föryngringsavverkning</t>
        </is>
      </c>
      <c r="D237" s="1" t="n">
        <v>44875</v>
      </c>
      <c r="E237" s="1" t="n">
        <v>46259</v>
      </c>
      <c r="F237" t="inlineStr">
        <is>
          <t>JÄMTLANDS LÄN</t>
        </is>
      </c>
      <c r="G237" t="inlineStr">
        <is>
          <t>ÖSTERSUND</t>
        </is>
      </c>
      <c r="H237" t="inlineStr">
        <is>
          <t>Övriga Aktiebolag</t>
        </is>
      </c>
      <c r="I237" t="n">
        <v>12.1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55105-2022</t>
        </is>
      </c>
      <c r="B238" t="inlineStr">
        <is>
          <t>avverkningsanmälan</t>
        </is>
      </c>
      <c r="C238" t="inlineStr">
        <is>
          <t>Föryngringsavverkning</t>
        </is>
      </c>
      <c r="D238" s="1" t="n">
        <v>44886</v>
      </c>
      <c r="E238" s="1" t="n">
        <v>46259</v>
      </c>
      <c r="F238" t="inlineStr">
        <is>
          <t>JÄMTLANDS LÄN</t>
        </is>
      </c>
      <c r="G238" t="inlineStr">
        <is>
          <t>ÖSTERSUND</t>
        </is>
      </c>
      <c r="H238" t="inlineStr">
        <is>
          <t>Övriga Aktiebolag</t>
        </is>
      </c>
      <c r="I238" t="n">
        <v>2.4</v>
      </c>
      <c r="J238" t="n">
        <v>0</v>
      </c>
      <c r="K238" t="n">
        <v>0</v>
      </c>
      <c r="L238" t="n">
        <v>0</v>
      </c>
      <c r="M238" t="n">
        <v>0</v>
      </c>
      <c r="N238" t="n">
        <v>0</v>
      </c>
      <c r="O238" t="n">
        <v>0</v>
      </c>
      <c r="P238" t="n">
        <v>0</v>
      </c>
      <c r="Q238" t="n">
        <v>0</v>
      </c>
      <c r="R238" t="n">
        <v>0</v>
      </c>
      <c r="S238" t="n">
        <v>0</v>
      </c>
      <c r="T238" t="n">
        <v>0</v>
      </c>
      <c r="U238" t="n">
        <v>0</v>
      </c>
      <c r="V238" s="2" t="inlineStr"/>
      <c r="Z238">
        <f>HYPERLINK("https://klasma.github.io/Logging_2380/knärot/A 55105-2022 karta knärot.png", "A 55105-2022")</f>
        <v/>
      </c>
      <c r="AA238">
        <f>HYPERLINK("https://klasma.github.io/Logging_2380/klagomål/A 55105-2022 FSC-klagomål.docx", "A 55105-2022")</f>
        <v/>
      </c>
      <c r="AB238">
        <f>HYPERLINK("https://klasma.github.io/Logging_2380/klagomålsmail/A 55105-2022 FSC-klagomål mail.docx", "A 55105-2022")</f>
        <v/>
      </c>
      <c r="AC238">
        <f>HYPERLINK("https://klasma.github.io/Logging_2380/tillsyn/A 55105-2022 tillsynsbegäran.docx", "A 55105-2022")</f>
        <v/>
      </c>
      <c r="AD238">
        <f>HYPERLINK("https://klasma.github.io/Logging_2380/tillsynsmail/A 55105-2022 tillsynsbegäran mail.docx", "A 55105-2022")</f>
        <v/>
      </c>
    </row>
    <row r="239" ht="15" customHeight="1">
      <c r="A239" t="inlineStr">
        <is>
          <t>A 29094-2022</t>
        </is>
      </c>
      <c r="B239" t="inlineStr">
        <is>
          <t>avverkningsanmälan</t>
        </is>
      </c>
      <c r="C239" t="inlineStr">
        <is>
          <t>Föryngringsavverkning</t>
        </is>
      </c>
      <c r="D239" s="1" t="n">
        <v>44750</v>
      </c>
      <c r="E239" s="1" t="n">
        <v>46259</v>
      </c>
      <c r="F239" t="inlineStr">
        <is>
          <t>JÄMTLANDS LÄN</t>
        </is>
      </c>
      <c r="G239" t="inlineStr">
        <is>
          <t>ÖSTERSUND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65991-2021</t>
        </is>
      </c>
      <c r="B240" t="inlineStr">
        <is>
          <t>avverkningsanmälan</t>
        </is>
      </c>
      <c r="C240" t="inlineStr">
        <is>
          <t>Avverkning för att bevara och utveckla /försöksver</t>
        </is>
      </c>
      <c r="D240" s="1" t="n">
        <v>44517</v>
      </c>
      <c r="E240" s="1" t="n">
        <v>46259</v>
      </c>
      <c r="F240" t="inlineStr">
        <is>
          <t>JÄMTLANDS LÄN</t>
        </is>
      </c>
      <c r="G240" t="inlineStr">
        <is>
          <t>ÖSTERSUND</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6458-2022</t>
        </is>
      </c>
      <c r="B241" t="inlineStr">
        <is>
          <t>avverkningsanmälan</t>
        </is>
      </c>
      <c r="C241" t="inlineStr">
        <is>
          <t>Föryngringsavverkning</t>
        </is>
      </c>
      <c r="D241" s="1" t="n">
        <v>44601</v>
      </c>
      <c r="E241" s="1" t="n">
        <v>46259</v>
      </c>
      <c r="F241" t="inlineStr">
        <is>
          <t>JÄMTLANDS LÄN</t>
        </is>
      </c>
      <c r="G241" t="inlineStr">
        <is>
          <t>ÖSTERSUND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23992-2022</t>
        </is>
      </c>
      <c r="B242" t="inlineStr">
        <is>
          <t>avverkningsanmälan</t>
        </is>
      </c>
      <c r="C242" t="inlineStr">
        <is>
          <t>Föryngringsavverkning</t>
        </is>
      </c>
      <c r="D242" s="1" t="n">
        <v>44722</v>
      </c>
      <c r="E242" s="1" t="n">
        <v>46259</v>
      </c>
      <c r="F242" t="inlineStr">
        <is>
          <t>JÄMTLANDS LÄN</t>
        </is>
      </c>
      <c r="G242" t="inlineStr">
        <is>
          <t>ÖSTERSUND</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23993-2022</t>
        </is>
      </c>
      <c r="B243" t="inlineStr">
        <is>
          <t>avverkningsanmälan</t>
        </is>
      </c>
      <c r="C243" t="inlineStr">
        <is>
          <t>Föryngringsavverkning</t>
        </is>
      </c>
      <c r="D243" s="1" t="n">
        <v>44722</v>
      </c>
      <c r="E243" s="1" t="n">
        <v>46259</v>
      </c>
      <c r="F243" t="inlineStr">
        <is>
          <t>JÄMTLANDS LÄN</t>
        </is>
      </c>
      <c r="G243" t="inlineStr">
        <is>
          <t>ÖSTERSUND</t>
        </is>
      </c>
      <c r="H243" t="inlineStr">
        <is>
          <t>SCA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23551-2022</t>
        </is>
      </c>
      <c r="B244" t="inlineStr">
        <is>
          <t>avverkningsanmälan</t>
        </is>
      </c>
      <c r="C244" t="inlineStr">
        <is>
          <t>Föryngringsavverkning</t>
        </is>
      </c>
      <c r="D244" s="1" t="n">
        <v>44721</v>
      </c>
      <c r="E244" s="1" t="n">
        <v>46259</v>
      </c>
      <c r="F244" t="inlineStr">
        <is>
          <t>JÄMTLANDS LÄN</t>
        </is>
      </c>
      <c r="G244" t="inlineStr">
        <is>
          <t>ÖSTERSUND</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45654-2022</t>
        </is>
      </c>
      <c r="B245" t="inlineStr">
        <is>
          <t>avverkningsanmälan</t>
        </is>
      </c>
      <c r="C245" t="inlineStr">
        <is>
          <t>Föryngringsavverkning</t>
        </is>
      </c>
      <c r="D245" s="1" t="n">
        <v>44845</v>
      </c>
      <c r="E245" s="1" t="n">
        <v>46259</v>
      </c>
      <c r="F245" t="inlineStr">
        <is>
          <t>JÄMTLANDS LÄN</t>
        </is>
      </c>
      <c r="G245" t="inlineStr">
        <is>
          <t>ÖSTERSUND</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24946-2025</t>
        </is>
      </c>
      <c r="B246" t="inlineStr">
        <is>
          <t>avverkningsanmälan</t>
        </is>
      </c>
      <c r="C246" t="inlineStr">
        <is>
          <t>Föryngringsavverkning</t>
        </is>
      </c>
      <c r="D246" s="1" t="n">
        <v>45799</v>
      </c>
      <c r="E246" s="1" t="n">
        <v>46259</v>
      </c>
      <c r="F246" t="inlineStr">
        <is>
          <t>JÄMTLANDS LÄN</t>
        </is>
      </c>
      <c r="G246" t="inlineStr">
        <is>
          <t>ÖSTERSUND</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31464-2024</t>
        </is>
      </c>
      <c r="B247" t="inlineStr">
        <is>
          <t>avverkningsanmälan</t>
        </is>
      </c>
      <c r="C247" t="inlineStr">
        <is>
          <t>Avverkning för att bevara och utveckla /försöksver</t>
        </is>
      </c>
      <c r="D247" s="1" t="n">
        <v>45505</v>
      </c>
      <c r="E247" s="1" t="n">
        <v>46259</v>
      </c>
      <c r="F247" t="inlineStr">
        <is>
          <t>JÄMTLANDS LÄN</t>
        </is>
      </c>
      <c r="G247" t="inlineStr">
        <is>
          <t>ÖSTERSUND</t>
        </is>
      </c>
      <c r="H247" t="inlineStr">
        <is>
          <t>SCA</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47022-2024</t>
        </is>
      </c>
      <c r="B248" t="inlineStr">
        <is>
          <t>avverkningsanmälan</t>
        </is>
      </c>
      <c r="C248" t="inlineStr">
        <is>
          <t>Föryngringsavverkning</t>
        </is>
      </c>
      <c r="D248" s="1" t="n">
        <v>45586</v>
      </c>
      <c r="E248" s="1" t="n">
        <v>46259</v>
      </c>
      <c r="F248" t="inlineStr">
        <is>
          <t>JÄMTLANDS LÄN</t>
        </is>
      </c>
      <c r="G248" t="inlineStr">
        <is>
          <t>ÖSTERSUND</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25572-2025</t>
        </is>
      </c>
      <c r="B249" t="inlineStr">
        <is>
          <t>avverkningsanmälan</t>
        </is>
      </c>
      <c r="C249" t="inlineStr">
        <is>
          <t>Avverkning för annat ändamål</t>
        </is>
      </c>
      <c r="D249" s="1" t="n">
        <v>45803</v>
      </c>
      <c r="E249" s="1" t="n">
        <v>46259</v>
      </c>
      <c r="F249" t="inlineStr">
        <is>
          <t>JÄMTLANDS LÄN</t>
        </is>
      </c>
      <c r="G249" t="inlineStr">
        <is>
          <t>ÖSTERSUND</t>
        </is>
      </c>
      <c r="H249" t="inlineStr">
        <is>
          <t>SCA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21211-2022</t>
        </is>
      </c>
      <c r="B250" t="inlineStr">
        <is>
          <t>avverkningsanmälan</t>
        </is>
      </c>
      <c r="C250" t="inlineStr">
        <is>
          <t>Föryngringsavverkning</t>
        </is>
      </c>
      <c r="D250" s="1" t="n">
        <v>44704</v>
      </c>
      <c r="E250" s="1" t="n">
        <v>46259</v>
      </c>
      <c r="F250" t="inlineStr">
        <is>
          <t>JÄMTLANDS LÄN</t>
        </is>
      </c>
      <c r="G250" t="inlineStr">
        <is>
          <t>ÖSTERSUND</t>
        </is>
      </c>
      <c r="H250" t="inlineStr">
        <is>
          <t>SCA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62225-2022</t>
        </is>
      </c>
      <c r="B251" t="inlineStr">
        <is>
          <t>avverkningsanmälan</t>
        </is>
      </c>
      <c r="C251" t="inlineStr">
        <is>
          <t>Föryngringsavverkning</t>
        </is>
      </c>
      <c r="D251" s="1" t="n">
        <v>44922</v>
      </c>
      <c r="E251" s="1" t="n">
        <v>46259</v>
      </c>
      <c r="F251" t="inlineStr">
        <is>
          <t>JÄMTLANDS LÄN</t>
        </is>
      </c>
      <c r="G251" t="inlineStr">
        <is>
          <t>ÖSTERSUND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9552-2025</t>
        </is>
      </c>
      <c r="B252" t="inlineStr">
        <is>
          <t>avverkningsanmälan</t>
        </is>
      </c>
      <c r="C252" t="inlineStr">
        <is>
          <t>Avverkning för annat ändamål</t>
        </is>
      </c>
      <c r="D252" s="1" t="n">
        <v>45715</v>
      </c>
      <c r="E252" s="1" t="n">
        <v>46259</v>
      </c>
      <c r="F252" t="inlineStr">
        <is>
          <t>JÄMTLANDS LÄN</t>
        </is>
      </c>
      <c r="G252" t="inlineStr">
        <is>
          <t>ÖSTERSUND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26144-2025</t>
        </is>
      </c>
      <c r="B253" t="inlineStr">
        <is>
          <t>avverkningsanmälan</t>
        </is>
      </c>
      <c r="C253" t="inlineStr">
        <is>
          <t>Föryngringsavverkning</t>
        </is>
      </c>
      <c r="D253" s="1" t="n">
        <v>45805</v>
      </c>
      <c r="E253" s="1" t="n">
        <v>46259</v>
      </c>
      <c r="F253" t="inlineStr">
        <is>
          <t>JÄMTLANDS LÄN</t>
        </is>
      </c>
      <c r="G253" t="inlineStr">
        <is>
          <t>ÖSTERSUND</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47357-2024</t>
        </is>
      </c>
      <c r="B254" t="inlineStr">
        <is>
          <t>avverkningsanmälan</t>
        </is>
      </c>
      <c r="C254" t="inlineStr">
        <is>
          <t>Föryngringsavverkning</t>
        </is>
      </c>
      <c r="D254" s="1" t="n">
        <v>45587</v>
      </c>
      <c r="E254" s="1" t="n">
        <v>46259</v>
      </c>
      <c r="F254" t="inlineStr">
        <is>
          <t>JÄMTLANDS LÄN</t>
        </is>
      </c>
      <c r="G254" t="inlineStr">
        <is>
          <t>ÖSTERSUND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5135-2025</t>
        </is>
      </c>
      <c r="B255" t="inlineStr">
        <is>
          <t>avverkningsanmälan</t>
        </is>
      </c>
      <c r="C255" t="inlineStr">
        <is>
          <t>Föryngringsavverkning</t>
        </is>
      </c>
      <c r="D255" s="1" t="n">
        <v>45691</v>
      </c>
      <c r="E255" s="1" t="n">
        <v>46259</v>
      </c>
      <c r="F255" t="inlineStr">
        <is>
          <t>JÄMTLANDS LÄN</t>
        </is>
      </c>
      <c r="G255" t="inlineStr">
        <is>
          <t>ÖSTERSUND</t>
        </is>
      </c>
      <c r="H255" t="inlineStr">
        <is>
          <t>Övriga Aktiebolag</t>
        </is>
      </c>
      <c r="I255" t="n">
        <v>126.9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39510-2024</t>
        </is>
      </c>
      <c r="B256" t="inlineStr">
        <is>
          <t>avverkningsanmälan</t>
        </is>
      </c>
      <c r="C256" t="inlineStr">
        <is>
          <t>Föryngringsavverkning</t>
        </is>
      </c>
      <c r="D256" s="1" t="n">
        <v>45551</v>
      </c>
      <c r="E256" s="1" t="n">
        <v>46259</v>
      </c>
      <c r="F256" t="inlineStr">
        <is>
          <t>JÄMTLANDS LÄN</t>
        </is>
      </c>
      <c r="G256" t="inlineStr">
        <is>
          <t>ÖSTERSUND</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3610-2024</t>
        </is>
      </c>
      <c r="B257" t="inlineStr">
        <is>
          <t>avverkningsanmälan</t>
        </is>
      </c>
      <c r="C257" t="inlineStr">
        <is>
          <t>Föryngringsavverkning</t>
        </is>
      </c>
      <c r="D257" s="1" t="n">
        <v>45320</v>
      </c>
      <c r="E257" s="1" t="n">
        <v>46259</v>
      </c>
      <c r="F257" t="inlineStr">
        <is>
          <t>JÄMTLANDS LÄN</t>
        </is>
      </c>
      <c r="G257" t="inlineStr">
        <is>
          <t>ÖSTERSUND</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44051-2021</t>
        </is>
      </c>
      <c r="B258" t="inlineStr">
        <is>
          <t>avverkningsanmälan</t>
        </is>
      </c>
      <c r="C258" t="inlineStr">
        <is>
          <t>Föryngringsavverkning</t>
        </is>
      </c>
      <c r="D258" s="1" t="n">
        <v>44434</v>
      </c>
      <c r="E258" s="1" t="n">
        <v>46259</v>
      </c>
      <c r="F258" t="inlineStr">
        <is>
          <t>JÄMTLANDS LÄN</t>
        </is>
      </c>
      <c r="G258" t="inlineStr">
        <is>
          <t>ÖSTERSUND</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26587-2025</t>
        </is>
      </c>
      <c r="B259" t="inlineStr">
        <is>
          <t>avverkningsanmälan</t>
        </is>
      </c>
      <c r="C259" t="inlineStr">
        <is>
          <t>Föryngringsavverkning</t>
        </is>
      </c>
      <c r="D259" s="1" t="n">
        <v>45807</v>
      </c>
      <c r="E259" s="1" t="n">
        <v>46259</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55002-2024</t>
        </is>
      </c>
      <c r="B260" t="inlineStr">
        <is>
          <t>avverkningsanmälan</t>
        </is>
      </c>
      <c r="C260" t="inlineStr">
        <is>
          <t>Avverkning för annat ändamål</t>
        </is>
      </c>
      <c r="D260" s="1" t="n">
        <v>45621</v>
      </c>
      <c r="E260" s="1" t="n">
        <v>46259</v>
      </c>
      <c r="F260" t="inlineStr">
        <is>
          <t>JÄMTLANDS LÄN</t>
        </is>
      </c>
      <c r="G260" t="inlineStr">
        <is>
          <t>ÖSTERSUND</t>
        </is>
      </c>
      <c r="H260" t="inlineStr">
        <is>
          <t>Övriga Aktiebolag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6351-2024</t>
        </is>
      </c>
      <c r="B261" t="inlineStr">
        <is>
          <t>avverkningsanmälan</t>
        </is>
      </c>
      <c r="C261" t="inlineStr">
        <is>
          <t>Avverkning för annat ändamål</t>
        </is>
      </c>
      <c r="D261" s="1" t="n">
        <v>45338</v>
      </c>
      <c r="E261" s="1" t="n">
        <v>46259</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72061-2021</t>
        </is>
      </c>
      <c r="B262" t="inlineStr">
        <is>
          <t>avverkningsanmälan</t>
        </is>
      </c>
      <c r="C262" t="inlineStr">
        <is>
          <t>Föryngringsavverkning</t>
        </is>
      </c>
      <c r="D262" s="1" t="n">
        <v>44540</v>
      </c>
      <c r="E262" s="1" t="n">
        <v>46259</v>
      </c>
      <c r="F262" t="inlineStr">
        <is>
          <t>JÄMTLANDS LÄN</t>
        </is>
      </c>
      <c r="G262" t="inlineStr">
        <is>
          <t>ÖSTERSUND</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27517-2025</t>
        </is>
      </c>
      <c r="B263" t="inlineStr">
        <is>
          <t>avverkningsanmälan</t>
        </is>
      </c>
      <c r="C263" t="inlineStr">
        <is>
          <t>Avverkning för att bevara och utveckla /försöksver</t>
        </is>
      </c>
      <c r="D263" s="1" t="n">
        <v>45813</v>
      </c>
      <c r="E263" s="1" t="n">
        <v>46259</v>
      </c>
      <c r="F263" t="inlineStr">
        <is>
          <t>JÄMTLANDS LÄN</t>
        </is>
      </c>
      <c r="G263" t="inlineStr">
        <is>
          <t>ÖSTERSUND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44013-2021</t>
        </is>
      </c>
      <c r="B264" t="inlineStr">
        <is>
          <t>avverkningsanmälan</t>
        </is>
      </c>
      <c r="C264" t="inlineStr">
        <is>
          <t>Föryngringsavverkning</t>
        </is>
      </c>
      <c r="D264" s="1" t="n">
        <v>44434</v>
      </c>
      <c r="E264" s="1" t="n">
        <v>46259</v>
      </c>
      <c r="F264" t="inlineStr">
        <is>
          <t>JÄMTLANDS LÄN</t>
        </is>
      </c>
      <c r="G264" t="inlineStr">
        <is>
          <t>ÖSTERSUND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28185-2025</t>
        </is>
      </c>
      <c r="B265" t="inlineStr">
        <is>
          <t>avverkningsanmälan</t>
        </is>
      </c>
      <c r="C265" t="inlineStr">
        <is>
          <t>Avverkning för annat ändamål</t>
        </is>
      </c>
      <c r="D265" s="1" t="n">
        <v>45818</v>
      </c>
      <c r="E265" s="1" t="n">
        <v>46259</v>
      </c>
      <c r="F265" t="inlineStr">
        <is>
          <t>JÄMTLANDS LÄN</t>
        </is>
      </c>
      <c r="G265" t="inlineStr">
        <is>
          <t>ÖSTERSUND</t>
        </is>
      </c>
      <c r="H265" t="inlineStr">
        <is>
          <t>Kyrkan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60174-2022</t>
        </is>
      </c>
      <c r="B266" t="inlineStr">
        <is>
          <t>avverkningsanmälan</t>
        </is>
      </c>
      <c r="C266" t="inlineStr">
        <is>
          <t>Avverkning för att bevara och utveckla /försöksver</t>
        </is>
      </c>
      <c r="D266" s="1" t="n">
        <v>44909</v>
      </c>
      <c r="E266" s="1" t="n">
        <v>46259</v>
      </c>
      <c r="F266" t="inlineStr">
        <is>
          <t>JÄMTLANDS LÄN</t>
        </is>
      </c>
      <c r="G266" t="inlineStr">
        <is>
          <t>ÖSTERSUND</t>
        </is>
      </c>
      <c r="H266" t="inlineStr">
        <is>
          <t>SCA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30217-2022</t>
        </is>
      </c>
      <c r="B267" t="inlineStr">
        <is>
          <t>avverkningsanmälan</t>
        </is>
      </c>
      <c r="C267" t="inlineStr">
        <is>
          <t>Föryngringsavverkning</t>
        </is>
      </c>
      <c r="D267" s="1" t="n">
        <v>44757</v>
      </c>
      <c r="E267" s="1" t="n">
        <v>46259</v>
      </c>
      <c r="F267" t="inlineStr">
        <is>
          <t>JÄMTLANDS LÄN</t>
        </is>
      </c>
      <c r="G267" t="inlineStr">
        <is>
          <t>ÖSTERSUND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20634-2023</t>
        </is>
      </c>
      <c r="B268" t="inlineStr">
        <is>
          <t>avverkningsanmälan</t>
        </is>
      </c>
      <c r="C268" t="inlineStr">
        <is>
          <t>Föryngringsavverkning</t>
        </is>
      </c>
      <c r="D268" s="1" t="n">
        <v>45057</v>
      </c>
      <c r="E268" s="1" t="n">
        <v>46259</v>
      </c>
      <c r="F268" t="inlineStr">
        <is>
          <t>JÄMTLANDS LÄN</t>
        </is>
      </c>
      <c r="G268" t="inlineStr">
        <is>
          <t>ÖSTERSUND</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28595-2025</t>
        </is>
      </c>
      <c r="B269" t="inlineStr">
        <is>
          <t>avverkningsanmälan</t>
        </is>
      </c>
      <c r="C269" t="inlineStr">
        <is>
          <t>Föryngringsavverkning</t>
        </is>
      </c>
      <c r="D269" s="1" t="n">
        <v>45819</v>
      </c>
      <c r="E269" s="1" t="n">
        <v>46259</v>
      </c>
      <c r="F269" t="inlineStr">
        <is>
          <t>JÄMTLANDS LÄN</t>
        </is>
      </c>
      <c r="G269" t="inlineStr">
        <is>
          <t>ÖSTERSUND</t>
        </is>
      </c>
      <c r="H269" t="inlineStr">
        <is>
          <t>SCA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17066-2024</t>
        </is>
      </c>
      <c r="B270" t="inlineStr">
        <is>
          <t>avverkningsanmälan</t>
        </is>
      </c>
      <c r="C270" t="inlineStr">
        <is>
          <t>Föryngringsavverkning</t>
        </is>
      </c>
      <c r="D270" s="1" t="n">
        <v>45412</v>
      </c>
      <c r="E270" s="1" t="n">
        <v>46259</v>
      </c>
      <c r="F270" t="inlineStr">
        <is>
          <t>JÄMTLANDS LÄN</t>
        </is>
      </c>
      <c r="G270" t="inlineStr">
        <is>
          <t>ÖSTERSUND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14657-2022</t>
        </is>
      </c>
      <c r="B271" t="inlineStr">
        <is>
          <t>avverkningsanmälan</t>
        </is>
      </c>
      <c r="C271" t="inlineStr">
        <is>
          <t>Föryngringsavverkning</t>
        </is>
      </c>
      <c r="D271" s="1" t="n">
        <v>44655</v>
      </c>
      <c r="E271" s="1" t="n">
        <v>46259</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4350-2024</t>
        </is>
      </c>
      <c r="B272" t="inlineStr">
        <is>
          <t>avverkningsanmälan</t>
        </is>
      </c>
      <c r="C272" t="inlineStr">
        <is>
          <t>Föryngringsavverkning</t>
        </is>
      </c>
      <c r="D272" s="1" t="n">
        <v>45324</v>
      </c>
      <c r="E272" s="1" t="n">
        <v>46259</v>
      </c>
      <c r="F272" t="inlineStr">
        <is>
          <t>JÄMTLANDS LÄN</t>
        </is>
      </c>
      <c r="G272" t="inlineStr">
        <is>
          <t>ÖSTERSUND</t>
        </is>
      </c>
      <c r="H272" t="inlineStr">
        <is>
          <t>SCA</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27124-2023</t>
        </is>
      </c>
      <c r="B273" t="inlineStr">
        <is>
          <t>avverkningsanmälan</t>
        </is>
      </c>
      <c r="C273" t="inlineStr">
        <is>
          <t>Föryngringsavverkning</t>
        </is>
      </c>
      <c r="D273" s="1" t="n">
        <v>45096</v>
      </c>
      <c r="E273" s="1" t="n">
        <v>46259</v>
      </c>
      <c r="F273" t="inlineStr">
        <is>
          <t>JÄMTLANDS LÄN</t>
        </is>
      </c>
      <c r="G273" t="inlineStr">
        <is>
          <t>ÖSTERSUND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53714-2022</t>
        </is>
      </c>
      <c r="B274" t="inlineStr">
        <is>
          <t>avverkningsanmälan</t>
        </is>
      </c>
      <c r="C274" t="inlineStr">
        <is>
          <t>Föryngringsavverkning</t>
        </is>
      </c>
      <c r="D274" s="1" t="n">
        <v>44880</v>
      </c>
      <c r="E274" s="1" t="n">
        <v>46259</v>
      </c>
      <c r="F274" t="inlineStr">
        <is>
          <t>JÄMTLANDS LÄN</t>
        </is>
      </c>
      <c r="G274" t="inlineStr">
        <is>
          <t>ÖSTERSUND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7233-2025</t>
        </is>
      </c>
      <c r="B275" t="inlineStr">
        <is>
          <t>avverkningsanmälan</t>
        </is>
      </c>
      <c r="C275" t="inlineStr">
        <is>
          <t>Föryngringsavverkning</t>
        </is>
      </c>
      <c r="D275" s="1" t="n">
        <v>45702</v>
      </c>
      <c r="E275" s="1" t="n">
        <v>46259</v>
      </c>
      <c r="F275" t="inlineStr">
        <is>
          <t>JÄMTLANDS LÄN</t>
        </is>
      </c>
      <c r="G275" t="inlineStr">
        <is>
          <t>ÖSTERSUND</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61530-2023</t>
        </is>
      </c>
      <c r="B276" t="inlineStr">
        <is>
          <t>avverkningsanmälan</t>
        </is>
      </c>
      <c r="C276" t="inlineStr">
        <is>
          <t>Föryngringsavverkning</t>
        </is>
      </c>
      <c r="D276" s="1" t="n">
        <v>45261</v>
      </c>
      <c r="E276" s="1" t="n">
        <v>46259</v>
      </c>
      <c r="F276" t="inlineStr">
        <is>
          <t>JÄMTLANDS LÄN</t>
        </is>
      </c>
      <c r="G276" t="inlineStr">
        <is>
          <t>ÖSTERSUND</t>
        </is>
      </c>
      <c r="H276" t="inlineStr">
        <is>
          <t>Övriga statliga verk och myndigheter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11052-2024</t>
        </is>
      </c>
      <c r="B277" t="inlineStr">
        <is>
          <t>avverkningsanmälan</t>
        </is>
      </c>
      <c r="C277" t="inlineStr">
        <is>
          <t>Föryngringsavverkning</t>
        </is>
      </c>
      <c r="D277" s="1" t="n">
        <v>45370</v>
      </c>
      <c r="E277" s="1" t="n">
        <v>46259</v>
      </c>
      <c r="F277" t="inlineStr">
        <is>
          <t>JÄMTLANDS LÄN</t>
        </is>
      </c>
      <c r="G277" t="inlineStr">
        <is>
          <t>ÖSTERSUND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2984-2024</t>
        </is>
      </c>
      <c r="B278" t="inlineStr">
        <is>
          <t>avverkningsanmälan</t>
        </is>
      </c>
      <c r="C278" t="inlineStr">
        <is>
          <t>Föryngringsavverkning</t>
        </is>
      </c>
      <c r="D278" s="1" t="n">
        <v>45315</v>
      </c>
      <c r="E278" s="1" t="n">
        <v>46259</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25535-2023</t>
        </is>
      </c>
      <c r="B279" t="inlineStr">
        <is>
          <t>avverkningsanmälan</t>
        </is>
      </c>
      <c r="C279" t="inlineStr">
        <is>
          <t>Föryngringsavverkning</t>
        </is>
      </c>
      <c r="D279" s="1" t="n">
        <v>45089</v>
      </c>
      <c r="E279" s="1" t="n">
        <v>46259</v>
      </c>
      <c r="F279" t="inlineStr">
        <is>
          <t>JÄMTLANDS LÄN</t>
        </is>
      </c>
      <c r="G279" t="inlineStr">
        <is>
          <t>ÖSTERSUND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56646-2024</t>
        </is>
      </c>
      <c r="B280" t="inlineStr">
        <is>
          <t>avverkningsanmälan</t>
        </is>
      </c>
      <c r="C280" t="inlineStr">
        <is>
          <t>Föryngringsavverkning</t>
        </is>
      </c>
      <c r="D280" s="1" t="n">
        <v>45625</v>
      </c>
      <c r="E280" s="1" t="n">
        <v>46259</v>
      </c>
      <c r="F280" t="inlineStr">
        <is>
          <t>JÄMTLANDS LÄN</t>
        </is>
      </c>
      <c r="G280" t="inlineStr">
        <is>
          <t>ÖSTERSUND</t>
        </is>
      </c>
      <c r="I280" t="n">
        <v>18.9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6048-2024</t>
        </is>
      </c>
      <c r="B281" t="inlineStr">
        <is>
          <t>avverkningsanmälan</t>
        </is>
      </c>
      <c r="C281" t="inlineStr">
        <is>
          <t>Föryngringsavverkning</t>
        </is>
      </c>
      <c r="D281" s="1" t="n">
        <v>45336</v>
      </c>
      <c r="E281" s="1" t="n">
        <v>46259</v>
      </c>
      <c r="F281" t="inlineStr">
        <is>
          <t>JÄMTLANDS LÄN</t>
        </is>
      </c>
      <c r="G281" t="inlineStr">
        <is>
          <t>ÖSTERSUND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34490-2025</t>
        </is>
      </c>
      <c r="B282" t="inlineStr">
        <is>
          <t>avverkningsanmälan</t>
        </is>
      </c>
      <c r="C282" t="inlineStr">
        <is>
          <t>Föryngringsavverkning</t>
        </is>
      </c>
      <c r="D282" s="1" t="n">
        <v>45847</v>
      </c>
      <c r="E282" s="1" t="n">
        <v>46259</v>
      </c>
      <c r="F282" t="inlineStr">
        <is>
          <t>JÄMTLANDS LÄN</t>
        </is>
      </c>
      <c r="G282" t="inlineStr">
        <is>
          <t>ÖSTERSUND</t>
        </is>
      </c>
      <c r="H282" t="inlineStr">
        <is>
          <t>SCA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25385-2024</t>
        </is>
      </c>
      <c r="B283" t="inlineStr">
        <is>
          <t>avverkningsanmälan</t>
        </is>
      </c>
      <c r="C283" t="inlineStr">
        <is>
          <t>Föryngringsavverkning</t>
        </is>
      </c>
      <c r="D283" s="1" t="n">
        <v>45462</v>
      </c>
      <c r="E283" s="1" t="n">
        <v>46259</v>
      </c>
      <c r="F283" t="inlineStr">
        <is>
          <t>JÄMTLANDS LÄN</t>
        </is>
      </c>
      <c r="G283" t="inlineStr">
        <is>
          <t>ÖSTERSUND</t>
        </is>
      </c>
      <c r="H283" t="inlineStr">
        <is>
          <t>SCA</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34589-2025</t>
        </is>
      </c>
      <c r="B284" t="inlineStr">
        <is>
          <t>avverkningsanmälan</t>
        </is>
      </c>
      <c r="C284" t="inlineStr">
        <is>
          <t>Föryngringsavverkning</t>
        </is>
      </c>
      <c r="D284" s="1" t="n">
        <v>45847</v>
      </c>
      <c r="E284" s="1" t="n">
        <v>46259</v>
      </c>
      <c r="F284" t="inlineStr">
        <is>
          <t>JÄMTLANDS LÄN</t>
        </is>
      </c>
      <c r="G284" t="inlineStr">
        <is>
          <t>ÖSTERSUND</t>
        </is>
      </c>
      <c r="H284" t="inlineStr">
        <is>
          <t>SCA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34587-2025</t>
        </is>
      </c>
      <c r="B285" t="inlineStr">
        <is>
          <t>avverkningsanmälan</t>
        </is>
      </c>
      <c r="C285" t="inlineStr">
        <is>
          <t>Föryngringsavverkning</t>
        </is>
      </c>
      <c r="D285" s="1" t="n">
        <v>45847</v>
      </c>
      <c r="E285" s="1" t="n">
        <v>46259</v>
      </c>
      <c r="F285" t="inlineStr">
        <is>
          <t>JÄMTLANDS LÄN</t>
        </is>
      </c>
      <c r="G285" t="inlineStr">
        <is>
          <t>ÖSTERSUND</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39103-2025</t>
        </is>
      </c>
      <c r="B286" t="inlineStr">
        <is>
          <t>avverkningsanmälan</t>
        </is>
      </c>
      <c r="C286" t="inlineStr">
        <is>
          <t>Föryngringsavverkning</t>
        </is>
      </c>
      <c r="D286" s="1" t="n">
        <v>45888</v>
      </c>
      <c r="E286" s="1" t="n">
        <v>46259</v>
      </c>
      <c r="F286" t="inlineStr">
        <is>
          <t>JÄMTLANDS LÄN</t>
        </is>
      </c>
      <c r="G286" t="inlineStr">
        <is>
          <t>ÖSTERSUND</t>
        </is>
      </c>
      <c r="I286" t="n">
        <v>23.9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7233-2024</t>
        </is>
      </c>
      <c r="B287" t="inlineStr">
        <is>
          <t>avverkningsanmälan</t>
        </is>
      </c>
      <c r="C287" t="inlineStr">
        <is>
          <t>Föryngringsavverkning</t>
        </is>
      </c>
      <c r="D287" s="1" t="n">
        <v>45344</v>
      </c>
      <c r="E287" s="1" t="n">
        <v>46259</v>
      </c>
      <c r="F287" t="inlineStr">
        <is>
          <t>JÄMTLANDS LÄN</t>
        </is>
      </c>
      <c r="G287" t="inlineStr">
        <is>
          <t>ÖSTERSUND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25228-2025</t>
        </is>
      </c>
      <c r="B288" t="inlineStr">
        <is>
          <t>avverkningsanmälan</t>
        </is>
      </c>
      <c r="C288" t="inlineStr">
        <is>
          <t>Föryngringsavverkning</t>
        </is>
      </c>
      <c r="D288" s="1" t="n">
        <v>45800</v>
      </c>
      <c r="E288" s="1" t="n">
        <v>46259</v>
      </c>
      <c r="F288" t="inlineStr">
        <is>
          <t>JÄMTLANDS LÄN</t>
        </is>
      </c>
      <c r="G288" t="inlineStr">
        <is>
          <t>ÖSTERSUND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48737-2024</t>
        </is>
      </c>
      <c r="B289" t="inlineStr">
        <is>
          <t>avverkningsanmälan</t>
        </is>
      </c>
      <c r="C289" t="inlineStr">
        <is>
          <t>Föryngringsavverkning</t>
        </is>
      </c>
      <c r="D289" s="1" t="n">
        <v>45593</v>
      </c>
      <c r="E289" s="1" t="n">
        <v>46259</v>
      </c>
      <c r="F289" t="inlineStr">
        <is>
          <t>JÄMTLANDS LÄN</t>
        </is>
      </c>
      <c r="G289" t="inlineStr">
        <is>
          <t>ÖSTERSUND</t>
        </is>
      </c>
      <c r="H289" t="inlineStr">
        <is>
          <t>SCA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27118-2023</t>
        </is>
      </c>
      <c r="B290" t="inlineStr">
        <is>
          <t>avverkningsanmälan</t>
        </is>
      </c>
      <c r="C290" t="inlineStr">
        <is>
          <t>Föryngringsavverkning</t>
        </is>
      </c>
      <c r="D290" s="1" t="n">
        <v>45096</v>
      </c>
      <c r="E290" s="1" t="n">
        <v>46259</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25221-2025</t>
        </is>
      </c>
      <c r="B291" t="inlineStr">
        <is>
          <t>avverkningsanmälan</t>
        </is>
      </c>
      <c r="C291" t="inlineStr">
        <is>
          <t>Föryngringsavverkning</t>
        </is>
      </c>
      <c r="D291" s="1" t="n">
        <v>45800</v>
      </c>
      <c r="E291" s="1" t="n">
        <v>46259</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36098-2025</t>
        </is>
      </c>
      <c r="B292" t="inlineStr">
        <is>
          <t>avverkningsanmälan</t>
        </is>
      </c>
      <c r="C292" t="inlineStr">
        <is>
          <t>Avverkning för annat ändamål</t>
        </is>
      </c>
      <c r="D292" s="1" t="n">
        <v>45866</v>
      </c>
      <c r="E292" s="1" t="n">
        <v>46259</v>
      </c>
      <c r="F292" t="inlineStr">
        <is>
          <t>JÄMTLANDS LÄN</t>
        </is>
      </c>
      <c r="G292" t="inlineStr">
        <is>
          <t>ÖSTERSUND</t>
        </is>
      </c>
      <c r="H292" t="inlineStr">
        <is>
          <t>Övriga Aktiebolag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39493-2023</t>
        </is>
      </c>
      <c r="B293" t="inlineStr">
        <is>
          <t>avverkningsanmälan</t>
        </is>
      </c>
      <c r="C293" t="inlineStr">
        <is>
          <t>Föryngringsavverkning</t>
        </is>
      </c>
      <c r="D293" s="1" t="n">
        <v>45166</v>
      </c>
      <c r="E293" s="1" t="n">
        <v>46259</v>
      </c>
      <c r="F293" t="inlineStr">
        <is>
          <t>JÄMTLANDS LÄN</t>
        </is>
      </c>
      <c r="G293" t="inlineStr">
        <is>
          <t>ÖSTERSUND</t>
        </is>
      </c>
      <c r="H293" t="inlineStr">
        <is>
          <t>SCA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26586-2025</t>
        </is>
      </c>
      <c r="B294" t="inlineStr">
        <is>
          <t>avverkningsanmälan</t>
        </is>
      </c>
      <c r="C294" t="inlineStr">
        <is>
          <t>Föryngringsavverkning</t>
        </is>
      </c>
      <c r="D294" s="1" t="n">
        <v>45807</v>
      </c>
      <c r="E294" s="1" t="n">
        <v>46259</v>
      </c>
      <c r="F294" t="inlineStr">
        <is>
          <t>JÄMTLANDS LÄN</t>
        </is>
      </c>
      <c r="G294" t="inlineStr">
        <is>
          <t>ÖSTERSUND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2228-2024</t>
        </is>
      </c>
      <c r="B295" t="inlineStr">
        <is>
          <t>avverkningsanmälan</t>
        </is>
      </c>
      <c r="C295" t="inlineStr">
        <is>
          <t>Avverkning för annat ändamål</t>
        </is>
      </c>
      <c r="D295" s="1" t="n">
        <v>45309</v>
      </c>
      <c r="E295" s="1" t="n">
        <v>46259</v>
      </c>
      <c r="F295" t="inlineStr">
        <is>
          <t>JÄMTLANDS LÄN</t>
        </is>
      </c>
      <c r="G295" t="inlineStr">
        <is>
          <t>ÖSTERSUND</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20400-2024</t>
        </is>
      </c>
      <c r="B296" t="inlineStr">
        <is>
          <t>avverkningsanmälan</t>
        </is>
      </c>
      <c r="C296" t="inlineStr">
        <is>
          <t>Föryngringsavverkning</t>
        </is>
      </c>
      <c r="D296" s="1" t="n">
        <v>45435</v>
      </c>
      <c r="E296" s="1" t="n">
        <v>46259</v>
      </c>
      <c r="F296" t="inlineStr">
        <is>
          <t>JÄMTLANDS LÄN</t>
        </is>
      </c>
      <c r="G296" t="inlineStr">
        <is>
          <t>ÖSTERSUND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40325-2025</t>
        </is>
      </c>
      <c r="B297" t="inlineStr">
        <is>
          <t>avverkningsanmälan</t>
        </is>
      </c>
      <c r="C297" t="inlineStr">
        <is>
          <t>Föryngringsavverkning</t>
        </is>
      </c>
      <c r="D297" s="1" t="n">
        <v>45895</v>
      </c>
      <c r="E297" s="1" t="n">
        <v>46259</v>
      </c>
      <c r="F297" t="inlineStr">
        <is>
          <t>JÄMTLANDS LÄN</t>
        </is>
      </c>
      <c r="G297" t="inlineStr">
        <is>
          <t>ÖSTERSUND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28179-2024</t>
        </is>
      </c>
      <c r="B298" t="inlineStr">
        <is>
          <t>avverkningsanmälan</t>
        </is>
      </c>
      <c r="C298" t="inlineStr">
        <is>
          <t>Föryngringsavverkning</t>
        </is>
      </c>
      <c r="D298" s="1" t="n">
        <v>45477</v>
      </c>
      <c r="E298" s="1" t="n">
        <v>46259</v>
      </c>
      <c r="F298" t="inlineStr">
        <is>
          <t>JÄMTLANDS LÄN</t>
        </is>
      </c>
      <c r="G298" t="inlineStr">
        <is>
          <t>ÖSTERSUND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14518-2023</t>
        </is>
      </c>
      <c r="B299" t="inlineStr">
        <is>
          <t>avverkningsanmälan</t>
        </is>
      </c>
      <c r="C299" t="inlineStr">
        <is>
          <t>Föryngringsavverkning</t>
        </is>
      </c>
      <c r="D299" s="1" t="n">
        <v>45012</v>
      </c>
      <c r="E299" s="1" t="n">
        <v>46259</v>
      </c>
      <c r="F299" t="inlineStr">
        <is>
          <t>JÄMTLANDS LÄN</t>
        </is>
      </c>
      <c r="G299" t="inlineStr">
        <is>
          <t>ÖSTERSUND</t>
        </is>
      </c>
      <c r="I299" t="n">
        <v>14.4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27906-2024</t>
        </is>
      </c>
      <c r="B300" t="inlineStr">
        <is>
          <t>avverkningsanmälan</t>
        </is>
      </c>
      <c r="C300" t="inlineStr">
        <is>
          <t>Föryngringsavverkning</t>
        </is>
      </c>
      <c r="D300" s="1" t="n">
        <v>45475</v>
      </c>
      <c r="E300" s="1" t="n">
        <v>46259</v>
      </c>
      <c r="F300" t="inlineStr">
        <is>
          <t>JÄMTLANDS LÄN</t>
        </is>
      </c>
      <c r="G300" t="inlineStr">
        <is>
          <t>ÖSTERSUND</t>
        </is>
      </c>
      <c r="H300" t="inlineStr">
        <is>
          <t>SCA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13166-2023</t>
        </is>
      </c>
      <c r="B301" t="inlineStr">
        <is>
          <t>avverkningsanmälan</t>
        </is>
      </c>
      <c r="C301" t="inlineStr">
        <is>
          <t>Föryngringsavverkning</t>
        </is>
      </c>
      <c r="D301" s="1" t="n">
        <v>45002</v>
      </c>
      <c r="E301" s="1" t="n">
        <v>46259</v>
      </c>
      <c r="F301" t="inlineStr">
        <is>
          <t>JÄMTLANDS LÄN</t>
        </is>
      </c>
      <c r="G301" t="inlineStr">
        <is>
          <t>ÖSTERSUND</t>
        </is>
      </c>
      <c r="H301" t="inlineStr">
        <is>
          <t>Övriga statliga verk och myndigheter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27294-2023</t>
        </is>
      </c>
      <c r="B302" t="inlineStr">
        <is>
          <t>avverkningsanmälan</t>
        </is>
      </c>
      <c r="C302" t="inlineStr">
        <is>
          <t>Föryngringsavverkning</t>
        </is>
      </c>
      <c r="D302" s="1" t="n">
        <v>45092</v>
      </c>
      <c r="E302" s="1" t="n">
        <v>46259</v>
      </c>
      <c r="F302" t="inlineStr">
        <is>
          <t>JÄMTLANDS LÄN</t>
        </is>
      </c>
      <c r="G302" t="inlineStr">
        <is>
          <t>ÖSTERSUND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24246-2024</t>
        </is>
      </c>
      <c r="B303" t="inlineStr">
        <is>
          <t>avverkningsanmälan</t>
        </is>
      </c>
      <c r="C303" t="inlineStr">
        <is>
          <t>Föryngringsavverkning</t>
        </is>
      </c>
      <c r="D303" s="1" t="n">
        <v>45457</v>
      </c>
      <c r="E303" s="1" t="n">
        <v>46259</v>
      </c>
      <c r="F303" t="inlineStr">
        <is>
          <t>JÄMTLANDS LÄN</t>
        </is>
      </c>
      <c r="G303" t="inlineStr">
        <is>
          <t>ÖSTERSUND</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40326-2025</t>
        </is>
      </c>
      <c r="B304" t="inlineStr">
        <is>
          <t>avverkningsanmälan</t>
        </is>
      </c>
      <c r="C304" t="inlineStr">
        <is>
          <t>Föryngringsavverkning</t>
        </is>
      </c>
      <c r="D304" s="1" t="n">
        <v>45895</v>
      </c>
      <c r="E304" s="1" t="n">
        <v>46259</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1670-2024</t>
        </is>
      </c>
      <c r="B305" t="inlineStr">
        <is>
          <t>avverkningsanmälan</t>
        </is>
      </c>
      <c r="C305" t="inlineStr">
        <is>
          <t>Avverkning för annat ändamål</t>
        </is>
      </c>
      <c r="D305" s="1" t="n">
        <v>45306</v>
      </c>
      <c r="E305" s="1" t="n">
        <v>46259</v>
      </c>
      <c r="F305" t="inlineStr">
        <is>
          <t>JÄMTLANDS LÄN</t>
        </is>
      </c>
      <c r="G305" t="inlineStr">
        <is>
          <t>ÖSTERSUND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54237-2024</t>
        </is>
      </c>
      <c r="B306" t="inlineStr">
        <is>
          <t>avverkningsanmälan</t>
        </is>
      </c>
      <c r="C306" t="inlineStr">
        <is>
          <t>Föryngringsavverkning</t>
        </is>
      </c>
      <c r="D306" s="1" t="n">
        <v>45616</v>
      </c>
      <c r="E306" s="1" t="n">
        <v>46259</v>
      </c>
      <c r="F306" t="inlineStr">
        <is>
          <t>JÄMTLANDS LÄN</t>
        </is>
      </c>
      <c r="G306" t="inlineStr">
        <is>
          <t>ÖSTERSUND</t>
        </is>
      </c>
      <c r="H306" t="inlineStr">
        <is>
          <t>SCA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41675-2025</t>
        </is>
      </c>
      <c r="B307" t="inlineStr">
        <is>
          <t>avverkningsanmälan</t>
        </is>
      </c>
      <c r="C307" t="inlineStr">
        <is>
          <t>Föryngringsavverkning</t>
        </is>
      </c>
      <c r="D307" s="1" t="n">
        <v>45902</v>
      </c>
      <c r="E307" s="1" t="n">
        <v>46259</v>
      </c>
      <c r="F307" t="inlineStr">
        <is>
          <t>JÄMTLANDS LÄN</t>
        </is>
      </c>
      <c r="G307" t="inlineStr">
        <is>
          <t>ÖSTERSUND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41708-2025</t>
        </is>
      </c>
      <c r="B308" t="inlineStr">
        <is>
          <t>avverkningsanmälan</t>
        </is>
      </c>
      <c r="C308" t="inlineStr">
        <is>
          <t>Föryngringsavverkning</t>
        </is>
      </c>
      <c r="D308" s="1" t="n">
        <v>45902</v>
      </c>
      <c r="E308" s="1" t="n">
        <v>46259</v>
      </c>
      <c r="F308" t="inlineStr">
        <is>
          <t>JÄMTLANDS LÄN</t>
        </is>
      </c>
      <c r="G308" t="inlineStr">
        <is>
          <t>ÖSTERSUND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69190-2021</t>
        </is>
      </c>
      <c r="B309" t="inlineStr">
        <is>
          <t>avverkningsanmälan</t>
        </is>
      </c>
      <c r="C309" t="inlineStr">
        <is>
          <t>Föryngringsavverkning</t>
        </is>
      </c>
      <c r="D309" s="1" t="n">
        <v>44529</v>
      </c>
      <c r="E309" s="1" t="n">
        <v>46259</v>
      </c>
      <c r="F309" t="inlineStr">
        <is>
          <t>JÄMTLANDS LÄN</t>
        </is>
      </c>
      <c r="G309" t="inlineStr">
        <is>
          <t>ÖSTERSUND</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41582-2025</t>
        </is>
      </c>
      <c r="B310" t="inlineStr">
        <is>
          <t>avverkningsanmälan</t>
        </is>
      </c>
      <c r="C310" t="inlineStr">
        <is>
          <t>Avverkning för annat ändamål</t>
        </is>
      </c>
      <c r="D310" s="1" t="n">
        <v>45901</v>
      </c>
      <c r="E310" s="1" t="n">
        <v>46259</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60560-2022</t>
        </is>
      </c>
      <c r="B311" t="inlineStr">
        <is>
          <t>avverkningsanmälan</t>
        </is>
      </c>
      <c r="C311" t="inlineStr">
        <is>
          <t>Föryngringsavverkning</t>
        </is>
      </c>
      <c r="D311" s="1" t="n">
        <v>44911</v>
      </c>
      <c r="E311" s="1" t="n">
        <v>46259</v>
      </c>
      <c r="F311" t="inlineStr">
        <is>
          <t>JÄMTLANDS LÄN</t>
        </is>
      </c>
      <c r="G311" t="inlineStr">
        <is>
          <t>ÖSTERSUND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42129-2025</t>
        </is>
      </c>
      <c r="B312" t="inlineStr">
        <is>
          <t>avverkningsanmälan</t>
        </is>
      </c>
      <c r="C312" t="inlineStr">
        <is>
          <t>Avverkning för annat ändamål</t>
        </is>
      </c>
      <c r="D312" s="1" t="n">
        <v>45904</v>
      </c>
      <c r="E312" s="1" t="n">
        <v>46259</v>
      </c>
      <c r="F312" t="inlineStr">
        <is>
          <t>JÄMTLANDS LÄN</t>
        </is>
      </c>
      <c r="G312" t="inlineStr">
        <is>
          <t>ÖSTERSUND</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4707-2024</t>
        </is>
      </c>
      <c r="B313" t="inlineStr">
        <is>
          <t>avverkningsanmälan</t>
        </is>
      </c>
      <c r="C313" t="inlineStr">
        <is>
          <t>Föryngringsavverkning</t>
        </is>
      </c>
      <c r="D313" s="1" t="n">
        <v>45328</v>
      </c>
      <c r="E313" s="1" t="n">
        <v>46259</v>
      </c>
      <c r="F313" t="inlineStr">
        <is>
          <t>JÄMTLANDS LÄN</t>
        </is>
      </c>
      <c r="G313" t="inlineStr">
        <is>
          <t>ÖSTERSUND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61449-2024</t>
        </is>
      </c>
      <c r="B314" t="inlineStr">
        <is>
          <t>avverkningsanmälan</t>
        </is>
      </c>
      <c r="C314" t="inlineStr">
        <is>
          <t>Avverkning för att bevara och utveckla /försöksver</t>
        </is>
      </c>
      <c r="D314" s="1" t="n">
        <v>45646</v>
      </c>
      <c r="E314" s="1" t="n">
        <v>46259</v>
      </c>
      <c r="F314" t="inlineStr">
        <is>
          <t>JÄMTLANDS LÄN</t>
        </is>
      </c>
      <c r="G314" t="inlineStr">
        <is>
          <t>ÖSTERSUND</t>
        </is>
      </c>
      <c r="H314" t="inlineStr">
        <is>
          <t>SCA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61450-2024</t>
        </is>
      </c>
      <c r="B315" t="inlineStr">
        <is>
          <t>avverkningsanmälan</t>
        </is>
      </c>
      <c r="C315" t="inlineStr">
        <is>
          <t>Avverkning för att bevara och utveckla /försöksver</t>
        </is>
      </c>
      <c r="D315" s="1" t="n">
        <v>45646</v>
      </c>
      <c r="E315" s="1" t="n">
        <v>46259</v>
      </c>
      <c r="F315" t="inlineStr">
        <is>
          <t>JÄMTLANDS LÄN</t>
        </is>
      </c>
      <c r="G315" t="inlineStr">
        <is>
          <t>ÖSTERSUND</t>
        </is>
      </c>
      <c r="H315" t="inlineStr">
        <is>
          <t>SCA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13994-2026</t>
        </is>
      </c>
      <c r="B316" t="inlineStr">
        <is>
          <t>avverkningsanmälan</t>
        </is>
      </c>
      <c r="C316" t="inlineStr">
        <is>
          <t>Avverkning för annat ändamål</t>
        </is>
      </c>
      <c r="D316" s="1" t="n">
        <v>46098</v>
      </c>
      <c r="E316" s="1" t="n">
        <v>46259</v>
      </c>
      <c r="F316" t="inlineStr">
        <is>
          <t>JÄMTLANDS LÄN</t>
        </is>
      </c>
      <c r="G316" t="inlineStr">
        <is>
          <t>ÖSTERSUND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28181-2024</t>
        </is>
      </c>
      <c r="B317" t="inlineStr">
        <is>
          <t>avverkningsanmälan</t>
        </is>
      </c>
      <c r="C317" t="inlineStr">
        <is>
          <t>Föryngringsavverkning</t>
        </is>
      </c>
      <c r="D317" s="1" t="n">
        <v>45477</v>
      </c>
      <c r="E317" s="1" t="n">
        <v>46259</v>
      </c>
      <c r="F317" t="inlineStr">
        <is>
          <t>JÄMTLANDS LÄN</t>
        </is>
      </c>
      <c r="G317" t="inlineStr">
        <is>
          <t>ÖSTERSUND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46259</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42989-2025</t>
        </is>
      </c>
      <c r="B319" t="inlineStr">
        <is>
          <t>avverkningsanmälan</t>
        </is>
      </c>
      <c r="C319" t="inlineStr">
        <is>
          <t>Föryngringsavverkning</t>
        </is>
      </c>
      <c r="D319" s="1" t="n">
        <v>45909</v>
      </c>
      <c r="E319" s="1" t="n">
        <v>46259</v>
      </c>
      <c r="F319" t="inlineStr">
        <is>
          <t>JÄMTLANDS LÄN</t>
        </is>
      </c>
      <c r="G319" t="inlineStr">
        <is>
          <t>ÖSTERSUND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846-2024</t>
        </is>
      </c>
      <c r="B320" t="inlineStr">
        <is>
          <t>avverkningsanmälan</t>
        </is>
      </c>
      <c r="C320" t="inlineStr">
        <is>
          <t>Avverkning för annat ändamål</t>
        </is>
      </c>
      <c r="D320" s="1" t="n">
        <v>45300</v>
      </c>
      <c r="E320" s="1" t="n">
        <v>46259</v>
      </c>
      <c r="F320" t="inlineStr">
        <is>
          <t>JÄMTLANDS LÄN</t>
        </is>
      </c>
      <c r="G320" t="inlineStr">
        <is>
          <t>ÖSTERSUND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8027-2022</t>
        </is>
      </c>
      <c r="B321" t="inlineStr">
        <is>
          <t>avverkningsanmälan</t>
        </is>
      </c>
      <c r="C321" t="inlineStr">
        <is>
          <t>Avverkning för annat ändamål</t>
        </is>
      </c>
      <c r="D321" s="1" t="n">
        <v>44609</v>
      </c>
      <c r="E321" s="1" t="n">
        <v>46259</v>
      </c>
      <c r="F321" t="inlineStr">
        <is>
          <t>JÄMTLANDS LÄN</t>
        </is>
      </c>
      <c r="G321" t="inlineStr">
        <is>
          <t>ÖSTERSUND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6013-2022</t>
        </is>
      </c>
      <c r="B322" t="inlineStr">
        <is>
          <t>avverkningsanmälan</t>
        </is>
      </c>
      <c r="C322" t="inlineStr">
        <is>
          <t>Föryngringsavverkning</t>
        </is>
      </c>
      <c r="D322" s="1" t="n">
        <v>44599</v>
      </c>
      <c r="E322" s="1" t="n">
        <v>46259</v>
      </c>
      <c r="F322" t="inlineStr">
        <is>
          <t>JÄMTLANDS LÄN</t>
        </is>
      </c>
      <c r="G322" t="inlineStr">
        <is>
          <t>ÖSTERSUND</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19323-2024</t>
        </is>
      </c>
      <c r="B323" t="inlineStr">
        <is>
          <t>avverkningsanmälan</t>
        </is>
      </c>
      <c r="C323" t="inlineStr">
        <is>
          <t>Avverkning för annat ändamål</t>
        </is>
      </c>
      <c r="D323" s="1" t="n">
        <v>45428</v>
      </c>
      <c r="E323" s="1" t="n">
        <v>46259</v>
      </c>
      <c r="F323" t="inlineStr">
        <is>
          <t>JÄMTLANDS LÄN</t>
        </is>
      </c>
      <c r="G323" t="inlineStr">
        <is>
          <t>ÖSTERSUND</t>
        </is>
      </c>
      <c r="H323" t="inlineStr">
        <is>
          <t>Kommuner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13674-2026</t>
        </is>
      </c>
      <c r="B324" t="inlineStr">
        <is>
          <t>avverkningsanmälan</t>
        </is>
      </c>
      <c r="C324" t="inlineStr">
        <is>
          <t>Föryngringsavverkning</t>
        </is>
      </c>
      <c r="D324" s="1" t="n">
        <v>46097</v>
      </c>
      <c r="E324" s="1" t="n">
        <v>46259</v>
      </c>
      <c r="F324" t="inlineStr">
        <is>
          <t>JÄMTLANDS LÄN</t>
        </is>
      </c>
      <c r="G324" t="inlineStr">
        <is>
          <t>ÖSTERSUND</t>
        </is>
      </c>
      <c r="H324" t="inlineStr">
        <is>
          <t>Övriga Aktiebolag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56847-2024</t>
        </is>
      </c>
      <c r="B325" t="inlineStr">
        <is>
          <t>avverkningsanmälan</t>
        </is>
      </c>
      <c r="C325" t="inlineStr">
        <is>
          <t>Föryngringsavverkning</t>
        </is>
      </c>
      <c r="D325" s="1" t="n">
        <v>45628</v>
      </c>
      <c r="E325" s="1" t="n">
        <v>46259</v>
      </c>
      <c r="F325" t="inlineStr">
        <is>
          <t>JÄMTLANDS LÄN</t>
        </is>
      </c>
      <c r="G325" t="inlineStr">
        <is>
          <t>ÖSTERSUND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43411-2025</t>
        </is>
      </c>
      <c r="B326" t="inlineStr">
        <is>
          <t>avverkningsanmälan</t>
        </is>
      </c>
      <c r="C326" t="inlineStr">
        <is>
          <t>Avverkning för annat ändamål</t>
        </is>
      </c>
      <c r="D326" s="1" t="n">
        <v>45911</v>
      </c>
      <c r="E326" s="1" t="n">
        <v>46259</v>
      </c>
      <c r="F326" t="inlineStr">
        <is>
          <t>JÄMTLANDS LÄN</t>
        </is>
      </c>
      <c r="G326" t="inlineStr">
        <is>
          <t>ÖSTERSUND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44798-2023</t>
        </is>
      </c>
      <c r="B327" t="inlineStr">
        <is>
          <t>avverkningsanmälan</t>
        </is>
      </c>
      <c r="C327" t="inlineStr">
        <is>
          <t>Avverkning för annat ändamål</t>
        </is>
      </c>
      <c r="D327" s="1" t="n">
        <v>45190</v>
      </c>
      <c r="E327" s="1" t="n">
        <v>46259</v>
      </c>
      <c r="F327" t="inlineStr">
        <is>
          <t>JÄMTLANDS LÄN</t>
        </is>
      </c>
      <c r="G327" t="inlineStr">
        <is>
          <t>ÖSTERSUND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49788-2024</t>
        </is>
      </c>
      <c r="B328" t="inlineStr">
        <is>
          <t>avverkningsanmälan</t>
        </is>
      </c>
      <c r="C328" t="inlineStr">
        <is>
          <t>Föryngringsavverkning</t>
        </is>
      </c>
      <c r="D328" s="1" t="n">
        <v>45597</v>
      </c>
      <c r="E328" s="1" t="n">
        <v>46259</v>
      </c>
      <c r="F328" t="inlineStr">
        <is>
          <t>JÄMTLANDS LÄN</t>
        </is>
      </c>
      <c r="G328" t="inlineStr">
        <is>
          <t>ÖSTERSUND</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58952-2024</t>
        </is>
      </c>
      <c r="B329" t="inlineStr">
        <is>
          <t>avverkningsanmälan</t>
        </is>
      </c>
      <c r="C329" t="inlineStr">
        <is>
          <t>Avverkning för att bevara och utveckla /försöksver</t>
        </is>
      </c>
      <c r="D329" s="1" t="n">
        <v>45636</v>
      </c>
      <c r="E329" s="1" t="n">
        <v>46259</v>
      </c>
      <c r="F329" t="inlineStr">
        <is>
          <t>JÄMTLANDS LÄN</t>
        </is>
      </c>
      <c r="G329" t="inlineStr">
        <is>
          <t>ÖSTERSUND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44446-2025</t>
        </is>
      </c>
      <c r="B330" t="inlineStr">
        <is>
          <t>avverkningsanmälan</t>
        </is>
      </c>
      <c r="C330" t="inlineStr">
        <is>
          <t>Föryngringsavverkning</t>
        </is>
      </c>
      <c r="D330" s="1" t="n">
        <v>45916</v>
      </c>
      <c r="E330" s="1" t="n">
        <v>46259</v>
      </c>
      <c r="F330" t="inlineStr">
        <is>
          <t>JÄMTLANDS LÄN</t>
        </is>
      </c>
      <c r="G330" t="inlineStr">
        <is>
          <t>ÖSTERSUND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58406-2024</t>
        </is>
      </c>
      <c r="B331" t="inlineStr">
        <is>
          <t>avverkningsanmälan</t>
        </is>
      </c>
      <c r="C331" t="inlineStr">
        <is>
          <t>Föryngringsavverkning</t>
        </is>
      </c>
      <c r="D331" s="1" t="n">
        <v>45634</v>
      </c>
      <c r="E331" s="1" t="n">
        <v>46259</v>
      </c>
      <c r="F331" t="inlineStr">
        <is>
          <t>JÄMTLANDS LÄN</t>
        </is>
      </c>
      <c r="G331" t="inlineStr">
        <is>
          <t>ÖSTERSUND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18065-2026</t>
        </is>
      </c>
      <c r="B332" t="inlineStr">
        <is>
          <t>avverkningsanmälan</t>
        </is>
      </c>
      <c r="C332" t="inlineStr">
        <is>
          <t>Föryngringsavverkning</t>
        </is>
      </c>
      <c r="D332" s="1" t="n">
        <v>46125</v>
      </c>
      <c r="E332" s="1" t="n">
        <v>46259</v>
      </c>
      <c r="F332" t="inlineStr">
        <is>
          <t>JÄMTLANDS LÄN</t>
        </is>
      </c>
      <c r="G332" t="inlineStr">
        <is>
          <t>ÖSTERSUND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16970-2026</t>
        </is>
      </c>
      <c r="B333" t="inlineStr">
        <is>
          <t>avverkningsanmälan</t>
        </is>
      </c>
      <c r="C333" t="inlineStr">
        <is>
          <t>Avverkning för annat ändamål</t>
        </is>
      </c>
      <c r="D333" s="1" t="n">
        <v>46114</v>
      </c>
      <c r="E333" s="1" t="n">
        <v>46259</v>
      </c>
      <c r="F333" t="inlineStr">
        <is>
          <t>JÄMTLANDS LÄN</t>
        </is>
      </c>
      <c r="G333" t="inlineStr">
        <is>
          <t>ÖSTERSUND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231-2022</t>
        </is>
      </c>
      <c r="B334" t="inlineStr">
        <is>
          <t>avverkningsanmälan</t>
        </is>
      </c>
      <c r="C334" t="inlineStr">
        <is>
          <t>Föryngringsavverkning</t>
        </is>
      </c>
      <c r="D334" s="1" t="n">
        <v>44564</v>
      </c>
      <c r="E334" s="1" t="n">
        <v>46259</v>
      </c>
      <c r="F334" t="inlineStr">
        <is>
          <t>JÄMTLANDS LÄN</t>
        </is>
      </c>
      <c r="G334" t="inlineStr">
        <is>
          <t>ÖSTERSUND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58407-2024</t>
        </is>
      </c>
      <c r="B335" t="inlineStr">
        <is>
          <t>avverkningsanmälan</t>
        </is>
      </c>
      <c r="C335" t="inlineStr">
        <is>
          <t>Föryngringsavverkning</t>
        </is>
      </c>
      <c r="D335" s="1" t="n">
        <v>45634</v>
      </c>
      <c r="E335" s="1" t="n">
        <v>46259</v>
      </c>
      <c r="F335" t="inlineStr">
        <is>
          <t>JÄMTLANDS LÄN</t>
        </is>
      </c>
      <c r="G335" t="inlineStr">
        <is>
          <t>ÖSTERSUND</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3615-2025</t>
        </is>
      </c>
      <c r="B336" t="inlineStr">
        <is>
          <t>avverkningsanmälan</t>
        </is>
      </c>
      <c r="C336" t="inlineStr">
        <is>
          <t>Föryngringsavverkning</t>
        </is>
      </c>
      <c r="D336" s="1" t="n">
        <v>45681</v>
      </c>
      <c r="E336" s="1" t="n">
        <v>46259</v>
      </c>
      <c r="F336" t="inlineStr">
        <is>
          <t>JÄMTLANDS LÄN</t>
        </is>
      </c>
      <c r="G336" t="inlineStr">
        <is>
          <t>ÖSTERSUND</t>
        </is>
      </c>
      <c r="H336" t="inlineStr">
        <is>
          <t>SCA</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18411-2026</t>
        </is>
      </c>
      <c r="B337" t="inlineStr">
        <is>
          <t>avverkningsanmälan</t>
        </is>
      </c>
      <c r="C337" t="inlineStr">
        <is>
          <t>Föryngringsavverkning</t>
        </is>
      </c>
      <c r="D337" s="1" t="n">
        <v>46126</v>
      </c>
      <c r="E337" s="1" t="n">
        <v>46259</v>
      </c>
      <c r="F337" t="inlineStr">
        <is>
          <t>JÄMTLANDS LÄN</t>
        </is>
      </c>
      <c r="G337" t="inlineStr">
        <is>
          <t>ÖSTERSUND</t>
        </is>
      </c>
      <c r="H337" t="inlineStr">
        <is>
          <t>SCA</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3651-2025</t>
        </is>
      </c>
      <c r="B338" t="inlineStr">
        <is>
          <t>avverkningsanmälan</t>
        </is>
      </c>
      <c r="C338" t="inlineStr">
        <is>
          <t>Föryngringsavverkning</t>
        </is>
      </c>
      <c r="D338" s="1" t="n">
        <v>45681</v>
      </c>
      <c r="E338" s="1" t="n">
        <v>46259</v>
      </c>
      <c r="F338" t="inlineStr">
        <is>
          <t>JÄMTLANDS LÄN</t>
        </is>
      </c>
      <c r="G338" t="inlineStr">
        <is>
          <t>ÖSTERSUND</t>
        </is>
      </c>
      <c r="H338" t="inlineStr">
        <is>
          <t>SCA</t>
        </is>
      </c>
      <c r="I338" t="n">
        <v>9.6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17732-2022</t>
        </is>
      </c>
      <c r="B339" t="inlineStr">
        <is>
          <t>avverkningsanmälan</t>
        </is>
      </c>
      <c r="C339" t="inlineStr">
        <is>
          <t>Föryngringsavverkning</t>
        </is>
      </c>
      <c r="D339" s="1" t="n">
        <v>44680</v>
      </c>
      <c r="E339" s="1" t="n">
        <v>46259</v>
      </c>
      <c r="F339" t="inlineStr">
        <is>
          <t>JÄMTLANDS LÄN</t>
        </is>
      </c>
      <c r="G339" t="inlineStr">
        <is>
          <t>ÖSTERSUND</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45391-2025</t>
        </is>
      </c>
      <c r="B340" t="inlineStr">
        <is>
          <t>avverkningsanmälan</t>
        </is>
      </c>
      <c r="C340" t="inlineStr">
        <is>
          <t>Föryngringsavverkning</t>
        </is>
      </c>
      <c r="D340" s="1" t="n">
        <v>45922</v>
      </c>
      <c r="E340" s="1" t="n">
        <v>46259</v>
      </c>
      <c r="F340" t="inlineStr">
        <is>
          <t>JÄMTLANDS LÄN</t>
        </is>
      </c>
      <c r="G340" t="inlineStr">
        <is>
          <t>ÖSTERSUND</t>
        </is>
      </c>
      <c r="H340" t="inlineStr">
        <is>
          <t>SCA</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45389-2025</t>
        </is>
      </c>
      <c r="B341" t="inlineStr">
        <is>
          <t>avverkningsanmälan</t>
        </is>
      </c>
      <c r="C341" t="inlineStr">
        <is>
          <t>Föryngringsavverkning</t>
        </is>
      </c>
      <c r="D341" s="1" t="n">
        <v>45922</v>
      </c>
      <c r="E341" s="1" t="n">
        <v>46259</v>
      </c>
      <c r="F341" t="inlineStr">
        <is>
          <t>JÄMTLANDS LÄN</t>
        </is>
      </c>
      <c r="G341" t="inlineStr">
        <is>
          <t>ÖSTERSUND</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54883-2023</t>
        </is>
      </c>
      <c r="B342" t="inlineStr">
        <is>
          <t>avverkningsanmälan</t>
        </is>
      </c>
      <c r="C342" t="inlineStr">
        <is>
          <t>Föryngringsavverkning</t>
        </is>
      </c>
      <c r="D342" s="1" t="n">
        <v>45236</v>
      </c>
      <c r="E342" s="1" t="n">
        <v>46259</v>
      </c>
      <c r="F342" t="inlineStr">
        <is>
          <t>JÄMTLANDS LÄN</t>
        </is>
      </c>
      <c r="G342" t="inlineStr">
        <is>
          <t>ÖSTERSUND</t>
        </is>
      </c>
      <c r="H342" t="inlineStr">
        <is>
          <t>Övriga Aktiebolag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19149-2026</t>
        </is>
      </c>
      <c r="B343" t="inlineStr">
        <is>
          <t>avverkningsanmälan</t>
        </is>
      </c>
      <c r="C343" t="inlineStr">
        <is>
          <t>Föryngringsavverkning</t>
        </is>
      </c>
      <c r="D343" s="1" t="n">
        <v>46132</v>
      </c>
      <c r="E343" s="1" t="n">
        <v>46259</v>
      </c>
      <c r="F343" t="inlineStr">
        <is>
          <t>JÄMTLANDS LÄN</t>
        </is>
      </c>
      <c r="G343" t="inlineStr">
        <is>
          <t>ÖSTERSUND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19162-2026</t>
        </is>
      </c>
      <c r="B344" t="inlineStr">
        <is>
          <t>avverkningsanmälan</t>
        </is>
      </c>
      <c r="C344" t="inlineStr">
        <is>
          <t>Föryngringsavverkning</t>
        </is>
      </c>
      <c r="D344" s="1" t="n">
        <v>46132</v>
      </c>
      <c r="E344" s="1" t="n">
        <v>46259</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5140-2025</t>
        </is>
      </c>
      <c r="B345" t="inlineStr">
        <is>
          <t>avverkningsanmälan</t>
        </is>
      </c>
      <c r="C345" t="inlineStr">
        <is>
          <t>Föryngringsavverkning</t>
        </is>
      </c>
      <c r="D345" s="1" t="n">
        <v>45691</v>
      </c>
      <c r="E345" s="1" t="n">
        <v>46259</v>
      </c>
      <c r="F345" t="inlineStr">
        <is>
          <t>JÄMTLANDS LÄN</t>
        </is>
      </c>
      <c r="G345" t="inlineStr">
        <is>
          <t>ÖSTERSUND</t>
        </is>
      </c>
      <c r="H345" t="inlineStr">
        <is>
          <t>Övriga Aktiebolag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29703-2023</t>
        </is>
      </c>
      <c r="B346" t="inlineStr">
        <is>
          <t>avverkningsanmälan</t>
        </is>
      </c>
      <c r="C346" t="inlineStr">
        <is>
          <t>Avverkning för annat ändamål</t>
        </is>
      </c>
      <c r="D346" s="1" t="n">
        <v>45107</v>
      </c>
      <c r="E346" s="1" t="n">
        <v>46259</v>
      </c>
      <c r="F346" t="inlineStr">
        <is>
          <t>JÄMTLANDS LÄN</t>
        </is>
      </c>
      <c r="G346" t="inlineStr">
        <is>
          <t>ÖSTERSUND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19468-2026</t>
        </is>
      </c>
      <c r="B347" t="inlineStr">
        <is>
          <t>avverkningsanmälan</t>
        </is>
      </c>
      <c r="C347" t="inlineStr">
        <is>
          <t>Föryngringsavverkning</t>
        </is>
      </c>
      <c r="D347" s="1" t="n">
        <v>46133</v>
      </c>
      <c r="E347" s="1" t="n">
        <v>46259</v>
      </c>
      <c r="F347" t="inlineStr">
        <is>
          <t>JÄMTLANDS LÄN</t>
        </is>
      </c>
      <c r="G347" t="inlineStr">
        <is>
          <t>ÖSTERSUND</t>
        </is>
      </c>
      <c r="H347" t="inlineStr">
        <is>
          <t>SCA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45386-2025</t>
        </is>
      </c>
      <c r="B348" t="inlineStr">
        <is>
          <t>avverkningsanmälan</t>
        </is>
      </c>
      <c r="C348" t="inlineStr">
        <is>
          <t>Föryngringsavverkning</t>
        </is>
      </c>
      <c r="D348" s="1" t="n">
        <v>45922</v>
      </c>
      <c r="E348" s="1" t="n">
        <v>46259</v>
      </c>
      <c r="F348" t="inlineStr">
        <is>
          <t>JÄMTLANDS LÄN</t>
        </is>
      </c>
      <c r="G348" t="inlineStr">
        <is>
          <t>ÖSTERSUND</t>
        </is>
      </c>
      <c r="H348" t="inlineStr">
        <is>
          <t>SCA</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7224-2024</t>
        </is>
      </c>
      <c r="B349" t="inlineStr">
        <is>
          <t>avverkningsanmälan</t>
        </is>
      </c>
      <c r="C349" t="inlineStr">
        <is>
          <t>Föryngringsavverkning</t>
        </is>
      </c>
      <c r="D349" s="1" t="n">
        <v>45344</v>
      </c>
      <c r="E349" s="1" t="n">
        <v>46259</v>
      </c>
      <c r="F349" t="inlineStr">
        <is>
          <t>JÄMTLANDS LÄN</t>
        </is>
      </c>
      <c r="G349" t="inlineStr">
        <is>
          <t>ÖSTERSUND</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45388-2025</t>
        </is>
      </c>
      <c r="B350" t="inlineStr">
        <is>
          <t>avverkningsanmälan</t>
        </is>
      </c>
      <c r="C350" t="inlineStr">
        <is>
          <t>Föryngringsavverkning</t>
        </is>
      </c>
      <c r="D350" s="1" t="n">
        <v>45922</v>
      </c>
      <c r="E350" s="1" t="n">
        <v>46259</v>
      </c>
      <c r="F350" t="inlineStr">
        <is>
          <t>JÄMTLANDS LÄN</t>
        </is>
      </c>
      <c r="G350" t="inlineStr">
        <is>
          <t>ÖSTERSUND</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45385-2025</t>
        </is>
      </c>
      <c r="B351" t="inlineStr">
        <is>
          <t>avverkningsanmälan</t>
        </is>
      </c>
      <c r="C351" t="inlineStr">
        <is>
          <t>Föryngringsavverkning</t>
        </is>
      </c>
      <c r="D351" s="1" t="n">
        <v>45922</v>
      </c>
      <c r="E351" s="1" t="n">
        <v>46259</v>
      </c>
      <c r="F351" t="inlineStr">
        <is>
          <t>JÄMTLANDS LÄN</t>
        </is>
      </c>
      <c r="G351" t="inlineStr">
        <is>
          <t>ÖSTERSUND</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18429-2025</t>
        </is>
      </c>
      <c r="B352" t="inlineStr">
        <is>
          <t>avverkningsanmälan</t>
        </is>
      </c>
      <c r="C352" t="inlineStr">
        <is>
          <t>Föryngringsavverkning</t>
        </is>
      </c>
      <c r="D352" s="1" t="n">
        <v>45762</v>
      </c>
      <c r="E352" s="1" t="n">
        <v>46259</v>
      </c>
      <c r="F352" t="inlineStr">
        <is>
          <t>JÄMTLANDS LÄN</t>
        </is>
      </c>
      <c r="G352" t="inlineStr">
        <is>
          <t>ÖSTERSUND</t>
        </is>
      </c>
      <c r="H352" t="inlineStr">
        <is>
          <t>Sveaskog</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45481-2025</t>
        </is>
      </c>
      <c r="B353" t="inlineStr">
        <is>
          <t>avverkningsanmälan</t>
        </is>
      </c>
      <c r="C353" t="inlineStr">
        <is>
          <t>Föryngringsavverkning</t>
        </is>
      </c>
      <c r="D353" s="1" t="n">
        <v>45922</v>
      </c>
      <c r="E353" s="1" t="n">
        <v>46259</v>
      </c>
      <c r="F353" t="inlineStr">
        <is>
          <t>JÄMTLANDS LÄN</t>
        </is>
      </c>
      <c r="G353" t="inlineStr">
        <is>
          <t>ÖSTERSUND</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51479-2023</t>
        </is>
      </c>
      <c r="B354" t="inlineStr">
        <is>
          <t>avverkningsanmälan</t>
        </is>
      </c>
      <c r="C354" t="inlineStr">
        <is>
          <t>Föryngringsavverkning</t>
        </is>
      </c>
      <c r="D354" s="1" t="n">
        <v>45221</v>
      </c>
      <c r="E354" s="1" t="n">
        <v>46259</v>
      </c>
      <c r="F354" t="inlineStr">
        <is>
          <t>JÄMTLANDS LÄN</t>
        </is>
      </c>
      <c r="G354" t="inlineStr">
        <is>
          <t>ÖSTERSUND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11933-2022</t>
        </is>
      </c>
      <c r="B355" t="inlineStr">
        <is>
          <t>avverkningsanmälan</t>
        </is>
      </c>
      <c r="C355" t="inlineStr">
        <is>
          <t>Avverkning för annat ändamål</t>
        </is>
      </c>
      <c r="D355" s="1" t="n">
        <v>44635</v>
      </c>
      <c r="E355" s="1" t="n">
        <v>46259</v>
      </c>
      <c r="F355" t="inlineStr">
        <is>
          <t>JÄMTLANDS LÄN</t>
        </is>
      </c>
      <c r="G355" t="inlineStr">
        <is>
          <t>ÖSTERSUND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8675-2023</t>
        </is>
      </c>
      <c r="B356" t="inlineStr">
        <is>
          <t>avverkningsanmälan</t>
        </is>
      </c>
      <c r="C356" t="inlineStr">
        <is>
          <t>Föryngringsavverkning</t>
        </is>
      </c>
      <c r="D356" s="1" t="n">
        <v>44977</v>
      </c>
      <c r="E356" s="1" t="n">
        <v>46259</v>
      </c>
      <c r="F356" t="inlineStr">
        <is>
          <t>JÄMTLANDS LÄN</t>
        </is>
      </c>
      <c r="G356" t="inlineStr">
        <is>
          <t>ÖSTERSUND</t>
        </is>
      </c>
      <c r="H356" t="inlineStr">
        <is>
          <t>SCA</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45980-2023</t>
        </is>
      </c>
      <c r="B357" t="inlineStr">
        <is>
          <t>avverkningsanmälan</t>
        </is>
      </c>
      <c r="C357" t="inlineStr">
        <is>
          <t>Föryngringsavverkning</t>
        </is>
      </c>
      <c r="D357" s="1" t="n">
        <v>45189</v>
      </c>
      <c r="E357" s="1" t="n">
        <v>46259</v>
      </c>
      <c r="F357" t="inlineStr">
        <is>
          <t>JÄMTLANDS LÄN</t>
        </is>
      </c>
      <c r="G357" t="inlineStr">
        <is>
          <t>ÖSTERSUND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53660-2024</t>
        </is>
      </c>
      <c r="B358" t="inlineStr">
        <is>
          <t>avverkningsanmälan</t>
        </is>
      </c>
      <c r="C358" t="inlineStr">
        <is>
          <t>Föryngringsavverkning</t>
        </is>
      </c>
      <c r="D358" s="1" t="n">
        <v>45615</v>
      </c>
      <c r="E358" s="1" t="n">
        <v>46259</v>
      </c>
      <c r="F358" t="inlineStr">
        <is>
          <t>JÄMTLANDS LÄN</t>
        </is>
      </c>
      <c r="G358" t="inlineStr">
        <is>
          <t>ÖSTERSUND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19566-2024</t>
        </is>
      </c>
      <c r="B359" t="inlineStr">
        <is>
          <t>avverkningsanmälan</t>
        </is>
      </c>
      <c r="C359" t="inlineStr">
        <is>
          <t>Avverkning för annat ändamål</t>
        </is>
      </c>
      <c r="D359" s="1" t="n">
        <v>45429</v>
      </c>
      <c r="E359" s="1" t="n">
        <v>46259</v>
      </c>
      <c r="F359" t="inlineStr">
        <is>
          <t>JÄMTLANDS LÄN</t>
        </is>
      </c>
      <c r="G359" t="inlineStr">
        <is>
          <t>ÖSTERSUND</t>
        </is>
      </c>
      <c r="I359" t="n">
        <v>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55666-2023</t>
        </is>
      </c>
      <c r="B360" t="inlineStr">
        <is>
          <t>avverkningsanmälan</t>
        </is>
      </c>
      <c r="C360" t="inlineStr">
        <is>
          <t>Avverkning för att bevara och utveckla /försöksver</t>
        </is>
      </c>
      <c r="D360" s="1" t="n">
        <v>45238</v>
      </c>
      <c r="E360" s="1" t="n">
        <v>46259</v>
      </c>
      <c r="F360" t="inlineStr">
        <is>
          <t>JÄMTLANDS LÄN</t>
        </is>
      </c>
      <c r="G360" t="inlineStr">
        <is>
          <t>ÖSTERSUND</t>
        </is>
      </c>
      <c r="H360" t="inlineStr">
        <is>
          <t>SCA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51481-2023</t>
        </is>
      </c>
      <c r="B361" t="inlineStr">
        <is>
          <t>avverkningsanmälan</t>
        </is>
      </c>
      <c r="C361" t="inlineStr">
        <is>
          <t>Föryngringsavverkning</t>
        </is>
      </c>
      <c r="D361" s="1" t="n">
        <v>45221</v>
      </c>
      <c r="E361" s="1" t="n">
        <v>46259</v>
      </c>
      <c r="F361" t="inlineStr">
        <is>
          <t>JÄMTLANDS LÄN</t>
        </is>
      </c>
      <c r="G361" t="inlineStr">
        <is>
          <t>ÖSTERSUND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55140-2023</t>
        </is>
      </c>
      <c r="B362" t="inlineStr">
        <is>
          <t>avverkningsanmälan</t>
        </is>
      </c>
      <c r="C362" t="inlineStr">
        <is>
          <t>Föryngringsavverkning</t>
        </is>
      </c>
      <c r="D362" s="1" t="n">
        <v>45237</v>
      </c>
      <c r="E362" s="1" t="n">
        <v>46259</v>
      </c>
      <c r="F362" t="inlineStr">
        <is>
          <t>JÄMTLANDS LÄN</t>
        </is>
      </c>
      <c r="G362" t="inlineStr">
        <is>
          <t>ÖSTERSUND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46152-2025</t>
        </is>
      </c>
      <c r="B363" t="inlineStr">
        <is>
          <t>avverkningsanmälan</t>
        </is>
      </c>
      <c r="C363" t="inlineStr">
        <is>
          <t>Föryngringsavverkning</t>
        </is>
      </c>
      <c r="D363" s="1" t="n">
        <v>45924</v>
      </c>
      <c r="E363" s="1" t="n">
        <v>46259</v>
      </c>
      <c r="F363" t="inlineStr">
        <is>
          <t>JÄMTLANDS LÄN</t>
        </is>
      </c>
      <c r="G363" t="inlineStr">
        <is>
          <t>ÖSTERSUND</t>
        </is>
      </c>
      <c r="H363" t="inlineStr">
        <is>
          <t>SCA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21495-2022</t>
        </is>
      </c>
      <c r="B364" t="inlineStr">
        <is>
          <t>avverkningsanmälan</t>
        </is>
      </c>
      <c r="C364" t="inlineStr">
        <is>
          <t>Föryngringsavverkning</t>
        </is>
      </c>
      <c r="D364" s="1" t="n">
        <v>44706</v>
      </c>
      <c r="E364" s="1" t="n">
        <v>46259</v>
      </c>
      <c r="F364" t="inlineStr">
        <is>
          <t>JÄMTLANDS LÄN</t>
        </is>
      </c>
      <c r="G364" t="inlineStr">
        <is>
          <t>ÖSTERSUND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14653-2022</t>
        </is>
      </c>
      <c r="B365" t="inlineStr">
        <is>
          <t>avverkningsanmälan</t>
        </is>
      </c>
      <c r="C365" t="inlineStr">
        <is>
          <t>Föryngringsavverkning</t>
        </is>
      </c>
      <c r="D365" s="1" t="n">
        <v>44655</v>
      </c>
      <c r="E365" s="1" t="n">
        <v>46259</v>
      </c>
      <c r="F365" t="inlineStr">
        <is>
          <t>JÄMTLANDS LÄN</t>
        </is>
      </c>
      <c r="G365" t="inlineStr">
        <is>
          <t>ÖSTERSUND</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19789-2026</t>
        </is>
      </c>
      <c r="B366" t="inlineStr">
        <is>
          <t>avverkningsanmälan</t>
        </is>
      </c>
      <c r="C366" t="inlineStr">
        <is>
          <t>Föryngringsavverkning</t>
        </is>
      </c>
      <c r="D366" s="1" t="n">
        <v>46135</v>
      </c>
      <c r="E366" s="1" t="n">
        <v>46259</v>
      </c>
      <c r="F366" t="inlineStr">
        <is>
          <t>JÄMTLANDS LÄN</t>
        </is>
      </c>
      <c r="G366" t="inlineStr">
        <is>
          <t>ÖSTERSUND</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60780-2023</t>
        </is>
      </c>
      <c r="B367" t="inlineStr">
        <is>
          <t>avverkningsanmälan</t>
        </is>
      </c>
      <c r="C367" t="inlineStr">
        <is>
          <t>Föryngringsavverkning</t>
        </is>
      </c>
      <c r="D367" s="1" t="n">
        <v>45260</v>
      </c>
      <c r="E367" s="1" t="n">
        <v>46259</v>
      </c>
      <c r="F367" t="inlineStr">
        <is>
          <t>JÄMTLANDS LÄN</t>
        </is>
      </c>
      <c r="G367" t="inlineStr">
        <is>
          <t>ÖSTERSUND</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19881-2026</t>
        </is>
      </c>
      <c r="B368" t="inlineStr">
        <is>
          <t>avverkningsanmälan</t>
        </is>
      </c>
      <c r="C368" t="inlineStr">
        <is>
          <t>Föryngringsavverkning</t>
        </is>
      </c>
      <c r="D368" s="1" t="n">
        <v>46135</v>
      </c>
      <c r="E368" s="1" t="n">
        <v>46259</v>
      </c>
      <c r="F368" t="inlineStr">
        <is>
          <t>JÄMTLANDS LÄN</t>
        </is>
      </c>
      <c r="G368" t="inlineStr">
        <is>
          <t>ÖSTERSUND</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46132-2025</t>
        </is>
      </c>
      <c r="B369" t="inlineStr">
        <is>
          <t>avverkningsanmälan</t>
        </is>
      </c>
      <c r="C369" t="inlineStr">
        <is>
          <t>Föryngringsavverkning</t>
        </is>
      </c>
      <c r="D369" s="1" t="n">
        <v>45924</v>
      </c>
      <c r="E369" s="1" t="n">
        <v>46259</v>
      </c>
      <c r="F369" t="inlineStr">
        <is>
          <t>JÄMTLANDS LÄN</t>
        </is>
      </c>
      <c r="G369" t="inlineStr">
        <is>
          <t>ÖSTERSUND</t>
        </is>
      </c>
      <c r="H369" t="inlineStr">
        <is>
          <t>SCA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11740-2022</t>
        </is>
      </c>
      <c r="B370" t="inlineStr">
        <is>
          <t>avverkningsanmälan</t>
        </is>
      </c>
      <c r="C370" t="inlineStr">
        <is>
          <t>Föryngringsavverkning</t>
        </is>
      </c>
      <c r="D370" s="1" t="n">
        <v>44634</v>
      </c>
      <c r="E370" s="1" t="n">
        <v>46259</v>
      </c>
      <c r="F370" t="inlineStr">
        <is>
          <t>JÄMTLANDS LÄN</t>
        </is>
      </c>
      <c r="G370" t="inlineStr">
        <is>
          <t>ÖSTERSUND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19914-2026</t>
        </is>
      </c>
      <c r="B371" t="inlineStr">
        <is>
          <t>avverkningsanmälan</t>
        </is>
      </c>
      <c r="C371" t="inlineStr">
        <is>
          <t>Föryngringsavverkning</t>
        </is>
      </c>
      <c r="D371" s="1" t="n">
        <v>46136</v>
      </c>
      <c r="E371" s="1" t="n">
        <v>46259</v>
      </c>
      <c r="F371" t="inlineStr">
        <is>
          <t>JÄMTLANDS LÄN</t>
        </is>
      </c>
      <c r="G371" t="inlineStr">
        <is>
          <t>ÖSTERSUND</t>
        </is>
      </c>
      <c r="H371" t="inlineStr">
        <is>
          <t>SCA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8389-2025</t>
        </is>
      </c>
      <c r="B372" t="inlineStr">
        <is>
          <t>avverkningsanmälan</t>
        </is>
      </c>
      <c r="C372" t="inlineStr">
        <is>
          <t>Föryngringsavverkning</t>
        </is>
      </c>
      <c r="D372" s="1" t="n">
        <v>45709</v>
      </c>
      <c r="E372" s="1" t="n">
        <v>46259</v>
      </c>
      <c r="F372" t="inlineStr">
        <is>
          <t>JÄMTLANDS LÄN</t>
        </is>
      </c>
      <c r="G372" t="inlineStr">
        <is>
          <t>ÖSTERSUND</t>
        </is>
      </c>
      <c r="H372" t="inlineStr">
        <is>
          <t>SCA</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38926-2024</t>
        </is>
      </c>
      <c r="B373" t="inlineStr">
        <is>
          <t>avverkningsanmälan</t>
        </is>
      </c>
      <c r="C373" t="inlineStr">
        <is>
          <t>Föryngringsavverkning</t>
        </is>
      </c>
      <c r="D373" s="1" t="n">
        <v>45547</v>
      </c>
      <c r="E373" s="1" t="n">
        <v>46259</v>
      </c>
      <c r="F373" t="inlineStr">
        <is>
          <t>JÄMTLANDS LÄN</t>
        </is>
      </c>
      <c r="G373" t="inlineStr">
        <is>
          <t>ÖSTERSUND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20588-2023</t>
        </is>
      </c>
      <c r="B374" t="inlineStr">
        <is>
          <t>avverkningsanmälan</t>
        </is>
      </c>
      <c r="C374" t="inlineStr">
        <is>
          <t>Föryngringsavverkning</t>
        </is>
      </c>
      <c r="D374" s="1" t="n">
        <v>45057</v>
      </c>
      <c r="E374" s="1" t="n">
        <v>46259</v>
      </c>
      <c r="F374" t="inlineStr">
        <is>
          <t>JÄMTLANDS LÄN</t>
        </is>
      </c>
      <c r="G374" t="inlineStr">
        <is>
          <t>ÖSTERSUND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52913-2021</t>
        </is>
      </c>
      <c r="B375" t="inlineStr">
        <is>
          <t>avverkningsanmälan</t>
        </is>
      </c>
      <c r="C375" t="inlineStr">
        <is>
          <t>Föryngringsavverkning</t>
        </is>
      </c>
      <c r="D375" s="1" t="n">
        <v>44466</v>
      </c>
      <c r="E375" s="1" t="n">
        <v>46259</v>
      </c>
      <c r="F375" t="inlineStr">
        <is>
          <t>JÄMTLANDS LÄN</t>
        </is>
      </c>
      <c r="G375" t="inlineStr">
        <is>
          <t>ÖSTERSUND</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26321-2022</t>
        </is>
      </c>
      <c r="B376" t="inlineStr">
        <is>
          <t>avverkningsanmälan</t>
        </is>
      </c>
      <c r="C376" t="inlineStr">
        <is>
          <t>Avverkning för annat ändamål</t>
        </is>
      </c>
      <c r="D376" s="1" t="n">
        <v>44735</v>
      </c>
      <c r="E376" s="1" t="n">
        <v>46259</v>
      </c>
      <c r="F376" t="inlineStr">
        <is>
          <t>JÄMTLANDS LÄN</t>
        </is>
      </c>
      <c r="G376" t="inlineStr">
        <is>
          <t>ÖSTERSUND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44048-2024</t>
        </is>
      </c>
      <c r="B377" t="inlineStr">
        <is>
          <t>avverkningsanmälan</t>
        </is>
      </c>
      <c r="C377" t="inlineStr">
        <is>
          <t>Föryngringsavverkning</t>
        </is>
      </c>
      <c r="D377" s="1" t="n">
        <v>45572</v>
      </c>
      <c r="E377" s="1" t="n">
        <v>46259</v>
      </c>
      <c r="F377" t="inlineStr">
        <is>
          <t>JÄMTLANDS LÄN</t>
        </is>
      </c>
      <c r="G377" t="inlineStr">
        <is>
          <t>ÖSTERSUND</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20174-2026</t>
        </is>
      </c>
      <c r="B378" t="inlineStr">
        <is>
          <t>avverkningsanmälan</t>
        </is>
      </c>
      <c r="C378" t="inlineStr">
        <is>
          <t>Föryngringsavverkning</t>
        </is>
      </c>
      <c r="D378" s="1" t="n">
        <v>46139</v>
      </c>
      <c r="E378" s="1" t="n">
        <v>46259</v>
      </c>
      <c r="F378" t="inlineStr">
        <is>
          <t>JÄMTLANDS LÄN</t>
        </is>
      </c>
      <c r="G378" t="inlineStr">
        <is>
          <t>ÖSTERSUND</t>
        </is>
      </c>
      <c r="H378" t="inlineStr">
        <is>
          <t>SCA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6067-2025</t>
        </is>
      </c>
      <c r="B379" t="inlineStr">
        <is>
          <t>avverkningsanmälan</t>
        </is>
      </c>
      <c r="C379" t="inlineStr">
        <is>
          <t>Föryngringsavverkning</t>
        </is>
      </c>
      <c r="D379" s="1" t="n">
        <v>45696</v>
      </c>
      <c r="E379" s="1" t="n">
        <v>46259</v>
      </c>
      <c r="F379" t="inlineStr">
        <is>
          <t>JÄMTLANDS LÄN</t>
        </is>
      </c>
      <c r="G379" t="inlineStr">
        <is>
          <t>ÖSTERSUND</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55235-2023</t>
        </is>
      </c>
      <c r="B380" t="inlineStr">
        <is>
          <t>avverkningsanmälan</t>
        </is>
      </c>
      <c r="C380" t="inlineStr">
        <is>
          <t>Föryngringsavverkning</t>
        </is>
      </c>
      <c r="D380" s="1" t="n">
        <v>45231</v>
      </c>
      <c r="E380" s="1" t="n">
        <v>46259</v>
      </c>
      <c r="F380" t="inlineStr">
        <is>
          <t>JÄMTLANDS LÄN</t>
        </is>
      </c>
      <c r="G380" t="inlineStr">
        <is>
          <t>ÖSTERSUND</t>
        </is>
      </c>
      <c r="H380" t="inlineStr">
        <is>
          <t>SCA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4936-2025</t>
        </is>
      </c>
      <c r="B381" t="inlineStr">
        <is>
          <t>avverkningsanmälan</t>
        </is>
      </c>
      <c r="C381" t="inlineStr">
        <is>
          <t>Föryngringsavverkning</t>
        </is>
      </c>
      <c r="D381" s="1" t="n">
        <v>45688</v>
      </c>
      <c r="E381" s="1" t="n">
        <v>46259</v>
      </c>
      <c r="F381" t="inlineStr">
        <is>
          <t>JÄMTLANDS LÄN</t>
        </is>
      </c>
      <c r="G381" t="inlineStr">
        <is>
          <t>ÖSTERSUND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7936-2025</t>
        </is>
      </c>
      <c r="B382" t="inlineStr">
        <is>
          <t>avverkningsanmälan</t>
        </is>
      </c>
      <c r="C382" t="inlineStr">
        <is>
          <t>Föryngringsavverkning</t>
        </is>
      </c>
      <c r="D382" s="1" t="n">
        <v>45707</v>
      </c>
      <c r="E382" s="1" t="n">
        <v>46259</v>
      </c>
      <c r="F382" t="inlineStr">
        <is>
          <t>JÄMTLANDS LÄN</t>
        </is>
      </c>
      <c r="G382" t="inlineStr">
        <is>
          <t>ÖSTERSUND</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79-2025</t>
        </is>
      </c>
      <c r="B383" t="inlineStr">
        <is>
          <t>avverkningsanmälan</t>
        </is>
      </c>
      <c r="C383" t="inlineStr">
        <is>
          <t>Föryngringsavverkning</t>
        </is>
      </c>
      <c r="D383" s="1" t="n">
        <v>45659</v>
      </c>
      <c r="E383" s="1" t="n">
        <v>46259</v>
      </c>
      <c r="F383" t="inlineStr">
        <is>
          <t>JÄMTLANDS LÄN</t>
        </is>
      </c>
      <c r="G383" t="inlineStr">
        <is>
          <t>ÖSTERSUND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2753-2025</t>
        </is>
      </c>
      <c r="B384" t="inlineStr">
        <is>
          <t>avverkningsanmälan</t>
        </is>
      </c>
      <c r="C384" t="inlineStr">
        <is>
          <t>Föryngringsavverkning</t>
        </is>
      </c>
      <c r="D384" s="1" t="n">
        <v>45677</v>
      </c>
      <c r="E384" s="1" t="n">
        <v>46259</v>
      </c>
      <c r="F384" t="inlineStr">
        <is>
          <t>JÄMTLANDS LÄN</t>
        </is>
      </c>
      <c r="G384" t="inlineStr">
        <is>
          <t>ÖSTERSUND</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20375-2026</t>
        </is>
      </c>
      <c r="B385" t="inlineStr">
        <is>
          <t>avverkningsanmälan</t>
        </is>
      </c>
      <c r="C385" t="inlineStr">
        <is>
          <t>Föryngringsavverkning</t>
        </is>
      </c>
      <c r="D385" s="1" t="n">
        <v>46139</v>
      </c>
      <c r="E385" s="1" t="n">
        <v>46259</v>
      </c>
      <c r="F385" t="inlineStr">
        <is>
          <t>JÄMTLANDS LÄN</t>
        </is>
      </c>
      <c r="G385" t="inlineStr">
        <is>
          <t>ÖSTERSUND</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20369-2026</t>
        </is>
      </c>
      <c r="B386" t="inlineStr">
        <is>
          <t>avverkningsanmälan</t>
        </is>
      </c>
      <c r="C386" t="inlineStr">
        <is>
          <t>Föryngringsavverkning</t>
        </is>
      </c>
      <c r="D386" s="1" t="n">
        <v>46139</v>
      </c>
      <c r="E386" s="1" t="n">
        <v>46259</v>
      </c>
      <c r="F386" t="inlineStr">
        <is>
          <t>JÄMTLANDS LÄN</t>
        </is>
      </c>
      <c r="G386" t="inlineStr">
        <is>
          <t>ÖSTERSUND</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47805-2024</t>
        </is>
      </c>
      <c r="B387" t="inlineStr">
        <is>
          <t>avverkningsanmälan</t>
        </is>
      </c>
      <c r="C387" t="inlineStr">
        <is>
          <t>Föryngringsavverkning</t>
        </is>
      </c>
      <c r="D387" s="1" t="n">
        <v>45588</v>
      </c>
      <c r="E387" s="1" t="n">
        <v>46259</v>
      </c>
      <c r="F387" t="inlineStr">
        <is>
          <t>JÄMTLANDS LÄN</t>
        </is>
      </c>
      <c r="G387" t="inlineStr">
        <is>
          <t>ÖSTERSUND</t>
        </is>
      </c>
      <c r="I387" t="n">
        <v>7.4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46732-2024</t>
        </is>
      </c>
      <c r="B388" t="inlineStr">
        <is>
          <t>avverkningsanmälan</t>
        </is>
      </c>
      <c r="C388" t="inlineStr">
        <is>
          <t>Föryngringsavverkning</t>
        </is>
      </c>
      <c r="D388" s="1" t="n">
        <v>45583</v>
      </c>
      <c r="E388" s="1" t="n">
        <v>46259</v>
      </c>
      <c r="F388" t="inlineStr">
        <is>
          <t>JÄMTLANDS LÄN</t>
        </is>
      </c>
      <c r="G388" t="inlineStr">
        <is>
          <t>ÖSTERSUND</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45338-2024</t>
        </is>
      </c>
      <c r="B389" t="inlineStr">
        <is>
          <t>avverkningsanmälan</t>
        </is>
      </c>
      <c r="C389" t="inlineStr">
        <is>
          <t>Föryngringsavverkning</t>
        </is>
      </c>
      <c r="D389" s="1" t="n">
        <v>45576</v>
      </c>
      <c r="E389" s="1" t="n">
        <v>46259</v>
      </c>
      <c r="F389" t="inlineStr">
        <is>
          <t>JÄMTLANDS LÄN</t>
        </is>
      </c>
      <c r="G389" t="inlineStr">
        <is>
          <t>ÖSTERSUND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45895-2024</t>
        </is>
      </c>
      <c r="B390" t="inlineStr">
        <is>
          <t>avverkningsanmälan</t>
        </is>
      </c>
      <c r="C390" t="inlineStr">
        <is>
          <t>Föryngringsavverkning</t>
        </is>
      </c>
      <c r="D390" s="1" t="n">
        <v>45580</v>
      </c>
      <c r="E390" s="1" t="n">
        <v>46259</v>
      </c>
      <c r="F390" t="inlineStr">
        <is>
          <t>JÄMTLANDS LÄN</t>
        </is>
      </c>
      <c r="G390" t="inlineStr">
        <is>
          <t>ÖSTERSUND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62623-2025</t>
        </is>
      </c>
      <c r="B391" t="inlineStr">
        <is>
          <t>avverkningsanmälan</t>
        </is>
      </c>
      <c r="C391" t="inlineStr">
        <is>
          <t>Föryngringsavverkning</t>
        </is>
      </c>
      <c r="D391" s="1" t="n">
        <v>46008</v>
      </c>
      <c r="E391" s="1" t="n">
        <v>46259</v>
      </c>
      <c r="F391" t="inlineStr">
        <is>
          <t>JÄMTLANDS LÄN</t>
        </is>
      </c>
      <c r="G391" t="inlineStr">
        <is>
          <t>ÖSTERSUND</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44327-2023</t>
        </is>
      </c>
      <c r="B392" t="inlineStr">
        <is>
          <t>avverkningsanmälan</t>
        </is>
      </c>
      <c r="C392" t="inlineStr">
        <is>
          <t>Avverkning för annat ändamål</t>
        </is>
      </c>
      <c r="D392" s="1" t="n">
        <v>45188</v>
      </c>
      <c r="E392" s="1" t="n">
        <v>46259</v>
      </c>
      <c r="F392" t="inlineStr">
        <is>
          <t>JÄMTLANDS LÄN</t>
        </is>
      </c>
      <c r="G392" t="inlineStr">
        <is>
          <t>ÖSTERSUND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27780-2022</t>
        </is>
      </c>
      <c r="B393" t="inlineStr">
        <is>
          <t>avverkningsanmälan</t>
        </is>
      </c>
      <c r="C393" t="inlineStr">
        <is>
          <t>Föryngringsavverkning</t>
        </is>
      </c>
      <c r="D393" s="1" t="n">
        <v>44743</v>
      </c>
      <c r="E393" s="1" t="n">
        <v>46259</v>
      </c>
      <c r="F393" t="inlineStr">
        <is>
          <t>JÄMTLANDS LÄN</t>
        </is>
      </c>
      <c r="G393" t="inlineStr">
        <is>
          <t>ÖSTERSUND</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23555-2022</t>
        </is>
      </c>
      <c r="B394" t="inlineStr">
        <is>
          <t>avverkningsanmälan</t>
        </is>
      </c>
      <c r="C394" t="inlineStr">
        <is>
          <t>Föryngringsavverkning</t>
        </is>
      </c>
      <c r="D394" s="1" t="n">
        <v>44721</v>
      </c>
      <c r="E394" s="1" t="n">
        <v>46259</v>
      </c>
      <c r="F394" t="inlineStr">
        <is>
          <t>JÄMTLANDS LÄN</t>
        </is>
      </c>
      <c r="G394" t="inlineStr">
        <is>
          <t>ÖSTERSUND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32368-2025</t>
        </is>
      </c>
      <c r="B395" t="inlineStr">
        <is>
          <t>avverkningsanmälan</t>
        </is>
      </c>
      <c r="C395" t="inlineStr">
        <is>
          <t>Föryngringsavverkning</t>
        </is>
      </c>
      <c r="D395" s="1" t="n">
        <v>45837</v>
      </c>
      <c r="E395" s="1" t="n">
        <v>46259</v>
      </c>
      <c r="F395" t="inlineStr">
        <is>
          <t>JÄMTLANDS LÄN</t>
        </is>
      </c>
      <c r="G395" t="inlineStr">
        <is>
          <t>ÖSTERSUND</t>
        </is>
      </c>
      <c r="H395" t="inlineStr">
        <is>
          <t>Övriga Aktiebolag</t>
        </is>
      </c>
      <c r="I395" t="n">
        <v>19.5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10493-2025</t>
        </is>
      </c>
      <c r="B396" t="inlineStr">
        <is>
          <t>avverkningsanmälan</t>
        </is>
      </c>
      <c r="C396" t="inlineStr">
        <is>
          <t>Föryngringsavverkning</t>
        </is>
      </c>
      <c r="D396" s="1" t="n">
        <v>45721</v>
      </c>
      <c r="E396" s="1" t="n">
        <v>46259</v>
      </c>
      <c r="F396" t="inlineStr">
        <is>
          <t>JÄMTLANDS LÄN</t>
        </is>
      </c>
      <c r="G396" t="inlineStr">
        <is>
          <t>ÖSTERSUND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50088-2024</t>
        </is>
      </c>
      <c r="B397" t="inlineStr">
        <is>
          <t>avverkningsanmälan</t>
        </is>
      </c>
      <c r="C397" t="inlineStr">
        <is>
          <t>Föryngringsavverkning</t>
        </is>
      </c>
      <c r="D397" s="1" t="n">
        <v>45600</v>
      </c>
      <c r="E397" s="1" t="n">
        <v>46259</v>
      </c>
      <c r="F397" t="inlineStr">
        <is>
          <t>JÄMTLANDS LÄN</t>
        </is>
      </c>
      <c r="G397" t="inlineStr">
        <is>
          <t>ÖSTERSUND</t>
        </is>
      </c>
      <c r="H397" t="inlineStr">
        <is>
          <t>SCA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48893-2025</t>
        </is>
      </c>
      <c r="B398" t="inlineStr">
        <is>
          <t>avverkningsanmälan</t>
        </is>
      </c>
      <c r="C398" t="inlineStr">
        <is>
          <t>Föryngringsavverkning</t>
        </is>
      </c>
      <c r="D398" s="1" t="n">
        <v>45937</v>
      </c>
      <c r="E398" s="1" t="n">
        <v>46259</v>
      </c>
      <c r="F398" t="inlineStr">
        <is>
          <t>JÄMTLANDS LÄN</t>
        </is>
      </c>
      <c r="G398" t="inlineStr">
        <is>
          <t>ÖSTERSUND</t>
        </is>
      </c>
      <c r="H398" t="inlineStr">
        <is>
          <t>Sveaskog</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33779-2024</t>
        </is>
      </c>
      <c r="B399" t="inlineStr">
        <is>
          <t>avverkningsanmälan</t>
        </is>
      </c>
      <c r="C399" t="inlineStr">
        <is>
          <t>Avverkning för annat ändamål</t>
        </is>
      </c>
      <c r="D399" s="1" t="n">
        <v>45520</v>
      </c>
      <c r="E399" s="1" t="n">
        <v>46259</v>
      </c>
      <c r="F399" t="inlineStr">
        <is>
          <t>JÄMTLANDS LÄN</t>
        </is>
      </c>
      <c r="G399" t="inlineStr">
        <is>
          <t>ÖSTERSUND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53378-2023</t>
        </is>
      </c>
      <c r="B400" t="inlineStr">
        <is>
          <t>avverkningsanmälan</t>
        </is>
      </c>
      <c r="C400" t="inlineStr">
        <is>
          <t>Föryngringsavverkning</t>
        </is>
      </c>
      <c r="D400" s="1" t="n">
        <v>45223</v>
      </c>
      <c r="E400" s="1" t="n">
        <v>46259</v>
      </c>
      <c r="F400" t="inlineStr">
        <is>
          <t>JÄMTLANDS LÄN</t>
        </is>
      </c>
      <c r="G400" t="inlineStr">
        <is>
          <t>ÖSTERSUND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3844-2024</t>
        </is>
      </c>
      <c r="B401" t="inlineStr">
        <is>
          <t>avverkningsanmälan</t>
        </is>
      </c>
      <c r="C401" t="inlineStr">
        <is>
          <t>Föryngringsavverkning</t>
        </is>
      </c>
      <c r="D401" s="1" t="n">
        <v>45321</v>
      </c>
      <c r="E401" s="1" t="n">
        <v>46259</v>
      </c>
      <c r="F401" t="inlineStr">
        <is>
          <t>JÄMTLANDS LÄN</t>
        </is>
      </c>
      <c r="G401" t="inlineStr">
        <is>
          <t>ÖSTERSUND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721-2026</t>
        </is>
      </c>
      <c r="B402" t="inlineStr">
        <is>
          <t>avverkningsanmälan</t>
        </is>
      </c>
      <c r="C402" t="inlineStr">
        <is>
          <t>Föryngringsavverkning</t>
        </is>
      </c>
      <c r="D402" s="1" t="n">
        <v>46029</v>
      </c>
      <c r="E402" s="1" t="n">
        <v>46259</v>
      </c>
      <c r="F402" t="inlineStr">
        <is>
          <t>JÄMTLANDS LÄN</t>
        </is>
      </c>
      <c r="G402" t="inlineStr">
        <is>
          <t>ÖSTERSUND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59648-2022</t>
        </is>
      </c>
      <c r="B403" t="inlineStr">
        <is>
          <t>avverkningsanmälan</t>
        </is>
      </c>
      <c r="C403" t="inlineStr">
        <is>
          <t>Föryngringsavverkning</t>
        </is>
      </c>
      <c r="D403" s="1" t="n">
        <v>44907</v>
      </c>
      <c r="E403" s="1" t="n">
        <v>46259</v>
      </c>
      <c r="F403" t="inlineStr">
        <is>
          <t>JÄMTLANDS LÄN</t>
        </is>
      </c>
      <c r="G403" t="inlineStr">
        <is>
          <t>ÖSTERSUND</t>
        </is>
      </c>
      <c r="H403" t="inlineStr">
        <is>
          <t>SCA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49576-2025</t>
        </is>
      </c>
      <c r="B404" t="inlineStr">
        <is>
          <t>avverkningsanmälan</t>
        </is>
      </c>
      <c r="C404" t="inlineStr">
        <is>
          <t>Föryngringsavverkning</t>
        </is>
      </c>
      <c r="D404" s="1" t="n">
        <v>45939</v>
      </c>
      <c r="E404" s="1" t="n">
        <v>46259</v>
      </c>
      <c r="F404" t="inlineStr">
        <is>
          <t>JÄMTLANDS LÄN</t>
        </is>
      </c>
      <c r="G404" t="inlineStr">
        <is>
          <t>ÖSTERSUND</t>
        </is>
      </c>
      <c r="H404" t="inlineStr">
        <is>
          <t>SCA</t>
        </is>
      </c>
      <c r="I404" t="n">
        <v>17.1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24786-2024</t>
        </is>
      </c>
      <c r="B405" t="inlineStr">
        <is>
          <t>avverkningsanmälan</t>
        </is>
      </c>
      <c r="C405" t="inlineStr">
        <is>
          <t>Avverkning för annat ändamål</t>
        </is>
      </c>
      <c r="D405" s="1" t="n">
        <v>45460</v>
      </c>
      <c r="E405" s="1" t="n">
        <v>46259</v>
      </c>
      <c r="F405" t="inlineStr">
        <is>
          <t>JÄMTLANDS LÄN</t>
        </is>
      </c>
      <c r="G405" t="inlineStr">
        <is>
          <t>ÖSTERSUND</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2978-2024</t>
        </is>
      </c>
      <c r="B406" t="inlineStr">
        <is>
          <t>avverkningsanmälan</t>
        </is>
      </c>
      <c r="C406" t="inlineStr">
        <is>
          <t>Föryngringsavverkning</t>
        </is>
      </c>
      <c r="D406" s="1" t="n">
        <v>45315</v>
      </c>
      <c r="E406" s="1" t="n">
        <v>46259</v>
      </c>
      <c r="F406" t="inlineStr">
        <is>
          <t>JÄMTLANDS LÄN</t>
        </is>
      </c>
      <c r="G406" t="inlineStr">
        <is>
          <t>ÖSTERSUND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61791-2023</t>
        </is>
      </c>
      <c r="B407" t="inlineStr">
        <is>
          <t>avverkningsanmälan</t>
        </is>
      </c>
      <c r="C407" t="inlineStr">
        <is>
          <t>Avverkning för att bevara och utveckla /försöksver</t>
        </is>
      </c>
      <c r="D407" s="1" t="n">
        <v>45265</v>
      </c>
      <c r="E407" s="1" t="n">
        <v>46259</v>
      </c>
      <c r="F407" t="inlineStr">
        <is>
          <t>JÄMTLANDS LÄN</t>
        </is>
      </c>
      <c r="G407" t="inlineStr">
        <is>
          <t>ÖSTERSUND</t>
        </is>
      </c>
      <c r="H407" t="inlineStr">
        <is>
          <t>SCA</t>
        </is>
      </c>
      <c r="I407" t="n">
        <v>11.4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61267-2025</t>
        </is>
      </c>
      <c r="B408" t="inlineStr">
        <is>
          <t>avverkningsanmälan</t>
        </is>
      </c>
      <c r="C408" t="inlineStr">
        <is>
          <t>Föryngringsavverkning</t>
        </is>
      </c>
      <c r="D408" s="1" t="n">
        <v>46000</v>
      </c>
      <c r="E408" s="1" t="n">
        <v>46259</v>
      </c>
      <c r="F408" t="inlineStr">
        <is>
          <t>JÄMTLANDS LÄN</t>
        </is>
      </c>
      <c r="G408" t="inlineStr">
        <is>
          <t>ÖSTERSUND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29128-2022</t>
        </is>
      </c>
      <c r="B409" t="inlineStr">
        <is>
          <t>avverkningsanmälan</t>
        </is>
      </c>
      <c r="C409" t="inlineStr">
        <is>
          <t>Föryngringsavverkning</t>
        </is>
      </c>
      <c r="D409" s="1" t="n">
        <v>44750</v>
      </c>
      <c r="E409" s="1" t="n">
        <v>46259</v>
      </c>
      <c r="F409" t="inlineStr">
        <is>
          <t>JÄMTLANDS LÄN</t>
        </is>
      </c>
      <c r="G409" t="inlineStr">
        <is>
          <t>ÖSTERSUND</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2615-2024</t>
        </is>
      </c>
      <c r="B410" t="inlineStr">
        <is>
          <t>avverkningsanmälan</t>
        </is>
      </c>
      <c r="C410" t="inlineStr">
        <is>
          <t>Föryngringsavverkning</t>
        </is>
      </c>
      <c r="D410" s="1" t="n">
        <v>45313</v>
      </c>
      <c r="E410" s="1" t="n">
        <v>46259</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1159-2024</t>
        </is>
      </c>
      <c r="B411" t="inlineStr">
        <is>
          <t>avverkningsanmälan</t>
        </is>
      </c>
      <c r="C411" t="inlineStr">
        <is>
          <t>Föryngringsavverkning</t>
        </is>
      </c>
      <c r="D411" s="1" t="n">
        <v>45302</v>
      </c>
      <c r="E411" s="1" t="n">
        <v>46259</v>
      </c>
      <c r="F411" t="inlineStr">
        <is>
          <t>JÄMTLANDS LÄN</t>
        </is>
      </c>
      <c r="G411" t="inlineStr">
        <is>
          <t>ÖSTERSUND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35556-2022</t>
        </is>
      </c>
      <c r="B412" t="inlineStr">
        <is>
          <t>avverkningsanmälan</t>
        </is>
      </c>
      <c r="C412" t="inlineStr">
        <is>
          <t>Föryngringsavverkning</t>
        </is>
      </c>
      <c r="D412" s="1" t="n">
        <v>44799</v>
      </c>
      <c r="E412" s="1" t="n">
        <v>46259</v>
      </c>
      <c r="F412" t="inlineStr">
        <is>
          <t>JÄMTLANDS LÄN</t>
        </is>
      </c>
      <c r="G412" t="inlineStr">
        <is>
          <t>ÖSTERSUND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5341-2025</t>
        </is>
      </c>
      <c r="B413" t="inlineStr">
        <is>
          <t>avverkningsanmälan</t>
        </is>
      </c>
      <c r="C413" t="inlineStr">
        <is>
          <t>Föryngringsavverkning</t>
        </is>
      </c>
      <c r="D413" s="1" t="n">
        <v>45692</v>
      </c>
      <c r="E413" s="1" t="n">
        <v>46259</v>
      </c>
      <c r="F413" t="inlineStr">
        <is>
          <t>JÄMTLANDS LÄN</t>
        </is>
      </c>
      <c r="G413" t="inlineStr">
        <is>
          <t>ÖSTERSUND</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55235-2023</t>
        </is>
      </c>
      <c r="B414" t="inlineStr">
        <is>
          <t>avverkningsanmälan</t>
        </is>
      </c>
      <c r="C414" t="inlineStr">
        <is>
          <t>Föryngringsavverkning</t>
        </is>
      </c>
      <c r="D414" s="1" t="n">
        <v>45231</v>
      </c>
      <c r="E414" s="1" t="n">
        <v>46259</v>
      </c>
      <c r="F414" t="inlineStr">
        <is>
          <t>JÄMTLANDS LÄN</t>
        </is>
      </c>
      <c r="G414" t="inlineStr">
        <is>
          <t>ÖSTERSUND</t>
        </is>
      </c>
      <c r="H414" t="inlineStr">
        <is>
          <t>SCA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60794-2023</t>
        </is>
      </c>
      <c r="B415" t="inlineStr">
        <is>
          <t>avverkningsanmälan</t>
        </is>
      </c>
      <c r="C415" t="inlineStr">
        <is>
          <t>Föryngringsavverkning</t>
        </is>
      </c>
      <c r="D415" s="1" t="n">
        <v>45260</v>
      </c>
      <c r="E415" s="1" t="n">
        <v>46259</v>
      </c>
      <c r="F415" t="inlineStr">
        <is>
          <t>JÄMTLANDS LÄN</t>
        </is>
      </c>
      <c r="G415" t="inlineStr">
        <is>
          <t>ÖSTERSUND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33808-2022</t>
        </is>
      </c>
      <c r="B416" t="inlineStr">
        <is>
          <t>avverkningsanmälan</t>
        </is>
      </c>
      <c r="C416" t="inlineStr">
        <is>
          <t>Föryngringsavverkning</t>
        </is>
      </c>
      <c r="D416" s="1" t="n">
        <v>44790</v>
      </c>
      <c r="E416" s="1" t="n">
        <v>46259</v>
      </c>
      <c r="F416" t="inlineStr">
        <is>
          <t>JÄMTLANDS LÄN</t>
        </is>
      </c>
      <c r="G416" t="inlineStr">
        <is>
          <t>ÖSTERSUND</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1255-2025</t>
        </is>
      </c>
      <c r="B417" t="inlineStr">
        <is>
          <t>avverkningsanmälan</t>
        </is>
      </c>
      <c r="C417" t="inlineStr">
        <is>
          <t>Föryngringsavverkning</t>
        </is>
      </c>
      <c r="D417" s="1" t="n">
        <v>45667</v>
      </c>
      <c r="E417" s="1" t="n">
        <v>46259</v>
      </c>
      <c r="F417" t="inlineStr">
        <is>
          <t>JÄMTLANDS LÄN</t>
        </is>
      </c>
      <c r="G417" t="inlineStr">
        <is>
          <t>ÖSTERSUND</t>
        </is>
      </c>
      <c r="H417" t="inlineStr">
        <is>
          <t>SCA</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20913-2026</t>
        </is>
      </c>
      <c r="B418" t="inlineStr">
        <is>
          <t>avverkningsanmälan</t>
        </is>
      </c>
      <c r="C418" t="inlineStr">
        <is>
          <t>Föryngringsavverkning</t>
        </is>
      </c>
      <c r="D418" s="1" t="n">
        <v>46142</v>
      </c>
      <c r="E418" s="1" t="n">
        <v>46259</v>
      </c>
      <c r="F418" t="inlineStr">
        <is>
          <t>JÄMTLANDS LÄN</t>
        </is>
      </c>
      <c r="G418" t="inlineStr">
        <is>
          <t>ÖSTERSUND</t>
        </is>
      </c>
      <c r="H418" t="inlineStr">
        <is>
          <t>SCA</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50428-2025</t>
        </is>
      </c>
      <c r="B419" t="inlineStr">
        <is>
          <t>avverkningsanmälan</t>
        </is>
      </c>
      <c r="C419" t="inlineStr">
        <is>
          <t>Föryngringsavverkning</t>
        </is>
      </c>
      <c r="D419" s="1" t="n">
        <v>45944</v>
      </c>
      <c r="E419" s="1" t="n">
        <v>46259</v>
      </c>
      <c r="F419" t="inlineStr">
        <is>
          <t>JÄMTLANDS LÄN</t>
        </is>
      </c>
      <c r="G419" t="inlineStr">
        <is>
          <t>ÖSTERSUND</t>
        </is>
      </c>
      <c r="H419" t="inlineStr">
        <is>
          <t>SCA</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63099-2023</t>
        </is>
      </c>
      <c r="B420" t="inlineStr">
        <is>
          <t>avverkningsanmälan</t>
        </is>
      </c>
      <c r="C420" t="inlineStr">
        <is>
          <t>Avverkning för annat ändamål</t>
        </is>
      </c>
      <c r="D420" s="1" t="n">
        <v>45273</v>
      </c>
      <c r="E420" s="1" t="n">
        <v>46259</v>
      </c>
      <c r="F420" t="inlineStr">
        <is>
          <t>JÄMTLANDS LÄN</t>
        </is>
      </c>
      <c r="G420" t="inlineStr">
        <is>
          <t>ÖSTERSUND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46748-2023</t>
        </is>
      </c>
      <c r="B421" t="inlineStr">
        <is>
          <t>avverkningsanmälan</t>
        </is>
      </c>
      <c r="C421" t="inlineStr">
        <is>
          <t>Föryngringsavverkning</t>
        </is>
      </c>
      <c r="D421" s="1" t="n">
        <v>45198</v>
      </c>
      <c r="E421" s="1" t="n">
        <v>46259</v>
      </c>
      <c r="F421" t="inlineStr">
        <is>
          <t>JÄMTLANDS LÄN</t>
        </is>
      </c>
      <c r="G421" t="inlineStr">
        <is>
          <t>ÖSTERSUND</t>
        </is>
      </c>
      <c r="H421" t="inlineStr">
        <is>
          <t>Sveaskog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5025-2025</t>
        </is>
      </c>
      <c r="B422" t="inlineStr">
        <is>
          <t>avverkningsanmälan</t>
        </is>
      </c>
      <c r="C422" t="inlineStr">
        <is>
          <t>Avverkning för annat ändamål</t>
        </is>
      </c>
      <c r="D422" s="1" t="n">
        <v>45691</v>
      </c>
      <c r="E422" s="1" t="n">
        <v>46259</v>
      </c>
      <c r="F422" t="inlineStr">
        <is>
          <t>JÄMTLANDS LÄN</t>
        </is>
      </c>
      <c r="G422" t="inlineStr">
        <is>
          <t>ÖSTERSUND</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70256-2021</t>
        </is>
      </c>
      <c r="B423" t="inlineStr">
        <is>
          <t>avverkningsanmälan</t>
        </is>
      </c>
      <c r="C423" t="inlineStr">
        <is>
          <t>Föryngringsavverkning</t>
        </is>
      </c>
      <c r="D423" s="1" t="n">
        <v>44533</v>
      </c>
      <c r="E423" s="1" t="n">
        <v>46259</v>
      </c>
      <c r="F423" t="inlineStr">
        <is>
          <t>JÄMTLANDS LÄN</t>
        </is>
      </c>
      <c r="G423" t="inlineStr">
        <is>
          <t>ÖSTERSUND</t>
        </is>
      </c>
      <c r="I423" t="n">
        <v>8.199999999999999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8972-2022</t>
        </is>
      </c>
      <c r="B424" t="inlineStr">
        <is>
          <t>avverkningsanmälan</t>
        </is>
      </c>
      <c r="C424" t="inlineStr">
        <is>
          <t>Föryngringsavverkning</t>
        </is>
      </c>
      <c r="D424" s="1" t="n">
        <v>44614</v>
      </c>
      <c r="E424" s="1" t="n">
        <v>46259</v>
      </c>
      <c r="F424" t="inlineStr">
        <is>
          <t>JÄMTLANDS LÄN</t>
        </is>
      </c>
      <c r="G424" t="inlineStr">
        <is>
          <t>ÖSTERSUND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7327-2023</t>
        </is>
      </c>
      <c r="B425" t="inlineStr">
        <is>
          <t>avverkningsanmälan</t>
        </is>
      </c>
      <c r="C425" t="inlineStr">
        <is>
          <t>Föryngringsavverkning</t>
        </is>
      </c>
      <c r="D425" s="1" t="n">
        <v>44970</v>
      </c>
      <c r="E425" s="1" t="n">
        <v>46259</v>
      </c>
      <c r="F425" t="inlineStr">
        <is>
          <t>JÄMTLANDS LÄN</t>
        </is>
      </c>
      <c r="G425" t="inlineStr">
        <is>
          <t>ÖSTERSUND</t>
        </is>
      </c>
      <c r="H425" t="inlineStr">
        <is>
          <t>SCA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47627-2024</t>
        </is>
      </c>
      <c r="B426" t="inlineStr">
        <is>
          <t>avverkningsanmälan</t>
        </is>
      </c>
      <c r="C426" t="inlineStr">
        <is>
          <t>Föryngringsavverkning</t>
        </is>
      </c>
      <c r="D426" s="1" t="n">
        <v>45588</v>
      </c>
      <c r="E426" s="1" t="n">
        <v>46259</v>
      </c>
      <c r="F426" t="inlineStr">
        <is>
          <t>JÄMTLANDS LÄN</t>
        </is>
      </c>
      <c r="G426" t="inlineStr">
        <is>
          <t>ÖSTERSUND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21854-2026</t>
        </is>
      </c>
      <c r="B427" t="inlineStr">
        <is>
          <t>avverkningsanmälan</t>
        </is>
      </c>
      <c r="C427" t="inlineStr">
        <is>
          <t>Föryngringsavverkning</t>
        </is>
      </c>
      <c r="D427" s="1" t="n">
        <v>46150</v>
      </c>
      <c r="E427" s="1" t="n">
        <v>46259</v>
      </c>
      <c r="F427" t="inlineStr">
        <is>
          <t>JÄMTLANDS LÄN</t>
        </is>
      </c>
      <c r="G427" t="inlineStr">
        <is>
          <t>ÖSTERSUND</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21861-2026</t>
        </is>
      </c>
      <c r="B428" t="inlineStr">
        <is>
          <t>avverkningsanmälan</t>
        </is>
      </c>
      <c r="C428" t="inlineStr">
        <is>
          <t>Föryngringsavverkning</t>
        </is>
      </c>
      <c r="D428" s="1" t="n">
        <v>46150</v>
      </c>
      <c r="E428" s="1" t="n">
        <v>46259</v>
      </c>
      <c r="F428" t="inlineStr">
        <is>
          <t>JÄMTLANDS LÄN</t>
        </is>
      </c>
      <c r="G428" t="inlineStr">
        <is>
          <t>ÖSTERSUND</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45004-2022</t>
        </is>
      </c>
      <c r="B429" t="inlineStr">
        <is>
          <t>avverkningsanmälan</t>
        </is>
      </c>
      <c r="C429" t="inlineStr">
        <is>
          <t>Föryngringsavverkning</t>
        </is>
      </c>
      <c r="D429" s="1" t="n">
        <v>44840</v>
      </c>
      <c r="E429" s="1" t="n">
        <v>46259</v>
      </c>
      <c r="F429" t="inlineStr">
        <is>
          <t>JÄMTLANDS LÄN</t>
        </is>
      </c>
      <c r="G429" t="inlineStr">
        <is>
          <t>ÖSTERSUND</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8003-2025</t>
        </is>
      </c>
      <c r="B430" t="inlineStr">
        <is>
          <t>avverkningsanmälan</t>
        </is>
      </c>
      <c r="C430" t="inlineStr">
        <is>
          <t>Föryngringsavverkning</t>
        </is>
      </c>
      <c r="D430" s="1" t="n">
        <v>45707</v>
      </c>
      <c r="E430" s="1" t="n">
        <v>46259</v>
      </c>
      <c r="F430" t="inlineStr">
        <is>
          <t>JÄMTLANDS LÄN</t>
        </is>
      </c>
      <c r="G430" t="inlineStr">
        <is>
          <t>ÖSTERSUND</t>
        </is>
      </c>
      <c r="H430" t="inlineStr">
        <is>
          <t>Övriga Aktiebolag</t>
        </is>
      </c>
      <c r="I430" t="n">
        <v>35.1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21866-2026</t>
        </is>
      </c>
      <c r="B431" t="inlineStr">
        <is>
          <t>avverkningsanmälan</t>
        </is>
      </c>
      <c r="C431" t="inlineStr">
        <is>
          <t>Föryngringsavverkning</t>
        </is>
      </c>
      <c r="D431" s="1" t="n">
        <v>46150</v>
      </c>
      <c r="E431" s="1" t="n">
        <v>46259</v>
      </c>
      <c r="F431" t="inlineStr">
        <is>
          <t>JÄMTLANDS LÄN</t>
        </is>
      </c>
      <c r="G431" t="inlineStr">
        <is>
          <t>ÖSTERSUND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19581-2025</t>
        </is>
      </c>
      <c r="B432" t="inlineStr">
        <is>
          <t>avverkningsanmälan</t>
        </is>
      </c>
      <c r="C432" t="inlineStr">
        <is>
          <t>Föryngringsavverkning</t>
        </is>
      </c>
      <c r="D432" s="1" t="n">
        <v>45770</v>
      </c>
      <c r="E432" s="1" t="n">
        <v>46259</v>
      </c>
      <c r="F432" t="inlineStr">
        <is>
          <t>JÄMTLANDS LÄN</t>
        </is>
      </c>
      <c r="G432" t="inlineStr">
        <is>
          <t>ÖSTERSUND</t>
        </is>
      </c>
      <c r="I432" t="n">
        <v>17.2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22082-2022</t>
        </is>
      </c>
      <c r="B433" t="inlineStr">
        <is>
          <t>avverkningsanmälan</t>
        </is>
      </c>
      <c r="C433" t="inlineStr">
        <is>
          <t>Föryngringsavverkning</t>
        </is>
      </c>
      <c r="D433" s="1" t="n">
        <v>44711</v>
      </c>
      <c r="E433" s="1" t="n">
        <v>46259</v>
      </c>
      <c r="F433" t="inlineStr">
        <is>
          <t>JÄMTLANDS LÄN</t>
        </is>
      </c>
      <c r="G433" t="inlineStr">
        <is>
          <t>ÖSTERSUND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33801-2022</t>
        </is>
      </c>
      <c r="B434" t="inlineStr">
        <is>
          <t>avverkningsanmälan</t>
        </is>
      </c>
      <c r="C434" t="inlineStr">
        <is>
          <t>Föryngringsavverkning</t>
        </is>
      </c>
      <c r="D434" s="1" t="n">
        <v>44790</v>
      </c>
      <c r="E434" s="1" t="n">
        <v>46259</v>
      </c>
      <c r="F434" t="inlineStr">
        <is>
          <t>JÄMTLANDS LÄN</t>
        </is>
      </c>
      <c r="G434" t="inlineStr">
        <is>
          <t>ÖSTERSUND</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5024-2025</t>
        </is>
      </c>
      <c r="B435" t="inlineStr">
        <is>
          <t>avverkningsanmälan</t>
        </is>
      </c>
      <c r="C435" t="inlineStr">
        <is>
          <t>Föryngringsavverkning</t>
        </is>
      </c>
      <c r="D435" s="1" t="n">
        <v>45691</v>
      </c>
      <c r="E435" s="1" t="n">
        <v>46259</v>
      </c>
      <c r="F435" t="inlineStr">
        <is>
          <t>JÄMTLANDS LÄN</t>
        </is>
      </c>
      <c r="G435" t="inlineStr">
        <is>
          <t>ÖSTERSUND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7953-2025</t>
        </is>
      </c>
      <c r="B436" t="inlineStr">
        <is>
          <t>avverkningsanmälan</t>
        </is>
      </c>
      <c r="C436" t="inlineStr">
        <is>
          <t>Föryngringsavverkning</t>
        </is>
      </c>
      <c r="D436" s="1" t="n">
        <v>45707</v>
      </c>
      <c r="E436" s="1" t="n">
        <v>46259</v>
      </c>
      <c r="F436" t="inlineStr">
        <is>
          <t>JÄMTLANDS LÄN</t>
        </is>
      </c>
      <c r="G436" t="inlineStr">
        <is>
          <t>ÖSTERSUND</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22108-2026</t>
        </is>
      </c>
      <c r="B437" t="inlineStr">
        <is>
          <t>avverkningsanmälan</t>
        </is>
      </c>
      <c r="C437" t="inlineStr">
        <is>
          <t>Föryngringsavverkning</t>
        </is>
      </c>
      <c r="D437" s="1" t="n">
        <v>46153</v>
      </c>
      <c r="E437" s="1" t="n">
        <v>46259</v>
      </c>
      <c r="F437" t="inlineStr">
        <is>
          <t>JÄMTLANDS LÄN</t>
        </is>
      </c>
      <c r="G437" t="inlineStr">
        <is>
          <t>ÖSTERSUND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5549-2025</t>
        </is>
      </c>
      <c r="B438" t="inlineStr">
        <is>
          <t>avverkningsanmälan</t>
        </is>
      </c>
      <c r="C438" t="inlineStr">
        <is>
          <t>Föryngringsavverkning</t>
        </is>
      </c>
      <c r="D438" s="1" t="n">
        <v>45693</v>
      </c>
      <c r="E438" s="1" t="n">
        <v>46259</v>
      </c>
      <c r="F438" t="inlineStr">
        <is>
          <t>JÄMTLANDS LÄN</t>
        </is>
      </c>
      <c r="G438" t="inlineStr">
        <is>
          <t>ÖSTERSUND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27689-2024</t>
        </is>
      </c>
      <c r="B439" t="inlineStr">
        <is>
          <t>avverkningsanmälan</t>
        </is>
      </c>
      <c r="C439" t="inlineStr">
        <is>
          <t>Föryngringsavverkning</t>
        </is>
      </c>
      <c r="D439" s="1" t="n">
        <v>45475</v>
      </c>
      <c r="E439" s="1" t="n">
        <v>46259</v>
      </c>
      <c r="F439" t="inlineStr">
        <is>
          <t>JÄMTLANDS LÄN</t>
        </is>
      </c>
      <c r="G439" t="inlineStr">
        <is>
          <t>ÖSTERSUND</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22385-2026</t>
        </is>
      </c>
      <c r="B440" t="inlineStr">
        <is>
          <t>avverkningsanmälan</t>
        </is>
      </c>
      <c r="C440" t="inlineStr">
        <is>
          <t>Föryngringsavverkning</t>
        </is>
      </c>
      <c r="D440" s="1" t="n">
        <v>46154</v>
      </c>
      <c r="E440" s="1" t="n">
        <v>46259</v>
      </c>
      <c r="F440" t="inlineStr">
        <is>
          <t>JÄMTLANDS LÄN</t>
        </is>
      </c>
      <c r="G440" t="inlineStr">
        <is>
          <t>ÖSTERSUND</t>
        </is>
      </c>
      <c r="H440" t="inlineStr">
        <is>
          <t>SCA</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4966-2025</t>
        </is>
      </c>
      <c r="B441" t="inlineStr">
        <is>
          <t>avverkningsanmälan</t>
        </is>
      </c>
      <c r="C441" t="inlineStr">
        <is>
          <t>Föryngringsavverkning</t>
        </is>
      </c>
      <c r="D441" s="1" t="n">
        <v>45690</v>
      </c>
      <c r="E441" s="1" t="n">
        <v>46259</v>
      </c>
      <c r="F441" t="inlineStr">
        <is>
          <t>JÄMTLANDS LÄN</t>
        </is>
      </c>
      <c r="G441" t="inlineStr">
        <is>
          <t>ÖSTERSUND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6877-2024</t>
        </is>
      </c>
      <c r="B442" t="inlineStr">
        <is>
          <t>avverkningsanmälan</t>
        </is>
      </c>
      <c r="C442" t="inlineStr">
        <is>
          <t>Avverkning för annat ändamål</t>
        </is>
      </c>
      <c r="D442" s="1" t="n">
        <v>45342</v>
      </c>
      <c r="E442" s="1" t="n">
        <v>46259</v>
      </c>
      <c r="F442" t="inlineStr">
        <is>
          <t>JÄMTLANDS LÄN</t>
        </is>
      </c>
      <c r="G442" t="inlineStr">
        <is>
          <t>ÖSTERSUND</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22677-2026</t>
        </is>
      </c>
      <c r="B443" t="inlineStr">
        <is>
          <t>avverkningsanmälan</t>
        </is>
      </c>
      <c r="C443" t="inlineStr">
        <is>
          <t>Föryngringsavverkning</t>
        </is>
      </c>
      <c r="D443" s="1" t="n">
        <v>46156</v>
      </c>
      <c r="E443" s="1" t="n">
        <v>46259</v>
      </c>
      <c r="F443" t="inlineStr">
        <is>
          <t>JÄMTLANDS LÄN</t>
        </is>
      </c>
      <c r="G443" t="inlineStr">
        <is>
          <t>ÖSTERSUND</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4136-2023</t>
        </is>
      </c>
      <c r="B444" t="inlineStr">
        <is>
          <t>avverkningsanmälan</t>
        </is>
      </c>
      <c r="C444" t="inlineStr">
        <is>
          <t>Föryngringsavverkning</t>
        </is>
      </c>
      <c r="D444" s="1" t="n">
        <v>44952</v>
      </c>
      <c r="E444" s="1" t="n">
        <v>46259</v>
      </c>
      <c r="F444" t="inlineStr">
        <is>
          <t>JÄMTLANDS LÄN</t>
        </is>
      </c>
      <c r="G444" t="inlineStr">
        <is>
          <t>ÖSTERSUND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13921-2023</t>
        </is>
      </c>
      <c r="B445" t="inlineStr">
        <is>
          <t>avverkningsanmälan</t>
        </is>
      </c>
      <c r="C445" t="inlineStr">
        <is>
          <t>Avverkning för annat ändamål</t>
        </is>
      </c>
      <c r="D445" s="1" t="n">
        <v>45008</v>
      </c>
      <c r="E445" s="1" t="n">
        <v>46259</v>
      </c>
      <c r="F445" t="inlineStr">
        <is>
          <t>JÄMTLANDS LÄN</t>
        </is>
      </c>
      <c r="G445" t="inlineStr">
        <is>
          <t>ÖSTERSUND</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11877-2024</t>
        </is>
      </c>
      <c r="B446" t="inlineStr">
        <is>
          <t>avverkningsanmälan</t>
        </is>
      </c>
      <c r="C446" t="inlineStr">
        <is>
          <t>Föryngringsavverkning</t>
        </is>
      </c>
      <c r="D446" s="1" t="n">
        <v>45376</v>
      </c>
      <c r="E446" s="1" t="n">
        <v>46259</v>
      </c>
      <c r="F446" t="inlineStr">
        <is>
          <t>JÄMTLANDS LÄN</t>
        </is>
      </c>
      <c r="G446" t="inlineStr">
        <is>
          <t>ÖSTERSUND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7941-2025</t>
        </is>
      </c>
      <c r="B447" t="inlineStr">
        <is>
          <t>avverkningsanmälan</t>
        </is>
      </c>
      <c r="C447" t="inlineStr">
        <is>
          <t>Föryngringsavverkning</t>
        </is>
      </c>
      <c r="D447" s="1" t="n">
        <v>45707</v>
      </c>
      <c r="E447" s="1" t="n">
        <v>46259</v>
      </c>
      <c r="F447" t="inlineStr">
        <is>
          <t>JÄMTLANDS LÄN</t>
        </is>
      </c>
      <c r="G447" t="inlineStr">
        <is>
          <t>ÖSTERSUND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4500-2025</t>
        </is>
      </c>
      <c r="B448" t="inlineStr">
        <is>
          <t>avverkningsanmälan</t>
        </is>
      </c>
      <c r="C448" t="inlineStr">
        <is>
          <t>Föryngringsavverkning</t>
        </is>
      </c>
      <c r="D448" s="1" t="n">
        <v>45686</v>
      </c>
      <c r="E448" s="1" t="n">
        <v>46259</v>
      </c>
      <c r="F448" t="inlineStr">
        <is>
          <t>JÄMTLANDS LÄN</t>
        </is>
      </c>
      <c r="G448" t="inlineStr">
        <is>
          <t>ÖSTERSUND</t>
        </is>
      </c>
      <c r="I448" t="n">
        <v>28.4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38871-2025</t>
        </is>
      </c>
      <c r="B449" t="inlineStr">
        <is>
          <t>avverkningsanmälan</t>
        </is>
      </c>
      <c r="C449" t="inlineStr">
        <is>
          <t>Föryngringsavverkning</t>
        </is>
      </c>
      <c r="D449" s="1" t="n">
        <v>45887</v>
      </c>
      <c r="E449" s="1" t="n">
        <v>46259</v>
      </c>
      <c r="F449" t="inlineStr">
        <is>
          <t>JÄMTLANDS LÄN</t>
        </is>
      </c>
      <c r="G449" t="inlineStr">
        <is>
          <t>ÖSTERSUND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17560-2026</t>
        </is>
      </c>
      <c r="B450" t="inlineStr">
        <is>
          <t>avverkningsanmälan</t>
        </is>
      </c>
      <c r="C450" t="inlineStr">
        <is>
          <t>Föryngringsavverkning</t>
        </is>
      </c>
      <c r="D450" s="1" t="n">
        <v>46120</v>
      </c>
      <c r="E450" s="1" t="n">
        <v>46259</v>
      </c>
      <c r="F450" t="inlineStr">
        <is>
          <t>JÄMTLANDS LÄN</t>
        </is>
      </c>
      <c r="G450" t="inlineStr">
        <is>
          <t>ÖSTERSUND</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56067-2022</t>
        </is>
      </c>
      <c r="B451" t="inlineStr">
        <is>
          <t>avverkningsanmälan</t>
        </is>
      </c>
      <c r="C451" t="inlineStr">
        <is>
          <t>Föryngringsavverkning</t>
        </is>
      </c>
      <c r="D451" s="1" t="n">
        <v>44889</v>
      </c>
      <c r="E451" s="1" t="n">
        <v>46259</v>
      </c>
      <c r="F451" t="inlineStr">
        <is>
          <t>JÄMTLANDS LÄN</t>
        </is>
      </c>
      <c r="G451" t="inlineStr">
        <is>
          <t>ÖSTERSUND</t>
        </is>
      </c>
      <c r="H451" t="inlineStr">
        <is>
          <t>Övriga Aktiebolag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23772-2026</t>
        </is>
      </c>
      <c r="B452" t="inlineStr">
        <is>
          <t>avverkningsanmälan</t>
        </is>
      </c>
      <c r="C452" t="inlineStr">
        <is>
          <t>Föryngringsavverkning</t>
        </is>
      </c>
      <c r="D452" s="1" t="n">
        <v>46164</v>
      </c>
      <c r="E452" s="1" t="n">
        <v>46259</v>
      </c>
      <c r="F452" t="inlineStr">
        <is>
          <t>JÄMTLANDS LÄN</t>
        </is>
      </c>
      <c r="G452" t="inlineStr">
        <is>
          <t>ÖSTERSUND</t>
        </is>
      </c>
      <c r="H452" t="inlineStr">
        <is>
          <t>SCA</t>
        </is>
      </c>
      <c r="I452" t="n">
        <v>24.4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8733-2026</t>
        </is>
      </c>
      <c r="B453" t="inlineStr">
        <is>
          <t>avverkningsanmälan</t>
        </is>
      </c>
      <c r="C453" t="inlineStr">
        <is>
          <t>Föryngringsavverkning</t>
        </is>
      </c>
      <c r="D453" s="1" t="n">
        <v>46066</v>
      </c>
      <c r="E453" s="1" t="n">
        <v>46259</v>
      </c>
      <c r="F453" t="inlineStr">
        <is>
          <t>JÄMTLANDS LÄN</t>
        </is>
      </c>
      <c r="G453" t="inlineStr">
        <is>
          <t>ÖSTERSUND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23484-2026</t>
        </is>
      </c>
      <c r="B454" t="inlineStr">
        <is>
          <t>avverkningsanmälan</t>
        </is>
      </c>
      <c r="C454" t="inlineStr">
        <is>
          <t>Föryngringsavverkning</t>
        </is>
      </c>
      <c r="D454" s="1" t="n">
        <v>46163</v>
      </c>
      <c r="E454" s="1" t="n">
        <v>46259</v>
      </c>
      <c r="F454" t="inlineStr">
        <is>
          <t>JÄMTLANDS LÄN</t>
        </is>
      </c>
      <c r="G454" t="inlineStr">
        <is>
          <t>ÖSTERSUND</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53802-2022</t>
        </is>
      </c>
      <c r="B455" t="inlineStr">
        <is>
          <t>avverkningsanmälan</t>
        </is>
      </c>
      <c r="C455" t="inlineStr">
        <is>
          <t>Avverkning för annat ändamål</t>
        </is>
      </c>
      <c r="D455" s="1" t="n">
        <v>44875</v>
      </c>
      <c r="E455" s="1" t="n">
        <v>46259</v>
      </c>
      <c r="F455" t="inlineStr">
        <is>
          <t>JÄMTLANDS LÄN</t>
        </is>
      </c>
      <c r="G455" t="inlineStr">
        <is>
          <t>ÖSTERSUND</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23610-2026</t>
        </is>
      </c>
      <c r="B456" t="inlineStr">
        <is>
          <t>avverkningsanmälan</t>
        </is>
      </c>
      <c r="C456" t="inlineStr">
        <is>
          <t>Föryngringsavverkning</t>
        </is>
      </c>
      <c r="D456" s="1" t="n">
        <v>46163</v>
      </c>
      <c r="E456" s="1" t="n">
        <v>46259</v>
      </c>
      <c r="F456" t="inlineStr">
        <is>
          <t>JÄMTLANDS LÄN</t>
        </is>
      </c>
      <c r="G456" t="inlineStr">
        <is>
          <t>ÖSTERSUND</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23758-2026</t>
        </is>
      </c>
      <c r="B457" t="inlineStr">
        <is>
          <t>avverkningsanmälan</t>
        </is>
      </c>
      <c r="C457" t="inlineStr">
        <is>
          <t>Föryngringsavverkning</t>
        </is>
      </c>
      <c r="D457" s="1" t="n">
        <v>46164</v>
      </c>
      <c r="E457" s="1" t="n">
        <v>46259</v>
      </c>
      <c r="F457" t="inlineStr">
        <is>
          <t>JÄMTLANDS LÄN</t>
        </is>
      </c>
      <c r="G457" t="inlineStr">
        <is>
          <t>ÖSTERSUND</t>
        </is>
      </c>
      <c r="H457" t="inlineStr">
        <is>
          <t>SCA</t>
        </is>
      </c>
      <c r="I457" t="n">
        <v>10.8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23638-2026</t>
        </is>
      </c>
      <c r="B458" t="inlineStr">
        <is>
          <t>avverkningsanmälan</t>
        </is>
      </c>
      <c r="C458" t="inlineStr">
        <is>
          <t>Föryngringsavverkning</t>
        </is>
      </c>
      <c r="D458" s="1" t="n">
        <v>46164</v>
      </c>
      <c r="E458" s="1" t="n">
        <v>46259</v>
      </c>
      <c r="F458" t="inlineStr">
        <is>
          <t>JÄMTLANDS LÄN</t>
        </is>
      </c>
      <c r="G458" t="inlineStr">
        <is>
          <t>ÖSTERSUND</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23760-2026</t>
        </is>
      </c>
      <c r="B459" t="inlineStr">
        <is>
          <t>avverkningsanmälan</t>
        </is>
      </c>
      <c r="C459" t="inlineStr">
        <is>
          <t>Föryngringsavverkning</t>
        </is>
      </c>
      <c r="D459" s="1" t="n">
        <v>46164</v>
      </c>
      <c r="E459" s="1" t="n">
        <v>46259</v>
      </c>
      <c r="F459" t="inlineStr">
        <is>
          <t>JÄMTLANDS LÄN</t>
        </is>
      </c>
      <c r="G459" t="inlineStr">
        <is>
          <t>ÖSTERSUND</t>
        </is>
      </c>
      <c r="H459" t="inlineStr">
        <is>
          <t>SCA</t>
        </is>
      </c>
      <c r="I459" t="n">
        <v>14.2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23762-2026</t>
        </is>
      </c>
      <c r="B460" t="inlineStr">
        <is>
          <t>avverkningsanmälan</t>
        </is>
      </c>
      <c r="C460" t="inlineStr">
        <is>
          <t>Föryngringsavverkning</t>
        </is>
      </c>
      <c r="D460" s="1" t="n">
        <v>46164</v>
      </c>
      <c r="E460" s="1" t="n">
        <v>46259</v>
      </c>
      <c r="F460" t="inlineStr">
        <is>
          <t>JÄMTLANDS LÄN</t>
        </is>
      </c>
      <c r="G460" t="inlineStr">
        <is>
          <t>ÖSTERSUND</t>
        </is>
      </c>
      <c r="H460" t="inlineStr">
        <is>
          <t>SCA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3749-2023</t>
        </is>
      </c>
      <c r="B461" t="inlineStr">
        <is>
          <t>avverkningsanmälan</t>
        </is>
      </c>
      <c r="C461" t="inlineStr">
        <is>
          <t>Föryngringsavverkning</t>
        </is>
      </c>
      <c r="D461" s="1" t="n">
        <v>44949</v>
      </c>
      <c r="E461" s="1" t="n">
        <v>46259</v>
      </c>
      <c r="F461" t="inlineStr">
        <is>
          <t>JÄMTLANDS LÄN</t>
        </is>
      </c>
      <c r="G461" t="inlineStr">
        <is>
          <t>ÖSTERSUND</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23798-2026</t>
        </is>
      </c>
      <c r="B462" t="inlineStr">
        <is>
          <t>avverkningsanmälan</t>
        </is>
      </c>
      <c r="C462" t="inlineStr">
        <is>
          <t>Föryngringsavverkning</t>
        </is>
      </c>
      <c r="D462" s="1" t="n">
        <v>46164</v>
      </c>
      <c r="E462" s="1" t="n">
        <v>46259</v>
      </c>
      <c r="F462" t="inlineStr">
        <is>
          <t>JÄMTLANDS LÄN</t>
        </is>
      </c>
      <c r="G462" t="inlineStr">
        <is>
          <t>ÖSTERSUND</t>
        </is>
      </c>
      <c r="H462" t="inlineStr">
        <is>
          <t>SCA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23761-2026</t>
        </is>
      </c>
      <c r="B463" t="inlineStr">
        <is>
          <t>avverkningsanmälan</t>
        </is>
      </c>
      <c r="C463" t="inlineStr">
        <is>
          <t>Föryngringsavverkning</t>
        </is>
      </c>
      <c r="D463" s="1" t="n">
        <v>46164</v>
      </c>
      <c r="E463" s="1" t="n">
        <v>46259</v>
      </c>
      <c r="F463" t="inlineStr">
        <is>
          <t>JÄMTLANDS LÄN</t>
        </is>
      </c>
      <c r="G463" t="inlineStr">
        <is>
          <t>ÖSTERSUND</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23759-2026</t>
        </is>
      </c>
      <c r="B464" t="inlineStr">
        <is>
          <t>avverkningsanmälan</t>
        </is>
      </c>
      <c r="C464" t="inlineStr">
        <is>
          <t>Föryngringsavverkning</t>
        </is>
      </c>
      <c r="D464" s="1" t="n">
        <v>46164</v>
      </c>
      <c r="E464" s="1" t="n">
        <v>46259</v>
      </c>
      <c r="F464" t="inlineStr">
        <is>
          <t>JÄMTLANDS LÄN</t>
        </is>
      </c>
      <c r="G464" t="inlineStr">
        <is>
          <t>ÖSTERSUND</t>
        </is>
      </c>
      <c r="H464" t="inlineStr">
        <is>
          <t>SCA</t>
        </is>
      </c>
      <c r="I464" t="n">
        <v>19.1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23750-2026</t>
        </is>
      </c>
      <c r="B465" t="inlineStr">
        <is>
          <t>avverkningsanmälan</t>
        </is>
      </c>
      <c r="C465" t="inlineStr">
        <is>
          <t>Föryngringsavverkning</t>
        </is>
      </c>
      <c r="D465" s="1" t="n">
        <v>46164</v>
      </c>
      <c r="E465" s="1" t="n">
        <v>46259</v>
      </c>
      <c r="F465" t="inlineStr">
        <is>
          <t>JÄMTLANDS LÄN</t>
        </is>
      </c>
      <c r="G465" t="inlineStr">
        <is>
          <t>ÖSTERSUND</t>
        </is>
      </c>
      <c r="H465" t="inlineStr">
        <is>
          <t>SCA</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23685-2026</t>
        </is>
      </c>
      <c r="B466" t="inlineStr">
        <is>
          <t>avverkningsanmälan</t>
        </is>
      </c>
      <c r="C466" t="inlineStr">
        <is>
          <t>Föryngringsavverkning</t>
        </is>
      </c>
      <c r="D466" s="1" t="n">
        <v>46164</v>
      </c>
      <c r="E466" s="1" t="n">
        <v>46259</v>
      </c>
      <c r="F466" t="inlineStr">
        <is>
          <t>JÄMTLANDS LÄN</t>
        </is>
      </c>
      <c r="G466" t="inlineStr">
        <is>
          <t>ÖSTERSUND</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23460-2026</t>
        </is>
      </c>
      <c r="B467" t="inlineStr">
        <is>
          <t>avverkningsanmälan</t>
        </is>
      </c>
      <c r="C467" t="inlineStr">
        <is>
          <t>Föryngringsavverkning</t>
        </is>
      </c>
      <c r="D467" s="1" t="n">
        <v>46163</v>
      </c>
      <c r="E467" s="1" t="n">
        <v>46259</v>
      </c>
      <c r="F467" t="inlineStr">
        <is>
          <t>JÄMTLANDS LÄN</t>
        </is>
      </c>
      <c r="G467" t="inlineStr">
        <is>
          <t>ÖSTERSUND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52620-2025</t>
        </is>
      </c>
      <c r="B468" t="inlineStr">
        <is>
          <t>avverkningsanmälan</t>
        </is>
      </c>
      <c r="C468" t="inlineStr">
        <is>
          <t>Föryngringsavverkning</t>
        </is>
      </c>
      <c r="D468" s="1" t="n">
        <v>45954</v>
      </c>
      <c r="E468" s="1" t="n">
        <v>46259</v>
      </c>
      <c r="F468" t="inlineStr">
        <is>
          <t>JÄMTLANDS LÄN</t>
        </is>
      </c>
      <c r="G468" t="inlineStr">
        <is>
          <t>ÖSTERSUND</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52975-2025</t>
        </is>
      </c>
      <c r="B469" t="inlineStr">
        <is>
          <t>avverkningsanmälan</t>
        </is>
      </c>
      <c r="C469" t="inlineStr">
        <is>
          <t>Föryngringsavverkning</t>
        </is>
      </c>
      <c r="D469" s="1" t="n">
        <v>45957</v>
      </c>
      <c r="E469" s="1" t="n">
        <v>46259</v>
      </c>
      <c r="F469" t="inlineStr">
        <is>
          <t>JÄMTLANDS LÄN</t>
        </is>
      </c>
      <c r="G469" t="inlineStr">
        <is>
          <t>ÖSTERSUND</t>
        </is>
      </c>
      <c r="H469" t="inlineStr">
        <is>
          <t>SCA</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31021-2026</t>
        </is>
      </c>
      <c r="B470" t="inlineStr">
        <is>
          <t>avverkningsanmälan</t>
        </is>
      </c>
      <c r="C470" t="inlineStr">
        <is>
          <t>Avverkning för annat ändamål</t>
        </is>
      </c>
      <c r="D470" s="1" t="n">
        <v>46206</v>
      </c>
      <c r="E470" s="1" t="n">
        <v>46259</v>
      </c>
      <c r="F470" t="inlineStr">
        <is>
          <t>JÄMTLANDS LÄN</t>
        </is>
      </c>
      <c r="G470" t="inlineStr">
        <is>
          <t>ÖSTERSUND</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53054-2025</t>
        </is>
      </c>
      <c r="B471" t="inlineStr">
        <is>
          <t>avverkningsanmälan</t>
        </is>
      </c>
      <c r="C471" t="inlineStr">
        <is>
          <t>Föryngringsavverkning</t>
        </is>
      </c>
      <c r="D471" s="1" t="n">
        <v>45958</v>
      </c>
      <c r="E471" s="1" t="n">
        <v>46259</v>
      </c>
      <c r="F471" t="inlineStr">
        <is>
          <t>JÄMTLANDS LÄN</t>
        </is>
      </c>
      <c r="G471" t="inlineStr">
        <is>
          <t>ÖSTERSUND</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55678-2023</t>
        </is>
      </c>
      <c r="B472" t="inlineStr">
        <is>
          <t>avverkningsanmälan</t>
        </is>
      </c>
      <c r="C472" t="inlineStr">
        <is>
          <t>Föryngringsavverkning</t>
        </is>
      </c>
      <c r="D472" s="1" t="n">
        <v>45239</v>
      </c>
      <c r="E472" s="1" t="n">
        <v>46259</v>
      </c>
      <c r="F472" t="inlineStr">
        <is>
          <t>JÄMTLANDS LÄN</t>
        </is>
      </c>
      <c r="G472" t="inlineStr">
        <is>
          <t>ÖSTERSUND</t>
        </is>
      </c>
      <c r="H472" t="inlineStr">
        <is>
          <t>Övriga Aktiebolag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23563-2022</t>
        </is>
      </c>
      <c r="B473" t="inlineStr">
        <is>
          <t>avverkningsanmälan</t>
        </is>
      </c>
      <c r="C473" t="inlineStr">
        <is>
          <t>Föryngringsavverkning</t>
        </is>
      </c>
      <c r="D473" s="1" t="n">
        <v>44721</v>
      </c>
      <c r="E473" s="1" t="n">
        <v>46259</v>
      </c>
      <c r="F473" t="inlineStr">
        <is>
          <t>JÄMTLANDS LÄN</t>
        </is>
      </c>
      <c r="G473" t="inlineStr">
        <is>
          <t>ÖSTERSUND</t>
        </is>
      </c>
      <c r="H473" t="inlineStr">
        <is>
          <t>Övriga Aktiebolag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25242-2026</t>
        </is>
      </c>
      <c r="B474" t="inlineStr">
        <is>
          <t>avverkningsanmälan</t>
        </is>
      </c>
      <c r="C474" t="inlineStr">
        <is>
          <t>Föryngringsavverkning</t>
        </is>
      </c>
      <c r="D474" s="1" t="n">
        <v>46175</v>
      </c>
      <c r="E474" s="1" t="n">
        <v>46259</v>
      </c>
      <c r="F474" t="inlineStr">
        <is>
          <t>JÄMTLANDS LÄN</t>
        </is>
      </c>
      <c r="G474" t="inlineStr">
        <is>
          <t>ÖSTERSUND</t>
        </is>
      </c>
      <c r="H474" t="inlineStr">
        <is>
          <t>SCA</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64645-2021</t>
        </is>
      </c>
      <c r="B475" t="inlineStr">
        <is>
          <t>avverkningsanmälan</t>
        </is>
      </c>
      <c r="C475" t="inlineStr">
        <is>
          <t>Föryngringsavverkning</t>
        </is>
      </c>
      <c r="D475" s="1" t="n">
        <v>44511</v>
      </c>
      <c r="E475" s="1" t="n">
        <v>46259</v>
      </c>
      <c r="F475" t="inlineStr">
        <is>
          <t>JÄMTLANDS LÄN</t>
        </is>
      </c>
      <c r="G475" t="inlineStr">
        <is>
          <t>ÖSTERSUND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50218-2024</t>
        </is>
      </c>
      <c r="B476" t="inlineStr">
        <is>
          <t>avverkningsanmälan</t>
        </is>
      </c>
      <c r="C476" t="inlineStr">
        <is>
          <t>Föryngringsavverkning</t>
        </is>
      </c>
      <c r="D476" s="1" t="n">
        <v>45600</v>
      </c>
      <c r="E476" s="1" t="n">
        <v>46259</v>
      </c>
      <c r="F476" t="inlineStr">
        <is>
          <t>JÄMTLANDS LÄN</t>
        </is>
      </c>
      <c r="G476" t="inlineStr">
        <is>
          <t>ÖSTERSUND</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54133-2025</t>
        </is>
      </c>
      <c r="B477" t="inlineStr">
        <is>
          <t>avverkningsanmälan</t>
        </is>
      </c>
      <c r="C477" t="inlineStr">
        <is>
          <t>Föryngringsavverkning</t>
        </is>
      </c>
      <c r="D477" s="1" t="n">
        <v>45964</v>
      </c>
      <c r="E477" s="1" t="n">
        <v>46259</v>
      </c>
      <c r="F477" t="inlineStr">
        <is>
          <t>JÄMTLANDS LÄN</t>
        </is>
      </c>
      <c r="G477" t="inlineStr">
        <is>
          <t>ÖSTERSUND</t>
        </is>
      </c>
      <c r="H477" t="inlineStr">
        <is>
          <t>SCA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30602-2023</t>
        </is>
      </c>
      <c r="B478" t="inlineStr">
        <is>
          <t>avverkningsanmälan</t>
        </is>
      </c>
      <c r="C478" t="inlineStr">
        <is>
          <t>Föryngringsavverkning</t>
        </is>
      </c>
      <c r="D478" s="1" t="n">
        <v>45112</v>
      </c>
      <c r="E478" s="1" t="n">
        <v>46259</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1893-2023</t>
        </is>
      </c>
      <c r="B479" t="inlineStr">
        <is>
          <t>avverkningsanmälan</t>
        </is>
      </c>
      <c r="C479" t="inlineStr">
        <is>
          <t>Föryngringsavverkning</t>
        </is>
      </c>
      <c r="D479" s="1" t="n">
        <v>44937</v>
      </c>
      <c r="E479" s="1" t="n">
        <v>46259</v>
      </c>
      <c r="F479" t="inlineStr">
        <is>
          <t>JÄMTLANDS LÄN</t>
        </is>
      </c>
      <c r="G479" t="inlineStr">
        <is>
          <t>ÖSTERSUND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17574-2022</t>
        </is>
      </c>
      <c r="B480" t="inlineStr">
        <is>
          <t>avverkningsanmälan</t>
        </is>
      </c>
      <c r="C480" t="inlineStr">
        <is>
          <t>Föryngringsavverkning</t>
        </is>
      </c>
      <c r="D480" s="1" t="n">
        <v>44679</v>
      </c>
      <c r="E480" s="1" t="n">
        <v>46259</v>
      </c>
      <c r="F480" t="inlineStr">
        <is>
          <t>JÄMTLANDS LÄN</t>
        </is>
      </c>
      <c r="G480" t="inlineStr">
        <is>
          <t>ÖSTERSUND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31434-2026</t>
        </is>
      </c>
      <c r="B481" t="inlineStr">
        <is>
          <t>avverkningsanmälan</t>
        </is>
      </c>
      <c r="C481" t="inlineStr">
        <is>
          <t>Föryngringsavverkning</t>
        </is>
      </c>
      <c r="D481" s="1" t="n">
        <v>46220</v>
      </c>
      <c r="E481" s="1" t="n">
        <v>46259</v>
      </c>
      <c r="F481" t="inlineStr">
        <is>
          <t>JÄMTLANDS LÄN</t>
        </is>
      </c>
      <c r="G481" t="inlineStr">
        <is>
          <t>ÖSTERSUND</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10305-2023</t>
        </is>
      </c>
      <c r="B482" t="inlineStr">
        <is>
          <t>avverkningsanmälan</t>
        </is>
      </c>
      <c r="C482" t="inlineStr">
        <is>
          <t>Föryngringsavverkning</t>
        </is>
      </c>
      <c r="D482" s="1" t="n">
        <v>44986</v>
      </c>
      <c r="E482" s="1" t="n">
        <v>46259</v>
      </c>
      <c r="F482" t="inlineStr">
        <is>
          <t>JÄMTLANDS LÄN</t>
        </is>
      </c>
      <c r="G482" t="inlineStr">
        <is>
          <t>ÖSTERSUND</t>
        </is>
      </c>
      <c r="H482" t="inlineStr">
        <is>
          <t>SCA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7573-2022</t>
        </is>
      </c>
      <c r="B483" t="inlineStr">
        <is>
          <t>avverkningsanmälan</t>
        </is>
      </c>
      <c r="C483" t="inlineStr">
        <is>
          <t>Avverkning för annat ändamål</t>
        </is>
      </c>
      <c r="D483" s="1" t="n">
        <v>44607</v>
      </c>
      <c r="E483" s="1" t="n">
        <v>46259</v>
      </c>
      <c r="F483" t="inlineStr">
        <is>
          <t>JÄMTLANDS LÄN</t>
        </is>
      </c>
      <c r="G483" t="inlineStr">
        <is>
          <t>ÖSTERSUND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27343-2022</t>
        </is>
      </c>
      <c r="B484" t="inlineStr">
        <is>
          <t>avverkningsanmälan</t>
        </is>
      </c>
      <c r="C484" t="inlineStr">
        <is>
          <t>Föryngringsavverkning</t>
        </is>
      </c>
      <c r="D484" s="1" t="n">
        <v>44742</v>
      </c>
      <c r="E484" s="1" t="n">
        <v>46259</v>
      </c>
      <c r="F484" t="inlineStr">
        <is>
          <t>JÄMTLANDS LÄN</t>
        </is>
      </c>
      <c r="G484" t="inlineStr">
        <is>
          <t>ÖSTERSUND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43557-2024</t>
        </is>
      </c>
      <c r="B485" t="inlineStr">
        <is>
          <t>avverkningsanmälan</t>
        </is>
      </c>
      <c r="C485" t="inlineStr">
        <is>
          <t>Föryngringsavverkning</t>
        </is>
      </c>
      <c r="D485" s="1" t="n">
        <v>45569</v>
      </c>
      <c r="E485" s="1" t="n">
        <v>46259</v>
      </c>
      <c r="F485" t="inlineStr">
        <is>
          <t>JÄMTLANDS LÄN</t>
        </is>
      </c>
      <c r="G485" t="inlineStr">
        <is>
          <t>ÖSTERSUND</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36406-2023</t>
        </is>
      </c>
      <c r="B486" t="inlineStr">
        <is>
          <t>avverkningsanmälan</t>
        </is>
      </c>
      <c r="C486" t="inlineStr">
        <is>
          <t>Föryngringsavverkning</t>
        </is>
      </c>
      <c r="D486" s="1" t="n">
        <v>45149</v>
      </c>
      <c r="E486" s="1" t="n">
        <v>46259</v>
      </c>
      <c r="F486" t="inlineStr">
        <is>
          <t>JÄMTLANDS LÄN</t>
        </is>
      </c>
      <c r="G486" t="inlineStr">
        <is>
          <t>ÖSTERSUND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59691-2024</t>
        </is>
      </c>
      <c r="B487" t="inlineStr">
        <is>
          <t>avverkningsanmälan</t>
        </is>
      </c>
      <c r="C487" t="inlineStr">
        <is>
          <t>Föryngringsavverkning</t>
        </is>
      </c>
      <c r="D487" s="1" t="n">
        <v>45639</v>
      </c>
      <c r="E487" s="1" t="n">
        <v>46259</v>
      </c>
      <c r="F487" t="inlineStr">
        <is>
          <t>JÄMTLANDS LÄN</t>
        </is>
      </c>
      <c r="G487" t="inlineStr">
        <is>
          <t>ÖSTERSUND</t>
        </is>
      </c>
      <c r="H487" t="inlineStr">
        <is>
          <t>SCA</t>
        </is>
      </c>
      <c r="I487" t="n">
        <v>15.9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26568-2026</t>
        </is>
      </c>
      <c r="B488" t="inlineStr">
        <is>
          <t>avverkningsanmälan</t>
        </is>
      </c>
      <c r="C488" t="inlineStr">
        <is>
          <t>Föryngringsavverkning</t>
        </is>
      </c>
      <c r="D488" s="1" t="n">
        <v>46183</v>
      </c>
      <c r="E488" s="1" t="n">
        <v>46259</v>
      </c>
      <c r="F488" t="inlineStr">
        <is>
          <t>JÄMTLANDS LÄN</t>
        </is>
      </c>
      <c r="G488" t="inlineStr">
        <is>
          <t>ÖSTERSUND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26570-2026</t>
        </is>
      </c>
      <c r="B489" t="inlineStr">
        <is>
          <t>avverkningsanmälan</t>
        </is>
      </c>
      <c r="C489" t="inlineStr">
        <is>
          <t>Föryngringsavverkning</t>
        </is>
      </c>
      <c r="D489" s="1" t="n">
        <v>46183</v>
      </c>
      <c r="E489" s="1" t="n">
        <v>46259</v>
      </c>
      <c r="F489" t="inlineStr">
        <is>
          <t>JÄMTLANDS LÄN</t>
        </is>
      </c>
      <c r="G489" t="inlineStr">
        <is>
          <t>ÖSTERSUND</t>
        </is>
      </c>
      <c r="I489" t="n">
        <v>23.7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27269-2026</t>
        </is>
      </c>
      <c r="B490" t="inlineStr">
        <is>
          <t>avverkningsanmälan</t>
        </is>
      </c>
      <c r="C490" t="inlineStr">
        <is>
          <t>Föryngringsavverkning</t>
        </is>
      </c>
      <c r="D490" s="1" t="n">
        <v>46184</v>
      </c>
      <c r="E490" s="1" t="n">
        <v>46259</v>
      </c>
      <c r="F490" t="inlineStr">
        <is>
          <t>JÄMTLANDS LÄN</t>
        </is>
      </c>
      <c r="G490" t="inlineStr">
        <is>
          <t>ÖSTERSUND</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43252-2023</t>
        </is>
      </c>
      <c r="B491" t="inlineStr">
        <is>
          <t>avverkningsanmälan</t>
        </is>
      </c>
      <c r="C491" t="inlineStr">
        <is>
          <t>Avverkning för annat ändamål</t>
        </is>
      </c>
      <c r="D491" s="1" t="n">
        <v>45183</v>
      </c>
      <c r="E491" s="1" t="n">
        <v>46259</v>
      </c>
      <c r="F491" t="inlineStr">
        <is>
          <t>JÄMTLANDS LÄN</t>
        </is>
      </c>
      <c r="G491" t="inlineStr">
        <is>
          <t>ÖSTERSUND</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27261-2026</t>
        </is>
      </c>
      <c r="B492" t="inlineStr">
        <is>
          <t>avverkningsanmälan</t>
        </is>
      </c>
      <c r="C492" t="inlineStr">
        <is>
          <t>Föryngringsavverkning</t>
        </is>
      </c>
      <c r="D492" s="1" t="n">
        <v>46188</v>
      </c>
      <c r="E492" s="1" t="n">
        <v>46259</v>
      </c>
      <c r="F492" t="inlineStr">
        <is>
          <t>JÄMTLANDS LÄN</t>
        </is>
      </c>
      <c r="G492" t="inlineStr">
        <is>
          <t>ÖSTERSUND</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31887-2026</t>
        </is>
      </c>
      <c r="B493" t="inlineStr">
        <is>
          <t>avverkningsanmälan</t>
        </is>
      </c>
      <c r="C493" t="inlineStr">
        <is>
          <t>Föryngringsavverkning</t>
        </is>
      </c>
      <c r="D493" s="1" t="n">
        <v>46231</v>
      </c>
      <c r="E493" s="1" t="n">
        <v>46259</v>
      </c>
      <c r="F493" t="inlineStr">
        <is>
          <t>JÄMTLANDS LÄN</t>
        </is>
      </c>
      <c r="G493" t="inlineStr">
        <is>
          <t>ÖSTERSUND</t>
        </is>
      </c>
      <c r="H493" t="inlineStr">
        <is>
          <t>Övriga Aktiebolag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31884-2026</t>
        </is>
      </c>
      <c r="B494" t="inlineStr">
        <is>
          <t>avverkningsanmälan</t>
        </is>
      </c>
      <c r="C494" t="inlineStr">
        <is>
          <t>Föryngringsavverkning</t>
        </is>
      </c>
      <c r="D494" s="1" t="n">
        <v>46231</v>
      </c>
      <c r="E494" s="1" t="n">
        <v>46259</v>
      </c>
      <c r="F494" t="inlineStr">
        <is>
          <t>JÄMTLANDS LÄN</t>
        </is>
      </c>
      <c r="G494" t="inlineStr">
        <is>
          <t>ÖSTERSUND</t>
        </is>
      </c>
      <c r="H494" t="inlineStr">
        <is>
          <t>Övriga Aktiebolag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58440-2025</t>
        </is>
      </c>
      <c r="B495" t="inlineStr">
        <is>
          <t>avverkningsanmälan</t>
        </is>
      </c>
      <c r="C495" t="inlineStr">
        <is>
          <t>Föryngringsavverkning</t>
        </is>
      </c>
      <c r="D495" s="1" t="n">
        <v>45985</v>
      </c>
      <c r="E495" s="1" t="n">
        <v>46259</v>
      </c>
      <c r="F495" t="inlineStr">
        <is>
          <t>JÄMTLANDS LÄN</t>
        </is>
      </c>
      <c r="G495" t="inlineStr">
        <is>
          <t>ÖSTERSUND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31911-2026</t>
        </is>
      </c>
      <c r="B496" t="inlineStr">
        <is>
          <t>avverkningsanmälan</t>
        </is>
      </c>
      <c r="C496" t="inlineStr">
        <is>
          <t>Avverkning för annat ändamål</t>
        </is>
      </c>
      <c r="D496" s="1" t="n">
        <v>46231</v>
      </c>
      <c r="E496" s="1" t="n">
        <v>46259</v>
      </c>
      <c r="F496" t="inlineStr">
        <is>
          <t>JÄMTLANDS LÄN</t>
        </is>
      </c>
      <c r="G496" t="inlineStr">
        <is>
          <t>ÖSTERSUND</t>
        </is>
      </c>
      <c r="H496" t="inlineStr">
        <is>
          <t>Övriga Aktiebolag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58583-2025</t>
        </is>
      </c>
      <c r="B497" t="inlineStr">
        <is>
          <t>avverkningsanmälan</t>
        </is>
      </c>
      <c r="C497" t="inlineStr">
        <is>
          <t>Föryngringsavverkning</t>
        </is>
      </c>
      <c r="D497" s="1" t="n">
        <v>45986</v>
      </c>
      <c r="E497" s="1" t="n">
        <v>46259</v>
      </c>
      <c r="F497" t="inlineStr">
        <is>
          <t>JÄMTLANDS LÄN</t>
        </is>
      </c>
      <c r="G497" t="inlineStr">
        <is>
          <t>ÖSTERSUND</t>
        </is>
      </c>
      <c r="I497" t="n">
        <v>43.1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58373-2025</t>
        </is>
      </c>
      <c r="B498" t="inlineStr">
        <is>
          <t>avverkningsanmälan</t>
        </is>
      </c>
      <c r="C498" t="inlineStr">
        <is>
          <t>Föryngringsavverkning</t>
        </is>
      </c>
      <c r="D498" s="1" t="n">
        <v>45985</v>
      </c>
      <c r="E498" s="1" t="n">
        <v>46259</v>
      </c>
      <c r="F498" t="inlineStr">
        <is>
          <t>JÄMTLANDS LÄN</t>
        </is>
      </c>
      <c r="G498" t="inlineStr">
        <is>
          <t>ÖSTERSUND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4135-2023</t>
        </is>
      </c>
      <c r="B499" t="inlineStr">
        <is>
          <t>avverkningsanmälan</t>
        </is>
      </c>
      <c r="C499" t="inlineStr">
        <is>
          <t>Föryngringsavverkning</t>
        </is>
      </c>
      <c r="D499" s="1" t="n">
        <v>44952</v>
      </c>
      <c r="E499" s="1" t="n">
        <v>46259</v>
      </c>
      <c r="F499" t="inlineStr">
        <is>
          <t>JÄMTLANDS LÄN</t>
        </is>
      </c>
      <c r="G499" t="inlineStr">
        <is>
          <t>ÖSTERSUND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59619-2025</t>
        </is>
      </c>
      <c r="B500" t="inlineStr">
        <is>
          <t>avverkningsanmälan</t>
        </is>
      </c>
      <c r="C500" t="inlineStr">
        <is>
          <t>Föryngringsavverkning</t>
        </is>
      </c>
      <c r="D500" s="1" t="n">
        <v>45992</v>
      </c>
      <c r="E500" s="1" t="n">
        <v>46259</v>
      </c>
      <c r="F500" t="inlineStr">
        <is>
          <t>JÄMTLANDS LÄN</t>
        </is>
      </c>
      <c r="G500" t="inlineStr">
        <is>
          <t>ÖSTERSUND</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59015-2025</t>
        </is>
      </c>
      <c r="B501" t="inlineStr">
        <is>
          <t>avverkningsanmälan</t>
        </is>
      </c>
      <c r="C501" t="inlineStr">
        <is>
          <t>Föryngringsavverkning</t>
        </is>
      </c>
      <c r="D501" s="1" t="n">
        <v>45987</v>
      </c>
      <c r="E501" s="1" t="n">
        <v>46259</v>
      </c>
      <c r="F501" t="inlineStr">
        <is>
          <t>JÄMTLANDS LÄN</t>
        </is>
      </c>
      <c r="G501" t="inlineStr">
        <is>
          <t>ÖSTERSUND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59612-2025</t>
        </is>
      </c>
      <c r="B502" t="inlineStr">
        <is>
          <t>avverkningsanmälan</t>
        </is>
      </c>
      <c r="C502" t="inlineStr">
        <is>
          <t>Föryngringsavverkning</t>
        </is>
      </c>
      <c r="D502" s="1" t="n">
        <v>45992</v>
      </c>
      <c r="E502" s="1" t="n">
        <v>46259</v>
      </c>
      <c r="F502" t="inlineStr">
        <is>
          <t>JÄMTLANDS LÄN</t>
        </is>
      </c>
      <c r="G502" t="inlineStr">
        <is>
          <t>ÖSTERSUND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59687-2025</t>
        </is>
      </c>
      <c r="B503" t="inlineStr">
        <is>
          <t>avverkningsanmälan</t>
        </is>
      </c>
      <c r="C503" t="inlineStr">
        <is>
          <t>Föryngringsavverkning</t>
        </is>
      </c>
      <c r="D503" s="1" t="n">
        <v>45992</v>
      </c>
      <c r="E503" s="1" t="n">
        <v>46259</v>
      </c>
      <c r="F503" t="inlineStr">
        <is>
          <t>JÄMTLANDS LÄN</t>
        </is>
      </c>
      <c r="G503" t="inlineStr">
        <is>
          <t>ÖSTERSUND</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54663-2022</t>
        </is>
      </c>
      <c r="B504" t="inlineStr">
        <is>
          <t>avverkningsanmälan</t>
        </is>
      </c>
      <c r="C504" t="inlineStr">
        <is>
          <t>Föryngringsavverkning</t>
        </is>
      </c>
      <c r="D504" s="1" t="n">
        <v>44883</v>
      </c>
      <c r="E504" s="1" t="n">
        <v>46259</v>
      </c>
      <c r="F504" t="inlineStr">
        <is>
          <t>JÄMTLANDS LÄN</t>
        </is>
      </c>
      <c r="G504" t="inlineStr">
        <is>
          <t>ÖSTERSUND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27625-2026</t>
        </is>
      </c>
      <c r="B505" t="inlineStr">
        <is>
          <t>avverkningsanmälan</t>
        </is>
      </c>
      <c r="C505" t="inlineStr">
        <is>
          <t>Föryngringsavverkning</t>
        </is>
      </c>
      <c r="D505" s="1" t="n">
        <v>46190</v>
      </c>
      <c r="E505" s="1" t="n">
        <v>46259</v>
      </c>
      <c r="F505" t="inlineStr">
        <is>
          <t>JÄMTLANDS LÄN</t>
        </is>
      </c>
      <c r="G505" t="inlineStr">
        <is>
          <t>ÖSTERSUND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27636-2026</t>
        </is>
      </c>
      <c r="B506" t="inlineStr">
        <is>
          <t>avverkningsanmälan</t>
        </is>
      </c>
      <c r="C506" t="inlineStr">
        <is>
          <t>Föryngringsavverkning</t>
        </is>
      </c>
      <c r="D506" s="1" t="n">
        <v>46190</v>
      </c>
      <c r="E506" s="1" t="n">
        <v>46259</v>
      </c>
      <c r="F506" t="inlineStr">
        <is>
          <t>JÄMTLANDS LÄN</t>
        </is>
      </c>
      <c r="G506" t="inlineStr">
        <is>
          <t>ÖSTERSUND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27653-2026</t>
        </is>
      </c>
      <c r="B507" t="inlineStr">
        <is>
          <t>avverkningsanmälan</t>
        </is>
      </c>
      <c r="C507" t="inlineStr">
        <is>
          <t>Avverkning för att bevara och utveckla /försöksver</t>
        </is>
      </c>
      <c r="D507" s="1" t="n">
        <v>46190</v>
      </c>
      <c r="E507" s="1" t="n">
        <v>46259</v>
      </c>
      <c r="F507" t="inlineStr">
        <is>
          <t>JÄMTLANDS LÄN</t>
        </is>
      </c>
      <c r="G507" t="inlineStr">
        <is>
          <t>ÖSTERSUND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43511-2022</t>
        </is>
      </c>
      <c r="B508" t="inlineStr">
        <is>
          <t>avverkningsanmälan</t>
        </is>
      </c>
      <c r="C508" t="inlineStr">
        <is>
          <t>Föryngringsavverkning</t>
        </is>
      </c>
      <c r="D508" s="1" t="n">
        <v>44837</v>
      </c>
      <c r="E508" s="1" t="n">
        <v>46259</v>
      </c>
      <c r="F508" t="inlineStr">
        <is>
          <t>JÄMTLANDS LÄN</t>
        </is>
      </c>
      <c r="G508" t="inlineStr">
        <is>
          <t>ÖSTERSUND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2730-2025</t>
        </is>
      </c>
      <c r="B509" t="inlineStr">
        <is>
          <t>avverkningsanmälan</t>
        </is>
      </c>
      <c r="C509" t="inlineStr">
        <is>
          <t>Föryngringsavverkning</t>
        </is>
      </c>
      <c r="D509" s="1" t="n">
        <v>45677</v>
      </c>
      <c r="E509" s="1" t="n">
        <v>46259</v>
      </c>
      <c r="F509" t="inlineStr">
        <is>
          <t>JÄMTLANDS LÄN</t>
        </is>
      </c>
      <c r="G509" t="inlineStr">
        <is>
          <t>ÖSTERSUND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60048-2025</t>
        </is>
      </c>
      <c r="B510" t="inlineStr">
        <is>
          <t>avverkningsanmälan</t>
        </is>
      </c>
      <c r="C510" t="inlineStr">
        <is>
          <t>Föryngringsavverkning</t>
        </is>
      </c>
      <c r="D510" s="1" t="n">
        <v>45993</v>
      </c>
      <c r="E510" s="1" t="n">
        <v>46259</v>
      </c>
      <c r="F510" t="inlineStr">
        <is>
          <t>JÄMTLANDS LÄN</t>
        </is>
      </c>
      <c r="G510" t="inlineStr">
        <is>
          <t>ÖSTERSUND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61427-2025</t>
        </is>
      </c>
      <c r="B511" t="inlineStr">
        <is>
          <t>avverkningsanmälan</t>
        </is>
      </c>
      <c r="C511" t="inlineStr">
        <is>
          <t>Avverkning för annat ändamål</t>
        </is>
      </c>
      <c r="D511" s="1" t="n">
        <v>46000</v>
      </c>
      <c r="E511" s="1" t="n">
        <v>46259</v>
      </c>
      <c r="F511" t="inlineStr">
        <is>
          <t>JÄMTLANDS LÄN</t>
        </is>
      </c>
      <c r="G511" t="inlineStr">
        <is>
          <t>ÖSTERSUND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61235-2025</t>
        </is>
      </c>
      <c r="B512" t="inlineStr">
        <is>
          <t>avverkningsanmälan</t>
        </is>
      </c>
      <c r="C512" t="inlineStr">
        <is>
          <t>Föryngringsavverkning</t>
        </is>
      </c>
      <c r="D512" s="1" t="n">
        <v>46000</v>
      </c>
      <c r="E512" s="1" t="n">
        <v>46259</v>
      </c>
      <c r="F512" t="inlineStr">
        <is>
          <t>JÄMTLANDS LÄN</t>
        </is>
      </c>
      <c r="G512" t="inlineStr">
        <is>
          <t>ÖSTERSUND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42151-2023</t>
        </is>
      </c>
      <c r="B513" t="inlineStr">
        <is>
          <t>avverkningsanmälan</t>
        </is>
      </c>
      <c r="C513" t="inlineStr">
        <is>
          <t>Avverkning för att bevara och utveckla /försöksver</t>
        </is>
      </c>
      <c r="D513" s="1" t="n">
        <v>45177</v>
      </c>
      <c r="E513" s="1" t="n">
        <v>46259</v>
      </c>
      <c r="F513" t="inlineStr">
        <is>
          <t>JÄMTLANDS LÄN</t>
        </is>
      </c>
      <c r="G513" t="inlineStr">
        <is>
          <t>ÖSTERSUND</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58364-2024</t>
        </is>
      </c>
      <c r="B514" t="inlineStr">
        <is>
          <t>avverkningsanmälan</t>
        </is>
      </c>
      <c r="C514" t="inlineStr">
        <is>
          <t>Föryngringsavverkning</t>
        </is>
      </c>
      <c r="D514" s="1" t="n">
        <v>45632</v>
      </c>
      <c r="E514" s="1" t="n">
        <v>46259</v>
      </c>
      <c r="F514" t="inlineStr">
        <is>
          <t>JÄMTLANDS LÄN</t>
        </is>
      </c>
      <c r="G514" t="inlineStr">
        <is>
          <t>ÖSTERSUND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25933-2026</t>
        </is>
      </c>
      <c r="B515" t="inlineStr">
        <is>
          <t>avverkningsanmälan</t>
        </is>
      </c>
      <c r="C515" t="inlineStr">
        <is>
          <t>Föryngringsavverkning</t>
        </is>
      </c>
      <c r="D515" s="1" t="n">
        <v>46180</v>
      </c>
      <c r="E515" s="1" t="n">
        <v>46259</v>
      </c>
      <c r="F515" t="inlineStr">
        <is>
          <t>JÄMTLANDS LÄN</t>
        </is>
      </c>
      <c r="G515" t="inlineStr">
        <is>
          <t>ÖSTERSUND</t>
        </is>
      </c>
      <c r="I515" t="n">
        <v>13.9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31873-2026</t>
        </is>
      </c>
      <c r="B516" t="inlineStr">
        <is>
          <t>avverkningsanmälan</t>
        </is>
      </c>
      <c r="C516" t="inlineStr">
        <is>
          <t>Föryngringsavverkning</t>
        </is>
      </c>
      <c r="D516" s="1" t="n">
        <v>46231</v>
      </c>
      <c r="E516" s="1" t="n">
        <v>46259</v>
      </c>
      <c r="F516" t="inlineStr">
        <is>
          <t>JÄMTLANDS LÄN</t>
        </is>
      </c>
      <c r="G516" t="inlineStr">
        <is>
          <t>ÖSTERSUND</t>
        </is>
      </c>
      <c r="H516" t="inlineStr">
        <is>
          <t>Övriga Aktiebolag</t>
        </is>
      </c>
      <c r="I516" t="n">
        <v>36.2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56111-2022</t>
        </is>
      </c>
      <c r="B517" t="inlineStr">
        <is>
          <t>avverkningsanmälan</t>
        </is>
      </c>
      <c r="C517" t="inlineStr">
        <is>
          <t>Föryngringsavverkning</t>
        </is>
      </c>
      <c r="D517" s="1" t="n">
        <v>44889</v>
      </c>
      <c r="E517" s="1" t="n">
        <v>46259</v>
      </c>
      <c r="F517" t="inlineStr">
        <is>
          <t>JÄMTLANDS LÄN</t>
        </is>
      </c>
      <c r="G517" t="inlineStr">
        <is>
          <t>ÖSTERSUND</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18577-2025</t>
        </is>
      </c>
      <c r="B518" t="inlineStr">
        <is>
          <t>avverkningsanmälan</t>
        </is>
      </c>
      <c r="C518" t="inlineStr">
        <is>
          <t>Avverkning för annat ändamål</t>
        </is>
      </c>
      <c r="D518" s="1" t="n">
        <v>45763</v>
      </c>
      <c r="E518" s="1" t="n">
        <v>46259</v>
      </c>
      <c r="F518" t="inlineStr">
        <is>
          <t>JÄMTLANDS LÄN</t>
        </is>
      </c>
      <c r="G518" t="inlineStr">
        <is>
          <t>ÖSTERSUND</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61982-2025</t>
        </is>
      </c>
      <c r="B519" t="inlineStr">
        <is>
          <t>avverkningsanmälan</t>
        </is>
      </c>
      <c r="C519" t="inlineStr">
        <is>
          <t>Föryngringsavverkning</t>
        </is>
      </c>
      <c r="D519" s="1" t="n">
        <v>46003</v>
      </c>
      <c r="E519" s="1" t="n">
        <v>46259</v>
      </c>
      <c r="F519" t="inlineStr">
        <is>
          <t>JÄMTLANDS LÄN</t>
        </is>
      </c>
      <c r="G519" t="inlineStr">
        <is>
          <t>ÖSTERSUND</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61944-2025</t>
        </is>
      </c>
      <c r="B520" t="inlineStr">
        <is>
          <t>avverkningsanmälan</t>
        </is>
      </c>
      <c r="C520" t="inlineStr">
        <is>
          <t>Föryngringsavverkning</t>
        </is>
      </c>
      <c r="D520" s="1" t="n">
        <v>46003</v>
      </c>
      <c r="E520" s="1" t="n">
        <v>46259</v>
      </c>
      <c r="F520" t="inlineStr">
        <is>
          <t>JÄMTLANDS LÄN</t>
        </is>
      </c>
      <c r="G520" t="inlineStr">
        <is>
          <t>ÖSTERSUND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61964-2025</t>
        </is>
      </c>
      <c r="B521" t="inlineStr">
        <is>
          <t>avverkningsanmälan</t>
        </is>
      </c>
      <c r="C521" t="inlineStr">
        <is>
          <t>Föryngringsavverkning</t>
        </is>
      </c>
      <c r="D521" s="1" t="n">
        <v>46003</v>
      </c>
      <c r="E521" s="1" t="n">
        <v>46259</v>
      </c>
      <c r="F521" t="inlineStr">
        <is>
          <t>JÄMTLANDS LÄN</t>
        </is>
      </c>
      <c r="G521" t="inlineStr">
        <is>
          <t>ÖSTERSUND</t>
        </is>
      </c>
      <c r="I521" t="n">
        <v>16.5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61985-2025</t>
        </is>
      </c>
      <c r="B522" t="inlineStr">
        <is>
          <t>avverkningsanmälan</t>
        </is>
      </c>
      <c r="C522" t="inlineStr">
        <is>
          <t>Föryngringsavverkning</t>
        </is>
      </c>
      <c r="D522" s="1" t="n">
        <v>46003</v>
      </c>
      <c r="E522" s="1" t="n">
        <v>46259</v>
      </c>
      <c r="F522" t="inlineStr">
        <is>
          <t>JÄMTLANDS LÄN</t>
        </is>
      </c>
      <c r="G522" t="inlineStr">
        <is>
          <t>ÖSTERSUND</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61849-2025</t>
        </is>
      </c>
      <c r="B523" t="inlineStr">
        <is>
          <t>avverkningsanmälan</t>
        </is>
      </c>
      <c r="C523" t="inlineStr">
        <is>
          <t>Föryngringsavverkning</t>
        </is>
      </c>
      <c r="D523" s="1" t="n">
        <v>46003</v>
      </c>
      <c r="E523" s="1" t="n">
        <v>46259</v>
      </c>
      <c r="F523" t="inlineStr">
        <is>
          <t>JÄMTLANDS LÄN</t>
        </is>
      </c>
      <c r="G523" t="inlineStr">
        <is>
          <t>ÖSTERSUND</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62369-2025</t>
        </is>
      </c>
      <c r="B524" t="inlineStr">
        <is>
          <t>avverkningsanmälan</t>
        </is>
      </c>
      <c r="C524" t="inlineStr">
        <is>
          <t>Föryngringsavverkning</t>
        </is>
      </c>
      <c r="D524" s="1" t="n">
        <v>46007</v>
      </c>
      <c r="E524" s="1" t="n">
        <v>46259</v>
      </c>
      <c r="F524" t="inlineStr">
        <is>
          <t>JÄMTLANDS LÄN</t>
        </is>
      </c>
      <c r="G524" t="inlineStr">
        <is>
          <t>ÖSTERSUND</t>
        </is>
      </c>
      <c r="H524" t="inlineStr">
        <is>
          <t>Sveaskog</t>
        </is>
      </c>
      <c r="I524" t="n">
        <v>20.3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62437-2025</t>
        </is>
      </c>
      <c r="B525" t="inlineStr">
        <is>
          <t>avverkningsanmälan</t>
        </is>
      </c>
      <c r="C525" t="inlineStr">
        <is>
          <t>Föryngringsavverkning</t>
        </is>
      </c>
      <c r="D525" s="1" t="n">
        <v>46007</v>
      </c>
      <c r="E525" s="1" t="n">
        <v>46259</v>
      </c>
      <c r="F525" t="inlineStr">
        <is>
          <t>JÄMTLANDS LÄN</t>
        </is>
      </c>
      <c r="G525" t="inlineStr">
        <is>
          <t>ÖSTERSUND</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60681-2022</t>
        </is>
      </c>
      <c r="B526" t="inlineStr">
        <is>
          <t>avverkningsanmälan</t>
        </is>
      </c>
      <c r="C526" t="inlineStr">
        <is>
          <t>Föryngringsavverkning</t>
        </is>
      </c>
      <c r="D526" s="1" t="n">
        <v>44911</v>
      </c>
      <c r="E526" s="1" t="n">
        <v>46259</v>
      </c>
      <c r="F526" t="inlineStr">
        <is>
          <t>JÄMTLANDS LÄN</t>
        </is>
      </c>
      <c r="G526" t="inlineStr">
        <is>
          <t>ÖSTERSUND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63245-2025</t>
        </is>
      </c>
      <c r="B527" t="inlineStr">
        <is>
          <t>avverkningsanmälan</t>
        </is>
      </c>
      <c r="C527" t="inlineStr">
        <is>
          <t>Föryngringsavverkning</t>
        </is>
      </c>
      <c r="D527" s="1" t="n">
        <v>46010</v>
      </c>
      <c r="E527" s="1" t="n">
        <v>46259</v>
      </c>
      <c r="F527" t="inlineStr">
        <is>
          <t>JÄMTLANDS LÄN</t>
        </is>
      </c>
      <c r="G527" t="inlineStr">
        <is>
          <t>ÖSTERSUND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63195-2025</t>
        </is>
      </c>
      <c r="B528" t="inlineStr">
        <is>
          <t>avverkningsanmälan</t>
        </is>
      </c>
      <c r="C528" t="inlineStr">
        <is>
          <t>Föryngringsavverkning</t>
        </is>
      </c>
      <c r="D528" s="1" t="n">
        <v>46010</v>
      </c>
      <c r="E528" s="1" t="n">
        <v>46259</v>
      </c>
      <c r="F528" t="inlineStr">
        <is>
          <t>JÄMTLANDS LÄN</t>
        </is>
      </c>
      <c r="G528" t="inlineStr">
        <is>
          <t>ÖSTERSUND</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32406-2026</t>
        </is>
      </c>
      <c r="B529" t="inlineStr">
        <is>
          <t>avverkningsanmälan</t>
        </is>
      </c>
      <c r="C529" t="inlineStr">
        <is>
          <t>Föryngringsavverkning</t>
        </is>
      </c>
      <c r="D529" s="1" t="n">
        <v>46238</v>
      </c>
      <c r="E529" s="1" t="n">
        <v>46259</v>
      </c>
      <c r="F529" t="inlineStr">
        <is>
          <t>JÄMTLANDS LÄN</t>
        </is>
      </c>
      <c r="G529" t="inlineStr">
        <is>
          <t>ÖSTERSUND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32576-2026</t>
        </is>
      </c>
      <c r="B530" t="inlineStr">
        <is>
          <t>avverkningsanmälan</t>
        </is>
      </c>
      <c r="C530" t="inlineStr">
        <is>
          <t>Föryngringsavverkning</t>
        </is>
      </c>
      <c r="D530" s="1" t="n">
        <v>46239</v>
      </c>
      <c r="E530" s="1" t="n">
        <v>46259</v>
      </c>
      <c r="F530" t="inlineStr">
        <is>
          <t>JÄMTLANDS LÄN</t>
        </is>
      </c>
      <c r="G530" t="inlineStr">
        <is>
          <t>ÖSTERSUND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48696-2024</t>
        </is>
      </c>
      <c r="B531" t="inlineStr">
        <is>
          <t>avverkningsanmälan</t>
        </is>
      </c>
      <c r="C531" t="inlineStr">
        <is>
          <t>Föryngringsavverkning</t>
        </is>
      </c>
      <c r="D531" s="1" t="n">
        <v>45593</v>
      </c>
      <c r="E531" s="1" t="n">
        <v>46259</v>
      </c>
      <c r="F531" t="inlineStr">
        <is>
          <t>JÄMTLANDS LÄN</t>
        </is>
      </c>
      <c r="G531" t="inlineStr">
        <is>
          <t>ÖSTERSUND</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63475-2025</t>
        </is>
      </c>
      <c r="B532" t="inlineStr">
        <is>
          <t>avverkningsanmälan</t>
        </is>
      </c>
      <c r="C532" t="inlineStr">
        <is>
          <t>Föryngringsavverkning</t>
        </is>
      </c>
      <c r="D532" s="1" t="n">
        <v>46013</v>
      </c>
      <c r="E532" s="1" t="n">
        <v>46259</v>
      </c>
      <c r="F532" t="inlineStr">
        <is>
          <t>JÄMTLANDS LÄN</t>
        </is>
      </c>
      <c r="G532" t="inlineStr">
        <is>
          <t>ÖSTERSUND</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32791-2026</t>
        </is>
      </c>
      <c r="B533" t="inlineStr">
        <is>
          <t>avverkningsanmälan</t>
        </is>
      </c>
      <c r="C533" t="inlineStr">
        <is>
          <t>Föryngringsavverkning</t>
        </is>
      </c>
      <c r="D533" s="1" t="n">
        <v>46241</v>
      </c>
      <c r="E533" s="1" t="n">
        <v>46259</v>
      </c>
      <c r="F533" t="inlineStr">
        <is>
          <t>JÄMTLANDS LÄN</t>
        </is>
      </c>
      <c r="G533" t="inlineStr">
        <is>
          <t>ÖSTERSUND</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63516-2025</t>
        </is>
      </c>
      <c r="B534" t="inlineStr">
        <is>
          <t>avverkningsanmälan</t>
        </is>
      </c>
      <c r="C534" t="inlineStr">
        <is>
          <t>Föryngringsavverkning</t>
        </is>
      </c>
      <c r="D534" s="1" t="n">
        <v>46013</v>
      </c>
      <c r="E534" s="1" t="n">
        <v>46259</v>
      </c>
      <c r="F534" t="inlineStr">
        <is>
          <t>JÄMTLANDS LÄN</t>
        </is>
      </c>
      <c r="G534" t="inlineStr">
        <is>
          <t>ÖSTERSUND</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39975-2024</t>
        </is>
      </c>
      <c r="B535" t="inlineStr">
        <is>
          <t>avverkningsanmälan</t>
        </is>
      </c>
      <c r="C535" t="inlineStr">
        <is>
          <t>Föryngringsavverkning</t>
        </is>
      </c>
      <c r="D535" s="1" t="n">
        <v>45553</v>
      </c>
      <c r="E535" s="1" t="n">
        <v>46259</v>
      </c>
      <c r="F535" t="inlineStr">
        <is>
          <t>JÄMTLANDS LÄN</t>
        </is>
      </c>
      <c r="G535" t="inlineStr">
        <is>
          <t>ÖSTERSUND</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51936-2023</t>
        </is>
      </c>
      <c r="B536" t="inlineStr">
        <is>
          <t>avverkningsanmälan</t>
        </is>
      </c>
      <c r="C536" t="inlineStr">
        <is>
          <t>Föryngringsavverkning</t>
        </is>
      </c>
      <c r="D536" s="1" t="n">
        <v>45223</v>
      </c>
      <c r="E536" s="1" t="n">
        <v>46259</v>
      </c>
      <c r="F536" t="inlineStr">
        <is>
          <t>JÄMTLANDS LÄN</t>
        </is>
      </c>
      <c r="G536" t="inlineStr">
        <is>
          <t>ÖSTERSUND</t>
        </is>
      </c>
      <c r="I536" t="n">
        <v>8.4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51941-2023</t>
        </is>
      </c>
      <c r="B537" t="inlineStr">
        <is>
          <t>avverkningsanmälan</t>
        </is>
      </c>
      <c r="C537" t="inlineStr">
        <is>
          <t>Föryngringsavverkning</t>
        </is>
      </c>
      <c r="D537" s="1" t="n">
        <v>45223</v>
      </c>
      <c r="E537" s="1" t="n">
        <v>46259</v>
      </c>
      <c r="F537" t="inlineStr">
        <is>
          <t>JÄMTLANDS LÄN</t>
        </is>
      </c>
      <c r="G537" t="inlineStr">
        <is>
          <t>ÖSTERSUND</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14523-2023</t>
        </is>
      </c>
      <c r="B538" t="inlineStr">
        <is>
          <t>avverkningsanmälan</t>
        </is>
      </c>
      <c r="C538" t="inlineStr">
        <is>
          <t>Föryngringsavverkning</t>
        </is>
      </c>
      <c r="D538" s="1" t="n">
        <v>45012</v>
      </c>
      <c r="E538" s="1" t="n">
        <v>46259</v>
      </c>
      <c r="F538" t="inlineStr">
        <is>
          <t>JÄMTLANDS LÄN</t>
        </is>
      </c>
      <c r="G538" t="inlineStr">
        <is>
          <t>ÖSTERSUND</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13282-2023</t>
        </is>
      </c>
      <c r="B539" t="inlineStr">
        <is>
          <t>avverkningsanmälan</t>
        </is>
      </c>
      <c r="C539" t="inlineStr">
        <is>
          <t>Föryngringsavverkning</t>
        </is>
      </c>
      <c r="D539" s="1" t="n">
        <v>45004</v>
      </c>
      <c r="E539" s="1" t="n">
        <v>46259</v>
      </c>
      <c r="F539" t="inlineStr">
        <is>
          <t>JÄMTLANDS LÄN</t>
        </is>
      </c>
      <c r="G539" t="inlineStr">
        <is>
          <t>ÖSTERSUND</t>
        </is>
      </c>
      <c r="I539" t="n">
        <v>28.5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54973-2023</t>
        </is>
      </c>
      <c r="B540" t="inlineStr">
        <is>
          <t>avverkningsanmälan</t>
        </is>
      </c>
      <c r="C540" t="inlineStr">
        <is>
          <t>Föryngringsavverkning</t>
        </is>
      </c>
      <c r="D540" s="1" t="n">
        <v>45236</v>
      </c>
      <c r="E540" s="1" t="n">
        <v>46259</v>
      </c>
      <c r="F540" t="inlineStr">
        <is>
          <t>JÄMTLANDS LÄN</t>
        </is>
      </c>
      <c r="G540" t="inlineStr">
        <is>
          <t>ÖSTERSUND</t>
        </is>
      </c>
      <c r="I540" t="n">
        <v>15.4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63693-2025</t>
        </is>
      </c>
      <c r="B541" t="inlineStr">
        <is>
          <t>avverkningsanmälan</t>
        </is>
      </c>
      <c r="C541" t="inlineStr">
        <is>
          <t>Föryngringsavverkning</t>
        </is>
      </c>
      <c r="D541" s="1" t="n">
        <v>46014</v>
      </c>
      <c r="E541" s="1" t="n">
        <v>46259</v>
      </c>
      <c r="F541" t="inlineStr">
        <is>
          <t>JÄMTLANDS LÄN</t>
        </is>
      </c>
      <c r="G541" t="inlineStr">
        <is>
          <t>ÖSTERSUND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4901-2025</t>
        </is>
      </c>
      <c r="B542" t="inlineStr">
        <is>
          <t>avverkningsanmälan</t>
        </is>
      </c>
      <c r="C542" t="inlineStr">
        <is>
          <t>Föryngringsavverkning</t>
        </is>
      </c>
      <c r="D542" s="1" t="n">
        <v>45688</v>
      </c>
      <c r="E542" s="1" t="n">
        <v>46259</v>
      </c>
      <c r="F542" t="inlineStr">
        <is>
          <t>JÄMTLANDS LÄN</t>
        </is>
      </c>
      <c r="G542" t="inlineStr">
        <is>
          <t>ÖSTERSUND</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63807-2025</t>
        </is>
      </c>
      <c r="B543" t="inlineStr">
        <is>
          <t>avverkningsanmälan</t>
        </is>
      </c>
      <c r="C543" t="inlineStr">
        <is>
          <t>Föryngringsavverkning</t>
        </is>
      </c>
      <c r="D543" s="1" t="n">
        <v>46019</v>
      </c>
      <c r="E543" s="1" t="n">
        <v>46259</v>
      </c>
      <c r="F543" t="inlineStr">
        <is>
          <t>JÄMTLANDS LÄN</t>
        </is>
      </c>
      <c r="G543" t="inlineStr">
        <is>
          <t>ÖSTERSUND</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47804-2024</t>
        </is>
      </c>
      <c r="B544" t="inlineStr">
        <is>
          <t>avverkningsanmälan</t>
        </is>
      </c>
      <c r="C544" t="inlineStr">
        <is>
          <t>Föryngringsavverkning</t>
        </is>
      </c>
      <c r="D544" s="1" t="n">
        <v>45588</v>
      </c>
      <c r="E544" s="1" t="n">
        <v>46259</v>
      </c>
      <c r="F544" t="inlineStr">
        <is>
          <t>JÄMTLANDS LÄN</t>
        </is>
      </c>
      <c r="G544" t="inlineStr">
        <is>
          <t>ÖSTERSUND</t>
        </is>
      </c>
      <c r="H544" t="inlineStr">
        <is>
          <t>SCA</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32803-2026</t>
        </is>
      </c>
      <c r="B545" t="inlineStr">
        <is>
          <t>avverkningsanmälan</t>
        </is>
      </c>
      <c r="C545" t="inlineStr">
        <is>
          <t>Föryngringsavverkning</t>
        </is>
      </c>
      <c r="D545" s="1" t="n">
        <v>46241</v>
      </c>
      <c r="E545" s="1" t="n">
        <v>46259</v>
      </c>
      <c r="F545" t="inlineStr">
        <is>
          <t>JÄMTLANDS LÄN</t>
        </is>
      </c>
      <c r="G545" t="inlineStr">
        <is>
          <t>ÖSTERSUND</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10306-2023</t>
        </is>
      </c>
      <c r="B546" t="inlineStr">
        <is>
          <t>avverkningsanmälan</t>
        </is>
      </c>
      <c r="C546" t="inlineStr">
        <is>
          <t>Föryngringsavverkning</t>
        </is>
      </c>
      <c r="D546" s="1" t="n">
        <v>44986</v>
      </c>
      <c r="E546" s="1" t="n">
        <v>46259</v>
      </c>
      <c r="F546" t="inlineStr">
        <is>
          <t>JÄMTLANDS LÄN</t>
        </is>
      </c>
      <c r="G546" t="inlineStr">
        <is>
          <t>ÖSTERSUND</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8261-2025</t>
        </is>
      </c>
      <c r="B547" t="inlineStr">
        <is>
          <t>avverkningsanmälan</t>
        </is>
      </c>
      <c r="C547" t="inlineStr">
        <is>
          <t>Föryngringsavverkning</t>
        </is>
      </c>
      <c r="D547" s="1" t="n">
        <v>45708</v>
      </c>
      <c r="E547" s="1" t="n">
        <v>46259</v>
      </c>
      <c r="F547" t="inlineStr">
        <is>
          <t>JÄMTLANDS LÄN</t>
        </is>
      </c>
      <c r="G547" t="inlineStr">
        <is>
          <t>ÖSTERSUND</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296-2023</t>
        </is>
      </c>
      <c r="B548" t="inlineStr">
        <is>
          <t>avverkningsanmälan</t>
        </is>
      </c>
      <c r="C548" t="inlineStr">
        <is>
          <t>Föryngringsavverkning</t>
        </is>
      </c>
      <c r="D548" s="1" t="n">
        <v>44922</v>
      </c>
      <c r="E548" s="1" t="n">
        <v>46259</v>
      </c>
      <c r="F548" t="inlineStr">
        <is>
          <t>JÄMTLANDS LÄN</t>
        </is>
      </c>
      <c r="G548" t="inlineStr">
        <is>
          <t>ÖSTERSUND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623-2026</t>
        </is>
      </c>
      <c r="B549" t="inlineStr">
        <is>
          <t>avverkningsanmälan</t>
        </is>
      </c>
      <c r="C549" t="inlineStr">
        <is>
          <t>Föryngringsavverkning</t>
        </is>
      </c>
      <c r="D549" s="1" t="n">
        <v>46024</v>
      </c>
      <c r="E549" s="1" t="n">
        <v>46259</v>
      </c>
      <c r="F549" t="inlineStr">
        <is>
          <t>JÄMTLANDS LÄN</t>
        </is>
      </c>
      <c r="G549" t="inlineStr">
        <is>
          <t>ÖSTERSUND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29488-2026</t>
        </is>
      </c>
      <c r="B550" t="inlineStr">
        <is>
          <t>avverkningsanmälan</t>
        </is>
      </c>
      <c r="C550" t="inlineStr">
        <is>
          <t>Föryngringsavverkning</t>
        </is>
      </c>
      <c r="D550" s="1" t="n">
        <v>46203</v>
      </c>
      <c r="E550" s="1" t="n">
        <v>46259</v>
      </c>
      <c r="F550" t="inlineStr">
        <is>
          <t>JÄMTLANDS LÄN</t>
        </is>
      </c>
      <c r="G550" t="inlineStr">
        <is>
          <t>ÖSTERSUND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29484-2026</t>
        </is>
      </c>
      <c r="B551" t="inlineStr">
        <is>
          <t>avverkningsanmälan</t>
        </is>
      </c>
      <c r="C551" t="inlineStr">
        <is>
          <t>Föryngringsavverkning</t>
        </is>
      </c>
      <c r="D551" s="1" t="n">
        <v>46203</v>
      </c>
      <c r="E551" s="1" t="n">
        <v>46259</v>
      </c>
      <c r="F551" t="inlineStr">
        <is>
          <t>JÄMTLANDS LÄN</t>
        </is>
      </c>
      <c r="G551" t="inlineStr">
        <is>
          <t>ÖSTERSUND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33563-2026</t>
        </is>
      </c>
      <c r="B552" t="inlineStr">
        <is>
          <t>avverkningsanmälan</t>
        </is>
      </c>
      <c r="C552" t="inlineStr">
        <is>
          <t>Föryngringsavverkning</t>
        </is>
      </c>
      <c r="D552" s="1" t="n">
        <v>46248</v>
      </c>
      <c r="E552" s="1" t="n">
        <v>46259</v>
      </c>
      <c r="F552" t="inlineStr">
        <is>
          <t>JÄMTLANDS LÄN</t>
        </is>
      </c>
      <c r="G552" t="inlineStr">
        <is>
          <t>ÖSTERSUND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60575-2022</t>
        </is>
      </c>
      <c r="B553" t="inlineStr">
        <is>
          <t>avverkningsanmälan</t>
        </is>
      </c>
      <c r="C553" t="inlineStr">
        <is>
          <t>Föryngringsavverkning</t>
        </is>
      </c>
      <c r="D553" s="1" t="n">
        <v>44911</v>
      </c>
      <c r="E553" s="1" t="n">
        <v>46259</v>
      </c>
      <c r="F553" t="inlineStr">
        <is>
          <t>JÄMTLANDS LÄN</t>
        </is>
      </c>
      <c r="G553" t="inlineStr">
        <is>
          <t>ÖSTERSUND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485-2026</t>
        </is>
      </c>
      <c r="B554" t="inlineStr">
        <is>
          <t>avverkningsanmälan</t>
        </is>
      </c>
      <c r="C554" t="inlineStr">
        <is>
          <t>Föryngringsavverkning</t>
        </is>
      </c>
      <c r="D554" s="1" t="n">
        <v>46029</v>
      </c>
      <c r="E554" s="1" t="n">
        <v>46259</v>
      </c>
      <c r="F554" t="inlineStr">
        <is>
          <t>JÄMTLANDS LÄN</t>
        </is>
      </c>
      <c r="G554" t="inlineStr">
        <is>
          <t>ÖSTERSUND</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1211-2025</t>
        </is>
      </c>
      <c r="B555" t="inlineStr">
        <is>
          <t>avverkningsanmälan</t>
        </is>
      </c>
      <c r="C555" t="inlineStr">
        <is>
          <t>Föryngringsavverkning</t>
        </is>
      </c>
      <c r="D555" s="1" t="n">
        <v>45667</v>
      </c>
      <c r="E555" s="1" t="n">
        <v>46259</v>
      </c>
      <c r="F555" t="inlineStr">
        <is>
          <t>JÄMTLANDS LÄN</t>
        </is>
      </c>
      <c r="G555" t="inlineStr">
        <is>
          <t>ÖSTERSUND</t>
        </is>
      </c>
      <c r="H555" t="inlineStr">
        <is>
          <t>SCA</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1552-2026</t>
        </is>
      </c>
      <c r="B556" t="inlineStr">
        <is>
          <t>avverkningsanmälan</t>
        </is>
      </c>
      <c r="C556" t="inlineStr">
        <is>
          <t>Föryngringsavverkning</t>
        </is>
      </c>
      <c r="D556" s="1" t="n">
        <v>46034</v>
      </c>
      <c r="E556" s="1" t="n">
        <v>46259</v>
      </c>
      <c r="F556" t="inlineStr">
        <is>
          <t>JÄMTLANDS LÄN</t>
        </is>
      </c>
      <c r="G556" t="inlineStr">
        <is>
          <t>ÖSTERSUND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1901-2026</t>
        </is>
      </c>
      <c r="B557" t="inlineStr">
        <is>
          <t>avverkningsanmälan</t>
        </is>
      </c>
      <c r="C557" t="inlineStr">
        <is>
          <t>Föryngringsavverkning</t>
        </is>
      </c>
      <c r="D557" s="1" t="n">
        <v>46032</v>
      </c>
      <c r="E557" s="1" t="n">
        <v>46259</v>
      </c>
      <c r="F557" t="inlineStr">
        <is>
          <t>JÄMTLANDS LÄN</t>
        </is>
      </c>
      <c r="G557" t="inlineStr">
        <is>
          <t>ÖSTERSUND</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7938-2025</t>
        </is>
      </c>
      <c r="B558" t="inlineStr">
        <is>
          <t>avverkningsanmälan</t>
        </is>
      </c>
      <c r="C558" t="inlineStr">
        <is>
          <t>Föryngringsavverkning</t>
        </is>
      </c>
      <c r="D558" s="1" t="n">
        <v>45707</v>
      </c>
      <c r="E558" s="1" t="n">
        <v>46259</v>
      </c>
      <c r="F558" t="inlineStr">
        <is>
          <t>JÄMTLANDS LÄN</t>
        </is>
      </c>
      <c r="G558" t="inlineStr">
        <is>
          <t>ÖSTERSUND</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2971-2026</t>
        </is>
      </c>
      <c r="B559" t="inlineStr">
        <is>
          <t>avverkningsanmälan</t>
        </is>
      </c>
      <c r="C559" t="inlineStr">
        <is>
          <t>Föryngringsavverkning</t>
        </is>
      </c>
      <c r="D559" s="1" t="n">
        <v>46038</v>
      </c>
      <c r="E559" s="1" t="n">
        <v>46259</v>
      </c>
      <c r="F559" t="inlineStr">
        <is>
          <t>JÄMTLANDS LÄN</t>
        </is>
      </c>
      <c r="G559" t="inlineStr">
        <is>
          <t>ÖSTERSUND</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15686-2025</t>
        </is>
      </c>
      <c r="B560" t="inlineStr">
        <is>
          <t>avverkningsanmälan</t>
        </is>
      </c>
      <c r="C560" t="inlineStr">
        <is>
          <t>Föryngringsavverkning</t>
        </is>
      </c>
      <c r="D560" s="1" t="n">
        <v>45748</v>
      </c>
      <c r="E560" s="1" t="n">
        <v>46259</v>
      </c>
      <c r="F560" t="inlineStr">
        <is>
          <t>JÄMTLANDS LÄN</t>
        </is>
      </c>
      <c r="G560" t="inlineStr">
        <is>
          <t>ÖSTERSUND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2694-2026</t>
        </is>
      </c>
      <c r="B561" t="inlineStr">
        <is>
          <t>avverkningsanmälan</t>
        </is>
      </c>
      <c r="C561" t="inlineStr">
        <is>
          <t>Föryngringsavverkning</t>
        </is>
      </c>
      <c r="D561" s="1" t="n">
        <v>46037</v>
      </c>
      <c r="E561" s="1" t="n">
        <v>46259</v>
      </c>
      <c r="F561" t="inlineStr">
        <is>
          <t>JÄMTLANDS LÄN</t>
        </is>
      </c>
      <c r="G561" t="inlineStr">
        <is>
          <t>ÖSTERSUND</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2700-2026</t>
        </is>
      </c>
      <c r="B562" t="inlineStr">
        <is>
          <t>avverkningsanmälan</t>
        </is>
      </c>
      <c r="C562" t="inlineStr">
        <is>
          <t>Föryngringsavverkning</t>
        </is>
      </c>
      <c r="D562" s="1" t="n">
        <v>46037</v>
      </c>
      <c r="E562" s="1" t="n">
        <v>46259</v>
      </c>
      <c r="F562" t="inlineStr">
        <is>
          <t>JÄMTLANDS LÄN</t>
        </is>
      </c>
      <c r="G562" t="inlineStr">
        <is>
          <t>ÖSTERSUND</t>
        </is>
      </c>
      <c r="I562" t="n">
        <v>8.6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3197-2026</t>
        </is>
      </c>
      <c r="B563" t="inlineStr">
        <is>
          <t>avverkningsanmälan</t>
        </is>
      </c>
      <c r="C563" t="inlineStr">
        <is>
          <t>Föryngringsavverkning</t>
        </is>
      </c>
      <c r="D563" s="1" t="n">
        <v>46041</v>
      </c>
      <c r="E563" s="1" t="n">
        <v>46259</v>
      </c>
      <c r="F563" t="inlineStr">
        <is>
          <t>JÄMTLANDS LÄN</t>
        </is>
      </c>
      <c r="G563" t="inlineStr">
        <is>
          <t>ÖSTERSUND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37597-2023</t>
        </is>
      </c>
      <c r="B564" t="inlineStr">
        <is>
          <t>avverkningsanmälan</t>
        </is>
      </c>
      <c r="C564" t="inlineStr">
        <is>
          <t>Föryngringsavverkning</t>
        </is>
      </c>
      <c r="D564" s="1" t="n">
        <v>45159</v>
      </c>
      <c r="E564" s="1" t="n">
        <v>46259</v>
      </c>
      <c r="F564" t="inlineStr">
        <is>
          <t>JÄMTLANDS LÄN</t>
        </is>
      </c>
      <c r="G564" t="inlineStr">
        <is>
          <t>ÖSTERSUND</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4406-2026</t>
        </is>
      </c>
      <c r="B565" t="inlineStr">
        <is>
          <t>avverkningsanmälan</t>
        </is>
      </c>
      <c r="C565" t="inlineStr">
        <is>
          <t>Föryngringsavverkning</t>
        </is>
      </c>
      <c r="D565" s="1" t="n">
        <v>46045</v>
      </c>
      <c r="E565" s="1" t="n">
        <v>46259</v>
      </c>
      <c r="F565" t="inlineStr">
        <is>
          <t>JÄMTLANDS LÄN</t>
        </is>
      </c>
      <c r="G565" t="inlineStr">
        <is>
          <t>ÖSTERSUND</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4423-2026</t>
        </is>
      </c>
      <c r="B566" t="inlineStr">
        <is>
          <t>avverkningsanmälan</t>
        </is>
      </c>
      <c r="C566" t="inlineStr">
        <is>
          <t>Föryngringsavverkning</t>
        </is>
      </c>
      <c r="D566" s="1" t="n">
        <v>46045</v>
      </c>
      <c r="E566" s="1" t="n">
        <v>46259</v>
      </c>
      <c r="F566" t="inlineStr">
        <is>
          <t>JÄMTLANDS LÄN</t>
        </is>
      </c>
      <c r="G566" t="inlineStr">
        <is>
          <t>ÖSTERSUND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61506-2023</t>
        </is>
      </c>
      <c r="B567" t="inlineStr">
        <is>
          <t>avverkningsanmälan</t>
        </is>
      </c>
      <c r="C567" t="inlineStr">
        <is>
          <t>Avverkning för annat ändamål</t>
        </is>
      </c>
      <c r="D567" s="1" t="n">
        <v>45264</v>
      </c>
      <c r="E567" s="1" t="n">
        <v>46259</v>
      </c>
      <c r="F567" t="inlineStr">
        <is>
          <t>JÄMTLANDS LÄN</t>
        </is>
      </c>
      <c r="G567" t="inlineStr">
        <is>
          <t>ÖSTERSUND</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16336-2025</t>
        </is>
      </c>
      <c r="B568" t="inlineStr">
        <is>
          <t>avverkningsanmälan</t>
        </is>
      </c>
      <c r="C568" t="inlineStr">
        <is>
          <t>Föryngringsavverkning</t>
        </is>
      </c>
      <c r="D568" s="1" t="n">
        <v>45751</v>
      </c>
      <c r="E568" s="1" t="n">
        <v>46259</v>
      </c>
      <c r="F568" t="inlineStr">
        <is>
          <t>JÄMTLANDS LÄN</t>
        </is>
      </c>
      <c r="G568" t="inlineStr">
        <is>
          <t>ÖSTERSUND</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5360-2026</t>
        </is>
      </c>
      <c r="B569" t="inlineStr">
        <is>
          <t>avverkningsanmälan</t>
        </is>
      </c>
      <c r="C569" t="inlineStr">
        <is>
          <t>Avverkning för annat ändamål</t>
        </is>
      </c>
      <c r="D569" s="1" t="n">
        <v>46050</v>
      </c>
      <c r="E569" s="1" t="n">
        <v>46259</v>
      </c>
      <c r="F569" t="inlineStr">
        <is>
          <t>JÄMTLANDS LÄN</t>
        </is>
      </c>
      <c r="G569" t="inlineStr">
        <is>
          <t>ÖSTERSUND</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207-2025</t>
        </is>
      </c>
      <c r="B570" t="inlineStr">
        <is>
          <t>avverkningsanmälan</t>
        </is>
      </c>
      <c r="C570" t="inlineStr">
        <is>
          <t>Föryngringsavverkning</t>
        </is>
      </c>
      <c r="D570" s="1" t="n">
        <v>45660</v>
      </c>
      <c r="E570" s="1" t="n">
        <v>46259</v>
      </c>
      <c r="F570" t="inlineStr">
        <is>
          <t>JÄMTLANDS LÄN</t>
        </is>
      </c>
      <c r="G570" t="inlineStr">
        <is>
          <t>ÖSTERSUND</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21237-2025</t>
        </is>
      </c>
      <c r="B571" t="inlineStr">
        <is>
          <t>avverkningsanmälan</t>
        </is>
      </c>
      <c r="C571" t="inlineStr">
        <is>
          <t>Avverkning för annat ändamål</t>
        </is>
      </c>
      <c r="D571" s="1" t="n">
        <v>45779</v>
      </c>
      <c r="E571" s="1" t="n">
        <v>46259</v>
      </c>
      <c r="F571" t="inlineStr">
        <is>
          <t>JÄMTLANDS LÄN</t>
        </is>
      </c>
      <c r="G571" t="inlineStr">
        <is>
          <t>ÖSTERSUND</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30265-2026</t>
        </is>
      </c>
      <c r="B572" t="inlineStr">
        <is>
          <t>avverkningsanmälan</t>
        </is>
      </c>
      <c r="C572" t="inlineStr">
        <is>
          <t>Föryngringsavverkning</t>
        </is>
      </c>
      <c r="D572" s="1" t="n">
        <v>46206</v>
      </c>
      <c r="E572" s="1" t="n">
        <v>46259</v>
      </c>
      <c r="F572" t="inlineStr">
        <is>
          <t>JÄMTLANDS LÄN</t>
        </is>
      </c>
      <c r="G572" t="inlineStr">
        <is>
          <t>ÖSTERSUND</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30051-2026</t>
        </is>
      </c>
      <c r="B573" t="inlineStr">
        <is>
          <t>avverkningsanmälan</t>
        </is>
      </c>
      <c r="C573" t="inlineStr">
        <is>
          <t>Föryngringsavverkning</t>
        </is>
      </c>
      <c r="D573" s="1" t="n">
        <v>46206</v>
      </c>
      <c r="E573" s="1" t="n">
        <v>46259</v>
      </c>
      <c r="F573" t="inlineStr">
        <is>
          <t>JÄMTLANDS LÄN</t>
        </is>
      </c>
      <c r="G573" t="inlineStr">
        <is>
          <t>ÖSTERSUND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4480-2025</t>
        </is>
      </c>
      <c r="B574" t="inlineStr">
        <is>
          <t>avverkningsanmälan</t>
        </is>
      </c>
      <c r="C574" t="inlineStr">
        <is>
          <t>Föryngringsavverkning</t>
        </is>
      </c>
      <c r="D574" s="1" t="n">
        <v>45686</v>
      </c>
      <c r="E574" s="1" t="n">
        <v>46259</v>
      </c>
      <c r="F574" t="inlineStr">
        <is>
          <t>JÄMTLANDS LÄN</t>
        </is>
      </c>
      <c r="G574" t="inlineStr">
        <is>
          <t>ÖSTERSUND</t>
        </is>
      </c>
      <c r="I574" t="n">
        <v>27.7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5684-2026</t>
        </is>
      </c>
      <c r="B575" t="inlineStr">
        <is>
          <t>avverkningsanmälan</t>
        </is>
      </c>
      <c r="C575" t="inlineStr">
        <is>
          <t>Avverkning för annat ändamål</t>
        </is>
      </c>
      <c r="D575" s="1" t="n">
        <v>46051</v>
      </c>
      <c r="E575" s="1" t="n">
        <v>46259</v>
      </c>
      <c r="F575" t="inlineStr">
        <is>
          <t>JÄMTLANDS LÄN</t>
        </is>
      </c>
      <c r="G575" t="inlineStr">
        <is>
          <t>ÖSTERSUND</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22384-2025</t>
        </is>
      </c>
      <c r="B576" t="inlineStr">
        <is>
          <t>avverkningsanmälan</t>
        </is>
      </c>
      <c r="C576" t="inlineStr">
        <is>
          <t>Föryngringsavverkning</t>
        </is>
      </c>
      <c r="D576" s="1" t="n">
        <v>45786</v>
      </c>
      <c r="E576" s="1" t="n">
        <v>46259</v>
      </c>
      <c r="F576" t="inlineStr">
        <is>
          <t>JÄMTLANDS LÄN</t>
        </is>
      </c>
      <c r="G576" t="inlineStr">
        <is>
          <t>ÖSTERSUND</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31090-2026</t>
        </is>
      </c>
      <c r="B577" t="inlineStr">
        <is>
          <t>avverkningsanmälan</t>
        </is>
      </c>
      <c r="C577" t="inlineStr">
        <is>
          <t>Föryngringsavverkning</t>
        </is>
      </c>
      <c r="D577" s="1" t="n">
        <v>46216</v>
      </c>
      <c r="E577" s="1" t="n">
        <v>46259</v>
      </c>
      <c r="F577" t="inlineStr">
        <is>
          <t>JÄMTLANDS LÄN</t>
        </is>
      </c>
      <c r="G577" t="inlineStr">
        <is>
          <t>ÖSTERSUND</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4520-2025</t>
        </is>
      </c>
      <c r="B578" t="inlineStr">
        <is>
          <t>avverkningsanmälan</t>
        </is>
      </c>
      <c r="C578" t="inlineStr">
        <is>
          <t>Föryngringsavverkning</t>
        </is>
      </c>
      <c r="D578" s="1" t="n">
        <v>45686</v>
      </c>
      <c r="E578" s="1" t="n">
        <v>46259</v>
      </c>
      <c r="F578" t="inlineStr">
        <is>
          <t>JÄMTLANDS LÄN</t>
        </is>
      </c>
      <c r="G578" t="inlineStr">
        <is>
          <t>ÖSTERSUND</t>
        </is>
      </c>
      <c r="I578" t="n">
        <v>15.2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4523-2025</t>
        </is>
      </c>
      <c r="B579" t="inlineStr">
        <is>
          <t>avverkningsanmälan</t>
        </is>
      </c>
      <c r="C579" t="inlineStr">
        <is>
          <t>Föryngringsavverkning</t>
        </is>
      </c>
      <c r="D579" s="1" t="n">
        <v>45686</v>
      </c>
      <c r="E579" s="1" t="n">
        <v>46259</v>
      </c>
      <c r="F579" t="inlineStr">
        <is>
          <t>JÄMTLANDS LÄN</t>
        </is>
      </c>
      <c r="G579" t="inlineStr">
        <is>
          <t>ÖSTERSUND</t>
        </is>
      </c>
      <c r="I579" t="n">
        <v>15.2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22713-2025</t>
        </is>
      </c>
      <c r="B580" t="inlineStr">
        <is>
          <t>avverkningsanmälan</t>
        </is>
      </c>
      <c r="C580" t="inlineStr">
        <is>
          <t>Avverkning för annat ändamål</t>
        </is>
      </c>
      <c r="D580" s="1" t="n">
        <v>45789</v>
      </c>
      <c r="E580" s="1" t="n">
        <v>46259</v>
      </c>
      <c r="F580" t="inlineStr">
        <is>
          <t>JÄMTLANDS LÄN</t>
        </is>
      </c>
      <c r="G580" t="inlineStr">
        <is>
          <t>ÖSTERSUND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22920-2025</t>
        </is>
      </c>
      <c r="B581" t="inlineStr">
        <is>
          <t>avverkningsanmälan</t>
        </is>
      </c>
      <c r="C581" t="inlineStr">
        <is>
          <t>Föryngringsavverkning</t>
        </is>
      </c>
      <c r="D581" s="1" t="n">
        <v>45790</v>
      </c>
      <c r="E581" s="1" t="n">
        <v>46259</v>
      </c>
      <c r="F581" t="inlineStr">
        <is>
          <t>JÄMTLANDS LÄN</t>
        </is>
      </c>
      <c r="G581" t="inlineStr">
        <is>
          <t>ÖSTERSUND</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6761-2026</t>
        </is>
      </c>
      <c r="B582" t="inlineStr">
        <is>
          <t>avverkningsanmälan</t>
        </is>
      </c>
      <c r="C582" t="inlineStr">
        <is>
          <t>Föryngringsavverkning</t>
        </is>
      </c>
      <c r="D582" s="1" t="n">
        <v>46056</v>
      </c>
      <c r="E582" s="1" t="n">
        <v>46259</v>
      </c>
      <c r="F582" t="inlineStr">
        <is>
          <t>JÄMTLANDS LÄN</t>
        </is>
      </c>
      <c r="G582" t="inlineStr">
        <is>
          <t>ÖSTERSUND</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41780-2024</t>
        </is>
      </c>
      <c r="B583" t="inlineStr">
        <is>
          <t>avverkningsanmälan</t>
        </is>
      </c>
      <c r="C583" t="inlineStr">
        <is>
          <t>Föryngringsavverkning</t>
        </is>
      </c>
      <c r="D583" s="1" t="n">
        <v>45561</v>
      </c>
      <c r="E583" s="1" t="n">
        <v>46259</v>
      </c>
      <c r="F583" t="inlineStr">
        <is>
          <t>JÄMTLANDS LÄN</t>
        </is>
      </c>
      <c r="G583" t="inlineStr">
        <is>
          <t>ÖSTERSUND</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23877-2025</t>
        </is>
      </c>
      <c r="B584" t="inlineStr">
        <is>
          <t>avverkningsanmälan</t>
        </is>
      </c>
      <c r="C584" t="inlineStr">
        <is>
          <t>Föryngringsavverkning</t>
        </is>
      </c>
      <c r="D584" s="1" t="n">
        <v>45793</v>
      </c>
      <c r="E584" s="1" t="n">
        <v>46259</v>
      </c>
      <c r="F584" t="inlineStr">
        <is>
          <t>JÄMTLANDS LÄN</t>
        </is>
      </c>
      <c r="G584" t="inlineStr">
        <is>
          <t>ÖSTERSUND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53176-2024</t>
        </is>
      </c>
      <c r="B585" t="inlineStr">
        <is>
          <t>avverkningsanmälan</t>
        </is>
      </c>
      <c r="C585" t="inlineStr">
        <is>
          <t>Föryngringsavverkning</t>
        </is>
      </c>
      <c r="D585" s="1" t="n">
        <v>45611</v>
      </c>
      <c r="E585" s="1" t="n">
        <v>46259</v>
      </c>
      <c r="F585" t="inlineStr">
        <is>
          <t>JÄMTLANDS LÄN</t>
        </is>
      </c>
      <c r="G585" t="inlineStr">
        <is>
          <t>ÖSTERSUND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8832-2026</t>
        </is>
      </c>
      <c r="B586" t="inlineStr">
        <is>
          <t>avverkningsanmälan</t>
        </is>
      </c>
      <c r="C586" t="inlineStr">
        <is>
          <t>Föryngringsavverkning</t>
        </is>
      </c>
      <c r="D586" s="1" t="n">
        <v>46066</v>
      </c>
      <c r="E586" s="1" t="n">
        <v>46259</v>
      </c>
      <c r="F586" t="inlineStr">
        <is>
          <t>JÄMTLANDS LÄN</t>
        </is>
      </c>
      <c r="G586" t="inlineStr">
        <is>
          <t>ÖSTERSUND</t>
        </is>
      </c>
      <c r="H586" t="inlineStr">
        <is>
          <t>SCA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8833-2026</t>
        </is>
      </c>
      <c r="B587" t="inlineStr">
        <is>
          <t>avverkningsanmälan</t>
        </is>
      </c>
      <c r="C587" t="inlineStr">
        <is>
          <t>Föryngringsavverkning</t>
        </is>
      </c>
      <c r="D587" s="1" t="n">
        <v>46066</v>
      </c>
      <c r="E587" s="1" t="n">
        <v>46259</v>
      </c>
      <c r="F587" t="inlineStr">
        <is>
          <t>JÄMTLANDS LÄN</t>
        </is>
      </c>
      <c r="G587" t="inlineStr">
        <is>
          <t>ÖSTERSUND</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9191-2026</t>
        </is>
      </c>
      <c r="B588" t="inlineStr">
        <is>
          <t>avverkningsanmälan</t>
        </is>
      </c>
      <c r="C588" t="inlineStr">
        <is>
          <t>Föryngringsavverkning</t>
        </is>
      </c>
      <c r="D588" s="1" t="n">
        <v>46070</v>
      </c>
      <c r="E588" s="1" t="n">
        <v>46259</v>
      </c>
      <c r="F588" t="inlineStr">
        <is>
          <t>JÄMTLANDS LÄN</t>
        </is>
      </c>
      <c r="G588" t="inlineStr">
        <is>
          <t>ÖSTERSUND</t>
        </is>
      </c>
      <c r="H588" t="inlineStr">
        <is>
          <t>Övriga Aktiebolag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10319-2026</t>
        </is>
      </c>
      <c r="B589" t="inlineStr">
        <is>
          <t>avverkningsanmälan</t>
        </is>
      </c>
      <c r="C589" t="inlineStr">
        <is>
          <t>Föryngringsavverkning</t>
        </is>
      </c>
      <c r="D589" s="1" t="n">
        <v>46076</v>
      </c>
      <c r="E589" s="1" t="n">
        <v>46259</v>
      </c>
      <c r="F589" t="inlineStr">
        <is>
          <t>JÄMTLANDS LÄN</t>
        </is>
      </c>
      <c r="G589" t="inlineStr">
        <is>
          <t>ÖSTERSUND</t>
        </is>
      </c>
      <c r="H589" t="inlineStr">
        <is>
          <t>SCA</t>
        </is>
      </c>
      <c r="I589" t="n">
        <v>10.3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9958-2026</t>
        </is>
      </c>
      <c r="B590" t="inlineStr">
        <is>
          <t>avverkningsanmälan</t>
        </is>
      </c>
      <c r="C590" t="inlineStr">
        <is>
          <t>Föryngringsavverkning</t>
        </is>
      </c>
      <c r="D590" s="1" t="n">
        <v>46073</v>
      </c>
      <c r="E590" s="1" t="n">
        <v>46259</v>
      </c>
      <c r="F590" t="inlineStr">
        <is>
          <t>JÄMTLANDS LÄN</t>
        </is>
      </c>
      <c r="G590" t="inlineStr">
        <is>
          <t>ÖSTERSUND</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9949-2026</t>
        </is>
      </c>
      <c r="B591" t="inlineStr">
        <is>
          <t>avverkningsanmälan</t>
        </is>
      </c>
      <c r="C591" t="inlineStr">
        <is>
          <t>Föryngringsavverkning</t>
        </is>
      </c>
      <c r="D591" s="1" t="n">
        <v>46073</v>
      </c>
      <c r="E591" s="1" t="n">
        <v>46259</v>
      </c>
      <c r="F591" t="inlineStr">
        <is>
          <t>JÄMTLANDS LÄN</t>
        </is>
      </c>
      <c r="G591" t="inlineStr">
        <is>
          <t>ÖSTERSUND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10714-2026</t>
        </is>
      </c>
      <c r="B592" t="inlineStr">
        <is>
          <t>avverkningsanmälan</t>
        </is>
      </c>
      <c r="C592" t="inlineStr">
        <is>
          <t>Avverkning för att bevara och utveckla /försöksver</t>
        </is>
      </c>
      <c r="D592" s="1" t="n">
        <v>46078</v>
      </c>
      <c r="E592" s="1" t="n">
        <v>46259</v>
      </c>
      <c r="F592" t="inlineStr">
        <is>
          <t>JÄMTLANDS LÄN</t>
        </is>
      </c>
      <c r="G592" t="inlineStr">
        <is>
          <t>ÖSTERSUND</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10779-2026</t>
        </is>
      </c>
      <c r="B593" t="inlineStr">
        <is>
          <t>avverkningsanmälan</t>
        </is>
      </c>
      <c r="C593" t="inlineStr">
        <is>
          <t>Föryngringsavverkning</t>
        </is>
      </c>
      <c r="D593" s="1" t="n">
        <v>46078</v>
      </c>
      <c r="E593" s="1" t="n">
        <v>46259</v>
      </c>
      <c r="F593" t="inlineStr">
        <is>
          <t>JÄMTLANDS LÄN</t>
        </is>
      </c>
      <c r="G593" t="inlineStr">
        <is>
          <t>ÖSTERSUND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10756-2025</t>
        </is>
      </c>
      <c r="B594" t="inlineStr">
        <is>
          <t>avverkningsanmälan</t>
        </is>
      </c>
      <c r="C594" t="inlineStr">
        <is>
          <t>Föryngringsavverkning</t>
        </is>
      </c>
      <c r="D594" s="1" t="n">
        <v>45722</v>
      </c>
      <c r="E594" s="1" t="n">
        <v>46259</v>
      </c>
      <c r="F594" t="inlineStr">
        <is>
          <t>JÄMTLANDS LÄN</t>
        </is>
      </c>
      <c r="G594" t="inlineStr">
        <is>
          <t>ÖSTERSUND</t>
        </is>
      </c>
      <c r="H594" t="inlineStr">
        <is>
          <t>SCA</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13651-2025</t>
        </is>
      </c>
      <c r="B595" t="inlineStr">
        <is>
          <t>avverkningsanmälan</t>
        </is>
      </c>
      <c r="C595" t="inlineStr">
        <is>
          <t>Föryngringsavverkning</t>
        </is>
      </c>
      <c r="D595" s="1" t="n">
        <v>45736</v>
      </c>
      <c r="E595" s="1" t="n">
        <v>46259</v>
      </c>
      <c r="F595" t="inlineStr">
        <is>
          <t>JÄMTLANDS LÄN</t>
        </is>
      </c>
      <c r="G595" t="inlineStr">
        <is>
          <t>ÖSTERSUND</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22612-2025</t>
        </is>
      </c>
      <c r="B596" t="inlineStr">
        <is>
          <t>avverkningsanmälan</t>
        </is>
      </c>
      <c r="C596" t="inlineStr">
        <is>
          <t>Avverkning för annat ändamål</t>
        </is>
      </c>
      <c r="D596" s="1" t="n">
        <v>45789</v>
      </c>
      <c r="E596" s="1" t="n">
        <v>46259</v>
      </c>
      <c r="F596" t="inlineStr">
        <is>
          <t>JÄMTLANDS LÄN</t>
        </is>
      </c>
      <c r="G596" t="inlineStr">
        <is>
          <t>ÖSTERSUND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14947-2025</t>
        </is>
      </c>
      <c r="B597" t="inlineStr">
        <is>
          <t>avverkningsanmälan</t>
        </is>
      </c>
      <c r="C597" t="inlineStr">
        <is>
          <t>Föryngringsavverkning</t>
        </is>
      </c>
      <c r="D597" s="1" t="n">
        <v>45743</v>
      </c>
      <c r="E597" s="1" t="n">
        <v>46259</v>
      </c>
      <c r="F597" t="inlineStr">
        <is>
          <t>JÄMTLANDS LÄN</t>
        </is>
      </c>
      <c r="G597" t="inlineStr">
        <is>
          <t>ÖSTERSUND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10267-2025</t>
        </is>
      </c>
      <c r="B598" t="inlineStr">
        <is>
          <t>avverkningsanmälan</t>
        </is>
      </c>
      <c r="C598" t="inlineStr">
        <is>
          <t>Föryngringsavverkning</t>
        </is>
      </c>
      <c r="D598" s="1" t="n">
        <v>45720</v>
      </c>
      <c r="E598" s="1" t="n">
        <v>46259</v>
      </c>
      <c r="F598" t="inlineStr">
        <is>
          <t>JÄMTLANDS LÄN</t>
        </is>
      </c>
      <c r="G598" t="inlineStr">
        <is>
          <t>ÖSTERSUND</t>
        </is>
      </c>
      <c r="H598" t="inlineStr">
        <is>
          <t>SCA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10266-2025</t>
        </is>
      </c>
      <c r="B599" t="inlineStr">
        <is>
          <t>avverkningsanmälan</t>
        </is>
      </c>
      <c r="C599" t="inlineStr">
        <is>
          <t>Föryngringsavverkning</t>
        </is>
      </c>
      <c r="D599" s="1" t="n">
        <v>45720</v>
      </c>
      <c r="E599" s="1" t="n">
        <v>46259</v>
      </c>
      <c r="F599" t="inlineStr">
        <is>
          <t>JÄMTLANDS LÄN</t>
        </is>
      </c>
      <c r="G599" t="inlineStr">
        <is>
          <t>ÖSTERSUND</t>
        </is>
      </c>
      <c r="H599" t="inlineStr">
        <is>
          <t>SCA</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14831-2025</t>
        </is>
      </c>
      <c r="B600" t="inlineStr">
        <is>
          <t>avverkningsanmälan</t>
        </is>
      </c>
      <c r="C600" t="inlineStr">
        <is>
          <t>Föryngringsavverkning</t>
        </is>
      </c>
      <c r="D600" s="1" t="n">
        <v>45743</v>
      </c>
      <c r="E600" s="1" t="n">
        <v>46259</v>
      </c>
      <c r="F600" t="inlineStr">
        <is>
          <t>JÄMTLANDS LÄN</t>
        </is>
      </c>
      <c r="G600" t="inlineStr">
        <is>
          <t>ÖSTERSUND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56811-2025</t>
        </is>
      </c>
      <c r="B601" t="inlineStr">
        <is>
          <t>avverkningsanmälan</t>
        </is>
      </c>
      <c r="C601" t="inlineStr">
        <is>
          <t>Avverkning för annat ändamål</t>
        </is>
      </c>
      <c r="D601" s="1" t="n">
        <v>45978</v>
      </c>
      <c r="E601" s="1" t="n">
        <v>46259</v>
      </c>
      <c r="F601" t="inlineStr">
        <is>
          <t>JÄMTLANDS LÄN</t>
        </is>
      </c>
      <c r="G601" t="inlineStr">
        <is>
          <t>ÖSTERSUND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12726-2026</t>
        </is>
      </c>
      <c r="B602" t="inlineStr">
        <is>
          <t>avverkningsanmälan</t>
        </is>
      </c>
      <c r="C602" t="inlineStr">
        <is>
          <t>Föryngringsavverkning</t>
        </is>
      </c>
      <c r="D602" s="1" t="n">
        <v>46091</v>
      </c>
      <c r="E602" s="1" t="n">
        <v>46259</v>
      </c>
      <c r="F602" t="inlineStr">
        <is>
          <t>JÄMTLANDS LÄN</t>
        </is>
      </c>
      <c r="G602" t="inlineStr">
        <is>
          <t>ÖSTERSUND</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5687-2021</t>
        </is>
      </c>
      <c r="B603" t="inlineStr">
        <is>
          <t>samrådsanmälan</t>
        </is>
      </c>
      <c r="C603" t="inlineStr">
        <is>
          <t>Basväg</t>
        </is>
      </c>
      <c r="D603" s="1" t="n">
        <v>44434</v>
      </c>
      <c r="E603" s="1" t="n">
        <v>46259</v>
      </c>
      <c r="F603" t="inlineStr">
        <is>
          <t>JÄMTLANDS LÄN</t>
        </is>
      </c>
      <c r="G603" t="inlineStr">
        <is>
          <t>ÖSTERSUND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989-2025</t>
        </is>
      </c>
      <c r="B604" t="inlineStr">
        <is>
          <t>samrådsanmälan</t>
        </is>
      </c>
      <c r="C604" t="inlineStr">
        <is>
          <t>Annan skogsbruksåtgärd</t>
        </is>
      </c>
      <c r="D604" s="1" t="n">
        <v>45744</v>
      </c>
      <c r="E604" s="1" t="n">
        <v>46259</v>
      </c>
      <c r="F604" t="inlineStr">
        <is>
          <t>JÄMTLANDS LÄN</t>
        </is>
      </c>
      <c r="G604" t="inlineStr">
        <is>
          <t>ÖSTERSUND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1845-2025</t>
        </is>
      </c>
      <c r="B605" t="inlineStr">
        <is>
          <t>samrådsanmälan</t>
        </is>
      </c>
      <c r="C605" t="inlineStr">
        <is>
          <t>Annan skogsbruksåtgärd</t>
        </is>
      </c>
      <c r="D605" s="1" t="n">
        <v>45820</v>
      </c>
      <c r="E605" s="1" t="n">
        <v>46259</v>
      </c>
      <c r="F605" t="inlineStr">
        <is>
          <t>JÄMTLANDS LÄN</t>
        </is>
      </c>
      <c r="G605" t="inlineStr">
        <is>
          <t>ÖSTERSUND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299-2026</t>
        </is>
      </c>
      <c r="B606" t="inlineStr">
        <is>
          <t>samrådsanmälan</t>
        </is>
      </c>
      <c r="C606" t="inlineStr">
        <is>
          <t>Annan skogsbruksåtgärd</t>
        </is>
      </c>
      <c r="D606" s="1" t="n">
        <v>46058</v>
      </c>
      <c r="E606" s="1" t="n">
        <v>46259</v>
      </c>
      <c r="F606" t="inlineStr">
        <is>
          <t>JÄMTLANDS LÄN</t>
        </is>
      </c>
      <c r="G606" t="inlineStr">
        <is>
          <t>ÖSTERSUND</t>
        </is>
      </c>
      <c r="I606" t="n">
        <v>2.7</v>
      </c>
      <c r="J606" t="n">
        <v>0</v>
      </c>
      <c r="K606" t="n">
        <v>0</v>
      </c>
      <c r="L606" t="n">
        <v>0</v>
      </c>
      <c r="M606" t="n">
        <v>0</v>
      </c>
      <c r="N606" t="n">
        <v>0</v>
      </c>
      <c r="O606" t="n">
        <v>0</v>
      </c>
      <c r="P606" t="n">
        <v>0</v>
      </c>
      <c r="Q606" t="n">
        <v>0</v>
      </c>
      <c r="R606" t="n">
        <v>0</v>
      </c>
      <c r="S606" t="n">
        <v>0</v>
      </c>
      <c r="T606" t="n">
        <v>0</v>
      </c>
      <c r="U606" t="n">
        <v>0</v>
      </c>
      <c r="V606" s="2" t="inlineStr"/>
    </row>
    <row r="607">
      <c r="A607" t="inlineStr">
        <is>
          <t>S 305-2026</t>
        </is>
      </c>
      <c r="B607" t="inlineStr">
        <is>
          <t>samrådsanmälan</t>
        </is>
      </c>
      <c r="C607" t="inlineStr">
        <is>
          <t>Annan skogsbruksåtgärd</t>
        </is>
      </c>
      <c r="D607" s="1" t="n">
        <v>46058</v>
      </c>
      <c r="E607" s="1" t="n">
        <v>46259</v>
      </c>
      <c r="F607" t="inlineStr">
        <is>
          <t>JÄMTLANDS LÄN</t>
        </is>
      </c>
      <c r="G607" t="inlineStr">
        <is>
          <t>ÖSTERSUND</t>
        </is>
      </c>
      <c r="I607" t="n">
        <v>7.8</v>
      </c>
      <c r="J607" t="n">
        <v>0</v>
      </c>
      <c r="K607" t="n">
        <v>0</v>
      </c>
      <c r="L607" t="n">
        <v>0</v>
      </c>
      <c r="M607" t="n">
        <v>0</v>
      </c>
      <c r="N607" t="n">
        <v>0</v>
      </c>
      <c r="O607" t="n">
        <v>0</v>
      </c>
      <c r="P607" t="n">
        <v>0</v>
      </c>
      <c r="Q607" t="n">
        <v>0</v>
      </c>
      <c r="R607" t="n">
        <v>0</v>
      </c>
      <c r="S607" t="n">
        <v>0</v>
      </c>
      <c r="T607" t="n">
        <v>0</v>
      </c>
      <c r="U607" t="n">
        <v>0</v>
      </c>
      <c r="V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2026-08-25T01:51:29Z</dcterms:created>
  <dcterms:modified xmlns:dcterms="http://purl.org/dc/terms/" xmlns:xsi="http://www.w3.org/2001/XMLSchema-instance" xsi:type="dcterms:W3CDTF">2026-08-25T01:51:29Z</dcterms:modified>
</cp:coreProperties>
</file>